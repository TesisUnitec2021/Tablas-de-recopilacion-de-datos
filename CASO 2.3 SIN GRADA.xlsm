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2\"/>
    </mc:Choice>
  </mc:AlternateContent>
  <bookViews>
    <workbookView xWindow="0" yWindow="0" windowWidth="23040" windowHeight="9972" tabRatio="830" firstSheet="6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<sst xmlns="http://schemas.openxmlformats.org/spreadsheetml/2006/main" count="4496" uniqueCount="262">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</sst>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581.94183486763905</v>
      </c>
      <c r="E5" s="172">
        <f t="shared" si="0"/>
        <v>581.94183486763905</v>
      </c>
      <c r="F5" s="172">
        <f t="shared" si="0"/>
        <v>22.111496612735099</v>
      </c>
      <c r="G5" s="172">
        <f t="shared" si="0"/>
        <v>2.7579246162162998</v>
      </c>
      <c r="H5" s="172">
        <f t="shared" si="0"/>
        <v>581.94183486763905</v>
      </c>
      <c r="I5" s="172">
        <f t="shared" si="0"/>
        <v>581.94183486763905</v>
      </c>
      <c r="J5" s="172">
        <f t="shared" si="0"/>
        <v>22.111496612735099</v>
      </c>
      <c r="K5" s="172">
        <f t="shared" si="0"/>
        <v>2.7579246162162998</v>
      </c>
      <c r="L5" s="172">
        <f t="shared" si="0"/>
        <v>18.905891738529998</v>
      </c>
      <c r="M5" s="172">
        <f t="shared" si="0"/>
        <v>2.9502042980980199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10531.687143311199</v>
      </c>
      <c r="E6" s="172">
        <f t="shared" si="1"/>
        <v>10531.687143311199</v>
      </c>
      <c r="F6" s="172">
        <f t="shared" si="1"/>
        <v>11.1125677535323</v>
      </c>
      <c r="G6" s="172">
        <f t="shared" si="1"/>
        <v>8.6253446607911393</v>
      </c>
      <c r="H6" s="172">
        <f t="shared" si="1"/>
        <v>10531.687143311199</v>
      </c>
      <c r="I6" s="172">
        <f t="shared" si="1"/>
        <v>10531.687143311199</v>
      </c>
      <c r="J6" s="172">
        <f t="shared" si="1"/>
        <v>11.1125677535323</v>
      </c>
      <c r="K6" s="172">
        <f t="shared" si="1"/>
        <v>8.6253446607911393</v>
      </c>
      <c r="L6" s="172">
        <f t="shared" si="1"/>
        <v>11.1060923885726</v>
      </c>
      <c r="M6" s="172">
        <f t="shared" si="1"/>
        <v>8.6284843720849693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13112.662145529601</v>
      </c>
      <c r="E7" s="172">
        <f t="shared" si="2"/>
        <v>13112.662145529601</v>
      </c>
      <c r="F7" s="172">
        <f t="shared" si="2"/>
        <v>10.9769932867375</v>
      </c>
      <c r="G7" s="172">
        <f t="shared" si="2"/>
        <v>8.7621649718306394</v>
      </c>
      <c r="H7" s="172">
        <f t="shared" si="2"/>
        <v>13112.662145529601</v>
      </c>
      <c r="I7" s="172">
        <f t="shared" si="2"/>
        <v>13112.662145529601</v>
      </c>
      <c r="J7" s="172">
        <f t="shared" si="2"/>
        <v>10.9769932867375</v>
      </c>
      <c r="K7" s="172">
        <f t="shared" si="2"/>
        <v>8.7621649718306394</v>
      </c>
      <c r="L7" s="172">
        <f t="shared" si="2"/>
        <v>11.197845233834499</v>
      </c>
      <c r="M7" s="172">
        <f t="shared" si="2"/>
        <v>8.6128643794148907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13112.662145529601</v>
      </c>
      <c r="E8" s="172">
        <f t="shared" si="3"/>
        <v>13112.662145529601</v>
      </c>
      <c r="F8" s="172">
        <f t="shared" si="3"/>
        <v>10.9769932867375</v>
      </c>
      <c r="G8" s="172">
        <f t="shared" si="3"/>
        <v>8.7621649718306394</v>
      </c>
      <c r="H8" s="172">
        <f t="shared" si="3"/>
        <v>13112.662145529601</v>
      </c>
      <c r="I8" s="172">
        <f t="shared" si="3"/>
        <v>13112.662145529601</v>
      </c>
      <c r="J8" s="172">
        <f t="shared" si="3"/>
        <v>10.9769932867375</v>
      </c>
      <c r="K8" s="172">
        <f t="shared" si="3"/>
        <v>8.7621649718306394</v>
      </c>
      <c r="L8" s="172">
        <f t="shared" si="3"/>
        <v>11.2934011007852</v>
      </c>
      <c r="M8" s="172">
        <f t="shared" si="3"/>
        <v>8.5926940828452398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13112.662145529601</v>
      </c>
      <c r="E9" s="172">
        <f t="shared" si="4"/>
        <v>13112.662145529601</v>
      </c>
      <c r="F9" s="172">
        <f t="shared" si="4"/>
        <v>10.9769932867375</v>
      </c>
      <c r="G9" s="172">
        <f t="shared" si="4"/>
        <v>8.7621649718306394</v>
      </c>
      <c r="H9" s="172">
        <f t="shared" si="4"/>
        <v>13112.662145529601</v>
      </c>
      <c r="I9" s="172">
        <f t="shared" si="4"/>
        <v>13112.662145529601</v>
      </c>
      <c r="J9" s="172">
        <f t="shared" si="4"/>
        <v>10.9769932867375</v>
      </c>
      <c r="K9" s="172">
        <f t="shared" si="4"/>
        <v>8.7621649718306394</v>
      </c>
      <c r="L9" s="172">
        <f t="shared" si="4"/>
        <v>11.378193305217</v>
      </c>
      <c r="M9" s="172">
        <f t="shared" si="4"/>
        <v>8.5703893971933809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13112.662145529601</v>
      </c>
      <c r="E10" s="172">
        <f t="shared" si="5"/>
        <v>13112.662145529601</v>
      </c>
      <c r="F10" s="172">
        <f t="shared" si="5"/>
        <v>10.9769932867375</v>
      </c>
      <c r="G10" s="172">
        <f t="shared" si="5"/>
        <v>8.7621649718306394</v>
      </c>
      <c r="H10" s="172">
        <f t="shared" si="5"/>
        <v>13112.662145529601</v>
      </c>
      <c r="I10" s="172">
        <f t="shared" si="5"/>
        <v>13112.662145529601</v>
      </c>
      <c r="J10" s="172">
        <f t="shared" si="5"/>
        <v>10.9769932867375</v>
      </c>
      <c r="K10" s="172">
        <f t="shared" si="5"/>
        <v>8.7621649718306394</v>
      </c>
      <c r="L10" s="172">
        <f t="shared" si="5"/>
        <v>11.4517790505558</v>
      </c>
      <c r="M10" s="172">
        <f t="shared" si="5"/>
        <v>8.5445805371767207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13112.662145529601</v>
      </c>
      <c r="E11" s="172">
        <f t="shared" si="6"/>
        <v>13112.662145529601</v>
      </c>
      <c r="F11" s="172">
        <f t="shared" si="6"/>
        <v>10.9769932867375</v>
      </c>
      <c r="G11" s="172">
        <f t="shared" si="6"/>
        <v>8.7621649718306394</v>
      </c>
      <c r="H11" s="172">
        <f t="shared" si="6"/>
        <v>13112.662145529601</v>
      </c>
      <c r="I11" s="172">
        <f t="shared" si="6"/>
        <v>13112.662145529601</v>
      </c>
      <c r="J11" s="172">
        <f t="shared" si="6"/>
        <v>10.9769932867375</v>
      </c>
      <c r="K11" s="172">
        <f t="shared" si="6"/>
        <v>8.7621649718306394</v>
      </c>
      <c r="L11" s="172">
        <f t="shared" si="6"/>
        <v>11.511650263186199</v>
      </c>
      <c r="M11" s="172">
        <f t="shared" si="6"/>
        <v>8.5159577551895804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13247.0199510168</v>
      </c>
      <c r="E12" s="172">
        <f t="shared" si="7"/>
        <v>13247.0199510168</v>
      </c>
      <c r="F12" s="172">
        <f t="shared" si="7"/>
        <v>11.0838565164588</v>
      </c>
      <c r="G12" s="172">
        <f t="shared" si="7"/>
        <v>8.6936906086912291</v>
      </c>
      <c r="H12" s="172">
        <f t="shared" si="7"/>
        <v>13247.0199510168</v>
      </c>
      <c r="I12" s="172">
        <f t="shared" si="7"/>
        <v>13247.0199510168</v>
      </c>
      <c r="J12" s="172">
        <f t="shared" si="7"/>
        <v>11.0838565164588</v>
      </c>
      <c r="K12" s="172">
        <f t="shared" si="7"/>
        <v>8.6936906086912291</v>
      </c>
      <c r="L12" s="172">
        <f t="shared" si="7"/>
        <v>11.5464499323729</v>
      </c>
      <c r="M12" s="172">
        <f t="shared" si="7"/>
        <v>8.5108559082112993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13247.0199510168</v>
      </c>
      <c r="E13" s="172">
        <f t="shared" si="8"/>
        <v>13247.0199510168</v>
      </c>
      <c r="F13" s="172">
        <f t="shared" si="8"/>
        <v>11.0838565164588</v>
      </c>
      <c r="G13" s="172">
        <f t="shared" si="8"/>
        <v>8.6936906086912291</v>
      </c>
      <c r="H13" s="172">
        <f t="shared" si="8"/>
        <v>13247.0199510168</v>
      </c>
      <c r="I13" s="172">
        <f t="shared" si="8"/>
        <v>13247.0199510168</v>
      </c>
      <c r="J13" s="172">
        <f t="shared" si="8"/>
        <v>11.0838565164588</v>
      </c>
      <c r="K13" s="172">
        <f t="shared" si="8"/>
        <v>8.6936906086912291</v>
      </c>
      <c r="L13" s="172">
        <f t="shared" si="8"/>
        <v>11.5374944041149</v>
      </c>
      <c r="M13" s="172">
        <f t="shared" si="8"/>
        <v>8.5304445162625502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13247.0199510168</v>
      </c>
      <c r="E14" s="172">
        <f t="shared" si="9"/>
        <v>13247.0199510168</v>
      </c>
      <c r="F14" s="172">
        <f t="shared" si="9"/>
        <v>11.0838565164588</v>
      </c>
      <c r="G14" s="172">
        <f t="shared" si="9"/>
        <v>8.6936906086912291</v>
      </c>
      <c r="H14" s="172">
        <f t="shared" si="9"/>
        <v>13247.0199510168</v>
      </c>
      <c r="I14" s="172">
        <f t="shared" si="9"/>
        <v>13247.0199510168</v>
      </c>
      <c r="J14" s="172">
        <f t="shared" si="9"/>
        <v>11.0838565164588</v>
      </c>
      <c r="K14" s="172">
        <f t="shared" si="9"/>
        <v>8.6936906086912291</v>
      </c>
      <c r="L14" s="172">
        <f t="shared" si="9"/>
        <v>11.435950677084501</v>
      </c>
      <c r="M14" s="172">
        <f t="shared" si="9"/>
        <v>8.5907304875286492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13701.772438288701</v>
      </c>
      <c r="E15" s="172">
        <f t="shared" si="10"/>
        <v>13701.772438288701</v>
      </c>
      <c r="F15" s="172">
        <f t="shared" si="10"/>
        <v>11.140259907949901</v>
      </c>
      <c r="G15" s="172">
        <f t="shared" si="10"/>
        <v>8.6663523898608208</v>
      </c>
      <c r="H15" s="172">
        <f t="shared" si="10"/>
        <v>13701.772438288701</v>
      </c>
      <c r="I15" s="172">
        <f t="shared" si="10"/>
        <v>13701.772438288701</v>
      </c>
      <c r="J15" s="172">
        <f t="shared" si="10"/>
        <v>11.140259907949901</v>
      </c>
      <c r="K15" s="172">
        <f t="shared" si="10"/>
        <v>8.6663523898608208</v>
      </c>
      <c r="L15" s="172">
        <f t="shared" si="10"/>
        <v>11.126881414488301</v>
      </c>
      <c r="M15" s="172">
        <f t="shared" si="10"/>
        <v>8.7593336170811593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13701.772438288701</v>
      </c>
      <c r="E23" s="172">
        <v>13701.772438288701</v>
      </c>
      <c r="F23" s="172">
        <v>11.140259907949901</v>
      </c>
      <c r="G23" s="172">
        <v>8.6663523898608208</v>
      </c>
      <c r="H23" s="172">
        <v>13701.772438288701</v>
      </c>
      <c r="I23" s="172">
        <v>13701.772438288701</v>
      </c>
      <c r="J23" s="172">
        <v>11.140259907949901</v>
      </c>
      <c r="K23" s="172">
        <v>8.6663523898608208</v>
      </c>
      <c r="L23" s="172">
        <v>11.126881414488301</v>
      </c>
      <c r="M23" s="172">
        <v>8.7593336170811593</v>
      </c>
    </row>
    <row r="24" spans="2:15" x14ac:dyDescent="0.3">
      <c r="B24" s="172" t="s">
        <v>24</v>
      </c>
      <c r="C24" s="172" t="s">
        <v>175</v>
      </c>
      <c r="D24" s="172">
        <v>13247.0199510168</v>
      </c>
      <c r="E24" s="172">
        <v>13247.0199510168</v>
      </c>
      <c r="F24" s="172">
        <v>11.0838565164588</v>
      </c>
      <c r="G24" s="172">
        <v>8.6936906086912291</v>
      </c>
      <c r="H24" s="172">
        <v>13247.0199510168</v>
      </c>
      <c r="I24" s="172">
        <v>13247.0199510168</v>
      </c>
      <c r="J24" s="172">
        <v>11.0838565164588</v>
      </c>
      <c r="K24" s="172">
        <v>8.6936906086912291</v>
      </c>
      <c r="L24" s="172">
        <v>11.435950677084501</v>
      </c>
      <c r="M24" s="172">
        <v>8.5907304875286492</v>
      </c>
    </row>
    <row r="25" spans="2:15" x14ac:dyDescent="0.3">
      <c r="B25" s="172" t="s">
        <v>25</v>
      </c>
      <c r="C25" s="172" t="s">
        <v>176</v>
      </c>
      <c r="D25" s="172">
        <v>13247.0199510168</v>
      </c>
      <c r="E25" s="172">
        <v>13247.0199510168</v>
      </c>
      <c r="F25" s="172">
        <v>11.0838565164588</v>
      </c>
      <c r="G25" s="172">
        <v>8.6936906086912291</v>
      </c>
      <c r="H25" s="172">
        <v>13247.0199510168</v>
      </c>
      <c r="I25" s="172">
        <v>13247.0199510168</v>
      </c>
      <c r="J25" s="172">
        <v>11.0838565164588</v>
      </c>
      <c r="K25" s="172">
        <v>8.6936906086912291</v>
      </c>
      <c r="L25" s="172">
        <v>11.5374944041149</v>
      </c>
      <c r="M25" s="172">
        <v>8.5304445162625502</v>
      </c>
    </row>
    <row r="26" spans="2:15" x14ac:dyDescent="0.3">
      <c r="B26" s="172" t="s">
        <v>26</v>
      </c>
      <c r="C26" s="172" t="s">
        <v>177</v>
      </c>
      <c r="D26" s="172">
        <v>13247.0199510168</v>
      </c>
      <c r="E26" s="172">
        <v>13247.0199510168</v>
      </c>
      <c r="F26" s="172">
        <v>11.0838565164588</v>
      </c>
      <c r="G26" s="172">
        <v>8.6936906086912291</v>
      </c>
      <c r="H26" s="172">
        <v>13247.0199510168</v>
      </c>
      <c r="I26" s="172">
        <v>13247.0199510168</v>
      </c>
      <c r="J26" s="172">
        <v>11.0838565164588</v>
      </c>
      <c r="K26" s="172">
        <v>8.6936906086912291</v>
      </c>
      <c r="L26" s="172">
        <v>11.5464499323729</v>
      </c>
      <c r="M26" s="172">
        <v>8.5108559082112993</v>
      </c>
    </row>
    <row r="27" spans="2:15" x14ac:dyDescent="0.3">
      <c r="B27" s="172" t="s">
        <v>39</v>
      </c>
      <c r="C27" s="172" t="s">
        <v>178</v>
      </c>
      <c r="D27" s="172">
        <v>13112.662145529601</v>
      </c>
      <c r="E27" s="172">
        <v>13112.662145529601</v>
      </c>
      <c r="F27" s="172">
        <v>10.9769932867375</v>
      </c>
      <c r="G27" s="172">
        <v>8.7621649718306394</v>
      </c>
      <c r="H27" s="172">
        <v>13112.662145529601</v>
      </c>
      <c r="I27" s="172">
        <v>13112.662145529601</v>
      </c>
      <c r="J27" s="172">
        <v>10.9769932867375</v>
      </c>
      <c r="K27" s="172">
        <v>8.7621649718306394</v>
      </c>
      <c r="L27" s="172">
        <v>11.511650263186199</v>
      </c>
      <c r="M27" s="172">
        <v>8.5159577551895804</v>
      </c>
    </row>
    <row r="28" spans="2:15" x14ac:dyDescent="0.3">
      <c r="B28" s="172" t="s">
        <v>179</v>
      </c>
      <c r="C28" s="172" t="s">
        <v>180</v>
      </c>
      <c r="D28" s="172">
        <v>13112.662145529601</v>
      </c>
      <c r="E28" s="172">
        <v>13112.662145529601</v>
      </c>
      <c r="F28" s="172">
        <v>10.9769932867375</v>
      </c>
      <c r="G28" s="172">
        <v>8.7621649718306394</v>
      </c>
      <c r="H28" s="172">
        <v>13112.662145529601</v>
      </c>
      <c r="I28" s="172">
        <v>13112.662145529601</v>
      </c>
      <c r="J28" s="172">
        <v>10.9769932867375</v>
      </c>
      <c r="K28" s="172">
        <v>8.7621649718306394</v>
      </c>
      <c r="L28" s="172">
        <v>11.4517790505558</v>
      </c>
      <c r="M28" s="172">
        <v>8.5445805371767207</v>
      </c>
    </row>
    <row r="29" spans="2:15" x14ac:dyDescent="0.3">
      <c r="B29" s="172" t="s">
        <v>181</v>
      </c>
      <c r="C29" s="172" t="s">
        <v>182</v>
      </c>
      <c r="D29" s="172">
        <v>13112.662145529601</v>
      </c>
      <c r="E29" s="172">
        <v>13112.662145529601</v>
      </c>
      <c r="F29" s="172">
        <v>10.9769932867375</v>
      </c>
      <c r="G29" s="172">
        <v>8.7621649718306394</v>
      </c>
      <c r="H29" s="172">
        <v>13112.662145529601</v>
      </c>
      <c r="I29" s="172">
        <v>13112.662145529601</v>
      </c>
      <c r="J29" s="172">
        <v>10.9769932867375</v>
      </c>
      <c r="K29" s="172">
        <v>8.7621649718306394</v>
      </c>
      <c r="L29" s="172">
        <v>11.378193305217</v>
      </c>
      <c r="M29" s="172">
        <v>8.5703893971933809</v>
      </c>
    </row>
    <row r="30" spans="2:15" x14ac:dyDescent="0.3">
      <c r="B30" s="172" t="s">
        <v>183</v>
      </c>
      <c r="C30" s="172" t="s">
        <v>184</v>
      </c>
      <c r="D30" s="172">
        <v>13112.662145529601</v>
      </c>
      <c r="E30" s="172">
        <v>13112.662145529601</v>
      </c>
      <c r="F30" s="172">
        <v>10.9769932867375</v>
      </c>
      <c r="G30" s="172">
        <v>8.7621649718306394</v>
      </c>
      <c r="H30" s="172">
        <v>13112.662145529601</v>
      </c>
      <c r="I30" s="172">
        <v>13112.662145529601</v>
      </c>
      <c r="J30" s="172">
        <v>10.9769932867375</v>
      </c>
      <c r="K30" s="172">
        <v>8.7621649718306394</v>
      </c>
      <c r="L30" s="172">
        <v>11.2934011007852</v>
      </c>
      <c r="M30" s="172">
        <v>8.5926940828452398</v>
      </c>
    </row>
    <row r="31" spans="2:15" x14ac:dyDescent="0.3">
      <c r="B31" s="172" t="s">
        <v>185</v>
      </c>
      <c r="C31" s="172" t="s">
        <v>186</v>
      </c>
      <c r="D31" s="172">
        <v>13112.662145529601</v>
      </c>
      <c r="E31" s="172">
        <v>13112.662145529601</v>
      </c>
      <c r="F31" s="172">
        <v>10.9769932867375</v>
      </c>
      <c r="G31" s="172">
        <v>8.7621649718306394</v>
      </c>
      <c r="H31" s="172">
        <v>13112.662145529601</v>
      </c>
      <c r="I31" s="172">
        <v>13112.662145529601</v>
      </c>
      <c r="J31" s="172">
        <v>10.9769932867375</v>
      </c>
      <c r="K31" s="172">
        <v>8.7621649718306394</v>
      </c>
      <c r="L31" s="172">
        <v>11.197845233834499</v>
      </c>
      <c r="M31" s="172">
        <v>8.6128643794148907</v>
      </c>
    </row>
    <row r="32" spans="2:15" x14ac:dyDescent="0.3">
      <c r="B32" s="172" t="s">
        <v>187</v>
      </c>
      <c r="C32" s="172" t="s">
        <v>188</v>
      </c>
      <c r="D32" s="172">
        <v>10531.687143311199</v>
      </c>
      <c r="E32" s="172">
        <v>10531.687143311199</v>
      </c>
      <c r="F32" s="172">
        <v>11.1125677535323</v>
      </c>
      <c r="G32" s="172">
        <v>8.6253446607911393</v>
      </c>
      <c r="H32" s="172">
        <v>10531.687143311199</v>
      </c>
      <c r="I32" s="172">
        <v>10531.687143311199</v>
      </c>
      <c r="J32" s="172">
        <v>11.1125677535323</v>
      </c>
      <c r="K32" s="172">
        <v>8.6253446607911393</v>
      </c>
      <c r="L32" s="172">
        <v>11.1060923885726</v>
      </c>
      <c r="M32" s="172">
        <v>8.6284843720849693</v>
      </c>
    </row>
    <row r="33" spans="2:13" x14ac:dyDescent="0.3">
      <c r="B33" s="172" t="s">
        <v>189</v>
      </c>
      <c r="C33" s="172" t="s">
        <v>190</v>
      </c>
      <c r="D33" s="172">
        <v>581.94183486763905</v>
      </c>
      <c r="E33" s="172">
        <v>581.94183486763905</v>
      </c>
      <c r="F33" s="172">
        <v>22.111496612735099</v>
      </c>
      <c r="G33" s="172">
        <v>2.7579246162162998</v>
      </c>
      <c r="H33" s="172">
        <v>581.94183486763905</v>
      </c>
      <c r="I33" s="172">
        <v>581.94183486763905</v>
      </c>
      <c r="J33" s="172">
        <v>22.111496612735099</v>
      </c>
      <c r="K33" s="172">
        <v>2.7579246162162998</v>
      </c>
      <c r="L33" s="172">
        <v>18.905891738529998</v>
      </c>
      <c r="M33" s="172">
        <v>2.9502042980980199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3.5521473125916999E-10</v>
      </c>
      <c r="G6" s="172">
        <v>1008.89980558503</v>
      </c>
      <c r="H6" s="172">
        <v>306.08879881004998</v>
      </c>
      <c r="I6" s="172">
        <v>8131.0475218049496</v>
      </c>
      <c r="J6" s="172">
        <v>8.2666729548755705E-10</v>
      </c>
      <c r="K6" s="172">
        <v>8.1345644433462095E-9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1.54722119998824E-10</v>
      </c>
      <c r="G7" s="172">
        <v>1008.89980558501</v>
      </c>
      <c r="H7" s="172">
        <v>306.08879881016901</v>
      </c>
      <c r="I7" s="172">
        <v>8131.0475218068405</v>
      </c>
      <c r="J7" s="172">
        <v>918.266396430697</v>
      </c>
      <c r="K7" s="172">
        <v>3026.69941675277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1.3423078825333099E-10</v>
      </c>
      <c r="G8" s="172">
        <v>260.76629385764801</v>
      </c>
      <c r="H8" s="172">
        <v>776.81350642780501</v>
      </c>
      <c r="I8" s="172">
        <v>16633.520301912198</v>
      </c>
      <c r="J8" s="172">
        <v>9.6214141011761102E-11</v>
      </c>
      <c r="K8" s="172">
        <v>2.11969284827431E-9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1.7309100009987901E-10</v>
      </c>
      <c r="G9" s="172">
        <v>260.76629385767399</v>
      </c>
      <c r="H9" s="172">
        <v>776.81350642857103</v>
      </c>
      <c r="I9" s="172">
        <v>16633.520301930399</v>
      </c>
      <c r="J9" s="172">
        <v>2330.4405192844101</v>
      </c>
      <c r="K9" s="172">
        <v>782.29888157207404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7.8926975186236202E-10</v>
      </c>
      <c r="G10" s="172">
        <v>17193.184990854399</v>
      </c>
      <c r="H10" s="172">
        <v>1918.1031483478801</v>
      </c>
      <c r="I10" s="172">
        <v>179557.77351143301</v>
      </c>
      <c r="J10" s="172">
        <v>918.26639643748899</v>
      </c>
      <c r="K10" s="172">
        <v>3026.69941675366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6.6794544693560804E-10</v>
      </c>
      <c r="G11" s="172">
        <v>17226.244949679502</v>
      </c>
      <c r="H11" s="172">
        <v>1927.00316126184</v>
      </c>
      <c r="I11" s="172">
        <v>179826.498240677</v>
      </c>
      <c r="J11" s="172">
        <v>7395.70204808366</v>
      </c>
      <c r="K11" s="172">
        <v>63072.531972533703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5.5240309641769804E-10</v>
      </c>
      <c r="G12" s="172">
        <v>1752.7941256557399</v>
      </c>
      <c r="H12" s="172">
        <v>15759.995266670099</v>
      </c>
      <c r="I12" s="172">
        <v>146563.96857958601</v>
      </c>
      <c r="J12" s="172">
        <v>2330.4405192925101</v>
      </c>
      <c r="K12" s="172">
        <v>782.29888157509902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5.0691427265399499E-10</v>
      </c>
      <c r="G13" s="172">
        <v>1755.22430519723</v>
      </c>
      <c r="H13" s="172">
        <v>15784.2873459112</v>
      </c>
      <c r="I13" s="172">
        <v>147190.02081406699</v>
      </c>
      <c r="J13" s="172">
        <v>57441.601665398302</v>
      </c>
      <c r="K13" s="172">
        <v>6371.9591898108401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1.5333804932256101E-9</v>
      </c>
      <c r="G14" s="172">
        <v>35217.472194146998</v>
      </c>
      <c r="H14" s="172">
        <v>3829.7405739425399</v>
      </c>
      <c r="I14" s="172">
        <v>372761.66401801398</v>
      </c>
      <c r="J14" s="172">
        <v>7395.7020480930496</v>
      </c>
      <c r="K14" s="172">
        <v>63072.531972528799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7.7276273088742003E-10</v>
      </c>
      <c r="G15" s="172">
        <v>35245.836348601799</v>
      </c>
      <c r="H15" s="172">
        <v>3837.2212979989299</v>
      </c>
      <c r="I15" s="172">
        <v>372993.93222710601</v>
      </c>
      <c r="J15" s="172">
        <v>20712.771803328302</v>
      </c>
      <c r="K15" s="172">
        <v>185879.88565695001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9.826183436055129E-10</v>
      </c>
      <c r="G16" s="172">
        <v>3690.1340149488901</v>
      </c>
      <c r="H16" s="172">
        <v>31950.529936499999</v>
      </c>
      <c r="I16" s="172">
        <v>288200.39377489901</v>
      </c>
      <c r="J16" s="172">
        <v>57441.601665403701</v>
      </c>
      <c r="K16" s="172">
        <v>6371.9591898067101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8.1739424001602298E-10</v>
      </c>
      <c r="G17" s="172">
        <v>3691.9856831823599</v>
      </c>
      <c r="H17" s="172">
        <v>31971.022852670601</v>
      </c>
      <c r="I17" s="172">
        <v>288731.19791608199</v>
      </c>
      <c r="J17" s="172">
        <v>168791.13991717299</v>
      </c>
      <c r="K17" s="172">
        <v>19182.7453497426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1.9929337297740299E-9</v>
      </c>
      <c r="G18" s="172">
        <v>50532.0171183243</v>
      </c>
      <c r="H18" s="172">
        <v>5486.4329891106399</v>
      </c>
      <c r="I18" s="172">
        <v>537411.871037459</v>
      </c>
      <c r="J18" s="172">
        <v>20712.771803336</v>
      </c>
      <c r="K18" s="172">
        <v>185879.88565694599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1.0560850669717399E-9</v>
      </c>
      <c r="G19" s="172">
        <v>50556.057186255603</v>
      </c>
      <c r="H19" s="172">
        <v>5492.8388270676196</v>
      </c>
      <c r="I19" s="172">
        <v>537611.61771057697</v>
      </c>
      <c r="J19" s="172">
        <v>39764.062564007603</v>
      </c>
      <c r="K19" s="172">
        <v>361094.06736280798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1.8830883146407699E-9</v>
      </c>
      <c r="G20" s="172">
        <v>5377.1072333131597</v>
      </c>
      <c r="H20" s="172">
        <v>45336.969519346101</v>
      </c>
      <c r="I20" s="172">
        <v>406607.13396476599</v>
      </c>
      <c r="J20" s="172">
        <v>168791.13991717601</v>
      </c>
      <c r="K20" s="172">
        <v>19182.745349738001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1.7259211720665999E-9</v>
      </c>
      <c r="G21" s="172">
        <v>5378.6735097546498</v>
      </c>
      <c r="H21" s="172">
        <v>45353.959044135197</v>
      </c>
      <c r="I21" s="172">
        <v>407049.28870591102</v>
      </c>
      <c r="J21" s="172">
        <v>325660.99022728403</v>
      </c>
      <c r="K21" s="172">
        <v>37887.636317846504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2.73575401764592E-9</v>
      </c>
      <c r="G22" s="172">
        <v>63579.043621967801</v>
      </c>
      <c r="H22" s="172">
        <v>6913.2965041924299</v>
      </c>
      <c r="I22" s="172">
        <v>678192.76161939302</v>
      </c>
      <c r="J22" s="172">
        <v>39764.062564016203</v>
      </c>
      <c r="K22" s="172">
        <v>361094.06736279599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2.1108964289047101E-9</v>
      </c>
      <c r="G23" s="172">
        <v>63599.621625845102</v>
      </c>
      <c r="H23" s="172">
        <v>6918.8586155139701</v>
      </c>
      <c r="I23" s="172">
        <v>678366.47436389199</v>
      </c>
      <c r="J23" s="172">
        <v>63644.305010756398</v>
      </c>
      <c r="K23" s="172">
        <v>579961.75231017102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2.9558733909492101E-9</v>
      </c>
      <c r="G24" s="172">
        <v>6833.2615057619096</v>
      </c>
      <c r="H24" s="172">
        <v>56493.276108451202</v>
      </c>
      <c r="I24" s="172">
        <v>505759.28037713299</v>
      </c>
      <c r="J24" s="172">
        <v>325660.99022728601</v>
      </c>
      <c r="K24" s="172">
        <v>37887.6363178397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3.0156721390867101E-9</v>
      </c>
      <c r="G25" s="172">
        <v>6834.6126435401402</v>
      </c>
      <c r="H25" s="172">
        <v>56507.5372042995</v>
      </c>
      <c r="I25" s="172">
        <v>506132.17018209997</v>
      </c>
      <c r="J25" s="172">
        <v>519369.61607999302</v>
      </c>
      <c r="K25" s="172">
        <v>61547.014367862103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2.2065454654015002E-9</v>
      </c>
      <c r="G26" s="172">
        <v>74829.554297059702</v>
      </c>
      <c r="H26" s="172">
        <v>8150.3461139399096</v>
      </c>
      <c r="I26" s="172">
        <v>799889.07068173902</v>
      </c>
      <c r="J26" s="172">
        <v>63644.305010761404</v>
      </c>
      <c r="K26" s="172">
        <v>579961.75231016998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1.96878613880313E-9</v>
      </c>
      <c r="G27" s="172">
        <v>74847.379297461201</v>
      </c>
      <c r="H27" s="172">
        <v>8155.1855509951902</v>
      </c>
      <c r="I27" s="172">
        <v>800041.05553907703</v>
      </c>
      <c r="J27" s="172">
        <v>91614.7192557292</v>
      </c>
      <c r="K27" s="172">
        <v>835536.48081801506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4.0485848134232003E-9</v>
      </c>
      <c r="G28" s="172">
        <v>8097.3655141709296</v>
      </c>
      <c r="H28" s="172">
        <v>65998.614753449903</v>
      </c>
      <c r="I28" s="172">
        <v>590451.89498524205</v>
      </c>
      <c r="J28" s="172">
        <v>519369.61607999401</v>
      </c>
      <c r="K28" s="172">
        <v>61547.014367858697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4.2405865316564397E-9</v>
      </c>
      <c r="G29" s="172">
        <v>8098.5196131127004</v>
      </c>
      <c r="H29" s="172">
        <v>66010.8972630887</v>
      </c>
      <c r="I29" s="172">
        <v>590774.11172827997</v>
      </c>
      <c r="J29" s="172">
        <v>743398.659124117</v>
      </c>
      <c r="K29" s="172">
        <v>89403.332525903097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1.8164435078854299E-9</v>
      </c>
      <c r="G30" s="172">
        <v>84611.398596608298</v>
      </c>
      <c r="H30" s="172">
        <v>9220.9012405876892</v>
      </c>
      <c r="I30" s="172">
        <v>905693.30990930903</v>
      </c>
      <c r="J30" s="172">
        <v>91614.719255731805</v>
      </c>
      <c r="K30" s="172">
        <v>835536.48081801203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1.37736008796106E-9</v>
      </c>
      <c r="G31" s="172">
        <v>84626.803758549999</v>
      </c>
      <c r="H31" s="172">
        <v>9225.0583537060902</v>
      </c>
      <c r="I31" s="172">
        <v>905825.08424386801</v>
      </c>
      <c r="J31" s="172">
        <v>123058.578492673</v>
      </c>
      <c r="K31" s="172">
        <v>1122276.57156371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4.4875740666789796E-9</v>
      </c>
      <c r="G32" s="172">
        <v>9192.3921423460197</v>
      </c>
      <c r="H32" s="172">
        <v>74302.714621639097</v>
      </c>
      <c r="I32" s="172">
        <v>664530.34917539603</v>
      </c>
      <c r="J32" s="172">
        <v>743398.65912412398</v>
      </c>
      <c r="K32" s="172">
        <v>89403.332525901395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4.7296310253338901E-9</v>
      </c>
      <c r="G33" s="172">
        <v>9193.3558604337195</v>
      </c>
      <c r="H33" s="172">
        <v>74313.528955591901</v>
      </c>
      <c r="I33" s="172">
        <v>664813.99270020705</v>
      </c>
      <c r="J33" s="172">
        <v>993010.48579836497</v>
      </c>
      <c r="K33" s="172">
        <v>120824.199377981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2.1088760804913099E-9</v>
      </c>
      <c r="G34" s="172">
        <v>93132.077479981599</v>
      </c>
      <c r="H34" s="172">
        <v>10145.960733972001</v>
      </c>
      <c r="I34" s="172">
        <v>997402.83211435401</v>
      </c>
      <c r="J34" s="172">
        <v>123058.578492678</v>
      </c>
      <c r="K34" s="172">
        <v>1122276.57156371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1.7539505454300199E-9</v>
      </c>
      <c r="G35" s="172">
        <v>93145.409103829399</v>
      </c>
      <c r="H35" s="172">
        <v>10149.4104802397</v>
      </c>
      <c r="I35" s="172">
        <v>997514.27568495297</v>
      </c>
      <c r="J35" s="172">
        <v>157454.69720490099</v>
      </c>
      <c r="K35" s="172">
        <v>1435643.12822151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4.5973871607392403E-9</v>
      </c>
      <c r="G36" s="172">
        <v>10130.2759111918</v>
      </c>
      <c r="H36" s="172">
        <v>81670.332792272297</v>
      </c>
      <c r="I36" s="172">
        <v>730509.75174828898</v>
      </c>
      <c r="J36" s="172">
        <v>993010.48579836194</v>
      </c>
      <c r="K36" s="172">
        <v>120824.199377984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4.7944199188871701E-9</v>
      </c>
      <c r="G37" s="172">
        <v>10131.0511669233</v>
      </c>
      <c r="H37" s="172">
        <v>81679.833069160304</v>
      </c>
      <c r="I37" s="172">
        <v>730758.39730852097</v>
      </c>
      <c r="J37" s="172">
        <v>1264749.5258895899</v>
      </c>
      <c r="K37" s="172">
        <v>155255.00077027499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1.3673380097966701E-9</v>
      </c>
      <c r="G38" s="172">
        <v>100321.793319348</v>
      </c>
      <c r="H38" s="172">
        <v>10906.5700228438</v>
      </c>
      <c r="I38" s="172">
        <v>1074236.5124114</v>
      </c>
      <c r="J38" s="172">
        <v>157454.6972049</v>
      </c>
      <c r="K38" s="172">
        <v>1435643.12822152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1.1666996495964599E-9</v>
      </c>
      <c r="G39" s="172">
        <v>100332.64474417</v>
      </c>
      <c r="H39" s="172">
        <v>10909.2323717945</v>
      </c>
      <c r="I39" s="172">
        <v>1074324.51841697</v>
      </c>
      <c r="J39" s="172">
        <v>194272.43455190299</v>
      </c>
      <c r="K39" s="172">
        <v>1771358.49501721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4.7318908765614996E-9</v>
      </c>
      <c r="G40" s="172">
        <v>10898.183741296099</v>
      </c>
      <c r="H40" s="172">
        <v>88033.621723461998</v>
      </c>
      <c r="I40" s="172">
        <v>787357.04944773403</v>
      </c>
      <c r="J40" s="172">
        <v>1264749.5258895999</v>
      </c>
      <c r="K40" s="172">
        <v>155255.000770276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4.5891913221397302E-9</v>
      </c>
      <c r="G41" s="172">
        <v>10898.7663058571</v>
      </c>
      <c r="H41" s="172">
        <v>88041.505578651806</v>
      </c>
      <c r="I41" s="172">
        <v>787562.77164510405</v>
      </c>
      <c r="J41" s="172">
        <v>1555589.45634791</v>
      </c>
      <c r="K41" s="172">
        <v>192140.80007203101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8.9876951688979399E-10</v>
      </c>
      <c r="G42" s="172">
        <v>105826.524590217</v>
      </c>
      <c r="H42" s="172">
        <v>11464.2060615341</v>
      </c>
      <c r="I42" s="172">
        <v>1132502.87338016</v>
      </c>
      <c r="J42" s="172">
        <v>194272.43455190101</v>
      </c>
      <c r="K42" s="172">
        <v>1771358.49501722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8.2643185443081702E-10</v>
      </c>
      <c r="G43" s="172">
        <v>105833.929852256</v>
      </c>
      <c r="H43" s="172">
        <v>11465.8671371235</v>
      </c>
      <c r="I43" s="172">
        <v>1132559.73494088</v>
      </c>
      <c r="J43" s="172">
        <v>232925.94723483699</v>
      </c>
      <c r="K43" s="172">
        <v>2124698.6075162701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4.6472071626984698E-9</v>
      </c>
      <c r="G44" s="172">
        <v>11460.0901254154</v>
      </c>
      <c r="H44" s="172">
        <v>93005.877545330004</v>
      </c>
      <c r="I44" s="172">
        <v>831767.05600059906</v>
      </c>
      <c r="J44" s="172">
        <v>1555589.45634792</v>
      </c>
      <c r="K44" s="172">
        <v>192140.80007203101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4.8859682878034904E-9</v>
      </c>
      <c r="G45" s="172">
        <v>11460.445683612699</v>
      </c>
      <c r="H45" s="172">
        <v>93011.316081699493</v>
      </c>
      <c r="I45" s="172">
        <v>831908.97452807403</v>
      </c>
      <c r="J45" s="172">
        <v>1862084.48980903</v>
      </c>
      <c r="K45" s="172">
        <v>230874.06659565799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8.8889274810078904E-10</v>
      </c>
      <c r="G46" s="172">
        <v>108923.42643273799</v>
      </c>
      <c r="H46" s="172">
        <v>11751.249616306701</v>
      </c>
      <c r="I46" s="172">
        <v>1164684.8986332801</v>
      </c>
      <c r="J46" s="172">
        <v>232925.94723483801</v>
      </c>
      <c r="K46" s="172">
        <v>2124698.6075162599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8.5427003538740098E-10</v>
      </c>
      <c r="G47" s="172">
        <v>108926.210603007</v>
      </c>
      <c r="H47" s="172">
        <v>11751.7768738544</v>
      </c>
      <c r="I47" s="172">
        <v>1164703.7571429</v>
      </c>
      <c r="J47" s="172">
        <v>278420.39692360099</v>
      </c>
      <c r="K47" s="172">
        <v>2542238.8611036101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4.7328730741895803E-9</v>
      </c>
      <c r="G48" s="172">
        <v>11751.659538259401</v>
      </c>
      <c r="H48" s="172">
        <v>95801.562219245607</v>
      </c>
      <c r="I48" s="172">
        <v>857153.79263804702</v>
      </c>
      <c r="J48" s="172">
        <v>1862084.48980903</v>
      </c>
      <c r="K48" s="172">
        <v>230874.06659566099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4.7310734931842002E-9</v>
      </c>
      <c r="G49" s="172">
        <v>11751.7770713186</v>
      </c>
      <c r="H49" s="172">
        <v>95803.510878530302</v>
      </c>
      <c r="I49" s="172">
        <v>857204.94198707398</v>
      </c>
      <c r="J49" s="172">
        <v>2225221.6339617101</v>
      </c>
      <c r="K49" s="172">
        <v>276456.19336936099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1.38642044166601</v>
      </c>
      <c r="N5" s="172">
        <v>1.5080114417650201</v>
      </c>
      <c r="O5" s="172">
        <v>3454954.19835003</v>
      </c>
      <c r="P5" s="172">
        <v>121569.24411067201</v>
      </c>
      <c r="Q5" s="172">
        <v>11798.2259579044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1.5659957741405801</v>
      </c>
      <c r="N6" s="172">
        <v>1.3904035935217001</v>
      </c>
      <c r="O6" s="172">
        <v>3454954.19835003</v>
      </c>
      <c r="P6" s="172">
        <v>112088.217099571</v>
      </c>
      <c r="Q6" s="172">
        <v>12287.0772016216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111453.97161339462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111453.97161339462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3.5521473125916999E-10</v>
      </c>
      <c r="F15" s="172">
        <v>1008.89980558503</v>
      </c>
      <c r="G15" s="172">
        <v>306.08879881004998</v>
      </c>
      <c r="H15" s="172">
        <v>8131.0475218049496</v>
      </c>
      <c r="I15" s="172">
        <v>8.2666729548755705E-10</v>
      </c>
      <c r="J15" s="172">
        <v>8.1345644433462095E-9</v>
      </c>
      <c r="K15" s="166"/>
      <c r="L15" s="166" t="s">
        <v>189</v>
      </c>
      <c r="M15">
        <f>+F15</f>
        <v>1008.89980558503</v>
      </c>
      <c r="N15">
        <f>+G15</f>
        <v>306.08879881004998</v>
      </c>
      <c r="O15" s="18">
        <f t="shared" ref="O15:P19" si="0">+M15*$O$55</f>
        <v>1032.3389005933491</v>
      </c>
      <c r="P15" s="19">
        <f t="shared" si="0"/>
        <v>313.19995533577736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7.8926975186236202E-10</v>
      </c>
      <c r="F16" s="172">
        <v>17193.184990854399</v>
      </c>
      <c r="G16" s="172">
        <v>1918.1031483478801</v>
      </c>
      <c r="H16" s="172">
        <v>179557.77351143301</v>
      </c>
      <c r="I16" s="172">
        <v>918.26639643748899</v>
      </c>
      <c r="J16" s="172">
        <v>3026.69941675366</v>
      </c>
      <c r="K16" s="166"/>
      <c r="L16" s="166" t="s">
        <v>187</v>
      </c>
      <c r="M16" s="13">
        <f>+F16-F15</f>
        <v>16184.285185269369</v>
      </c>
      <c r="N16">
        <f>+G16-G15</f>
        <v>1612.0143495378302</v>
      </c>
      <c r="O16" s="18">
        <f t="shared" si="0"/>
        <v>16560.283868190407</v>
      </c>
      <c r="P16" s="19">
        <f t="shared" si="0"/>
        <v>1649.4652017279357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1.5333804932256101E-9</v>
      </c>
      <c r="F17" s="172">
        <v>35217.472194146998</v>
      </c>
      <c r="G17" s="172">
        <v>3829.7405739425399</v>
      </c>
      <c r="H17" s="172">
        <v>372761.66401801398</v>
      </c>
      <c r="I17" s="172">
        <v>7395.7020480930496</v>
      </c>
      <c r="J17" s="172">
        <v>63072.531972528799</v>
      </c>
      <c r="K17" s="166"/>
      <c r="L17" s="166" t="s">
        <v>185</v>
      </c>
      <c r="M17" s="13">
        <f t="shared" ref="M17:M25" si="1">+F17-F16</f>
        <v>18024.287203292599</v>
      </c>
      <c r="N17" s="13">
        <f t="shared" ref="N17:N25" si="2">+G17-G16</f>
        <v>1911.6374255946598</v>
      </c>
      <c r="O17" s="18">
        <f t="shared" si="0"/>
        <v>18443.033423557976</v>
      </c>
      <c r="P17" s="19">
        <f t="shared" si="0"/>
        <v>1956.0492204943423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1.9929337297740299E-9</v>
      </c>
      <c r="F18" s="172">
        <v>50532.0171183243</v>
      </c>
      <c r="G18" s="172">
        <v>5486.4329891106399</v>
      </c>
      <c r="H18" s="172">
        <v>537411.871037459</v>
      </c>
      <c r="I18" s="172">
        <v>20712.771803336</v>
      </c>
      <c r="J18" s="172">
        <v>185879.88565694599</v>
      </c>
      <c r="K18" s="166"/>
      <c r="L18" s="166" t="s">
        <v>183</v>
      </c>
      <c r="M18" s="13">
        <f t="shared" si="1"/>
        <v>15314.544924177302</v>
      </c>
      <c r="N18" s="13">
        <f t="shared" si="2"/>
        <v>1656.6924151681001</v>
      </c>
      <c r="O18" s="18">
        <f t="shared" si="0"/>
        <v>15670.337512796956</v>
      </c>
      <c r="P18" s="19">
        <f t="shared" si="0"/>
        <v>1695.1812430018706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2.73575401764592E-9</v>
      </c>
      <c r="F19" s="172">
        <v>63579.043621967801</v>
      </c>
      <c r="G19" s="172">
        <v>6913.2965041924299</v>
      </c>
      <c r="H19" s="172">
        <v>678192.76161939302</v>
      </c>
      <c r="I19" s="172">
        <v>39764.062564016203</v>
      </c>
      <c r="J19" s="172">
        <v>361094.06736279599</v>
      </c>
      <c r="K19" s="166"/>
      <c r="L19" s="166" t="s">
        <v>181</v>
      </c>
      <c r="M19" s="13">
        <f t="shared" si="1"/>
        <v>13047.026503643501</v>
      </c>
      <c r="N19" s="13">
        <f t="shared" si="2"/>
        <v>1426.86351508179</v>
      </c>
      <c r="O19" s="18">
        <f t="shared" si="0"/>
        <v>13350.139352017604</v>
      </c>
      <c r="P19" s="19">
        <f t="shared" si="0"/>
        <v>1460.012881657902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2.2065454654015002E-9</v>
      </c>
      <c r="F20" s="172">
        <v>74829.554297059702</v>
      </c>
      <c r="G20" s="172">
        <v>8150.3461139399096</v>
      </c>
      <c r="H20" s="172">
        <v>799889.07068173902</v>
      </c>
      <c r="I20" s="172">
        <v>63644.305010761404</v>
      </c>
      <c r="J20" s="172">
        <v>579961.75231016998</v>
      </c>
      <c r="K20" s="166"/>
      <c r="L20" s="166" t="s">
        <v>179</v>
      </c>
      <c r="M20" s="113">
        <f t="shared" si="1"/>
        <v>11250.5106750919</v>
      </c>
      <c r="N20" s="113">
        <f t="shared" si="2"/>
        <v>1237.0496097474797</v>
      </c>
      <c r="O20" s="18">
        <f t="shared" ref="O20:O25" si="3">+M20*$O$55</f>
        <v>11511.886271702979</v>
      </c>
      <c r="P20" s="19">
        <f t="shared" ref="P20:P25" si="4">+N20*$O$55</f>
        <v>1265.7891566998769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1.8164435078854299E-9</v>
      </c>
      <c r="F21" s="172">
        <v>84611.398596608298</v>
      </c>
      <c r="G21" s="172">
        <v>9220.9012405876892</v>
      </c>
      <c r="H21" s="172">
        <v>905693.30990930903</v>
      </c>
      <c r="I21" s="172">
        <v>91614.719255731805</v>
      </c>
      <c r="J21" s="172">
        <v>835536.48081801203</v>
      </c>
      <c r="K21" s="166"/>
      <c r="L21" s="166" t="s">
        <v>39</v>
      </c>
      <c r="M21" s="113">
        <f t="shared" si="1"/>
        <v>9781.8442995485966</v>
      </c>
      <c r="N21" s="113">
        <f t="shared" si="2"/>
        <v>1070.5551266477796</v>
      </c>
      <c r="O21" s="18">
        <f t="shared" si="3"/>
        <v>10009.099351660292</v>
      </c>
      <c r="P21" s="19">
        <f t="shared" si="4"/>
        <v>1095.4266185305537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2.1088760804913099E-9</v>
      </c>
      <c r="F22" s="172">
        <v>93132.077479981599</v>
      </c>
      <c r="G22" s="172">
        <v>10145.960733972001</v>
      </c>
      <c r="H22" s="172">
        <v>997402.83211435401</v>
      </c>
      <c r="I22" s="172">
        <v>123058.578492678</v>
      </c>
      <c r="J22" s="172">
        <v>1122276.57156371</v>
      </c>
      <c r="K22" s="166"/>
      <c r="L22" s="166" t="s">
        <v>26</v>
      </c>
      <c r="M22" s="113">
        <f t="shared" si="1"/>
        <v>8520.6788833733008</v>
      </c>
      <c r="N22" s="113">
        <f t="shared" si="2"/>
        <v>925.05949338431128</v>
      </c>
      <c r="O22" s="18">
        <f t="shared" si="3"/>
        <v>8718.6341221167113</v>
      </c>
      <c r="P22" s="19">
        <f t="shared" si="4"/>
        <v>946.55078244369361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1.3673380097966701E-9</v>
      </c>
      <c r="F23" s="172">
        <v>100321.793319348</v>
      </c>
      <c r="G23" s="172">
        <v>10906.5700228438</v>
      </c>
      <c r="H23" s="172">
        <v>1074236.5124114</v>
      </c>
      <c r="I23" s="172">
        <v>157454.6972049</v>
      </c>
      <c r="J23" s="172">
        <v>1435643.12822152</v>
      </c>
      <c r="K23" s="166"/>
      <c r="L23" s="166" t="s">
        <v>25</v>
      </c>
      <c r="M23" s="113">
        <f t="shared" si="1"/>
        <v>7189.7158393663995</v>
      </c>
      <c r="N23" s="113">
        <f t="shared" si="2"/>
        <v>760.60928887179944</v>
      </c>
      <c r="O23" s="18">
        <f t="shared" si="3"/>
        <v>7356.7497030948261</v>
      </c>
      <c r="P23" s="19">
        <f t="shared" si="4"/>
        <v>778.28001621993121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8.9876951688979399E-10</v>
      </c>
      <c r="F24" s="172">
        <v>105826.524590217</v>
      </c>
      <c r="G24" s="172">
        <v>11464.2060615341</v>
      </c>
      <c r="H24" s="172">
        <v>1132502.87338016</v>
      </c>
      <c r="I24" s="172">
        <v>194272.43455190101</v>
      </c>
      <c r="J24" s="172">
        <v>1771358.49501722</v>
      </c>
      <c r="K24" s="166"/>
      <c r="L24" s="166" t="s">
        <v>24</v>
      </c>
      <c r="M24" s="113">
        <f t="shared" si="1"/>
        <v>5504.7312708690006</v>
      </c>
      <c r="N24" s="113">
        <f t="shared" si="2"/>
        <v>557.63603869029976</v>
      </c>
      <c r="O24" s="18">
        <f t="shared" si="3"/>
        <v>5632.6190140709587</v>
      </c>
      <c r="P24" s="19">
        <f t="shared" si="4"/>
        <v>570.59122414932108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8.8889274810078904E-10</v>
      </c>
      <c r="F25" s="172">
        <v>108923.42643273799</v>
      </c>
      <c r="G25" s="172">
        <v>11751.249616306701</v>
      </c>
      <c r="H25" s="172">
        <v>1164684.8986332801</v>
      </c>
      <c r="I25" s="172">
        <v>232925.94723483801</v>
      </c>
      <c r="J25" s="172">
        <v>2124698.6075162599</v>
      </c>
      <c r="K25" s="166"/>
      <c r="L25" s="166" t="s">
        <v>22</v>
      </c>
      <c r="M25" s="113">
        <f t="shared" si="1"/>
        <v>3096.9018425209943</v>
      </c>
      <c r="N25" s="113">
        <f t="shared" si="2"/>
        <v>287.04355477260106</v>
      </c>
      <c r="O25" s="30">
        <f t="shared" si="3"/>
        <v>3168.8500935925626</v>
      </c>
      <c r="P25" s="24">
        <f t="shared" si="4"/>
        <v>293.71224587016678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1.3423078825333099E-10</v>
      </c>
      <c r="F34" s="172">
        <v>260.76629385764801</v>
      </c>
      <c r="G34" s="172">
        <v>776.81350642780501</v>
      </c>
      <c r="H34" s="172">
        <v>16633.520301912198</v>
      </c>
      <c r="I34" s="172">
        <v>9.6214141011761102E-11</v>
      </c>
      <c r="J34" s="172">
        <v>2.11969284827431E-9</v>
      </c>
      <c r="L34" s="113" t="s">
        <v>189</v>
      </c>
      <c r="M34" s="13">
        <f>+F34</f>
        <v>260.76629385764801</v>
      </c>
      <c r="N34" s="13">
        <f>+G34</f>
        <v>776.81350642780501</v>
      </c>
      <c r="O34" s="18">
        <f>+M34*$O$56</f>
        <v>303.37124405996224</v>
      </c>
      <c r="P34" s="19">
        <f>+N34*$O$56</f>
        <v>903.73213639425637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5.5240309641769804E-10</v>
      </c>
      <c r="F35" s="172">
        <v>1752.7941256557399</v>
      </c>
      <c r="G35" s="172">
        <v>15759.995266670099</v>
      </c>
      <c r="H35" s="172">
        <v>146563.96857958601</v>
      </c>
      <c r="I35" s="172">
        <v>2330.4405192925101</v>
      </c>
      <c r="J35" s="172">
        <v>782.29888157509902</v>
      </c>
      <c r="L35" s="113" t="s">
        <v>187</v>
      </c>
      <c r="M35" s="13">
        <f>+F35-F34</f>
        <v>1492.0278317980919</v>
      </c>
      <c r="N35" s="13">
        <f>+G35-G34</f>
        <v>14983.181760242294</v>
      </c>
      <c r="O35" s="18">
        <f t="shared" ref="O35:P44" si="5">+M35*$O$56</f>
        <v>1735.8007923822011</v>
      </c>
      <c r="P35" s="19">
        <f t="shared" si="5"/>
        <v>17431.188760394794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9.826183436055129E-10</v>
      </c>
      <c r="F36" s="172">
        <v>3690.1340149488901</v>
      </c>
      <c r="G36" s="172">
        <v>31950.529936499999</v>
      </c>
      <c r="H36" s="172">
        <v>288200.39377489901</v>
      </c>
      <c r="I36" s="172">
        <v>57441.601665403701</v>
      </c>
      <c r="J36" s="172">
        <v>6371.9591898067101</v>
      </c>
      <c r="L36" s="113" t="s">
        <v>185</v>
      </c>
      <c r="M36" s="13">
        <f t="shared" ref="M36:M44" si="6">+F36-F35</f>
        <v>1937.3398892931502</v>
      </c>
      <c r="N36" s="13">
        <f t="shared" ref="N36:N44" si="7">+G36-G35</f>
        <v>16190.5346698299</v>
      </c>
      <c r="O36" s="18">
        <f t="shared" si="5"/>
        <v>2253.8695614652383</v>
      </c>
      <c r="P36" s="19">
        <f t="shared" si="5"/>
        <v>18835.803401276858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1.8830883146407699E-9</v>
      </c>
      <c r="F37" s="172">
        <v>5377.1072333131597</v>
      </c>
      <c r="G37" s="172">
        <v>45336.969519346101</v>
      </c>
      <c r="H37" s="172">
        <v>406607.13396476599</v>
      </c>
      <c r="I37" s="172">
        <v>168791.13991717601</v>
      </c>
      <c r="J37" s="172">
        <v>19182.745349738001</v>
      </c>
      <c r="L37" s="113" t="s">
        <v>183</v>
      </c>
      <c r="M37" s="13">
        <f t="shared" si="6"/>
        <v>1686.9732183642695</v>
      </c>
      <c r="N37" s="13">
        <f t="shared" si="7"/>
        <v>13386.439582846102</v>
      </c>
      <c r="O37" s="18">
        <f t="shared" si="5"/>
        <v>1962.5970687392075</v>
      </c>
      <c r="P37" s="19">
        <f t="shared" si="5"/>
        <v>15573.565009895307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2.9558733909492101E-9</v>
      </c>
      <c r="F38" s="172">
        <v>6833.2615057619096</v>
      </c>
      <c r="G38" s="172">
        <v>56493.276108451202</v>
      </c>
      <c r="H38" s="172">
        <v>505759.28037713299</v>
      </c>
      <c r="I38" s="172">
        <v>325660.99022728601</v>
      </c>
      <c r="J38" s="172">
        <v>37887.6363178397</v>
      </c>
      <c r="L38" s="113" t="s">
        <v>181</v>
      </c>
      <c r="M38" s="13">
        <f t="shared" si="6"/>
        <v>1456.1542724487499</v>
      </c>
      <c r="N38" s="13">
        <f t="shared" si="7"/>
        <v>11156.306589105101</v>
      </c>
      <c r="O38" s="18">
        <f t="shared" si="5"/>
        <v>1694.0660797869841</v>
      </c>
      <c r="P38" s="19">
        <f t="shared" si="5"/>
        <v>12979.064736406326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4.0485848134232003E-9</v>
      </c>
      <c r="F39" s="172">
        <v>8097.3655141709296</v>
      </c>
      <c r="G39" s="172">
        <v>65998.614753449903</v>
      </c>
      <c r="H39" s="172">
        <v>590451.89498524205</v>
      </c>
      <c r="I39" s="172">
        <v>519369.61607999401</v>
      </c>
      <c r="J39" s="172">
        <v>61547.014367858697</v>
      </c>
      <c r="L39" s="113" t="s">
        <v>179</v>
      </c>
      <c r="M39" s="113">
        <f t="shared" si="6"/>
        <v>1264.10400840902</v>
      </c>
      <c r="N39" s="113">
        <f t="shared" si="7"/>
        <v>9505.3386449987011</v>
      </c>
      <c r="O39" s="18">
        <f t="shared" si="5"/>
        <v>1470.6379416565917</v>
      </c>
      <c r="P39" s="19">
        <f t="shared" si="5"/>
        <v>11058.355615234041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4.4875740666789796E-9</v>
      </c>
      <c r="F40" s="172">
        <v>9192.3921423460197</v>
      </c>
      <c r="G40" s="172">
        <v>74302.714621639097</v>
      </c>
      <c r="H40" s="172">
        <v>664530.34917539603</v>
      </c>
      <c r="I40" s="172">
        <v>743398.65912412398</v>
      </c>
      <c r="J40" s="172">
        <v>89403.332525901395</v>
      </c>
      <c r="L40" s="13" t="s">
        <v>39</v>
      </c>
      <c r="M40" s="113">
        <f t="shared" si="6"/>
        <v>1095.0266281750901</v>
      </c>
      <c r="N40" s="113">
        <f t="shared" si="7"/>
        <v>8304.0998681891942</v>
      </c>
      <c r="O40" s="18">
        <f t="shared" si="5"/>
        <v>1273.9360810550543</v>
      </c>
      <c r="P40" s="19">
        <f t="shared" si="5"/>
        <v>9660.8540564907762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4.5973871607392403E-9</v>
      </c>
      <c r="F41" s="172">
        <v>10130.2759111918</v>
      </c>
      <c r="G41" s="172">
        <v>81670.332792272297</v>
      </c>
      <c r="H41" s="172">
        <v>730509.75174828898</v>
      </c>
      <c r="I41" s="172">
        <v>993010.48579836194</v>
      </c>
      <c r="J41" s="172">
        <v>120824.199377984</v>
      </c>
      <c r="L41" s="13" t="s">
        <v>26</v>
      </c>
      <c r="M41" s="113">
        <f t="shared" si="6"/>
        <v>937.88376884578065</v>
      </c>
      <c r="N41" s="113">
        <f t="shared" si="7"/>
        <v>7367.618170633199</v>
      </c>
      <c r="O41" s="18">
        <f t="shared" si="5"/>
        <v>1091.1186470047139</v>
      </c>
      <c r="P41" s="19">
        <f t="shared" si="5"/>
        <v>8571.366556307803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4.7318908765614996E-9</v>
      </c>
      <c r="F42" s="172">
        <v>10898.183741296099</v>
      </c>
      <c r="G42" s="172">
        <v>88033.621723461998</v>
      </c>
      <c r="H42" s="172">
        <v>787357.04944773403</v>
      </c>
      <c r="I42" s="172">
        <v>1264749.5258895999</v>
      </c>
      <c r="J42" s="172">
        <v>155255.000770276</v>
      </c>
      <c r="L42" s="13" t="s">
        <v>25</v>
      </c>
      <c r="M42" s="113">
        <f t="shared" si="6"/>
        <v>767.90783010429914</v>
      </c>
      <c r="N42" s="113">
        <f t="shared" si="7"/>
        <v>6363.2889311897015</v>
      </c>
      <c r="O42" s="18">
        <f t="shared" si="5"/>
        <v>893.3714181223919</v>
      </c>
      <c r="P42" s="19">
        <f t="shared" si="5"/>
        <v>7402.9463348581066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4.6472071626984698E-9</v>
      </c>
      <c r="F43" s="172">
        <v>11460.0901254154</v>
      </c>
      <c r="G43" s="172">
        <v>93005.877545330004</v>
      </c>
      <c r="H43" s="172">
        <v>831767.05600059906</v>
      </c>
      <c r="I43" s="172">
        <v>1555589.45634792</v>
      </c>
      <c r="J43" s="172">
        <v>192140.80007203101</v>
      </c>
      <c r="L43" s="13" t="s">
        <v>24</v>
      </c>
      <c r="M43" s="113">
        <f t="shared" si="6"/>
        <v>561.90638411930013</v>
      </c>
      <c r="N43" s="113">
        <f t="shared" si="7"/>
        <v>4972.255821868006</v>
      </c>
      <c r="O43" s="18">
        <f t="shared" si="5"/>
        <v>653.71270294835119</v>
      </c>
      <c r="P43" s="19">
        <f t="shared" si="5"/>
        <v>5784.6411518504856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4.7328730741895803E-9</v>
      </c>
      <c r="F44" s="172">
        <v>11751.659538259401</v>
      </c>
      <c r="G44" s="172">
        <v>95801.562219245607</v>
      </c>
      <c r="H44" s="172">
        <v>857153.79263804702</v>
      </c>
      <c r="I44" s="172">
        <v>1862084.48980903</v>
      </c>
      <c r="J44" s="172">
        <v>230874.06659566099</v>
      </c>
      <c r="L44" s="13" t="s">
        <v>22</v>
      </c>
      <c r="M44" s="113">
        <f t="shared" si="6"/>
        <v>291.56941284400091</v>
      </c>
      <c r="N44" s="113">
        <f t="shared" si="7"/>
        <v>2795.6846739156026</v>
      </c>
      <c r="O44" s="30">
        <f t="shared" si="5"/>
        <v>339.20708921301042</v>
      </c>
      <c r="P44" s="24">
        <f t="shared" si="5"/>
        <v>3252.4538542858595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109412.31969960481</v>
      </c>
      <c r="O51" s="14" t="str">
        <f>+K10</f>
        <v>USAR TA</v>
      </c>
      <c r="P51" s="107">
        <f>+IF(O51="USAR TA",(I10),N51)</f>
        <v>111453.97161339462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100879.3953896139</v>
      </c>
      <c r="O52" s="14" t="str">
        <f>+K11</f>
        <v>USAR TA</v>
      </c>
      <c r="P52" s="107">
        <f>+IF(O52="USAR TB",(N52),I11)</f>
        <v>111453.97161339462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108923.42643273799</v>
      </c>
      <c r="N55" s="16" t="str">
        <f>+IF(M55&lt;P51,"ESCALAR",N51)</f>
        <v>ESCALAR</v>
      </c>
      <c r="O55" s="14">
        <f>+IF(N55="ESCALAR",(P51/M55))</f>
        <v>1.0232323317722591</v>
      </c>
      <c r="P55" s="19">
        <f>+M55*O55</f>
        <v>111453.97161339462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95801.562219245607</v>
      </c>
      <c r="N56" s="112" t="str">
        <f>+IF(M56&lt;P52,"ESCALAR",M56)</f>
        <v>ESCALAR</v>
      </c>
      <c r="O56" s="23">
        <f>+IF(N56="ESCALAR",(P52/M56))</f>
        <v>1.1633836550423662</v>
      </c>
      <c r="P56" s="24">
        <f>+M56*O56</f>
        <v>111453.97161339461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1.5659957741405801</v>
      </c>
      <c r="E62" s="172">
        <v>7.1496066339306902E-3</v>
      </c>
      <c r="F62" s="172">
        <v>0.788915863225225</v>
      </c>
      <c r="G62" s="172">
        <v>0</v>
      </c>
      <c r="H62" s="172">
        <v>7.1496066339306902E-3</v>
      </c>
      <c r="I62" s="172">
        <v>0.788915863225225</v>
      </c>
      <c r="J62" s="172">
        <v>0</v>
      </c>
      <c r="K62" s="172">
        <v>0.180779850121872</v>
      </c>
      <c r="L62" s="172">
        <v>1.5807765025092799E-3</v>
      </c>
      <c r="M62" s="172">
        <v>2.35427887317314E-2</v>
      </c>
      <c r="N62" s="172">
        <v>0.180779850121872</v>
      </c>
      <c r="O62" s="172">
        <v>1.5807765025092799E-3</v>
      </c>
      <c r="P62" s="172">
        <v>2.35427887317314E-2</v>
      </c>
    </row>
    <row r="63" spans="2:16" x14ac:dyDescent="0.3">
      <c r="B63" s="172" t="s">
        <v>238</v>
      </c>
      <c r="C63" s="172">
        <v>2</v>
      </c>
      <c r="D63" s="172">
        <v>1.38642044166601</v>
      </c>
      <c r="E63" s="172">
        <v>0.80134687077984001</v>
      </c>
      <c r="F63" s="172">
        <v>1.0791912201562301E-2</v>
      </c>
      <c r="G63" s="172">
        <v>0</v>
      </c>
      <c r="H63" s="172">
        <v>0.80849647741376995</v>
      </c>
      <c r="I63" s="172">
        <v>0.79970777542678695</v>
      </c>
      <c r="J63" s="172">
        <v>0</v>
      </c>
      <c r="K63" s="172">
        <v>2.5854216857341501E-3</v>
      </c>
      <c r="L63" s="172">
        <v>0.177324912791681</v>
      </c>
      <c r="M63" s="172">
        <v>1.2498671924212199E-2</v>
      </c>
      <c r="N63" s="172">
        <v>0.18336527180760601</v>
      </c>
      <c r="O63" s="172">
        <v>0.17890568929419001</v>
      </c>
      <c r="P63" s="172">
        <v>3.6041460655943602E-2</v>
      </c>
    </row>
    <row r="64" spans="2:16" x14ac:dyDescent="0.3">
      <c r="B64" s="172" t="s">
        <v>238</v>
      </c>
      <c r="C64" s="172">
        <v>3</v>
      </c>
      <c r="D64" s="172">
        <v>1.1824455095789901</v>
      </c>
      <c r="E64" s="172">
        <v>1.551196382771E-2</v>
      </c>
      <c r="F64" s="172">
        <v>1.75278176915937E-2</v>
      </c>
      <c r="G64" s="172">
        <v>0</v>
      </c>
      <c r="H64" s="172">
        <v>0.82400844124147998</v>
      </c>
      <c r="I64" s="172">
        <v>0.81723559311838101</v>
      </c>
      <c r="J64" s="172">
        <v>0</v>
      </c>
      <c r="K64" s="172">
        <v>8.0288792625884207E-3</v>
      </c>
      <c r="L64" s="172">
        <v>5.02603380698473E-3</v>
      </c>
      <c r="M64" s="172">
        <v>0.79226215634318697</v>
      </c>
      <c r="N64" s="172">
        <v>0.191394151070195</v>
      </c>
      <c r="O64" s="172">
        <v>0.183931723101175</v>
      </c>
      <c r="P64" s="172">
        <v>0.82830361699913002</v>
      </c>
    </row>
    <row r="65" spans="2:16" x14ac:dyDescent="0.3">
      <c r="B65" s="172" t="s">
        <v>238</v>
      </c>
      <c r="C65" s="172">
        <v>4</v>
      </c>
      <c r="D65" s="172">
        <v>0.50785553926798799</v>
      </c>
      <c r="E65" s="172">
        <v>7.82922219280385E-4</v>
      </c>
      <c r="F65" s="172">
        <v>0.10129199453163</v>
      </c>
      <c r="G65" s="172">
        <v>0</v>
      </c>
      <c r="H65" s="172">
        <v>0.82479136346076098</v>
      </c>
      <c r="I65" s="172">
        <v>0.91852758765001097</v>
      </c>
      <c r="J65" s="172">
        <v>0</v>
      </c>
      <c r="K65" s="172">
        <v>0.56697760619336002</v>
      </c>
      <c r="L65" s="172">
        <v>3.81051940972536E-3</v>
      </c>
      <c r="M65" s="172">
        <v>1.7514414982603801E-3</v>
      </c>
      <c r="N65" s="172">
        <v>0.75837175726355499</v>
      </c>
      <c r="O65" s="172">
        <v>0.18774224251089999</v>
      </c>
      <c r="P65" s="172">
        <v>0.83005505849739103</v>
      </c>
    </row>
    <row r="66" spans="2:16" x14ac:dyDescent="0.3">
      <c r="B66" s="172" t="s">
        <v>238</v>
      </c>
      <c r="C66" s="172">
        <v>5</v>
      </c>
      <c r="D66" s="172">
        <v>0.45500673403569097</v>
      </c>
      <c r="E66" s="172">
        <v>0.10178239243216999</v>
      </c>
      <c r="F66" s="172">
        <v>1.03260953745298E-3</v>
      </c>
      <c r="G66" s="172">
        <v>0</v>
      </c>
      <c r="H66" s="172">
        <v>0.92657375589293101</v>
      </c>
      <c r="I66" s="172">
        <v>0.91956019718746396</v>
      </c>
      <c r="J66" s="172">
        <v>0</v>
      </c>
      <c r="K66" s="172">
        <v>6.2858372643877398E-3</v>
      </c>
      <c r="L66" s="172">
        <v>0.59404869644067704</v>
      </c>
      <c r="M66" s="172">
        <v>9.3395529673604002E-4</v>
      </c>
      <c r="N66" s="172">
        <v>0.76465759452794302</v>
      </c>
      <c r="O66" s="172">
        <v>0.78179093895157703</v>
      </c>
      <c r="P66" s="172">
        <v>0.83098901379412704</v>
      </c>
    </row>
    <row r="67" spans="2:16" x14ac:dyDescent="0.3">
      <c r="B67" s="172" t="s">
        <v>238</v>
      </c>
      <c r="C67" s="172">
        <v>6</v>
      </c>
      <c r="D67" s="172">
        <v>0.389969431967916</v>
      </c>
      <c r="E67" s="172">
        <v>1.6681073057201101E-3</v>
      </c>
      <c r="F67" s="172">
        <v>3.2238133441638002E-3</v>
      </c>
      <c r="G67" s="172">
        <v>0</v>
      </c>
      <c r="H67" s="172">
        <v>0.92824186319865098</v>
      </c>
      <c r="I67" s="172">
        <v>0.92278401053162795</v>
      </c>
      <c r="J67" s="172">
        <v>0</v>
      </c>
      <c r="K67" s="172">
        <v>1.5729915360184601E-2</v>
      </c>
      <c r="L67" s="172">
        <v>8.8800982141291097E-3</v>
      </c>
      <c r="M67" s="172">
        <v>0.100543168089297</v>
      </c>
      <c r="N67" s="172">
        <v>0.78038750988812799</v>
      </c>
      <c r="O67" s="172">
        <v>0.79067103716570597</v>
      </c>
      <c r="P67" s="172">
        <v>0.93153218188342402</v>
      </c>
    </row>
    <row r="68" spans="2:16" x14ac:dyDescent="0.3">
      <c r="B68" s="172" t="s">
        <v>238</v>
      </c>
      <c r="C68" s="172">
        <v>7</v>
      </c>
      <c r="D68" s="172">
        <v>0.28807936958944103</v>
      </c>
      <c r="E68" s="172">
        <v>2.0835948453197601E-4</v>
      </c>
      <c r="F68" s="172">
        <v>3.4291561883823103E-2</v>
      </c>
      <c r="G68" s="172">
        <v>0</v>
      </c>
      <c r="H68" s="172">
        <v>0.928450222683183</v>
      </c>
      <c r="I68" s="172">
        <v>0.95707557241545105</v>
      </c>
      <c r="J68" s="172">
        <v>0</v>
      </c>
      <c r="K68" s="172">
        <v>6.8099860406055396E-2</v>
      </c>
      <c r="L68" s="172">
        <v>4.6297327293278199E-4</v>
      </c>
      <c r="M68" s="172">
        <v>1.1103234561261101E-3</v>
      </c>
      <c r="N68" s="172">
        <v>0.84848737029418297</v>
      </c>
      <c r="O68" s="172">
        <v>0.79113401043863896</v>
      </c>
      <c r="P68" s="172">
        <v>0.93264250533954995</v>
      </c>
    </row>
    <row r="69" spans="2:16" x14ac:dyDescent="0.3">
      <c r="B69" s="172" t="s">
        <v>238</v>
      </c>
      <c r="C69" s="172">
        <v>8</v>
      </c>
      <c r="D69" s="172">
        <v>0.26087502912885202</v>
      </c>
      <c r="E69" s="172">
        <v>3.3472359218717301E-2</v>
      </c>
      <c r="F69" s="172">
        <v>2.9629392112209E-4</v>
      </c>
      <c r="G69" s="172">
        <v>0</v>
      </c>
      <c r="H69" s="172">
        <v>0.96192258190190005</v>
      </c>
      <c r="I69" s="172">
        <v>0.95737186633657301</v>
      </c>
      <c r="J69" s="172">
        <v>0</v>
      </c>
      <c r="K69" s="172">
        <v>5.4407872015061495E-4</v>
      </c>
      <c r="L69" s="172">
        <v>6.6987985602618802E-2</v>
      </c>
      <c r="M69" s="172">
        <v>3.4230371122217498E-4</v>
      </c>
      <c r="N69" s="172">
        <v>0.84903144901433403</v>
      </c>
      <c r="O69" s="172">
        <v>0.85812199604125805</v>
      </c>
      <c r="P69" s="172">
        <v>0.93298480905077197</v>
      </c>
    </row>
    <row r="70" spans="2:16" x14ac:dyDescent="0.3">
      <c r="B70" s="172" t="s">
        <v>238</v>
      </c>
      <c r="C70" s="172">
        <v>9</v>
      </c>
      <c r="D70" s="172">
        <v>0.224834655125876</v>
      </c>
      <c r="E70" s="172">
        <v>4.1217982245863401E-4</v>
      </c>
      <c r="F70" s="172">
        <v>1.1166706649512899E-3</v>
      </c>
      <c r="G70" s="172">
        <v>0</v>
      </c>
      <c r="H70" s="172">
        <v>0.96233476172435894</v>
      </c>
      <c r="I70" s="172">
        <v>0.95848853700152403</v>
      </c>
      <c r="J70" s="172">
        <v>0</v>
      </c>
      <c r="K70" s="172">
        <v>2.0727497805763501E-3</v>
      </c>
      <c r="L70" s="172">
        <v>7.5209837105186001E-4</v>
      </c>
      <c r="M70" s="172">
        <v>3.2039259532694299E-2</v>
      </c>
      <c r="N70" s="172">
        <v>0.85110419879490995</v>
      </c>
      <c r="O70" s="172">
        <v>0.858874094412309</v>
      </c>
      <c r="P70" s="172">
        <v>0.96502406858346701</v>
      </c>
    </row>
    <row r="71" spans="2:16" x14ac:dyDescent="0.3">
      <c r="B71" s="172" t="s">
        <v>238</v>
      </c>
      <c r="C71" s="172">
        <v>10</v>
      </c>
      <c r="D71" s="172">
        <v>0.19585026545536999</v>
      </c>
      <c r="E71" s="172">
        <v>6.9780629769336194E-5</v>
      </c>
      <c r="F71" s="172">
        <v>1.76159479648407E-2</v>
      </c>
      <c r="G71" s="172">
        <v>0</v>
      </c>
      <c r="H71" s="172">
        <v>0.96240454235412798</v>
      </c>
      <c r="I71" s="172">
        <v>0.97610448496636504</v>
      </c>
      <c r="J71" s="172">
        <v>0</v>
      </c>
      <c r="K71" s="172">
        <v>7.3760406872022399E-2</v>
      </c>
      <c r="L71" s="172">
        <v>2.51216690918838E-4</v>
      </c>
      <c r="M71" s="172">
        <v>4.3820128227952499E-4</v>
      </c>
      <c r="N71" s="172">
        <v>0.92486460566693196</v>
      </c>
      <c r="O71" s="172">
        <v>0.85912531110322798</v>
      </c>
      <c r="P71" s="172">
        <v>0.96546226986574601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1032.33890097527</v>
      </c>
      <c r="E6" s="172">
        <v>7.4929575353311695E-4</v>
      </c>
      <c r="F6" s="172">
        <v>1377745.5645618299</v>
      </c>
      <c r="G6" s="172">
        <v>313.19995531073403</v>
      </c>
      <c r="H6" s="172">
        <v>1.3073073416518699E-4</v>
      </c>
      <c r="I6" s="172">
        <v>2395763.7606087802</v>
      </c>
    </row>
    <row r="7" spans="2:9" hidden="1" x14ac:dyDescent="0.3">
      <c r="B7" s="172" t="s">
        <v>187</v>
      </c>
      <c r="C7" s="172" t="s">
        <v>79</v>
      </c>
      <c r="D7" s="172">
        <v>17592.6227673709</v>
      </c>
      <c r="E7" s="172">
        <v>1.0155861890032601E-3</v>
      </c>
      <c r="F7" s="172">
        <v>17322628.9977782</v>
      </c>
      <c r="G7" s="172">
        <v>1962.66515697405</v>
      </c>
      <c r="H7" s="172">
        <v>1.72194281693412E-4</v>
      </c>
      <c r="I7" s="172">
        <v>11397969.419614799</v>
      </c>
    </row>
    <row r="8" spans="2:9" hidden="1" x14ac:dyDescent="0.3">
      <c r="B8" s="172" t="s">
        <v>185</v>
      </c>
      <c r="C8" s="172" t="s">
        <v>79</v>
      </c>
      <c r="D8" s="172">
        <v>36035.656185890301</v>
      </c>
      <c r="E8" s="172">
        <v>1.49872917528969E-3</v>
      </c>
      <c r="F8" s="172">
        <v>24044141.383265499</v>
      </c>
      <c r="G8" s="172">
        <v>3918.7143765273599</v>
      </c>
      <c r="H8" s="172">
        <v>2.3363433828950701E-4</v>
      </c>
      <c r="I8" s="172">
        <v>16772852.848674599</v>
      </c>
    </row>
    <row r="9" spans="2:9" hidden="1" x14ac:dyDescent="0.3">
      <c r="B9" s="172" t="s">
        <v>183</v>
      </c>
      <c r="C9" s="172" t="s">
        <v>79</v>
      </c>
      <c r="D9" s="172">
        <v>51705.993692971402</v>
      </c>
      <c r="E9" s="172">
        <v>1.92452826774561E-3</v>
      </c>
      <c r="F9" s="172">
        <v>26866840.336691801</v>
      </c>
      <c r="G9" s="172">
        <v>5613.8956191542902</v>
      </c>
      <c r="H9" s="172">
        <v>2.97903466271265E-4</v>
      </c>
      <c r="I9" s="172">
        <v>18844680.424236398</v>
      </c>
    </row>
    <row r="10" spans="2:9" hidden="1" x14ac:dyDescent="0.3">
      <c r="B10" s="172" t="s">
        <v>181</v>
      </c>
      <c r="C10" s="172" t="s">
        <v>79</v>
      </c>
      <c r="D10" s="172">
        <v>65056.133040886903</v>
      </c>
      <c r="E10" s="172">
        <v>2.2917303630617899E-3</v>
      </c>
      <c r="F10" s="172">
        <v>28387341.761257902</v>
      </c>
      <c r="G10" s="172">
        <v>7073.9085008663696</v>
      </c>
      <c r="H10" s="172">
        <v>3.5376191022972299E-4</v>
      </c>
      <c r="I10" s="172">
        <v>19996241.2467549</v>
      </c>
    </row>
    <row r="11" spans="2:9" hidden="1" x14ac:dyDescent="0.3">
      <c r="B11" s="172" t="s">
        <v>179</v>
      </c>
      <c r="C11" s="172" t="s">
        <v>79</v>
      </c>
      <c r="D11" s="172">
        <v>76568.019309994197</v>
      </c>
      <c r="E11" s="172">
        <v>2.6375139753547099E-3</v>
      </c>
      <c r="F11" s="172">
        <v>29030374.824723698</v>
      </c>
      <c r="G11" s="172">
        <v>8339.6976574853106</v>
      </c>
      <c r="H11" s="172">
        <v>3.9314272014432798E-4</v>
      </c>
      <c r="I11" s="172">
        <v>21212901.142932702</v>
      </c>
    </row>
    <row r="12" spans="2:9" hidden="1" x14ac:dyDescent="0.3">
      <c r="B12" s="172" t="s">
        <v>39</v>
      </c>
      <c r="C12" s="172" t="s">
        <v>79</v>
      </c>
      <c r="D12" s="172">
        <v>86577.118658614403</v>
      </c>
      <c r="E12" s="172">
        <v>2.8994912355302699E-3</v>
      </c>
      <c r="F12" s="172">
        <v>29859417.2652434</v>
      </c>
      <c r="G12" s="172">
        <v>9435.1242762298498</v>
      </c>
      <c r="H12" s="172">
        <v>4.2585914455457101E-4</v>
      </c>
      <c r="I12" s="172">
        <v>22155504.694160201</v>
      </c>
    </row>
    <row r="13" spans="2:9" hidden="1" x14ac:dyDescent="0.3">
      <c r="B13" s="172" t="s">
        <v>26</v>
      </c>
      <c r="C13" s="172" t="s">
        <v>79</v>
      </c>
      <c r="D13" s="172">
        <v>95295.752779052098</v>
      </c>
      <c r="E13" s="172">
        <v>3.1036624071016199E-3</v>
      </c>
      <c r="F13" s="172">
        <v>30704290.698950302</v>
      </c>
      <c r="G13" s="172">
        <v>10381.6750584729</v>
      </c>
      <c r="H13" s="172">
        <v>4.5697883281792598E-4</v>
      </c>
      <c r="I13" s="172">
        <v>22718065.505255599</v>
      </c>
    </row>
    <row r="14" spans="2:9" hidden="1" x14ac:dyDescent="0.3">
      <c r="B14" s="172" t="s">
        <v>25</v>
      </c>
      <c r="C14" s="172" t="s">
        <v>79</v>
      </c>
      <c r="D14" s="172">
        <v>102652.502480646</v>
      </c>
      <c r="E14" s="172">
        <v>3.2673913424178698E-3</v>
      </c>
      <c r="F14" s="172">
        <v>31417265.862216201</v>
      </c>
      <c r="G14" s="172">
        <v>11159.955074481701</v>
      </c>
      <c r="H14" s="172">
        <v>4.69058981067215E-4</v>
      </c>
      <c r="I14" s="172">
        <v>23792221.2875879</v>
      </c>
    </row>
    <row r="15" spans="2:9" hidden="1" x14ac:dyDescent="0.3">
      <c r="B15" s="172" t="s">
        <v>24</v>
      </c>
      <c r="C15" s="172" t="s">
        <v>79</v>
      </c>
      <c r="D15" s="172">
        <v>108285.121494324</v>
      </c>
      <c r="E15" s="172">
        <v>3.1844622184140801E-3</v>
      </c>
      <c r="F15" s="172">
        <v>34004209.837431103</v>
      </c>
      <c r="G15" s="172">
        <v>11730.5462985043</v>
      </c>
      <c r="H15" s="172">
        <v>4.60349643231086E-4</v>
      </c>
      <c r="I15" s="172">
        <v>25481819.028185502</v>
      </c>
    </row>
    <row r="16" spans="2:9" hidden="1" x14ac:dyDescent="0.3">
      <c r="B16" s="172" t="s">
        <v>22</v>
      </c>
      <c r="C16" s="172" t="s">
        <v>79</v>
      </c>
      <c r="D16" s="172">
        <v>111453.971587894</v>
      </c>
      <c r="E16" s="172">
        <v>2.89599168700461E-3</v>
      </c>
      <c r="F16" s="172">
        <v>38485597.900031596</v>
      </c>
      <c r="G16" s="172">
        <v>12024.258544357001</v>
      </c>
      <c r="H16" s="172">
        <v>3.5463492920974798E-4</v>
      </c>
      <c r="I16" s="172">
        <v>33906018.708172001</v>
      </c>
    </row>
    <row r="17" spans="2:9" hidden="1" x14ac:dyDescent="0.3">
      <c r="B17" s="172" t="s">
        <v>189</v>
      </c>
      <c r="C17" s="172" t="s">
        <v>80</v>
      </c>
      <c r="D17" s="172">
        <v>1032.3389009751299</v>
      </c>
      <c r="E17" s="172">
        <v>7.9559071923131198E-4</v>
      </c>
      <c r="F17" s="172">
        <v>1297575.3437302001</v>
      </c>
      <c r="G17" s="172">
        <v>313.19995530393197</v>
      </c>
      <c r="H17" s="172">
        <v>2.5501603101665799E-4</v>
      </c>
      <c r="I17" s="172">
        <v>1228157.90856487</v>
      </c>
    </row>
    <row r="18" spans="2:9" hidden="1" x14ac:dyDescent="0.3">
      <c r="B18" s="172" t="s">
        <v>187</v>
      </c>
      <c r="C18" s="172" t="s">
        <v>80</v>
      </c>
      <c r="D18" s="172">
        <v>17592.622767390501</v>
      </c>
      <c r="E18" s="172">
        <v>1.0198541501898601E-3</v>
      </c>
      <c r="F18" s="172">
        <v>17250135.9769095</v>
      </c>
      <c r="G18" s="172">
        <v>1962.6651569354501</v>
      </c>
      <c r="H18" s="172">
        <v>2.2612242337263099E-4</v>
      </c>
      <c r="I18" s="172">
        <v>8679657.3628663998</v>
      </c>
    </row>
    <row r="19" spans="2:9" hidden="1" x14ac:dyDescent="0.3">
      <c r="B19" s="172" t="s">
        <v>185</v>
      </c>
      <c r="C19" s="172" t="s">
        <v>80</v>
      </c>
      <c r="D19" s="172">
        <v>36035.656185841501</v>
      </c>
      <c r="E19" s="172">
        <v>1.5310039443167001E-3</v>
      </c>
      <c r="F19" s="172">
        <v>23537271.944733299</v>
      </c>
      <c r="G19" s="172">
        <v>3918.7143766068102</v>
      </c>
      <c r="H19" s="172">
        <v>2.9415013749564298E-4</v>
      </c>
      <c r="I19" s="172">
        <v>13322157.2152583</v>
      </c>
    </row>
    <row r="20" spans="2:9" hidden="1" x14ac:dyDescent="0.3">
      <c r="B20" s="172" t="s">
        <v>183</v>
      </c>
      <c r="C20" s="172" t="s">
        <v>80</v>
      </c>
      <c r="D20" s="172">
        <v>51705.993692963602</v>
      </c>
      <c r="E20" s="172">
        <v>1.9851522277220699E-3</v>
      </c>
      <c r="F20" s="172">
        <v>26046362.0728449</v>
      </c>
      <c r="G20" s="172">
        <v>5613.8956192797696</v>
      </c>
      <c r="H20" s="172">
        <v>3.53949463698075E-4</v>
      </c>
      <c r="I20" s="172">
        <v>15860726.4455937</v>
      </c>
    </row>
    <row r="21" spans="2:9" hidden="1" x14ac:dyDescent="0.3">
      <c r="B21" s="172" t="s">
        <v>181</v>
      </c>
      <c r="C21" s="172" t="s">
        <v>80</v>
      </c>
      <c r="D21" s="172">
        <v>65056.133040842898</v>
      </c>
      <c r="E21" s="172">
        <v>2.36760864069736E-3</v>
      </c>
      <c r="F21" s="172">
        <v>27477570.373151399</v>
      </c>
      <c r="G21" s="172">
        <v>7073.9085010193303</v>
      </c>
      <c r="H21" s="172">
        <v>4.0503609609844903E-4</v>
      </c>
      <c r="I21" s="172">
        <v>17464884.1650398</v>
      </c>
    </row>
    <row r="22" spans="2:9" hidden="1" x14ac:dyDescent="0.3">
      <c r="B22" s="172" t="s">
        <v>179</v>
      </c>
      <c r="C22" s="172" t="s">
        <v>80</v>
      </c>
      <c r="D22" s="172">
        <v>76568.019309941199</v>
      </c>
      <c r="E22" s="172">
        <v>2.71305584501024E-3</v>
      </c>
      <c r="F22" s="172">
        <v>28222057.961233102</v>
      </c>
      <c r="G22" s="172">
        <v>8339.6976576883699</v>
      </c>
      <c r="H22" s="172">
        <v>4.3866351548278699E-4</v>
      </c>
      <c r="I22" s="172">
        <v>19011605.395333201</v>
      </c>
    </row>
    <row r="23" spans="2:9" hidden="1" x14ac:dyDescent="0.3">
      <c r="B23" s="172" t="s">
        <v>39</v>
      </c>
      <c r="C23" s="172" t="s">
        <v>80</v>
      </c>
      <c r="D23" s="172">
        <v>86577.118658535604</v>
      </c>
      <c r="E23" s="172">
        <v>2.8933839127214698E-3</v>
      </c>
      <c r="F23" s="172">
        <v>29922444.193415899</v>
      </c>
      <c r="G23" s="172">
        <v>9435.1242764604194</v>
      </c>
      <c r="H23" s="172">
        <v>4.6393060190118301E-4</v>
      </c>
      <c r="I23" s="172">
        <v>20337361.316100702</v>
      </c>
    </row>
    <row r="24" spans="2:9" hidden="1" x14ac:dyDescent="0.3">
      <c r="B24" s="172" t="s">
        <v>26</v>
      </c>
      <c r="C24" s="172" t="s">
        <v>80</v>
      </c>
      <c r="D24" s="172">
        <v>95295.752778988593</v>
      </c>
      <c r="E24" s="172">
        <v>3.1054012506977701E-3</v>
      </c>
      <c r="F24" s="172">
        <v>30687098.086785398</v>
      </c>
      <c r="G24" s="172">
        <v>10381.6750587074</v>
      </c>
      <c r="H24" s="172">
        <v>4.8884207008033798E-4</v>
      </c>
      <c r="I24" s="172">
        <v>21237278.2420328</v>
      </c>
    </row>
    <row r="25" spans="2:9" hidden="1" x14ac:dyDescent="0.3">
      <c r="B25" s="172" t="s">
        <v>25</v>
      </c>
      <c r="C25" s="172" t="s">
        <v>80</v>
      </c>
      <c r="D25" s="172">
        <v>102652.502480593</v>
      </c>
      <c r="E25" s="172">
        <v>3.24286297129574E-3</v>
      </c>
      <c r="F25" s="172">
        <v>31654899.818223398</v>
      </c>
      <c r="G25" s="172">
        <v>11159.9550747744</v>
      </c>
      <c r="H25" s="172">
        <v>4.95277835694516E-4</v>
      </c>
      <c r="I25" s="172">
        <v>22532716.5289459</v>
      </c>
    </row>
    <row r="26" spans="2:9" hidden="1" x14ac:dyDescent="0.3">
      <c r="B26" s="172" t="s">
        <v>24</v>
      </c>
      <c r="C26" s="172" t="s">
        <v>80</v>
      </c>
      <c r="D26" s="172">
        <v>108285.121494277</v>
      </c>
      <c r="E26" s="172">
        <v>3.2436163837499098E-3</v>
      </c>
      <c r="F26" s="172">
        <v>33384071.568009999</v>
      </c>
      <c r="G26" s="172">
        <v>11730.546298818201</v>
      </c>
      <c r="H26" s="172">
        <v>4.77908553238635E-4</v>
      </c>
      <c r="I26" s="172">
        <v>24545587.684765302</v>
      </c>
    </row>
    <row r="27" spans="2:9" hidden="1" x14ac:dyDescent="0.3">
      <c r="B27" s="172" t="s">
        <v>22</v>
      </c>
      <c r="C27" s="172" t="s">
        <v>80</v>
      </c>
      <c r="D27" s="172">
        <v>111453.971587847</v>
      </c>
      <c r="E27" s="172">
        <v>2.8549571440666202E-3</v>
      </c>
      <c r="F27" s="172">
        <v>39038754.686555803</v>
      </c>
      <c r="G27" s="172">
        <v>12024.258544673799</v>
      </c>
      <c r="H27" s="172">
        <v>3.87342172424042E-4</v>
      </c>
      <c r="I27" s="172">
        <v>31042988.346516199</v>
      </c>
    </row>
    <row r="28" spans="2:9" hidden="1" x14ac:dyDescent="0.3">
      <c r="B28" s="172" t="s">
        <v>189</v>
      </c>
      <c r="C28" s="172" t="s">
        <v>81</v>
      </c>
      <c r="D28" s="172">
        <v>303.37124411640599</v>
      </c>
      <c r="E28" s="172">
        <v>2.6399205162455999E-4</v>
      </c>
      <c r="F28" s="172">
        <v>1149168.0989996199</v>
      </c>
      <c r="G28" s="172">
        <v>903.73213632295801</v>
      </c>
      <c r="H28" s="172">
        <v>1.2072448512086701E-3</v>
      </c>
      <c r="I28" s="172">
        <v>748590.59073075303</v>
      </c>
    </row>
    <row r="29" spans="2:9" hidden="1" x14ac:dyDescent="0.3">
      <c r="B29" s="172" t="s">
        <v>187</v>
      </c>
      <c r="C29" s="172" t="s">
        <v>81</v>
      </c>
      <c r="D29" s="172">
        <v>2039.1720355253401</v>
      </c>
      <c r="E29" s="172">
        <v>2.23703608809697E-4</v>
      </c>
      <c r="F29" s="172">
        <v>9115507.9990687296</v>
      </c>
      <c r="G29" s="172">
        <v>18334.920894063202</v>
      </c>
      <c r="H29" s="172">
        <v>1.43705721902595E-3</v>
      </c>
      <c r="I29" s="172">
        <v>12758657.5199078</v>
      </c>
    </row>
    <row r="30" spans="2:9" hidden="1" x14ac:dyDescent="0.3">
      <c r="B30" s="172" t="s">
        <v>185</v>
      </c>
      <c r="C30" s="172" t="s">
        <v>81</v>
      </c>
      <c r="D30" s="172">
        <v>4293.0415961742901</v>
      </c>
      <c r="E30" s="172">
        <v>2.6529775892695102E-4</v>
      </c>
      <c r="F30" s="172">
        <v>16181974.5991762</v>
      </c>
      <c r="G30" s="172">
        <v>37170.724291599603</v>
      </c>
      <c r="H30" s="172">
        <v>2.0712296277575898E-3</v>
      </c>
      <c r="I30" s="172">
        <v>17946211.1749736</v>
      </c>
    </row>
    <row r="31" spans="2:9" hidden="1" x14ac:dyDescent="0.3">
      <c r="B31" s="172" t="s">
        <v>183</v>
      </c>
      <c r="C31" s="172" t="s">
        <v>81</v>
      </c>
      <c r="D31" s="172">
        <v>6255.6386646799401</v>
      </c>
      <c r="E31" s="172">
        <v>2.7006545398311699E-4</v>
      </c>
      <c r="F31" s="172">
        <v>23163416.765889</v>
      </c>
      <c r="G31" s="172">
        <v>52744.289299523603</v>
      </c>
      <c r="H31" s="172">
        <v>2.6222393295191799E-3</v>
      </c>
      <c r="I31" s="172">
        <v>20114216.389697298</v>
      </c>
    </row>
    <row r="32" spans="2:9" hidden="1" x14ac:dyDescent="0.3">
      <c r="B32" s="172" t="s">
        <v>181</v>
      </c>
      <c r="C32" s="172" t="s">
        <v>81</v>
      </c>
      <c r="D32" s="172">
        <v>7949.70474428341</v>
      </c>
      <c r="E32" s="172">
        <v>3.1393825357046301E-4</v>
      </c>
      <c r="F32" s="172">
        <v>25322510.569738802</v>
      </c>
      <c r="G32" s="172">
        <v>65723.354037841302</v>
      </c>
      <c r="H32" s="172">
        <v>3.0834364550913298E-3</v>
      </c>
      <c r="I32" s="172">
        <v>21314969.513744898</v>
      </c>
    </row>
    <row r="33" spans="2:9" hidden="1" x14ac:dyDescent="0.3">
      <c r="B33" s="172" t="s">
        <v>179</v>
      </c>
      <c r="C33" s="172" t="s">
        <v>81</v>
      </c>
      <c r="D33" s="172">
        <v>9420.3426860822892</v>
      </c>
      <c r="E33" s="172">
        <v>3.6101386768108598E-4</v>
      </c>
      <c r="F33" s="172">
        <v>26094129.698098101</v>
      </c>
      <c r="G33" s="172">
        <v>76781.709655406899</v>
      </c>
      <c r="H33" s="172">
        <v>3.4659099577786798E-3</v>
      </c>
      <c r="I33" s="172">
        <v>22153405.769553401</v>
      </c>
    </row>
    <row r="34" spans="2:9" hidden="1" x14ac:dyDescent="0.3">
      <c r="B34" s="172" t="s">
        <v>39</v>
      </c>
      <c r="C34" s="172" t="s">
        <v>81</v>
      </c>
      <c r="D34" s="172">
        <v>10694.2787668088</v>
      </c>
      <c r="E34" s="172">
        <v>3.8248342217060498E-4</v>
      </c>
      <c r="F34" s="172">
        <v>27960110.548369601</v>
      </c>
      <c r="G34" s="172">
        <v>86442.563709893104</v>
      </c>
      <c r="H34" s="172">
        <v>3.7660443019741701E-3</v>
      </c>
      <c r="I34" s="172">
        <v>22953145.735587802</v>
      </c>
    </row>
    <row r="35" spans="2:9" hidden="1" x14ac:dyDescent="0.3">
      <c r="B35" s="172" t="s">
        <v>26</v>
      </c>
      <c r="C35" s="172" t="s">
        <v>81</v>
      </c>
      <c r="D35" s="172">
        <v>11785.3974135308</v>
      </c>
      <c r="E35" s="172">
        <v>4.0608157333786902E-4</v>
      </c>
      <c r="F35" s="172">
        <v>29022241.311415199</v>
      </c>
      <c r="G35" s="172">
        <v>95013.930265098199</v>
      </c>
      <c r="H35" s="172">
        <v>4.0061443648716603E-3</v>
      </c>
      <c r="I35" s="172">
        <v>23717051.012499399</v>
      </c>
    </row>
    <row r="36" spans="2:9" hidden="1" x14ac:dyDescent="0.3">
      <c r="B36" s="172" t="s">
        <v>25</v>
      </c>
      <c r="C36" s="172" t="s">
        <v>81</v>
      </c>
      <c r="D36" s="172">
        <v>12678.7688314063</v>
      </c>
      <c r="E36" s="172">
        <v>4.19339193497097E-4</v>
      </c>
      <c r="F36" s="172">
        <v>30235115.2194268</v>
      </c>
      <c r="G36" s="172">
        <v>102416.876599082</v>
      </c>
      <c r="H36" s="172">
        <v>4.1490760122645399E-3</v>
      </c>
      <c r="I36" s="172">
        <v>24684261.3382692</v>
      </c>
    </row>
    <row r="37" spans="2:9" hidden="1" x14ac:dyDescent="0.3">
      <c r="B37" s="172" t="s">
        <v>24</v>
      </c>
      <c r="C37" s="172" t="s">
        <v>81</v>
      </c>
      <c r="D37" s="172">
        <v>13332.4815342414</v>
      </c>
      <c r="E37" s="172">
        <v>4.12413512624888E-4</v>
      </c>
      <c r="F37" s="172">
        <v>32327945.438509502</v>
      </c>
      <c r="G37" s="172">
        <v>108201.51775071</v>
      </c>
      <c r="H37" s="172">
        <v>3.9039785337499802E-3</v>
      </c>
      <c r="I37" s="172">
        <v>27715705.0980956</v>
      </c>
    </row>
    <row r="38" spans="2:9" hidden="1" x14ac:dyDescent="0.3">
      <c r="B38" s="172" t="s">
        <v>22</v>
      </c>
      <c r="C38" s="172" t="s">
        <v>81</v>
      </c>
      <c r="D38" s="172">
        <v>13671.688623374501</v>
      </c>
      <c r="E38" s="172">
        <v>3.4482422812232699E-4</v>
      </c>
      <c r="F38" s="172">
        <v>39648283.120420597</v>
      </c>
      <c r="G38" s="172">
        <v>111453.97160439601</v>
      </c>
      <c r="H38" s="172">
        <v>3.3357023692140702E-3</v>
      </c>
      <c r="I38" s="172">
        <v>33412444.8970716</v>
      </c>
    </row>
    <row r="39" spans="2:9" x14ac:dyDescent="0.3">
      <c r="B39" s="172" t="s">
        <v>189</v>
      </c>
      <c r="C39" s="172" t="s">
        <v>82</v>
      </c>
      <c r="D39" s="172">
        <v>303.37124411761198</v>
      </c>
      <c r="E39" s="172">
        <v>1.9265958131653701E-4</v>
      </c>
      <c r="F39" s="172">
        <v>1574649.14043998</v>
      </c>
      <c r="G39" s="172">
        <v>903.73213633209002</v>
      </c>
      <c r="H39" s="172">
        <v>1.06072954760714E-3</v>
      </c>
      <c r="I39" s="172">
        <v>851991.10213417199</v>
      </c>
    </row>
    <row r="40" spans="2:9" x14ac:dyDescent="0.3">
      <c r="B40" s="172" t="s">
        <v>187</v>
      </c>
      <c r="C40" s="172" t="s">
        <v>82</v>
      </c>
      <c r="D40" s="172">
        <v>2039.17203549951</v>
      </c>
      <c r="E40" s="172">
        <v>1.4295217212043299E-4</v>
      </c>
      <c r="F40" s="172">
        <v>14264715.2908007</v>
      </c>
      <c r="G40" s="172">
        <v>18334.920894115301</v>
      </c>
      <c r="H40" s="172">
        <v>1.3762886403736901E-3</v>
      </c>
      <c r="I40" s="172">
        <v>13322002.635389799</v>
      </c>
    </row>
    <row r="41" spans="2:9" x14ac:dyDescent="0.3">
      <c r="B41" s="172" t="s">
        <v>185</v>
      </c>
      <c r="C41" s="172" t="s">
        <v>82</v>
      </c>
      <c r="D41" s="172">
        <v>4293.0415962402903</v>
      </c>
      <c r="E41" s="172">
        <v>2.09262456834384E-4</v>
      </c>
      <c r="F41" s="172">
        <v>20515106.5374231</v>
      </c>
      <c r="G41" s="172">
        <v>37170.7242914975</v>
      </c>
      <c r="H41" s="172">
        <v>1.99433167078595E-3</v>
      </c>
      <c r="I41" s="172">
        <v>18638185.832373999</v>
      </c>
    </row>
    <row r="42" spans="2:9" x14ac:dyDescent="0.3">
      <c r="B42" s="172" t="s">
        <v>183</v>
      </c>
      <c r="C42" s="172" t="s">
        <v>82</v>
      </c>
      <c r="D42" s="172">
        <v>6255.6386646883902</v>
      </c>
      <c r="E42" s="172">
        <v>2.7915329776337502E-4</v>
      </c>
      <c r="F42" s="172">
        <v>22409331.0550499</v>
      </c>
      <c r="G42" s="172">
        <v>52744.289299357799</v>
      </c>
      <c r="H42" s="172">
        <v>2.4658665894410699E-3</v>
      </c>
      <c r="I42" s="172">
        <v>21389757.874659799</v>
      </c>
    </row>
    <row r="43" spans="2:9" x14ac:dyDescent="0.3">
      <c r="B43" s="172" t="s">
        <v>181</v>
      </c>
      <c r="C43" s="172" t="s">
        <v>82</v>
      </c>
      <c r="D43" s="172">
        <v>7949.7047443419997</v>
      </c>
      <c r="E43" s="172">
        <v>3.3909171111410198E-4</v>
      </c>
      <c r="F43" s="172">
        <v>23444114.036945499</v>
      </c>
      <c r="G43" s="172">
        <v>65723.354037644895</v>
      </c>
      <c r="H43" s="172">
        <v>2.9166346155860101E-3</v>
      </c>
      <c r="I43" s="172">
        <v>22533969.008812498</v>
      </c>
    </row>
    <row r="44" spans="2:9" x14ac:dyDescent="0.3">
      <c r="B44" s="172" t="s">
        <v>179</v>
      </c>
      <c r="C44" s="172" t="s">
        <v>82</v>
      </c>
      <c r="D44" s="172">
        <v>9420.3426861519893</v>
      </c>
      <c r="E44" s="172">
        <v>3.9153729622311398E-4</v>
      </c>
      <c r="F44" s="172">
        <v>24059885.934299</v>
      </c>
      <c r="G44" s="172">
        <v>76781.709655142695</v>
      </c>
      <c r="H44" s="172">
        <v>3.3232480004662299E-3</v>
      </c>
      <c r="I44" s="172">
        <v>23104417.619260099</v>
      </c>
    </row>
    <row r="45" spans="2:9" x14ac:dyDescent="0.3">
      <c r="B45" s="172" t="s">
        <v>39</v>
      </c>
      <c r="C45" s="172" t="s">
        <v>82</v>
      </c>
      <c r="D45" s="172">
        <v>10694.2787669098</v>
      </c>
      <c r="E45" s="172">
        <v>4.2784068197814997E-4</v>
      </c>
      <c r="F45" s="172">
        <v>24995937.079812299</v>
      </c>
      <c r="G45" s="172">
        <v>86442.563709592694</v>
      </c>
      <c r="H45" s="172">
        <v>3.6571688726627898E-3</v>
      </c>
      <c r="I45" s="172">
        <v>23636470.373503398</v>
      </c>
    </row>
    <row r="46" spans="2:9" x14ac:dyDescent="0.3">
      <c r="B46" s="172" t="s">
        <v>26</v>
      </c>
      <c r="C46" s="172" t="s">
        <v>82</v>
      </c>
      <c r="D46" s="172">
        <v>11785.397413614</v>
      </c>
      <c r="E46" s="172">
        <v>4.6124681086133203E-4</v>
      </c>
      <c r="F46" s="172">
        <v>25551173.7666131</v>
      </c>
      <c r="G46" s="172">
        <v>95013.930264794297</v>
      </c>
      <c r="H46" s="172">
        <v>3.9248608725618297E-3</v>
      </c>
      <c r="I46" s="172">
        <v>24208228.864626501</v>
      </c>
    </row>
    <row r="47" spans="2:9" x14ac:dyDescent="0.3">
      <c r="B47" s="172" t="s">
        <v>25</v>
      </c>
      <c r="C47" s="172" t="s">
        <v>82</v>
      </c>
      <c r="D47" s="172">
        <v>12678.7688314753</v>
      </c>
      <c r="E47" s="172">
        <v>4.8106826551321999E-4</v>
      </c>
      <c r="F47" s="172">
        <v>26355446.285672501</v>
      </c>
      <c r="G47" s="172">
        <v>102416.876598702</v>
      </c>
      <c r="H47" s="172">
        <v>4.10619540992918E-3</v>
      </c>
      <c r="I47" s="172">
        <v>24942036.696803901</v>
      </c>
    </row>
    <row r="48" spans="2:9" x14ac:dyDescent="0.3">
      <c r="B48" s="172" t="s">
        <v>24</v>
      </c>
      <c r="C48" s="172" t="s">
        <v>82</v>
      </c>
      <c r="D48" s="172">
        <v>13332.4815343031</v>
      </c>
      <c r="E48" s="172">
        <v>4.8104548828139599E-4</v>
      </c>
      <c r="F48" s="172">
        <v>27715635.753981002</v>
      </c>
      <c r="G48" s="172">
        <v>108201.51775030199</v>
      </c>
      <c r="H48" s="172">
        <v>3.8461898314691E-3</v>
      </c>
      <c r="I48" s="172">
        <v>28132131.405738</v>
      </c>
    </row>
    <row r="49" spans="2:9" x14ac:dyDescent="0.3">
      <c r="B49" s="172" t="s">
        <v>22</v>
      </c>
      <c r="C49" s="172" t="s">
        <v>82</v>
      </c>
      <c r="D49" s="172">
        <v>13671.688623435901</v>
      </c>
      <c r="E49" s="172">
        <v>3.9812359903672702E-4</v>
      </c>
      <c r="F49" s="172">
        <v>34340312.045091003</v>
      </c>
      <c r="G49" s="172">
        <v>111453.971603984</v>
      </c>
      <c r="H49" s="172">
        <v>3.2931550041509399E-3</v>
      </c>
      <c r="I49" s="172">
        <v>33844131.680257902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-5.3114490583538999E-10</v>
      </c>
      <c r="H6" s="172">
        <v>-1032.33890097518</v>
      </c>
      <c r="I6" s="172">
        <v>-313.19995531061397</v>
      </c>
      <c r="J6" s="172">
        <v>-3950.03909224158</v>
      </c>
      <c r="K6" s="172">
        <v>-9.6963503892766291E-10</v>
      </c>
      <c r="L6" s="172">
        <v>1.2050804798491301E-8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-2.1100277081131899E-10</v>
      </c>
      <c r="H7" s="172">
        <v>-1032.33890097527</v>
      </c>
      <c r="I7" s="172">
        <v>-313.19995531073403</v>
      </c>
      <c r="J7" s="172">
        <v>-3950.0390922422298</v>
      </c>
      <c r="K7" s="172">
        <v>939.59986593168196</v>
      </c>
      <c r="L7" s="172">
        <v>-3097.0167029218501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-5.5706550483591896E-10</v>
      </c>
      <c r="H8" s="172">
        <v>-1032.3389009743</v>
      </c>
      <c r="I8" s="172">
        <v>-313.19995530370102</v>
      </c>
      <c r="J8" s="172">
        <v>-4206.3746748507801</v>
      </c>
      <c r="K8" s="172">
        <v>-8.53106030263007E-10</v>
      </c>
      <c r="L8" s="172">
        <v>1.2597411114256799E-8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-1.7871570889838001E-10</v>
      </c>
      <c r="H9" s="172">
        <v>-1032.3389009751299</v>
      </c>
      <c r="I9" s="172">
        <v>-313.19995530393197</v>
      </c>
      <c r="J9" s="172">
        <v>-4206.3746748523599</v>
      </c>
      <c r="K9" s="172">
        <v>939.599865911189</v>
      </c>
      <c r="L9" s="172">
        <v>-3097.0167029202598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-2.5556801119819299E-10</v>
      </c>
      <c r="H10" s="172">
        <v>-303.37124411634699</v>
      </c>
      <c r="I10" s="172">
        <v>-903.73213632234797</v>
      </c>
      <c r="J10" s="172">
        <v>-19311.453834522301</v>
      </c>
      <c r="K10" s="172">
        <v>-3.1832314562052499E-10</v>
      </c>
      <c r="L10" s="172">
        <v>4.2491592466831199E-9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-1.3915268937125799E-10</v>
      </c>
      <c r="H11" s="172">
        <v>-303.37124411640599</v>
      </c>
      <c r="I11" s="172">
        <v>-903.73213632295801</v>
      </c>
      <c r="J11" s="172">
        <v>-19311.4538345363</v>
      </c>
      <c r="K11" s="172">
        <v>2711.1964089686999</v>
      </c>
      <c r="L11" s="172">
        <v>-910.11373234769599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-1.8644641386345E-10</v>
      </c>
      <c r="H12" s="172">
        <v>-303.37124411753302</v>
      </c>
      <c r="I12" s="172">
        <v>-903.73213633109401</v>
      </c>
      <c r="J12" s="172">
        <v>-18980.93626414</v>
      </c>
      <c r="K12" s="172">
        <v>1.16415321826935E-10</v>
      </c>
      <c r="L12" s="172">
        <v>2.7775968192145199E-9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-1.57342583406717E-10</v>
      </c>
      <c r="H13" s="172">
        <v>-303.37124411761198</v>
      </c>
      <c r="I13" s="172">
        <v>-903.73213633209002</v>
      </c>
      <c r="J13" s="172">
        <v>-18980.9362641636</v>
      </c>
      <c r="K13" s="172">
        <v>2711.1964089953399</v>
      </c>
      <c r="L13" s="172">
        <v>-910.11373235063502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12661.199999999</v>
      </c>
      <c r="H14" s="172">
        <v>-2.95062818622682E-9</v>
      </c>
      <c r="I14" s="172">
        <v>1.67744929058244E-9</v>
      </c>
      <c r="J14" s="172">
        <v>3.7442305256263399E-8</v>
      </c>
      <c r="K14" s="172">
        <v>25395.929999998101</v>
      </c>
      <c r="L14" s="172">
        <v>-270367.559999972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17917.200000000499</v>
      </c>
      <c r="H15" s="172">
        <v>-2.89253421215108E-9</v>
      </c>
      <c r="I15" s="172">
        <v>1.6756018794694699E-9</v>
      </c>
      <c r="J15" s="172">
        <v>3.7107611206010902E-8</v>
      </c>
      <c r="K15" s="172">
        <v>34611.929999995999</v>
      </c>
      <c r="L15" s="172">
        <v>-381751.56000001502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-9.4951246865093708E-10</v>
      </c>
      <c r="H16" s="172">
        <v>-17592.622767368401</v>
      </c>
      <c r="I16" s="172">
        <v>-1962.66515697413</v>
      </c>
      <c r="J16" s="172">
        <v>134518.23810708401</v>
      </c>
      <c r="K16" s="172">
        <v>939.59986591935296</v>
      </c>
      <c r="L16" s="172">
        <v>-3097.0167029213999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-7.6033757068216801E-10</v>
      </c>
      <c r="H17" s="172">
        <v>-17592.6227673709</v>
      </c>
      <c r="I17" s="172">
        <v>-1962.66515697405</v>
      </c>
      <c r="J17" s="172">
        <v>134518.23810709399</v>
      </c>
      <c r="K17" s="172">
        <v>7808.9279153287398</v>
      </c>
      <c r="L17" s="172">
        <v>-64671.196388718403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-1.0595613275654599E-9</v>
      </c>
      <c r="H18" s="172">
        <v>-17592.6227673879</v>
      </c>
      <c r="I18" s="172">
        <v>-1962.66515693567</v>
      </c>
      <c r="J18" s="172">
        <v>106342.072559787</v>
      </c>
      <c r="K18" s="172">
        <v>939.599865898438</v>
      </c>
      <c r="L18" s="172">
        <v>-3097.0167029158001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-8.4219209384173196E-10</v>
      </c>
      <c r="H19" s="172">
        <v>-17592.622767390501</v>
      </c>
      <c r="I19" s="172">
        <v>-1962.6651569354501</v>
      </c>
      <c r="J19" s="172">
        <v>106342.072559801</v>
      </c>
      <c r="K19" s="172">
        <v>7808.92791517366</v>
      </c>
      <c r="L19" s="172">
        <v>-64671.196388782999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-7.1804606704972705E-10</v>
      </c>
      <c r="H20" s="172">
        <v>-2039.1720355248999</v>
      </c>
      <c r="I20" s="172">
        <v>-18334.9208940645</v>
      </c>
      <c r="J20" s="172">
        <v>-217291.55808844001</v>
      </c>
      <c r="K20" s="172">
        <v>2711.1964089756302</v>
      </c>
      <c r="L20" s="172">
        <v>-910.11373232409505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-9.2177288024686298E-10</v>
      </c>
      <c r="H21" s="172">
        <v>-2039.1720355253401</v>
      </c>
      <c r="I21" s="172">
        <v>-18334.920894063202</v>
      </c>
      <c r="J21" s="172">
        <v>-217291.558088405</v>
      </c>
      <c r="K21" s="172">
        <v>66883.419538201997</v>
      </c>
      <c r="L21" s="172">
        <v>-8047.2158566579701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-7.5215211836621196E-10</v>
      </c>
      <c r="H22" s="172">
        <v>-2039.1720354992999</v>
      </c>
      <c r="I22" s="172">
        <v>-18334.9208941166</v>
      </c>
      <c r="J22" s="172">
        <v>-178467.604019035</v>
      </c>
      <c r="K22" s="172">
        <v>2711.1964090008901</v>
      </c>
      <c r="L22" s="172">
        <v>-910.11373233111203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-8.7220541900023797E-10</v>
      </c>
      <c r="H23" s="172">
        <v>-2039.17203549951</v>
      </c>
      <c r="I23" s="172">
        <v>-18334.920894115301</v>
      </c>
      <c r="J23" s="172">
        <v>-178467.604019002</v>
      </c>
      <c r="K23" s="172">
        <v>66883.419538408401</v>
      </c>
      <c r="L23" s="172">
        <v>-8047.2158565760201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399162.65624999499</v>
      </c>
      <c r="H24" s="172">
        <v>-2.6057784907607102E-7</v>
      </c>
      <c r="I24" s="172">
        <v>-1.09238271761569E-8</v>
      </c>
      <c r="J24" s="172">
        <v>2.2211088435142301E-6</v>
      </c>
      <c r="K24" s="172">
        <v>3569220.5385937798</v>
      </c>
      <c r="L24" s="172">
        <v>-4142748.7795778899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454509.65624999697</v>
      </c>
      <c r="H25" s="172">
        <v>-2.6037901079689602E-7</v>
      </c>
      <c r="I25" s="172">
        <v>-1.09391748992493E-8</v>
      </c>
      <c r="J25" s="172">
        <v>2.2201747924555102E-6</v>
      </c>
      <c r="K25" s="172">
        <v>4040856.5385938198</v>
      </c>
      <c r="L25" s="172">
        <v>-4784173.7545788502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-1.8771970644593202E-9</v>
      </c>
      <c r="H26" s="172">
        <v>-36035.656185889398</v>
      </c>
      <c r="I26" s="172">
        <v>-3918.71437652746</v>
      </c>
      <c r="J26" s="172">
        <v>290051.76095891302</v>
      </c>
      <c r="K26" s="172">
        <v>7808.9279153120597</v>
      </c>
      <c r="L26" s="172">
        <v>-64671.196388710603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-1.1859810911119001E-9</v>
      </c>
      <c r="H27" s="172">
        <v>-36035.656185890301</v>
      </c>
      <c r="I27" s="172">
        <v>-3918.7143765273599</v>
      </c>
      <c r="J27" s="172">
        <v>290051.76095891302</v>
      </c>
      <c r="K27" s="172">
        <v>21524.428233159801</v>
      </c>
      <c r="L27" s="172">
        <v>-190795.99303934301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-1.9517756300046999E-9</v>
      </c>
      <c r="H28" s="172">
        <v>-36035.656185839798</v>
      </c>
      <c r="I28" s="172">
        <v>-3918.7143766072099</v>
      </c>
      <c r="J28" s="172">
        <v>231067.27419880001</v>
      </c>
      <c r="K28" s="172">
        <v>7808.9279151590599</v>
      </c>
      <c r="L28" s="172">
        <v>-64671.196388772798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-1.2328200682532001E-9</v>
      </c>
      <c r="H29" s="172">
        <v>-36035.656185841501</v>
      </c>
      <c r="I29" s="172">
        <v>-3918.7143766068102</v>
      </c>
      <c r="J29" s="172">
        <v>231067.27419880699</v>
      </c>
      <c r="K29" s="172">
        <v>21524.4282332859</v>
      </c>
      <c r="L29" s="172">
        <v>-190795.99303923399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-1.17370291263796E-9</v>
      </c>
      <c r="H30" s="172">
        <v>-4293.04159617402</v>
      </c>
      <c r="I30" s="172">
        <v>-37170.724291602099</v>
      </c>
      <c r="J30" s="172">
        <v>-424736.88325716997</v>
      </c>
      <c r="K30" s="172">
        <v>66883.419538219896</v>
      </c>
      <c r="L30" s="172">
        <v>-8047.2158566462404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-1.26101440400817E-9</v>
      </c>
      <c r="H31" s="172">
        <v>-4293.0415961742901</v>
      </c>
      <c r="I31" s="172">
        <v>-37170.724291599603</v>
      </c>
      <c r="J31" s="172">
        <v>-424736.88325711503</v>
      </c>
      <c r="K31" s="172">
        <v>196980.95455882701</v>
      </c>
      <c r="L31" s="172">
        <v>-23072.8614432541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-1.2041709851473601E-9</v>
      </c>
      <c r="H32" s="172">
        <v>-4293.0415962403104</v>
      </c>
      <c r="I32" s="172">
        <v>-37170.724291499399</v>
      </c>
      <c r="J32" s="172">
        <v>-345045.69992310699</v>
      </c>
      <c r="K32" s="172">
        <v>66883.419538421396</v>
      </c>
      <c r="L32" s="172">
        <v>-8047.2158565609598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-1.1859810911119001E-9</v>
      </c>
      <c r="H33" s="172">
        <v>-4293.0415962402903</v>
      </c>
      <c r="I33" s="172">
        <v>-37170.7242914975</v>
      </c>
      <c r="J33" s="172">
        <v>-345045.69992306503</v>
      </c>
      <c r="K33" s="172">
        <v>196980.95455866799</v>
      </c>
      <c r="L33" s="172">
        <v>-23072.8614434023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828150.11250000994</v>
      </c>
      <c r="H34" s="172">
        <v>-3.6096253097639398E-7</v>
      </c>
      <c r="I34" s="172">
        <v>-1.2645159586099899E-8</v>
      </c>
      <c r="J34" s="172">
        <v>3.1145964385359501E-6</v>
      </c>
      <c r="K34" s="172">
        <v>7503217.6471877601</v>
      </c>
      <c r="L34" s="172">
        <v>-8472923.4741568193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883497.11250001297</v>
      </c>
      <c r="H35" s="172">
        <v>-3.6088619026486402E-7</v>
      </c>
      <c r="I35" s="172">
        <v>-1.2663292636716501E-8</v>
      </c>
      <c r="J35" s="172">
        <v>3.1143508749664799E-6</v>
      </c>
      <c r="K35" s="172">
        <v>7974853.6471878104</v>
      </c>
      <c r="L35" s="172">
        <v>-9114348.4491581507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-2.2355379769578601E-9</v>
      </c>
      <c r="H36" s="172">
        <v>-51705.993692973403</v>
      </c>
      <c r="I36" s="172">
        <v>-5613.8956191541502</v>
      </c>
      <c r="J36" s="172">
        <v>421798.33260328899</v>
      </c>
      <c r="K36" s="172">
        <v>21524.428233155199</v>
      </c>
      <c r="L36" s="172">
        <v>-190795.993039341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-1.6025296645239E-9</v>
      </c>
      <c r="H37" s="172">
        <v>-51705.993692971402</v>
      </c>
      <c r="I37" s="172">
        <v>-5613.8956191542902</v>
      </c>
      <c r="J37" s="172">
        <v>421798.33260328003</v>
      </c>
      <c r="K37" s="172">
        <v>41173.062900197197</v>
      </c>
      <c r="L37" s="172">
        <v>-371766.97096476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-2.2168933355715101E-9</v>
      </c>
      <c r="H38" s="172">
        <v>-51705.993692965101</v>
      </c>
      <c r="I38" s="172">
        <v>-5613.8956192795204</v>
      </c>
      <c r="J38" s="172">
        <v>336716.88111198897</v>
      </c>
      <c r="K38" s="172">
        <v>21524.428233280902</v>
      </c>
      <c r="L38" s="172">
        <v>-190795.99303922799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-1.48747858474962E-9</v>
      </c>
      <c r="H39" s="172">
        <v>-51705.993692963602</v>
      </c>
      <c r="I39" s="172">
        <v>-5613.8956192797696</v>
      </c>
      <c r="J39" s="172">
        <v>336716.88111197902</v>
      </c>
      <c r="K39" s="172">
        <v>41173.062900761797</v>
      </c>
      <c r="L39" s="172">
        <v>-371766.97096462001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-2.7430360205471499E-9</v>
      </c>
      <c r="H40" s="172">
        <v>-6255.6386646802202</v>
      </c>
      <c r="I40" s="172">
        <v>-52744.289299521297</v>
      </c>
      <c r="J40" s="172">
        <v>-595290.48085282696</v>
      </c>
      <c r="K40" s="172">
        <v>196980.95455883199</v>
      </c>
      <c r="L40" s="172">
        <v>-23072.861443236299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-2.42289388552308E-9</v>
      </c>
      <c r="H41" s="172">
        <v>-6255.6386646799401</v>
      </c>
      <c r="I41" s="172">
        <v>-52744.289299523603</v>
      </c>
      <c r="J41" s="172">
        <v>-595290.48085287702</v>
      </c>
      <c r="K41" s="172">
        <v>381585.96710716299</v>
      </c>
      <c r="L41" s="172">
        <v>-44967.596769624499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-2.4456312530673999E-9</v>
      </c>
      <c r="H42" s="172">
        <v>-6255.6386646885903</v>
      </c>
      <c r="I42" s="172">
        <v>-52744.289299355201</v>
      </c>
      <c r="J42" s="172">
        <v>-482000.74084263499</v>
      </c>
      <c r="K42" s="172">
        <v>196980.95455867299</v>
      </c>
      <c r="L42" s="172">
        <v>-23072.861443389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-2.29192664846778E-9</v>
      </c>
      <c r="H43" s="172">
        <v>-6255.6386646883902</v>
      </c>
      <c r="I43" s="172">
        <v>-52744.289299357799</v>
      </c>
      <c r="J43" s="172">
        <v>-482000.740842689</v>
      </c>
      <c r="K43" s="172">
        <v>381585.967106422</v>
      </c>
      <c r="L43" s="172">
        <v>-44967.596769802301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1257137.5687499901</v>
      </c>
      <c r="H44" s="172">
        <v>-5.2052359933440997E-7</v>
      </c>
      <c r="I44" s="172">
        <v>-1.8284026737092099E-8</v>
      </c>
      <c r="J44" s="172">
        <v>4.9898580982699101E-6</v>
      </c>
      <c r="K44" s="172">
        <v>11437214.7557815</v>
      </c>
      <c r="L44" s="172">
        <v>-12803098.1687358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1312484.5687499901</v>
      </c>
      <c r="H45" s="172">
        <v>-5.2063330713281196E-7</v>
      </c>
      <c r="I45" s="172">
        <v>-1.82721464625502E-8</v>
      </c>
      <c r="J45" s="172">
        <v>4.9904592742677803E-6</v>
      </c>
      <c r="K45" s="172">
        <v>11908850.7557816</v>
      </c>
      <c r="L45" s="172">
        <v>-13444523.1437377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-3.1077433959580999E-9</v>
      </c>
      <c r="H46" s="172">
        <v>-65056.133040887296</v>
      </c>
      <c r="I46" s="172">
        <v>-7073.9085008663296</v>
      </c>
      <c r="J46" s="172">
        <v>533845.39803675201</v>
      </c>
      <c r="K46" s="172">
        <v>41173.0629001821</v>
      </c>
      <c r="L46" s="172">
        <v>-371766.97096475202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-2.9008333513047501E-9</v>
      </c>
      <c r="H47" s="172">
        <v>-65056.133040886903</v>
      </c>
      <c r="I47" s="172">
        <v>-7073.9085008663696</v>
      </c>
      <c r="J47" s="172">
        <v>533845.39803675003</v>
      </c>
      <c r="K47" s="172">
        <v>65931.742653214693</v>
      </c>
      <c r="L47" s="172">
        <v>-599463.43660786201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-3.2678144634701299E-9</v>
      </c>
      <c r="H48" s="172">
        <v>-65056.133040843502</v>
      </c>
      <c r="I48" s="172">
        <v>-7073.9085010191402</v>
      </c>
      <c r="J48" s="172">
        <v>426568.95920830301</v>
      </c>
      <c r="K48" s="172">
        <v>41173.0629007479</v>
      </c>
      <c r="L48" s="172">
        <v>-371766.97096460999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-2.9021975933574099E-9</v>
      </c>
      <c r="H49" s="172">
        <v>-65056.133040842898</v>
      </c>
      <c r="I49" s="172">
        <v>-7073.9085010193303</v>
      </c>
      <c r="J49" s="172">
        <v>426568.959208299</v>
      </c>
      <c r="K49" s="172">
        <v>65931.742654316506</v>
      </c>
      <c r="L49" s="172">
        <v>-599463.43660757004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-3.8171492633409798E-9</v>
      </c>
      <c r="H50" s="172">
        <v>-7949.70474428341</v>
      </c>
      <c r="I50" s="172">
        <v>-65723.354037840298</v>
      </c>
      <c r="J50" s="172">
        <v>-736862.23998040904</v>
      </c>
      <c r="K50" s="172">
        <v>381585.96710716398</v>
      </c>
      <c r="L50" s="172">
        <v>-44967.596769602598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-3.9299266063608196E-9</v>
      </c>
      <c r="H51" s="172">
        <v>-7949.70474428341</v>
      </c>
      <c r="I51" s="172">
        <v>-65723.354037841302</v>
      </c>
      <c r="J51" s="172">
        <v>-736862.23998042801</v>
      </c>
      <c r="K51" s="172">
        <v>611617.706239608</v>
      </c>
      <c r="L51" s="172">
        <v>-72791.563374592704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-3.8580765249207599E-9</v>
      </c>
      <c r="H52" s="172">
        <v>-7949.7047443420597</v>
      </c>
      <c r="I52" s="172">
        <v>-65723.354037644298</v>
      </c>
      <c r="J52" s="172">
        <v>-595683.82179149799</v>
      </c>
      <c r="K52" s="172">
        <v>381585.96710642101</v>
      </c>
      <c r="L52" s="172">
        <v>-44967.596769780997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-3.7289282772690099E-9</v>
      </c>
      <c r="H53" s="172">
        <v>-7949.7047443419997</v>
      </c>
      <c r="I53" s="172">
        <v>-65723.354037644895</v>
      </c>
      <c r="J53" s="172">
        <v>-595683.82179150498</v>
      </c>
      <c r="K53" s="172">
        <v>611617.706238179</v>
      </c>
      <c r="L53" s="172">
        <v>-72791.563374981095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1686125.0250000199</v>
      </c>
      <c r="H54" s="172">
        <v>-6.2533808886655596E-7</v>
      </c>
      <c r="I54" s="172">
        <v>-2.2352310224960099E-8</v>
      </c>
      <c r="J54" s="172">
        <v>5.9452522691572102E-6</v>
      </c>
      <c r="K54" s="172">
        <v>15371211.864375601</v>
      </c>
      <c r="L54" s="172">
        <v>-17133272.863315899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1741472.0250000199</v>
      </c>
      <c r="H55" s="172">
        <v>-6.2535832512367104E-7</v>
      </c>
      <c r="I55" s="172">
        <v>-2.2349240680341599E-8</v>
      </c>
      <c r="J55" s="172">
        <v>5.9453241192386503E-6</v>
      </c>
      <c r="K55" s="172">
        <v>15842847.864375699</v>
      </c>
      <c r="L55" s="172">
        <v>-17774697.838318098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-3.3651303965598299E-9</v>
      </c>
      <c r="H56" s="172">
        <v>-76568.019309995099</v>
      </c>
      <c r="I56" s="172">
        <v>-8339.6976574852906</v>
      </c>
      <c r="J56" s="172">
        <v>630381.12913717004</v>
      </c>
      <c r="K56" s="172">
        <v>65931.742653207606</v>
      </c>
      <c r="L56" s="172">
        <v>-599463.43660786003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-3.0127011996228198E-9</v>
      </c>
      <c r="H57" s="172">
        <v>-76568.019309994197</v>
      </c>
      <c r="I57" s="172">
        <v>-8339.6976574853106</v>
      </c>
      <c r="J57" s="172">
        <v>630381.12913716398</v>
      </c>
      <c r="K57" s="172">
        <v>95120.684454406495</v>
      </c>
      <c r="L57" s="172">
        <v>-867451.50419284904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-3.2232492230832602E-9</v>
      </c>
      <c r="H58" s="172">
        <v>-76568.0193099428</v>
      </c>
      <c r="I58" s="172">
        <v>-8339.6976576882498</v>
      </c>
      <c r="J58" s="172">
        <v>503982.20321280498</v>
      </c>
      <c r="K58" s="172">
        <v>65931.742654311907</v>
      </c>
      <c r="L58" s="172">
        <v>-599463.43660756503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-2.94858182314783E-9</v>
      </c>
      <c r="H59" s="172">
        <v>-76568.019309941199</v>
      </c>
      <c r="I59" s="172">
        <v>-8339.6976576883699</v>
      </c>
      <c r="J59" s="172">
        <v>503982.20321279601</v>
      </c>
      <c r="K59" s="172">
        <v>95120.684456221206</v>
      </c>
      <c r="L59" s="172">
        <v>-867451.50419236894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-5.0968083087354898E-9</v>
      </c>
      <c r="H60" s="172">
        <v>-9420.3426860824402</v>
      </c>
      <c r="I60" s="172">
        <v>-76781.709655406303</v>
      </c>
      <c r="J60" s="172">
        <v>-857218.30082584301</v>
      </c>
      <c r="K60" s="172">
        <v>611617.70623962197</v>
      </c>
      <c r="L60" s="172">
        <v>-72791.563374575693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-5.2787072490900796E-9</v>
      </c>
      <c r="H61" s="172">
        <v>-9420.3426860822892</v>
      </c>
      <c r="I61" s="172">
        <v>-76781.709655406899</v>
      </c>
      <c r="J61" s="172">
        <v>-857218.30082585604</v>
      </c>
      <c r="K61" s="172">
        <v>880353.69003354595</v>
      </c>
      <c r="L61" s="172">
        <v>-105762.76277586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-5.0495145842433001E-9</v>
      </c>
      <c r="H62" s="172">
        <v>-9420.3426861520293</v>
      </c>
      <c r="I62" s="172">
        <v>-76781.709655143</v>
      </c>
      <c r="J62" s="172">
        <v>-692330.80718337698</v>
      </c>
      <c r="K62" s="172">
        <v>611617.70623818599</v>
      </c>
      <c r="L62" s="172">
        <v>-72791.563374965699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-5.2477844292298001E-9</v>
      </c>
      <c r="H63" s="172">
        <v>-9420.3426861519893</v>
      </c>
      <c r="I63" s="172">
        <v>-76781.709655142695</v>
      </c>
      <c r="J63" s="172">
        <v>-692330.80718337197</v>
      </c>
      <c r="K63" s="172">
        <v>880353.69003118598</v>
      </c>
      <c r="L63" s="172">
        <v>-105762.76277649299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2115112.48125003</v>
      </c>
      <c r="H64" s="172">
        <v>-6.6322559177933705E-7</v>
      </c>
      <c r="I64" s="172">
        <v>-2.5169697437377201E-8</v>
      </c>
      <c r="J64" s="172">
        <v>6.3197740018949802E-6</v>
      </c>
      <c r="K64" s="172">
        <v>19305208.972969599</v>
      </c>
      <c r="L64" s="172">
        <v>-21463447.557896201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2170459.48125003</v>
      </c>
      <c r="H65" s="172">
        <v>-6.63274704493233E-7</v>
      </c>
      <c r="I65" s="172">
        <v>-2.5166968953271899E-8</v>
      </c>
      <c r="J65" s="172">
        <v>6.3200714066624599E-6</v>
      </c>
      <c r="K65" s="172">
        <v>19776844.9729697</v>
      </c>
      <c r="L65" s="172">
        <v>-22104872.532898601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-2.7266651159152401E-9</v>
      </c>
      <c r="H66" s="172">
        <v>-86577.118658613195</v>
      </c>
      <c r="I66" s="172">
        <v>-9435.1242762297807</v>
      </c>
      <c r="J66" s="172">
        <v>714377.26439453498</v>
      </c>
      <c r="K66" s="172">
        <v>95120.684454406495</v>
      </c>
      <c r="L66" s="172">
        <v>-867451.50419284997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-2.5120243662968299E-9</v>
      </c>
      <c r="H67" s="172">
        <v>-86577.118658614403</v>
      </c>
      <c r="I67" s="172">
        <v>-9435.1242762298498</v>
      </c>
      <c r="J67" s="172">
        <v>714377.26439453405</v>
      </c>
      <c r="K67" s="172">
        <v>128143.619421211</v>
      </c>
      <c r="L67" s="172">
        <v>-1170471.4194980001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-2.5947883841581601E-9</v>
      </c>
      <c r="H68" s="172">
        <v>-86577.118658534702</v>
      </c>
      <c r="I68" s="172">
        <v>-9435.1242764602594</v>
      </c>
      <c r="J68" s="172">
        <v>571339.84610304004</v>
      </c>
      <c r="K68" s="172">
        <v>95120.684456222603</v>
      </c>
      <c r="L68" s="172">
        <v>-867451.50419236603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-2.2846506908535999E-9</v>
      </c>
      <c r="H69" s="172">
        <v>-86577.118658535604</v>
      </c>
      <c r="I69" s="172">
        <v>-9435.1242764604194</v>
      </c>
      <c r="J69" s="172">
        <v>571339.84610303596</v>
      </c>
      <c r="K69" s="172">
        <v>128143.619423835</v>
      </c>
      <c r="L69" s="172">
        <v>-1170471.4194972501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-5.5988493841141504E-9</v>
      </c>
      <c r="H70" s="172">
        <v>-10694.2787668087</v>
      </c>
      <c r="I70" s="172">
        <v>-86442.563709891896</v>
      </c>
      <c r="J70" s="172">
        <v>-962469.85421521903</v>
      </c>
      <c r="K70" s="172">
        <v>880353.69003355701</v>
      </c>
      <c r="L70" s="172">
        <v>-105762.76277584799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-5.6461431086063402E-9</v>
      </c>
      <c r="H71" s="172">
        <v>-10694.2787668088</v>
      </c>
      <c r="I71" s="172">
        <v>-86442.563709893104</v>
      </c>
      <c r="J71" s="172">
        <v>-962469.85421524697</v>
      </c>
      <c r="K71" s="172">
        <v>1182902.6630181801</v>
      </c>
      <c r="L71" s="172">
        <v>-143192.738459677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-5.4787960834801197E-9</v>
      </c>
      <c r="H72" s="172">
        <v>-10694.2787669099</v>
      </c>
      <c r="I72" s="172">
        <v>-86442.563709591399</v>
      </c>
      <c r="J72" s="172">
        <v>-776848.63778914197</v>
      </c>
      <c r="K72" s="172">
        <v>880353.69003119797</v>
      </c>
      <c r="L72" s="172">
        <v>-105762.762776487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-5.5915734264999603E-9</v>
      </c>
      <c r="H73" s="172">
        <v>-10694.2787669098</v>
      </c>
      <c r="I73" s="172">
        <v>-86442.563709592694</v>
      </c>
      <c r="J73" s="172">
        <v>-776848.63778917096</v>
      </c>
      <c r="K73" s="172">
        <v>1182902.66301477</v>
      </c>
      <c r="L73" s="172">
        <v>-143192.73846066999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2544099.93750002</v>
      </c>
      <c r="H74" s="172">
        <v>-7.1380873123416698E-7</v>
      </c>
      <c r="I74" s="172">
        <v>-2.7548594516702E-8</v>
      </c>
      <c r="J74" s="172">
        <v>6.8004701461177302E-6</v>
      </c>
      <c r="K74" s="172">
        <v>23239206.081563398</v>
      </c>
      <c r="L74" s="172">
        <v>-25793622.252476599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2599446.93750002</v>
      </c>
      <c r="H75" s="172">
        <v>-7.1377363042302001E-7</v>
      </c>
      <c r="I75" s="172">
        <v>-2.7544103886611999E-8</v>
      </c>
      <c r="J75" s="172">
        <v>6.80058201396605E-6</v>
      </c>
      <c r="K75" s="172">
        <v>23710842.081563499</v>
      </c>
      <c r="L75" s="172">
        <v>-26435047.2274791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-3.0686351237818599E-9</v>
      </c>
      <c r="H76" s="172">
        <v>-95295.752779053801</v>
      </c>
      <c r="I76" s="172">
        <v>-10381.6750584729</v>
      </c>
      <c r="J76" s="172">
        <v>786938.76331446297</v>
      </c>
      <c r="K76" s="172">
        <v>128143.61942120299</v>
      </c>
      <c r="L76" s="172">
        <v>-1170471.4194980001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-2.74849298875779E-9</v>
      </c>
      <c r="H77" s="172">
        <v>-95295.752779052098</v>
      </c>
      <c r="I77" s="172">
        <v>-10381.6750584729</v>
      </c>
      <c r="J77" s="172">
        <v>786938.76331445505</v>
      </c>
      <c r="K77" s="172">
        <v>164479.48212585901</v>
      </c>
      <c r="L77" s="172">
        <v>-1504006.5542247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-3.0213413992896701E-9</v>
      </c>
      <c r="H78" s="172">
        <v>-95295.752778990296</v>
      </c>
      <c r="I78" s="172">
        <v>-10381.6750587076</v>
      </c>
      <c r="J78" s="172">
        <v>629389.69621690898</v>
      </c>
      <c r="K78" s="172">
        <v>128143.619423825</v>
      </c>
      <c r="L78" s="172">
        <v>-1170471.4194972401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-2.71938915830106E-9</v>
      </c>
      <c r="H79" s="172">
        <v>-95295.752778988593</v>
      </c>
      <c r="I79" s="172">
        <v>-10381.6750587074</v>
      </c>
      <c r="J79" s="172">
        <v>629389.69621690502</v>
      </c>
      <c r="K79" s="172">
        <v>164479.48212930199</v>
      </c>
      <c r="L79" s="172">
        <v>-1504006.55422371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-5.56610757485032E-9</v>
      </c>
      <c r="H80" s="172">
        <v>-11785.397413531</v>
      </c>
      <c r="I80" s="172">
        <v>-95013.930265098999</v>
      </c>
      <c r="J80" s="172">
        <v>-1057223.2415002801</v>
      </c>
      <c r="K80" s="172">
        <v>1182902.6630181801</v>
      </c>
      <c r="L80" s="172">
        <v>-143192.73845968599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-5.6716089602559797E-9</v>
      </c>
      <c r="H81" s="172">
        <v>-11785.3974135308</v>
      </c>
      <c r="I81" s="172">
        <v>-95013.930265098199</v>
      </c>
      <c r="J81" s="172">
        <v>-1057223.2415002701</v>
      </c>
      <c r="K81" s="172">
        <v>1515451.4189460201</v>
      </c>
      <c r="L81" s="172">
        <v>-184441.629407042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-5.76255843043327E-9</v>
      </c>
      <c r="H82" s="172">
        <v>-11785.397413614201</v>
      </c>
      <c r="I82" s="172">
        <v>-95013.930264794704</v>
      </c>
      <c r="J82" s="172">
        <v>-853131.14873661799</v>
      </c>
      <c r="K82" s="172">
        <v>1182902.66301476</v>
      </c>
      <c r="L82" s="172">
        <v>-143192.73846067401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-5.8462319429963802E-9</v>
      </c>
      <c r="H83" s="172">
        <v>-11785.397413614</v>
      </c>
      <c r="I83" s="172">
        <v>-95013.930264794297</v>
      </c>
      <c r="J83" s="172">
        <v>-853131.14873660798</v>
      </c>
      <c r="K83" s="172">
        <v>1515451.4189415399</v>
      </c>
      <c r="L83" s="172">
        <v>-184441.62940832201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2974405.35375003</v>
      </c>
      <c r="H84" s="172">
        <v>-7.57710949983448E-7</v>
      </c>
      <c r="I84" s="172">
        <v>-2.9784473554172999E-8</v>
      </c>
      <c r="J84" s="172">
        <v>7.1440890678786698E-6</v>
      </c>
      <c r="K84" s="172">
        <v>27175852.790157299</v>
      </c>
      <c r="L84" s="172">
        <v>-30152148.656607199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3029752.35375003</v>
      </c>
      <c r="H85" s="172">
        <v>-7.5775420782520097E-7</v>
      </c>
      <c r="I85" s="172">
        <v>-2.9789077871100701E-8</v>
      </c>
      <c r="J85" s="172">
        <v>7.1441745603806297E-6</v>
      </c>
      <c r="K85" s="172">
        <v>27647488.7901574</v>
      </c>
      <c r="L85" s="172">
        <v>-30793573.631609801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-2.24690666073002E-9</v>
      </c>
      <c r="H86" s="172">
        <v>-102652.502480646</v>
      </c>
      <c r="I86" s="172">
        <v>-11159.955074481701</v>
      </c>
      <c r="J86" s="172">
        <v>848416.660647696</v>
      </c>
      <c r="K86" s="172">
        <v>164479.48212586201</v>
      </c>
      <c r="L86" s="172">
        <v>-1504006.5542247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-1.9654180505313E-9</v>
      </c>
      <c r="H87" s="172">
        <v>-102652.502480646</v>
      </c>
      <c r="I87" s="172">
        <v>-11159.955074481701</v>
      </c>
      <c r="J87" s="172">
        <v>848416.66064769297</v>
      </c>
      <c r="K87" s="172">
        <v>203539.324886549</v>
      </c>
      <c r="L87" s="172">
        <v>-1863290.31290697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-2.0227162167429899E-9</v>
      </c>
      <c r="H88" s="172">
        <v>-102652.502480593</v>
      </c>
      <c r="I88" s="172">
        <v>-11159.9550747741</v>
      </c>
      <c r="J88" s="172">
        <v>678573.72240971203</v>
      </c>
      <c r="K88" s="172">
        <v>164479.48212930799</v>
      </c>
      <c r="L88" s="172">
        <v>-1504006.55422372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-1.6934791347011899E-9</v>
      </c>
      <c r="H89" s="172">
        <v>-102652.502480593</v>
      </c>
      <c r="I89" s="172">
        <v>-11159.9550747744</v>
      </c>
      <c r="J89" s="172">
        <v>678573.72240970202</v>
      </c>
      <c r="K89" s="172">
        <v>203539.324891019</v>
      </c>
      <c r="L89" s="172">
        <v>-1863290.3129058101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-5.2968971431255299E-9</v>
      </c>
      <c r="H90" s="172">
        <v>-12678.7688314063</v>
      </c>
      <c r="I90" s="172">
        <v>-102416.87659908</v>
      </c>
      <c r="J90" s="172">
        <v>-1139533.4073759399</v>
      </c>
      <c r="K90" s="172">
        <v>1515451.4189460301</v>
      </c>
      <c r="L90" s="172">
        <v>-184441.62940704401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-5.0640664994716603E-9</v>
      </c>
      <c r="H91" s="172">
        <v>-12678.7688314063</v>
      </c>
      <c r="I91" s="172">
        <v>-102416.876599082</v>
      </c>
      <c r="J91" s="172">
        <v>-1139533.4073759799</v>
      </c>
      <c r="K91" s="172">
        <v>1873910.4870428201</v>
      </c>
      <c r="L91" s="172">
        <v>-228817.32031697201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-5.5297277867794004E-9</v>
      </c>
      <c r="H92" s="172">
        <v>-12678.7688314754</v>
      </c>
      <c r="I92" s="172">
        <v>-102416.87659869999</v>
      </c>
      <c r="J92" s="172">
        <v>-919393.98338676803</v>
      </c>
      <c r="K92" s="172">
        <v>1515451.41894155</v>
      </c>
      <c r="L92" s="172">
        <v>-184441.629408326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-5.43514033779502E-9</v>
      </c>
      <c r="H93" s="172">
        <v>-12678.7688314753</v>
      </c>
      <c r="I93" s="172">
        <v>-102416.876598702</v>
      </c>
      <c r="J93" s="172">
        <v>-919393.98338679795</v>
      </c>
      <c r="K93" s="172">
        <v>1873910.48703701</v>
      </c>
      <c r="L93" s="172">
        <v>-228817.320318493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3404710.7700000098</v>
      </c>
      <c r="H94" s="172">
        <v>-7.8688907478863299E-7</v>
      </c>
      <c r="I94" s="172">
        <v>-2.9763327802356802E-8</v>
      </c>
      <c r="J94" s="172">
        <v>7.4218669396941601E-6</v>
      </c>
      <c r="K94" s="172">
        <v>31112499.4987511</v>
      </c>
      <c r="L94" s="172">
        <v>-34510675.060737699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3460057.7700000098</v>
      </c>
      <c r="H95" s="172">
        <v>-7.8689370752727004E-7</v>
      </c>
      <c r="I95" s="172">
        <v>-2.97573592433764E-8</v>
      </c>
      <c r="J95" s="172">
        <v>7.4220488386345096E-6</v>
      </c>
      <c r="K95" s="172">
        <v>31584135.498751201</v>
      </c>
      <c r="L95" s="172">
        <v>-35152100.035740502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-1.7798811313696199E-9</v>
      </c>
      <c r="H96" s="172">
        <v>-108285.121494324</v>
      </c>
      <c r="I96" s="172">
        <v>-11730.5462985043</v>
      </c>
      <c r="J96" s="172">
        <v>895797.24274423299</v>
      </c>
      <c r="K96" s="172">
        <v>203539.32488655599</v>
      </c>
      <c r="L96" s="172">
        <v>-1863290.31290698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-1.8159198589273699E-9</v>
      </c>
      <c r="H97" s="172">
        <v>-108285.121494324</v>
      </c>
      <c r="I97" s="172">
        <v>-11730.5462985043</v>
      </c>
      <c r="J97" s="172">
        <v>895797.24274422997</v>
      </c>
      <c r="K97" s="172">
        <v>244596.23693132101</v>
      </c>
      <c r="L97" s="172">
        <v>-2242288.2381371101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-1.73895386978984E-9</v>
      </c>
      <c r="H98" s="172">
        <v>-108285.121494277</v>
      </c>
      <c r="I98" s="172">
        <v>-11730.546298818101</v>
      </c>
      <c r="J98" s="172">
        <v>716480.93184192199</v>
      </c>
      <c r="K98" s="172">
        <v>203539.32489102299</v>
      </c>
      <c r="L98" s="172">
        <v>-1863290.3129058101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-1.6743797459639601E-9</v>
      </c>
      <c r="H99" s="172">
        <v>-108285.121494277</v>
      </c>
      <c r="I99" s="172">
        <v>-11730.546298818201</v>
      </c>
      <c r="J99" s="172">
        <v>716480.93184191699</v>
      </c>
      <c r="K99" s="172">
        <v>244596.23693688601</v>
      </c>
      <c r="L99" s="172">
        <v>-2242288.2381357802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-5.4205884225666498E-9</v>
      </c>
      <c r="H100" s="172">
        <v>-13332.4815342415</v>
      </c>
      <c r="I100" s="172">
        <v>-108201.51775071</v>
      </c>
      <c r="J100" s="172">
        <v>-1204278.7348217701</v>
      </c>
      <c r="K100" s="172">
        <v>1873910.4870428301</v>
      </c>
      <c r="L100" s="172">
        <v>-228817.320316964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-5.5151758715510401E-9</v>
      </c>
      <c r="H101" s="172">
        <v>-13332.4815342414</v>
      </c>
      <c r="I101" s="172">
        <v>-108201.51775071</v>
      </c>
      <c r="J101" s="172">
        <v>-1204278.7348217899</v>
      </c>
      <c r="K101" s="172">
        <v>2252615.7991703199</v>
      </c>
      <c r="L101" s="172">
        <v>-275481.00568680698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-5.6897988542914399E-9</v>
      </c>
      <c r="H102" s="172">
        <v>-13332.481534303201</v>
      </c>
      <c r="I102" s="172">
        <v>-108201.51775030199</v>
      </c>
      <c r="J102" s="172">
        <v>-971514.56902059203</v>
      </c>
      <c r="K102" s="172">
        <v>1873910.48703702</v>
      </c>
      <c r="L102" s="172">
        <v>-228817.32031848701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-5.7370925787836297E-9</v>
      </c>
      <c r="H103" s="172">
        <v>-13332.4815343031</v>
      </c>
      <c r="I103" s="172">
        <v>-108201.51775030199</v>
      </c>
      <c r="J103" s="172">
        <v>-971514.56902060402</v>
      </c>
      <c r="K103" s="172">
        <v>2252615.7991630798</v>
      </c>
      <c r="L103" s="172">
        <v>-275481.00568854599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3835016.1862499998</v>
      </c>
      <c r="H104" s="172">
        <v>-7.9093621252468396E-7</v>
      </c>
      <c r="I104" s="172">
        <v>-2.9903844733780702E-8</v>
      </c>
      <c r="J104" s="172">
        <v>7.4608060458558603E-6</v>
      </c>
      <c r="K104" s="172">
        <v>35049146.207344897</v>
      </c>
      <c r="L104" s="172">
        <v>-38869201.464868501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3890363.1862499998</v>
      </c>
      <c r="H105" s="172">
        <v>-7.9094031235627003E-7</v>
      </c>
      <c r="I105" s="172">
        <v>-2.9903333143011001E-8</v>
      </c>
      <c r="J105" s="172">
        <v>7.4608360591810197E-6</v>
      </c>
      <c r="K105" s="172">
        <v>35520782.207345001</v>
      </c>
      <c r="L105" s="172">
        <v>-39510626.439871296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-1.70120983966626E-9</v>
      </c>
      <c r="H106" s="172">
        <v>-111453.971587893</v>
      </c>
      <c r="I106" s="172">
        <v>-12024.258544357001</v>
      </c>
      <c r="J106" s="172">
        <v>922645.53646255995</v>
      </c>
      <c r="K106" s="172">
        <v>244596.23693132101</v>
      </c>
      <c r="L106" s="172">
        <v>-2242288.2381371101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-1.6533192592760301E-9</v>
      </c>
      <c r="H107" s="172">
        <v>-111453.971587894</v>
      </c>
      <c r="I107" s="172">
        <v>-12024.258544357001</v>
      </c>
      <c r="J107" s="172">
        <v>922645.53646255995</v>
      </c>
      <c r="K107" s="172">
        <v>292693.27110874897</v>
      </c>
      <c r="L107" s="172">
        <v>-2688104.1244886802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-1.3833414413966199E-9</v>
      </c>
      <c r="H108" s="172">
        <v>-111453.971587847</v>
      </c>
      <c r="I108" s="172">
        <v>-12024.258544673799</v>
      </c>
      <c r="J108" s="172">
        <v>738013.31977263198</v>
      </c>
      <c r="K108" s="172">
        <v>244596.23693688901</v>
      </c>
      <c r="L108" s="172">
        <v>-2242288.2381357802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-1.3164935808163099E-9</v>
      </c>
      <c r="H109" s="172">
        <v>-111453.971587847</v>
      </c>
      <c r="I109" s="172">
        <v>-12024.258544673799</v>
      </c>
      <c r="J109" s="172">
        <v>738013.31977263</v>
      </c>
      <c r="K109" s="172">
        <v>292693.271115585</v>
      </c>
      <c r="L109" s="172">
        <v>-2688104.12448717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-5.3405528888106296E-9</v>
      </c>
      <c r="H110" s="172">
        <v>-13671.688623374501</v>
      </c>
      <c r="I110" s="172">
        <v>-111453.97160439601</v>
      </c>
      <c r="J110" s="172">
        <v>-1241152.92581264</v>
      </c>
      <c r="K110" s="172">
        <v>2252615.7991703101</v>
      </c>
      <c r="L110" s="172">
        <v>-275481.00568681298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-5.3260009735822702E-9</v>
      </c>
      <c r="H111" s="172">
        <v>-13671.688623374501</v>
      </c>
      <c r="I111" s="172">
        <v>-111453.97160439601</v>
      </c>
      <c r="J111" s="172">
        <v>-1241152.92581264</v>
      </c>
      <c r="K111" s="172">
        <v>2698431.6855879002</v>
      </c>
      <c r="L111" s="172">
        <v>-330167.76018031198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-5.6461431086063402E-9</v>
      </c>
      <c r="H112" s="172">
        <v>-13671.688623435901</v>
      </c>
      <c r="I112" s="172">
        <v>-111453.971603984</v>
      </c>
      <c r="J112" s="172">
        <v>-1001227.36423241</v>
      </c>
      <c r="K112" s="172">
        <v>2252615.7991630798</v>
      </c>
      <c r="L112" s="172">
        <v>-275481.00568855403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-5.63886715099216E-9</v>
      </c>
      <c r="H113" s="172">
        <v>-13671.688623435901</v>
      </c>
      <c r="I113" s="172">
        <v>-111453.971603984</v>
      </c>
      <c r="J113" s="172">
        <v>-1001227.36423241</v>
      </c>
      <c r="K113" s="172">
        <v>2698431.6855790098</v>
      </c>
      <c r="L113" s="172">
        <v>-330167.76018229901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4379074.57125</v>
      </c>
      <c r="H114" s="172">
        <v>-7.9363826444023299E-7</v>
      </c>
      <c r="I114" s="172">
        <v>-3.0065734790696297E-8</v>
      </c>
      <c r="J114" s="172">
        <v>7.4743243203556597E-6</v>
      </c>
      <c r="K114" s="172">
        <v>40069545.669844903</v>
      </c>
      <c r="L114" s="172">
        <v>-44305060.124858499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4441789.57125</v>
      </c>
      <c r="H115" s="172">
        <v>-7.9363806548826698E-7</v>
      </c>
      <c r="I115" s="172">
        <v>-3.0061471534281703E-8</v>
      </c>
      <c r="J115" s="172">
        <v>7.4743920777109502E-6</v>
      </c>
      <c r="K115" s="172">
        <v>40607241.669845097</v>
      </c>
      <c r="L115" s="172">
        <v>-45026069.099861696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322" workbookViewId="0">
      <selection activeCell="B467" sqref="B467:G487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2.4296677670393899E-2</v>
      </c>
      <c r="F6" s="172">
        <v>2.3896112612663899E-2</v>
      </c>
      <c r="G6" s="172">
        <v>1.0167627707578499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2.6369173778708701E-2</v>
      </c>
      <c r="F7" s="172">
        <v>2.45621954277035E-2</v>
      </c>
      <c r="G7" s="172">
        <v>1.07356746086985</v>
      </c>
    </row>
    <row r="8" spans="2:7" s="172" customFormat="1" hidden="1" x14ac:dyDescent="0.3">
      <c r="B8" s="172" t="s">
        <v>187</v>
      </c>
      <c r="C8" s="172" t="s">
        <v>79</v>
      </c>
      <c r="D8" s="172" t="s">
        <v>221</v>
      </c>
      <c r="E8" s="172">
        <v>5.9089800021819797E-3</v>
      </c>
      <c r="F8" s="172">
        <v>3.6264810324911898E-3</v>
      </c>
      <c r="G8" s="172">
        <v>1.62939774101696</v>
      </c>
    </row>
    <row r="9" spans="2:7" s="172" customFormat="1" x14ac:dyDescent="0.3">
      <c r="B9" s="172" t="s">
        <v>185</v>
      </c>
      <c r="C9" s="172" t="s">
        <v>79</v>
      </c>
      <c r="D9" s="172" t="s">
        <v>218</v>
      </c>
      <c r="E9" s="172">
        <v>2.5488575718546399E-2</v>
      </c>
      <c r="F9" s="172">
        <v>2.3685199752799001E-2</v>
      </c>
      <c r="G9" s="172">
        <v>1.0761393606374099</v>
      </c>
    </row>
    <row r="10" spans="2:7" s="172" customFormat="1" hidden="1" x14ac:dyDescent="0.3">
      <c r="B10" s="172" t="s">
        <v>185</v>
      </c>
      <c r="C10" s="172" t="s">
        <v>79</v>
      </c>
      <c r="D10" s="172" t="s">
        <v>221</v>
      </c>
      <c r="E10" s="172">
        <v>5.7385305839271301E-3</v>
      </c>
      <c r="F10" s="172">
        <v>3.4605819956145898E-3</v>
      </c>
      <c r="G10" s="172">
        <v>1.6582559208824601</v>
      </c>
    </row>
    <row r="11" spans="2:7" s="172" customFormat="1" x14ac:dyDescent="0.3">
      <c r="B11" s="172" t="s">
        <v>183</v>
      </c>
      <c r="C11" s="172" t="s">
        <v>79</v>
      </c>
      <c r="D11" s="172" t="s">
        <v>218</v>
      </c>
      <c r="E11" s="172">
        <v>2.4044831911139E-2</v>
      </c>
      <c r="F11" s="172">
        <v>2.2290951112365901E-2</v>
      </c>
      <c r="G11" s="172">
        <v>1.0786812904452601</v>
      </c>
    </row>
    <row r="12" spans="2:7" s="172" customFormat="1" hidden="1" x14ac:dyDescent="0.3">
      <c r="B12" s="172" t="s">
        <v>183</v>
      </c>
      <c r="C12" s="172" t="s">
        <v>79</v>
      </c>
      <c r="D12" s="172" t="s">
        <v>221</v>
      </c>
      <c r="E12" s="172">
        <v>5.4430272869196899E-3</v>
      </c>
      <c r="F12" s="172">
        <v>3.2275989095221199E-3</v>
      </c>
      <c r="G12" s="172">
        <v>1.6864013898571999</v>
      </c>
    </row>
    <row r="13" spans="2:7" s="172" customFormat="1" x14ac:dyDescent="0.3">
      <c r="B13" s="172" t="s">
        <v>181</v>
      </c>
      <c r="C13" s="172" t="s">
        <v>79</v>
      </c>
      <c r="D13" s="172" t="s">
        <v>218</v>
      </c>
      <c r="E13" s="172">
        <v>2.2070856033619E-2</v>
      </c>
      <c r="F13" s="172">
        <v>2.0412756899310099E-2</v>
      </c>
      <c r="G13" s="172">
        <v>1.0812285739984999</v>
      </c>
    </row>
    <row r="14" spans="2:7" s="172" customFormat="1" hidden="1" x14ac:dyDescent="0.3">
      <c r="B14" s="172" t="s">
        <v>181</v>
      </c>
      <c r="C14" s="172" t="s">
        <v>79</v>
      </c>
      <c r="D14" s="172" t="s">
        <v>221</v>
      </c>
      <c r="E14" s="172">
        <v>5.0253967400682104E-3</v>
      </c>
      <c r="F14" s="172">
        <v>2.9309557283096E-3</v>
      </c>
      <c r="G14" s="172">
        <v>1.71459319276943</v>
      </c>
    </row>
    <row r="15" spans="2:7" x14ac:dyDescent="0.3">
      <c r="B15" s="172" t="s">
        <v>179</v>
      </c>
      <c r="C15" s="172" t="s">
        <v>79</v>
      </c>
      <c r="D15" s="172" t="s">
        <v>218</v>
      </c>
      <c r="E15" s="172">
        <v>1.9642581950925199E-2</v>
      </c>
      <c r="F15" s="172">
        <v>1.8121026536248301E-2</v>
      </c>
      <c r="G15" s="172">
        <v>1.0839662925074001</v>
      </c>
    </row>
    <row r="16" spans="2:7" hidden="1" x14ac:dyDescent="0.3">
      <c r="B16" s="172" t="s">
        <v>179</v>
      </c>
      <c r="C16" s="172" t="s">
        <v>79</v>
      </c>
      <c r="D16" s="172" t="s">
        <v>221</v>
      </c>
      <c r="E16" s="172">
        <v>4.5009551802985097E-3</v>
      </c>
      <c r="F16" s="172">
        <v>2.57899044596977E-3</v>
      </c>
      <c r="G16" s="172">
        <v>1.7452391835465</v>
      </c>
    </row>
    <row r="17" spans="2:7" x14ac:dyDescent="0.3">
      <c r="B17" s="172" t="s">
        <v>39</v>
      </c>
      <c r="C17" s="172" t="s">
        <v>79</v>
      </c>
      <c r="D17" s="172" t="s">
        <v>218</v>
      </c>
      <c r="E17" s="172">
        <v>1.68312945482136E-2</v>
      </c>
      <c r="F17" s="172">
        <v>1.54835125608936E-2</v>
      </c>
      <c r="G17" s="172">
        <v>1.0870462682172</v>
      </c>
    </row>
    <row r="18" spans="2:7" hidden="1" x14ac:dyDescent="0.3">
      <c r="B18" s="172" t="s">
        <v>39</v>
      </c>
      <c r="C18" s="172" t="s">
        <v>79</v>
      </c>
      <c r="D18" s="172" t="s">
        <v>221</v>
      </c>
      <c r="E18" s="172">
        <v>3.8828980410282698E-3</v>
      </c>
      <c r="F18" s="172">
        <v>2.1804365833609802E-3</v>
      </c>
      <c r="G18" s="172">
        <v>1.78078925599527</v>
      </c>
    </row>
    <row r="19" spans="2:7" x14ac:dyDescent="0.3">
      <c r="B19" s="172" t="s">
        <v>26</v>
      </c>
      <c r="C19" s="172" t="s">
        <v>79</v>
      </c>
      <c r="D19" s="172" t="s">
        <v>218</v>
      </c>
      <c r="E19" s="172">
        <v>1.37068370032923E-2</v>
      </c>
      <c r="F19" s="172">
        <v>1.25840213253634E-2</v>
      </c>
      <c r="G19" s="172">
        <v>1.0892255066086001</v>
      </c>
    </row>
    <row r="20" spans="2:7" hidden="1" x14ac:dyDescent="0.3">
      <c r="B20" s="172" t="s">
        <v>26</v>
      </c>
      <c r="C20" s="172" t="s">
        <v>79</v>
      </c>
      <c r="D20" s="172" t="s">
        <v>221</v>
      </c>
      <c r="E20" s="172">
        <v>3.1643331057982001E-3</v>
      </c>
      <c r="F20" s="172">
        <v>1.74603961788796E-3</v>
      </c>
      <c r="G20" s="172">
        <v>1.8122916991000699</v>
      </c>
    </row>
    <row r="21" spans="2:7" x14ac:dyDescent="0.3">
      <c r="B21" s="172" t="s">
        <v>25</v>
      </c>
      <c r="C21" s="172" t="s">
        <v>79</v>
      </c>
      <c r="D21" s="172" t="s">
        <v>218</v>
      </c>
      <c r="E21" s="172">
        <v>1.03289988617898E-2</v>
      </c>
      <c r="F21" s="172">
        <v>9.4803589182617404E-3</v>
      </c>
      <c r="G21" s="172">
        <v>1.0895155922729201</v>
      </c>
    </row>
    <row r="22" spans="2:7" hidden="1" x14ac:dyDescent="0.3">
      <c r="B22" s="172" t="s">
        <v>25</v>
      </c>
      <c r="C22" s="172" t="s">
        <v>79</v>
      </c>
      <c r="D22" s="172" t="s">
        <v>221</v>
      </c>
      <c r="E22" s="172">
        <v>2.3578788321528699E-3</v>
      </c>
      <c r="F22" s="172">
        <v>1.2859125876964E-3</v>
      </c>
      <c r="G22" s="172">
        <v>1.8336229497347101</v>
      </c>
    </row>
    <row r="23" spans="2:7" x14ac:dyDescent="0.3">
      <c r="B23" s="172" t="s">
        <v>24</v>
      </c>
      <c r="C23" s="172" t="s">
        <v>79</v>
      </c>
      <c r="D23" s="172" t="s">
        <v>218</v>
      </c>
      <c r="E23" s="172">
        <v>6.7592369928653698E-3</v>
      </c>
      <c r="F23" s="172">
        <v>6.2129675758438602E-3</v>
      </c>
      <c r="G23" s="172">
        <v>1.08792407337605</v>
      </c>
    </row>
    <row r="24" spans="2:7" hidden="1" x14ac:dyDescent="0.3">
      <c r="B24" s="172" t="s">
        <v>24</v>
      </c>
      <c r="C24" s="172" t="s">
        <v>79</v>
      </c>
      <c r="D24" s="172" t="s">
        <v>221</v>
      </c>
      <c r="E24" s="172">
        <v>1.5026283669079799E-3</v>
      </c>
      <c r="F24" s="172">
        <v>8.1260384014396E-4</v>
      </c>
      <c r="G24" s="172">
        <v>1.8491524315732599</v>
      </c>
    </row>
    <row r="25" spans="2:7" x14ac:dyDescent="0.3">
      <c r="B25" s="172" t="s">
        <v>22</v>
      </c>
      <c r="C25" s="172" t="s">
        <v>79</v>
      </c>
      <c r="D25" s="172" t="s">
        <v>218</v>
      </c>
      <c r="E25" s="172">
        <v>3.1314997015335399E-3</v>
      </c>
      <c r="F25" s="172">
        <v>2.89599168700461E-3</v>
      </c>
      <c r="G25" s="172">
        <v>1.08132206165706</v>
      </c>
    </row>
    <row r="26" spans="2:7" hidden="1" x14ac:dyDescent="0.3">
      <c r="B26" s="172" t="s">
        <v>22</v>
      </c>
      <c r="C26" s="172" t="s">
        <v>79</v>
      </c>
      <c r="D26" s="172" t="s">
        <v>221</v>
      </c>
      <c r="E26" s="172">
        <v>6.5211873703576698E-4</v>
      </c>
      <c r="F26" s="172">
        <v>3.5463492920974701E-4</v>
      </c>
      <c r="G26" s="172">
        <v>1.83884519917121</v>
      </c>
    </row>
    <row r="27" spans="2:7" hidden="1" x14ac:dyDescent="0.3">
      <c r="B27" s="172" t="s">
        <v>189</v>
      </c>
      <c r="C27" s="172" t="s">
        <v>80</v>
      </c>
      <c r="D27" s="172" t="s">
        <v>218</v>
      </c>
      <c r="E27" s="172">
        <v>2.6802815384822799E-2</v>
      </c>
      <c r="F27" s="172">
        <v>2.6428880000281499E-2</v>
      </c>
      <c r="G27" s="172">
        <v>1.0141487412458401</v>
      </c>
    </row>
    <row r="28" spans="2:7" hidden="1" x14ac:dyDescent="0.3">
      <c r="B28" s="172" t="s">
        <v>189</v>
      </c>
      <c r="C28" s="172" t="s">
        <v>80</v>
      </c>
      <c r="D28" s="172" t="s">
        <v>221</v>
      </c>
      <c r="E28" s="172">
        <v>6.4017367304005004E-3</v>
      </c>
      <c r="F28" s="172">
        <v>5.9343174997238696E-3</v>
      </c>
      <c r="G28" s="172">
        <v>1.07876545713949</v>
      </c>
    </row>
    <row r="29" spans="2:7" hidden="1" x14ac:dyDescent="0.3">
      <c r="B29" s="172" t="s">
        <v>187</v>
      </c>
      <c r="C29" s="172" t="s">
        <v>80</v>
      </c>
      <c r="D29" s="172" t="s">
        <v>218</v>
      </c>
      <c r="E29" s="172">
        <v>2.5985902730698899E-2</v>
      </c>
      <c r="F29" s="172">
        <v>2.4222655655899799E-2</v>
      </c>
      <c r="G29" s="172">
        <v>1.0727933014384201</v>
      </c>
    </row>
    <row r="30" spans="2:7" hidden="1" x14ac:dyDescent="0.3">
      <c r="B30" s="172" t="s">
        <v>187</v>
      </c>
      <c r="C30" s="172" t="s">
        <v>80</v>
      </c>
      <c r="D30" s="172" t="s">
        <v>221</v>
      </c>
      <c r="E30" s="172">
        <v>6.1568647118906998E-3</v>
      </c>
      <c r="F30" s="172">
        <v>3.9296052489866699E-3</v>
      </c>
      <c r="G30" s="172">
        <v>1.56678961925714</v>
      </c>
    </row>
    <row r="31" spans="2:7" hidden="1" x14ac:dyDescent="0.3">
      <c r="B31" s="172" t="s">
        <v>185</v>
      </c>
      <c r="C31" s="172" t="s">
        <v>80</v>
      </c>
      <c r="D31" s="172" t="s">
        <v>218</v>
      </c>
      <c r="E31" s="172">
        <v>2.50032607804982E-2</v>
      </c>
      <c r="F31" s="172">
        <v>2.33541090090639E-2</v>
      </c>
      <c r="G31" s="172">
        <v>1.07061505839483</v>
      </c>
    </row>
    <row r="32" spans="2:7" hidden="1" x14ac:dyDescent="0.3">
      <c r="B32" s="172" t="s">
        <v>185</v>
      </c>
      <c r="C32" s="172" t="s">
        <v>80</v>
      </c>
      <c r="D32" s="172" t="s">
        <v>221</v>
      </c>
      <c r="E32" s="172">
        <v>5.8182210002371299E-3</v>
      </c>
      <c r="F32" s="172">
        <v>3.7350819205305801E-3</v>
      </c>
      <c r="G32" s="172">
        <v>1.5577224607193201</v>
      </c>
    </row>
    <row r="33" spans="2:7" hidden="1" x14ac:dyDescent="0.3">
      <c r="B33" s="172" t="s">
        <v>183</v>
      </c>
      <c r="C33" s="172" t="s">
        <v>80</v>
      </c>
      <c r="D33" s="172" t="s">
        <v>218</v>
      </c>
      <c r="E33" s="172">
        <v>2.3478504741381301E-2</v>
      </c>
      <c r="F33" s="172">
        <v>2.19749729566956E-2</v>
      </c>
      <c r="G33" s="172">
        <v>1.0684201881680899</v>
      </c>
    </row>
    <row r="34" spans="2:7" hidden="1" x14ac:dyDescent="0.3">
      <c r="B34" s="172" t="s">
        <v>183</v>
      </c>
      <c r="C34" s="172" t="s">
        <v>80</v>
      </c>
      <c r="D34" s="172" t="s">
        <v>221</v>
      </c>
      <c r="E34" s="172">
        <v>5.3686598492054599E-3</v>
      </c>
      <c r="F34" s="172">
        <v>3.4694618053919398E-3</v>
      </c>
      <c r="G34" s="172">
        <v>1.54740422300138</v>
      </c>
    </row>
    <row r="35" spans="2:7" hidden="1" x14ac:dyDescent="0.3">
      <c r="B35" s="172" t="s">
        <v>181</v>
      </c>
      <c r="C35" s="172" t="s">
        <v>80</v>
      </c>
      <c r="D35" s="172" t="s">
        <v>218</v>
      </c>
      <c r="E35" s="172">
        <v>2.1451578711092701E-2</v>
      </c>
      <c r="F35" s="172">
        <v>2.0118532360645699E-2</v>
      </c>
      <c r="G35" s="172">
        <v>1.0662596220514899</v>
      </c>
    </row>
    <row r="36" spans="2:7" hidden="1" x14ac:dyDescent="0.3">
      <c r="B36" s="172" t="s">
        <v>181</v>
      </c>
      <c r="C36" s="172" t="s">
        <v>80</v>
      </c>
      <c r="D36" s="172" t="s">
        <v>221</v>
      </c>
      <c r="E36" s="172">
        <v>4.8226289794293803E-3</v>
      </c>
      <c r="F36" s="172">
        <v>3.1387809578120899E-3</v>
      </c>
      <c r="G36" s="172">
        <v>1.5364656037645401</v>
      </c>
    </row>
    <row r="37" spans="2:7" hidden="1" x14ac:dyDescent="0.3">
      <c r="B37" s="172" t="s">
        <v>179</v>
      </c>
      <c r="C37" s="172" t="s">
        <v>80</v>
      </c>
      <c r="D37" s="172" t="s">
        <v>218</v>
      </c>
      <c r="E37" s="172">
        <v>1.8997093338399499E-2</v>
      </c>
      <c r="F37" s="172">
        <v>1.7854401137874301E-2</v>
      </c>
      <c r="G37" s="172">
        <v>1.0640005896418001</v>
      </c>
    </row>
    <row r="38" spans="2:7" hidden="1" x14ac:dyDescent="0.3">
      <c r="B38" s="172" t="s">
        <v>179</v>
      </c>
      <c r="C38" s="172" t="s">
        <v>80</v>
      </c>
      <c r="D38" s="172" t="s">
        <v>221</v>
      </c>
      <c r="E38" s="172">
        <v>4.19574435733042E-3</v>
      </c>
      <c r="F38" s="172">
        <v>2.7523436829827398E-3</v>
      </c>
      <c r="G38" s="172">
        <v>1.52442603126636</v>
      </c>
    </row>
    <row r="39" spans="2:7" hidden="1" x14ac:dyDescent="0.3">
      <c r="B39" s="172" t="s">
        <v>39</v>
      </c>
      <c r="C39" s="172" t="s">
        <v>80</v>
      </c>
      <c r="D39" s="172" t="s">
        <v>218</v>
      </c>
      <c r="E39" s="172">
        <v>1.61883508895839E-2</v>
      </c>
      <c r="F39" s="172">
        <v>1.5249907554261199E-2</v>
      </c>
      <c r="G39" s="172">
        <v>1.06153764093215</v>
      </c>
    </row>
    <row r="40" spans="2:7" hidden="1" x14ac:dyDescent="0.3">
      <c r="B40" s="172" t="s">
        <v>39</v>
      </c>
      <c r="C40" s="172" t="s">
        <v>80</v>
      </c>
      <c r="D40" s="172" t="s">
        <v>221</v>
      </c>
      <c r="E40" s="172">
        <v>3.5051914909365899E-3</v>
      </c>
      <c r="F40" s="172">
        <v>2.3197893831605801E-3</v>
      </c>
      <c r="G40" s="172">
        <v>1.51099557415896</v>
      </c>
    </row>
    <row r="41" spans="2:7" hidden="1" x14ac:dyDescent="0.3">
      <c r="B41" s="172" t="s">
        <v>26</v>
      </c>
      <c r="C41" s="172" t="s">
        <v>80</v>
      </c>
      <c r="D41" s="172" t="s">
        <v>218</v>
      </c>
      <c r="E41" s="172">
        <v>1.3135758626537901E-2</v>
      </c>
      <c r="F41" s="172">
        <v>1.2390788597031801E-2</v>
      </c>
      <c r="G41" s="172">
        <v>1.0601228907807001</v>
      </c>
    </row>
    <row r="42" spans="2:7" hidden="1" x14ac:dyDescent="0.3">
      <c r="B42" s="172" t="s">
        <v>26</v>
      </c>
      <c r="C42" s="172" t="s">
        <v>80</v>
      </c>
      <c r="D42" s="172" t="s">
        <v>221</v>
      </c>
      <c r="E42" s="172">
        <v>2.7945842646952298E-3</v>
      </c>
      <c r="F42" s="172">
        <v>1.85356949058223E-3</v>
      </c>
      <c r="G42" s="172">
        <v>1.5076770948670599</v>
      </c>
    </row>
    <row r="43" spans="2:7" hidden="1" x14ac:dyDescent="0.3">
      <c r="B43" s="172" t="s">
        <v>25</v>
      </c>
      <c r="C43" s="172" t="s">
        <v>80</v>
      </c>
      <c r="D43" s="172" t="s">
        <v>218</v>
      </c>
      <c r="E43" s="172">
        <v>9.9029607683924804E-3</v>
      </c>
      <c r="F43" s="172">
        <v>9.3346708318653004E-3</v>
      </c>
      <c r="G43" s="172">
        <v>1.0608794832472499</v>
      </c>
    </row>
    <row r="44" spans="2:7" hidden="1" x14ac:dyDescent="0.3">
      <c r="B44" s="172" t="s">
        <v>25</v>
      </c>
      <c r="C44" s="172" t="s">
        <v>80</v>
      </c>
      <c r="D44" s="172" t="s">
        <v>221</v>
      </c>
      <c r="E44" s="172">
        <v>2.08299959785183E-3</v>
      </c>
      <c r="F44" s="172">
        <v>1.3651596780280199E-3</v>
      </c>
      <c r="G44" s="172">
        <v>1.5258285396040401</v>
      </c>
    </row>
    <row r="45" spans="2:7" hidden="1" x14ac:dyDescent="0.3">
      <c r="B45" s="172" t="s">
        <v>24</v>
      </c>
      <c r="C45" s="172" t="s">
        <v>80</v>
      </c>
      <c r="D45" s="172" t="s">
        <v>218</v>
      </c>
      <c r="E45" s="172">
        <v>6.5131958750909696E-3</v>
      </c>
      <c r="F45" s="172">
        <v>6.1190504531143204E-3</v>
      </c>
      <c r="G45" s="172">
        <v>1.06441284068446</v>
      </c>
    </row>
    <row r="46" spans="2:7" hidden="1" x14ac:dyDescent="0.3">
      <c r="B46" s="172" t="s">
        <v>24</v>
      </c>
      <c r="C46" s="172" t="s">
        <v>80</v>
      </c>
      <c r="D46" s="172" t="s">
        <v>221</v>
      </c>
      <c r="E46" s="172">
        <v>1.3654583685862301E-3</v>
      </c>
      <c r="F46" s="172">
        <v>8.6759046714205204E-4</v>
      </c>
      <c r="G46" s="172">
        <v>1.5738512815663099</v>
      </c>
    </row>
    <row r="47" spans="2:7" hidden="1" x14ac:dyDescent="0.3">
      <c r="B47" s="172" t="s">
        <v>22</v>
      </c>
      <c r="C47" s="172" t="s">
        <v>80</v>
      </c>
      <c r="D47" s="172" t="s">
        <v>218</v>
      </c>
      <c r="E47" s="172">
        <v>3.07128221361077E-3</v>
      </c>
      <c r="F47" s="172">
        <v>2.8549571440666202E-3</v>
      </c>
      <c r="G47" s="172">
        <v>1.0757717396892399</v>
      </c>
    </row>
    <row r="48" spans="2:7" hidden="1" x14ac:dyDescent="0.3">
      <c r="B48" s="172" t="s">
        <v>22</v>
      </c>
      <c r="C48" s="172" t="s">
        <v>80</v>
      </c>
      <c r="D48" s="172" t="s">
        <v>221</v>
      </c>
      <c r="E48" s="172">
        <v>6.6059489184823201E-4</v>
      </c>
      <c r="F48" s="172">
        <v>3.87342172424042E-4</v>
      </c>
      <c r="G48" s="172">
        <v>1.7054556381354899</v>
      </c>
    </row>
    <row r="49" spans="2:7" hidden="1" x14ac:dyDescent="0.3">
      <c r="B49" s="172" t="s">
        <v>189</v>
      </c>
      <c r="C49" s="172" t="s">
        <v>81</v>
      </c>
      <c r="D49" s="172" t="s">
        <v>218</v>
      </c>
      <c r="E49" s="172">
        <v>5.8588986695196103E-3</v>
      </c>
      <c r="F49" s="172">
        <v>5.26662749206026E-3</v>
      </c>
      <c r="G49" s="172">
        <v>1.1124573891645499</v>
      </c>
    </row>
    <row r="50" spans="2:7" hidden="1" x14ac:dyDescent="0.3">
      <c r="B50" s="172" t="s">
        <v>189</v>
      </c>
      <c r="C50" s="172" t="s">
        <v>81</v>
      </c>
      <c r="D50" s="172" t="s">
        <v>221</v>
      </c>
      <c r="E50" s="172">
        <v>3.5395703427250402E-2</v>
      </c>
      <c r="F50" s="172">
        <v>3.4655364455426302E-2</v>
      </c>
      <c r="G50" s="172">
        <v>1.02136289672488</v>
      </c>
    </row>
    <row r="51" spans="2:7" hidden="1" x14ac:dyDescent="0.3">
      <c r="B51" s="172" t="s">
        <v>187</v>
      </c>
      <c r="C51" s="172" t="s">
        <v>81</v>
      </c>
      <c r="D51" s="172" t="s">
        <v>218</v>
      </c>
      <c r="E51" s="172">
        <v>5.4839872780341097E-3</v>
      </c>
      <c r="F51" s="172">
        <v>3.1975660494416502E-3</v>
      </c>
      <c r="G51" s="172">
        <v>1.71505050818003</v>
      </c>
    </row>
    <row r="52" spans="2:7" hidden="1" x14ac:dyDescent="0.3">
      <c r="B52" s="172" t="s">
        <v>187</v>
      </c>
      <c r="C52" s="172" t="s">
        <v>81</v>
      </c>
      <c r="D52" s="172" t="s">
        <v>221</v>
      </c>
      <c r="E52" s="172">
        <v>3.40489839644081E-2</v>
      </c>
      <c r="F52" s="172">
        <v>3.1160872938817599E-2</v>
      </c>
      <c r="G52" s="172">
        <v>1.0926838933960901</v>
      </c>
    </row>
    <row r="53" spans="2:7" hidden="1" x14ac:dyDescent="0.3">
      <c r="B53" s="172" t="s">
        <v>185</v>
      </c>
      <c r="C53" s="172" t="s">
        <v>81</v>
      </c>
      <c r="D53" s="172" t="s">
        <v>218</v>
      </c>
      <c r="E53" s="172">
        <v>5.1300626360697901E-3</v>
      </c>
      <c r="F53" s="172">
        <v>3.0661227242952398E-3</v>
      </c>
      <c r="G53" s="172">
        <v>1.6731432813893501</v>
      </c>
    </row>
    <row r="54" spans="2:7" hidden="1" x14ac:dyDescent="0.3">
      <c r="B54" s="172" t="s">
        <v>185</v>
      </c>
      <c r="C54" s="172" t="s">
        <v>81</v>
      </c>
      <c r="D54" s="172" t="s">
        <v>221</v>
      </c>
      <c r="E54" s="172">
        <v>3.25184562690502E-2</v>
      </c>
      <c r="F54" s="172">
        <v>2.9911374275229701E-2</v>
      </c>
      <c r="G54" s="172">
        <v>1.08716022105275</v>
      </c>
    </row>
    <row r="55" spans="2:7" hidden="1" x14ac:dyDescent="0.3">
      <c r="B55" s="172" t="s">
        <v>183</v>
      </c>
      <c r="C55" s="172" t="s">
        <v>81</v>
      </c>
      <c r="D55" s="172" t="s">
        <v>218</v>
      </c>
      <c r="E55" s="172">
        <v>4.6934815912348304E-3</v>
      </c>
      <c r="F55" s="172">
        <v>2.8733781767901201E-3</v>
      </c>
      <c r="G55" s="172">
        <v>1.63343677805682</v>
      </c>
    </row>
    <row r="56" spans="2:7" hidden="1" x14ac:dyDescent="0.3">
      <c r="B56" s="172" t="s">
        <v>183</v>
      </c>
      <c r="C56" s="172" t="s">
        <v>81</v>
      </c>
      <c r="D56" s="172" t="s">
        <v>221</v>
      </c>
      <c r="E56" s="172">
        <v>3.0324165601279301E-2</v>
      </c>
      <c r="F56" s="172">
        <v>2.8025087604086001E-2</v>
      </c>
      <c r="G56" s="172">
        <v>1.0820364249943699</v>
      </c>
    </row>
    <row r="57" spans="2:7" hidden="1" x14ac:dyDescent="0.3">
      <c r="B57" s="172" t="s">
        <v>181</v>
      </c>
      <c r="C57" s="172" t="s">
        <v>81</v>
      </c>
      <c r="D57" s="172" t="s">
        <v>218</v>
      </c>
      <c r="E57" s="172">
        <v>4.1881070829344804E-3</v>
      </c>
      <c r="F57" s="172">
        <v>2.6201573722054602E-3</v>
      </c>
      <c r="G57" s="172">
        <v>1.5984181436435001</v>
      </c>
    </row>
    <row r="58" spans="2:7" hidden="1" x14ac:dyDescent="0.3">
      <c r="B58" s="172" t="s">
        <v>181</v>
      </c>
      <c r="C58" s="172" t="s">
        <v>81</v>
      </c>
      <c r="D58" s="172" t="s">
        <v>221</v>
      </c>
      <c r="E58" s="172">
        <v>2.7535660663831701E-2</v>
      </c>
      <c r="F58" s="172">
        <v>2.5555092608173999E-2</v>
      </c>
      <c r="G58" s="172">
        <v>1.07750189310698</v>
      </c>
    </row>
    <row r="59" spans="2:7" hidden="1" x14ac:dyDescent="0.3">
      <c r="B59" s="172" t="s">
        <v>179</v>
      </c>
      <c r="C59" s="172" t="s">
        <v>81</v>
      </c>
      <c r="D59" s="172" t="s">
        <v>218</v>
      </c>
      <c r="E59" s="172">
        <v>3.6278591005343098E-3</v>
      </c>
      <c r="F59" s="172">
        <v>2.31449866995593E-3</v>
      </c>
      <c r="G59" s="172">
        <v>1.5674492051461799</v>
      </c>
    </row>
    <row r="60" spans="2:7" hidden="1" x14ac:dyDescent="0.3">
      <c r="B60" s="172" t="s">
        <v>179</v>
      </c>
      <c r="C60" s="172" t="s">
        <v>81</v>
      </c>
      <c r="D60" s="172" t="s">
        <v>221</v>
      </c>
      <c r="E60" s="172">
        <v>2.42544698883051E-2</v>
      </c>
      <c r="F60" s="172">
        <v>2.25954882917851E-2</v>
      </c>
      <c r="G60" s="172">
        <v>1.0734209225796301</v>
      </c>
    </row>
    <row r="61" spans="2:7" hidden="1" x14ac:dyDescent="0.3">
      <c r="B61" s="172" t="s">
        <v>39</v>
      </c>
      <c r="C61" s="172" t="s">
        <v>81</v>
      </c>
      <c r="D61" s="172" t="s">
        <v>218</v>
      </c>
      <c r="E61" s="172">
        <v>3.0273762117717399E-3</v>
      </c>
      <c r="F61" s="172">
        <v>1.9651419297527801E-3</v>
      </c>
      <c r="G61" s="172">
        <v>1.54053820028795</v>
      </c>
    </row>
    <row r="62" spans="2:7" hidden="1" x14ac:dyDescent="0.3">
      <c r="B62" s="172" t="s">
        <v>39</v>
      </c>
      <c r="C62" s="172" t="s">
        <v>81</v>
      </c>
      <c r="D62" s="172" t="s">
        <v>221</v>
      </c>
      <c r="E62" s="172">
        <v>2.0572680827141001E-2</v>
      </c>
      <c r="F62" s="172">
        <v>1.92309112077487E-2</v>
      </c>
      <c r="G62" s="172">
        <v>1.0697715050991301</v>
      </c>
    </row>
    <row r="63" spans="2:7" hidden="1" x14ac:dyDescent="0.3">
      <c r="B63" s="172" t="s">
        <v>26</v>
      </c>
      <c r="C63" s="172" t="s">
        <v>81</v>
      </c>
      <c r="D63" s="172" t="s">
        <v>218</v>
      </c>
      <c r="E63" s="172">
        <v>2.4092306720471901E-3</v>
      </c>
      <c r="F63" s="172">
        <v>1.5826585075821801E-3</v>
      </c>
      <c r="G63" s="172">
        <v>1.52226817124798</v>
      </c>
    </row>
    <row r="64" spans="2:7" hidden="1" x14ac:dyDescent="0.3">
      <c r="B64" s="172" t="s">
        <v>26</v>
      </c>
      <c r="C64" s="172" t="s">
        <v>81</v>
      </c>
      <c r="D64" s="172" t="s">
        <v>221</v>
      </c>
      <c r="E64" s="172">
        <v>1.6580319802910401E-2</v>
      </c>
      <c r="F64" s="172">
        <v>1.5536228647796701E-2</v>
      </c>
      <c r="G64" s="172">
        <v>1.0672036424529401</v>
      </c>
    </row>
    <row r="65" spans="2:7" hidden="1" x14ac:dyDescent="0.3">
      <c r="B65" s="172" t="s">
        <v>25</v>
      </c>
      <c r="C65" s="172" t="s">
        <v>81</v>
      </c>
      <c r="D65" s="172" t="s">
        <v>218</v>
      </c>
      <c r="E65" s="172">
        <v>1.78938091668507E-3</v>
      </c>
      <c r="F65" s="172">
        <v>1.1765769342443101E-3</v>
      </c>
      <c r="G65" s="172">
        <v>1.52083630454166</v>
      </c>
    </row>
    <row r="66" spans="2:7" hidden="1" x14ac:dyDescent="0.3">
      <c r="B66" s="172" t="s">
        <v>25</v>
      </c>
      <c r="C66" s="172" t="s">
        <v>81</v>
      </c>
      <c r="D66" s="172" t="s">
        <v>221</v>
      </c>
      <c r="E66" s="172">
        <v>1.2353427110762399E-2</v>
      </c>
      <c r="F66" s="172">
        <v>1.15793589224162E-2</v>
      </c>
      <c r="G66" s="172">
        <v>1.0668489675061099</v>
      </c>
    </row>
    <row r="67" spans="2:7" hidden="1" x14ac:dyDescent="0.3">
      <c r="B67" s="172" t="s">
        <v>24</v>
      </c>
      <c r="C67" s="172" t="s">
        <v>81</v>
      </c>
      <c r="D67" s="172" t="s">
        <v>218</v>
      </c>
      <c r="E67" s="172">
        <v>1.1789000201070301E-3</v>
      </c>
      <c r="F67" s="172">
        <v>7.5723774074721499E-4</v>
      </c>
      <c r="G67" s="172">
        <v>1.5568426620465701</v>
      </c>
    </row>
    <row r="68" spans="2:7" hidden="1" x14ac:dyDescent="0.3">
      <c r="B68" s="172" t="s">
        <v>24</v>
      </c>
      <c r="C68" s="172" t="s">
        <v>81</v>
      </c>
      <c r="D68" s="172" t="s">
        <v>221</v>
      </c>
      <c r="E68" s="172">
        <v>7.9797840749634905E-3</v>
      </c>
      <c r="F68" s="172">
        <v>7.4471580378774101E-3</v>
      </c>
      <c r="G68" s="172">
        <v>1.0715207109043601</v>
      </c>
    </row>
    <row r="69" spans="2:7" hidden="1" x14ac:dyDescent="0.3">
      <c r="B69" s="172" t="s">
        <v>22</v>
      </c>
      <c r="C69" s="172" t="s">
        <v>81</v>
      </c>
      <c r="D69" s="172" t="s">
        <v>218</v>
      </c>
      <c r="E69" s="172">
        <v>5.8538122194226995E-4</v>
      </c>
      <c r="F69" s="172">
        <v>3.4482422812232699E-4</v>
      </c>
      <c r="G69" s="172">
        <v>1.69762207583222</v>
      </c>
    </row>
    <row r="70" spans="2:7" hidden="1" x14ac:dyDescent="0.3">
      <c r="B70" s="172" t="s">
        <v>22</v>
      </c>
      <c r="C70" s="172" t="s">
        <v>81</v>
      </c>
      <c r="D70" s="172" t="s">
        <v>221</v>
      </c>
      <c r="E70" s="172">
        <v>3.6395638350918899E-3</v>
      </c>
      <c r="F70" s="172">
        <v>3.3357023692140702E-3</v>
      </c>
      <c r="G70" s="172">
        <v>1.09109369849128</v>
      </c>
    </row>
    <row r="71" spans="2:7" hidden="1" x14ac:dyDescent="0.3">
      <c r="B71" s="172" t="s">
        <v>189</v>
      </c>
      <c r="C71" s="172" t="s">
        <v>82</v>
      </c>
      <c r="D71" s="172" t="s">
        <v>221</v>
      </c>
      <c r="E71" s="172">
        <v>2.9971248893849899E-2</v>
      </c>
      <c r="F71" s="172">
        <v>2.9446057967908199E-2</v>
      </c>
      <c r="G71" s="172">
        <v>1.01783569557983</v>
      </c>
    </row>
    <row r="72" spans="2:7" hidden="1" x14ac:dyDescent="0.3">
      <c r="B72" s="172" t="s">
        <v>187</v>
      </c>
      <c r="C72" s="172" t="s">
        <v>82</v>
      </c>
      <c r="D72" s="172" t="s">
        <v>218</v>
      </c>
      <c r="E72" s="172">
        <v>6.0200566872377903E-3</v>
      </c>
      <c r="F72" s="172">
        <v>3.6408503592005401E-3</v>
      </c>
      <c r="G72" s="172">
        <v>1.65347545032301</v>
      </c>
    </row>
    <row r="73" spans="2:7" hidden="1" x14ac:dyDescent="0.3">
      <c r="B73" s="172" t="s">
        <v>187</v>
      </c>
      <c r="C73" s="172" t="s">
        <v>82</v>
      </c>
      <c r="D73" s="172" t="s">
        <v>221</v>
      </c>
      <c r="E73" s="172">
        <v>3.3769006564579901E-2</v>
      </c>
      <c r="F73" s="172">
        <v>3.0763693308111802E-2</v>
      </c>
      <c r="G73" s="172">
        <v>1.09769026190609</v>
      </c>
    </row>
    <row r="74" spans="2:7" hidden="1" x14ac:dyDescent="0.3">
      <c r="B74" s="172" t="s">
        <v>185</v>
      </c>
      <c r="C74" s="172" t="s">
        <v>82</v>
      </c>
      <c r="D74" s="172" t="s">
        <v>218</v>
      </c>
      <c r="E74" s="172">
        <v>5.9404942158508304E-3</v>
      </c>
      <c r="F74" s="172">
        <v>3.4978981870801098E-3</v>
      </c>
      <c r="G74" s="172">
        <v>1.6983039237084501</v>
      </c>
    </row>
    <row r="75" spans="2:7" hidden="1" x14ac:dyDescent="0.3">
      <c r="B75" s="172" t="s">
        <v>185</v>
      </c>
      <c r="C75" s="172" t="s">
        <v>82</v>
      </c>
      <c r="D75" s="172" t="s">
        <v>221</v>
      </c>
      <c r="E75" s="172">
        <v>3.2637364015584099E-2</v>
      </c>
      <c r="F75" s="172">
        <v>2.9551979558189501E-2</v>
      </c>
      <c r="G75" s="172">
        <v>1.10440533945685</v>
      </c>
    </row>
    <row r="76" spans="2:7" hidden="1" x14ac:dyDescent="0.3">
      <c r="B76" s="172" t="s">
        <v>183</v>
      </c>
      <c r="C76" s="172" t="s">
        <v>82</v>
      </c>
      <c r="D76" s="172" t="s">
        <v>218</v>
      </c>
      <c r="E76" s="172">
        <v>5.7094799021522504E-3</v>
      </c>
      <c r="F76" s="172">
        <v>3.2848114480054699E-3</v>
      </c>
      <c r="G76" s="172">
        <v>1.7381453981533801</v>
      </c>
    </row>
    <row r="77" spans="2:7" hidden="1" x14ac:dyDescent="0.3">
      <c r="B77" s="172" t="s">
        <v>183</v>
      </c>
      <c r="C77" s="172" t="s">
        <v>82</v>
      </c>
      <c r="D77" s="172" t="s">
        <v>221</v>
      </c>
      <c r="E77" s="172">
        <v>3.0771532724560999E-2</v>
      </c>
      <c r="F77" s="172">
        <v>2.7708793624586101E-2</v>
      </c>
      <c r="G77" s="172">
        <v>1.1105331087838199</v>
      </c>
    </row>
    <row r="78" spans="2:7" hidden="1" x14ac:dyDescent="0.3">
      <c r="B78" s="172" t="s">
        <v>181</v>
      </c>
      <c r="C78" s="172" t="s">
        <v>82</v>
      </c>
      <c r="D78" s="172" t="s">
        <v>218</v>
      </c>
      <c r="E78" s="172">
        <v>5.3258987706384401E-3</v>
      </c>
      <c r="F78" s="172">
        <v>3.0026663549192799E-3</v>
      </c>
      <c r="G78" s="172">
        <v>1.77372313174689</v>
      </c>
    </row>
    <row r="79" spans="2:7" hidden="1" x14ac:dyDescent="0.3">
      <c r="B79" s="172" t="s">
        <v>181</v>
      </c>
      <c r="C79" s="172" t="s">
        <v>82</v>
      </c>
      <c r="D79" s="172" t="s">
        <v>221</v>
      </c>
      <c r="E79" s="172">
        <v>2.8218254149147699E-2</v>
      </c>
      <c r="F79" s="172">
        <v>2.5283644781923499E-2</v>
      </c>
      <c r="G79" s="172">
        <v>1.1160674970929101</v>
      </c>
    </row>
    <row r="80" spans="2:7" hidden="1" x14ac:dyDescent="0.3">
      <c r="B80" s="172" t="s">
        <v>179</v>
      </c>
      <c r="C80" s="172" t="s">
        <v>82</v>
      </c>
      <c r="D80" s="172" t="s">
        <v>218</v>
      </c>
      <c r="E80" s="172">
        <v>4.8085231571060099E-3</v>
      </c>
      <c r="F80" s="172">
        <v>2.6606949959688802E-3</v>
      </c>
      <c r="G80" s="172">
        <v>1.8072432820715001</v>
      </c>
    </row>
    <row r="81" spans="2:7" hidden="1" x14ac:dyDescent="0.3">
      <c r="B81" s="172" t="s">
        <v>179</v>
      </c>
      <c r="C81" s="172" t="s">
        <v>82</v>
      </c>
      <c r="D81" s="172" t="s">
        <v>221</v>
      </c>
      <c r="E81" s="172">
        <v>2.5082364215334201E-2</v>
      </c>
      <c r="F81" s="172">
        <v>2.2369318117055701E-2</v>
      </c>
      <c r="G81" s="172">
        <v>1.1212842556970899</v>
      </c>
    </row>
    <row r="82" spans="2:7" hidden="1" x14ac:dyDescent="0.3">
      <c r="B82" s="172" t="s">
        <v>39</v>
      </c>
      <c r="C82" s="172" t="s">
        <v>82</v>
      </c>
      <c r="D82" s="172" t="s">
        <v>218</v>
      </c>
      <c r="E82" s="172">
        <v>4.1736904108974704E-3</v>
      </c>
      <c r="F82" s="172">
        <v>2.2682417631394699E-3</v>
      </c>
      <c r="G82" s="172">
        <v>1.84005535861428</v>
      </c>
    </row>
    <row r="83" spans="2:7" hidden="1" x14ac:dyDescent="0.3">
      <c r="B83" s="172" t="s">
        <v>39</v>
      </c>
      <c r="C83" s="172" t="s">
        <v>82</v>
      </c>
      <c r="D83" s="172" t="s">
        <v>221</v>
      </c>
      <c r="E83" s="172">
        <v>2.14561418231441E-2</v>
      </c>
      <c r="F83" s="172">
        <v>1.90492593207129E-2</v>
      </c>
      <c r="G83" s="172">
        <v>1.1263504507922799</v>
      </c>
    </row>
    <row r="84" spans="2:7" hidden="1" x14ac:dyDescent="0.3">
      <c r="B84" s="172" t="s">
        <v>26</v>
      </c>
      <c r="C84" s="172" t="s">
        <v>82</v>
      </c>
      <c r="D84" s="172" t="s">
        <v>218</v>
      </c>
      <c r="E84" s="172">
        <v>3.4307622434315301E-3</v>
      </c>
      <c r="F84" s="172">
        <v>1.8333331681017601E-3</v>
      </c>
      <c r="G84" s="172">
        <v>1.87132502870919</v>
      </c>
    </row>
    <row r="85" spans="2:7" hidden="1" x14ac:dyDescent="0.3">
      <c r="B85" s="172" t="s">
        <v>26</v>
      </c>
      <c r="C85" s="172" t="s">
        <v>82</v>
      </c>
      <c r="D85" s="172" t="s">
        <v>221</v>
      </c>
      <c r="E85" s="172">
        <v>1.7413948484945999E-2</v>
      </c>
      <c r="F85" s="172">
        <v>1.5396143337161E-2</v>
      </c>
      <c r="G85" s="172">
        <v>1.13105912978315</v>
      </c>
    </row>
    <row r="86" spans="2:7" hidden="1" x14ac:dyDescent="0.3">
      <c r="B86" s="172" t="s">
        <v>25</v>
      </c>
      <c r="C86" s="172" t="s">
        <v>82</v>
      </c>
      <c r="D86" s="172" t="s">
        <v>218</v>
      </c>
      <c r="E86" s="172">
        <v>2.59216100647319E-3</v>
      </c>
      <c r="F86" s="172">
        <v>1.3656266344767699E-3</v>
      </c>
      <c r="G86" s="172">
        <v>1.8981476642525701</v>
      </c>
    </row>
    <row r="87" spans="2:7" hidden="1" x14ac:dyDescent="0.3">
      <c r="B87" s="172" t="s">
        <v>25</v>
      </c>
      <c r="C87" s="172" t="s">
        <v>82</v>
      </c>
      <c r="D87" s="172" t="s">
        <v>221</v>
      </c>
      <c r="E87" s="172">
        <v>1.30254692332175E-2</v>
      </c>
      <c r="F87" s="172">
        <v>1.14761626580641E-2</v>
      </c>
      <c r="G87" s="172">
        <v>1.1350021449952801</v>
      </c>
    </row>
    <row r="88" spans="2:7" hidden="1" x14ac:dyDescent="0.3">
      <c r="B88" s="172" t="s">
        <v>24</v>
      </c>
      <c r="C88" s="172" t="s">
        <v>82</v>
      </c>
      <c r="D88" s="172" t="s">
        <v>218</v>
      </c>
      <c r="E88" s="172">
        <v>1.6788458379407699E-3</v>
      </c>
      <c r="F88" s="172">
        <v>8.7916908731812198E-4</v>
      </c>
      <c r="G88" s="172">
        <v>1.9095824252215601</v>
      </c>
    </row>
    <row r="89" spans="2:7" hidden="1" x14ac:dyDescent="0.3">
      <c r="B89" s="172" t="s">
        <v>24</v>
      </c>
      <c r="C89" s="172" t="s">
        <v>82</v>
      </c>
      <c r="D89" s="172" t="s">
        <v>221</v>
      </c>
      <c r="E89" s="172">
        <v>8.3857017965710892E-3</v>
      </c>
      <c r="F89" s="172">
        <v>7.3755837957845899E-3</v>
      </c>
      <c r="G89" s="172">
        <v>1.1369543115168499</v>
      </c>
    </row>
    <row r="90" spans="2:7" hidden="1" x14ac:dyDescent="0.3">
      <c r="B90" s="172" t="s">
        <v>22</v>
      </c>
      <c r="C90" s="172" t="s">
        <v>82</v>
      </c>
      <c r="D90" s="172" t="s">
        <v>218</v>
      </c>
      <c r="E90" s="172">
        <v>7.4461907896339395E-4</v>
      </c>
      <c r="F90" s="172">
        <v>3.9812359903672702E-4</v>
      </c>
      <c r="G90" s="172">
        <v>1.8703213795038101</v>
      </c>
    </row>
    <row r="91" spans="2:7" hidden="1" x14ac:dyDescent="0.3">
      <c r="B91" s="172" t="s">
        <v>22</v>
      </c>
      <c r="C91" s="172" t="s">
        <v>82</v>
      </c>
      <c r="D91" s="172" t="s">
        <v>221</v>
      </c>
      <c r="E91" s="172">
        <v>3.7308335051109399E-3</v>
      </c>
      <c r="F91" s="172">
        <v>3.2931550041509399E-3</v>
      </c>
      <c r="G91" s="172">
        <v>1.1329055268908701</v>
      </c>
    </row>
    <row r="92" spans="2:7" hidden="1" x14ac:dyDescent="0.3">
      <c r="B92" s="172" t="s">
        <v>189</v>
      </c>
      <c r="C92" s="172" t="s">
        <v>246</v>
      </c>
      <c r="D92" s="172" t="s">
        <v>218</v>
      </c>
      <c r="E92" s="172">
        <v>2.72054113158817E-3</v>
      </c>
      <c r="F92" s="172">
        <v>2.6361408868282202E-3</v>
      </c>
      <c r="G92" s="172">
        <v>1.03201659106373</v>
      </c>
    </row>
    <row r="93" spans="2:7" hidden="1" x14ac:dyDescent="0.3">
      <c r="B93" s="172" t="s">
        <v>187</v>
      </c>
      <c r="C93" s="172" t="s">
        <v>246</v>
      </c>
      <c r="D93" s="172" t="s">
        <v>218</v>
      </c>
      <c r="E93" s="172">
        <v>1.9829385141815399E-3</v>
      </c>
      <c r="F93" s="172">
        <v>1.73674361485152E-3</v>
      </c>
      <c r="G93" s="172">
        <v>1.141756616938</v>
      </c>
    </row>
    <row r="94" spans="2:7" hidden="1" x14ac:dyDescent="0.3">
      <c r="B94" s="172" t="s">
        <v>185</v>
      </c>
      <c r="C94" s="172" t="s">
        <v>246</v>
      </c>
      <c r="D94" s="172" t="s">
        <v>218</v>
      </c>
      <c r="E94" s="172">
        <v>1.694605067312E-3</v>
      </c>
      <c r="F94" s="172">
        <v>1.4851594081742E-3</v>
      </c>
      <c r="G94" s="172">
        <v>1.1410257094188201</v>
      </c>
    </row>
    <row r="95" spans="2:7" hidden="1" x14ac:dyDescent="0.3">
      <c r="B95" s="172" t="s">
        <v>183</v>
      </c>
      <c r="C95" s="172" t="s">
        <v>246</v>
      </c>
      <c r="D95" s="172" t="s">
        <v>218</v>
      </c>
      <c r="E95" s="172">
        <v>1.40297411089107E-3</v>
      </c>
      <c r="F95" s="172">
        <v>1.22637433173614E-3</v>
      </c>
      <c r="G95" s="172">
        <v>1.1440015292108401</v>
      </c>
    </row>
    <row r="96" spans="2:7" hidden="1" x14ac:dyDescent="0.3">
      <c r="B96" s="172" t="s">
        <v>181</v>
      </c>
      <c r="C96" s="172" t="s">
        <v>246</v>
      </c>
      <c r="D96" s="172" t="s">
        <v>218</v>
      </c>
      <c r="E96" s="172">
        <v>1.1234092232740799E-3</v>
      </c>
      <c r="F96" s="172">
        <v>9.7857919201981697E-4</v>
      </c>
      <c r="G96" s="172">
        <v>1.14800031763943</v>
      </c>
    </row>
    <row r="97" spans="2:7" hidden="1" x14ac:dyDescent="0.3">
      <c r="B97" s="172" t="s">
        <v>179</v>
      </c>
      <c r="C97" s="172" t="s">
        <v>246</v>
      </c>
      <c r="D97" s="172" t="s">
        <v>218</v>
      </c>
      <c r="E97" s="172">
        <v>8.6286878801612396E-4</v>
      </c>
      <c r="F97" s="172">
        <v>7.4773116503309305E-4</v>
      </c>
      <c r="G97" s="172">
        <v>1.1539826455915301</v>
      </c>
    </row>
    <row r="98" spans="2:7" hidden="1" x14ac:dyDescent="0.3">
      <c r="B98" s="172" t="s">
        <v>39</v>
      </c>
      <c r="C98" s="172" t="s">
        <v>246</v>
      </c>
      <c r="D98" s="172" t="s">
        <v>218</v>
      </c>
      <c r="E98" s="172">
        <v>6.2680872942744495E-4</v>
      </c>
      <c r="F98" s="172">
        <v>5.3889856022323098E-4</v>
      </c>
      <c r="G98" s="172">
        <v>1.16312934509938</v>
      </c>
    </row>
    <row r="99" spans="2:7" hidden="1" x14ac:dyDescent="0.3">
      <c r="B99" s="172" t="s">
        <v>26</v>
      </c>
      <c r="C99" s="172" t="s">
        <v>246</v>
      </c>
      <c r="D99" s="172" t="s">
        <v>218</v>
      </c>
      <c r="E99" s="172">
        <v>4.1271402440622602E-4</v>
      </c>
      <c r="F99" s="172">
        <v>3.5210086627233202E-4</v>
      </c>
      <c r="G99" s="172">
        <v>1.17214714287869</v>
      </c>
    </row>
    <row r="100" spans="2:7" hidden="1" x14ac:dyDescent="0.3">
      <c r="B100" s="172" t="s">
        <v>25</v>
      </c>
      <c r="C100" s="172" t="s">
        <v>246</v>
      </c>
      <c r="D100" s="172" t="s">
        <v>218</v>
      </c>
      <c r="E100" s="172">
        <v>2.2916727664979E-4</v>
      </c>
      <c r="F100" s="172">
        <v>1.9439928848896299E-4</v>
      </c>
      <c r="G100" s="172">
        <v>1.17884833031578</v>
      </c>
    </row>
    <row r="101" spans="2:7" hidden="1" x14ac:dyDescent="0.3">
      <c r="B101" s="172" t="s">
        <v>24</v>
      </c>
      <c r="C101" s="172" t="s">
        <v>246</v>
      </c>
      <c r="D101" s="172" t="s">
        <v>218</v>
      </c>
      <c r="E101" s="172">
        <v>9.46249427066265E-5</v>
      </c>
      <c r="F101" s="172">
        <v>7.8991611890459704E-5</v>
      </c>
      <c r="G101" s="172">
        <v>1.1979112774384999</v>
      </c>
    </row>
    <row r="102" spans="2:7" hidden="1" x14ac:dyDescent="0.3">
      <c r="B102" s="172" t="s">
        <v>22</v>
      </c>
      <c r="C102" s="172" t="s">
        <v>246</v>
      </c>
      <c r="D102" s="172" t="s">
        <v>218</v>
      </c>
      <c r="E102" s="172">
        <v>2.2011405157695699E-5</v>
      </c>
      <c r="F102" s="172">
        <v>1.7740658978766801E-5</v>
      </c>
      <c r="G102" s="172">
        <v>1.2407321049370501</v>
      </c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2.4296677670393899E-2</v>
      </c>
      <c r="F138" s="172">
        <v>2.3896112612663899E-2</v>
      </c>
      <c r="G138" s="172">
        <v>1.0167627707578499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2.6369173778708701E-2</v>
      </c>
      <c r="F139" s="172">
        <v>2.45621954277035E-2</v>
      </c>
      <c r="G139" s="172">
        <v>1.07356746086985</v>
      </c>
    </row>
    <row r="140" spans="2:7" hidden="1" x14ac:dyDescent="0.3">
      <c r="B140" s="172" t="s">
        <v>187</v>
      </c>
      <c r="C140" s="172" t="s">
        <v>79</v>
      </c>
      <c r="D140" s="172" t="s">
        <v>221</v>
      </c>
      <c r="E140" s="172">
        <v>5.9089800021819797E-3</v>
      </c>
      <c r="F140" s="172">
        <v>3.6264810324911898E-3</v>
      </c>
      <c r="G140" s="172">
        <v>1.62939774101696</v>
      </c>
    </row>
    <row r="141" spans="2:7" hidden="1" x14ac:dyDescent="0.3">
      <c r="B141" s="172" t="s">
        <v>185</v>
      </c>
      <c r="C141" s="172" t="s">
        <v>79</v>
      </c>
      <c r="D141" s="172" t="s">
        <v>218</v>
      </c>
      <c r="E141" s="172">
        <v>2.5488575718546399E-2</v>
      </c>
      <c r="F141" s="172">
        <v>2.3685199752799001E-2</v>
      </c>
      <c r="G141" s="172">
        <v>1.0761393606374099</v>
      </c>
    </row>
    <row r="142" spans="2:7" hidden="1" x14ac:dyDescent="0.3">
      <c r="B142" s="172" t="s">
        <v>185</v>
      </c>
      <c r="C142" s="172" t="s">
        <v>79</v>
      </c>
      <c r="D142" s="172" t="s">
        <v>221</v>
      </c>
      <c r="E142" s="172">
        <v>5.7385305839271301E-3</v>
      </c>
      <c r="F142" s="172">
        <v>3.4605819956145898E-3</v>
      </c>
      <c r="G142" s="172">
        <v>1.6582559208824601</v>
      </c>
    </row>
    <row r="143" spans="2:7" hidden="1" x14ac:dyDescent="0.3">
      <c r="B143" s="172" t="s">
        <v>183</v>
      </c>
      <c r="C143" s="172" t="s">
        <v>79</v>
      </c>
      <c r="D143" s="172" t="s">
        <v>218</v>
      </c>
      <c r="E143" s="172">
        <v>2.4044831911139E-2</v>
      </c>
      <c r="F143" s="172">
        <v>2.2290951112365901E-2</v>
      </c>
      <c r="G143" s="172">
        <v>1.0786812904452601</v>
      </c>
    </row>
    <row r="144" spans="2:7" hidden="1" x14ac:dyDescent="0.3">
      <c r="B144" s="172" t="s">
        <v>183</v>
      </c>
      <c r="C144" s="172" t="s">
        <v>79</v>
      </c>
      <c r="D144" s="172" t="s">
        <v>221</v>
      </c>
      <c r="E144" s="172">
        <v>5.4430272869196899E-3</v>
      </c>
      <c r="F144" s="172">
        <v>3.2275989095221199E-3</v>
      </c>
      <c r="G144" s="172">
        <v>1.6864013898571999</v>
      </c>
    </row>
    <row r="145" spans="2:7" hidden="1" x14ac:dyDescent="0.3">
      <c r="B145" s="172" t="s">
        <v>181</v>
      </c>
      <c r="C145" s="172" t="s">
        <v>79</v>
      </c>
      <c r="D145" s="172" t="s">
        <v>218</v>
      </c>
      <c r="E145" s="172">
        <v>2.2070856033619E-2</v>
      </c>
      <c r="F145" s="172">
        <v>2.0412756899310099E-2</v>
      </c>
      <c r="G145" s="172">
        <v>1.0812285739984999</v>
      </c>
    </row>
    <row r="146" spans="2:7" hidden="1" x14ac:dyDescent="0.3">
      <c r="B146" s="172" t="s">
        <v>181</v>
      </c>
      <c r="C146" s="172" t="s">
        <v>79</v>
      </c>
      <c r="D146" s="172" t="s">
        <v>221</v>
      </c>
      <c r="E146" s="172">
        <v>5.0253967400682104E-3</v>
      </c>
      <c r="F146" s="172">
        <v>2.9309557283096E-3</v>
      </c>
      <c r="G146" s="172">
        <v>1.71459319276943</v>
      </c>
    </row>
    <row r="147" spans="2:7" hidden="1" x14ac:dyDescent="0.3">
      <c r="B147" s="172" t="s">
        <v>179</v>
      </c>
      <c r="C147" s="172" t="s">
        <v>79</v>
      </c>
      <c r="D147" s="172" t="s">
        <v>218</v>
      </c>
      <c r="E147" s="172">
        <v>1.9642581950925199E-2</v>
      </c>
      <c r="F147" s="172">
        <v>1.8121026536248301E-2</v>
      </c>
      <c r="G147" s="172">
        <v>1.0839662925074001</v>
      </c>
    </row>
    <row r="148" spans="2:7" hidden="1" x14ac:dyDescent="0.3">
      <c r="B148" s="172" t="s">
        <v>179</v>
      </c>
      <c r="C148" s="172" t="s">
        <v>79</v>
      </c>
      <c r="D148" s="172" t="s">
        <v>221</v>
      </c>
      <c r="E148" s="172">
        <v>4.5009551802985097E-3</v>
      </c>
      <c r="F148" s="172">
        <v>2.57899044596977E-3</v>
      </c>
      <c r="G148" s="172">
        <v>1.7452391835465</v>
      </c>
    </row>
    <row r="149" spans="2:7" hidden="1" x14ac:dyDescent="0.3">
      <c r="B149" s="172" t="s">
        <v>39</v>
      </c>
      <c r="C149" s="172" t="s">
        <v>79</v>
      </c>
      <c r="D149" s="172" t="s">
        <v>218</v>
      </c>
      <c r="E149" s="172">
        <v>1.68312945482136E-2</v>
      </c>
      <c r="F149" s="172">
        <v>1.54835125608936E-2</v>
      </c>
      <c r="G149" s="172">
        <v>1.0870462682172</v>
      </c>
    </row>
    <row r="150" spans="2:7" hidden="1" x14ac:dyDescent="0.3">
      <c r="B150" s="172" t="s">
        <v>39</v>
      </c>
      <c r="C150" s="172" t="s">
        <v>79</v>
      </c>
      <c r="D150" s="172" t="s">
        <v>221</v>
      </c>
      <c r="E150" s="172">
        <v>3.8828980410282698E-3</v>
      </c>
      <c r="F150" s="172">
        <v>2.1804365833609802E-3</v>
      </c>
      <c r="G150" s="172">
        <v>1.78078925599527</v>
      </c>
    </row>
    <row r="151" spans="2:7" hidden="1" x14ac:dyDescent="0.3">
      <c r="B151" s="172" t="s">
        <v>26</v>
      </c>
      <c r="C151" s="172" t="s">
        <v>79</v>
      </c>
      <c r="D151" s="172" t="s">
        <v>218</v>
      </c>
      <c r="E151" s="172">
        <v>1.37068370032923E-2</v>
      </c>
      <c r="F151" s="172">
        <v>1.25840213253634E-2</v>
      </c>
      <c r="G151" s="172">
        <v>1.0892255066086001</v>
      </c>
    </row>
    <row r="152" spans="2:7" hidden="1" x14ac:dyDescent="0.3">
      <c r="B152" s="172" t="s">
        <v>26</v>
      </c>
      <c r="C152" s="172" t="s">
        <v>79</v>
      </c>
      <c r="D152" s="172" t="s">
        <v>221</v>
      </c>
      <c r="E152" s="172">
        <v>3.1643331057982001E-3</v>
      </c>
      <c r="F152" s="172">
        <v>1.74603961788796E-3</v>
      </c>
      <c r="G152" s="172">
        <v>1.8122916991000699</v>
      </c>
    </row>
    <row r="153" spans="2:7" hidden="1" x14ac:dyDescent="0.3">
      <c r="B153" s="172" t="s">
        <v>25</v>
      </c>
      <c r="C153" s="172" t="s">
        <v>79</v>
      </c>
      <c r="D153" s="172" t="s">
        <v>218</v>
      </c>
      <c r="E153" s="172">
        <v>1.03289988617898E-2</v>
      </c>
      <c r="F153" s="172">
        <v>9.4803589182617404E-3</v>
      </c>
      <c r="G153" s="172">
        <v>1.0895155922729201</v>
      </c>
    </row>
    <row r="154" spans="2:7" hidden="1" x14ac:dyDescent="0.3">
      <c r="B154" s="172" t="s">
        <v>25</v>
      </c>
      <c r="C154" s="172" t="s">
        <v>79</v>
      </c>
      <c r="D154" s="172" t="s">
        <v>221</v>
      </c>
      <c r="E154" s="172">
        <v>2.3578788321528699E-3</v>
      </c>
      <c r="F154" s="172">
        <v>1.2859125876964E-3</v>
      </c>
      <c r="G154" s="172">
        <v>1.8336229497347101</v>
      </c>
    </row>
    <row r="155" spans="2:7" hidden="1" x14ac:dyDescent="0.3">
      <c r="B155" s="172" t="s">
        <v>24</v>
      </c>
      <c r="C155" s="172" t="s">
        <v>79</v>
      </c>
      <c r="D155" s="172" t="s">
        <v>218</v>
      </c>
      <c r="E155" s="172">
        <v>6.7592369928653698E-3</v>
      </c>
      <c r="F155" s="172">
        <v>6.2129675758438602E-3</v>
      </c>
      <c r="G155" s="172">
        <v>1.08792407337605</v>
      </c>
    </row>
    <row r="156" spans="2:7" hidden="1" x14ac:dyDescent="0.3">
      <c r="B156" s="172" t="s">
        <v>24</v>
      </c>
      <c r="C156" s="172" t="s">
        <v>79</v>
      </c>
      <c r="D156" s="172" t="s">
        <v>221</v>
      </c>
      <c r="E156" s="172">
        <v>1.5026283669079799E-3</v>
      </c>
      <c r="F156" s="172">
        <v>8.1260384014396E-4</v>
      </c>
      <c r="G156" s="172">
        <v>1.8491524315732599</v>
      </c>
    </row>
    <row r="157" spans="2:7" hidden="1" x14ac:dyDescent="0.3">
      <c r="B157" s="172" t="s">
        <v>22</v>
      </c>
      <c r="C157" s="172" t="s">
        <v>79</v>
      </c>
      <c r="D157" s="172" t="s">
        <v>218</v>
      </c>
      <c r="E157" s="172">
        <v>3.1314997015335399E-3</v>
      </c>
      <c r="F157" s="172">
        <v>2.89599168700461E-3</v>
      </c>
      <c r="G157" s="172">
        <v>1.08132206165706</v>
      </c>
    </row>
    <row r="158" spans="2:7" hidden="1" x14ac:dyDescent="0.3">
      <c r="B158" s="172" t="s">
        <v>22</v>
      </c>
      <c r="C158" s="172" t="s">
        <v>79</v>
      </c>
      <c r="D158" s="172" t="s">
        <v>221</v>
      </c>
      <c r="E158" s="172">
        <v>6.5211873703576698E-4</v>
      </c>
      <c r="F158" s="172">
        <v>3.5463492920974701E-4</v>
      </c>
      <c r="G158" s="172">
        <v>1.83884519917121</v>
      </c>
    </row>
    <row r="159" spans="2:7" x14ac:dyDescent="0.3">
      <c r="B159" s="172" t="s">
        <v>189</v>
      </c>
      <c r="C159" s="172" t="s">
        <v>80</v>
      </c>
      <c r="D159" s="172" t="s">
        <v>218</v>
      </c>
      <c r="E159" s="172">
        <v>2.6802815384822799E-2</v>
      </c>
      <c r="F159" s="172">
        <v>2.6428880000281499E-2</v>
      </c>
      <c r="G159" s="172">
        <v>1.0141487412458401</v>
      </c>
    </row>
    <row r="160" spans="2:7" hidden="1" x14ac:dyDescent="0.3">
      <c r="B160" s="172" t="s">
        <v>189</v>
      </c>
      <c r="C160" s="172" t="s">
        <v>80</v>
      </c>
      <c r="D160" s="172" t="s">
        <v>221</v>
      </c>
      <c r="E160" s="172">
        <v>6.4017367304005004E-3</v>
      </c>
      <c r="F160" s="172">
        <v>5.9343174997238696E-3</v>
      </c>
      <c r="G160" s="172">
        <v>1.07876545713949</v>
      </c>
    </row>
    <row r="161" spans="2:7" x14ac:dyDescent="0.3">
      <c r="B161" s="172" t="s">
        <v>187</v>
      </c>
      <c r="C161" s="172" t="s">
        <v>80</v>
      </c>
      <c r="D161" s="172" t="s">
        <v>218</v>
      </c>
      <c r="E161" s="172">
        <v>2.5985902730698899E-2</v>
      </c>
      <c r="F161" s="172">
        <v>2.4222655655899799E-2</v>
      </c>
      <c r="G161" s="172">
        <v>1.0727933014384201</v>
      </c>
    </row>
    <row r="162" spans="2:7" hidden="1" x14ac:dyDescent="0.3">
      <c r="B162" s="172" t="s">
        <v>187</v>
      </c>
      <c r="C162" s="172" t="s">
        <v>80</v>
      </c>
      <c r="D162" s="172" t="s">
        <v>221</v>
      </c>
      <c r="E162" s="172">
        <v>6.1568647118906998E-3</v>
      </c>
      <c r="F162" s="172">
        <v>3.9296052489866699E-3</v>
      </c>
      <c r="G162" s="172">
        <v>1.56678961925714</v>
      </c>
    </row>
    <row r="163" spans="2:7" x14ac:dyDescent="0.3">
      <c r="B163" s="172" t="s">
        <v>185</v>
      </c>
      <c r="C163" s="172" t="s">
        <v>80</v>
      </c>
      <c r="D163" s="172" t="s">
        <v>218</v>
      </c>
      <c r="E163" s="172">
        <v>2.50032607804982E-2</v>
      </c>
      <c r="F163" s="172">
        <v>2.33541090090639E-2</v>
      </c>
      <c r="G163" s="172">
        <v>1.07061505839483</v>
      </c>
    </row>
    <row r="164" spans="2:7" hidden="1" x14ac:dyDescent="0.3">
      <c r="B164" s="172" t="s">
        <v>185</v>
      </c>
      <c r="C164" s="172" t="s">
        <v>80</v>
      </c>
      <c r="D164" s="172" t="s">
        <v>221</v>
      </c>
      <c r="E164" s="172">
        <v>5.8182210002371299E-3</v>
      </c>
      <c r="F164" s="172">
        <v>3.7350819205305801E-3</v>
      </c>
      <c r="G164" s="172">
        <v>1.5577224607193201</v>
      </c>
    </row>
    <row r="165" spans="2:7" x14ac:dyDescent="0.3">
      <c r="B165" s="172" t="s">
        <v>183</v>
      </c>
      <c r="C165" s="172" t="s">
        <v>80</v>
      </c>
      <c r="D165" s="172" t="s">
        <v>218</v>
      </c>
      <c r="E165" s="172">
        <v>2.3478504741381301E-2</v>
      </c>
      <c r="F165" s="172">
        <v>2.19749729566956E-2</v>
      </c>
      <c r="G165" s="172">
        <v>1.0684201881680899</v>
      </c>
    </row>
    <row r="166" spans="2:7" hidden="1" x14ac:dyDescent="0.3">
      <c r="B166" s="172" t="s">
        <v>183</v>
      </c>
      <c r="C166" s="172" t="s">
        <v>80</v>
      </c>
      <c r="D166" s="172" t="s">
        <v>221</v>
      </c>
      <c r="E166" s="172">
        <v>5.3686598492054599E-3</v>
      </c>
      <c r="F166" s="172">
        <v>3.4694618053919398E-3</v>
      </c>
      <c r="G166" s="172">
        <v>1.54740422300138</v>
      </c>
    </row>
    <row r="167" spans="2:7" x14ac:dyDescent="0.3">
      <c r="B167" s="172" t="s">
        <v>181</v>
      </c>
      <c r="C167" s="172" t="s">
        <v>80</v>
      </c>
      <c r="D167" s="172" t="s">
        <v>218</v>
      </c>
      <c r="E167" s="172">
        <v>2.1451578711092701E-2</v>
      </c>
      <c r="F167" s="172">
        <v>2.0118532360645699E-2</v>
      </c>
      <c r="G167" s="172">
        <v>1.0662596220514899</v>
      </c>
    </row>
    <row r="168" spans="2:7" hidden="1" x14ac:dyDescent="0.3">
      <c r="B168" s="172" t="s">
        <v>181</v>
      </c>
      <c r="C168" s="172" t="s">
        <v>80</v>
      </c>
      <c r="D168" s="172" t="s">
        <v>221</v>
      </c>
      <c r="E168" s="172">
        <v>4.8226289794293803E-3</v>
      </c>
      <c r="F168" s="172">
        <v>3.1387809578120899E-3</v>
      </c>
      <c r="G168" s="172">
        <v>1.5364656037645401</v>
      </c>
    </row>
    <row r="169" spans="2:7" x14ac:dyDescent="0.3">
      <c r="B169" s="172" t="s">
        <v>179</v>
      </c>
      <c r="C169" s="172" t="s">
        <v>80</v>
      </c>
      <c r="D169" s="172" t="s">
        <v>218</v>
      </c>
      <c r="E169" s="172">
        <v>1.8997093338399499E-2</v>
      </c>
      <c r="F169" s="172">
        <v>1.7854401137874301E-2</v>
      </c>
      <c r="G169" s="172">
        <v>1.0640005896418001</v>
      </c>
    </row>
    <row r="170" spans="2:7" hidden="1" x14ac:dyDescent="0.3">
      <c r="B170" s="172" t="s">
        <v>179</v>
      </c>
      <c r="C170" s="172" t="s">
        <v>80</v>
      </c>
      <c r="D170" s="172" t="s">
        <v>221</v>
      </c>
      <c r="E170" s="172">
        <v>4.19574435733042E-3</v>
      </c>
      <c r="F170" s="172">
        <v>2.7523436829827398E-3</v>
      </c>
      <c r="G170" s="172">
        <v>1.52442603126636</v>
      </c>
    </row>
    <row r="171" spans="2:7" x14ac:dyDescent="0.3">
      <c r="B171" s="172" t="s">
        <v>39</v>
      </c>
      <c r="C171" s="172" t="s">
        <v>80</v>
      </c>
      <c r="D171" s="172" t="s">
        <v>218</v>
      </c>
      <c r="E171" s="172">
        <v>1.61883508895839E-2</v>
      </c>
      <c r="F171" s="172">
        <v>1.5249907554261199E-2</v>
      </c>
      <c r="G171" s="172">
        <v>1.06153764093215</v>
      </c>
    </row>
    <row r="172" spans="2:7" hidden="1" x14ac:dyDescent="0.3">
      <c r="B172" s="172" t="s">
        <v>39</v>
      </c>
      <c r="C172" s="172" t="s">
        <v>80</v>
      </c>
      <c r="D172" s="172" t="s">
        <v>221</v>
      </c>
      <c r="E172" s="172">
        <v>3.5051914909365899E-3</v>
      </c>
      <c r="F172" s="172">
        <v>2.3197893831605801E-3</v>
      </c>
      <c r="G172" s="172">
        <v>1.51099557415896</v>
      </c>
    </row>
    <row r="173" spans="2:7" x14ac:dyDescent="0.3">
      <c r="B173" s="172" t="s">
        <v>26</v>
      </c>
      <c r="C173" s="172" t="s">
        <v>80</v>
      </c>
      <c r="D173" s="172" t="s">
        <v>218</v>
      </c>
      <c r="E173" s="172">
        <v>1.3135758626537901E-2</v>
      </c>
      <c r="F173" s="172">
        <v>1.2390788597031801E-2</v>
      </c>
      <c r="G173" s="172">
        <v>1.0601228907807001</v>
      </c>
    </row>
    <row r="174" spans="2:7" hidden="1" x14ac:dyDescent="0.3">
      <c r="B174" s="172" t="s">
        <v>26</v>
      </c>
      <c r="C174" s="172" t="s">
        <v>80</v>
      </c>
      <c r="D174" s="172" t="s">
        <v>221</v>
      </c>
      <c r="E174" s="172">
        <v>2.7945842646952298E-3</v>
      </c>
      <c r="F174" s="172">
        <v>1.85356949058223E-3</v>
      </c>
      <c r="G174" s="172">
        <v>1.5076770948670599</v>
      </c>
    </row>
    <row r="175" spans="2:7" x14ac:dyDescent="0.3">
      <c r="B175" s="172" t="s">
        <v>25</v>
      </c>
      <c r="C175" s="172" t="s">
        <v>80</v>
      </c>
      <c r="D175" s="172" t="s">
        <v>218</v>
      </c>
      <c r="E175" s="172">
        <v>9.9029607683924804E-3</v>
      </c>
      <c r="F175" s="172">
        <v>9.3346708318653004E-3</v>
      </c>
      <c r="G175" s="172">
        <v>1.0608794832472499</v>
      </c>
    </row>
    <row r="176" spans="2:7" hidden="1" x14ac:dyDescent="0.3">
      <c r="B176" s="172" t="s">
        <v>25</v>
      </c>
      <c r="C176" s="172" t="s">
        <v>80</v>
      </c>
      <c r="D176" s="172" t="s">
        <v>221</v>
      </c>
      <c r="E176" s="172">
        <v>2.08299959785183E-3</v>
      </c>
      <c r="F176" s="172">
        <v>1.3651596780280199E-3</v>
      </c>
      <c r="G176" s="172">
        <v>1.5258285396040401</v>
      </c>
    </row>
    <row r="177" spans="2:7" x14ac:dyDescent="0.3">
      <c r="B177" s="172" t="s">
        <v>24</v>
      </c>
      <c r="C177" s="172" t="s">
        <v>80</v>
      </c>
      <c r="D177" s="172" t="s">
        <v>218</v>
      </c>
      <c r="E177" s="172">
        <v>6.5131958750909696E-3</v>
      </c>
      <c r="F177" s="172">
        <v>6.1190504531143204E-3</v>
      </c>
      <c r="G177" s="172">
        <v>1.06441284068446</v>
      </c>
    </row>
    <row r="178" spans="2:7" hidden="1" x14ac:dyDescent="0.3">
      <c r="B178" s="172" t="s">
        <v>24</v>
      </c>
      <c r="C178" s="172" t="s">
        <v>80</v>
      </c>
      <c r="D178" s="172" t="s">
        <v>221</v>
      </c>
      <c r="E178" s="172">
        <v>1.3654583685862301E-3</v>
      </c>
      <c r="F178" s="172">
        <v>8.6759046714205204E-4</v>
      </c>
      <c r="G178" s="172">
        <v>1.5738512815663099</v>
      </c>
    </row>
    <row r="179" spans="2:7" x14ac:dyDescent="0.3">
      <c r="B179" s="172" t="s">
        <v>22</v>
      </c>
      <c r="C179" s="172" t="s">
        <v>80</v>
      </c>
      <c r="D179" s="172" t="s">
        <v>218</v>
      </c>
      <c r="E179" s="172">
        <v>3.07128221361077E-3</v>
      </c>
      <c r="F179" s="172">
        <v>2.8549571440666202E-3</v>
      </c>
      <c r="G179" s="172">
        <v>1.0757717396892399</v>
      </c>
    </row>
    <row r="180" spans="2:7" hidden="1" x14ac:dyDescent="0.3">
      <c r="B180" s="172" t="s">
        <v>22</v>
      </c>
      <c r="C180" s="172" t="s">
        <v>80</v>
      </c>
      <c r="D180" s="172" t="s">
        <v>221</v>
      </c>
      <c r="E180" s="172">
        <v>6.6059489184823201E-4</v>
      </c>
      <c r="F180" s="172">
        <v>3.87342172424042E-4</v>
      </c>
      <c r="G180" s="172">
        <v>1.7054556381354899</v>
      </c>
    </row>
    <row r="181" spans="2:7" hidden="1" x14ac:dyDescent="0.3">
      <c r="B181" s="172" t="s">
        <v>189</v>
      </c>
      <c r="C181" s="172" t="s">
        <v>81</v>
      </c>
      <c r="D181" s="172" t="s">
        <v>218</v>
      </c>
      <c r="E181" s="172">
        <v>5.8588986695196103E-3</v>
      </c>
      <c r="F181" s="172">
        <v>5.26662749206026E-3</v>
      </c>
      <c r="G181" s="172">
        <v>1.1124573891645499</v>
      </c>
    </row>
    <row r="182" spans="2:7" hidden="1" x14ac:dyDescent="0.3">
      <c r="B182" s="172" t="s">
        <v>189</v>
      </c>
      <c r="C182" s="172" t="s">
        <v>81</v>
      </c>
      <c r="D182" s="172" t="s">
        <v>221</v>
      </c>
      <c r="E182" s="172">
        <v>3.5395703427250402E-2</v>
      </c>
      <c r="F182" s="172">
        <v>3.4655364455426302E-2</v>
      </c>
      <c r="G182" s="172">
        <v>1.02136289672488</v>
      </c>
    </row>
    <row r="183" spans="2:7" hidden="1" x14ac:dyDescent="0.3">
      <c r="B183" s="172" t="s">
        <v>187</v>
      </c>
      <c r="C183" s="172" t="s">
        <v>81</v>
      </c>
      <c r="D183" s="172" t="s">
        <v>218</v>
      </c>
      <c r="E183" s="172">
        <v>5.4839872780341097E-3</v>
      </c>
      <c r="F183" s="172">
        <v>3.1975660494416502E-3</v>
      </c>
      <c r="G183" s="172">
        <v>1.71505050818003</v>
      </c>
    </row>
    <row r="184" spans="2:7" hidden="1" x14ac:dyDescent="0.3">
      <c r="B184" s="172" t="s">
        <v>187</v>
      </c>
      <c r="C184" s="172" t="s">
        <v>81</v>
      </c>
      <c r="D184" s="172" t="s">
        <v>221</v>
      </c>
      <c r="E184" s="172">
        <v>3.40489839644081E-2</v>
      </c>
      <c r="F184" s="172">
        <v>3.1160872938817599E-2</v>
      </c>
      <c r="G184" s="172">
        <v>1.0926838933960901</v>
      </c>
    </row>
    <row r="185" spans="2:7" hidden="1" x14ac:dyDescent="0.3">
      <c r="B185" s="172" t="s">
        <v>185</v>
      </c>
      <c r="C185" s="172" t="s">
        <v>81</v>
      </c>
      <c r="D185" s="172" t="s">
        <v>218</v>
      </c>
      <c r="E185" s="172">
        <v>5.1300626360697901E-3</v>
      </c>
      <c r="F185" s="172">
        <v>3.0661227242952398E-3</v>
      </c>
      <c r="G185" s="172">
        <v>1.6731432813893501</v>
      </c>
    </row>
    <row r="186" spans="2:7" hidden="1" x14ac:dyDescent="0.3">
      <c r="B186" s="172" t="s">
        <v>185</v>
      </c>
      <c r="C186" s="172" t="s">
        <v>81</v>
      </c>
      <c r="D186" s="172" t="s">
        <v>221</v>
      </c>
      <c r="E186" s="172">
        <v>3.25184562690502E-2</v>
      </c>
      <c r="F186" s="172">
        <v>2.9911374275229701E-2</v>
      </c>
      <c r="G186" s="172">
        <v>1.08716022105275</v>
      </c>
    </row>
    <row r="187" spans="2:7" hidden="1" x14ac:dyDescent="0.3">
      <c r="B187" s="172" t="s">
        <v>183</v>
      </c>
      <c r="C187" s="172" t="s">
        <v>81</v>
      </c>
      <c r="D187" s="172" t="s">
        <v>218</v>
      </c>
      <c r="E187" s="172">
        <v>4.6934815912348304E-3</v>
      </c>
      <c r="F187" s="172">
        <v>2.8733781767901201E-3</v>
      </c>
      <c r="G187" s="172">
        <v>1.63343677805682</v>
      </c>
    </row>
    <row r="188" spans="2:7" hidden="1" x14ac:dyDescent="0.3">
      <c r="B188" s="172" t="s">
        <v>183</v>
      </c>
      <c r="C188" s="172" t="s">
        <v>81</v>
      </c>
      <c r="D188" s="172" t="s">
        <v>221</v>
      </c>
      <c r="E188" s="172">
        <v>3.0324165601279301E-2</v>
      </c>
      <c r="F188" s="172">
        <v>2.8025087604086001E-2</v>
      </c>
      <c r="G188" s="172">
        <v>1.0820364249943699</v>
      </c>
    </row>
    <row r="189" spans="2:7" hidden="1" x14ac:dyDescent="0.3">
      <c r="B189" s="172" t="s">
        <v>181</v>
      </c>
      <c r="C189" s="172" t="s">
        <v>81</v>
      </c>
      <c r="D189" s="172" t="s">
        <v>218</v>
      </c>
      <c r="E189" s="172">
        <v>4.1881070829344804E-3</v>
      </c>
      <c r="F189" s="172">
        <v>2.6201573722054602E-3</v>
      </c>
      <c r="G189" s="172">
        <v>1.5984181436435001</v>
      </c>
    </row>
    <row r="190" spans="2:7" hidden="1" x14ac:dyDescent="0.3">
      <c r="B190" s="172" t="s">
        <v>181</v>
      </c>
      <c r="C190" s="172" t="s">
        <v>81</v>
      </c>
      <c r="D190" s="172" t="s">
        <v>221</v>
      </c>
      <c r="E190" s="172">
        <v>2.7535660663831701E-2</v>
      </c>
      <c r="F190" s="172">
        <v>2.5555092608173999E-2</v>
      </c>
      <c r="G190" s="172">
        <v>1.07750189310698</v>
      </c>
    </row>
    <row r="191" spans="2:7" hidden="1" x14ac:dyDescent="0.3">
      <c r="B191" s="172" t="s">
        <v>179</v>
      </c>
      <c r="C191" s="172" t="s">
        <v>81</v>
      </c>
      <c r="D191" s="172" t="s">
        <v>218</v>
      </c>
      <c r="E191" s="172">
        <v>3.6278591005343098E-3</v>
      </c>
      <c r="F191" s="172">
        <v>2.31449866995593E-3</v>
      </c>
      <c r="G191" s="172">
        <v>1.5674492051461799</v>
      </c>
    </row>
    <row r="192" spans="2:7" hidden="1" x14ac:dyDescent="0.3">
      <c r="B192" s="172" t="s">
        <v>179</v>
      </c>
      <c r="C192" s="172" t="s">
        <v>81</v>
      </c>
      <c r="D192" s="172" t="s">
        <v>221</v>
      </c>
      <c r="E192" s="172">
        <v>2.42544698883051E-2</v>
      </c>
      <c r="F192" s="172">
        <v>2.25954882917851E-2</v>
      </c>
      <c r="G192" s="172">
        <v>1.0734209225796301</v>
      </c>
    </row>
    <row r="193" spans="2:7" hidden="1" x14ac:dyDescent="0.3">
      <c r="B193" s="172" t="s">
        <v>39</v>
      </c>
      <c r="C193" s="172" t="s">
        <v>81</v>
      </c>
      <c r="D193" s="172" t="s">
        <v>218</v>
      </c>
      <c r="E193" s="172">
        <v>3.0273762117717399E-3</v>
      </c>
      <c r="F193" s="172">
        <v>1.9651419297527801E-3</v>
      </c>
      <c r="G193" s="172">
        <v>1.54053820028795</v>
      </c>
    </row>
    <row r="194" spans="2:7" hidden="1" x14ac:dyDescent="0.3">
      <c r="B194" s="172" t="s">
        <v>39</v>
      </c>
      <c r="C194" s="172" t="s">
        <v>81</v>
      </c>
      <c r="D194" s="172" t="s">
        <v>221</v>
      </c>
      <c r="E194" s="172">
        <v>2.0572680827141001E-2</v>
      </c>
      <c r="F194" s="172">
        <v>1.92309112077487E-2</v>
      </c>
      <c r="G194" s="172">
        <v>1.0697715050991301</v>
      </c>
    </row>
    <row r="195" spans="2:7" hidden="1" x14ac:dyDescent="0.3">
      <c r="B195" s="172" t="s">
        <v>26</v>
      </c>
      <c r="C195" s="172" t="s">
        <v>81</v>
      </c>
      <c r="D195" s="172" t="s">
        <v>218</v>
      </c>
      <c r="E195" s="172">
        <v>2.4092306720471901E-3</v>
      </c>
      <c r="F195" s="172">
        <v>1.5826585075821801E-3</v>
      </c>
      <c r="G195" s="172">
        <v>1.52226817124798</v>
      </c>
    </row>
    <row r="196" spans="2:7" hidden="1" x14ac:dyDescent="0.3">
      <c r="B196" s="172" t="s">
        <v>26</v>
      </c>
      <c r="C196" s="172" t="s">
        <v>81</v>
      </c>
      <c r="D196" s="172" t="s">
        <v>221</v>
      </c>
      <c r="E196" s="172">
        <v>1.6580319802910401E-2</v>
      </c>
      <c r="F196" s="172">
        <v>1.5536228647796701E-2</v>
      </c>
      <c r="G196" s="172">
        <v>1.0672036424529401</v>
      </c>
    </row>
    <row r="197" spans="2:7" hidden="1" x14ac:dyDescent="0.3">
      <c r="B197" s="172" t="s">
        <v>25</v>
      </c>
      <c r="C197" s="172" t="s">
        <v>81</v>
      </c>
      <c r="D197" s="172" t="s">
        <v>218</v>
      </c>
      <c r="E197" s="172">
        <v>1.78938091668507E-3</v>
      </c>
      <c r="F197" s="172">
        <v>1.1765769342443101E-3</v>
      </c>
      <c r="G197" s="172">
        <v>1.52083630454166</v>
      </c>
    </row>
    <row r="198" spans="2:7" hidden="1" x14ac:dyDescent="0.3">
      <c r="B198" s="172" t="s">
        <v>25</v>
      </c>
      <c r="C198" s="172" t="s">
        <v>81</v>
      </c>
      <c r="D198" s="172" t="s">
        <v>221</v>
      </c>
      <c r="E198" s="172">
        <v>1.2353427110762399E-2</v>
      </c>
      <c r="F198" s="172">
        <v>1.15793589224162E-2</v>
      </c>
      <c r="G198" s="172">
        <v>1.0668489675061099</v>
      </c>
    </row>
    <row r="199" spans="2:7" hidden="1" x14ac:dyDescent="0.3">
      <c r="B199" s="172" t="s">
        <v>24</v>
      </c>
      <c r="C199" s="172" t="s">
        <v>81</v>
      </c>
      <c r="D199" s="172" t="s">
        <v>218</v>
      </c>
      <c r="E199" s="172">
        <v>1.1789000201070301E-3</v>
      </c>
      <c r="F199" s="172">
        <v>7.5723774074721499E-4</v>
      </c>
      <c r="G199" s="172">
        <v>1.5568426620465701</v>
      </c>
    </row>
    <row r="200" spans="2:7" hidden="1" x14ac:dyDescent="0.3">
      <c r="B200" s="172" t="s">
        <v>24</v>
      </c>
      <c r="C200" s="172" t="s">
        <v>81</v>
      </c>
      <c r="D200" s="172" t="s">
        <v>221</v>
      </c>
      <c r="E200" s="172">
        <v>7.9797840749634905E-3</v>
      </c>
      <c r="F200" s="172">
        <v>7.4471580378774101E-3</v>
      </c>
      <c r="G200" s="172">
        <v>1.0715207109043601</v>
      </c>
    </row>
    <row r="201" spans="2:7" hidden="1" x14ac:dyDescent="0.3">
      <c r="B201" s="172" t="s">
        <v>22</v>
      </c>
      <c r="C201" s="172" t="s">
        <v>81</v>
      </c>
      <c r="D201" s="172" t="s">
        <v>218</v>
      </c>
      <c r="E201" s="172">
        <v>5.8538122194226995E-4</v>
      </c>
      <c r="F201" s="172">
        <v>3.4482422812232699E-4</v>
      </c>
      <c r="G201" s="172">
        <v>1.69762207583222</v>
      </c>
    </row>
    <row r="202" spans="2:7" hidden="1" x14ac:dyDescent="0.3">
      <c r="B202" s="172" t="s">
        <v>22</v>
      </c>
      <c r="C202" s="172" t="s">
        <v>81</v>
      </c>
      <c r="D202" s="172" t="s">
        <v>221</v>
      </c>
      <c r="E202" s="172">
        <v>3.6395638350918899E-3</v>
      </c>
      <c r="F202" s="172">
        <v>3.3357023692140702E-3</v>
      </c>
      <c r="G202" s="172">
        <v>1.09109369849128</v>
      </c>
    </row>
    <row r="203" spans="2:7" hidden="1" x14ac:dyDescent="0.3">
      <c r="B203" s="172" t="s">
        <v>189</v>
      </c>
      <c r="C203" s="172" t="s">
        <v>82</v>
      </c>
      <c r="D203" s="172" t="s">
        <v>221</v>
      </c>
      <c r="E203" s="172">
        <v>2.9971248893849899E-2</v>
      </c>
      <c r="F203" s="172">
        <v>2.9446057967908199E-2</v>
      </c>
      <c r="G203" s="172">
        <v>1.01783569557983</v>
      </c>
    </row>
    <row r="204" spans="2:7" hidden="1" x14ac:dyDescent="0.3">
      <c r="B204" s="172" t="s">
        <v>187</v>
      </c>
      <c r="C204" s="172" t="s">
        <v>82</v>
      </c>
      <c r="D204" s="172" t="s">
        <v>218</v>
      </c>
      <c r="E204" s="172">
        <v>6.0200566872377903E-3</v>
      </c>
      <c r="F204" s="172">
        <v>3.6408503592005401E-3</v>
      </c>
      <c r="G204" s="172">
        <v>1.65347545032301</v>
      </c>
    </row>
    <row r="205" spans="2:7" hidden="1" x14ac:dyDescent="0.3">
      <c r="B205" s="172" t="s">
        <v>187</v>
      </c>
      <c r="C205" s="172" t="s">
        <v>82</v>
      </c>
      <c r="D205" s="172" t="s">
        <v>221</v>
      </c>
      <c r="E205" s="172">
        <v>3.3769006564579901E-2</v>
      </c>
      <c r="F205" s="172">
        <v>3.0763693308111802E-2</v>
      </c>
      <c r="G205" s="172">
        <v>1.09769026190609</v>
      </c>
    </row>
    <row r="206" spans="2:7" hidden="1" x14ac:dyDescent="0.3">
      <c r="B206" s="172" t="s">
        <v>185</v>
      </c>
      <c r="C206" s="172" t="s">
        <v>82</v>
      </c>
      <c r="D206" s="172" t="s">
        <v>218</v>
      </c>
      <c r="E206" s="172">
        <v>5.9404942158508304E-3</v>
      </c>
      <c r="F206" s="172">
        <v>3.4978981870801098E-3</v>
      </c>
      <c r="G206" s="172">
        <v>1.6983039237084501</v>
      </c>
    </row>
    <row r="207" spans="2:7" hidden="1" x14ac:dyDescent="0.3">
      <c r="B207" s="172" t="s">
        <v>185</v>
      </c>
      <c r="C207" s="172" t="s">
        <v>82</v>
      </c>
      <c r="D207" s="172" t="s">
        <v>221</v>
      </c>
      <c r="E207" s="172">
        <v>3.2637364015584099E-2</v>
      </c>
      <c r="F207" s="172">
        <v>2.9551979558189501E-2</v>
      </c>
      <c r="G207" s="172">
        <v>1.10440533945685</v>
      </c>
    </row>
    <row r="208" spans="2:7" hidden="1" x14ac:dyDescent="0.3">
      <c r="B208" s="172" t="s">
        <v>183</v>
      </c>
      <c r="C208" s="172" t="s">
        <v>82</v>
      </c>
      <c r="D208" s="172" t="s">
        <v>218</v>
      </c>
      <c r="E208" s="172">
        <v>5.7094799021522504E-3</v>
      </c>
      <c r="F208" s="172">
        <v>3.2848114480054699E-3</v>
      </c>
      <c r="G208" s="172">
        <v>1.7381453981533801</v>
      </c>
    </row>
    <row r="209" spans="2:7" hidden="1" x14ac:dyDescent="0.3">
      <c r="B209" s="172" t="s">
        <v>183</v>
      </c>
      <c r="C209" s="172" t="s">
        <v>82</v>
      </c>
      <c r="D209" s="172" t="s">
        <v>221</v>
      </c>
      <c r="E209" s="172">
        <v>3.0771532724560999E-2</v>
      </c>
      <c r="F209" s="172">
        <v>2.7708793624586101E-2</v>
      </c>
      <c r="G209" s="172">
        <v>1.1105331087838199</v>
      </c>
    </row>
    <row r="210" spans="2:7" hidden="1" x14ac:dyDescent="0.3">
      <c r="B210" s="172" t="s">
        <v>181</v>
      </c>
      <c r="C210" s="172" t="s">
        <v>82</v>
      </c>
      <c r="D210" s="172" t="s">
        <v>218</v>
      </c>
      <c r="E210" s="172">
        <v>5.3258987706384401E-3</v>
      </c>
      <c r="F210" s="172">
        <v>3.0026663549192799E-3</v>
      </c>
      <c r="G210" s="172">
        <v>1.77372313174689</v>
      </c>
    </row>
    <row r="211" spans="2:7" hidden="1" x14ac:dyDescent="0.3">
      <c r="B211" s="172" t="s">
        <v>181</v>
      </c>
      <c r="C211" s="172" t="s">
        <v>82</v>
      </c>
      <c r="D211" s="172" t="s">
        <v>221</v>
      </c>
      <c r="E211" s="172">
        <v>2.8218254149147699E-2</v>
      </c>
      <c r="F211" s="172">
        <v>2.5283644781923499E-2</v>
      </c>
      <c r="G211" s="172">
        <v>1.1160674970929101</v>
      </c>
    </row>
    <row r="212" spans="2:7" hidden="1" x14ac:dyDescent="0.3">
      <c r="B212" s="172" t="s">
        <v>179</v>
      </c>
      <c r="C212" s="172" t="s">
        <v>82</v>
      </c>
      <c r="D212" s="172" t="s">
        <v>218</v>
      </c>
      <c r="E212" s="172">
        <v>4.8085231571060099E-3</v>
      </c>
      <c r="F212" s="172">
        <v>2.6606949959688802E-3</v>
      </c>
      <c r="G212" s="172">
        <v>1.8072432820715001</v>
      </c>
    </row>
    <row r="213" spans="2:7" hidden="1" x14ac:dyDescent="0.3">
      <c r="B213" s="172" t="s">
        <v>179</v>
      </c>
      <c r="C213" s="172" t="s">
        <v>82</v>
      </c>
      <c r="D213" s="172" t="s">
        <v>221</v>
      </c>
      <c r="E213" s="172">
        <v>2.5082364215334201E-2</v>
      </c>
      <c r="F213" s="172">
        <v>2.2369318117055701E-2</v>
      </c>
      <c r="G213" s="172">
        <v>1.1212842556970899</v>
      </c>
    </row>
    <row r="214" spans="2:7" hidden="1" x14ac:dyDescent="0.3">
      <c r="B214" s="172" t="s">
        <v>39</v>
      </c>
      <c r="C214" s="172" t="s">
        <v>82</v>
      </c>
      <c r="D214" s="172" t="s">
        <v>218</v>
      </c>
      <c r="E214" s="172">
        <v>4.1736904108974704E-3</v>
      </c>
      <c r="F214" s="172">
        <v>2.2682417631394699E-3</v>
      </c>
      <c r="G214" s="172">
        <v>1.84005535861428</v>
      </c>
    </row>
    <row r="215" spans="2:7" hidden="1" x14ac:dyDescent="0.3">
      <c r="B215" s="172" t="s">
        <v>39</v>
      </c>
      <c r="C215" s="172" t="s">
        <v>82</v>
      </c>
      <c r="D215" s="172" t="s">
        <v>221</v>
      </c>
      <c r="E215" s="172">
        <v>2.14561418231441E-2</v>
      </c>
      <c r="F215" s="172">
        <v>1.90492593207129E-2</v>
      </c>
      <c r="G215" s="172">
        <v>1.1263504507922799</v>
      </c>
    </row>
    <row r="216" spans="2:7" hidden="1" x14ac:dyDescent="0.3">
      <c r="B216" s="172" t="s">
        <v>26</v>
      </c>
      <c r="C216" s="172" t="s">
        <v>82</v>
      </c>
      <c r="D216" s="172" t="s">
        <v>218</v>
      </c>
      <c r="E216" s="172">
        <v>3.4307622434315301E-3</v>
      </c>
      <c r="F216" s="172">
        <v>1.8333331681017601E-3</v>
      </c>
      <c r="G216" s="172">
        <v>1.87132502870919</v>
      </c>
    </row>
    <row r="217" spans="2:7" hidden="1" x14ac:dyDescent="0.3">
      <c r="B217" s="172" t="s">
        <v>26</v>
      </c>
      <c r="C217" s="172" t="s">
        <v>82</v>
      </c>
      <c r="D217" s="172" t="s">
        <v>221</v>
      </c>
      <c r="E217" s="172">
        <v>1.7413948484945999E-2</v>
      </c>
      <c r="F217" s="172">
        <v>1.5396143337161E-2</v>
      </c>
      <c r="G217" s="172">
        <v>1.13105912978315</v>
      </c>
    </row>
    <row r="218" spans="2:7" hidden="1" x14ac:dyDescent="0.3">
      <c r="B218" s="172" t="s">
        <v>25</v>
      </c>
      <c r="C218" s="172" t="s">
        <v>82</v>
      </c>
      <c r="D218" s="172" t="s">
        <v>218</v>
      </c>
      <c r="E218" s="172">
        <v>2.59216100647319E-3</v>
      </c>
      <c r="F218" s="172">
        <v>1.3656266344767699E-3</v>
      </c>
      <c r="G218" s="172">
        <v>1.8981476642525701</v>
      </c>
    </row>
    <row r="219" spans="2:7" hidden="1" x14ac:dyDescent="0.3">
      <c r="B219" s="172" t="s">
        <v>25</v>
      </c>
      <c r="C219" s="172" t="s">
        <v>82</v>
      </c>
      <c r="D219" s="172" t="s">
        <v>221</v>
      </c>
      <c r="E219" s="172">
        <v>1.30254692332175E-2</v>
      </c>
      <c r="F219" s="172">
        <v>1.14761626580641E-2</v>
      </c>
      <c r="G219" s="172">
        <v>1.1350021449952801</v>
      </c>
    </row>
    <row r="220" spans="2:7" hidden="1" x14ac:dyDescent="0.3">
      <c r="B220" s="172" t="s">
        <v>24</v>
      </c>
      <c r="C220" s="172" t="s">
        <v>82</v>
      </c>
      <c r="D220" s="172" t="s">
        <v>218</v>
      </c>
      <c r="E220" s="172">
        <v>1.6788458379407699E-3</v>
      </c>
      <c r="F220" s="172">
        <v>8.7916908731812198E-4</v>
      </c>
      <c r="G220" s="172">
        <v>1.9095824252215601</v>
      </c>
    </row>
    <row r="221" spans="2:7" hidden="1" x14ac:dyDescent="0.3">
      <c r="B221" s="172" t="s">
        <v>24</v>
      </c>
      <c r="C221" s="172" t="s">
        <v>82</v>
      </c>
      <c r="D221" s="172" t="s">
        <v>221</v>
      </c>
      <c r="E221" s="172">
        <v>8.3857017965710892E-3</v>
      </c>
      <c r="F221" s="172">
        <v>7.3755837957845899E-3</v>
      </c>
      <c r="G221" s="172">
        <v>1.1369543115168499</v>
      </c>
    </row>
    <row r="222" spans="2:7" hidden="1" x14ac:dyDescent="0.3">
      <c r="B222" s="172" t="s">
        <v>22</v>
      </c>
      <c r="C222" s="172" t="s">
        <v>82</v>
      </c>
      <c r="D222" s="172" t="s">
        <v>218</v>
      </c>
      <c r="E222" s="172">
        <v>7.4461907896339395E-4</v>
      </c>
      <c r="F222" s="172">
        <v>3.9812359903672702E-4</v>
      </c>
      <c r="G222" s="172">
        <v>1.8703213795038101</v>
      </c>
    </row>
    <row r="223" spans="2:7" hidden="1" x14ac:dyDescent="0.3">
      <c r="B223" s="172" t="s">
        <v>22</v>
      </c>
      <c r="C223" s="172" t="s">
        <v>82</v>
      </c>
      <c r="D223" s="172" t="s">
        <v>221</v>
      </c>
      <c r="E223" s="172">
        <v>3.7308335051109399E-3</v>
      </c>
      <c r="F223" s="172">
        <v>3.2931550041509399E-3</v>
      </c>
      <c r="G223" s="172">
        <v>1.1329055268908701</v>
      </c>
    </row>
    <row r="224" spans="2:7" hidden="1" x14ac:dyDescent="0.3">
      <c r="B224" s="172" t="s">
        <v>189</v>
      </c>
      <c r="C224" s="172" t="s">
        <v>246</v>
      </c>
      <c r="D224" s="172" t="s">
        <v>218</v>
      </c>
      <c r="E224" s="172">
        <v>2.72054113158817E-3</v>
      </c>
      <c r="F224" s="172">
        <v>2.6361408868282202E-3</v>
      </c>
      <c r="G224" s="172">
        <v>1.03201659106373</v>
      </c>
    </row>
    <row r="225" spans="2:7" hidden="1" x14ac:dyDescent="0.3">
      <c r="B225" s="172" t="s">
        <v>187</v>
      </c>
      <c r="C225" s="172" t="s">
        <v>246</v>
      </c>
      <c r="D225" s="172" t="s">
        <v>218</v>
      </c>
      <c r="E225" s="172">
        <v>1.9829385141815399E-3</v>
      </c>
      <c r="F225" s="172">
        <v>1.73674361485152E-3</v>
      </c>
      <c r="G225" s="172">
        <v>1.141756616938</v>
      </c>
    </row>
    <row r="226" spans="2:7" hidden="1" x14ac:dyDescent="0.3">
      <c r="B226" s="172" t="s">
        <v>185</v>
      </c>
      <c r="C226" s="172" t="s">
        <v>246</v>
      </c>
      <c r="D226" s="172" t="s">
        <v>218</v>
      </c>
      <c r="E226" s="172">
        <v>1.694605067312E-3</v>
      </c>
      <c r="F226" s="172">
        <v>1.4851594081742E-3</v>
      </c>
      <c r="G226" s="172">
        <v>1.1410257094188201</v>
      </c>
    </row>
    <row r="227" spans="2:7" s="172" customFormat="1" hidden="1" x14ac:dyDescent="0.3">
      <c r="B227" s="172" t="s">
        <v>183</v>
      </c>
      <c r="C227" s="172" t="s">
        <v>246</v>
      </c>
      <c r="D227" s="172" t="s">
        <v>218</v>
      </c>
      <c r="E227" s="172">
        <v>1.40297411089107E-3</v>
      </c>
      <c r="F227" s="172">
        <v>1.22637433173614E-3</v>
      </c>
      <c r="G227" s="172">
        <v>1.1440015292108401</v>
      </c>
    </row>
    <row r="228" spans="2:7" hidden="1" x14ac:dyDescent="0.3">
      <c r="B228" s="172" t="s">
        <v>181</v>
      </c>
      <c r="C228" s="172" t="s">
        <v>246</v>
      </c>
      <c r="D228" s="172" t="s">
        <v>218</v>
      </c>
      <c r="E228" s="172">
        <v>1.1234092232740799E-3</v>
      </c>
      <c r="F228" s="172">
        <v>9.7857919201981697E-4</v>
      </c>
      <c r="G228" s="172">
        <v>1.14800031763943</v>
      </c>
    </row>
    <row r="229" spans="2:7" hidden="1" x14ac:dyDescent="0.3">
      <c r="B229" s="172" t="s">
        <v>179</v>
      </c>
      <c r="C229" s="172" t="s">
        <v>246</v>
      </c>
      <c r="D229" s="172" t="s">
        <v>218</v>
      </c>
      <c r="E229" s="172">
        <v>8.6286878801612396E-4</v>
      </c>
      <c r="F229" s="172">
        <v>7.4773116503309305E-4</v>
      </c>
      <c r="G229" s="172">
        <v>1.1539826455915301</v>
      </c>
    </row>
    <row r="230" spans="2:7" s="172" customFormat="1" hidden="1" x14ac:dyDescent="0.3">
      <c r="B230" s="172" t="s">
        <v>39</v>
      </c>
      <c r="C230" s="172" t="s">
        <v>246</v>
      </c>
      <c r="D230" s="172" t="s">
        <v>218</v>
      </c>
      <c r="E230" s="172">
        <v>6.2680872942744495E-4</v>
      </c>
      <c r="F230" s="172">
        <v>5.3889856022323098E-4</v>
      </c>
      <c r="G230" s="172">
        <v>1.16312934509938</v>
      </c>
    </row>
    <row r="231" spans="2:7" hidden="1" x14ac:dyDescent="0.3">
      <c r="B231" s="172" t="s">
        <v>26</v>
      </c>
      <c r="C231" s="172" t="s">
        <v>246</v>
      </c>
      <c r="D231" s="172" t="s">
        <v>218</v>
      </c>
      <c r="E231" s="172">
        <v>4.1271402440622602E-4</v>
      </c>
      <c r="F231" s="172">
        <v>3.5210086627233202E-4</v>
      </c>
      <c r="G231" s="172">
        <v>1.17214714287869</v>
      </c>
    </row>
    <row r="232" spans="2:7" hidden="1" x14ac:dyDescent="0.3">
      <c r="B232" s="172" t="s">
        <v>25</v>
      </c>
      <c r="C232" s="172" t="s">
        <v>246</v>
      </c>
      <c r="D232" s="172" t="s">
        <v>218</v>
      </c>
      <c r="E232" s="172">
        <v>2.2916727664979E-4</v>
      </c>
      <c r="F232" s="172">
        <v>1.9439928848896299E-4</v>
      </c>
      <c r="G232" s="172">
        <v>1.17884833031578</v>
      </c>
    </row>
    <row r="233" spans="2:7" s="172" customFormat="1" hidden="1" x14ac:dyDescent="0.3">
      <c r="B233" s="172" t="s">
        <v>24</v>
      </c>
      <c r="C233" s="172" t="s">
        <v>246</v>
      </c>
      <c r="D233" s="172" t="s">
        <v>218</v>
      </c>
      <c r="E233" s="172">
        <v>9.46249427066265E-5</v>
      </c>
      <c r="F233" s="172">
        <v>7.8991611890459704E-5</v>
      </c>
      <c r="G233" s="172">
        <v>1.1979112774384999</v>
      </c>
    </row>
    <row r="234" spans="2:7" hidden="1" x14ac:dyDescent="0.3">
      <c r="B234" s="172" t="s">
        <v>22</v>
      </c>
      <c r="C234" s="172" t="s">
        <v>246</v>
      </c>
      <c r="D234" s="172" t="s">
        <v>218</v>
      </c>
      <c r="E234" s="172">
        <v>2.2011405157695699E-5</v>
      </c>
      <c r="F234" s="172">
        <v>1.7740658978766801E-5</v>
      </c>
      <c r="G234" s="172">
        <v>1.2407321049370501</v>
      </c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2.4296677670393899E-2</v>
      </c>
      <c r="F270" s="172">
        <v>2.3896112612663899E-2</v>
      </c>
      <c r="G270" s="172">
        <v>1.0167627707578499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2.6369173778708701E-2</v>
      </c>
      <c r="F271" s="172">
        <v>2.45621954277035E-2</v>
      </c>
      <c r="G271" s="172">
        <v>1.07356746086985</v>
      </c>
    </row>
    <row r="272" spans="2:7" hidden="1" x14ac:dyDescent="0.3">
      <c r="B272" s="172" t="s">
        <v>187</v>
      </c>
      <c r="C272" s="172" t="s">
        <v>79</v>
      </c>
      <c r="D272" s="172" t="s">
        <v>221</v>
      </c>
      <c r="E272" s="172">
        <v>5.9089800021819797E-3</v>
      </c>
      <c r="F272" s="172">
        <v>3.6264810324911898E-3</v>
      </c>
      <c r="G272" s="172">
        <v>1.62939774101696</v>
      </c>
    </row>
    <row r="273" spans="2:7" hidden="1" x14ac:dyDescent="0.3">
      <c r="B273" s="172" t="s">
        <v>185</v>
      </c>
      <c r="C273" s="172" t="s">
        <v>79</v>
      </c>
      <c r="D273" s="172" t="s">
        <v>218</v>
      </c>
      <c r="E273" s="172">
        <v>2.5488575718546399E-2</v>
      </c>
      <c r="F273" s="172">
        <v>2.3685199752799001E-2</v>
      </c>
      <c r="G273" s="172">
        <v>1.0761393606374099</v>
      </c>
    </row>
    <row r="274" spans="2:7" hidden="1" x14ac:dyDescent="0.3">
      <c r="B274" s="172" t="s">
        <v>185</v>
      </c>
      <c r="C274" s="172" t="s">
        <v>79</v>
      </c>
      <c r="D274" s="172" t="s">
        <v>221</v>
      </c>
      <c r="E274" s="172">
        <v>5.7385305839271301E-3</v>
      </c>
      <c r="F274" s="172">
        <v>3.4605819956145898E-3</v>
      </c>
      <c r="G274" s="172">
        <v>1.6582559208824601</v>
      </c>
    </row>
    <row r="275" spans="2:7" hidden="1" x14ac:dyDescent="0.3">
      <c r="B275" s="172" t="s">
        <v>183</v>
      </c>
      <c r="C275" s="172" t="s">
        <v>79</v>
      </c>
      <c r="D275" s="172" t="s">
        <v>218</v>
      </c>
      <c r="E275" s="172">
        <v>2.4044831911139E-2</v>
      </c>
      <c r="F275" s="172">
        <v>2.2290951112365901E-2</v>
      </c>
      <c r="G275" s="172">
        <v>1.0786812904452601</v>
      </c>
    </row>
    <row r="276" spans="2:7" hidden="1" x14ac:dyDescent="0.3">
      <c r="B276" s="172" t="s">
        <v>183</v>
      </c>
      <c r="C276" s="172" t="s">
        <v>79</v>
      </c>
      <c r="D276" s="172" t="s">
        <v>221</v>
      </c>
      <c r="E276" s="172">
        <v>5.4430272869196899E-3</v>
      </c>
      <c r="F276" s="172">
        <v>3.2275989095221199E-3</v>
      </c>
      <c r="G276" s="172">
        <v>1.6864013898571999</v>
      </c>
    </row>
    <row r="277" spans="2:7" hidden="1" x14ac:dyDescent="0.3">
      <c r="B277" s="172" t="s">
        <v>181</v>
      </c>
      <c r="C277" s="172" t="s">
        <v>79</v>
      </c>
      <c r="D277" s="172" t="s">
        <v>218</v>
      </c>
      <c r="E277" s="172">
        <v>2.2070856033619E-2</v>
      </c>
      <c r="F277" s="172">
        <v>2.0412756899310099E-2</v>
      </c>
      <c r="G277" s="172">
        <v>1.0812285739984999</v>
      </c>
    </row>
    <row r="278" spans="2:7" hidden="1" x14ac:dyDescent="0.3">
      <c r="B278" s="172" t="s">
        <v>181</v>
      </c>
      <c r="C278" s="172" t="s">
        <v>79</v>
      </c>
      <c r="D278" s="172" t="s">
        <v>221</v>
      </c>
      <c r="E278" s="172">
        <v>5.0253967400682104E-3</v>
      </c>
      <c r="F278" s="172">
        <v>2.9309557283096E-3</v>
      </c>
      <c r="G278" s="172">
        <v>1.71459319276943</v>
      </c>
    </row>
    <row r="279" spans="2:7" hidden="1" x14ac:dyDescent="0.3">
      <c r="B279" s="172" t="s">
        <v>179</v>
      </c>
      <c r="C279" s="172" t="s">
        <v>79</v>
      </c>
      <c r="D279" s="172" t="s">
        <v>218</v>
      </c>
      <c r="E279" s="172">
        <v>1.9642581950925199E-2</v>
      </c>
      <c r="F279" s="172">
        <v>1.8121026536248301E-2</v>
      </c>
      <c r="G279" s="172">
        <v>1.0839662925074001</v>
      </c>
    </row>
    <row r="280" spans="2:7" hidden="1" x14ac:dyDescent="0.3">
      <c r="B280" s="172" t="s">
        <v>179</v>
      </c>
      <c r="C280" s="172" t="s">
        <v>79</v>
      </c>
      <c r="D280" s="172" t="s">
        <v>221</v>
      </c>
      <c r="E280" s="172">
        <v>4.5009551802985097E-3</v>
      </c>
      <c r="F280" s="172">
        <v>2.57899044596977E-3</v>
      </c>
      <c r="G280" s="172">
        <v>1.7452391835465</v>
      </c>
    </row>
    <row r="281" spans="2:7" hidden="1" x14ac:dyDescent="0.3">
      <c r="B281" s="172" t="s">
        <v>39</v>
      </c>
      <c r="C281" s="172" t="s">
        <v>79</v>
      </c>
      <c r="D281" s="172" t="s">
        <v>218</v>
      </c>
      <c r="E281" s="172">
        <v>1.68312945482136E-2</v>
      </c>
      <c r="F281" s="172">
        <v>1.54835125608936E-2</v>
      </c>
      <c r="G281" s="172">
        <v>1.0870462682172</v>
      </c>
    </row>
    <row r="282" spans="2:7" hidden="1" x14ac:dyDescent="0.3">
      <c r="B282" s="172" t="s">
        <v>39</v>
      </c>
      <c r="C282" s="172" t="s">
        <v>79</v>
      </c>
      <c r="D282" s="172" t="s">
        <v>221</v>
      </c>
      <c r="E282" s="172">
        <v>3.8828980410282698E-3</v>
      </c>
      <c r="F282" s="172">
        <v>2.1804365833609802E-3</v>
      </c>
      <c r="G282" s="172">
        <v>1.78078925599527</v>
      </c>
    </row>
    <row r="283" spans="2:7" hidden="1" x14ac:dyDescent="0.3">
      <c r="B283" s="172" t="s">
        <v>26</v>
      </c>
      <c r="C283" s="172" t="s">
        <v>79</v>
      </c>
      <c r="D283" s="172" t="s">
        <v>218</v>
      </c>
      <c r="E283" s="172">
        <v>1.37068370032923E-2</v>
      </c>
      <c r="F283" s="172">
        <v>1.25840213253634E-2</v>
      </c>
      <c r="G283" s="172">
        <v>1.0892255066086001</v>
      </c>
    </row>
    <row r="284" spans="2:7" hidden="1" x14ac:dyDescent="0.3">
      <c r="B284" s="172" t="s">
        <v>26</v>
      </c>
      <c r="C284" s="172" t="s">
        <v>79</v>
      </c>
      <c r="D284" s="172" t="s">
        <v>221</v>
      </c>
      <c r="E284" s="172">
        <v>3.1643331057982001E-3</v>
      </c>
      <c r="F284" s="172">
        <v>1.74603961788796E-3</v>
      </c>
      <c r="G284" s="172">
        <v>1.8122916991000699</v>
      </c>
    </row>
    <row r="285" spans="2:7" hidden="1" x14ac:dyDescent="0.3">
      <c r="B285" s="172" t="s">
        <v>25</v>
      </c>
      <c r="C285" s="172" t="s">
        <v>79</v>
      </c>
      <c r="D285" s="172" t="s">
        <v>218</v>
      </c>
      <c r="E285" s="172">
        <v>1.03289988617898E-2</v>
      </c>
      <c r="F285" s="172">
        <v>9.4803589182617404E-3</v>
      </c>
      <c r="G285" s="172">
        <v>1.0895155922729201</v>
      </c>
    </row>
    <row r="286" spans="2:7" hidden="1" x14ac:dyDescent="0.3">
      <c r="B286" s="172" t="s">
        <v>25</v>
      </c>
      <c r="C286" s="172" t="s">
        <v>79</v>
      </c>
      <c r="D286" s="172" t="s">
        <v>221</v>
      </c>
      <c r="E286" s="172">
        <v>2.3578788321528699E-3</v>
      </c>
      <c r="F286" s="172">
        <v>1.2859125876964E-3</v>
      </c>
      <c r="G286" s="172">
        <v>1.8336229497347101</v>
      </c>
    </row>
    <row r="287" spans="2:7" hidden="1" x14ac:dyDescent="0.3">
      <c r="B287" s="172" t="s">
        <v>24</v>
      </c>
      <c r="C287" s="172" t="s">
        <v>79</v>
      </c>
      <c r="D287" s="172" t="s">
        <v>218</v>
      </c>
      <c r="E287" s="172">
        <v>6.7592369928653698E-3</v>
      </c>
      <c r="F287" s="172">
        <v>6.2129675758438602E-3</v>
      </c>
      <c r="G287" s="172">
        <v>1.08792407337605</v>
      </c>
    </row>
    <row r="288" spans="2:7" hidden="1" x14ac:dyDescent="0.3">
      <c r="B288" s="172" t="s">
        <v>24</v>
      </c>
      <c r="C288" s="172" t="s">
        <v>79</v>
      </c>
      <c r="D288" s="172" t="s">
        <v>221</v>
      </c>
      <c r="E288" s="172">
        <v>1.5026283669079799E-3</v>
      </c>
      <c r="F288" s="172">
        <v>8.1260384014396E-4</v>
      </c>
      <c r="G288" s="172">
        <v>1.8491524315732599</v>
      </c>
    </row>
    <row r="289" spans="2:7" hidden="1" x14ac:dyDescent="0.3">
      <c r="B289" s="172" t="s">
        <v>22</v>
      </c>
      <c r="C289" s="172" t="s">
        <v>79</v>
      </c>
      <c r="D289" s="172" t="s">
        <v>218</v>
      </c>
      <c r="E289" s="172">
        <v>3.1314997015335399E-3</v>
      </c>
      <c r="F289" s="172">
        <v>2.89599168700461E-3</v>
      </c>
      <c r="G289" s="172">
        <v>1.08132206165706</v>
      </c>
    </row>
    <row r="290" spans="2:7" hidden="1" x14ac:dyDescent="0.3">
      <c r="B290" s="172" t="s">
        <v>22</v>
      </c>
      <c r="C290" s="172" t="s">
        <v>79</v>
      </c>
      <c r="D290" s="172" t="s">
        <v>221</v>
      </c>
      <c r="E290" s="172">
        <v>6.5211873703576698E-4</v>
      </c>
      <c r="F290" s="172">
        <v>3.5463492920974701E-4</v>
      </c>
      <c r="G290" s="172">
        <v>1.83884519917121</v>
      </c>
    </row>
    <row r="291" spans="2:7" hidden="1" x14ac:dyDescent="0.3">
      <c r="B291" s="172" t="s">
        <v>189</v>
      </c>
      <c r="C291" s="172" t="s">
        <v>80</v>
      </c>
      <c r="D291" s="172" t="s">
        <v>218</v>
      </c>
      <c r="E291" s="172">
        <v>2.6802815384822799E-2</v>
      </c>
      <c r="F291" s="172">
        <v>2.6428880000281499E-2</v>
      </c>
      <c r="G291" s="172">
        <v>1.0141487412458401</v>
      </c>
    </row>
    <row r="292" spans="2:7" hidden="1" x14ac:dyDescent="0.3">
      <c r="B292" s="172" t="s">
        <v>189</v>
      </c>
      <c r="C292" s="172" t="s">
        <v>80</v>
      </c>
      <c r="D292" s="172" t="s">
        <v>221</v>
      </c>
      <c r="E292" s="172">
        <v>6.4017367304005004E-3</v>
      </c>
      <c r="F292" s="172">
        <v>5.9343174997238696E-3</v>
      </c>
      <c r="G292" s="172">
        <v>1.07876545713949</v>
      </c>
    </row>
    <row r="293" spans="2:7" hidden="1" x14ac:dyDescent="0.3">
      <c r="B293" s="172" t="s">
        <v>187</v>
      </c>
      <c r="C293" s="172" t="s">
        <v>80</v>
      </c>
      <c r="D293" s="172" t="s">
        <v>218</v>
      </c>
      <c r="E293" s="172">
        <v>2.5985902730698899E-2</v>
      </c>
      <c r="F293" s="172">
        <v>2.4222655655899799E-2</v>
      </c>
      <c r="G293" s="172">
        <v>1.0727933014384201</v>
      </c>
    </row>
    <row r="294" spans="2:7" hidden="1" x14ac:dyDescent="0.3">
      <c r="B294" s="172" t="s">
        <v>187</v>
      </c>
      <c r="C294" s="172" t="s">
        <v>80</v>
      </c>
      <c r="D294" s="172" t="s">
        <v>221</v>
      </c>
      <c r="E294" s="172">
        <v>6.1568647118906998E-3</v>
      </c>
      <c r="F294" s="172">
        <v>3.9296052489866699E-3</v>
      </c>
      <c r="G294" s="172">
        <v>1.56678961925714</v>
      </c>
    </row>
    <row r="295" spans="2:7" hidden="1" x14ac:dyDescent="0.3">
      <c r="B295" s="172" t="s">
        <v>185</v>
      </c>
      <c r="C295" s="172" t="s">
        <v>80</v>
      </c>
      <c r="D295" s="172" t="s">
        <v>218</v>
      </c>
      <c r="E295" s="172">
        <v>2.50032607804982E-2</v>
      </c>
      <c r="F295" s="172">
        <v>2.33541090090639E-2</v>
      </c>
      <c r="G295" s="172">
        <v>1.07061505839483</v>
      </c>
    </row>
    <row r="296" spans="2:7" hidden="1" x14ac:dyDescent="0.3">
      <c r="B296" s="172" t="s">
        <v>185</v>
      </c>
      <c r="C296" s="172" t="s">
        <v>80</v>
      </c>
      <c r="D296" s="172" t="s">
        <v>221</v>
      </c>
      <c r="E296" s="172">
        <v>5.8182210002371299E-3</v>
      </c>
      <c r="F296" s="172">
        <v>3.7350819205305801E-3</v>
      </c>
      <c r="G296" s="172">
        <v>1.5577224607193201</v>
      </c>
    </row>
    <row r="297" spans="2:7" hidden="1" x14ac:dyDescent="0.3">
      <c r="B297" s="172" t="s">
        <v>183</v>
      </c>
      <c r="C297" s="172" t="s">
        <v>80</v>
      </c>
      <c r="D297" s="172" t="s">
        <v>218</v>
      </c>
      <c r="E297" s="172">
        <v>2.3478504741381301E-2</v>
      </c>
      <c r="F297" s="172">
        <v>2.19749729566956E-2</v>
      </c>
      <c r="G297" s="172">
        <v>1.0684201881680899</v>
      </c>
    </row>
    <row r="298" spans="2:7" hidden="1" x14ac:dyDescent="0.3">
      <c r="B298" s="172" t="s">
        <v>183</v>
      </c>
      <c r="C298" s="172" t="s">
        <v>80</v>
      </c>
      <c r="D298" s="172" t="s">
        <v>221</v>
      </c>
      <c r="E298" s="172">
        <v>5.3686598492054599E-3</v>
      </c>
      <c r="F298" s="172">
        <v>3.4694618053919398E-3</v>
      </c>
      <c r="G298" s="172">
        <v>1.54740422300138</v>
      </c>
    </row>
    <row r="299" spans="2:7" hidden="1" x14ac:dyDescent="0.3">
      <c r="B299" s="172" t="s">
        <v>181</v>
      </c>
      <c r="C299" s="172" t="s">
        <v>80</v>
      </c>
      <c r="D299" s="172" t="s">
        <v>218</v>
      </c>
      <c r="E299" s="172">
        <v>2.1451578711092701E-2</v>
      </c>
      <c r="F299" s="172">
        <v>2.0118532360645699E-2</v>
      </c>
      <c r="G299" s="172">
        <v>1.0662596220514899</v>
      </c>
    </row>
    <row r="300" spans="2:7" hidden="1" x14ac:dyDescent="0.3">
      <c r="B300" s="172" t="s">
        <v>181</v>
      </c>
      <c r="C300" s="172" t="s">
        <v>80</v>
      </c>
      <c r="D300" s="172" t="s">
        <v>221</v>
      </c>
      <c r="E300" s="172">
        <v>4.8226289794293803E-3</v>
      </c>
      <c r="F300" s="172">
        <v>3.1387809578120899E-3</v>
      </c>
      <c r="G300" s="172">
        <v>1.5364656037645401</v>
      </c>
    </row>
    <row r="301" spans="2:7" hidden="1" x14ac:dyDescent="0.3">
      <c r="B301" s="172" t="s">
        <v>179</v>
      </c>
      <c r="C301" s="172" t="s">
        <v>80</v>
      </c>
      <c r="D301" s="172" t="s">
        <v>218</v>
      </c>
      <c r="E301" s="172">
        <v>1.8997093338399499E-2</v>
      </c>
      <c r="F301" s="172">
        <v>1.7854401137874301E-2</v>
      </c>
      <c r="G301" s="172">
        <v>1.0640005896418001</v>
      </c>
    </row>
    <row r="302" spans="2:7" hidden="1" x14ac:dyDescent="0.3">
      <c r="B302" s="172" t="s">
        <v>179</v>
      </c>
      <c r="C302" s="172" t="s">
        <v>80</v>
      </c>
      <c r="D302" s="172" t="s">
        <v>221</v>
      </c>
      <c r="E302" s="172">
        <v>4.19574435733042E-3</v>
      </c>
      <c r="F302" s="172">
        <v>2.7523436829827398E-3</v>
      </c>
      <c r="G302" s="172">
        <v>1.52442603126636</v>
      </c>
    </row>
    <row r="303" spans="2:7" hidden="1" x14ac:dyDescent="0.3">
      <c r="B303" s="172" t="s">
        <v>39</v>
      </c>
      <c r="C303" s="172" t="s">
        <v>80</v>
      </c>
      <c r="D303" s="172" t="s">
        <v>218</v>
      </c>
      <c r="E303" s="172">
        <v>1.61883508895839E-2</v>
      </c>
      <c r="F303" s="172">
        <v>1.5249907554261199E-2</v>
      </c>
      <c r="G303" s="172">
        <v>1.06153764093215</v>
      </c>
    </row>
    <row r="304" spans="2:7" hidden="1" x14ac:dyDescent="0.3">
      <c r="B304" s="172" t="s">
        <v>39</v>
      </c>
      <c r="C304" s="172" t="s">
        <v>80</v>
      </c>
      <c r="D304" s="172" t="s">
        <v>221</v>
      </c>
      <c r="E304" s="172">
        <v>3.5051914909365899E-3</v>
      </c>
      <c r="F304" s="172">
        <v>2.3197893831605801E-3</v>
      </c>
      <c r="G304" s="172">
        <v>1.51099557415896</v>
      </c>
    </row>
    <row r="305" spans="2:7" hidden="1" x14ac:dyDescent="0.3">
      <c r="B305" s="172" t="s">
        <v>26</v>
      </c>
      <c r="C305" s="172" t="s">
        <v>80</v>
      </c>
      <c r="D305" s="172" t="s">
        <v>218</v>
      </c>
      <c r="E305" s="172">
        <v>1.3135758626537901E-2</v>
      </c>
      <c r="F305" s="172">
        <v>1.2390788597031801E-2</v>
      </c>
      <c r="G305" s="172">
        <v>1.0601228907807001</v>
      </c>
    </row>
    <row r="306" spans="2:7" hidden="1" x14ac:dyDescent="0.3">
      <c r="B306" s="172" t="s">
        <v>26</v>
      </c>
      <c r="C306" s="172" t="s">
        <v>80</v>
      </c>
      <c r="D306" s="172" t="s">
        <v>221</v>
      </c>
      <c r="E306" s="172">
        <v>2.7945842646952298E-3</v>
      </c>
      <c r="F306" s="172">
        <v>1.85356949058223E-3</v>
      </c>
      <c r="G306" s="172">
        <v>1.5076770948670599</v>
      </c>
    </row>
    <row r="307" spans="2:7" hidden="1" x14ac:dyDescent="0.3">
      <c r="B307" s="172" t="s">
        <v>25</v>
      </c>
      <c r="C307" s="172" t="s">
        <v>80</v>
      </c>
      <c r="D307" s="172" t="s">
        <v>218</v>
      </c>
      <c r="E307" s="172">
        <v>9.9029607683924804E-3</v>
      </c>
      <c r="F307" s="172">
        <v>9.3346708318653004E-3</v>
      </c>
      <c r="G307" s="172">
        <v>1.0608794832472499</v>
      </c>
    </row>
    <row r="308" spans="2:7" hidden="1" x14ac:dyDescent="0.3">
      <c r="B308" s="172" t="s">
        <v>25</v>
      </c>
      <c r="C308" s="172" t="s">
        <v>80</v>
      </c>
      <c r="D308" s="172" t="s">
        <v>221</v>
      </c>
      <c r="E308" s="172">
        <v>2.08299959785183E-3</v>
      </c>
      <c r="F308" s="172">
        <v>1.3651596780280199E-3</v>
      </c>
      <c r="G308" s="172">
        <v>1.5258285396040401</v>
      </c>
    </row>
    <row r="309" spans="2:7" hidden="1" x14ac:dyDescent="0.3">
      <c r="B309" s="172" t="s">
        <v>24</v>
      </c>
      <c r="C309" s="172" t="s">
        <v>80</v>
      </c>
      <c r="D309" s="172" t="s">
        <v>218</v>
      </c>
      <c r="E309" s="172">
        <v>6.5131958750909696E-3</v>
      </c>
      <c r="F309" s="172">
        <v>6.1190504531143204E-3</v>
      </c>
      <c r="G309" s="172">
        <v>1.06441284068446</v>
      </c>
    </row>
    <row r="310" spans="2:7" hidden="1" x14ac:dyDescent="0.3">
      <c r="B310" s="172" t="s">
        <v>24</v>
      </c>
      <c r="C310" s="172" t="s">
        <v>80</v>
      </c>
      <c r="D310" s="172" t="s">
        <v>221</v>
      </c>
      <c r="E310" s="172">
        <v>1.3654583685862301E-3</v>
      </c>
      <c r="F310" s="172">
        <v>8.6759046714205204E-4</v>
      </c>
      <c r="G310" s="172">
        <v>1.5738512815663099</v>
      </c>
    </row>
    <row r="311" spans="2:7" hidden="1" x14ac:dyDescent="0.3">
      <c r="B311" s="172" t="s">
        <v>22</v>
      </c>
      <c r="C311" s="172" t="s">
        <v>80</v>
      </c>
      <c r="D311" s="172" t="s">
        <v>218</v>
      </c>
      <c r="E311" s="172">
        <v>3.07128221361077E-3</v>
      </c>
      <c r="F311" s="172">
        <v>2.8549571440666202E-3</v>
      </c>
      <c r="G311" s="172">
        <v>1.0757717396892399</v>
      </c>
    </row>
    <row r="312" spans="2:7" hidden="1" x14ac:dyDescent="0.3">
      <c r="B312" s="172" t="s">
        <v>22</v>
      </c>
      <c r="C312" s="172" t="s">
        <v>80</v>
      </c>
      <c r="D312" s="172" t="s">
        <v>221</v>
      </c>
      <c r="E312" s="172">
        <v>6.6059489184823201E-4</v>
      </c>
      <c r="F312" s="172">
        <v>3.87342172424042E-4</v>
      </c>
      <c r="G312" s="172">
        <v>1.7054556381354899</v>
      </c>
    </row>
    <row r="313" spans="2:7" hidden="1" x14ac:dyDescent="0.3">
      <c r="B313" s="172" t="s">
        <v>189</v>
      </c>
      <c r="C313" s="172" t="s">
        <v>81</v>
      </c>
      <c r="D313" s="172" t="s">
        <v>218</v>
      </c>
      <c r="E313" s="172">
        <v>5.8588986695196103E-3</v>
      </c>
      <c r="F313" s="172">
        <v>5.26662749206026E-3</v>
      </c>
      <c r="G313" s="172">
        <v>1.1124573891645499</v>
      </c>
    </row>
    <row r="314" spans="2:7" x14ac:dyDescent="0.3">
      <c r="B314" s="172" t="s">
        <v>189</v>
      </c>
      <c r="C314" s="172" t="s">
        <v>81</v>
      </c>
      <c r="D314" s="172" t="s">
        <v>221</v>
      </c>
      <c r="E314" s="172">
        <v>3.5395703427250402E-2</v>
      </c>
      <c r="F314" s="172">
        <v>3.4655364455426302E-2</v>
      </c>
      <c r="G314" s="172">
        <v>1.02136289672488</v>
      </c>
    </row>
    <row r="315" spans="2:7" hidden="1" x14ac:dyDescent="0.3">
      <c r="B315" s="172" t="s">
        <v>187</v>
      </c>
      <c r="C315" s="172" t="s">
        <v>81</v>
      </c>
      <c r="D315" s="172" t="s">
        <v>218</v>
      </c>
      <c r="E315" s="172">
        <v>5.4839872780341097E-3</v>
      </c>
      <c r="F315" s="172">
        <v>3.1975660494416502E-3</v>
      </c>
      <c r="G315" s="172">
        <v>1.71505050818003</v>
      </c>
    </row>
    <row r="316" spans="2:7" x14ac:dyDescent="0.3">
      <c r="B316" s="172" t="s">
        <v>187</v>
      </c>
      <c r="C316" s="172" t="s">
        <v>81</v>
      </c>
      <c r="D316" s="172" t="s">
        <v>221</v>
      </c>
      <c r="E316" s="172">
        <v>3.40489839644081E-2</v>
      </c>
      <c r="F316" s="172">
        <v>3.1160872938817599E-2</v>
      </c>
      <c r="G316" s="172">
        <v>1.0926838933960901</v>
      </c>
    </row>
    <row r="317" spans="2:7" hidden="1" x14ac:dyDescent="0.3">
      <c r="B317" s="172" t="s">
        <v>185</v>
      </c>
      <c r="C317" s="172" t="s">
        <v>81</v>
      </c>
      <c r="D317" s="172" t="s">
        <v>218</v>
      </c>
      <c r="E317" s="172">
        <v>5.1300626360697901E-3</v>
      </c>
      <c r="F317" s="172">
        <v>3.0661227242952398E-3</v>
      </c>
      <c r="G317" s="172">
        <v>1.6731432813893501</v>
      </c>
    </row>
    <row r="318" spans="2:7" x14ac:dyDescent="0.3">
      <c r="B318" s="172" t="s">
        <v>185</v>
      </c>
      <c r="C318" s="172" t="s">
        <v>81</v>
      </c>
      <c r="D318" s="172" t="s">
        <v>221</v>
      </c>
      <c r="E318" s="172">
        <v>3.25184562690502E-2</v>
      </c>
      <c r="F318" s="172">
        <v>2.9911374275229701E-2</v>
      </c>
      <c r="G318" s="172">
        <v>1.08716022105275</v>
      </c>
    </row>
    <row r="319" spans="2:7" hidden="1" x14ac:dyDescent="0.3">
      <c r="B319" s="172" t="s">
        <v>183</v>
      </c>
      <c r="C319" s="172" t="s">
        <v>81</v>
      </c>
      <c r="D319" s="172" t="s">
        <v>218</v>
      </c>
      <c r="E319" s="172">
        <v>4.6934815912348304E-3</v>
      </c>
      <c r="F319" s="172">
        <v>2.8733781767901201E-3</v>
      </c>
      <c r="G319" s="172">
        <v>1.63343677805682</v>
      </c>
    </row>
    <row r="320" spans="2:7" x14ac:dyDescent="0.3">
      <c r="B320" s="172" t="s">
        <v>183</v>
      </c>
      <c r="C320" s="172" t="s">
        <v>81</v>
      </c>
      <c r="D320" s="172" t="s">
        <v>221</v>
      </c>
      <c r="E320" s="172">
        <v>3.0324165601279301E-2</v>
      </c>
      <c r="F320" s="172">
        <v>2.8025087604086001E-2</v>
      </c>
      <c r="G320" s="172">
        <v>1.0820364249943699</v>
      </c>
    </row>
    <row r="321" spans="2:7" hidden="1" x14ac:dyDescent="0.3">
      <c r="B321" s="172" t="s">
        <v>181</v>
      </c>
      <c r="C321" s="172" t="s">
        <v>81</v>
      </c>
      <c r="D321" s="172" t="s">
        <v>218</v>
      </c>
      <c r="E321" s="172">
        <v>4.1881070829344804E-3</v>
      </c>
      <c r="F321" s="172">
        <v>2.6201573722054602E-3</v>
      </c>
      <c r="G321" s="172">
        <v>1.5984181436435001</v>
      </c>
    </row>
    <row r="322" spans="2:7" x14ac:dyDescent="0.3">
      <c r="B322" s="172" t="s">
        <v>181</v>
      </c>
      <c r="C322" s="172" t="s">
        <v>81</v>
      </c>
      <c r="D322" s="172" t="s">
        <v>221</v>
      </c>
      <c r="E322" s="172">
        <v>2.7535660663831701E-2</v>
      </c>
      <c r="F322" s="172">
        <v>2.5555092608173999E-2</v>
      </c>
      <c r="G322" s="172">
        <v>1.07750189310698</v>
      </c>
    </row>
    <row r="323" spans="2:7" hidden="1" x14ac:dyDescent="0.3">
      <c r="B323" s="172" t="s">
        <v>179</v>
      </c>
      <c r="C323" s="172" t="s">
        <v>81</v>
      </c>
      <c r="D323" s="172" t="s">
        <v>218</v>
      </c>
      <c r="E323" s="172">
        <v>3.6278591005343098E-3</v>
      </c>
      <c r="F323" s="172">
        <v>2.31449866995593E-3</v>
      </c>
      <c r="G323" s="172">
        <v>1.5674492051461799</v>
      </c>
    </row>
    <row r="324" spans="2:7" x14ac:dyDescent="0.3">
      <c r="B324" s="172" t="s">
        <v>179</v>
      </c>
      <c r="C324" s="172" t="s">
        <v>81</v>
      </c>
      <c r="D324" s="172" t="s">
        <v>221</v>
      </c>
      <c r="E324" s="172">
        <v>2.42544698883051E-2</v>
      </c>
      <c r="F324" s="172">
        <v>2.25954882917851E-2</v>
      </c>
      <c r="G324" s="172">
        <v>1.0734209225796301</v>
      </c>
    </row>
    <row r="325" spans="2:7" hidden="1" x14ac:dyDescent="0.3">
      <c r="B325" s="172" t="s">
        <v>39</v>
      </c>
      <c r="C325" s="172" t="s">
        <v>81</v>
      </c>
      <c r="D325" s="172" t="s">
        <v>218</v>
      </c>
      <c r="E325" s="172">
        <v>3.0273762117717399E-3</v>
      </c>
      <c r="F325" s="172">
        <v>1.9651419297527801E-3</v>
      </c>
      <c r="G325" s="172">
        <v>1.54053820028795</v>
      </c>
    </row>
    <row r="326" spans="2:7" x14ac:dyDescent="0.3">
      <c r="B326" s="172" t="s">
        <v>39</v>
      </c>
      <c r="C326" s="172" t="s">
        <v>81</v>
      </c>
      <c r="D326" s="172" t="s">
        <v>221</v>
      </c>
      <c r="E326" s="172">
        <v>2.0572680827141001E-2</v>
      </c>
      <c r="F326" s="172">
        <v>1.92309112077487E-2</v>
      </c>
      <c r="G326" s="172">
        <v>1.0697715050991301</v>
      </c>
    </row>
    <row r="327" spans="2:7" hidden="1" x14ac:dyDescent="0.3">
      <c r="B327" s="172" t="s">
        <v>26</v>
      </c>
      <c r="C327" s="172" t="s">
        <v>81</v>
      </c>
      <c r="D327" s="172" t="s">
        <v>218</v>
      </c>
      <c r="E327" s="172">
        <v>2.4092306720471901E-3</v>
      </c>
      <c r="F327" s="172">
        <v>1.5826585075821801E-3</v>
      </c>
      <c r="G327" s="172">
        <v>1.52226817124798</v>
      </c>
    </row>
    <row r="328" spans="2:7" x14ac:dyDescent="0.3">
      <c r="B328" s="172" t="s">
        <v>26</v>
      </c>
      <c r="C328" s="172" t="s">
        <v>81</v>
      </c>
      <c r="D328" s="172" t="s">
        <v>221</v>
      </c>
      <c r="E328" s="172">
        <v>1.6580319802910401E-2</v>
      </c>
      <c r="F328" s="172">
        <v>1.5536228647796701E-2</v>
      </c>
      <c r="G328" s="172">
        <v>1.0672036424529401</v>
      </c>
    </row>
    <row r="329" spans="2:7" hidden="1" x14ac:dyDescent="0.3">
      <c r="B329" s="172" t="s">
        <v>25</v>
      </c>
      <c r="C329" s="172" t="s">
        <v>81</v>
      </c>
      <c r="D329" s="172" t="s">
        <v>218</v>
      </c>
      <c r="E329" s="172">
        <v>1.78938091668507E-3</v>
      </c>
      <c r="F329" s="172">
        <v>1.1765769342443101E-3</v>
      </c>
      <c r="G329" s="172">
        <v>1.52083630454166</v>
      </c>
    </row>
    <row r="330" spans="2:7" x14ac:dyDescent="0.3">
      <c r="B330" s="172" t="s">
        <v>25</v>
      </c>
      <c r="C330" s="172" t="s">
        <v>81</v>
      </c>
      <c r="D330" s="172" t="s">
        <v>221</v>
      </c>
      <c r="E330" s="172">
        <v>1.2353427110762399E-2</v>
      </c>
      <c r="F330" s="172">
        <v>1.15793589224162E-2</v>
      </c>
      <c r="G330" s="172">
        <v>1.0668489675061099</v>
      </c>
    </row>
    <row r="331" spans="2:7" hidden="1" x14ac:dyDescent="0.3">
      <c r="B331" s="172" t="s">
        <v>24</v>
      </c>
      <c r="C331" s="172" t="s">
        <v>81</v>
      </c>
      <c r="D331" s="172" t="s">
        <v>218</v>
      </c>
      <c r="E331" s="172">
        <v>1.1789000201070301E-3</v>
      </c>
      <c r="F331" s="172">
        <v>7.5723774074721499E-4</v>
      </c>
      <c r="G331" s="172">
        <v>1.5568426620465701</v>
      </c>
    </row>
    <row r="332" spans="2:7" x14ac:dyDescent="0.3">
      <c r="B332" s="172" t="s">
        <v>24</v>
      </c>
      <c r="C332" s="172" t="s">
        <v>81</v>
      </c>
      <c r="D332" s="172" t="s">
        <v>221</v>
      </c>
      <c r="E332" s="172">
        <v>7.9797840749634905E-3</v>
      </c>
      <c r="F332" s="172">
        <v>7.4471580378774101E-3</v>
      </c>
      <c r="G332" s="172">
        <v>1.0715207109043601</v>
      </c>
    </row>
    <row r="333" spans="2:7" hidden="1" x14ac:dyDescent="0.3">
      <c r="B333" s="172" t="s">
        <v>22</v>
      </c>
      <c r="C333" s="172" t="s">
        <v>81</v>
      </c>
      <c r="D333" s="172" t="s">
        <v>218</v>
      </c>
      <c r="E333" s="172">
        <v>5.8538122194226995E-4</v>
      </c>
      <c r="F333" s="172">
        <v>3.4482422812232699E-4</v>
      </c>
      <c r="G333" s="172">
        <v>1.69762207583222</v>
      </c>
    </row>
    <row r="334" spans="2:7" x14ac:dyDescent="0.3">
      <c r="B334" s="172" t="s">
        <v>22</v>
      </c>
      <c r="C334" s="172" t="s">
        <v>81</v>
      </c>
      <c r="D334" s="172" t="s">
        <v>221</v>
      </c>
      <c r="E334" s="172">
        <v>3.6395638350918899E-3</v>
      </c>
      <c r="F334" s="172">
        <v>3.3357023692140702E-3</v>
      </c>
      <c r="G334" s="172">
        <v>1.09109369849128</v>
      </c>
    </row>
    <row r="335" spans="2:7" hidden="1" x14ac:dyDescent="0.3">
      <c r="B335" s="172" t="s">
        <v>189</v>
      </c>
      <c r="C335" s="172" t="s">
        <v>82</v>
      </c>
      <c r="D335" s="172" t="s">
        <v>221</v>
      </c>
      <c r="E335" s="172">
        <v>2.9971248893849899E-2</v>
      </c>
      <c r="F335" s="172">
        <v>2.9446057967908199E-2</v>
      </c>
      <c r="G335" s="172">
        <v>1.01783569557983</v>
      </c>
    </row>
    <row r="336" spans="2:7" hidden="1" x14ac:dyDescent="0.3">
      <c r="B336" s="172" t="s">
        <v>187</v>
      </c>
      <c r="C336" s="172" t="s">
        <v>82</v>
      </c>
      <c r="D336" s="172" t="s">
        <v>218</v>
      </c>
      <c r="E336" s="172">
        <v>6.0200566872377903E-3</v>
      </c>
      <c r="F336" s="172">
        <v>3.6408503592005401E-3</v>
      </c>
      <c r="G336" s="172">
        <v>1.65347545032301</v>
      </c>
    </row>
    <row r="337" spans="2:7" hidden="1" x14ac:dyDescent="0.3">
      <c r="B337" s="172" t="s">
        <v>187</v>
      </c>
      <c r="C337" s="172" t="s">
        <v>82</v>
      </c>
      <c r="D337" s="172" t="s">
        <v>221</v>
      </c>
      <c r="E337" s="172">
        <v>3.3769006564579901E-2</v>
      </c>
      <c r="F337" s="172">
        <v>3.0763693308111802E-2</v>
      </c>
      <c r="G337" s="172">
        <v>1.09769026190609</v>
      </c>
    </row>
    <row r="338" spans="2:7" hidden="1" x14ac:dyDescent="0.3">
      <c r="B338" s="172" t="s">
        <v>185</v>
      </c>
      <c r="C338" s="172" t="s">
        <v>82</v>
      </c>
      <c r="D338" s="172" t="s">
        <v>218</v>
      </c>
      <c r="E338" s="172">
        <v>5.9404942158508304E-3</v>
      </c>
      <c r="F338" s="172">
        <v>3.4978981870801098E-3</v>
      </c>
      <c r="G338" s="172">
        <v>1.6983039237084501</v>
      </c>
    </row>
    <row r="339" spans="2:7" s="172" customFormat="1" hidden="1" x14ac:dyDescent="0.3">
      <c r="B339" s="172" t="s">
        <v>185</v>
      </c>
      <c r="C339" s="172" t="s">
        <v>82</v>
      </c>
      <c r="D339" s="172" t="s">
        <v>221</v>
      </c>
      <c r="E339" s="172">
        <v>3.2637364015584099E-2</v>
      </c>
      <c r="F339" s="172">
        <v>2.9551979558189501E-2</v>
      </c>
      <c r="G339" s="172">
        <v>1.10440533945685</v>
      </c>
    </row>
    <row r="340" spans="2:7" hidden="1" x14ac:dyDescent="0.3">
      <c r="B340" s="172" t="s">
        <v>183</v>
      </c>
      <c r="C340" s="172" t="s">
        <v>82</v>
      </c>
      <c r="D340" s="172" t="s">
        <v>218</v>
      </c>
      <c r="E340" s="172">
        <v>5.7094799021522504E-3</v>
      </c>
      <c r="F340" s="172">
        <v>3.2848114480054699E-3</v>
      </c>
      <c r="G340" s="172">
        <v>1.7381453981533801</v>
      </c>
    </row>
    <row r="341" spans="2:7" hidden="1" x14ac:dyDescent="0.3">
      <c r="B341" s="172" t="s">
        <v>183</v>
      </c>
      <c r="C341" s="172" t="s">
        <v>82</v>
      </c>
      <c r="D341" s="172" t="s">
        <v>221</v>
      </c>
      <c r="E341" s="172">
        <v>3.0771532724560999E-2</v>
      </c>
      <c r="F341" s="172">
        <v>2.7708793624586101E-2</v>
      </c>
      <c r="G341" s="172">
        <v>1.1105331087838199</v>
      </c>
    </row>
    <row r="342" spans="2:7" hidden="1" x14ac:dyDescent="0.3">
      <c r="B342" s="172" t="s">
        <v>181</v>
      </c>
      <c r="C342" s="172" t="s">
        <v>82</v>
      </c>
      <c r="D342" s="172" t="s">
        <v>218</v>
      </c>
      <c r="E342" s="172">
        <v>5.3258987706384401E-3</v>
      </c>
      <c r="F342" s="172">
        <v>3.0026663549192799E-3</v>
      </c>
      <c r="G342" s="172">
        <v>1.77372313174689</v>
      </c>
    </row>
    <row r="343" spans="2:7" s="172" customFormat="1" hidden="1" x14ac:dyDescent="0.3">
      <c r="B343" s="172" t="s">
        <v>181</v>
      </c>
      <c r="C343" s="172" t="s">
        <v>82</v>
      </c>
      <c r="D343" s="172" t="s">
        <v>221</v>
      </c>
      <c r="E343" s="172">
        <v>2.8218254149147699E-2</v>
      </c>
      <c r="F343" s="172">
        <v>2.5283644781923499E-2</v>
      </c>
      <c r="G343" s="172">
        <v>1.1160674970929101</v>
      </c>
    </row>
    <row r="344" spans="2:7" hidden="1" x14ac:dyDescent="0.3">
      <c r="B344" s="172" t="s">
        <v>179</v>
      </c>
      <c r="C344" s="172" t="s">
        <v>82</v>
      </c>
      <c r="D344" s="172" t="s">
        <v>218</v>
      </c>
      <c r="E344" s="172">
        <v>4.8085231571060099E-3</v>
      </c>
      <c r="F344" s="172">
        <v>2.6606949959688802E-3</v>
      </c>
      <c r="G344" s="172">
        <v>1.8072432820715001</v>
      </c>
    </row>
    <row r="345" spans="2:7" hidden="1" x14ac:dyDescent="0.3">
      <c r="B345" s="172" t="s">
        <v>179</v>
      </c>
      <c r="C345" s="172" t="s">
        <v>82</v>
      </c>
      <c r="D345" s="172" t="s">
        <v>221</v>
      </c>
      <c r="E345" s="172">
        <v>2.5082364215334201E-2</v>
      </c>
      <c r="F345" s="172">
        <v>2.2369318117055701E-2</v>
      </c>
      <c r="G345" s="172">
        <v>1.1212842556970899</v>
      </c>
    </row>
    <row r="346" spans="2:7" hidden="1" x14ac:dyDescent="0.3">
      <c r="B346" s="172" t="s">
        <v>39</v>
      </c>
      <c r="C346" s="172" t="s">
        <v>82</v>
      </c>
      <c r="D346" s="172" t="s">
        <v>218</v>
      </c>
      <c r="E346" s="172">
        <v>4.1736904108974704E-3</v>
      </c>
      <c r="F346" s="172">
        <v>2.2682417631394699E-3</v>
      </c>
      <c r="G346" s="172">
        <v>1.84005535861428</v>
      </c>
    </row>
    <row r="347" spans="2:7" s="172" customFormat="1" hidden="1" x14ac:dyDescent="0.3">
      <c r="B347" s="172" t="s">
        <v>39</v>
      </c>
      <c r="C347" s="172" t="s">
        <v>82</v>
      </c>
      <c r="D347" s="172" t="s">
        <v>221</v>
      </c>
      <c r="E347" s="172">
        <v>2.14561418231441E-2</v>
      </c>
      <c r="F347" s="172">
        <v>1.90492593207129E-2</v>
      </c>
      <c r="G347" s="172">
        <v>1.1263504507922799</v>
      </c>
    </row>
    <row r="348" spans="2:7" hidden="1" x14ac:dyDescent="0.3">
      <c r="B348" s="172" t="s">
        <v>26</v>
      </c>
      <c r="C348" s="172" t="s">
        <v>82</v>
      </c>
      <c r="D348" s="172" t="s">
        <v>218</v>
      </c>
      <c r="E348" s="172">
        <v>3.4307622434315301E-3</v>
      </c>
      <c r="F348" s="172">
        <v>1.8333331681017601E-3</v>
      </c>
      <c r="G348" s="172">
        <v>1.87132502870919</v>
      </c>
    </row>
    <row r="349" spans="2:7" hidden="1" x14ac:dyDescent="0.3">
      <c r="B349" s="172" t="s">
        <v>26</v>
      </c>
      <c r="C349" s="172" t="s">
        <v>82</v>
      </c>
      <c r="D349" s="172" t="s">
        <v>221</v>
      </c>
      <c r="E349" s="172">
        <v>1.7413948484945999E-2</v>
      </c>
      <c r="F349" s="172">
        <v>1.5396143337161E-2</v>
      </c>
      <c r="G349" s="172">
        <v>1.13105912978315</v>
      </c>
    </row>
    <row r="350" spans="2:7" hidden="1" x14ac:dyDescent="0.3">
      <c r="B350" s="172" t="s">
        <v>25</v>
      </c>
      <c r="C350" s="172" t="s">
        <v>82</v>
      </c>
      <c r="D350" s="172" t="s">
        <v>218</v>
      </c>
      <c r="E350" s="172">
        <v>2.59216100647319E-3</v>
      </c>
      <c r="F350" s="172">
        <v>1.3656266344767699E-3</v>
      </c>
      <c r="G350" s="172">
        <v>1.8981476642525701</v>
      </c>
    </row>
    <row r="351" spans="2:7" s="172" customFormat="1" hidden="1" x14ac:dyDescent="0.3">
      <c r="B351" s="172" t="s">
        <v>25</v>
      </c>
      <c r="C351" s="172" t="s">
        <v>82</v>
      </c>
      <c r="D351" s="172" t="s">
        <v>221</v>
      </c>
      <c r="E351" s="172">
        <v>1.30254692332175E-2</v>
      </c>
      <c r="F351" s="172">
        <v>1.14761626580641E-2</v>
      </c>
      <c r="G351" s="172">
        <v>1.1350021449952801</v>
      </c>
    </row>
    <row r="352" spans="2:7" hidden="1" x14ac:dyDescent="0.3">
      <c r="B352" s="172" t="s">
        <v>24</v>
      </c>
      <c r="C352" s="172" t="s">
        <v>82</v>
      </c>
      <c r="D352" s="172" t="s">
        <v>218</v>
      </c>
      <c r="E352" s="172">
        <v>1.6788458379407699E-3</v>
      </c>
      <c r="F352" s="172">
        <v>8.7916908731812198E-4</v>
      </c>
      <c r="G352" s="172">
        <v>1.9095824252215601</v>
      </c>
    </row>
    <row r="353" spans="2:7" hidden="1" x14ac:dyDescent="0.3">
      <c r="B353" s="172" t="s">
        <v>24</v>
      </c>
      <c r="C353" s="172" t="s">
        <v>82</v>
      </c>
      <c r="D353" s="172" t="s">
        <v>221</v>
      </c>
      <c r="E353" s="172">
        <v>8.3857017965710892E-3</v>
      </c>
      <c r="F353" s="172">
        <v>7.3755837957845899E-3</v>
      </c>
      <c r="G353" s="172">
        <v>1.1369543115168499</v>
      </c>
    </row>
    <row r="354" spans="2:7" hidden="1" x14ac:dyDescent="0.3">
      <c r="B354" s="172" t="s">
        <v>22</v>
      </c>
      <c r="C354" s="172" t="s">
        <v>82</v>
      </c>
      <c r="D354" s="172" t="s">
        <v>218</v>
      </c>
      <c r="E354" s="172">
        <v>7.4461907896339395E-4</v>
      </c>
      <c r="F354" s="172">
        <v>3.9812359903672702E-4</v>
      </c>
      <c r="G354" s="172">
        <v>1.8703213795038101</v>
      </c>
    </row>
    <row r="355" spans="2:7" s="172" customFormat="1" hidden="1" x14ac:dyDescent="0.3">
      <c r="B355" s="172" t="s">
        <v>22</v>
      </c>
      <c r="C355" s="172" t="s">
        <v>82</v>
      </c>
      <c r="D355" s="172" t="s">
        <v>221</v>
      </c>
      <c r="E355" s="172">
        <v>3.7308335051109399E-3</v>
      </c>
      <c r="F355" s="172">
        <v>3.2931550041509399E-3</v>
      </c>
      <c r="G355" s="172">
        <v>1.1329055268908701</v>
      </c>
    </row>
    <row r="356" spans="2:7" hidden="1" x14ac:dyDescent="0.3">
      <c r="B356" s="172" t="s">
        <v>189</v>
      </c>
      <c r="C356" s="172" t="s">
        <v>246</v>
      </c>
      <c r="D356" s="172" t="s">
        <v>218</v>
      </c>
      <c r="E356" s="172">
        <v>2.72054113158817E-3</v>
      </c>
      <c r="F356" s="172">
        <v>2.6361408868282202E-3</v>
      </c>
      <c r="G356" s="172">
        <v>1.03201659106373</v>
      </c>
    </row>
    <row r="357" spans="2:7" hidden="1" x14ac:dyDescent="0.3">
      <c r="B357" s="172" t="s">
        <v>187</v>
      </c>
      <c r="C357" s="172" t="s">
        <v>246</v>
      </c>
      <c r="D357" s="172" t="s">
        <v>218</v>
      </c>
      <c r="E357" s="172">
        <v>1.9829385141815399E-3</v>
      </c>
      <c r="F357" s="172">
        <v>1.73674361485152E-3</v>
      </c>
      <c r="G357" s="172">
        <v>1.141756616938</v>
      </c>
    </row>
    <row r="358" spans="2:7" hidden="1" x14ac:dyDescent="0.3">
      <c r="B358" s="172" t="s">
        <v>185</v>
      </c>
      <c r="C358" s="172" t="s">
        <v>246</v>
      </c>
      <c r="D358" s="172" t="s">
        <v>218</v>
      </c>
      <c r="E358" s="172">
        <v>1.694605067312E-3</v>
      </c>
      <c r="F358" s="172">
        <v>1.4851594081742E-3</v>
      </c>
      <c r="G358" s="172">
        <v>1.1410257094188201</v>
      </c>
    </row>
    <row r="359" spans="2:7" s="172" customFormat="1" hidden="1" x14ac:dyDescent="0.3">
      <c r="B359" s="172" t="s">
        <v>183</v>
      </c>
      <c r="C359" s="172" t="s">
        <v>246</v>
      </c>
      <c r="D359" s="172" t="s">
        <v>218</v>
      </c>
      <c r="E359" s="172">
        <v>1.40297411089107E-3</v>
      </c>
      <c r="F359" s="172">
        <v>1.22637433173614E-3</v>
      </c>
      <c r="G359" s="172">
        <v>1.1440015292108401</v>
      </c>
    </row>
    <row r="360" spans="2:7" hidden="1" x14ac:dyDescent="0.3">
      <c r="B360" s="172" t="s">
        <v>181</v>
      </c>
      <c r="C360" s="172" t="s">
        <v>246</v>
      </c>
      <c r="D360" s="172" t="s">
        <v>218</v>
      </c>
      <c r="E360" s="172">
        <v>1.1234092232740799E-3</v>
      </c>
      <c r="F360" s="172">
        <v>9.7857919201981697E-4</v>
      </c>
      <c r="G360" s="172">
        <v>1.14800031763943</v>
      </c>
    </row>
    <row r="361" spans="2:7" hidden="1" x14ac:dyDescent="0.3">
      <c r="B361" s="172" t="s">
        <v>179</v>
      </c>
      <c r="C361" s="172" t="s">
        <v>246</v>
      </c>
      <c r="D361" s="172" t="s">
        <v>218</v>
      </c>
      <c r="E361" s="172">
        <v>8.6286878801612396E-4</v>
      </c>
      <c r="F361" s="172">
        <v>7.4773116503309305E-4</v>
      </c>
      <c r="G361" s="172">
        <v>1.1539826455915301</v>
      </c>
    </row>
    <row r="362" spans="2:7" hidden="1" x14ac:dyDescent="0.3">
      <c r="B362" s="172" t="s">
        <v>39</v>
      </c>
      <c r="C362" s="172" t="s">
        <v>246</v>
      </c>
      <c r="D362" s="172" t="s">
        <v>218</v>
      </c>
      <c r="E362" s="172">
        <v>6.2680872942744495E-4</v>
      </c>
      <c r="F362" s="172">
        <v>5.3889856022323098E-4</v>
      </c>
      <c r="G362" s="172">
        <v>1.16312934509938</v>
      </c>
    </row>
    <row r="363" spans="2:7" hidden="1" x14ac:dyDescent="0.3">
      <c r="B363" s="172" t="s">
        <v>26</v>
      </c>
      <c r="C363" s="172" t="s">
        <v>246</v>
      </c>
      <c r="D363" s="172" t="s">
        <v>218</v>
      </c>
      <c r="E363" s="172">
        <v>4.1271402440622602E-4</v>
      </c>
      <c r="F363" s="172">
        <v>3.5210086627233202E-4</v>
      </c>
      <c r="G363" s="172">
        <v>1.17214714287869</v>
      </c>
    </row>
    <row r="364" spans="2:7" hidden="1" x14ac:dyDescent="0.3">
      <c r="B364" s="172" t="s">
        <v>25</v>
      </c>
      <c r="C364" s="172" t="s">
        <v>246</v>
      </c>
      <c r="D364" s="172" t="s">
        <v>218</v>
      </c>
      <c r="E364" s="172">
        <v>2.2916727664979E-4</v>
      </c>
      <c r="F364" s="172">
        <v>1.9439928848896299E-4</v>
      </c>
      <c r="G364" s="172">
        <v>1.17884833031578</v>
      </c>
    </row>
    <row r="365" spans="2:7" hidden="1" x14ac:dyDescent="0.3">
      <c r="B365" s="172" t="s">
        <v>24</v>
      </c>
      <c r="C365" s="172" t="s">
        <v>246</v>
      </c>
      <c r="D365" s="172" t="s">
        <v>218</v>
      </c>
      <c r="E365" s="172">
        <v>9.46249427066265E-5</v>
      </c>
      <c r="F365" s="172">
        <v>7.8991611890459704E-5</v>
      </c>
      <c r="G365" s="172">
        <v>1.1979112774384999</v>
      </c>
    </row>
    <row r="366" spans="2:7" hidden="1" x14ac:dyDescent="0.3">
      <c r="B366" s="172" t="s">
        <v>22</v>
      </c>
      <c r="C366" s="172" t="s">
        <v>246</v>
      </c>
      <c r="D366" s="172" t="s">
        <v>218</v>
      </c>
      <c r="E366" s="172">
        <v>2.2011405157695699E-5</v>
      </c>
      <c r="F366" s="172">
        <v>1.7740658978766801E-5</v>
      </c>
      <c r="G366" s="172">
        <v>1.2407321049370501</v>
      </c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2.4296677670393899E-2</v>
      </c>
      <c r="F402" s="172">
        <v>2.3896112612663899E-2</v>
      </c>
      <c r="G402" s="172">
        <v>1.0167627707578499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2.6369173778708701E-2</v>
      </c>
      <c r="F403" s="172">
        <v>2.45621954277035E-2</v>
      </c>
      <c r="G403" s="172">
        <v>1.07356746086985</v>
      </c>
    </row>
    <row r="404" spans="2:7" hidden="1" x14ac:dyDescent="0.3">
      <c r="B404" s="172" t="s">
        <v>187</v>
      </c>
      <c r="C404" s="172" t="s">
        <v>79</v>
      </c>
      <c r="D404" s="172" t="s">
        <v>221</v>
      </c>
      <c r="E404" s="172">
        <v>5.9089800021819797E-3</v>
      </c>
      <c r="F404" s="172">
        <v>3.6264810324911898E-3</v>
      </c>
      <c r="G404" s="172">
        <v>1.62939774101696</v>
      </c>
    </row>
    <row r="405" spans="2:7" hidden="1" x14ac:dyDescent="0.3">
      <c r="B405" s="172" t="s">
        <v>185</v>
      </c>
      <c r="C405" s="172" t="s">
        <v>79</v>
      </c>
      <c r="D405" s="172" t="s">
        <v>218</v>
      </c>
      <c r="E405" s="172">
        <v>2.5488575718546399E-2</v>
      </c>
      <c r="F405" s="172">
        <v>2.3685199752799001E-2</v>
      </c>
      <c r="G405" s="172">
        <v>1.0761393606374099</v>
      </c>
    </row>
    <row r="406" spans="2:7" hidden="1" x14ac:dyDescent="0.3">
      <c r="B406" s="172" t="s">
        <v>185</v>
      </c>
      <c r="C406" s="172" t="s">
        <v>79</v>
      </c>
      <c r="D406" s="172" t="s">
        <v>221</v>
      </c>
      <c r="E406" s="172">
        <v>5.7385305839271301E-3</v>
      </c>
      <c r="F406" s="172">
        <v>3.4605819956145898E-3</v>
      </c>
      <c r="G406" s="172">
        <v>1.6582559208824601</v>
      </c>
    </row>
    <row r="407" spans="2:7" hidden="1" x14ac:dyDescent="0.3">
      <c r="B407" s="172" t="s">
        <v>183</v>
      </c>
      <c r="C407" s="172" t="s">
        <v>79</v>
      </c>
      <c r="D407" s="172" t="s">
        <v>218</v>
      </c>
      <c r="E407" s="172">
        <v>2.4044831911139E-2</v>
      </c>
      <c r="F407" s="172">
        <v>2.2290951112365901E-2</v>
      </c>
      <c r="G407" s="172">
        <v>1.0786812904452601</v>
      </c>
    </row>
    <row r="408" spans="2:7" hidden="1" x14ac:dyDescent="0.3">
      <c r="B408" s="172" t="s">
        <v>183</v>
      </c>
      <c r="C408" s="172" t="s">
        <v>79</v>
      </c>
      <c r="D408" s="172" t="s">
        <v>221</v>
      </c>
      <c r="E408" s="172">
        <v>5.4430272869196899E-3</v>
      </c>
      <c r="F408" s="172">
        <v>3.2275989095221199E-3</v>
      </c>
      <c r="G408" s="172">
        <v>1.6864013898571999</v>
      </c>
    </row>
    <row r="409" spans="2:7" hidden="1" x14ac:dyDescent="0.3">
      <c r="B409" s="172" t="s">
        <v>181</v>
      </c>
      <c r="C409" s="172" t="s">
        <v>79</v>
      </c>
      <c r="D409" s="172" t="s">
        <v>218</v>
      </c>
      <c r="E409" s="172">
        <v>2.2070856033619E-2</v>
      </c>
      <c r="F409" s="172">
        <v>2.0412756899310099E-2</v>
      </c>
      <c r="G409" s="172">
        <v>1.0812285739984999</v>
      </c>
    </row>
    <row r="410" spans="2:7" hidden="1" x14ac:dyDescent="0.3">
      <c r="B410" s="172" t="s">
        <v>181</v>
      </c>
      <c r="C410" s="172" t="s">
        <v>79</v>
      </c>
      <c r="D410" s="172" t="s">
        <v>221</v>
      </c>
      <c r="E410" s="172">
        <v>5.0253967400682104E-3</v>
      </c>
      <c r="F410" s="172">
        <v>2.9309557283096E-3</v>
      </c>
      <c r="G410" s="172">
        <v>1.71459319276943</v>
      </c>
    </row>
    <row r="411" spans="2:7" hidden="1" x14ac:dyDescent="0.3">
      <c r="B411" s="172" t="s">
        <v>179</v>
      </c>
      <c r="C411" s="172" t="s">
        <v>79</v>
      </c>
      <c r="D411" s="172" t="s">
        <v>218</v>
      </c>
      <c r="E411" s="172">
        <v>1.9642581950925199E-2</v>
      </c>
      <c r="F411" s="172">
        <v>1.8121026536248301E-2</v>
      </c>
      <c r="G411" s="172">
        <v>1.0839662925074001</v>
      </c>
    </row>
    <row r="412" spans="2:7" hidden="1" x14ac:dyDescent="0.3">
      <c r="B412" s="172" t="s">
        <v>179</v>
      </c>
      <c r="C412" s="172" t="s">
        <v>79</v>
      </c>
      <c r="D412" s="172" t="s">
        <v>221</v>
      </c>
      <c r="E412" s="172">
        <v>4.5009551802985097E-3</v>
      </c>
      <c r="F412" s="172">
        <v>2.57899044596977E-3</v>
      </c>
      <c r="G412" s="172">
        <v>1.7452391835465</v>
      </c>
    </row>
    <row r="413" spans="2:7" hidden="1" x14ac:dyDescent="0.3">
      <c r="B413" s="172" t="s">
        <v>39</v>
      </c>
      <c r="C413" s="172" t="s">
        <v>79</v>
      </c>
      <c r="D413" s="172" t="s">
        <v>218</v>
      </c>
      <c r="E413" s="172">
        <v>1.68312945482136E-2</v>
      </c>
      <c r="F413" s="172">
        <v>1.54835125608936E-2</v>
      </c>
      <c r="G413" s="172">
        <v>1.0870462682172</v>
      </c>
    </row>
    <row r="414" spans="2:7" hidden="1" x14ac:dyDescent="0.3">
      <c r="B414" s="172" t="s">
        <v>39</v>
      </c>
      <c r="C414" s="172" t="s">
        <v>79</v>
      </c>
      <c r="D414" s="172" t="s">
        <v>221</v>
      </c>
      <c r="E414" s="172">
        <v>3.8828980410282698E-3</v>
      </c>
      <c r="F414" s="172">
        <v>2.1804365833609802E-3</v>
      </c>
      <c r="G414" s="172">
        <v>1.78078925599527</v>
      </c>
    </row>
    <row r="415" spans="2:7" hidden="1" x14ac:dyDescent="0.3">
      <c r="B415" s="172" t="s">
        <v>26</v>
      </c>
      <c r="C415" s="172" t="s">
        <v>79</v>
      </c>
      <c r="D415" s="172" t="s">
        <v>218</v>
      </c>
      <c r="E415" s="172">
        <v>1.37068370032923E-2</v>
      </c>
      <c r="F415" s="172">
        <v>1.25840213253634E-2</v>
      </c>
      <c r="G415" s="172">
        <v>1.0892255066086001</v>
      </c>
    </row>
    <row r="416" spans="2:7" hidden="1" x14ac:dyDescent="0.3">
      <c r="B416" s="172" t="s">
        <v>26</v>
      </c>
      <c r="C416" s="172" t="s">
        <v>79</v>
      </c>
      <c r="D416" s="172" t="s">
        <v>221</v>
      </c>
      <c r="E416" s="172">
        <v>3.1643331057982001E-3</v>
      </c>
      <c r="F416" s="172">
        <v>1.74603961788796E-3</v>
      </c>
      <c r="G416" s="172">
        <v>1.8122916991000699</v>
      </c>
    </row>
    <row r="417" spans="2:7" hidden="1" x14ac:dyDescent="0.3">
      <c r="B417" s="172" t="s">
        <v>25</v>
      </c>
      <c r="C417" s="172" t="s">
        <v>79</v>
      </c>
      <c r="D417" s="172" t="s">
        <v>218</v>
      </c>
      <c r="E417" s="172">
        <v>1.03289988617898E-2</v>
      </c>
      <c r="F417" s="172">
        <v>9.4803589182617404E-3</v>
      </c>
      <c r="G417" s="172">
        <v>1.0895155922729201</v>
      </c>
    </row>
    <row r="418" spans="2:7" hidden="1" x14ac:dyDescent="0.3">
      <c r="B418" s="172" t="s">
        <v>25</v>
      </c>
      <c r="C418" s="172" t="s">
        <v>79</v>
      </c>
      <c r="D418" s="172" t="s">
        <v>221</v>
      </c>
      <c r="E418" s="172">
        <v>2.3578788321528699E-3</v>
      </c>
      <c r="F418" s="172">
        <v>1.2859125876964E-3</v>
      </c>
      <c r="G418" s="172">
        <v>1.8336229497347101</v>
      </c>
    </row>
    <row r="419" spans="2:7" hidden="1" x14ac:dyDescent="0.3">
      <c r="B419" s="172" t="s">
        <v>24</v>
      </c>
      <c r="C419" s="172" t="s">
        <v>79</v>
      </c>
      <c r="D419" s="172" t="s">
        <v>218</v>
      </c>
      <c r="E419" s="172">
        <v>6.7592369928653698E-3</v>
      </c>
      <c r="F419" s="172">
        <v>6.2129675758438602E-3</v>
      </c>
      <c r="G419" s="172">
        <v>1.08792407337605</v>
      </c>
    </row>
    <row r="420" spans="2:7" hidden="1" x14ac:dyDescent="0.3">
      <c r="B420" s="172" t="s">
        <v>24</v>
      </c>
      <c r="C420" s="172" t="s">
        <v>79</v>
      </c>
      <c r="D420" s="172" t="s">
        <v>221</v>
      </c>
      <c r="E420" s="172">
        <v>1.5026283669079799E-3</v>
      </c>
      <c r="F420" s="172">
        <v>8.1260384014396E-4</v>
      </c>
      <c r="G420" s="172">
        <v>1.8491524315732599</v>
      </c>
    </row>
    <row r="421" spans="2:7" hidden="1" x14ac:dyDescent="0.3">
      <c r="B421" s="172" t="s">
        <v>22</v>
      </c>
      <c r="C421" s="172" t="s">
        <v>79</v>
      </c>
      <c r="D421" s="172" t="s">
        <v>218</v>
      </c>
      <c r="E421" s="172">
        <v>3.1314997015335399E-3</v>
      </c>
      <c r="F421" s="172">
        <v>2.89599168700461E-3</v>
      </c>
      <c r="G421" s="172">
        <v>1.08132206165706</v>
      </c>
    </row>
    <row r="422" spans="2:7" hidden="1" x14ac:dyDescent="0.3">
      <c r="B422" s="172" t="s">
        <v>22</v>
      </c>
      <c r="C422" s="172" t="s">
        <v>79</v>
      </c>
      <c r="D422" s="172" t="s">
        <v>221</v>
      </c>
      <c r="E422" s="172">
        <v>6.5211873703576698E-4</v>
      </c>
      <c r="F422" s="172">
        <v>3.5463492920974701E-4</v>
      </c>
      <c r="G422" s="172">
        <v>1.83884519917121</v>
      </c>
    </row>
    <row r="423" spans="2:7" hidden="1" x14ac:dyDescent="0.3">
      <c r="B423" s="172" t="s">
        <v>189</v>
      </c>
      <c r="C423" s="172" t="s">
        <v>80</v>
      </c>
      <c r="D423" s="172" t="s">
        <v>218</v>
      </c>
      <c r="E423" s="172">
        <v>2.6802815384822799E-2</v>
      </c>
      <c r="F423" s="172">
        <v>2.6428880000281499E-2</v>
      </c>
      <c r="G423" s="172">
        <v>1.0141487412458401</v>
      </c>
    </row>
    <row r="424" spans="2:7" hidden="1" x14ac:dyDescent="0.3">
      <c r="B424" s="172" t="s">
        <v>189</v>
      </c>
      <c r="C424" s="172" t="s">
        <v>80</v>
      </c>
      <c r="D424" s="172" t="s">
        <v>221</v>
      </c>
      <c r="E424" s="172">
        <v>6.4017367304005004E-3</v>
      </c>
      <c r="F424" s="172">
        <v>5.9343174997238696E-3</v>
      </c>
      <c r="G424" s="172">
        <v>1.07876545713949</v>
      </c>
    </row>
    <row r="425" spans="2:7" hidden="1" x14ac:dyDescent="0.3">
      <c r="B425" s="172" t="s">
        <v>187</v>
      </c>
      <c r="C425" s="172" t="s">
        <v>80</v>
      </c>
      <c r="D425" s="172" t="s">
        <v>218</v>
      </c>
      <c r="E425" s="172">
        <v>2.5985902730698899E-2</v>
      </c>
      <c r="F425" s="172">
        <v>2.4222655655899799E-2</v>
      </c>
      <c r="G425" s="172">
        <v>1.0727933014384201</v>
      </c>
    </row>
    <row r="426" spans="2:7" hidden="1" x14ac:dyDescent="0.3">
      <c r="B426" s="172" t="s">
        <v>187</v>
      </c>
      <c r="C426" s="172" t="s">
        <v>80</v>
      </c>
      <c r="D426" s="172" t="s">
        <v>221</v>
      </c>
      <c r="E426" s="172">
        <v>6.1568647118906998E-3</v>
      </c>
      <c r="F426" s="172">
        <v>3.9296052489866699E-3</v>
      </c>
      <c r="G426" s="172">
        <v>1.56678961925714</v>
      </c>
    </row>
    <row r="427" spans="2:7" hidden="1" x14ac:dyDescent="0.3">
      <c r="B427" s="172" t="s">
        <v>185</v>
      </c>
      <c r="C427" s="172" t="s">
        <v>80</v>
      </c>
      <c r="D427" s="172" t="s">
        <v>218</v>
      </c>
      <c r="E427" s="172">
        <v>2.50032607804982E-2</v>
      </c>
      <c r="F427" s="172">
        <v>2.33541090090639E-2</v>
      </c>
      <c r="G427" s="172">
        <v>1.07061505839483</v>
      </c>
    </row>
    <row r="428" spans="2:7" hidden="1" x14ac:dyDescent="0.3">
      <c r="B428" s="172" t="s">
        <v>185</v>
      </c>
      <c r="C428" s="172" t="s">
        <v>80</v>
      </c>
      <c r="D428" s="172" t="s">
        <v>221</v>
      </c>
      <c r="E428" s="172">
        <v>5.8182210002371299E-3</v>
      </c>
      <c r="F428" s="172">
        <v>3.7350819205305801E-3</v>
      </c>
      <c r="G428" s="172">
        <v>1.5577224607193201</v>
      </c>
    </row>
    <row r="429" spans="2:7" hidden="1" x14ac:dyDescent="0.3">
      <c r="B429" s="172" t="s">
        <v>183</v>
      </c>
      <c r="C429" s="172" t="s">
        <v>80</v>
      </c>
      <c r="D429" s="172" t="s">
        <v>218</v>
      </c>
      <c r="E429" s="172">
        <v>2.3478504741381301E-2</v>
      </c>
      <c r="F429" s="172">
        <v>2.19749729566956E-2</v>
      </c>
      <c r="G429" s="172">
        <v>1.0684201881680899</v>
      </c>
    </row>
    <row r="430" spans="2:7" hidden="1" x14ac:dyDescent="0.3">
      <c r="B430" s="172" t="s">
        <v>183</v>
      </c>
      <c r="C430" s="172" t="s">
        <v>80</v>
      </c>
      <c r="D430" s="172" t="s">
        <v>221</v>
      </c>
      <c r="E430" s="172">
        <v>5.3686598492054599E-3</v>
      </c>
      <c r="F430" s="172">
        <v>3.4694618053919398E-3</v>
      </c>
      <c r="G430" s="172">
        <v>1.54740422300138</v>
      </c>
    </row>
    <row r="431" spans="2:7" hidden="1" x14ac:dyDescent="0.3">
      <c r="B431" s="172" t="s">
        <v>181</v>
      </c>
      <c r="C431" s="172" t="s">
        <v>80</v>
      </c>
      <c r="D431" s="172" t="s">
        <v>218</v>
      </c>
      <c r="E431" s="172">
        <v>2.1451578711092701E-2</v>
      </c>
      <c r="F431" s="172">
        <v>2.0118532360645699E-2</v>
      </c>
      <c r="G431" s="172">
        <v>1.0662596220514899</v>
      </c>
    </row>
    <row r="432" spans="2:7" hidden="1" x14ac:dyDescent="0.3">
      <c r="B432" s="172" t="s">
        <v>181</v>
      </c>
      <c r="C432" s="172" t="s">
        <v>80</v>
      </c>
      <c r="D432" s="172" t="s">
        <v>221</v>
      </c>
      <c r="E432" s="172">
        <v>4.8226289794293803E-3</v>
      </c>
      <c r="F432" s="172">
        <v>3.1387809578120899E-3</v>
      </c>
      <c r="G432" s="172">
        <v>1.5364656037645401</v>
      </c>
    </row>
    <row r="433" spans="2:7" hidden="1" x14ac:dyDescent="0.3">
      <c r="B433" s="172" t="s">
        <v>179</v>
      </c>
      <c r="C433" s="172" t="s">
        <v>80</v>
      </c>
      <c r="D433" s="172" t="s">
        <v>218</v>
      </c>
      <c r="E433" s="172">
        <v>1.8997093338399499E-2</v>
      </c>
      <c r="F433" s="172">
        <v>1.7854401137874301E-2</v>
      </c>
      <c r="G433" s="172">
        <v>1.0640005896418001</v>
      </c>
    </row>
    <row r="434" spans="2:7" hidden="1" x14ac:dyDescent="0.3">
      <c r="B434" s="172" t="s">
        <v>179</v>
      </c>
      <c r="C434" s="172" t="s">
        <v>80</v>
      </c>
      <c r="D434" s="172" t="s">
        <v>221</v>
      </c>
      <c r="E434" s="172">
        <v>4.19574435733042E-3</v>
      </c>
      <c r="F434" s="172">
        <v>2.7523436829827398E-3</v>
      </c>
      <c r="G434" s="172">
        <v>1.52442603126636</v>
      </c>
    </row>
    <row r="435" spans="2:7" hidden="1" x14ac:dyDescent="0.3">
      <c r="B435" s="172" t="s">
        <v>39</v>
      </c>
      <c r="C435" s="172" t="s">
        <v>80</v>
      </c>
      <c r="D435" s="172" t="s">
        <v>218</v>
      </c>
      <c r="E435" s="172">
        <v>1.61883508895839E-2</v>
      </c>
      <c r="F435" s="172">
        <v>1.5249907554261199E-2</v>
      </c>
      <c r="G435" s="172">
        <v>1.06153764093215</v>
      </c>
    </row>
    <row r="436" spans="2:7" hidden="1" x14ac:dyDescent="0.3">
      <c r="B436" s="172" t="s">
        <v>39</v>
      </c>
      <c r="C436" s="172" t="s">
        <v>80</v>
      </c>
      <c r="D436" s="172" t="s">
        <v>221</v>
      </c>
      <c r="E436" s="172">
        <v>3.5051914909365899E-3</v>
      </c>
      <c r="F436" s="172">
        <v>2.3197893831605801E-3</v>
      </c>
      <c r="G436" s="172">
        <v>1.51099557415896</v>
      </c>
    </row>
    <row r="437" spans="2:7" hidden="1" x14ac:dyDescent="0.3">
      <c r="B437" s="172" t="s">
        <v>26</v>
      </c>
      <c r="C437" s="172" t="s">
        <v>80</v>
      </c>
      <c r="D437" s="172" t="s">
        <v>218</v>
      </c>
      <c r="E437" s="172">
        <v>1.3135758626537901E-2</v>
      </c>
      <c r="F437" s="172">
        <v>1.2390788597031801E-2</v>
      </c>
      <c r="G437" s="172">
        <v>1.0601228907807001</v>
      </c>
    </row>
    <row r="438" spans="2:7" hidden="1" x14ac:dyDescent="0.3">
      <c r="B438" s="172" t="s">
        <v>26</v>
      </c>
      <c r="C438" s="172" t="s">
        <v>80</v>
      </c>
      <c r="D438" s="172" t="s">
        <v>221</v>
      </c>
      <c r="E438" s="172">
        <v>2.7945842646952298E-3</v>
      </c>
      <c r="F438" s="172">
        <v>1.85356949058223E-3</v>
      </c>
      <c r="G438" s="172">
        <v>1.5076770948670599</v>
      </c>
    </row>
    <row r="439" spans="2:7" hidden="1" x14ac:dyDescent="0.3">
      <c r="B439" s="172" t="s">
        <v>25</v>
      </c>
      <c r="C439" s="172" t="s">
        <v>80</v>
      </c>
      <c r="D439" s="172" t="s">
        <v>218</v>
      </c>
      <c r="E439" s="172">
        <v>9.9029607683924804E-3</v>
      </c>
      <c r="F439" s="172">
        <v>9.3346708318653004E-3</v>
      </c>
      <c r="G439" s="172">
        <v>1.0608794832472499</v>
      </c>
    </row>
    <row r="440" spans="2:7" hidden="1" x14ac:dyDescent="0.3">
      <c r="B440" s="172" t="s">
        <v>25</v>
      </c>
      <c r="C440" s="172" t="s">
        <v>80</v>
      </c>
      <c r="D440" s="172" t="s">
        <v>221</v>
      </c>
      <c r="E440" s="172">
        <v>2.08299959785183E-3</v>
      </c>
      <c r="F440" s="172">
        <v>1.3651596780280199E-3</v>
      </c>
      <c r="G440" s="172">
        <v>1.5258285396040401</v>
      </c>
    </row>
    <row r="441" spans="2:7" hidden="1" x14ac:dyDescent="0.3">
      <c r="B441" s="172" t="s">
        <v>24</v>
      </c>
      <c r="C441" s="172" t="s">
        <v>80</v>
      </c>
      <c r="D441" s="172" t="s">
        <v>218</v>
      </c>
      <c r="E441" s="172">
        <v>6.5131958750909696E-3</v>
      </c>
      <c r="F441" s="172">
        <v>6.1190504531143204E-3</v>
      </c>
      <c r="G441" s="172">
        <v>1.06441284068446</v>
      </c>
    </row>
    <row r="442" spans="2:7" hidden="1" x14ac:dyDescent="0.3">
      <c r="B442" s="172" t="s">
        <v>24</v>
      </c>
      <c r="C442" s="172" t="s">
        <v>80</v>
      </c>
      <c r="D442" s="172" t="s">
        <v>221</v>
      </c>
      <c r="E442" s="172">
        <v>1.3654583685862301E-3</v>
      </c>
      <c r="F442" s="172">
        <v>8.6759046714205204E-4</v>
      </c>
      <c r="G442" s="172">
        <v>1.5738512815663099</v>
      </c>
    </row>
    <row r="443" spans="2:7" hidden="1" x14ac:dyDescent="0.3">
      <c r="B443" s="172" t="s">
        <v>22</v>
      </c>
      <c r="C443" s="172" t="s">
        <v>80</v>
      </c>
      <c r="D443" s="172" t="s">
        <v>218</v>
      </c>
      <c r="E443" s="172">
        <v>3.07128221361077E-3</v>
      </c>
      <c r="F443" s="172">
        <v>2.8549571440666202E-3</v>
      </c>
      <c r="G443" s="172">
        <v>1.0757717396892399</v>
      </c>
    </row>
    <row r="444" spans="2:7" hidden="1" x14ac:dyDescent="0.3">
      <c r="B444" s="172" t="s">
        <v>22</v>
      </c>
      <c r="C444" s="172" t="s">
        <v>80</v>
      </c>
      <c r="D444" s="172" t="s">
        <v>221</v>
      </c>
      <c r="E444" s="172">
        <v>6.6059489184823201E-4</v>
      </c>
      <c r="F444" s="172">
        <v>3.87342172424042E-4</v>
      </c>
      <c r="G444" s="172">
        <v>1.7054556381354899</v>
      </c>
    </row>
    <row r="445" spans="2:7" hidden="1" x14ac:dyDescent="0.3">
      <c r="B445" s="172" t="s">
        <v>189</v>
      </c>
      <c r="C445" s="172" t="s">
        <v>81</v>
      </c>
      <c r="D445" s="172" t="s">
        <v>218</v>
      </c>
      <c r="E445" s="172">
        <v>5.8588986695196103E-3</v>
      </c>
      <c r="F445" s="172">
        <v>5.26662749206026E-3</v>
      </c>
      <c r="G445" s="172">
        <v>1.1124573891645499</v>
      </c>
    </row>
    <row r="446" spans="2:7" hidden="1" x14ac:dyDescent="0.3">
      <c r="B446" s="172" t="s">
        <v>189</v>
      </c>
      <c r="C446" s="172" t="s">
        <v>81</v>
      </c>
      <c r="D446" s="172" t="s">
        <v>221</v>
      </c>
      <c r="E446" s="172">
        <v>3.5395703427250402E-2</v>
      </c>
      <c r="F446" s="172">
        <v>3.4655364455426302E-2</v>
      </c>
      <c r="G446" s="172">
        <v>1.02136289672488</v>
      </c>
    </row>
    <row r="447" spans="2:7" hidden="1" x14ac:dyDescent="0.3">
      <c r="B447" s="172" t="s">
        <v>187</v>
      </c>
      <c r="C447" s="172" t="s">
        <v>81</v>
      </c>
      <c r="D447" s="172" t="s">
        <v>218</v>
      </c>
      <c r="E447" s="172">
        <v>5.4839872780341097E-3</v>
      </c>
      <c r="F447" s="172">
        <v>3.1975660494416502E-3</v>
      </c>
      <c r="G447" s="172">
        <v>1.71505050818003</v>
      </c>
    </row>
    <row r="448" spans="2:7" hidden="1" x14ac:dyDescent="0.3">
      <c r="B448" s="172" t="s">
        <v>187</v>
      </c>
      <c r="C448" s="172" t="s">
        <v>81</v>
      </c>
      <c r="D448" s="172" t="s">
        <v>221</v>
      </c>
      <c r="E448" s="172">
        <v>3.40489839644081E-2</v>
      </c>
      <c r="F448" s="172">
        <v>3.1160872938817599E-2</v>
      </c>
      <c r="G448" s="172">
        <v>1.0926838933960901</v>
      </c>
    </row>
    <row r="449" spans="2:7" hidden="1" x14ac:dyDescent="0.3">
      <c r="B449" s="172" t="s">
        <v>185</v>
      </c>
      <c r="C449" s="172" t="s">
        <v>81</v>
      </c>
      <c r="D449" s="172" t="s">
        <v>218</v>
      </c>
      <c r="E449" s="172">
        <v>5.1300626360697901E-3</v>
      </c>
      <c r="F449" s="172">
        <v>3.0661227242952398E-3</v>
      </c>
      <c r="G449" s="172">
        <v>1.6731432813893501</v>
      </c>
    </row>
    <row r="450" spans="2:7" hidden="1" x14ac:dyDescent="0.3">
      <c r="B450" s="172" t="s">
        <v>185</v>
      </c>
      <c r="C450" s="172" t="s">
        <v>81</v>
      </c>
      <c r="D450" s="172" t="s">
        <v>221</v>
      </c>
      <c r="E450" s="172">
        <v>3.25184562690502E-2</v>
      </c>
      <c r="F450" s="172">
        <v>2.9911374275229701E-2</v>
      </c>
      <c r="G450" s="172">
        <v>1.08716022105275</v>
      </c>
    </row>
    <row r="451" spans="2:7" hidden="1" x14ac:dyDescent="0.3">
      <c r="B451" s="172" t="s">
        <v>183</v>
      </c>
      <c r="C451" s="172" t="s">
        <v>81</v>
      </c>
      <c r="D451" s="172" t="s">
        <v>218</v>
      </c>
      <c r="E451" s="172">
        <v>4.6934815912348304E-3</v>
      </c>
      <c r="F451" s="172">
        <v>2.8733781767901201E-3</v>
      </c>
      <c r="G451" s="172">
        <v>1.63343677805682</v>
      </c>
    </row>
    <row r="452" spans="2:7" hidden="1" x14ac:dyDescent="0.3">
      <c r="B452" s="172" t="s">
        <v>183</v>
      </c>
      <c r="C452" s="172" t="s">
        <v>81</v>
      </c>
      <c r="D452" s="172" t="s">
        <v>221</v>
      </c>
      <c r="E452" s="172">
        <v>3.0324165601279301E-2</v>
      </c>
      <c r="F452" s="172">
        <v>2.8025087604086001E-2</v>
      </c>
      <c r="G452" s="172">
        <v>1.0820364249943699</v>
      </c>
    </row>
    <row r="453" spans="2:7" hidden="1" x14ac:dyDescent="0.3">
      <c r="B453" s="172" t="s">
        <v>181</v>
      </c>
      <c r="C453" s="172" t="s">
        <v>81</v>
      </c>
      <c r="D453" s="172" t="s">
        <v>218</v>
      </c>
      <c r="E453" s="172">
        <v>4.1881070829344804E-3</v>
      </c>
      <c r="F453" s="172">
        <v>2.6201573722054602E-3</v>
      </c>
      <c r="G453" s="172">
        <v>1.5984181436435001</v>
      </c>
    </row>
    <row r="454" spans="2:7" hidden="1" x14ac:dyDescent="0.3">
      <c r="B454" s="172" t="s">
        <v>181</v>
      </c>
      <c r="C454" s="172" t="s">
        <v>81</v>
      </c>
      <c r="D454" s="172" t="s">
        <v>221</v>
      </c>
      <c r="E454" s="172">
        <v>2.7535660663831701E-2</v>
      </c>
      <c r="F454" s="172">
        <v>2.5555092608173999E-2</v>
      </c>
      <c r="G454" s="172">
        <v>1.07750189310698</v>
      </c>
    </row>
    <row r="455" spans="2:7" hidden="1" x14ac:dyDescent="0.3">
      <c r="B455" s="172" t="s">
        <v>179</v>
      </c>
      <c r="C455" s="172" t="s">
        <v>81</v>
      </c>
      <c r="D455" s="172" t="s">
        <v>218</v>
      </c>
      <c r="E455" s="172">
        <v>3.6278591005343098E-3</v>
      </c>
      <c r="F455" s="172">
        <v>2.31449866995593E-3</v>
      </c>
      <c r="G455" s="172">
        <v>1.5674492051461799</v>
      </c>
    </row>
    <row r="456" spans="2:7" hidden="1" x14ac:dyDescent="0.3">
      <c r="B456" s="172" t="s">
        <v>179</v>
      </c>
      <c r="C456" s="172" t="s">
        <v>81</v>
      </c>
      <c r="D456" s="172" t="s">
        <v>221</v>
      </c>
      <c r="E456" s="172">
        <v>2.42544698883051E-2</v>
      </c>
      <c r="F456" s="172">
        <v>2.25954882917851E-2</v>
      </c>
      <c r="G456" s="172">
        <v>1.0734209225796301</v>
      </c>
    </row>
    <row r="457" spans="2:7" hidden="1" x14ac:dyDescent="0.3">
      <c r="B457" s="172" t="s">
        <v>39</v>
      </c>
      <c r="C457" s="172" t="s">
        <v>81</v>
      </c>
      <c r="D457" s="172" t="s">
        <v>218</v>
      </c>
      <c r="E457" s="172">
        <v>3.0273762117717399E-3</v>
      </c>
      <c r="F457" s="172">
        <v>1.9651419297527801E-3</v>
      </c>
      <c r="G457" s="172">
        <v>1.54053820028795</v>
      </c>
    </row>
    <row r="458" spans="2:7" hidden="1" x14ac:dyDescent="0.3">
      <c r="B458" s="172" t="s">
        <v>39</v>
      </c>
      <c r="C458" s="172" t="s">
        <v>81</v>
      </c>
      <c r="D458" s="172" t="s">
        <v>221</v>
      </c>
      <c r="E458" s="172">
        <v>2.0572680827141001E-2</v>
      </c>
      <c r="F458" s="172">
        <v>1.92309112077487E-2</v>
      </c>
      <c r="G458" s="172">
        <v>1.0697715050991301</v>
      </c>
    </row>
    <row r="459" spans="2:7" hidden="1" x14ac:dyDescent="0.3">
      <c r="B459" s="172" t="s">
        <v>26</v>
      </c>
      <c r="C459" s="172" t="s">
        <v>81</v>
      </c>
      <c r="D459" s="172" t="s">
        <v>218</v>
      </c>
      <c r="E459" s="172">
        <v>2.4092306720471901E-3</v>
      </c>
      <c r="F459" s="172">
        <v>1.5826585075821801E-3</v>
      </c>
      <c r="G459" s="172">
        <v>1.52226817124798</v>
      </c>
    </row>
    <row r="460" spans="2:7" hidden="1" x14ac:dyDescent="0.3">
      <c r="B460" s="172" t="s">
        <v>26</v>
      </c>
      <c r="C460" s="172" t="s">
        <v>81</v>
      </c>
      <c r="D460" s="172" t="s">
        <v>221</v>
      </c>
      <c r="E460" s="172">
        <v>1.6580319802910401E-2</v>
      </c>
      <c r="F460" s="172">
        <v>1.5536228647796701E-2</v>
      </c>
      <c r="G460" s="172">
        <v>1.0672036424529401</v>
      </c>
    </row>
    <row r="461" spans="2:7" hidden="1" x14ac:dyDescent="0.3">
      <c r="B461" s="172" t="s">
        <v>25</v>
      </c>
      <c r="C461" s="172" t="s">
        <v>81</v>
      </c>
      <c r="D461" s="172" t="s">
        <v>218</v>
      </c>
      <c r="E461" s="172">
        <v>1.78938091668507E-3</v>
      </c>
      <c r="F461" s="172">
        <v>1.1765769342443101E-3</v>
      </c>
      <c r="G461" s="172">
        <v>1.52083630454166</v>
      </c>
    </row>
    <row r="462" spans="2:7" hidden="1" x14ac:dyDescent="0.3">
      <c r="B462" s="172" t="s">
        <v>25</v>
      </c>
      <c r="C462" s="172" t="s">
        <v>81</v>
      </c>
      <c r="D462" s="172" t="s">
        <v>221</v>
      </c>
      <c r="E462" s="172">
        <v>1.2353427110762399E-2</v>
      </c>
      <c r="F462" s="172">
        <v>1.15793589224162E-2</v>
      </c>
      <c r="G462" s="172">
        <v>1.0668489675061099</v>
      </c>
    </row>
    <row r="463" spans="2:7" hidden="1" x14ac:dyDescent="0.3">
      <c r="B463" s="172" t="s">
        <v>24</v>
      </c>
      <c r="C463" s="172" t="s">
        <v>81</v>
      </c>
      <c r="D463" s="172" t="s">
        <v>218</v>
      </c>
      <c r="E463" s="172">
        <v>1.1789000201070301E-3</v>
      </c>
      <c r="F463" s="172">
        <v>7.5723774074721499E-4</v>
      </c>
      <c r="G463" s="172">
        <v>1.5568426620465701</v>
      </c>
    </row>
    <row r="464" spans="2:7" hidden="1" x14ac:dyDescent="0.3">
      <c r="B464" s="172" t="s">
        <v>24</v>
      </c>
      <c r="C464" s="172" t="s">
        <v>81</v>
      </c>
      <c r="D464" s="172" t="s">
        <v>221</v>
      </c>
      <c r="E464" s="172">
        <v>7.9797840749634905E-3</v>
      </c>
      <c r="F464" s="172">
        <v>7.4471580378774101E-3</v>
      </c>
      <c r="G464" s="172">
        <v>1.0715207109043601</v>
      </c>
    </row>
    <row r="465" spans="2:7" hidden="1" x14ac:dyDescent="0.3">
      <c r="B465" s="172" t="s">
        <v>22</v>
      </c>
      <c r="C465" s="172" t="s">
        <v>81</v>
      </c>
      <c r="D465" s="172" t="s">
        <v>218</v>
      </c>
      <c r="E465" s="172">
        <v>5.8538122194226995E-4</v>
      </c>
      <c r="F465" s="172">
        <v>3.4482422812232699E-4</v>
      </c>
      <c r="G465" s="172">
        <v>1.69762207583222</v>
      </c>
    </row>
    <row r="466" spans="2:7" hidden="1" x14ac:dyDescent="0.3">
      <c r="B466" s="172" t="s">
        <v>22</v>
      </c>
      <c r="C466" s="172" t="s">
        <v>81</v>
      </c>
      <c r="D466" s="172" t="s">
        <v>221</v>
      </c>
      <c r="E466" s="172">
        <v>3.6395638350918899E-3</v>
      </c>
      <c r="F466" s="172">
        <v>3.3357023692140702E-3</v>
      </c>
      <c r="G466" s="172">
        <v>1.09109369849128</v>
      </c>
    </row>
    <row r="467" spans="2:7" x14ac:dyDescent="0.3">
      <c r="B467" s="172" t="s">
        <v>189</v>
      </c>
      <c r="C467" s="172" t="s">
        <v>82</v>
      </c>
      <c r="D467" s="172" t="s">
        <v>221</v>
      </c>
      <c r="E467" s="172">
        <v>2.9971248893849899E-2</v>
      </c>
      <c r="F467" s="172">
        <v>2.9446057967908199E-2</v>
      </c>
      <c r="G467" s="172">
        <v>1.01783569557983</v>
      </c>
    </row>
    <row r="468" spans="2:7" hidden="1" x14ac:dyDescent="0.3">
      <c r="B468" s="172" t="s">
        <v>187</v>
      </c>
      <c r="C468" s="172" t="s">
        <v>82</v>
      </c>
      <c r="D468" s="172" t="s">
        <v>218</v>
      </c>
      <c r="E468" s="172">
        <v>6.0200566872377903E-3</v>
      </c>
      <c r="F468" s="172">
        <v>3.6408503592005401E-3</v>
      </c>
      <c r="G468" s="172">
        <v>1.65347545032301</v>
      </c>
    </row>
    <row r="469" spans="2:7" x14ac:dyDescent="0.3">
      <c r="B469" s="172" t="s">
        <v>187</v>
      </c>
      <c r="C469" s="172" t="s">
        <v>82</v>
      </c>
      <c r="D469" s="172" t="s">
        <v>221</v>
      </c>
      <c r="E469" s="172">
        <v>3.3769006564579901E-2</v>
      </c>
      <c r="F469" s="172">
        <v>3.0763693308111802E-2</v>
      </c>
      <c r="G469" s="172">
        <v>1.09769026190609</v>
      </c>
    </row>
    <row r="470" spans="2:7" hidden="1" x14ac:dyDescent="0.3">
      <c r="B470" s="172" t="s">
        <v>185</v>
      </c>
      <c r="C470" s="172" t="s">
        <v>82</v>
      </c>
      <c r="D470" s="172" t="s">
        <v>218</v>
      </c>
      <c r="E470" s="172">
        <v>5.9404942158508304E-3</v>
      </c>
      <c r="F470" s="172">
        <v>3.4978981870801098E-3</v>
      </c>
      <c r="G470" s="172">
        <v>1.6983039237084501</v>
      </c>
    </row>
    <row r="471" spans="2:7" x14ac:dyDescent="0.3">
      <c r="B471" s="172" t="s">
        <v>185</v>
      </c>
      <c r="C471" s="172" t="s">
        <v>82</v>
      </c>
      <c r="D471" s="172" t="s">
        <v>221</v>
      </c>
      <c r="E471" s="172">
        <v>3.2637364015584099E-2</v>
      </c>
      <c r="F471" s="172">
        <v>2.9551979558189501E-2</v>
      </c>
      <c r="G471" s="172">
        <v>1.10440533945685</v>
      </c>
    </row>
    <row r="472" spans="2:7" hidden="1" x14ac:dyDescent="0.3">
      <c r="B472" s="172" t="s">
        <v>183</v>
      </c>
      <c r="C472" s="172" t="s">
        <v>82</v>
      </c>
      <c r="D472" s="172" t="s">
        <v>218</v>
      </c>
      <c r="E472" s="172">
        <v>5.7094799021522504E-3</v>
      </c>
      <c r="F472" s="172">
        <v>3.2848114480054699E-3</v>
      </c>
      <c r="G472" s="172">
        <v>1.7381453981533801</v>
      </c>
    </row>
    <row r="473" spans="2:7" x14ac:dyDescent="0.3">
      <c r="B473" s="172" t="s">
        <v>183</v>
      </c>
      <c r="C473" s="172" t="s">
        <v>82</v>
      </c>
      <c r="D473" s="172" t="s">
        <v>221</v>
      </c>
      <c r="E473" s="172">
        <v>3.0771532724560999E-2</v>
      </c>
      <c r="F473" s="172">
        <v>2.7708793624586101E-2</v>
      </c>
      <c r="G473" s="172">
        <v>1.1105331087838199</v>
      </c>
    </row>
    <row r="474" spans="2:7" hidden="1" x14ac:dyDescent="0.3">
      <c r="B474" s="172" t="s">
        <v>181</v>
      </c>
      <c r="C474" s="172" t="s">
        <v>82</v>
      </c>
      <c r="D474" s="172" t="s">
        <v>218</v>
      </c>
      <c r="E474" s="172">
        <v>5.3258987706384401E-3</v>
      </c>
      <c r="F474" s="172">
        <v>3.0026663549192799E-3</v>
      </c>
      <c r="G474" s="172">
        <v>1.77372313174689</v>
      </c>
    </row>
    <row r="475" spans="2:7" x14ac:dyDescent="0.3">
      <c r="B475" s="172" t="s">
        <v>181</v>
      </c>
      <c r="C475" s="172" t="s">
        <v>82</v>
      </c>
      <c r="D475" s="172" t="s">
        <v>221</v>
      </c>
      <c r="E475" s="172">
        <v>2.8218254149147699E-2</v>
      </c>
      <c r="F475" s="172">
        <v>2.5283644781923499E-2</v>
      </c>
      <c r="G475" s="172">
        <v>1.1160674970929101</v>
      </c>
    </row>
    <row r="476" spans="2:7" hidden="1" x14ac:dyDescent="0.3">
      <c r="B476" s="172" t="s">
        <v>179</v>
      </c>
      <c r="C476" s="172" t="s">
        <v>82</v>
      </c>
      <c r="D476" s="172" t="s">
        <v>218</v>
      </c>
      <c r="E476" s="172">
        <v>4.8085231571060099E-3</v>
      </c>
      <c r="F476" s="172">
        <v>2.6606949959688802E-3</v>
      </c>
      <c r="G476" s="172">
        <v>1.8072432820715001</v>
      </c>
    </row>
    <row r="477" spans="2:7" x14ac:dyDescent="0.3">
      <c r="B477" s="172" t="s">
        <v>179</v>
      </c>
      <c r="C477" s="172" t="s">
        <v>82</v>
      </c>
      <c r="D477" s="172" t="s">
        <v>221</v>
      </c>
      <c r="E477" s="172">
        <v>2.5082364215334201E-2</v>
      </c>
      <c r="F477" s="172">
        <v>2.2369318117055701E-2</v>
      </c>
      <c r="G477" s="172">
        <v>1.1212842556970899</v>
      </c>
    </row>
    <row r="478" spans="2:7" hidden="1" x14ac:dyDescent="0.3">
      <c r="B478" s="172" t="s">
        <v>39</v>
      </c>
      <c r="C478" s="172" t="s">
        <v>82</v>
      </c>
      <c r="D478" s="172" t="s">
        <v>218</v>
      </c>
      <c r="E478" s="172">
        <v>4.1736904108974704E-3</v>
      </c>
      <c r="F478" s="172">
        <v>2.2682417631394699E-3</v>
      </c>
      <c r="G478" s="172">
        <v>1.84005535861428</v>
      </c>
    </row>
    <row r="479" spans="2:7" x14ac:dyDescent="0.3">
      <c r="B479" s="172" t="s">
        <v>39</v>
      </c>
      <c r="C479" s="172" t="s">
        <v>82</v>
      </c>
      <c r="D479" s="172" t="s">
        <v>221</v>
      </c>
      <c r="E479" s="172">
        <v>2.14561418231441E-2</v>
      </c>
      <c r="F479" s="172">
        <v>1.90492593207129E-2</v>
      </c>
      <c r="G479" s="172">
        <v>1.1263504507922799</v>
      </c>
    </row>
    <row r="480" spans="2:7" hidden="1" x14ac:dyDescent="0.3">
      <c r="B480" s="172" t="s">
        <v>26</v>
      </c>
      <c r="C480" s="172" t="s">
        <v>82</v>
      </c>
      <c r="D480" s="172" t="s">
        <v>218</v>
      </c>
      <c r="E480" s="172">
        <v>3.4307622434315301E-3</v>
      </c>
      <c r="F480" s="172">
        <v>1.8333331681017601E-3</v>
      </c>
      <c r="G480" s="172">
        <v>1.87132502870919</v>
      </c>
    </row>
    <row r="481" spans="2:7" x14ac:dyDescent="0.3">
      <c r="B481" s="172" t="s">
        <v>26</v>
      </c>
      <c r="C481" s="172" t="s">
        <v>82</v>
      </c>
      <c r="D481" s="172" t="s">
        <v>221</v>
      </c>
      <c r="E481" s="172">
        <v>1.7413948484945999E-2</v>
      </c>
      <c r="F481" s="172">
        <v>1.5396143337161E-2</v>
      </c>
      <c r="G481" s="172">
        <v>1.13105912978315</v>
      </c>
    </row>
    <row r="482" spans="2:7" hidden="1" x14ac:dyDescent="0.3">
      <c r="B482" s="172" t="s">
        <v>25</v>
      </c>
      <c r="C482" s="172" t="s">
        <v>82</v>
      </c>
      <c r="D482" s="172" t="s">
        <v>218</v>
      </c>
      <c r="E482" s="172">
        <v>2.59216100647319E-3</v>
      </c>
      <c r="F482" s="172">
        <v>1.3656266344767699E-3</v>
      </c>
      <c r="G482" s="172">
        <v>1.8981476642525701</v>
      </c>
    </row>
    <row r="483" spans="2:7" x14ac:dyDescent="0.3">
      <c r="B483" s="172" t="s">
        <v>25</v>
      </c>
      <c r="C483" s="172" t="s">
        <v>82</v>
      </c>
      <c r="D483" s="172" t="s">
        <v>221</v>
      </c>
      <c r="E483" s="172">
        <v>1.30254692332175E-2</v>
      </c>
      <c r="F483" s="172">
        <v>1.14761626580641E-2</v>
      </c>
      <c r="G483" s="172">
        <v>1.1350021449952801</v>
      </c>
    </row>
    <row r="484" spans="2:7" hidden="1" x14ac:dyDescent="0.3">
      <c r="B484" s="172" t="s">
        <v>24</v>
      </c>
      <c r="C484" s="172" t="s">
        <v>82</v>
      </c>
      <c r="D484" s="172" t="s">
        <v>218</v>
      </c>
      <c r="E484" s="172">
        <v>1.6788458379407699E-3</v>
      </c>
      <c r="F484" s="172">
        <v>8.7916908731812198E-4</v>
      </c>
      <c r="G484" s="172">
        <v>1.9095824252215601</v>
      </c>
    </row>
    <row r="485" spans="2:7" x14ac:dyDescent="0.3">
      <c r="B485" s="172" t="s">
        <v>24</v>
      </c>
      <c r="C485" s="172" t="s">
        <v>82</v>
      </c>
      <c r="D485" s="172" t="s">
        <v>221</v>
      </c>
      <c r="E485" s="172">
        <v>8.3857017965710892E-3</v>
      </c>
      <c r="F485" s="172">
        <v>7.3755837957845899E-3</v>
      </c>
      <c r="G485" s="172">
        <v>1.1369543115168499</v>
      </c>
    </row>
    <row r="486" spans="2:7" hidden="1" x14ac:dyDescent="0.3">
      <c r="B486" s="172" t="s">
        <v>22</v>
      </c>
      <c r="C486" s="172" t="s">
        <v>82</v>
      </c>
      <c r="D486" s="172" t="s">
        <v>218</v>
      </c>
      <c r="E486" s="172">
        <v>7.4461907896339395E-4</v>
      </c>
      <c r="F486" s="172">
        <v>3.9812359903672702E-4</v>
      </c>
      <c r="G486" s="172">
        <v>1.8703213795038101</v>
      </c>
    </row>
    <row r="487" spans="2:7" x14ac:dyDescent="0.3">
      <c r="B487" s="172" t="s">
        <v>22</v>
      </c>
      <c r="C487" s="172" t="s">
        <v>82</v>
      </c>
      <c r="D487" s="172" t="s">
        <v>221</v>
      </c>
      <c r="E487" s="172">
        <v>3.7308335051109399E-3</v>
      </c>
      <c r="F487" s="172">
        <v>3.2931550041509399E-3</v>
      </c>
      <c r="G487" s="172">
        <v>1.1329055268908701</v>
      </c>
    </row>
    <row r="488" spans="2:7" hidden="1" x14ac:dyDescent="0.3">
      <c r="B488" s="172" t="s">
        <v>189</v>
      </c>
      <c r="C488" s="172" t="s">
        <v>246</v>
      </c>
      <c r="D488" s="172" t="s">
        <v>218</v>
      </c>
      <c r="E488" s="172">
        <v>2.72054113158817E-3</v>
      </c>
      <c r="F488" s="172">
        <v>2.6361408868282202E-3</v>
      </c>
      <c r="G488" s="172">
        <v>1.03201659106373</v>
      </c>
    </row>
    <row r="489" spans="2:7" hidden="1" x14ac:dyDescent="0.3">
      <c r="B489" s="172" t="s">
        <v>187</v>
      </c>
      <c r="C489" s="172" t="s">
        <v>246</v>
      </c>
      <c r="D489" s="172" t="s">
        <v>218</v>
      </c>
      <c r="E489" s="172">
        <v>1.9829385141815399E-3</v>
      </c>
      <c r="F489" s="172">
        <v>1.73674361485152E-3</v>
      </c>
      <c r="G489" s="172">
        <v>1.141756616938</v>
      </c>
    </row>
    <row r="490" spans="2:7" hidden="1" x14ac:dyDescent="0.3">
      <c r="B490" s="172" t="s">
        <v>185</v>
      </c>
      <c r="C490" s="172" t="s">
        <v>246</v>
      </c>
      <c r="D490" s="172" t="s">
        <v>218</v>
      </c>
      <c r="E490" s="172">
        <v>1.694605067312E-3</v>
      </c>
      <c r="F490" s="172">
        <v>1.4851594081742E-3</v>
      </c>
      <c r="G490" s="172">
        <v>1.1410257094188201</v>
      </c>
    </row>
    <row r="491" spans="2:7" hidden="1" x14ac:dyDescent="0.3">
      <c r="B491" s="172" t="s">
        <v>183</v>
      </c>
      <c r="C491" s="172" t="s">
        <v>246</v>
      </c>
      <c r="D491" s="172" t="s">
        <v>218</v>
      </c>
      <c r="E491" s="172">
        <v>1.40297411089107E-3</v>
      </c>
      <c r="F491" s="172">
        <v>1.22637433173614E-3</v>
      </c>
      <c r="G491" s="172">
        <v>1.1440015292108401</v>
      </c>
    </row>
    <row r="492" spans="2:7" hidden="1" x14ac:dyDescent="0.3">
      <c r="B492" s="172" t="s">
        <v>181</v>
      </c>
      <c r="C492" s="172" t="s">
        <v>246</v>
      </c>
      <c r="D492" s="172" t="s">
        <v>218</v>
      </c>
      <c r="E492" s="172">
        <v>1.1234092232740799E-3</v>
      </c>
      <c r="F492" s="172">
        <v>9.7857919201981697E-4</v>
      </c>
      <c r="G492" s="172">
        <v>1.14800031763943</v>
      </c>
    </row>
    <row r="493" spans="2:7" hidden="1" x14ac:dyDescent="0.3">
      <c r="B493" s="172" t="s">
        <v>179</v>
      </c>
      <c r="C493" s="172" t="s">
        <v>246</v>
      </c>
      <c r="D493" s="172" t="s">
        <v>218</v>
      </c>
      <c r="E493" s="172">
        <v>8.6286878801612396E-4</v>
      </c>
      <c r="F493" s="172">
        <v>7.4773116503309305E-4</v>
      </c>
      <c r="G493" s="172">
        <v>1.1539826455915301</v>
      </c>
    </row>
    <row r="494" spans="2:7" hidden="1" x14ac:dyDescent="0.3">
      <c r="B494" s="172" t="s">
        <v>39</v>
      </c>
      <c r="C494" s="172" t="s">
        <v>246</v>
      </c>
      <c r="D494" s="172" t="s">
        <v>218</v>
      </c>
      <c r="E494" s="172">
        <v>6.2680872942744495E-4</v>
      </c>
      <c r="F494" s="172">
        <v>5.3889856022323098E-4</v>
      </c>
      <c r="G494" s="172">
        <v>1.16312934509938</v>
      </c>
    </row>
    <row r="495" spans="2:7" hidden="1" x14ac:dyDescent="0.3">
      <c r="B495" s="172" t="s">
        <v>26</v>
      </c>
      <c r="C495" s="172" t="s">
        <v>246</v>
      </c>
      <c r="D495" s="172" t="s">
        <v>218</v>
      </c>
      <c r="E495" s="172">
        <v>4.1271402440622602E-4</v>
      </c>
      <c r="F495" s="172">
        <v>3.5210086627233202E-4</v>
      </c>
      <c r="G495" s="172">
        <v>1.17214714287869</v>
      </c>
    </row>
    <row r="496" spans="2:7" hidden="1" x14ac:dyDescent="0.3">
      <c r="B496" s="172" t="s">
        <v>25</v>
      </c>
      <c r="C496" s="172" t="s">
        <v>246</v>
      </c>
      <c r="D496" s="172" t="s">
        <v>218</v>
      </c>
      <c r="E496" s="172">
        <v>2.2916727664979E-4</v>
      </c>
      <c r="F496" s="172">
        <v>1.9439928848896299E-4</v>
      </c>
      <c r="G496" s="172">
        <v>1.17884833031578</v>
      </c>
    </row>
    <row r="497" spans="2:7" hidden="1" x14ac:dyDescent="0.3">
      <c r="B497" s="172" t="s">
        <v>24</v>
      </c>
      <c r="C497" s="172" t="s">
        <v>246</v>
      </c>
      <c r="D497" s="172" t="s">
        <v>218</v>
      </c>
      <c r="E497" s="172">
        <v>9.46249427066265E-5</v>
      </c>
      <c r="F497" s="172">
        <v>7.8991611890459704E-5</v>
      </c>
      <c r="G497" s="172">
        <v>1.1979112774384999</v>
      </c>
    </row>
    <row r="498" spans="2:7" hidden="1" x14ac:dyDescent="0.3">
      <c r="B498" s="172" t="s">
        <v>22</v>
      </c>
      <c r="C498" s="172" t="s">
        <v>246</v>
      </c>
      <c r="D498" s="172" t="s">
        <v>218</v>
      </c>
      <c r="E498" s="172">
        <v>2.2011405157695699E-5</v>
      </c>
      <c r="F498" s="172">
        <v>1.7740658978766801E-5</v>
      </c>
      <c r="G498" s="172">
        <v>1.2407321049370501</v>
      </c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75" workbookViewId="0">
      <selection activeCell="E409" sqref="E409:E499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2.60209201266223E-4</v>
      </c>
      <c r="F6" s="172">
        <v>42</v>
      </c>
      <c r="G6" s="172">
        <v>24</v>
      </c>
      <c r="H6" s="172">
        <v>4</v>
      </c>
      <c r="I6" s="172">
        <v>38.5</v>
      </c>
    </row>
    <row r="7" spans="2:9" s="172" customFormat="1" hidden="1" x14ac:dyDescent="0.3">
      <c r="B7" s="172" t="s">
        <v>189</v>
      </c>
      <c r="C7" s="172" t="s">
        <v>79</v>
      </c>
      <c r="D7" s="172" t="s">
        <v>221</v>
      </c>
      <c r="E7" s="172">
        <v>5.1972145880688398E-5</v>
      </c>
      <c r="F7" s="172">
        <v>39</v>
      </c>
      <c r="G7" s="172">
        <v>19</v>
      </c>
      <c r="H7" s="172">
        <v>4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218</v>
      </c>
      <c r="E8" s="172">
        <v>2.7230421804132801E-4</v>
      </c>
      <c r="F8" s="172">
        <v>48</v>
      </c>
      <c r="G8" s="172">
        <v>24</v>
      </c>
      <c r="H8" s="172">
        <v>0</v>
      </c>
      <c r="I8" s="172">
        <v>38.5</v>
      </c>
    </row>
    <row r="9" spans="2:9" s="172" customFormat="1" hidden="1" x14ac:dyDescent="0.3">
      <c r="B9" s="172" t="s">
        <v>189</v>
      </c>
      <c r="C9" s="172" t="s">
        <v>80</v>
      </c>
      <c r="D9" s="172" t="s">
        <v>221</v>
      </c>
      <c r="E9" s="172">
        <v>8.1624006169930103E-5</v>
      </c>
      <c r="F9" s="172">
        <v>48</v>
      </c>
      <c r="G9" s="172">
        <v>24</v>
      </c>
      <c r="H9" s="172">
        <v>0</v>
      </c>
      <c r="I9" s="172">
        <v>38.5</v>
      </c>
    </row>
    <row r="10" spans="2:9" s="172" customFormat="1" hidden="1" x14ac:dyDescent="0.3">
      <c r="B10" s="172" t="s">
        <v>189</v>
      </c>
      <c r="C10" s="172" t="s">
        <v>81</v>
      </c>
      <c r="D10" s="172" t="s">
        <v>218</v>
      </c>
      <c r="E10" s="172">
        <v>1.24970463828497E-4</v>
      </c>
      <c r="F10" s="172">
        <v>48</v>
      </c>
      <c r="G10" s="172">
        <v>24</v>
      </c>
      <c r="H10" s="172">
        <v>0</v>
      </c>
      <c r="I10" s="172">
        <v>38.5</v>
      </c>
    </row>
    <row r="11" spans="2:9" s="172" customFormat="1" hidden="1" x14ac:dyDescent="0.3">
      <c r="B11" s="172" t="s">
        <v>189</v>
      </c>
      <c r="C11" s="172" t="s">
        <v>81</v>
      </c>
      <c r="D11" s="172" t="s">
        <v>221</v>
      </c>
      <c r="E11" s="172">
        <v>4.4890648761411901E-4</v>
      </c>
      <c r="F11" s="172">
        <v>48</v>
      </c>
      <c r="G11" s="172">
        <v>24</v>
      </c>
      <c r="H11" s="172">
        <v>0</v>
      </c>
      <c r="I11" s="172">
        <v>38.5</v>
      </c>
    </row>
    <row r="12" spans="2:9" s="172" customFormat="1" hidden="1" x14ac:dyDescent="0.3">
      <c r="B12" s="172" t="s">
        <v>189</v>
      </c>
      <c r="C12" s="172" t="s">
        <v>82</v>
      </c>
      <c r="D12" s="172" t="s">
        <v>218</v>
      </c>
      <c r="E12" s="172">
        <v>9.1130794435961693E-5</v>
      </c>
      <c r="F12" s="172">
        <v>48</v>
      </c>
      <c r="G12" s="172">
        <v>24</v>
      </c>
      <c r="H12" s="172">
        <v>0</v>
      </c>
      <c r="I12" s="172">
        <v>38.5</v>
      </c>
    </row>
    <row r="13" spans="2:9" s="172" customFormat="1" hidden="1" x14ac:dyDescent="0.3">
      <c r="B13" s="172" t="s">
        <v>189</v>
      </c>
      <c r="C13" s="172" t="s">
        <v>82</v>
      </c>
      <c r="D13" s="172" t="s">
        <v>221</v>
      </c>
      <c r="E13" s="172">
        <v>3.8749566344095101E-4</v>
      </c>
      <c r="F13" s="172">
        <v>48</v>
      </c>
      <c r="G13" s="172">
        <v>24</v>
      </c>
      <c r="H13" s="172">
        <v>0</v>
      </c>
      <c r="I13" s="172">
        <v>38.5</v>
      </c>
    </row>
    <row r="14" spans="2:9" hidden="1" x14ac:dyDescent="0.3">
      <c r="B14" s="172" t="s">
        <v>189</v>
      </c>
      <c r="C14" s="172" t="s">
        <v>246</v>
      </c>
      <c r="D14" s="172" t="s">
        <v>218</v>
      </c>
      <c r="E14" s="172">
        <v>2.45867539135543E-4</v>
      </c>
      <c r="F14" s="172">
        <v>48</v>
      </c>
      <c r="G14" s="172">
        <v>24</v>
      </c>
      <c r="H14" s="172">
        <v>0</v>
      </c>
      <c r="I14" s="172">
        <v>38.5</v>
      </c>
    </row>
    <row r="15" spans="2:9" hidden="1" x14ac:dyDescent="0.3">
      <c r="B15" s="172" t="s">
        <v>189</v>
      </c>
      <c r="C15" s="172" t="s">
        <v>246</v>
      </c>
      <c r="D15" s="172" t="s">
        <v>221</v>
      </c>
      <c r="E15" s="172">
        <v>1.05497311755549E-4</v>
      </c>
      <c r="F15" s="172">
        <v>76</v>
      </c>
      <c r="G15" s="172">
        <v>19</v>
      </c>
      <c r="H15" s="172">
        <v>0</v>
      </c>
      <c r="I15" s="172">
        <v>38.5</v>
      </c>
    </row>
    <row r="16" spans="2:9" x14ac:dyDescent="0.3">
      <c r="B16" s="172" t="s">
        <v>187</v>
      </c>
      <c r="C16" s="172" t="s">
        <v>79</v>
      </c>
      <c r="D16" s="172" t="s">
        <v>218</v>
      </c>
      <c r="E16" s="172">
        <v>2.5162653136409603E-4</v>
      </c>
      <c r="F16" s="172">
        <v>85</v>
      </c>
      <c r="G16" s="172">
        <v>19.25</v>
      </c>
      <c r="H16" s="172">
        <v>19.25</v>
      </c>
      <c r="I16" s="172">
        <v>35.5</v>
      </c>
    </row>
    <row r="17" spans="2:9" hidden="1" x14ac:dyDescent="0.3">
      <c r="B17" s="172" t="s">
        <v>187</v>
      </c>
      <c r="C17" s="172" t="s">
        <v>79</v>
      </c>
      <c r="D17" s="172" t="s">
        <v>221</v>
      </c>
      <c r="E17" s="172">
        <v>4.8699833787100902E-5</v>
      </c>
      <c r="F17" s="172">
        <v>64</v>
      </c>
      <c r="G17" s="172">
        <v>0</v>
      </c>
      <c r="H17" s="172">
        <v>19</v>
      </c>
      <c r="I17" s="172">
        <v>35.5</v>
      </c>
    </row>
    <row r="18" spans="2:9" hidden="1" x14ac:dyDescent="0.3">
      <c r="B18" s="172" t="s">
        <v>187</v>
      </c>
      <c r="C18" s="172" t="s">
        <v>80</v>
      </c>
      <c r="D18" s="172" t="s">
        <v>218</v>
      </c>
      <c r="E18" s="172">
        <v>2.80754842914471E-4</v>
      </c>
      <c r="F18" s="172">
        <v>48</v>
      </c>
      <c r="G18" s="172">
        <v>24</v>
      </c>
      <c r="H18" s="172">
        <v>0</v>
      </c>
      <c r="I18" s="172">
        <v>35.5</v>
      </c>
    </row>
    <row r="19" spans="2:9" hidden="1" x14ac:dyDescent="0.3">
      <c r="B19" s="172" t="s">
        <v>187</v>
      </c>
      <c r="C19" s="172" t="s">
        <v>80</v>
      </c>
      <c r="D19" s="172" t="s">
        <v>221</v>
      </c>
      <c r="E19" s="172">
        <v>9.6755346186735993E-5</v>
      </c>
      <c r="F19" s="172">
        <v>48</v>
      </c>
      <c r="G19" s="172">
        <v>24</v>
      </c>
      <c r="H19" s="172">
        <v>0</v>
      </c>
      <c r="I19" s="172">
        <v>35.5</v>
      </c>
    </row>
    <row r="20" spans="2:9" hidden="1" x14ac:dyDescent="0.3">
      <c r="B20" s="172" t="s">
        <v>187</v>
      </c>
      <c r="C20" s="172" t="s">
        <v>81</v>
      </c>
      <c r="D20" s="172" t="s">
        <v>218</v>
      </c>
      <c r="E20" s="172">
        <v>1.01121326275522E-4</v>
      </c>
      <c r="F20" s="172">
        <v>48</v>
      </c>
      <c r="G20" s="172">
        <v>24</v>
      </c>
      <c r="H20" s="172">
        <v>0</v>
      </c>
      <c r="I20" s="172">
        <v>35.5</v>
      </c>
    </row>
    <row r="21" spans="2:9" hidden="1" x14ac:dyDescent="0.3">
      <c r="B21" s="172" t="s">
        <v>187</v>
      </c>
      <c r="C21" s="172" t="s">
        <v>81</v>
      </c>
      <c r="D21" s="172" t="s">
        <v>221</v>
      </c>
      <c r="E21" s="172">
        <v>4.37293627245122E-4</v>
      </c>
      <c r="F21" s="172">
        <v>48</v>
      </c>
      <c r="G21" s="172">
        <v>24</v>
      </c>
      <c r="H21" s="172">
        <v>0</v>
      </c>
      <c r="I21" s="172">
        <v>35.5</v>
      </c>
    </row>
    <row r="22" spans="2:9" hidden="1" x14ac:dyDescent="0.3">
      <c r="B22" s="172" t="s">
        <v>187</v>
      </c>
      <c r="C22" s="172" t="s">
        <v>82</v>
      </c>
      <c r="D22" s="172" t="s">
        <v>218</v>
      </c>
      <c r="E22" s="172">
        <v>5.89548208153974E-5</v>
      </c>
      <c r="F22" s="172">
        <v>48</v>
      </c>
      <c r="G22" s="172">
        <v>24</v>
      </c>
      <c r="H22" s="172">
        <v>0</v>
      </c>
      <c r="I22" s="172">
        <v>35.5</v>
      </c>
    </row>
    <row r="23" spans="2:9" hidden="1" x14ac:dyDescent="0.3">
      <c r="B23" s="172" t="s">
        <v>187</v>
      </c>
      <c r="C23" s="172" t="s">
        <v>82</v>
      </c>
      <c r="D23" s="172" t="s">
        <v>221</v>
      </c>
      <c r="E23" s="172">
        <v>3.69081414528232E-4</v>
      </c>
      <c r="F23" s="172">
        <v>48</v>
      </c>
      <c r="G23" s="172">
        <v>24</v>
      </c>
      <c r="H23" s="172">
        <v>0</v>
      </c>
      <c r="I23" s="172">
        <v>35.5</v>
      </c>
    </row>
    <row r="24" spans="2:9" hidden="1" x14ac:dyDescent="0.3">
      <c r="B24" s="172" t="s">
        <v>187</v>
      </c>
      <c r="C24" s="172" t="s">
        <v>246</v>
      </c>
      <c r="D24" s="172" t="s">
        <v>218</v>
      </c>
      <c r="E24" s="172">
        <v>8.2380984819870097E-5</v>
      </c>
      <c r="F24" s="172">
        <v>48</v>
      </c>
      <c r="G24" s="172">
        <v>24</v>
      </c>
      <c r="H24" s="172">
        <v>0</v>
      </c>
      <c r="I24" s="172">
        <v>35.5</v>
      </c>
    </row>
    <row r="25" spans="2:9" x14ac:dyDescent="0.3">
      <c r="B25" s="172" t="s">
        <v>185</v>
      </c>
      <c r="C25" s="172" t="s">
        <v>79</v>
      </c>
      <c r="D25" s="172" t="s">
        <v>218</v>
      </c>
      <c r="E25" s="172">
        <v>4.12870374800422E-4</v>
      </c>
      <c r="F25" s="172">
        <v>85</v>
      </c>
      <c r="G25" s="172">
        <v>19.25</v>
      </c>
      <c r="H25" s="172">
        <v>19.25</v>
      </c>
      <c r="I25" s="172">
        <v>32</v>
      </c>
    </row>
    <row r="26" spans="2:9" hidden="1" x14ac:dyDescent="0.3">
      <c r="B26" s="172" t="s">
        <v>185</v>
      </c>
      <c r="C26" s="172" t="s">
        <v>79</v>
      </c>
      <c r="D26" s="172" t="s">
        <v>221</v>
      </c>
      <c r="E26" s="172">
        <v>8.4429513430697494E-5</v>
      </c>
      <c r="F26" s="172">
        <v>61</v>
      </c>
      <c r="G26" s="172">
        <v>0</v>
      </c>
      <c r="H26" s="172">
        <v>0</v>
      </c>
      <c r="I26" s="172">
        <v>32</v>
      </c>
    </row>
    <row r="27" spans="2:9" hidden="1" x14ac:dyDescent="0.3">
      <c r="B27" s="172" t="s">
        <v>185</v>
      </c>
      <c r="C27" s="172" t="s">
        <v>80</v>
      </c>
      <c r="D27" s="172" t="s">
        <v>218</v>
      </c>
      <c r="E27" s="172">
        <v>4.3564458260483097E-4</v>
      </c>
      <c r="F27" s="172">
        <v>48</v>
      </c>
      <c r="G27" s="172">
        <v>24</v>
      </c>
      <c r="H27" s="172">
        <v>0</v>
      </c>
      <c r="I27" s="172">
        <v>32</v>
      </c>
    </row>
    <row r="28" spans="2:9" hidden="1" x14ac:dyDescent="0.3">
      <c r="B28" s="172" t="s">
        <v>185</v>
      </c>
      <c r="C28" s="172" t="s">
        <v>80</v>
      </c>
      <c r="D28" s="172" t="s">
        <v>221</v>
      </c>
      <c r="E28" s="172">
        <v>1.28446043151904E-4</v>
      </c>
      <c r="F28" s="172">
        <v>48</v>
      </c>
      <c r="G28" s="172">
        <v>24</v>
      </c>
      <c r="H28" s="172">
        <v>0</v>
      </c>
      <c r="I28" s="172">
        <v>32</v>
      </c>
    </row>
    <row r="29" spans="2:9" hidden="1" x14ac:dyDescent="0.3">
      <c r="B29" s="172" t="s">
        <v>185</v>
      </c>
      <c r="C29" s="172" t="s">
        <v>81</v>
      </c>
      <c r="D29" s="172" t="s">
        <v>218</v>
      </c>
      <c r="E29" s="172">
        <v>1.2473744138141599E-4</v>
      </c>
      <c r="F29" s="172">
        <v>48</v>
      </c>
      <c r="G29" s="172">
        <v>24</v>
      </c>
      <c r="H29" s="172">
        <v>0</v>
      </c>
      <c r="I29" s="172">
        <v>32</v>
      </c>
    </row>
    <row r="30" spans="2:9" hidden="1" x14ac:dyDescent="0.3">
      <c r="B30" s="172" t="s">
        <v>185</v>
      </c>
      <c r="C30" s="172" t="s">
        <v>81</v>
      </c>
      <c r="D30" s="172" t="s">
        <v>221</v>
      </c>
      <c r="E30" s="172">
        <v>6.2694019079166403E-4</v>
      </c>
      <c r="F30" s="172">
        <v>48</v>
      </c>
      <c r="G30" s="172">
        <v>24</v>
      </c>
      <c r="H30" s="172">
        <v>0</v>
      </c>
      <c r="I30" s="172">
        <v>32</v>
      </c>
    </row>
    <row r="31" spans="2:9" hidden="1" x14ac:dyDescent="0.3">
      <c r="B31" s="172" t="s">
        <v>185</v>
      </c>
      <c r="C31" s="172" t="s">
        <v>82</v>
      </c>
      <c r="D31" s="172" t="s">
        <v>218</v>
      </c>
      <c r="E31" s="172">
        <v>6.6138883422327895E-5</v>
      </c>
      <c r="F31" s="172">
        <v>85</v>
      </c>
      <c r="G31" s="172">
        <v>19.25</v>
      </c>
      <c r="H31" s="172">
        <v>19.25</v>
      </c>
      <c r="I31" s="172">
        <v>32</v>
      </c>
    </row>
    <row r="32" spans="2:9" hidden="1" x14ac:dyDescent="0.3">
      <c r="B32" s="172" t="s">
        <v>185</v>
      </c>
      <c r="C32" s="172" t="s">
        <v>82</v>
      </c>
      <c r="D32" s="172" t="s">
        <v>221</v>
      </c>
      <c r="E32" s="172">
        <v>5.3309465457802201E-4</v>
      </c>
      <c r="F32" s="172">
        <v>64</v>
      </c>
      <c r="G32" s="172">
        <v>0</v>
      </c>
      <c r="H32" s="172">
        <v>19</v>
      </c>
      <c r="I32" s="172">
        <v>32</v>
      </c>
    </row>
    <row r="33" spans="2:9" hidden="1" x14ac:dyDescent="0.3">
      <c r="B33" s="172" t="s">
        <v>185</v>
      </c>
      <c r="C33" s="172" t="s">
        <v>246</v>
      </c>
      <c r="D33" s="172" t="s">
        <v>218</v>
      </c>
      <c r="E33" s="172">
        <v>8.3323130405979596E-5</v>
      </c>
      <c r="F33" s="172">
        <v>48</v>
      </c>
      <c r="G33" s="172">
        <v>24</v>
      </c>
      <c r="H33" s="172">
        <v>0</v>
      </c>
      <c r="I33" s="172">
        <v>32</v>
      </c>
    </row>
    <row r="34" spans="2:9" x14ac:dyDescent="0.3">
      <c r="B34" s="172" t="s">
        <v>183</v>
      </c>
      <c r="C34" s="172" t="s">
        <v>79</v>
      </c>
      <c r="D34" s="172" t="s">
        <v>218</v>
      </c>
      <c r="E34" s="172">
        <v>5.6471327075354805E-4</v>
      </c>
      <c r="F34" s="172">
        <v>85</v>
      </c>
      <c r="G34" s="172">
        <v>19.25</v>
      </c>
      <c r="H34" s="172">
        <v>19.25</v>
      </c>
      <c r="I34" s="172">
        <v>28.5</v>
      </c>
    </row>
    <row r="35" spans="2:9" hidden="1" x14ac:dyDescent="0.3">
      <c r="B35" s="172" t="s">
        <v>183</v>
      </c>
      <c r="C35" s="172" t="s">
        <v>79</v>
      </c>
      <c r="D35" s="172" t="s">
        <v>221</v>
      </c>
      <c r="E35" s="172">
        <v>1.19323013386135E-4</v>
      </c>
      <c r="F35" s="172">
        <v>63</v>
      </c>
      <c r="G35" s="172">
        <v>0</v>
      </c>
      <c r="H35" s="172">
        <v>13</v>
      </c>
      <c r="I35" s="172">
        <v>28.5</v>
      </c>
    </row>
    <row r="36" spans="2:9" hidden="1" x14ac:dyDescent="0.3">
      <c r="B36" s="172" t="s">
        <v>183</v>
      </c>
      <c r="C36" s="172" t="s">
        <v>80</v>
      </c>
      <c r="D36" s="172" t="s">
        <v>218</v>
      </c>
      <c r="E36" s="172">
        <v>5.7912172293959495E-4</v>
      </c>
      <c r="F36" s="172">
        <v>48</v>
      </c>
      <c r="G36" s="172">
        <v>24</v>
      </c>
      <c r="H36" s="172">
        <v>0</v>
      </c>
      <c r="I36" s="172">
        <v>28.5</v>
      </c>
    </row>
    <row r="37" spans="2:9" hidden="1" x14ac:dyDescent="0.3">
      <c r="B37" s="172" t="s">
        <v>183</v>
      </c>
      <c r="C37" s="172" t="s">
        <v>80</v>
      </c>
      <c r="D37" s="172" t="s">
        <v>221</v>
      </c>
      <c r="E37" s="172">
        <v>1.5600881993602301E-4</v>
      </c>
      <c r="F37" s="172">
        <v>42</v>
      </c>
      <c r="G37" s="172">
        <v>24</v>
      </c>
      <c r="H37" s="172">
        <v>4</v>
      </c>
      <c r="I37" s="172">
        <v>28.5</v>
      </c>
    </row>
    <row r="38" spans="2:9" hidden="1" x14ac:dyDescent="0.3">
      <c r="B38" s="172" t="s">
        <v>183</v>
      </c>
      <c r="C38" s="172" t="s">
        <v>81</v>
      </c>
      <c r="D38" s="172" t="s">
        <v>218</v>
      </c>
      <c r="E38" s="172">
        <v>1.4439271665724399E-4</v>
      </c>
      <c r="F38" s="172">
        <v>48</v>
      </c>
      <c r="G38" s="172">
        <v>24</v>
      </c>
      <c r="H38" s="172">
        <v>0</v>
      </c>
      <c r="I38" s="172">
        <v>28.5</v>
      </c>
    </row>
    <row r="39" spans="2:9" hidden="1" x14ac:dyDescent="0.3">
      <c r="B39" s="172" t="s">
        <v>183</v>
      </c>
      <c r="C39" s="172" t="s">
        <v>81</v>
      </c>
      <c r="D39" s="172" t="s">
        <v>221</v>
      </c>
      <c r="E39" s="172">
        <v>7.9671569641361203E-4</v>
      </c>
      <c r="F39" s="172">
        <v>48</v>
      </c>
      <c r="G39" s="172">
        <v>24</v>
      </c>
      <c r="H39" s="172">
        <v>0</v>
      </c>
      <c r="I39" s="172">
        <v>28.5</v>
      </c>
    </row>
    <row r="40" spans="2:9" hidden="1" x14ac:dyDescent="0.3">
      <c r="B40" s="172" t="s">
        <v>183</v>
      </c>
      <c r="C40" s="172" t="s">
        <v>82</v>
      </c>
      <c r="D40" s="172" t="s">
        <v>218</v>
      </c>
      <c r="E40" s="172">
        <v>1.1035728598460601E-4</v>
      </c>
      <c r="F40" s="172">
        <v>85</v>
      </c>
      <c r="G40" s="172">
        <v>19.25</v>
      </c>
      <c r="H40" s="172">
        <v>19.25</v>
      </c>
      <c r="I40" s="172">
        <v>28.5</v>
      </c>
    </row>
    <row r="41" spans="2:9" hidden="1" x14ac:dyDescent="0.3">
      <c r="B41" s="172" t="s">
        <v>183</v>
      </c>
      <c r="C41" s="172" t="s">
        <v>82</v>
      </c>
      <c r="D41" s="172" t="s">
        <v>221</v>
      </c>
      <c r="E41" s="172">
        <v>7.2950816440379204E-4</v>
      </c>
      <c r="F41" s="172">
        <v>64</v>
      </c>
      <c r="G41" s="172">
        <v>0</v>
      </c>
      <c r="H41" s="172">
        <v>19</v>
      </c>
      <c r="I41" s="172">
        <v>28.5</v>
      </c>
    </row>
    <row r="42" spans="2:9" hidden="1" x14ac:dyDescent="0.3">
      <c r="B42" s="172" t="s">
        <v>183</v>
      </c>
      <c r="C42" s="172" t="s">
        <v>246</v>
      </c>
      <c r="D42" s="172" t="s">
        <v>218</v>
      </c>
      <c r="E42" s="172">
        <v>7.9875682176281206E-5</v>
      </c>
      <c r="F42" s="172">
        <v>48</v>
      </c>
      <c r="G42" s="172">
        <v>24</v>
      </c>
      <c r="H42" s="172">
        <v>0</v>
      </c>
      <c r="I42" s="172">
        <v>28.5</v>
      </c>
    </row>
    <row r="43" spans="2:9" x14ac:dyDescent="0.3">
      <c r="B43" s="172" t="s">
        <v>181</v>
      </c>
      <c r="C43" s="172" t="s">
        <v>79</v>
      </c>
      <c r="D43" s="172" t="s">
        <v>218</v>
      </c>
      <c r="E43" s="172">
        <v>6.9481923956387997E-4</v>
      </c>
      <c r="F43" s="172">
        <v>85</v>
      </c>
      <c r="G43" s="172">
        <v>19.25</v>
      </c>
      <c r="H43" s="172">
        <v>19.25</v>
      </c>
      <c r="I43" s="172">
        <v>25</v>
      </c>
    </row>
    <row r="44" spans="2:9" hidden="1" x14ac:dyDescent="0.3">
      <c r="B44" s="172" t="s">
        <v>181</v>
      </c>
      <c r="C44" s="172" t="s">
        <v>79</v>
      </c>
      <c r="D44" s="172" t="s">
        <v>221</v>
      </c>
      <c r="E44" s="172">
        <v>1.4984044564848601E-4</v>
      </c>
      <c r="F44" s="172">
        <v>64</v>
      </c>
      <c r="G44" s="172">
        <v>0</v>
      </c>
      <c r="H44" s="172">
        <v>19</v>
      </c>
      <c r="I44" s="172">
        <v>25</v>
      </c>
    </row>
    <row r="45" spans="2:9" hidden="1" x14ac:dyDescent="0.3">
      <c r="B45" s="172" t="s">
        <v>181</v>
      </c>
      <c r="C45" s="172" t="s">
        <v>80</v>
      </c>
      <c r="D45" s="172" t="s">
        <v>218</v>
      </c>
      <c r="E45" s="172">
        <v>7.0128153505520196E-4</v>
      </c>
      <c r="F45" s="172">
        <v>48</v>
      </c>
      <c r="G45" s="172">
        <v>24</v>
      </c>
      <c r="H45" s="172">
        <v>0</v>
      </c>
      <c r="I45" s="172">
        <v>25</v>
      </c>
    </row>
    <row r="46" spans="2:9" hidden="1" x14ac:dyDescent="0.3">
      <c r="B46" s="172" t="s">
        <v>181</v>
      </c>
      <c r="C46" s="172" t="s">
        <v>80</v>
      </c>
      <c r="D46" s="172" t="s">
        <v>221</v>
      </c>
      <c r="E46" s="172">
        <v>1.79109892028276E-4</v>
      </c>
      <c r="F46" s="172">
        <v>48</v>
      </c>
      <c r="G46" s="172">
        <v>24</v>
      </c>
      <c r="H46" s="172">
        <v>0</v>
      </c>
      <c r="I46" s="172">
        <v>25</v>
      </c>
    </row>
    <row r="47" spans="2:9" hidden="1" x14ac:dyDescent="0.3">
      <c r="B47" s="172" t="s">
        <v>181</v>
      </c>
      <c r="C47" s="172" t="s">
        <v>81</v>
      </c>
      <c r="D47" s="172" t="s">
        <v>218</v>
      </c>
      <c r="E47" s="172">
        <v>1.6007085211433401E-4</v>
      </c>
      <c r="F47" s="172">
        <v>48</v>
      </c>
      <c r="G47" s="172">
        <v>24</v>
      </c>
      <c r="H47" s="172">
        <v>0</v>
      </c>
      <c r="I47" s="172">
        <v>25</v>
      </c>
    </row>
    <row r="48" spans="2:9" hidden="1" x14ac:dyDescent="0.3">
      <c r="B48" s="172" t="s">
        <v>181</v>
      </c>
      <c r="C48" s="172" t="s">
        <v>81</v>
      </c>
      <c r="D48" s="172" t="s">
        <v>221</v>
      </c>
      <c r="E48" s="172">
        <v>9.3748307872188201E-4</v>
      </c>
      <c r="F48" s="172">
        <v>48</v>
      </c>
      <c r="G48" s="172">
        <v>24</v>
      </c>
      <c r="H48" s="172">
        <v>0</v>
      </c>
      <c r="I48" s="172">
        <v>25</v>
      </c>
    </row>
    <row r="49" spans="2:9" hidden="1" x14ac:dyDescent="0.3">
      <c r="B49" s="172" t="s">
        <v>181</v>
      </c>
      <c r="C49" s="172" t="s">
        <v>82</v>
      </c>
      <c r="D49" s="172" t="s">
        <v>218</v>
      </c>
      <c r="E49" s="172">
        <v>1.49140432848232E-4</v>
      </c>
      <c r="F49" s="172">
        <v>85</v>
      </c>
      <c r="G49" s="172">
        <v>19.25</v>
      </c>
      <c r="H49" s="172">
        <v>19.25</v>
      </c>
      <c r="I49" s="172">
        <v>25</v>
      </c>
    </row>
    <row r="50" spans="2:9" hidden="1" x14ac:dyDescent="0.3">
      <c r="B50" s="172" t="s">
        <v>181</v>
      </c>
      <c r="C50" s="172" t="s">
        <v>82</v>
      </c>
      <c r="D50" s="172" t="s">
        <v>221</v>
      </c>
      <c r="E50" s="172">
        <v>8.9596855251814996E-4</v>
      </c>
      <c r="F50" s="172">
        <v>64</v>
      </c>
      <c r="G50" s="172">
        <v>0</v>
      </c>
      <c r="H50" s="172">
        <v>19</v>
      </c>
      <c r="I50" s="172">
        <v>25</v>
      </c>
    </row>
    <row r="51" spans="2:9" hidden="1" x14ac:dyDescent="0.3">
      <c r="B51" s="172" t="s">
        <v>181</v>
      </c>
      <c r="C51" s="172" t="s">
        <v>246</v>
      </c>
      <c r="D51" s="172" t="s">
        <v>218</v>
      </c>
      <c r="E51" s="172">
        <v>7.4440124359417294E-5</v>
      </c>
      <c r="F51" s="172">
        <v>48</v>
      </c>
      <c r="G51" s="172">
        <v>24</v>
      </c>
      <c r="H51" s="172">
        <v>0</v>
      </c>
      <c r="I51" s="172">
        <v>25</v>
      </c>
    </row>
    <row r="52" spans="2:9" x14ac:dyDescent="0.3">
      <c r="B52" s="172" t="s">
        <v>179</v>
      </c>
      <c r="C52" s="172" t="s">
        <v>79</v>
      </c>
      <c r="D52" s="172" t="s">
        <v>218</v>
      </c>
      <c r="E52" s="172">
        <v>8.0453153932631704E-4</v>
      </c>
      <c r="F52" s="172">
        <v>85</v>
      </c>
      <c r="G52" s="172">
        <v>19.25</v>
      </c>
      <c r="H52" s="172">
        <v>19.25</v>
      </c>
      <c r="I52" s="172">
        <v>21.5</v>
      </c>
    </row>
    <row r="53" spans="2:9" hidden="1" x14ac:dyDescent="0.3">
      <c r="B53" s="172" t="s">
        <v>179</v>
      </c>
      <c r="C53" s="172" t="s">
        <v>79</v>
      </c>
      <c r="D53" s="172" t="s">
        <v>221</v>
      </c>
      <c r="E53" s="172">
        <v>1.7658775407721299E-4</v>
      </c>
      <c r="F53" s="172">
        <v>64</v>
      </c>
      <c r="G53" s="172">
        <v>0</v>
      </c>
      <c r="H53" s="172">
        <v>19</v>
      </c>
      <c r="I53" s="172">
        <v>21.5</v>
      </c>
    </row>
    <row r="54" spans="2:9" hidden="1" x14ac:dyDescent="0.3">
      <c r="B54" s="172" t="s">
        <v>179</v>
      </c>
      <c r="C54" s="172" t="s">
        <v>80</v>
      </c>
      <c r="D54" s="172" t="s">
        <v>218</v>
      </c>
      <c r="E54" s="172">
        <v>8.02497842518744E-4</v>
      </c>
      <c r="F54" s="172">
        <v>48</v>
      </c>
      <c r="G54" s="172">
        <v>24</v>
      </c>
      <c r="H54" s="172">
        <v>0</v>
      </c>
      <c r="I54" s="172">
        <v>21.5</v>
      </c>
    </row>
    <row r="55" spans="2:9" hidden="1" x14ac:dyDescent="0.3">
      <c r="B55" s="172" t="s">
        <v>179</v>
      </c>
      <c r="C55" s="172" t="s">
        <v>80</v>
      </c>
      <c r="D55" s="172" t="s">
        <v>221</v>
      </c>
      <c r="E55" s="172">
        <v>1.97300818969664E-4</v>
      </c>
      <c r="F55" s="172">
        <v>48</v>
      </c>
      <c r="G55" s="172">
        <v>24</v>
      </c>
      <c r="H55" s="172">
        <v>0</v>
      </c>
      <c r="I55" s="172">
        <v>21.5</v>
      </c>
    </row>
    <row r="56" spans="2:9" hidden="1" x14ac:dyDescent="0.3">
      <c r="B56" s="172" t="s">
        <v>179</v>
      </c>
      <c r="C56" s="172" t="s">
        <v>81</v>
      </c>
      <c r="D56" s="172" t="s">
        <v>218</v>
      </c>
      <c r="E56" s="172">
        <v>1.71566539646449E-4</v>
      </c>
      <c r="F56" s="172">
        <v>48</v>
      </c>
      <c r="G56" s="172">
        <v>24</v>
      </c>
      <c r="H56" s="172">
        <v>0</v>
      </c>
      <c r="I56" s="172">
        <v>21.5</v>
      </c>
    </row>
    <row r="57" spans="2:9" hidden="1" x14ac:dyDescent="0.3">
      <c r="B57" s="172" t="s">
        <v>179</v>
      </c>
      <c r="C57" s="172" t="s">
        <v>81</v>
      </c>
      <c r="D57" s="172" t="s">
        <v>221</v>
      </c>
      <c r="E57" s="172">
        <v>1.0519397317611599E-3</v>
      </c>
      <c r="F57" s="172">
        <v>48</v>
      </c>
      <c r="G57" s="172">
        <v>24</v>
      </c>
      <c r="H57" s="172">
        <v>0</v>
      </c>
      <c r="I57" s="172">
        <v>21.5</v>
      </c>
    </row>
    <row r="58" spans="2:9" hidden="1" x14ac:dyDescent="0.3">
      <c r="B58" s="172" t="s">
        <v>179</v>
      </c>
      <c r="C58" s="172" t="s">
        <v>82</v>
      </c>
      <c r="D58" s="172" t="s">
        <v>218</v>
      </c>
      <c r="E58" s="172">
        <v>1.8320318698724299E-4</v>
      </c>
      <c r="F58" s="172">
        <v>85</v>
      </c>
      <c r="G58" s="172">
        <v>19.25</v>
      </c>
      <c r="H58" s="172">
        <v>19.25</v>
      </c>
      <c r="I58" s="172">
        <v>21.5</v>
      </c>
    </row>
    <row r="59" spans="2:9" hidden="1" x14ac:dyDescent="0.3">
      <c r="B59" s="172" t="s">
        <v>179</v>
      </c>
      <c r="C59" s="172" t="s">
        <v>82</v>
      </c>
      <c r="D59" s="172" t="s">
        <v>221</v>
      </c>
      <c r="E59" s="172">
        <v>1.0360635406257499E-3</v>
      </c>
      <c r="F59" s="172">
        <v>64</v>
      </c>
      <c r="G59" s="172">
        <v>0</v>
      </c>
      <c r="H59" s="172">
        <v>19</v>
      </c>
      <c r="I59" s="172">
        <v>21.5</v>
      </c>
    </row>
    <row r="60" spans="2:9" hidden="1" x14ac:dyDescent="0.3">
      <c r="B60" s="172" t="s">
        <v>179</v>
      </c>
      <c r="C60" s="172" t="s">
        <v>246</v>
      </c>
      <c r="D60" s="172" t="s">
        <v>218</v>
      </c>
      <c r="E60" s="172">
        <v>6.7445731025336702E-5</v>
      </c>
      <c r="F60" s="172">
        <v>48</v>
      </c>
      <c r="G60" s="172">
        <v>24</v>
      </c>
      <c r="H60" s="172">
        <v>0</v>
      </c>
      <c r="I60" s="172">
        <v>21.5</v>
      </c>
    </row>
    <row r="61" spans="2:9" x14ac:dyDescent="0.3">
      <c r="B61" s="172" t="s">
        <v>39</v>
      </c>
      <c r="C61" s="172" t="s">
        <v>79</v>
      </c>
      <c r="D61" s="172" t="s">
        <v>218</v>
      </c>
      <c r="E61" s="172">
        <v>8.94393631702251E-4</v>
      </c>
      <c r="F61" s="172">
        <v>85</v>
      </c>
      <c r="G61" s="172">
        <v>19.25</v>
      </c>
      <c r="H61" s="172">
        <v>19.25</v>
      </c>
      <c r="I61" s="172">
        <v>18</v>
      </c>
    </row>
    <row r="62" spans="2:9" hidden="1" x14ac:dyDescent="0.3">
      <c r="B62" s="172" t="s">
        <v>39</v>
      </c>
      <c r="C62" s="172" t="s">
        <v>79</v>
      </c>
      <c r="D62" s="172" t="s">
        <v>221</v>
      </c>
      <c r="E62" s="172">
        <v>2.0530426720859001E-4</v>
      </c>
      <c r="F62" s="172">
        <v>64</v>
      </c>
      <c r="G62" s="172">
        <v>0</v>
      </c>
      <c r="H62" s="172">
        <v>19</v>
      </c>
      <c r="I62" s="172">
        <v>18</v>
      </c>
    </row>
    <row r="63" spans="2:9" hidden="1" x14ac:dyDescent="0.3">
      <c r="B63" s="172" t="s">
        <v>39</v>
      </c>
      <c r="C63" s="172" t="s">
        <v>80</v>
      </c>
      <c r="D63" s="172" t="s">
        <v>218</v>
      </c>
      <c r="E63" s="172">
        <v>8.7216921801314704E-4</v>
      </c>
      <c r="F63" s="172">
        <v>48</v>
      </c>
      <c r="G63" s="172">
        <v>24</v>
      </c>
      <c r="H63" s="172">
        <v>0</v>
      </c>
      <c r="I63" s="172">
        <v>18</v>
      </c>
    </row>
    <row r="64" spans="2:9" hidden="1" x14ac:dyDescent="0.3">
      <c r="B64" s="172" t="s">
        <v>39</v>
      </c>
      <c r="C64" s="172" t="s">
        <v>80</v>
      </c>
      <c r="D64" s="172" t="s">
        <v>221</v>
      </c>
      <c r="E64" s="172">
        <v>2.0303063606895999E-4</v>
      </c>
      <c r="F64" s="172">
        <v>48</v>
      </c>
      <c r="G64" s="172">
        <v>24</v>
      </c>
      <c r="H64" s="172">
        <v>0</v>
      </c>
      <c r="I64" s="172">
        <v>18</v>
      </c>
    </row>
    <row r="65" spans="2:9" hidden="1" x14ac:dyDescent="0.3">
      <c r="B65" s="172" t="s">
        <v>39</v>
      </c>
      <c r="C65" s="172" t="s">
        <v>81</v>
      </c>
      <c r="D65" s="172" t="s">
        <v>218</v>
      </c>
      <c r="E65" s="172">
        <v>1.7661301134987099E-4</v>
      </c>
      <c r="F65" s="172">
        <v>48</v>
      </c>
      <c r="G65" s="172">
        <v>24</v>
      </c>
      <c r="H65" s="172">
        <v>0</v>
      </c>
      <c r="I65" s="172">
        <v>18</v>
      </c>
    </row>
    <row r="66" spans="2:9" hidden="1" x14ac:dyDescent="0.3">
      <c r="B66" s="172" t="s">
        <v>39</v>
      </c>
      <c r="C66" s="172" t="s">
        <v>81</v>
      </c>
      <c r="D66" s="172" t="s">
        <v>221</v>
      </c>
      <c r="E66" s="172">
        <v>1.14067457835161E-3</v>
      </c>
      <c r="F66" s="172">
        <v>48</v>
      </c>
      <c r="G66" s="172">
        <v>24</v>
      </c>
      <c r="H66" s="172">
        <v>0</v>
      </c>
      <c r="I66" s="172">
        <v>18</v>
      </c>
    </row>
    <row r="67" spans="2:9" hidden="1" x14ac:dyDescent="0.3">
      <c r="B67" s="172" t="s">
        <v>39</v>
      </c>
      <c r="C67" s="172" t="s">
        <v>82</v>
      </c>
      <c r="D67" s="172" t="s">
        <v>218</v>
      </c>
      <c r="E67" s="172">
        <v>2.1458112733935299E-4</v>
      </c>
      <c r="F67" s="172">
        <v>85</v>
      </c>
      <c r="G67" s="172">
        <v>19.25</v>
      </c>
      <c r="H67" s="172">
        <v>19.25</v>
      </c>
      <c r="I67" s="172">
        <v>18</v>
      </c>
    </row>
    <row r="68" spans="2:9" hidden="1" x14ac:dyDescent="0.3">
      <c r="B68" s="172" t="s">
        <v>39</v>
      </c>
      <c r="C68" s="172" t="s">
        <v>82</v>
      </c>
      <c r="D68" s="172" t="s">
        <v>221</v>
      </c>
      <c r="E68" s="172">
        <v>1.1549123823423001E-3</v>
      </c>
      <c r="F68" s="172">
        <v>64</v>
      </c>
      <c r="G68" s="172">
        <v>0</v>
      </c>
      <c r="H68" s="172">
        <v>19</v>
      </c>
      <c r="I68" s="172">
        <v>18</v>
      </c>
    </row>
    <row r="69" spans="2:9" hidden="1" x14ac:dyDescent="0.3">
      <c r="B69" s="172" t="s">
        <v>39</v>
      </c>
      <c r="C69" s="172" t="s">
        <v>246</v>
      </c>
      <c r="D69" s="172" t="s">
        <v>218</v>
      </c>
      <c r="E69" s="172">
        <v>6.11699157203483E-5</v>
      </c>
      <c r="F69" s="172">
        <v>48</v>
      </c>
      <c r="G69" s="172">
        <v>24</v>
      </c>
      <c r="H69" s="172">
        <v>0</v>
      </c>
      <c r="I69" s="172">
        <v>18</v>
      </c>
    </row>
    <row r="70" spans="2:9" x14ac:dyDescent="0.3">
      <c r="B70" s="172" t="s">
        <v>26</v>
      </c>
      <c r="C70" s="172" t="s">
        <v>79</v>
      </c>
      <c r="D70" s="172" t="s">
        <v>218</v>
      </c>
      <c r="E70" s="172">
        <v>9.6715808354508998E-4</v>
      </c>
      <c r="F70" s="172">
        <v>85</v>
      </c>
      <c r="G70" s="172">
        <v>19.25</v>
      </c>
      <c r="H70" s="172">
        <v>19.25</v>
      </c>
      <c r="I70" s="172">
        <v>14.5</v>
      </c>
    </row>
    <row r="71" spans="2:9" hidden="1" x14ac:dyDescent="0.3">
      <c r="B71" s="172" t="s">
        <v>26</v>
      </c>
      <c r="C71" s="172" t="s">
        <v>79</v>
      </c>
      <c r="D71" s="172" t="s">
        <v>221</v>
      </c>
      <c r="E71" s="172">
        <v>2.3041550675581001E-4</v>
      </c>
      <c r="F71" s="172">
        <v>64</v>
      </c>
      <c r="G71" s="172">
        <v>0</v>
      </c>
      <c r="H71" s="172">
        <v>19</v>
      </c>
      <c r="I71" s="172">
        <v>14.5</v>
      </c>
    </row>
    <row r="72" spans="2:9" hidden="1" x14ac:dyDescent="0.3">
      <c r="B72" s="172" t="s">
        <v>26</v>
      </c>
      <c r="C72" s="172" t="s">
        <v>80</v>
      </c>
      <c r="D72" s="172" t="s">
        <v>218</v>
      </c>
      <c r="E72" s="172">
        <v>9.2365653089868896E-4</v>
      </c>
      <c r="F72" s="172">
        <v>48</v>
      </c>
      <c r="G72" s="172">
        <v>24</v>
      </c>
      <c r="H72" s="172">
        <v>0</v>
      </c>
      <c r="I72" s="172">
        <v>14.5</v>
      </c>
    </row>
    <row r="73" spans="2:9" hidden="1" x14ac:dyDescent="0.3">
      <c r="B73" s="172" t="s">
        <v>26</v>
      </c>
      <c r="C73" s="172" t="s">
        <v>80</v>
      </c>
      <c r="D73" s="172" t="s">
        <v>221</v>
      </c>
      <c r="E73" s="172">
        <v>2.0330990481240199E-4</v>
      </c>
      <c r="F73" s="172">
        <v>48</v>
      </c>
      <c r="G73" s="172">
        <v>24</v>
      </c>
      <c r="H73" s="172">
        <v>0</v>
      </c>
      <c r="I73" s="172">
        <v>14.5</v>
      </c>
    </row>
    <row r="74" spans="2:9" hidden="1" x14ac:dyDescent="0.3">
      <c r="B74" s="172" t="s">
        <v>26</v>
      </c>
      <c r="C74" s="172" t="s">
        <v>81</v>
      </c>
      <c r="D74" s="172" t="s">
        <v>218</v>
      </c>
      <c r="E74" s="172">
        <v>1.77099930103463E-4</v>
      </c>
      <c r="F74" s="172">
        <v>48</v>
      </c>
      <c r="G74" s="172">
        <v>24</v>
      </c>
      <c r="H74" s="172">
        <v>0</v>
      </c>
      <c r="I74" s="172">
        <v>14.5</v>
      </c>
    </row>
    <row r="75" spans="2:9" hidden="1" x14ac:dyDescent="0.3">
      <c r="B75" s="172" t="s">
        <v>26</v>
      </c>
      <c r="C75" s="172" t="s">
        <v>81</v>
      </c>
      <c r="D75" s="172" t="s">
        <v>221</v>
      </c>
      <c r="E75" s="172">
        <v>1.2076836263280001E-3</v>
      </c>
      <c r="F75" s="172">
        <v>48</v>
      </c>
      <c r="G75" s="172">
        <v>24</v>
      </c>
      <c r="H75" s="172">
        <v>0</v>
      </c>
      <c r="I75" s="172">
        <v>14.5</v>
      </c>
    </row>
    <row r="76" spans="2:9" hidden="1" x14ac:dyDescent="0.3">
      <c r="B76" s="172" t="s">
        <v>26</v>
      </c>
      <c r="C76" s="172" t="s">
        <v>82</v>
      </c>
      <c r="D76" s="172" t="s">
        <v>218</v>
      </c>
      <c r="E76" s="172">
        <v>2.4238903539662099E-4</v>
      </c>
      <c r="F76" s="172">
        <v>85</v>
      </c>
      <c r="G76" s="172">
        <v>19.25</v>
      </c>
      <c r="H76" s="172">
        <v>19.25</v>
      </c>
      <c r="I76" s="172">
        <v>14.5</v>
      </c>
    </row>
    <row r="77" spans="2:9" hidden="1" x14ac:dyDescent="0.3">
      <c r="B77" s="172" t="s">
        <v>26</v>
      </c>
      <c r="C77" s="172" t="s">
        <v>82</v>
      </c>
      <c r="D77" s="172" t="s">
        <v>221</v>
      </c>
      <c r="E77" s="172">
        <v>1.25385121477958E-3</v>
      </c>
      <c r="F77" s="172">
        <v>64</v>
      </c>
      <c r="G77" s="172">
        <v>0</v>
      </c>
      <c r="H77" s="172">
        <v>19</v>
      </c>
      <c r="I77" s="172">
        <v>14.5</v>
      </c>
    </row>
    <row r="78" spans="2:9" hidden="1" x14ac:dyDescent="0.3">
      <c r="B78" s="172" t="s">
        <v>26</v>
      </c>
      <c r="C78" s="172" t="s">
        <v>246</v>
      </c>
      <c r="D78" s="172" t="s">
        <v>218</v>
      </c>
      <c r="E78" s="172">
        <v>5.2441927930410402E-5</v>
      </c>
      <c r="F78" s="172">
        <v>48</v>
      </c>
      <c r="G78" s="172">
        <v>24</v>
      </c>
      <c r="H78" s="172">
        <v>0</v>
      </c>
      <c r="I78" s="172">
        <v>14.5</v>
      </c>
    </row>
    <row r="79" spans="2:9" x14ac:dyDescent="0.3">
      <c r="B79" s="172" t="s">
        <v>25</v>
      </c>
      <c r="C79" s="172" t="s">
        <v>79</v>
      </c>
      <c r="D79" s="172" t="s">
        <v>218</v>
      </c>
      <c r="E79" s="172">
        <v>1.02220542515514E-3</v>
      </c>
      <c r="F79" s="172">
        <v>85</v>
      </c>
      <c r="G79" s="172">
        <v>19.25</v>
      </c>
      <c r="H79" s="172">
        <v>19.25</v>
      </c>
      <c r="I79" s="172">
        <v>11</v>
      </c>
    </row>
    <row r="80" spans="2:9" hidden="1" x14ac:dyDescent="0.3">
      <c r="B80" s="172" t="s">
        <v>25</v>
      </c>
      <c r="C80" s="172" t="s">
        <v>79</v>
      </c>
      <c r="D80" s="172" t="s">
        <v>221</v>
      </c>
      <c r="E80" s="172">
        <v>2.4435727578425498E-4</v>
      </c>
      <c r="F80" s="172">
        <v>64</v>
      </c>
      <c r="G80" s="172">
        <v>0</v>
      </c>
      <c r="H80" s="172">
        <v>19</v>
      </c>
      <c r="I80" s="172">
        <v>11</v>
      </c>
    </row>
    <row r="81" spans="2:9" hidden="1" x14ac:dyDescent="0.3">
      <c r="B81" s="172" t="s">
        <v>25</v>
      </c>
      <c r="C81" s="172" t="s">
        <v>80</v>
      </c>
      <c r="D81" s="172" t="s">
        <v>218</v>
      </c>
      <c r="E81" s="172">
        <v>9.6850425522900397E-4</v>
      </c>
      <c r="F81" s="172">
        <v>48</v>
      </c>
      <c r="G81" s="172">
        <v>24</v>
      </c>
      <c r="H81" s="172">
        <v>0</v>
      </c>
      <c r="I81" s="172">
        <v>11</v>
      </c>
    </row>
    <row r="82" spans="2:9" hidden="1" x14ac:dyDescent="0.3">
      <c r="B82" s="172" t="s">
        <v>25</v>
      </c>
      <c r="C82" s="172" t="s">
        <v>80</v>
      </c>
      <c r="D82" s="172" t="s">
        <v>221</v>
      </c>
      <c r="E82" s="172">
        <v>2.0501177979016899E-4</v>
      </c>
      <c r="F82" s="172">
        <v>48</v>
      </c>
      <c r="G82" s="172">
        <v>24</v>
      </c>
      <c r="H82" s="172">
        <v>0</v>
      </c>
      <c r="I82" s="172">
        <v>11</v>
      </c>
    </row>
    <row r="83" spans="2:9" hidden="1" x14ac:dyDescent="0.3">
      <c r="B83" s="172" t="s">
        <v>25</v>
      </c>
      <c r="C83" s="172" t="s">
        <v>81</v>
      </c>
      <c r="D83" s="172" t="s">
        <v>218</v>
      </c>
      <c r="E83" s="172">
        <v>1.74423113308011E-4</v>
      </c>
      <c r="F83" s="172">
        <v>48</v>
      </c>
      <c r="G83" s="172">
        <v>24</v>
      </c>
      <c r="H83" s="172">
        <v>0</v>
      </c>
      <c r="I83" s="172">
        <v>11</v>
      </c>
    </row>
    <row r="84" spans="2:9" hidden="1" x14ac:dyDescent="0.3">
      <c r="B84" s="172" t="s">
        <v>25</v>
      </c>
      <c r="C84" s="172" t="s">
        <v>81</v>
      </c>
      <c r="D84" s="172" t="s">
        <v>221</v>
      </c>
      <c r="E84" s="172">
        <v>1.24961229594255E-3</v>
      </c>
      <c r="F84" s="172">
        <v>48</v>
      </c>
      <c r="G84" s="172">
        <v>24</v>
      </c>
      <c r="H84" s="172">
        <v>0</v>
      </c>
      <c r="I84" s="172">
        <v>11</v>
      </c>
    </row>
    <row r="85" spans="2:9" hidden="1" x14ac:dyDescent="0.3">
      <c r="B85" s="172" t="s">
        <v>25</v>
      </c>
      <c r="C85" s="172" t="s">
        <v>82</v>
      </c>
      <c r="D85" s="172" t="s">
        <v>218</v>
      </c>
      <c r="E85" s="172">
        <v>2.64156646809065E-4</v>
      </c>
      <c r="F85" s="172">
        <v>85</v>
      </c>
      <c r="G85" s="172">
        <v>19.25</v>
      </c>
      <c r="H85" s="172">
        <v>19.25</v>
      </c>
      <c r="I85" s="172">
        <v>11</v>
      </c>
    </row>
    <row r="86" spans="2:9" hidden="1" x14ac:dyDescent="0.3">
      <c r="B86" s="172" t="s">
        <v>25</v>
      </c>
      <c r="C86" s="172" t="s">
        <v>82</v>
      </c>
      <c r="D86" s="172" t="s">
        <v>221</v>
      </c>
      <c r="E86" s="172">
        <v>1.32564783904183E-3</v>
      </c>
      <c r="F86" s="172">
        <v>64</v>
      </c>
      <c r="G86" s="172">
        <v>0</v>
      </c>
      <c r="H86" s="172">
        <v>19</v>
      </c>
      <c r="I86" s="172">
        <v>11</v>
      </c>
    </row>
    <row r="87" spans="2:9" hidden="1" x14ac:dyDescent="0.3">
      <c r="B87" s="172" t="s">
        <v>25</v>
      </c>
      <c r="C87" s="172" t="s">
        <v>246</v>
      </c>
      <c r="D87" s="172" t="s">
        <v>218</v>
      </c>
      <c r="E87" s="172">
        <v>3.8440666840903803E-5</v>
      </c>
      <c r="F87" s="172">
        <v>48</v>
      </c>
      <c r="G87" s="172">
        <v>24</v>
      </c>
      <c r="H87" s="172">
        <v>0</v>
      </c>
      <c r="I87" s="172">
        <v>11</v>
      </c>
    </row>
    <row r="88" spans="2:9" x14ac:dyDescent="0.3">
      <c r="B88" s="172" t="s">
        <v>24</v>
      </c>
      <c r="C88" s="172" t="s">
        <v>79</v>
      </c>
      <c r="D88" s="172" t="s">
        <v>218</v>
      </c>
      <c r="E88" s="172">
        <v>1.03883292085039E-3</v>
      </c>
      <c r="F88" s="172">
        <v>85</v>
      </c>
      <c r="G88" s="172">
        <v>19.25</v>
      </c>
      <c r="H88" s="172">
        <v>19.25</v>
      </c>
      <c r="I88" s="172">
        <v>7.5</v>
      </c>
    </row>
    <row r="89" spans="2:9" hidden="1" x14ac:dyDescent="0.3">
      <c r="B89" s="172" t="s">
        <v>24</v>
      </c>
      <c r="C89" s="172" t="s">
        <v>79</v>
      </c>
      <c r="D89" s="172" t="s">
        <v>221</v>
      </c>
      <c r="E89" s="172">
        <v>2.4300275139206001E-4</v>
      </c>
      <c r="F89" s="172">
        <v>64</v>
      </c>
      <c r="G89" s="172">
        <v>0</v>
      </c>
      <c r="H89" s="172">
        <v>19</v>
      </c>
      <c r="I89" s="172">
        <v>7.5</v>
      </c>
    </row>
    <row r="90" spans="2:9" hidden="1" x14ac:dyDescent="0.3">
      <c r="B90" s="172" t="s">
        <v>24</v>
      </c>
      <c r="C90" s="172" t="s">
        <v>80</v>
      </c>
      <c r="D90" s="172" t="s">
        <v>218</v>
      </c>
      <c r="E90" s="172">
        <v>9.834039032800561E-4</v>
      </c>
      <c r="F90" s="172">
        <v>48</v>
      </c>
      <c r="G90" s="172">
        <v>24</v>
      </c>
      <c r="H90" s="172">
        <v>0</v>
      </c>
      <c r="I90" s="172">
        <v>7.5</v>
      </c>
    </row>
    <row r="91" spans="2:9" hidden="1" x14ac:dyDescent="0.3">
      <c r="B91" s="172" t="s">
        <v>24</v>
      </c>
      <c r="C91" s="172" t="s">
        <v>80</v>
      </c>
      <c r="D91" s="172" t="s">
        <v>221</v>
      </c>
      <c r="E91" s="172">
        <v>2.0138956478228599E-4</v>
      </c>
      <c r="F91" s="172">
        <v>48</v>
      </c>
      <c r="G91" s="172">
        <v>24</v>
      </c>
      <c r="H91" s="172">
        <v>0</v>
      </c>
      <c r="I91" s="172">
        <v>7.5</v>
      </c>
    </row>
    <row r="92" spans="2:9" hidden="1" x14ac:dyDescent="0.3">
      <c r="B92" s="172" t="s">
        <v>24</v>
      </c>
      <c r="C92" s="172" t="s">
        <v>81</v>
      </c>
      <c r="D92" s="172" t="s">
        <v>221</v>
      </c>
      <c r="E92" s="172">
        <v>1.2400629256776E-3</v>
      </c>
      <c r="F92" s="172">
        <v>48</v>
      </c>
      <c r="G92" s="172">
        <v>24</v>
      </c>
      <c r="H92" s="172">
        <v>0</v>
      </c>
      <c r="I92" s="172">
        <v>7.5</v>
      </c>
    </row>
    <row r="93" spans="2:9" hidden="1" x14ac:dyDescent="0.3">
      <c r="B93" s="172" t="s">
        <v>24</v>
      </c>
      <c r="C93" s="172" t="s">
        <v>82</v>
      </c>
      <c r="D93" s="172" t="s">
        <v>218</v>
      </c>
      <c r="E93" s="172">
        <v>2.7032930911155101E-4</v>
      </c>
      <c r="F93" s="172">
        <v>85</v>
      </c>
      <c r="G93" s="172">
        <v>19.25</v>
      </c>
      <c r="H93" s="172">
        <v>19.25</v>
      </c>
      <c r="I93" s="172">
        <v>7.5</v>
      </c>
    </row>
    <row r="94" spans="2:9" hidden="1" x14ac:dyDescent="0.3">
      <c r="B94" s="172" t="s">
        <v>24</v>
      </c>
      <c r="C94" s="172" t="s">
        <v>82</v>
      </c>
      <c r="D94" s="172" t="s">
        <v>221</v>
      </c>
      <c r="E94" s="172">
        <v>1.3299623689886199E-3</v>
      </c>
      <c r="F94" s="172">
        <v>64</v>
      </c>
      <c r="G94" s="172">
        <v>0</v>
      </c>
      <c r="H94" s="172">
        <v>19</v>
      </c>
      <c r="I94" s="172">
        <v>7.5</v>
      </c>
    </row>
    <row r="95" spans="2:9" hidden="1" x14ac:dyDescent="0.3">
      <c r="B95" s="172" t="s">
        <v>24</v>
      </c>
      <c r="C95" s="172" t="s">
        <v>246</v>
      </c>
      <c r="D95" s="172" t="s">
        <v>218</v>
      </c>
      <c r="E95" s="172">
        <v>2.0746725013980202E-5</v>
      </c>
      <c r="F95" s="172">
        <v>48</v>
      </c>
      <c r="G95" s="172">
        <v>24</v>
      </c>
      <c r="H95" s="172">
        <v>0</v>
      </c>
      <c r="I95" s="172">
        <v>7.5</v>
      </c>
    </row>
    <row r="96" spans="2:9" x14ac:dyDescent="0.3">
      <c r="B96" s="172" t="s">
        <v>22</v>
      </c>
      <c r="C96" s="172" t="s">
        <v>79</v>
      </c>
      <c r="D96" s="172" t="s">
        <v>218</v>
      </c>
      <c r="E96" s="172">
        <v>7.8287492538338496E-4</v>
      </c>
      <c r="F96" s="172">
        <v>14</v>
      </c>
      <c r="G96" s="172">
        <v>19</v>
      </c>
      <c r="H96" s="172">
        <v>19</v>
      </c>
      <c r="I96" s="172">
        <v>4</v>
      </c>
    </row>
    <row r="97" spans="2:9" hidden="1" x14ac:dyDescent="0.3">
      <c r="B97" s="172" t="s">
        <v>22</v>
      </c>
      <c r="C97" s="172" t="s">
        <v>79</v>
      </c>
      <c r="D97" s="172" t="s">
        <v>221</v>
      </c>
      <c r="E97" s="172">
        <v>1.6302968425894199E-4</v>
      </c>
      <c r="F97" s="172">
        <v>64</v>
      </c>
      <c r="G97" s="172">
        <v>0</v>
      </c>
      <c r="H97" s="172">
        <v>19</v>
      </c>
      <c r="I97" s="172">
        <v>4</v>
      </c>
    </row>
    <row r="98" spans="2:9" hidden="1" x14ac:dyDescent="0.3">
      <c r="B98" s="172" t="s">
        <v>22</v>
      </c>
      <c r="C98" s="172" t="s">
        <v>80</v>
      </c>
      <c r="D98" s="172" t="s">
        <v>218</v>
      </c>
      <c r="E98" s="172">
        <v>7.6782055340269195E-4</v>
      </c>
      <c r="F98" s="172">
        <v>48</v>
      </c>
      <c r="G98" s="172">
        <v>24</v>
      </c>
      <c r="H98" s="172">
        <v>0</v>
      </c>
      <c r="I98" s="172">
        <v>4</v>
      </c>
    </row>
    <row r="99" spans="2:9" hidden="1" x14ac:dyDescent="0.3">
      <c r="B99" s="172" t="s">
        <v>22</v>
      </c>
      <c r="C99" s="172" t="s">
        <v>80</v>
      </c>
      <c r="D99" s="172" t="s">
        <v>221</v>
      </c>
      <c r="E99" s="172">
        <v>1.65148722962058E-4</v>
      </c>
      <c r="F99" s="172">
        <v>48</v>
      </c>
      <c r="G99" s="172">
        <v>24</v>
      </c>
      <c r="H99" s="172">
        <v>0</v>
      </c>
      <c r="I99" s="172">
        <v>4</v>
      </c>
    </row>
    <row r="100" spans="2:9" hidden="1" x14ac:dyDescent="0.3">
      <c r="B100" s="172" t="s">
        <v>22</v>
      </c>
      <c r="C100" s="172" t="s">
        <v>81</v>
      </c>
      <c r="D100" s="172" t="s">
        <v>218</v>
      </c>
      <c r="E100" s="172">
        <v>1.46345305485567E-4</v>
      </c>
      <c r="F100" s="172">
        <v>48</v>
      </c>
      <c r="G100" s="172">
        <v>24</v>
      </c>
      <c r="H100" s="172">
        <v>0</v>
      </c>
      <c r="I100" s="172">
        <v>4</v>
      </c>
    </row>
    <row r="101" spans="2:9" hidden="1" x14ac:dyDescent="0.3">
      <c r="B101" s="172" t="s">
        <v>22</v>
      </c>
      <c r="C101" s="172" t="s">
        <v>81</v>
      </c>
      <c r="D101" s="172" t="s">
        <v>221</v>
      </c>
      <c r="E101" s="172">
        <v>9.0989095877297204E-4</v>
      </c>
      <c r="F101" s="172">
        <v>48</v>
      </c>
      <c r="G101" s="172">
        <v>24</v>
      </c>
      <c r="H101" s="172">
        <v>0</v>
      </c>
      <c r="I101" s="172">
        <v>4</v>
      </c>
    </row>
    <row r="102" spans="2:9" hidden="1" x14ac:dyDescent="0.3">
      <c r="B102" s="172" t="s">
        <v>22</v>
      </c>
      <c r="C102" s="172" t="s">
        <v>82</v>
      </c>
      <c r="D102" s="172" t="s">
        <v>218</v>
      </c>
      <c r="E102" s="172">
        <v>1.86154769740848E-4</v>
      </c>
      <c r="F102" s="172">
        <v>14</v>
      </c>
      <c r="G102" s="172">
        <v>19</v>
      </c>
      <c r="H102" s="172">
        <v>19</v>
      </c>
      <c r="I102" s="172">
        <v>4</v>
      </c>
    </row>
    <row r="103" spans="2:9" hidden="1" x14ac:dyDescent="0.3">
      <c r="B103" s="172" t="s">
        <v>22</v>
      </c>
      <c r="C103" s="172" t="s">
        <v>82</v>
      </c>
      <c r="D103" s="172" t="s">
        <v>221</v>
      </c>
      <c r="E103" s="172">
        <v>9.3270837627773399E-4</v>
      </c>
      <c r="F103" s="172">
        <v>64</v>
      </c>
      <c r="G103" s="172">
        <v>0</v>
      </c>
      <c r="H103" s="172">
        <v>19</v>
      </c>
      <c r="I103" s="172">
        <v>4</v>
      </c>
    </row>
    <row r="104" spans="2:9" hidden="1" x14ac:dyDescent="0.3">
      <c r="B104" s="172" t="s">
        <v>22</v>
      </c>
      <c r="C104" s="172" t="s">
        <v>246</v>
      </c>
      <c r="D104" s="172" t="s">
        <v>218</v>
      </c>
      <c r="E104" s="172">
        <v>5.5028512894239299E-6</v>
      </c>
      <c r="F104" s="172">
        <v>48</v>
      </c>
      <c r="G104" s="172">
        <v>24</v>
      </c>
      <c r="H104" s="172">
        <v>0</v>
      </c>
      <c r="I104" s="172">
        <v>4</v>
      </c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2.60209201266223E-4</v>
      </c>
      <c r="F138" s="172">
        <v>42</v>
      </c>
      <c r="G138" s="172">
        <v>24</v>
      </c>
      <c r="H138" s="172">
        <v>4</v>
      </c>
      <c r="I138" s="172">
        <v>38.5</v>
      </c>
    </row>
    <row r="139" spans="2:9" hidden="1" x14ac:dyDescent="0.3">
      <c r="B139" s="172" t="s">
        <v>189</v>
      </c>
      <c r="C139" s="172" t="s">
        <v>79</v>
      </c>
      <c r="D139" s="172" t="s">
        <v>221</v>
      </c>
      <c r="E139" s="172">
        <v>5.1972145880688398E-5</v>
      </c>
      <c r="F139" s="172">
        <v>39</v>
      </c>
      <c r="G139" s="172">
        <v>19</v>
      </c>
      <c r="H139" s="172">
        <v>4</v>
      </c>
      <c r="I139" s="172">
        <v>38.5</v>
      </c>
    </row>
    <row r="140" spans="2:9" x14ac:dyDescent="0.3">
      <c r="B140" s="172" t="s">
        <v>189</v>
      </c>
      <c r="C140" s="172" t="s">
        <v>80</v>
      </c>
      <c r="D140" s="172" t="s">
        <v>218</v>
      </c>
      <c r="E140" s="172">
        <v>2.7230421804132801E-4</v>
      </c>
      <c r="F140" s="172">
        <v>48</v>
      </c>
      <c r="G140" s="172">
        <v>24</v>
      </c>
      <c r="H140" s="172">
        <v>0</v>
      </c>
      <c r="I140" s="172">
        <v>38.5</v>
      </c>
    </row>
    <row r="141" spans="2:9" hidden="1" x14ac:dyDescent="0.3">
      <c r="B141" s="172" t="s">
        <v>189</v>
      </c>
      <c r="C141" s="172" t="s">
        <v>80</v>
      </c>
      <c r="D141" s="172" t="s">
        <v>221</v>
      </c>
      <c r="E141" s="172">
        <v>8.1624006169930103E-5</v>
      </c>
      <c r="F141" s="172">
        <v>48</v>
      </c>
      <c r="G141" s="172">
        <v>24</v>
      </c>
      <c r="H141" s="172">
        <v>0</v>
      </c>
      <c r="I141" s="172">
        <v>38.5</v>
      </c>
    </row>
    <row r="142" spans="2:9" hidden="1" x14ac:dyDescent="0.3">
      <c r="B142" s="172" t="s">
        <v>189</v>
      </c>
      <c r="C142" s="172" t="s">
        <v>81</v>
      </c>
      <c r="D142" s="172" t="s">
        <v>218</v>
      </c>
      <c r="E142" s="172">
        <v>1.24970463828497E-4</v>
      </c>
      <c r="F142" s="172">
        <v>48</v>
      </c>
      <c r="G142" s="172">
        <v>24</v>
      </c>
      <c r="H142" s="172">
        <v>0</v>
      </c>
      <c r="I142" s="172">
        <v>38.5</v>
      </c>
    </row>
    <row r="143" spans="2:9" hidden="1" x14ac:dyDescent="0.3">
      <c r="B143" s="172" t="s">
        <v>189</v>
      </c>
      <c r="C143" s="172" t="s">
        <v>81</v>
      </c>
      <c r="D143" s="172" t="s">
        <v>221</v>
      </c>
      <c r="E143" s="172">
        <v>4.4890648761411901E-4</v>
      </c>
      <c r="F143" s="172">
        <v>48</v>
      </c>
      <c r="G143" s="172">
        <v>24</v>
      </c>
      <c r="H143" s="172">
        <v>0</v>
      </c>
      <c r="I143" s="172">
        <v>38.5</v>
      </c>
    </row>
    <row r="144" spans="2:9" hidden="1" x14ac:dyDescent="0.3">
      <c r="B144" s="172" t="s">
        <v>189</v>
      </c>
      <c r="C144" s="172" t="s">
        <v>82</v>
      </c>
      <c r="D144" s="172" t="s">
        <v>218</v>
      </c>
      <c r="E144" s="172">
        <v>9.1130794435961693E-5</v>
      </c>
      <c r="F144" s="172">
        <v>48</v>
      </c>
      <c r="G144" s="172">
        <v>24</v>
      </c>
      <c r="H144" s="172">
        <v>0</v>
      </c>
      <c r="I144" s="172">
        <v>38.5</v>
      </c>
    </row>
    <row r="145" spans="2:9" hidden="1" x14ac:dyDescent="0.3">
      <c r="B145" s="172" t="s">
        <v>189</v>
      </c>
      <c r="C145" s="172" t="s">
        <v>82</v>
      </c>
      <c r="D145" s="172" t="s">
        <v>221</v>
      </c>
      <c r="E145" s="172">
        <v>3.8749566344095101E-4</v>
      </c>
      <c r="F145" s="172">
        <v>48</v>
      </c>
      <c r="G145" s="172">
        <v>24</v>
      </c>
      <c r="H145" s="172">
        <v>0</v>
      </c>
      <c r="I145" s="172">
        <v>38.5</v>
      </c>
    </row>
    <row r="146" spans="2:9" hidden="1" x14ac:dyDescent="0.3">
      <c r="B146" s="172" t="s">
        <v>189</v>
      </c>
      <c r="C146" s="172" t="s">
        <v>246</v>
      </c>
      <c r="D146" s="172" t="s">
        <v>218</v>
      </c>
      <c r="E146" s="172">
        <v>2.45867539135543E-4</v>
      </c>
      <c r="F146" s="172">
        <v>48</v>
      </c>
      <c r="G146" s="172">
        <v>24</v>
      </c>
      <c r="H146" s="172">
        <v>0</v>
      </c>
      <c r="I146" s="172">
        <v>38.5</v>
      </c>
    </row>
    <row r="147" spans="2:9" hidden="1" x14ac:dyDescent="0.3">
      <c r="B147" s="172" t="s">
        <v>189</v>
      </c>
      <c r="C147" s="172" t="s">
        <v>246</v>
      </c>
      <c r="D147" s="172" t="s">
        <v>221</v>
      </c>
      <c r="E147" s="172">
        <v>1.05497311755549E-4</v>
      </c>
      <c r="F147" s="172">
        <v>76</v>
      </c>
      <c r="G147" s="172">
        <v>19</v>
      </c>
      <c r="H147" s="172">
        <v>0</v>
      </c>
      <c r="I147" s="172">
        <v>38.5</v>
      </c>
    </row>
    <row r="148" spans="2:9" hidden="1" x14ac:dyDescent="0.3">
      <c r="B148" s="172" t="s">
        <v>187</v>
      </c>
      <c r="C148" s="172" t="s">
        <v>79</v>
      </c>
      <c r="D148" s="172" t="s">
        <v>218</v>
      </c>
      <c r="E148" s="172">
        <v>2.5162653136409603E-4</v>
      </c>
      <c r="F148" s="172">
        <v>85</v>
      </c>
      <c r="G148" s="172">
        <v>19.25</v>
      </c>
      <c r="H148" s="172">
        <v>19.25</v>
      </c>
      <c r="I148" s="172">
        <v>35.5</v>
      </c>
    </row>
    <row r="149" spans="2:9" hidden="1" x14ac:dyDescent="0.3">
      <c r="B149" s="172" t="s">
        <v>187</v>
      </c>
      <c r="C149" s="172" t="s">
        <v>79</v>
      </c>
      <c r="D149" s="172" t="s">
        <v>221</v>
      </c>
      <c r="E149" s="172">
        <v>4.8699833787100902E-5</v>
      </c>
      <c r="F149" s="172">
        <v>64</v>
      </c>
      <c r="G149" s="172">
        <v>0</v>
      </c>
      <c r="H149" s="172">
        <v>19</v>
      </c>
      <c r="I149" s="172">
        <v>35.5</v>
      </c>
    </row>
    <row r="150" spans="2:9" x14ac:dyDescent="0.3">
      <c r="B150" s="172" t="s">
        <v>187</v>
      </c>
      <c r="C150" s="172" t="s">
        <v>80</v>
      </c>
      <c r="D150" s="172" t="s">
        <v>218</v>
      </c>
      <c r="E150" s="172">
        <v>2.80754842914471E-4</v>
      </c>
      <c r="F150" s="172">
        <v>48</v>
      </c>
      <c r="G150" s="172">
        <v>24</v>
      </c>
      <c r="H150" s="172">
        <v>0</v>
      </c>
      <c r="I150" s="172">
        <v>35.5</v>
      </c>
    </row>
    <row r="151" spans="2:9" hidden="1" x14ac:dyDescent="0.3">
      <c r="B151" s="172" t="s">
        <v>187</v>
      </c>
      <c r="C151" s="172" t="s">
        <v>80</v>
      </c>
      <c r="D151" s="172" t="s">
        <v>221</v>
      </c>
      <c r="E151" s="172">
        <v>9.6755346186735993E-5</v>
      </c>
      <c r="F151" s="172">
        <v>48</v>
      </c>
      <c r="G151" s="172">
        <v>24</v>
      </c>
      <c r="H151" s="172">
        <v>0</v>
      </c>
      <c r="I151" s="172">
        <v>35.5</v>
      </c>
    </row>
    <row r="152" spans="2:9" hidden="1" x14ac:dyDescent="0.3">
      <c r="B152" s="172" t="s">
        <v>187</v>
      </c>
      <c r="C152" s="172" t="s">
        <v>81</v>
      </c>
      <c r="D152" s="172" t="s">
        <v>218</v>
      </c>
      <c r="E152" s="172">
        <v>1.01121326275522E-4</v>
      </c>
      <c r="F152" s="172">
        <v>48</v>
      </c>
      <c r="G152" s="172">
        <v>24</v>
      </c>
      <c r="H152" s="172">
        <v>0</v>
      </c>
      <c r="I152" s="172">
        <v>35.5</v>
      </c>
    </row>
    <row r="153" spans="2:9" hidden="1" x14ac:dyDescent="0.3">
      <c r="B153" s="172" t="s">
        <v>187</v>
      </c>
      <c r="C153" s="172" t="s">
        <v>81</v>
      </c>
      <c r="D153" s="172" t="s">
        <v>221</v>
      </c>
      <c r="E153" s="172">
        <v>4.37293627245122E-4</v>
      </c>
      <c r="F153" s="172">
        <v>48</v>
      </c>
      <c r="G153" s="172">
        <v>24</v>
      </c>
      <c r="H153" s="172">
        <v>0</v>
      </c>
      <c r="I153" s="172">
        <v>35.5</v>
      </c>
    </row>
    <row r="154" spans="2:9" hidden="1" x14ac:dyDescent="0.3">
      <c r="B154" s="172" t="s">
        <v>187</v>
      </c>
      <c r="C154" s="172" t="s">
        <v>82</v>
      </c>
      <c r="D154" s="172" t="s">
        <v>218</v>
      </c>
      <c r="E154" s="172">
        <v>5.89548208153974E-5</v>
      </c>
      <c r="F154" s="172">
        <v>48</v>
      </c>
      <c r="G154" s="172">
        <v>24</v>
      </c>
      <c r="H154" s="172">
        <v>0</v>
      </c>
      <c r="I154" s="172">
        <v>35.5</v>
      </c>
    </row>
    <row r="155" spans="2:9" hidden="1" x14ac:dyDescent="0.3">
      <c r="B155" s="172" t="s">
        <v>187</v>
      </c>
      <c r="C155" s="172" t="s">
        <v>82</v>
      </c>
      <c r="D155" s="172" t="s">
        <v>221</v>
      </c>
      <c r="E155" s="172">
        <v>3.69081414528232E-4</v>
      </c>
      <c r="F155" s="172">
        <v>48</v>
      </c>
      <c r="G155" s="172">
        <v>24</v>
      </c>
      <c r="H155" s="172">
        <v>0</v>
      </c>
      <c r="I155" s="172">
        <v>35.5</v>
      </c>
    </row>
    <row r="156" spans="2:9" hidden="1" x14ac:dyDescent="0.3">
      <c r="B156" s="172" t="s">
        <v>187</v>
      </c>
      <c r="C156" s="172" t="s">
        <v>246</v>
      </c>
      <c r="D156" s="172" t="s">
        <v>218</v>
      </c>
      <c r="E156" s="172">
        <v>8.2380984819870097E-5</v>
      </c>
      <c r="F156" s="172">
        <v>48</v>
      </c>
      <c r="G156" s="172">
        <v>24</v>
      </c>
      <c r="H156" s="172">
        <v>0</v>
      </c>
      <c r="I156" s="172">
        <v>35.5</v>
      </c>
    </row>
    <row r="157" spans="2:9" hidden="1" x14ac:dyDescent="0.3">
      <c r="B157" s="172" t="s">
        <v>185</v>
      </c>
      <c r="C157" s="172" t="s">
        <v>79</v>
      </c>
      <c r="D157" s="172" t="s">
        <v>218</v>
      </c>
      <c r="E157" s="172">
        <v>4.12870374800422E-4</v>
      </c>
      <c r="F157" s="172">
        <v>85</v>
      </c>
      <c r="G157" s="172">
        <v>19.25</v>
      </c>
      <c r="H157" s="172">
        <v>19.25</v>
      </c>
      <c r="I157" s="172">
        <v>32</v>
      </c>
    </row>
    <row r="158" spans="2:9" hidden="1" x14ac:dyDescent="0.3">
      <c r="B158" s="172" t="s">
        <v>185</v>
      </c>
      <c r="C158" s="172" t="s">
        <v>79</v>
      </c>
      <c r="D158" s="172" t="s">
        <v>221</v>
      </c>
      <c r="E158" s="172">
        <v>8.4429513430697494E-5</v>
      </c>
      <c r="F158" s="172">
        <v>61</v>
      </c>
      <c r="G158" s="172">
        <v>0</v>
      </c>
      <c r="H158" s="172">
        <v>0</v>
      </c>
      <c r="I158" s="172">
        <v>32</v>
      </c>
    </row>
    <row r="159" spans="2:9" x14ac:dyDescent="0.3">
      <c r="B159" s="172" t="s">
        <v>185</v>
      </c>
      <c r="C159" s="172" t="s">
        <v>80</v>
      </c>
      <c r="D159" s="172" t="s">
        <v>218</v>
      </c>
      <c r="E159" s="172">
        <v>4.3564458260483097E-4</v>
      </c>
      <c r="F159" s="172">
        <v>48</v>
      </c>
      <c r="G159" s="172">
        <v>24</v>
      </c>
      <c r="H159" s="172">
        <v>0</v>
      </c>
      <c r="I159" s="172">
        <v>32</v>
      </c>
    </row>
    <row r="160" spans="2:9" hidden="1" x14ac:dyDescent="0.3">
      <c r="B160" s="172" t="s">
        <v>185</v>
      </c>
      <c r="C160" s="172" t="s">
        <v>80</v>
      </c>
      <c r="D160" s="172" t="s">
        <v>221</v>
      </c>
      <c r="E160" s="172">
        <v>1.28446043151904E-4</v>
      </c>
      <c r="F160" s="172">
        <v>48</v>
      </c>
      <c r="G160" s="172">
        <v>24</v>
      </c>
      <c r="H160" s="172">
        <v>0</v>
      </c>
      <c r="I160" s="172">
        <v>32</v>
      </c>
    </row>
    <row r="161" spans="2:9" hidden="1" x14ac:dyDescent="0.3">
      <c r="B161" s="172" t="s">
        <v>185</v>
      </c>
      <c r="C161" s="172" t="s">
        <v>81</v>
      </c>
      <c r="D161" s="172" t="s">
        <v>218</v>
      </c>
      <c r="E161" s="172">
        <v>1.2473744138141599E-4</v>
      </c>
      <c r="F161" s="172">
        <v>48</v>
      </c>
      <c r="G161" s="172">
        <v>24</v>
      </c>
      <c r="H161" s="172">
        <v>0</v>
      </c>
      <c r="I161" s="172">
        <v>32</v>
      </c>
    </row>
    <row r="162" spans="2:9" hidden="1" x14ac:dyDescent="0.3">
      <c r="B162" s="172" t="s">
        <v>185</v>
      </c>
      <c r="C162" s="172" t="s">
        <v>81</v>
      </c>
      <c r="D162" s="172" t="s">
        <v>221</v>
      </c>
      <c r="E162" s="172">
        <v>6.2694019079166403E-4</v>
      </c>
      <c r="F162" s="172">
        <v>48</v>
      </c>
      <c r="G162" s="172">
        <v>24</v>
      </c>
      <c r="H162" s="172">
        <v>0</v>
      </c>
      <c r="I162" s="172">
        <v>32</v>
      </c>
    </row>
    <row r="163" spans="2:9" hidden="1" x14ac:dyDescent="0.3">
      <c r="B163" s="172" t="s">
        <v>185</v>
      </c>
      <c r="C163" s="172" t="s">
        <v>82</v>
      </c>
      <c r="D163" s="172" t="s">
        <v>218</v>
      </c>
      <c r="E163" s="172">
        <v>6.6138883422327895E-5</v>
      </c>
      <c r="F163" s="172">
        <v>85</v>
      </c>
      <c r="G163" s="172">
        <v>19.25</v>
      </c>
      <c r="H163" s="172">
        <v>19.25</v>
      </c>
      <c r="I163" s="172">
        <v>32</v>
      </c>
    </row>
    <row r="164" spans="2:9" hidden="1" x14ac:dyDescent="0.3">
      <c r="B164" s="172" t="s">
        <v>185</v>
      </c>
      <c r="C164" s="172" t="s">
        <v>82</v>
      </c>
      <c r="D164" s="172" t="s">
        <v>221</v>
      </c>
      <c r="E164" s="172">
        <v>5.3309465457802201E-4</v>
      </c>
      <c r="F164" s="172">
        <v>64</v>
      </c>
      <c r="G164" s="172">
        <v>0</v>
      </c>
      <c r="H164" s="172">
        <v>19</v>
      </c>
      <c r="I164" s="172">
        <v>32</v>
      </c>
    </row>
    <row r="165" spans="2:9" hidden="1" x14ac:dyDescent="0.3">
      <c r="B165" s="172" t="s">
        <v>185</v>
      </c>
      <c r="C165" s="172" t="s">
        <v>246</v>
      </c>
      <c r="D165" s="172" t="s">
        <v>218</v>
      </c>
      <c r="E165" s="172">
        <v>8.3323130405979596E-5</v>
      </c>
      <c r="F165" s="172">
        <v>48</v>
      </c>
      <c r="G165" s="172">
        <v>24</v>
      </c>
      <c r="H165" s="172">
        <v>0</v>
      </c>
      <c r="I165" s="172">
        <v>32</v>
      </c>
    </row>
    <row r="166" spans="2:9" hidden="1" x14ac:dyDescent="0.3">
      <c r="B166" s="172" t="s">
        <v>183</v>
      </c>
      <c r="C166" s="172" t="s">
        <v>79</v>
      </c>
      <c r="D166" s="172" t="s">
        <v>218</v>
      </c>
      <c r="E166" s="172">
        <v>5.6471327075354805E-4</v>
      </c>
      <c r="F166" s="172">
        <v>85</v>
      </c>
      <c r="G166" s="172">
        <v>19.25</v>
      </c>
      <c r="H166" s="172">
        <v>19.25</v>
      </c>
      <c r="I166" s="172">
        <v>28.5</v>
      </c>
    </row>
    <row r="167" spans="2:9" hidden="1" x14ac:dyDescent="0.3">
      <c r="B167" s="172" t="s">
        <v>183</v>
      </c>
      <c r="C167" s="172" t="s">
        <v>79</v>
      </c>
      <c r="D167" s="172" t="s">
        <v>221</v>
      </c>
      <c r="E167" s="172">
        <v>1.19323013386135E-4</v>
      </c>
      <c r="F167" s="172">
        <v>63</v>
      </c>
      <c r="G167" s="172">
        <v>0</v>
      </c>
      <c r="H167" s="172">
        <v>13</v>
      </c>
      <c r="I167" s="172">
        <v>28.5</v>
      </c>
    </row>
    <row r="168" spans="2:9" x14ac:dyDescent="0.3">
      <c r="B168" s="172" t="s">
        <v>183</v>
      </c>
      <c r="C168" s="172" t="s">
        <v>80</v>
      </c>
      <c r="D168" s="172" t="s">
        <v>218</v>
      </c>
      <c r="E168" s="172">
        <v>5.7912172293959495E-4</v>
      </c>
      <c r="F168" s="172">
        <v>48</v>
      </c>
      <c r="G168" s="172">
        <v>24</v>
      </c>
      <c r="H168" s="172">
        <v>0</v>
      </c>
      <c r="I168" s="172">
        <v>28.5</v>
      </c>
    </row>
    <row r="169" spans="2:9" hidden="1" x14ac:dyDescent="0.3">
      <c r="B169" s="172" t="s">
        <v>183</v>
      </c>
      <c r="C169" s="172" t="s">
        <v>80</v>
      </c>
      <c r="D169" s="172" t="s">
        <v>221</v>
      </c>
      <c r="E169" s="172">
        <v>1.5600881993602301E-4</v>
      </c>
      <c r="F169" s="172">
        <v>42</v>
      </c>
      <c r="G169" s="172">
        <v>24</v>
      </c>
      <c r="H169" s="172">
        <v>4</v>
      </c>
      <c r="I169" s="172">
        <v>28.5</v>
      </c>
    </row>
    <row r="170" spans="2:9" hidden="1" x14ac:dyDescent="0.3">
      <c r="B170" s="172" t="s">
        <v>183</v>
      </c>
      <c r="C170" s="172" t="s">
        <v>81</v>
      </c>
      <c r="D170" s="172" t="s">
        <v>218</v>
      </c>
      <c r="E170" s="172">
        <v>1.4439271665724399E-4</v>
      </c>
      <c r="F170" s="172">
        <v>48</v>
      </c>
      <c r="G170" s="172">
        <v>24</v>
      </c>
      <c r="H170" s="172">
        <v>0</v>
      </c>
      <c r="I170" s="172">
        <v>28.5</v>
      </c>
    </row>
    <row r="171" spans="2:9" hidden="1" x14ac:dyDescent="0.3">
      <c r="B171" s="172" t="s">
        <v>183</v>
      </c>
      <c r="C171" s="172" t="s">
        <v>81</v>
      </c>
      <c r="D171" s="172" t="s">
        <v>221</v>
      </c>
      <c r="E171" s="172">
        <v>7.9671569641361203E-4</v>
      </c>
      <c r="F171" s="172">
        <v>48</v>
      </c>
      <c r="G171" s="172">
        <v>24</v>
      </c>
      <c r="H171" s="172">
        <v>0</v>
      </c>
      <c r="I171" s="172">
        <v>28.5</v>
      </c>
    </row>
    <row r="172" spans="2:9" hidden="1" x14ac:dyDescent="0.3">
      <c r="B172" s="172" t="s">
        <v>183</v>
      </c>
      <c r="C172" s="172" t="s">
        <v>82</v>
      </c>
      <c r="D172" s="172" t="s">
        <v>218</v>
      </c>
      <c r="E172" s="172">
        <v>1.1035728598460601E-4</v>
      </c>
      <c r="F172" s="172">
        <v>85</v>
      </c>
      <c r="G172" s="172">
        <v>19.25</v>
      </c>
      <c r="H172" s="172">
        <v>19.25</v>
      </c>
      <c r="I172" s="172">
        <v>28.5</v>
      </c>
    </row>
    <row r="173" spans="2:9" hidden="1" x14ac:dyDescent="0.3">
      <c r="B173" s="172" t="s">
        <v>183</v>
      </c>
      <c r="C173" s="172" t="s">
        <v>82</v>
      </c>
      <c r="D173" s="172" t="s">
        <v>221</v>
      </c>
      <c r="E173" s="172">
        <v>7.2950816440379204E-4</v>
      </c>
      <c r="F173" s="172">
        <v>64</v>
      </c>
      <c r="G173" s="172">
        <v>0</v>
      </c>
      <c r="H173" s="172">
        <v>19</v>
      </c>
      <c r="I173" s="172">
        <v>28.5</v>
      </c>
    </row>
    <row r="174" spans="2:9" hidden="1" x14ac:dyDescent="0.3">
      <c r="B174" s="172" t="s">
        <v>183</v>
      </c>
      <c r="C174" s="172" t="s">
        <v>246</v>
      </c>
      <c r="D174" s="172" t="s">
        <v>218</v>
      </c>
      <c r="E174" s="172">
        <v>7.9875682176281206E-5</v>
      </c>
      <c r="F174" s="172">
        <v>48</v>
      </c>
      <c r="G174" s="172">
        <v>24</v>
      </c>
      <c r="H174" s="172">
        <v>0</v>
      </c>
      <c r="I174" s="172">
        <v>28.5</v>
      </c>
    </row>
    <row r="175" spans="2:9" hidden="1" x14ac:dyDescent="0.3">
      <c r="B175" s="172" t="s">
        <v>181</v>
      </c>
      <c r="C175" s="172" t="s">
        <v>79</v>
      </c>
      <c r="D175" s="172" t="s">
        <v>218</v>
      </c>
      <c r="E175" s="172">
        <v>6.9481923956387997E-4</v>
      </c>
      <c r="F175" s="172">
        <v>85</v>
      </c>
      <c r="G175" s="172">
        <v>19.25</v>
      </c>
      <c r="H175" s="172">
        <v>19.25</v>
      </c>
      <c r="I175" s="172">
        <v>25</v>
      </c>
    </row>
    <row r="176" spans="2:9" hidden="1" x14ac:dyDescent="0.3">
      <c r="B176" s="172" t="s">
        <v>181</v>
      </c>
      <c r="C176" s="172" t="s">
        <v>79</v>
      </c>
      <c r="D176" s="172" t="s">
        <v>221</v>
      </c>
      <c r="E176" s="172">
        <v>1.4984044564848601E-4</v>
      </c>
      <c r="F176" s="172">
        <v>64</v>
      </c>
      <c r="G176" s="172">
        <v>0</v>
      </c>
      <c r="H176" s="172">
        <v>19</v>
      </c>
      <c r="I176" s="172">
        <v>25</v>
      </c>
    </row>
    <row r="177" spans="2:9" x14ac:dyDescent="0.3">
      <c r="B177" s="172" t="s">
        <v>181</v>
      </c>
      <c r="C177" s="172" t="s">
        <v>80</v>
      </c>
      <c r="D177" s="172" t="s">
        <v>218</v>
      </c>
      <c r="E177" s="172">
        <v>7.0128153505520196E-4</v>
      </c>
      <c r="F177" s="172">
        <v>48</v>
      </c>
      <c r="G177" s="172">
        <v>24</v>
      </c>
      <c r="H177" s="172">
        <v>0</v>
      </c>
      <c r="I177" s="172">
        <v>25</v>
      </c>
    </row>
    <row r="178" spans="2:9" hidden="1" x14ac:dyDescent="0.3">
      <c r="B178" s="172" t="s">
        <v>181</v>
      </c>
      <c r="C178" s="172" t="s">
        <v>80</v>
      </c>
      <c r="D178" s="172" t="s">
        <v>221</v>
      </c>
      <c r="E178" s="172">
        <v>1.79109892028276E-4</v>
      </c>
      <c r="F178" s="172">
        <v>48</v>
      </c>
      <c r="G178" s="172">
        <v>24</v>
      </c>
      <c r="H178" s="172">
        <v>0</v>
      </c>
      <c r="I178" s="172">
        <v>25</v>
      </c>
    </row>
    <row r="179" spans="2:9" hidden="1" x14ac:dyDescent="0.3">
      <c r="B179" s="172" t="s">
        <v>181</v>
      </c>
      <c r="C179" s="172" t="s">
        <v>81</v>
      </c>
      <c r="D179" s="172" t="s">
        <v>218</v>
      </c>
      <c r="E179" s="172">
        <v>1.6007085211433401E-4</v>
      </c>
      <c r="F179" s="172">
        <v>48</v>
      </c>
      <c r="G179" s="172">
        <v>24</v>
      </c>
      <c r="H179" s="172">
        <v>0</v>
      </c>
      <c r="I179" s="172">
        <v>25</v>
      </c>
    </row>
    <row r="180" spans="2:9" hidden="1" x14ac:dyDescent="0.3">
      <c r="B180" s="172" t="s">
        <v>181</v>
      </c>
      <c r="C180" s="172" t="s">
        <v>81</v>
      </c>
      <c r="D180" s="172" t="s">
        <v>221</v>
      </c>
      <c r="E180" s="172">
        <v>9.3748307872188201E-4</v>
      </c>
      <c r="F180" s="172">
        <v>48</v>
      </c>
      <c r="G180" s="172">
        <v>24</v>
      </c>
      <c r="H180" s="172">
        <v>0</v>
      </c>
      <c r="I180" s="172">
        <v>25</v>
      </c>
    </row>
    <row r="181" spans="2:9" hidden="1" x14ac:dyDescent="0.3">
      <c r="B181" s="172" t="s">
        <v>181</v>
      </c>
      <c r="C181" s="172" t="s">
        <v>82</v>
      </c>
      <c r="D181" s="172" t="s">
        <v>218</v>
      </c>
      <c r="E181" s="172">
        <v>1.49140432848232E-4</v>
      </c>
      <c r="F181" s="172">
        <v>85</v>
      </c>
      <c r="G181" s="172">
        <v>19.25</v>
      </c>
      <c r="H181" s="172">
        <v>19.25</v>
      </c>
      <c r="I181" s="172">
        <v>25</v>
      </c>
    </row>
    <row r="182" spans="2:9" hidden="1" x14ac:dyDescent="0.3">
      <c r="B182" s="172" t="s">
        <v>181</v>
      </c>
      <c r="C182" s="172" t="s">
        <v>82</v>
      </c>
      <c r="D182" s="172" t="s">
        <v>221</v>
      </c>
      <c r="E182" s="172">
        <v>8.9596855251814996E-4</v>
      </c>
      <c r="F182" s="172">
        <v>64</v>
      </c>
      <c r="G182" s="172">
        <v>0</v>
      </c>
      <c r="H182" s="172">
        <v>19</v>
      </c>
      <c r="I182" s="172">
        <v>25</v>
      </c>
    </row>
    <row r="183" spans="2:9" hidden="1" x14ac:dyDescent="0.3">
      <c r="B183" s="172" t="s">
        <v>181</v>
      </c>
      <c r="C183" s="172" t="s">
        <v>246</v>
      </c>
      <c r="D183" s="172" t="s">
        <v>218</v>
      </c>
      <c r="E183" s="172">
        <v>7.4440124359417294E-5</v>
      </c>
      <c r="F183" s="172">
        <v>48</v>
      </c>
      <c r="G183" s="172">
        <v>24</v>
      </c>
      <c r="H183" s="172">
        <v>0</v>
      </c>
      <c r="I183" s="172">
        <v>25</v>
      </c>
    </row>
    <row r="184" spans="2:9" hidden="1" x14ac:dyDescent="0.3">
      <c r="B184" s="172" t="s">
        <v>179</v>
      </c>
      <c r="C184" s="172" t="s">
        <v>79</v>
      </c>
      <c r="D184" s="172" t="s">
        <v>218</v>
      </c>
      <c r="E184" s="172">
        <v>8.0453153932631704E-4</v>
      </c>
      <c r="F184" s="172">
        <v>85</v>
      </c>
      <c r="G184" s="172">
        <v>19.25</v>
      </c>
      <c r="H184" s="172">
        <v>19.25</v>
      </c>
      <c r="I184" s="172">
        <v>21.5</v>
      </c>
    </row>
    <row r="185" spans="2:9" hidden="1" x14ac:dyDescent="0.3">
      <c r="B185" s="172" t="s">
        <v>179</v>
      </c>
      <c r="C185" s="172" t="s">
        <v>79</v>
      </c>
      <c r="D185" s="172" t="s">
        <v>221</v>
      </c>
      <c r="E185" s="172">
        <v>1.7658775407721299E-4</v>
      </c>
      <c r="F185" s="172">
        <v>64</v>
      </c>
      <c r="G185" s="172">
        <v>0</v>
      </c>
      <c r="H185" s="172">
        <v>19</v>
      </c>
      <c r="I185" s="172">
        <v>21.5</v>
      </c>
    </row>
    <row r="186" spans="2:9" x14ac:dyDescent="0.3">
      <c r="B186" s="172" t="s">
        <v>179</v>
      </c>
      <c r="C186" s="172" t="s">
        <v>80</v>
      </c>
      <c r="D186" s="172" t="s">
        <v>218</v>
      </c>
      <c r="E186" s="172">
        <v>8.02497842518744E-4</v>
      </c>
      <c r="F186" s="172">
        <v>48</v>
      </c>
      <c r="G186" s="172">
        <v>24</v>
      </c>
      <c r="H186" s="172">
        <v>0</v>
      </c>
      <c r="I186" s="172">
        <v>21.5</v>
      </c>
    </row>
    <row r="187" spans="2:9" hidden="1" x14ac:dyDescent="0.3">
      <c r="B187" s="172" t="s">
        <v>179</v>
      </c>
      <c r="C187" s="172" t="s">
        <v>80</v>
      </c>
      <c r="D187" s="172" t="s">
        <v>221</v>
      </c>
      <c r="E187" s="172">
        <v>1.97300818969664E-4</v>
      </c>
      <c r="F187" s="172">
        <v>48</v>
      </c>
      <c r="G187" s="172">
        <v>24</v>
      </c>
      <c r="H187" s="172">
        <v>0</v>
      </c>
      <c r="I187" s="172">
        <v>21.5</v>
      </c>
    </row>
    <row r="188" spans="2:9" hidden="1" x14ac:dyDescent="0.3">
      <c r="B188" s="172" t="s">
        <v>179</v>
      </c>
      <c r="C188" s="172" t="s">
        <v>81</v>
      </c>
      <c r="D188" s="172" t="s">
        <v>218</v>
      </c>
      <c r="E188" s="172">
        <v>1.71566539646449E-4</v>
      </c>
      <c r="F188" s="172">
        <v>48</v>
      </c>
      <c r="G188" s="172">
        <v>24</v>
      </c>
      <c r="H188" s="172">
        <v>0</v>
      </c>
      <c r="I188" s="172">
        <v>21.5</v>
      </c>
    </row>
    <row r="189" spans="2:9" hidden="1" x14ac:dyDescent="0.3">
      <c r="B189" s="172" t="s">
        <v>179</v>
      </c>
      <c r="C189" s="172" t="s">
        <v>81</v>
      </c>
      <c r="D189" s="172" t="s">
        <v>221</v>
      </c>
      <c r="E189" s="172">
        <v>1.0519397317611599E-3</v>
      </c>
      <c r="F189" s="172">
        <v>48</v>
      </c>
      <c r="G189" s="172">
        <v>24</v>
      </c>
      <c r="H189" s="172">
        <v>0</v>
      </c>
      <c r="I189" s="172">
        <v>21.5</v>
      </c>
    </row>
    <row r="190" spans="2:9" hidden="1" x14ac:dyDescent="0.3">
      <c r="B190" s="172" t="s">
        <v>179</v>
      </c>
      <c r="C190" s="172" t="s">
        <v>82</v>
      </c>
      <c r="D190" s="172" t="s">
        <v>218</v>
      </c>
      <c r="E190" s="172">
        <v>1.8320318698724299E-4</v>
      </c>
      <c r="F190" s="172">
        <v>85</v>
      </c>
      <c r="G190" s="172">
        <v>19.25</v>
      </c>
      <c r="H190" s="172">
        <v>19.25</v>
      </c>
      <c r="I190" s="172">
        <v>21.5</v>
      </c>
    </row>
    <row r="191" spans="2:9" hidden="1" x14ac:dyDescent="0.3">
      <c r="B191" s="172" t="s">
        <v>179</v>
      </c>
      <c r="C191" s="172" t="s">
        <v>82</v>
      </c>
      <c r="D191" s="172" t="s">
        <v>221</v>
      </c>
      <c r="E191" s="172">
        <v>1.0360635406257499E-3</v>
      </c>
      <c r="F191" s="172">
        <v>64</v>
      </c>
      <c r="G191" s="172">
        <v>0</v>
      </c>
      <c r="H191" s="172">
        <v>19</v>
      </c>
      <c r="I191" s="172">
        <v>21.5</v>
      </c>
    </row>
    <row r="192" spans="2:9" hidden="1" x14ac:dyDescent="0.3">
      <c r="B192" s="172" t="s">
        <v>179</v>
      </c>
      <c r="C192" s="172" t="s">
        <v>246</v>
      </c>
      <c r="D192" s="172" t="s">
        <v>218</v>
      </c>
      <c r="E192" s="172">
        <v>6.7445731025336702E-5</v>
      </c>
      <c r="F192" s="172">
        <v>48</v>
      </c>
      <c r="G192" s="172">
        <v>24</v>
      </c>
      <c r="H192" s="172">
        <v>0</v>
      </c>
      <c r="I192" s="172">
        <v>21.5</v>
      </c>
    </row>
    <row r="193" spans="2:9" hidden="1" x14ac:dyDescent="0.3">
      <c r="B193" s="172" t="s">
        <v>39</v>
      </c>
      <c r="C193" s="172" t="s">
        <v>79</v>
      </c>
      <c r="D193" s="172" t="s">
        <v>218</v>
      </c>
      <c r="E193" s="172">
        <v>8.94393631702251E-4</v>
      </c>
      <c r="F193" s="172">
        <v>85</v>
      </c>
      <c r="G193" s="172">
        <v>19.25</v>
      </c>
      <c r="H193" s="172">
        <v>19.25</v>
      </c>
      <c r="I193" s="172">
        <v>18</v>
      </c>
    </row>
    <row r="194" spans="2:9" hidden="1" x14ac:dyDescent="0.3">
      <c r="B194" s="172" t="s">
        <v>39</v>
      </c>
      <c r="C194" s="172" t="s">
        <v>79</v>
      </c>
      <c r="D194" s="172" t="s">
        <v>221</v>
      </c>
      <c r="E194" s="172">
        <v>2.0530426720859001E-4</v>
      </c>
      <c r="F194" s="172">
        <v>64</v>
      </c>
      <c r="G194" s="172">
        <v>0</v>
      </c>
      <c r="H194" s="172">
        <v>19</v>
      </c>
      <c r="I194" s="172">
        <v>18</v>
      </c>
    </row>
    <row r="195" spans="2:9" x14ac:dyDescent="0.3">
      <c r="B195" s="172" t="s">
        <v>39</v>
      </c>
      <c r="C195" s="172" t="s">
        <v>80</v>
      </c>
      <c r="D195" s="172" t="s">
        <v>218</v>
      </c>
      <c r="E195" s="172">
        <v>8.7216921801314704E-4</v>
      </c>
      <c r="F195" s="172">
        <v>48</v>
      </c>
      <c r="G195" s="172">
        <v>24</v>
      </c>
      <c r="H195" s="172">
        <v>0</v>
      </c>
      <c r="I195" s="172">
        <v>18</v>
      </c>
    </row>
    <row r="196" spans="2:9" hidden="1" x14ac:dyDescent="0.3">
      <c r="B196" s="172" t="s">
        <v>39</v>
      </c>
      <c r="C196" s="172" t="s">
        <v>80</v>
      </c>
      <c r="D196" s="172" t="s">
        <v>221</v>
      </c>
      <c r="E196" s="172">
        <v>2.0303063606895999E-4</v>
      </c>
      <c r="F196" s="172">
        <v>48</v>
      </c>
      <c r="G196" s="172">
        <v>24</v>
      </c>
      <c r="H196" s="172">
        <v>0</v>
      </c>
      <c r="I196" s="172">
        <v>18</v>
      </c>
    </row>
    <row r="197" spans="2:9" hidden="1" x14ac:dyDescent="0.3">
      <c r="B197" s="172" t="s">
        <v>39</v>
      </c>
      <c r="C197" s="172" t="s">
        <v>81</v>
      </c>
      <c r="D197" s="172" t="s">
        <v>218</v>
      </c>
      <c r="E197" s="172">
        <v>1.7661301134987099E-4</v>
      </c>
      <c r="F197" s="172">
        <v>48</v>
      </c>
      <c r="G197" s="172">
        <v>24</v>
      </c>
      <c r="H197" s="172">
        <v>0</v>
      </c>
      <c r="I197" s="172">
        <v>18</v>
      </c>
    </row>
    <row r="198" spans="2:9" hidden="1" x14ac:dyDescent="0.3">
      <c r="B198" s="172" t="s">
        <v>39</v>
      </c>
      <c r="C198" s="172" t="s">
        <v>81</v>
      </c>
      <c r="D198" s="172" t="s">
        <v>221</v>
      </c>
      <c r="E198" s="172">
        <v>1.14067457835161E-3</v>
      </c>
      <c r="F198" s="172">
        <v>48</v>
      </c>
      <c r="G198" s="172">
        <v>24</v>
      </c>
      <c r="H198" s="172">
        <v>0</v>
      </c>
      <c r="I198" s="172">
        <v>18</v>
      </c>
    </row>
    <row r="199" spans="2:9" hidden="1" x14ac:dyDescent="0.3">
      <c r="B199" s="172" t="s">
        <v>39</v>
      </c>
      <c r="C199" s="172" t="s">
        <v>82</v>
      </c>
      <c r="D199" s="172" t="s">
        <v>218</v>
      </c>
      <c r="E199" s="172">
        <v>2.1458112733935299E-4</v>
      </c>
      <c r="F199" s="172">
        <v>85</v>
      </c>
      <c r="G199" s="172">
        <v>19.25</v>
      </c>
      <c r="H199" s="172">
        <v>19.25</v>
      </c>
      <c r="I199" s="172">
        <v>18</v>
      </c>
    </row>
    <row r="200" spans="2:9" hidden="1" x14ac:dyDescent="0.3">
      <c r="B200" s="172" t="s">
        <v>39</v>
      </c>
      <c r="C200" s="172" t="s">
        <v>82</v>
      </c>
      <c r="D200" s="172" t="s">
        <v>221</v>
      </c>
      <c r="E200" s="172">
        <v>1.1549123823423001E-3</v>
      </c>
      <c r="F200" s="172">
        <v>64</v>
      </c>
      <c r="G200" s="172">
        <v>0</v>
      </c>
      <c r="H200" s="172">
        <v>19</v>
      </c>
      <c r="I200" s="172">
        <v>18</v>
      </c>
    </row>
    <row r="201" spans="2:9" hidden="1" x14ac:dyDescent="0.3">
      <c r="B201" s="172" t="s">
        <v>39</v>
      </c>
      <c r="C201" s="172" t="s">
        <v>246</v>
      </c>
      <c r="D201" s="172" t="s">
        <v>218</v>
      </c>
      <c r="E201" s="172">
        <v>6.11699157203483E-5</v>
      </c>
      <c r="F201" s="172">
        <v>48</v>
      </c>
      <c r="G201" s="172">
        <v>24</v>
      </c>
      <c r="H201" s="172">
        <v>0</v>
      </c>
      <c r="I201" s="172">
        <v>18</v>
      </c>
    </row>
    <row r="202" spans="2:9" hidden="1" x14ac:dyDescent="0.3">
      <c r="B202" s="172" t="s">
        <v>26</v>
      </c>
      <c r="C202" s="172" t="s">
        <v>79</v>
      </c>
      <c r="D202" s="172" t="s">
        <v>218</v>
      </c>
      <c r="E202" s="172">
        <v>9.6715808354508998E-4</v>
      </c>
      <c r="F202" s="172">
        <v>85</v>
      </c>
      <c r="G202" s="172">
        <v>19.25</v>
      </c>
      <c r="H202" s="172">
        <v>19.25</v>
      </c>
      <c r="I202" s="172">
        <v>14.5</v>
      </c>
    </row>
    <row r="203" spans="2:9" hidden="1" x14ac:dyDescent="0.3">
      <c r="B203" s="172" t="s">
        <v>26</v>
      </c>
      <c r="C203" s="172" t="s">
        <v>79</v>
      </c>
      <c r="D203" s="172" t="s">
        <v>221</v>
      </c>
      <c r="E203" s="172">
        <v>2.3041550675581001E-4</v>
      </c>
      <c r="F203" s="172">
        <v>64</v>
      </c>
      <c r="G203" s="172">
        <v>0</v>
      </c>
      <c r="H203" s="172">
        <v>19</v>
      </c>
      <c r="I203" s="172">
        <v>14.5</v>
      </c>
    </row>
    <row r="204" spans="2:9" x14ac:dyDescent="0.3">
      <c r="B204" s="172" t="s">
        <v>26</v>
      </c>
      <c r="C204" s="172" t="s">
        <v>80</v>
      </c>
      <c r="D204" s="172" t="s">
        <v>218</v>
      </c>
      <c r="E204" s="172">
        <v>9.2365653089868896E-4</v>
      </c>
      <c r="F204" s="172">
        <v>48</v>
      </c>
      <c r="G204" s="172">
        <v>24</v>
      </c>
      <c r="H204" s="172">
        <v>0</v>
      </c>
      <c r="I204" s="172">
        <v>14.5</v>
      </c>
    </row>
    <row r="205" spans="2:9" hidden="1" x14ac:dyDescent="0.3">
      <c r="B205" s="172" t="s">
        <v>26</v>
      </c>
      <c r="C205" s="172" t="s">
        <v>80</v>
      </c>
      <c r="D205" s="172" t="s">
        <v>221</v>
      </c>
      <c r="E205" s="172">
        <v>2.0330990481240199E-4</v>
      </c>
      <c r="F205" s="172">
        <v>48</v>
      </c>
      <c r="G205" s="172">
        <v>24</v>
      </c>
      <c r="H205" s="172">
        <v>0</v>
      </c>
      <c r="I205" s="172">
        <v>14.5</v>
      </c>
    </row>
    <row r="206" spans="2:9" hidden="1" x14ac:dyDescent="0.3">
      <c r="B206" s="172" t="s">
        <v>26</v>
      </c>
      <c r="C206" s="172" t="s">
        <v>81</v>
      </c>
      <c r="D206" s="172" t="s">
        <v>218</v>
      </c>
      <c r="E206" s="172">
        <v>1.77099930103463E-4</v>
      </c>
      <c r="F206" s="172">
        <v>48</v>
      </c>
      <c r="G206" s="172">
        <v>24</v>
      </c>
      <c r="H206" s="172">
        <v>0</v>
      </c>
      <c r="I206" s="172">
        <v>14.5</v>
      </c>
    </row>
    <row r="207" spans="2:9" hidden="1" x14ac:dyDescent="0.3">
      <c r="B207" s="172" t="s">
        <v>26</v>
      </c>
      <c r="C207" s="172" t="s">
        <v>81</v>
      </c>
      <c r="D207" s="172" t="s">
        <v>221</v>
      </c>
      <c r="E207" s="172">
        <v>1.2076836263280001E-3</v>
      </c>
      <c r="F207" s="172">
        <v>48</v>
      </c>
      <c r="G207" s="172">
        <v>24</v>
      </c>
      <c r="H207" s="172">
        <v>0</v>
      </c>
      <c r="I207" s="172">
        <v>14.5</v>
      </c>
    </row>
    <row r="208" spans="2:9" hidden="1" x14ac:dyDescent="0.3">
      <c r="B208" s="172" t="s">
        <v>26</v>
      </c>
      <c r="C208" s="172" t="s">
        <v>82</v>
      </c>
      <c r="D208" s="172" t="s">
        <v>218</v>
      </c>
      <c r="E208" s="172">
        <v>2.4238903539662099E-4</v>
      </c>
      <c r="F208" s="172">
        <v>85</v>
      </c>
      <c r="G208" s="172">
        <v>19.25</v>
      </c>
      <c r="H208" s="172">
        <v>19.25</v>
      </c>
      <c r="I208" s="172">
        <v>14.5</v>
      </c>
    </row>
    <row r="209" spans="2:9" hidden="1" x14ac:dyDescent="0.3">
      <c r="B209" s="172" t="s">
        <v>26</v>
      </c>
      <c r="C209" s="172" t="s">
        <v>82</v>
      </c>
      <c r="D209" s="172" t="s">
        <v>221</v>
      </c>
      <c r="E209" s="172">
        <v>1.25385121477958E-3</v>
      </c>
      <c r="F209" s="172">
        <v>64</v>
      </c>
      <c r="G209" s="172">
        <v>0</v>
      </c>
      <c r="H209" s="172">
        <v>19</v>
      </c>
      <c r="I209" s="172">
        <v>14.5</v>
      </c>
    </row>
    <row r="210" spans="2:9" hidden="1" x14ac:dyDescent="0.3">
      <c r="B210" s="172" t="s">
        <v>26</v>
      </c>
      <c r="C210" s="172" t="s">
        <v>246</v>
      </c>
      <c r="D210" s="172" t="s">
        <v>218</v>
      </c>
      <c r="E210" s="172">
        <v>5.2441927930410402E-5</v>
      </c>
      <c r="F210" s="172">
        <v>48</v>
      </c>
      <c r="G210" s="172">
        <v>24</v>
      </c>
      <c r="H210" s="172">
        <v>0</v>
      </c>
      <c r="I210" s="172">
        <v>14.5</v>
      </c>
    </row>
    <row r="211" spans="2:9" hidden="1" x14ac:dyDescent="0.3">
      <c r="B211" s="172" t="s">
        <v>25</v>
      </c>
      <c r="C211" s="172" t="s">
        <v>79</v>
      </c>
      <c r="D211" s="172" t="s">
        <v>218</v>
      </c>
      <c r="E211" s="172">
        <v>1.02220542515514E-3</v>
      </c>
      <c r="F211" s="172">
        <v>85</v>
      </c>
      <c r="G211" s="172">
        <v>19.25</v>
      </c>
      <c r="H211" s="172">
        <v>19.25</v>
      </c>
      <c r="I211" s="172">
        <v>11</v>
      </c>
    </row>
    <row r="212" spans="2:9" hidden="1" x14ac:dyDescent="0.3">
      <c r="B212" s="172" t="s">
        <v>25</v>
      </c>
      <c r="C212" s="172" t="s">
        <v>79</v>
      </c>
      <c r="D212" s="172" t="s">
        <v>221</v>
      </c>
      <c r="E212" s="172">
        <v>2.4435727578425498E-4</v>
      </c>
      <c r="F212" s="172">
        <v>64</v>
      </c>
      <c r="G212" s="172">
        <v>0</v>
      </c>
      <c r="H212" s="172">
        <v>19</v>
      </c>
      <c r="I212" s="172">
        <v>11</v>
      </c>
    </row>
    <row r="213" spans="2:9" x14ac:dyDescent="0.3">
      <c r="B213" s="172" t="s">
        <v>25</v>
      </c>
      <c r="C213" s="172" t="s">
        <v>80</v>
      </c>
      <c r="D213" s="172" t="s">
        <v>218</v>
      </c>
      <c r="E213" s="172">
        <v>9.6850425522900397E-4</v>
      </c>
      <c r="F213" s="172">
        <v>48</v>
      </c>
      <c r="G213" s="172">
        <v>24</v>
      </c>
      <c r="H213" s="172">
        <v>0</v>
      </c>
      <c r="I213" s="172">
        <v>11</v>
      </c>
    </row>
    <row r="214" spans="2:9" hidden="1" x14ac:dyDescent="0.3">
      <c r="B214" s="172" t="s">
        <v>25</v>
      </c>
      <c r="C214" s="172" t="s">
        <v>80</v>
      </c>
      <c r="D214" s="172" t="s">
        <v>221</v>
      </c>
      <c r="E214" s="172">
        <v>2.0501177979016899E-4</v>
      </c>
      <c r="F214" s="172">
        <v>48</v>
      </c>
      <c r="G214" s="172">
        <v>24</v>
      </c>
      <c r="H214" s="172">
        <v>0</v>
      </c>
      <c r="I214" s="172">
        <v>11</v>
      </c>
    </row>
    <row r="215" spans="2:9" hidden="1" x14ac:dyDescent="0.3">
      <c r="B215" s="172" t="s">
        <v>25</v>
      </c>
      <c r="C215" s="172" t="s">
        <v>81</v>
      </c>
      <c r="D215" s="172" t="s">
        <v>218</v>
      </c>
      <c r="E215" s="172">
        <v>1.74423113308011E-4</v>
      </c>
      <c r="F215" s="172">
        <v>48</v>
      </c>
      <c r="G215" s="172">
        <v>24</v>
      </c>
      <c r="H215" s="172">
        <v>0</v>
      </c>
      <c r="I215" s="172">
        <v>11</v>
      </c>
    </row>
    <row r="216" spans="2:9" hidden="1" x14ac:dyDescent="0.3">
      <c r="B216" s="172" t="s">
        <v>25</v>
      </c>
      <c r="C216" s="172" t="s">
        <v>81</v>
      </c>
      <c r="D216" s="172" t="s">
        <v>221</v>
      </c>
      <c r="E216" s="172">
        <v>1.24961229594255E-3</v>
      </c>
      <c r="F216" s="172">
        <v>48</v>
      </c>
      <c r="G216" s="172">
        <v>24</v>
      </c>
      <c r="H216" s="172">
        <v>0</v>
      </c>
      <c r="I216" s="172">
        <v>11</v>
      </c>
    </row>
    <row r="217" spans="2:9" hidden="1" x14ac:dyDescent="0.3">
      <c r="B217" s="172" t="s">
        <v>25</v>
      </c>
      <c r="C217" s="172" t="s">
        <v>82</v>
      </c>
      <c r="D217" s="172" t="s">
        <v>218</v>
      </c>
      <c r="E217" s="172">
        <v>2.64156646809065E-4</v>
      </c>
      <c r="F217" s="172">
        <v>85</v>
      </c>
      <c r="G217" s="172">
        <v>19.25</v>
      </c>
      <c r="H217" s="172">
        <v>19.25</v>
      </c>
      <c r="I217" s="172">
        <v>11</v>
      </c>
    </row>
    <row r="218" spans="2:9" hidden="1" x14ac:dyDescent="0.3">
      <c r="B218" s="172" t="s">
        <v>25</v>
      </c>
      <c r="C218" s="172" t="s">
        <v>82</v>
      </c>
      <c r="D218" s="172" t="s">
        <v>221</v>
      </c>
      <c r="E218" s="172">
        <v>1.32564783904183E-3</v>
      </c>
      <c r="F218" s="172">
        <v>64</v>
      </c>
      <c r="G218" s="172">
        <v>0</v>
      </c>
      <c r="H218" s="172">
        <v>19</v>
      </c>
      <c r="I218" s="172">
        <v>11</v>
      </c>
    </row>
    <row r="219" spans="2:9" hidden="1" x14ac:dyDescent="0.3">
      <c r="B219" s="172" t="s">
        <v>25</v>
      </c>
      <c r="C219" s="172" t="s">
        <v>246</v>
      </c>
      <c r="D219" s="172" t="s">
        <v>218</v>
      </c>
      <c r="E219" s="172">
        <v>3.8440666840903803E-5</v>
      </c>
      <c r="F219" s="172">
        <v>48</v>
      </c>
      <c r="G219" s="172">
        <v>24</v>
      </c>
      <c r="H219" s="172">
        <v>0</v>
      </c>
      <c r="I219" s="172">
        <v>11</v>
      </c>
    </row>
    <row r="220" spans="2:9" hidden="1" x14ac:dyDescent="0.3">
      <c r="B220" s="172" t="s">
        <v>24</v>
      </c>
      <c r="C220" s="172" t="s">
        <v>79</v>
      </c>
      <c r="D220" s="172" t="s">
        <v>218</v>
      </c>
      <c r="E220" s="172">
        <v>1.03883292085039E-3</v>
      </c>
      <c r="F220" s="172">
        <v>85</v>
      </c>
      <c r="G220" s="172">
        <v>19.25</v>
      </c>
      <c r="H220" s="172">
        <v>19.25</v>
      </c>
      <c r="I220" s="172">
        <v>7.5</v>
      </c>
    </row>
    <row r="221" spans="2:9" hidden="1" x14ac:dyDescent="0.3">
      <c r="B221" s="172" t="s">
        <v>24</v>
      </c>
      <c r="C221" s="172" t="s">
        <v>79</v>
      </c>
      <c r="D221" s="172" t="s">
        <v>221</v>
      </c>
      <c r="E221" s="172">
        <v>2.4300275139206001E-4</v>
      </c>
      <c r="F221" s="172">
        <v>64</v>
      </c>
      <c r="G221" s="172">
        <v>0</v>
      </c>
      <c r="H221" s="172">
        <v>19</v>
      </c>
      <c r="I221" s="172">
        <v>7.5</v>
      </c>
    </row>
    <row r="222" spans="2:9" x14ac:dyDescent="0.3">
      <c r="B222" s="172" t="s">
        <v>24</v>
      </c>
      <c r="C222" s="172" t="s">
        <v>80</v>
      </c>
      <c r="D222" s="172" t="s">
        <v>218</v>
      </c>
      <c r="E222" s="172">
        <v>9.834039032800561E-4</v>
      </c>
      <c r="F222" s="172">
        <v>48</v>
      </c>
      <c r="G222" s="172">
        <v>24</v>
      </c>
      <c r="H222" s="172">
        <v>0</v>
      </c>
      <c r="I222" s="172">
        <v>7.5</v>
      </c>
    </row>
    <row r="223" spans="2:9" hidden="1" x14ac:dyDescent="0.3">
      <c r="B223" s="172" t="s">
        <v>24</v>
      </c>
      <c r="C223" s="172" t="s">
        <v>80</v>
      </c>
      <c r="D223" s="172" t="s">
        <v>221</v>
      </c>
      <c r="E223" s="172">
        <v>2.0138956478228599E-4</v>
      </c>
      <c r="F223" s="172">
        <v>48</v>
      </c>
      <c r="G223" s="172">
        <v>24</v>
      </c>
      <c r="H223" s="172">
        <v>0</v>
      </c>
      <c r="I223" s="172">
        <v>7.5</v>
      </c>
    </row>
    <row r="224" spans="2:9" hidden="1" x14ac:dyDescent="0.3">
      <c r="B224" s="172" t="s">
        <v>24</v>
      </c>
      <c r="C224" s="172" t="s">
        <v>81</v>
      </c>
      <c r="D224" s="172" t="s">
        <v>221</v>
      </c>
      <c r="E224" s="172">
        <v>1.2400629256776E-3</v>
      </c>
      <c r="F224" s="172">
        <v>48</v>
      </c>
      <c r="G224" s="172">
        <v>24</v>
      </c>
      <c r="H224" s="172">
        <v>0</v>
      </c>
      <c r="I224" s="172">
        <v>7.5</v>
      </c>
    </row>
    <row r="225" spans="2:9" hidden="1" x14ac:dyDescent="0.3">
      <c r="B225" s="172" t="s">
        <v>24</v>
      </c>
      <c r="C225" s="172" t="s">
        <v>82</v>
      </c>
      <c r="D225" s="172" t="s">
        <v>218</v>
      </c>
      <c r="E225" s="172">
        <v>2.7032930911155101E-4</v>
      </c>
      <c r="F225" s="172">
        <v>85</v>
      </c>
      <c r="G225" s="172">
        <v>19.25</v>
      </c>
      <c r="H225" s="172">
        <v>19.25</v>
      </c>
      <c r="I225" s="172">
        <v>7.5</v>
      </c>
    </row>
    <row r="226" spans="2:9" hidden="1" x14ac:dyDescent="0.3">
      <c r="B226" s="172" t="s">
        <v>24</v>
      </c>
      <c r="C226" s="172" t="s">
        <v>82</v>
      </c>
      <c r="D226" s="172" t="s">
        <v>221</v>
      </c>
      <c r="E226" s="172">
        <v>1.3299623689886199E-3</v>
      </c>
      <c r="F226" s="172">
        <v>64</v>
      </c>
      <c r="G226" s="172">
        <v>0</v>
      </c>
      <c r="H226" s="172">
        <v>19</v>
      </c>
      <c r="I226" s="172">
        <v>7.5</v>
      </c>
    </row>
    <row r="227" spans="2:9" s="172" customFormat="1" hidden="1" x14ac:dyDescent="0.3">
      <c r="B227" s="172" t="s">
        <v>24</v>
      </c>
      <c r="C227" s="172" t="s">
        <v>246</v>
      </c>
      <c r="D227" s="172" t="s">
        <v>218</v>
      </c>
      <c r="E227" s="172">
        <v>2.0746725013980202E-5</v>
      </c>
      <c r="F227" s="172">
        <v>48</v>
      </c>
      <c r="G227" s="172">
        <v>24</v>
      </c>
      <c r="H227" s="172">
        <v>0</v>
      </c>
      <c r="I227" s="172">
        <v>7.5</v>
      </c>
    </row>
    <row r="228" spans="2:9" hidden="1" x14ac:dyDescent="0.3">
      <c r="B228" s="172" t="s">
        <v>22</v>
      </c>
      <c r="C228" s="172" t="s">
        <v>79</v>
      </c>
      <c r="D228" s="172" t="s">
        <v>218</v>
      </c>
      <c r="E228" s="172">
        <v>7.8287492538338496E-4</v>
      </c>
      <c r="F228" s="172">
        <v>14</v>
      </c>
      <c r="G228" s="172">
        <v>19</v>
      </c>
      <c r="H228" s="172">
        <v>19</v>
      </c>
      <c r="I228" s="172">
        <v>4</v>
      </c>
    </row>
    <row r="229" spans="2:9" hidden="1" x14ac:dyDescent="0.3">
      <c r="B229" s="172" t="s">
        <v>22</v>
      </c>
      <c r="C229" s="172" t="s">
        <v>79</v>
      </c>
      <c r="D229" s="172" t="s">
        <v>221</v>
      </c>
      <c r="E229" s="172">
        <v>1.6302968425894199E-4</v>
      </c>
      <c r="F229" s="172">
        <v>64</v>
      </c>
      <c r="G229" s="172">
        <v>0</v>
      </c>
      <c r="H229" s="172">
        <v>19</v>
      </c>
      <c r="I229" s="172">
        <v>4</v>
      </c>
    </row>
    <row r="230" spans="2:9" s="172" customFormat="1" x14ac:dyDescent="0.3">
      <c r="B230" s="172" t="s">
        <v>22</v>
      </c>
      <c r="C230" s="172" t="s">
        <v>80</v>
      </c>
      <c r="D230" s="172" t="s">
        <v>218</v>
      </c>
      <c r="E230" s="172">
        <v>7.6782055340269195E-4</v>
      </c>
      <c r="F230" s="172">
        <v>48</v>
      </c>
      <c r="G230" s="172">
        <v>24</v>
      </c>
      <c r="H230" s="172">
        <v>0</v>
      </c>
      <c r="I230" s="172">
        <v>4</v>
      </c>
    </row>
    <row r="231" spans="2:9" hidden="1" x14ac:dyDescent="0.3">
      <c r="B231" s="172" t="s">
        <v>22</v>
      </c>
      <c r="C231" s="172" t="s">
        <v>80</v>
      </c>
      <c r="D231" s="172" t="s">
        <v>221</v>
      </c>
      <c r="E231" s="172">
        <v>1.65148722962058E-4</v>
      </c>
      <c r="F231" s="172">
        <v>48</v>
      </c>
      <c r="G231" s="172">
        <v>24</v>
      </c>
      <c r="H231" s="172">
        <v>0</v>
      </c>
      <c r="I231" s="172">
        <v>4</v>
      </c>
    </row>
    <row r="232" spans="2:9" hidden="1" x14ac:dyDescent="0.3">
      <c r="B232" s="172" t="s">
        <v>22</v>
      </c>
      <c r="C232" s="172" t="s">
        <v>81</v>
      </c>
      <c r="D232" s="172" t="s">
        <v>218</v>
      </c>
      <c r="E232" s="172">
        <v>1.46345305485567E-4</v>
      </c>
      <c r="F232" s="172">
        <v>48</v>
      </c>
      <c r="G232" s="172">
        <v>24</v>
      </c>
      <c r="H232" s="172">
        <v>0</v>
      </c>
      <c r="I232" s="172">
        <v>4</v>
      </c>
    </row>
    <row r="233" spans="2:9" s="172" customFormat="1" hidden="1" x14ac:dyDescent="0.3">
      <c r="B233" s="172" t="s">
        <v>22</v>
      </c>
      <c r="C233" s="172" t="s">
        <v>81</v>
      </c>
      <c r="D233" s="172" t="s">
        <v>221</v>
      </c>
      <c r="E233" s="172">
        <v>9.0989095877297204E-4</v>
      </c>
      <c r="F233" s="172">
        <v>48</v>
      </c>
      <c r="G233" s="172">
        <v>24</v>
      </c>
      <c r="H233" s="172">
        <v>0</v>
      </c>
      <c r="I233" s="172">
        <v>4</v>
      </c>
    </row>
    <row r="234" spans="2:9" hidden="1" x14ac:dyDescent="0.3">
      <c r="B234" s="172" t="s">
        <v>22</v>
      </c>
      <c r="C234" s="172" t="s">
        <v>82</v>
      </c>
      <c r="D234" s="172" t="s">
        <v>218</v>
      </c>
      <c r="E234" s="172">
        <v>1.86154769740848E-4</v>
      </c>
      <c r="F234" s="172">
        <v>14</v>
      </c>
      <c r="G234" s="172">
        <v>19</v>
      </c>
      <c r="H234" s="172">
        <v>19</v>
      </c>
      <c r="I234" s="172">
        <v>4</v>
      </c>
    </row>
    <row r="235" spans="2:9" hidden="1" x14ac:dyDescent="0.3">
      <c r="B235" s="172" t="s">
        <v>22</v>
      </c>
      <c r="C235" s="172" t="s">
        <v>82</v>
      </c>
      <c r="D235" s="172" t="s">
        <v>221</v>
      </c>
      <c r="E235" s="172">
        <v>9.3270837627773399E-4</v>
      </c>
      <c r="F235" s="172">
        <v>64</v>
      </c>
      <c r="G235" s="172">
        <v>0</v>
      </c>
      <c r="H235" s="172">
        <v>19</v>
      </c>
      <c r="I235" s="172">
        <v>4</v>
      </c>
    </row>
    <row r="236" spans="2:9" s="172" customFormat="1" hidden="1" x14ac:dyDescent="0.3">
      <c r="B236" s="172" t="s">
        <v>22</v>
      </c>
      <c r="C236" s="172" t="s">
        <v>246</v>
      </c>
      <c r="D236" s="172" t="s">
        <v>218</v>
      </c>
      <c r="E236" s="172">
        <v>5.5028512894239299E-6</v>
      </c>
      <c r="F236" s="172">
        <v>48</v>
      </c>
      <c r="G236" s="172">
        <v>24</v>
      </c>
      <c r="H236" s="172">
        <v>0</v>
      </c>
      <c r="I236" s="172">
        <v>4</v>
      </c>
    </row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2.60209201266223E-4</v>
      </c>
      <c r="F270" s="172">
        <v>42</v>
      </c>
      <c r="G270" s="172">
        <v>24</v>
      </c>
      <c r="H270" s="172">
        <v>4</v>
      </c>
      <c r="I270" s="172">
        <v>38.5</v>
      </c>
    </row>
    <row r="271" spans="2:9" hidden="1" x14ac:dyDescent="0.3">
      <c r="B271" s="172" t="s">
        <v>189</v>
      </c>
      <c r="C271" s="172" t="s">
        <v>79</v>
      </c>
      <c r="D271" s="172" t="s">
        <v>221</v>
      </c>
      <c r="E271" s="172">
        <v>5.1972145880688398E-5</v>
      </c>
      <c r="F271" s="172">
        <v>39</v>
      </c>
      <c r="G271" s="172">
        <v>19</v>
      </c>
      <c r="H271" s="172">
        <v>4</v>
      </c>
      <c r="I271" s="172">
        <v>38.5</v>
      </c>
    </row>
    <row r="272" spans="2:9" hidden="1" x14ac:dyDescent="0.3">
      <c r="B272" s="172" t="s">
        <v>189</v>
      </c>
      <c r="C272" s="172" t="s">
        <v>80</v>
      </c>
      <c r="D272" s="172" t="s">
        <v>218</v>
      </c>
      <c r="E272" s="172">
        <v>2.7230421804132801E-4</v>
      </c>
      <c r="F272" s="172">
        <v>48</v>
      </c>
      <c r="G272" s="172">
        <v>24</v>
      </c>
      <c r="H272" s="172">
        <v>0</v>
      </c>
      <c r="I272" s="172">
        <v>38.5</v>
      </c>
    </row>
    <row r="273" spans="2:9" hidden="1" x14ac:dyDescent="0.3">
      <c r="B273" s="172" t="s">
        <v>189</v>
      </c>
      <c r="C273" s="172" t="s">
        <v>80</v>
      </c>
      <c r="D273" s="172" t="s">
        <v>221</v>
      </c>
      <c r="E273" s="172">
        <v>8.1624006169930103E-5</v>
      </c>
      <c r="F273" s="172">
        <v>48</v>
      </c>
      <c r="G273" s="172">
        <v>24</v>
      </c>
      <c r="H273" s="172">
        <v>0</v>
      </c>
      <c r="I273" s="172">
        <v>38.5</v>
      </c>
    </row>
    <row r="274" spans="2:9" hidden="1" x14ac:dyDescent="0.3">
      <c r="B274" s="172" t="s">
        <v>189</v>
      </c>
      <c r="C274" s="172" t="s">
        <v>81</v>
      </c>
      <c r="D274" s="172" t="s">
        <v>218</v>
      </c>
      <c r="E274" s="172">
        <v>1.24970463828497E-4</v>
      </c>
      <c r="F274" s="172">
        <v>48</v>
      </c>
      <c r="G274" s="172">
        <v>24</v>
      </c>
      <c r="H274" s="172">
        <v>0</v>
      </c>
      <c r="I274" s="172">
        <v>38.5</v>
      </c>
    </row>
    <row r="275" spans="2:9" x14ac:dyDescent="0.3">
      <c r="B275" s="172" t="s">
        <v>189</v>
      </c>
      <c r="C275" s="172" t="s">
        <v>81</v>
      </c>
      <c r="D275" s="172" t="s">
        <v>221</v>
      </c>
      <c r="E275" s="172">
        <v>4.4890648761411901E-4</v>
      </c>
      <c r="F275" s="172">
        <v>48</v>
      </c>
      <c r="G275" s="172">
        <v>24</v>
      </c>
      <c r="H275" s="172">
        <v>0</v>
      </c>
      <c r="I275" s="172">
        <v>38.5</v>
      </c>
    </row>
    <row r="276" spans="2:9" hidden="1" x14ac:dyDescent="0.3">
      <c r="B276" s="172" t="s">
        <v>189</v>
      </c>
      <c r="C276" s="172" t="s">
        <v>82</v>
      </c>
      <c r="D276" s="172" t="s">
        <v>218</v>
      </c>
      <c r="E276" s="172">
        <v>9.1130794435961693E-5</v>
      </c>
      <c r="F276" s="172">
        <v>48</v>
      </c>
      <c r="G276" s="172">
        <v>24</v>
      </c>
      <c r="H276" s="172">
        <v>0</v>
      </c>
      <c r="I276" s="172">
        <v>38.5</v>
      </c>
    </row>
    <row r="277" spans="2:9" hidden="1" x14ac:dyDescent="0.3">
      <c r="B277" s="172" t="s">
        <v>189</v>
      </c>
      <c r="C277" s="172" t="s">
        <v>82</v>
      </c>
      <c r="D277" s="172" t="s">
        <v>221</v>
      </c>
      <c r="E277" s="172">
        <v>3.8749566344095101E-4</v>
      </c>
      <c r="F277" s="172">
        <v>48</v>
      </c>
      <c r="G277" s="172">
        <v>24</v>
      </c>
      <c r="H277" s="172">
        <v>0</v>
      </c>
      <c r="I277" s="172">
        <v>38.5</v>
      </c>
    </row>
    <row r="278" spans="2:9" hidden="1" x14ac:dyDescent="0.3">
      <c r="B278" s="172" t="s">
        <v>189</v>
      </c>
      <c r="C278" s="172" t="s">
        <v>246</v>
      </c>
      <c r="D278" s="172" t="s">
        <v>218</v>
      </c>
      <c r="E278" s="172">
        <v>2.45867539135543E-4</v>
      </c>
      <c r="F278" s="172">
        <v>48</v>
      </c>
      <c r="G278" s="172">
        <v>24</v>
      </c>
      <c r="H278" s="172">
        <v>0</v>
      </c>
      <c r="I278" s="172">
        <v>38.5</v>
      </c>
    </row>
    <row r="279" spans="2:9" hidden="1" x14ac:dyDescent="0.3">
      <c r="B279" s="172" t="s">
        <v>189</v>
      </c>
      <c r="C279" s="172" t="s">
        <v>246</v>
      </c>
      <c r="D279" s="172" t="s">
        <v>221</v>
      </c>
      <c r="E279" s="172">
        <v>1.05497311755549E-4</v>
      </c>
      <c r="F279" s="172">
        <v>76</v>
      </c>
      <c r="G279" s="172">
        <v>19</v>
      </c>
      <c r="H279" s="172">
        <v>0</v>
      </c>
      <c r="I279" s="172">
        <v>38.5</v>
      </c>
    </row>
    <row r="280" spans="2:9" hidden="1" x14ac:dyDescent="0.3">
      <c r="B280" s="172" t="s">
        <v>187</v>
      </c>
      <c r="C280" s="172" t="s">
        <v>79</v>
      </c>
      <c r="D280" s="172" t="s">
        <v>218</v>
      </c>
      <c r="E280" s="172">
        <v>2.5162653136409603E-4</v>
      </c>
      <c r="F280" s="172">
        <v>85</v>
      </c>
      <c r="G280" s="172">
        <v>19.25</v>
      </c>
      <c r="H280" s="172">
        <v>19.25</v>
      </c>
      <c r="I280" s="172">
        <v>35.5</v>
      </c>
    </row>
    <row r="281" spans="2:9" hidden="1" x14ac:dyDescent="0.3">
      <c r="B281" s="172" t="s">
        <v>187</v>
      </c>
      <c r="C281" s="172" t="s">
        <v>79</v>
      </c>
      <c r="D281" s="172" t="s">
        <v>221</v>
      </c>
      <c r="E281" s="172">
        <v>4.8699833787100902E-5</v>
      </c>
      <c r="F281" s="172">
        <v>64</v>
      </c>
      <c r="G281" s="172">
        <v>0</v>
      </c>
      <c r="H281" s="172">
        <v>19</v>
      </c>
      <c r="I281" s="172">
        <v>35.5</v>
      </c>
    </row>
    <row r="282" spans="2:9" hidden="1" x14ac:dyDescent="0.3">
      <c r="B282" s="172" t="s">
        <v>187</v>
      </c>
      <c r="C282" s="172" t="s">
        <v>80</v>
      </c>
      <c r="D282" s="172" t="s">
        <v>218</v>
      </c>
      <c r="E282" s="172">
        <v>2.80754842914471E-4</v>
      </c>
      <c r="F282" s="172">
        <v>48</v>
      </c>
      <c r="G282" s="172">
        <v>24</v>
      </c>
      <c r="H282" s="172">
        <v>0</v>
      </c>
      <c r="I282" s="172">
        <v>35.5</v>
      </c>
    </row>
    <row r="283" spans="2:9" hidden="1" x14ac:dyDescent="0.3">
      <c r="B283" s="172" t="s">
        <v>187</v>
      </c>
      <c r="C283" s="172" t="s">
        <v>80</v>
      </c>
      <c r="D283" s="172" t="s">
        <v>221</v>
      </c>
      <c r="E283" s="172">
        <v>9.6755346186735993E-5</v>
      </c>
      <c r="F283" s="172">
        <v>48</v>
      </c>
      <c r="G283" s="172">
        <v>24</v>
      </c>
      <c r="H283" s="172">
        <v>0</v>
      </c>
      <c r="I283" s="172">
        <v>35.5</v>
      </c>
    </row>
    <row r="284" spans="2:9" hidden="1" x14ac:dyDescent="0.3">
      <c r="B284" s="172" t="s">
        <v>187</v>
      </c>
      <c r="C284" s="172" t="s">
        <v>81</v>
      </c>
      <c r="D284" s="172" t="s">
        <v>218</v>
      </c>
      <c r="E284" s="172">
        <v>1.01121326275522E-4</v>
      </c>
      <c r="F284" s="172">
        <v>48</v>
      </c>
      <c r="G284" s="172">
        <v>24</v>
      </c>
      <c r="H284" s="172">
        <v>0</v>
      </c>
      <c r="I284" s="172">
        <v>35.5</v>
      </c>
    </row>
    <row r="285" spans="2:9" x14ac:dyDescent="0.3">
      <c r="B285" s="172" t="s">
        <v>187</v>
      </c>
      <c r="C285" s="172" t="s">
        <v>81</v>
      </c>
      <c r="D285" s="172" t="s">
        <v>221</v>
      </c>
      <c r="E285" s="172">
        <v>4.37293627245122E-4</v>
      </c>
      <c r="F285" s="172">
        <v>48</v>
      </c>
      <c r="G285" s="172">
        <v>24</v>
      </c>
      <c r="H285" s="172">
        <v>0</v>
      </c>
      <c r="I285" s="172">
        <v>35.5</v>
      </c>
    </row>
    <row r="286" spans="2:9" hidden="1" x14ac:dyDescent="0.3">
      <c r="B286" s="172" t="s">
        <v>187</v>
      </c>
      <c r="C286" s="172" t="s">
        <v>82</v>
      </c>
      <c r="D286" s="172" t="s">
        <v>218</v>
      </c>
      <c r="E286" s="172">
        <v>5.89548208153974E-5</v>
      </c>
      <c r="F286" s="172">
        <v>48</v>
      </c>
      <c r="G286" s="172">
        <v>24</v>
      </c>
      <c r="H286" s="172">
        <v>0</v>
      </c>
      <c r="I286" s="172">
        <v>35.5</v>
      </c>
    </row>
    <row r="287" spans="2:9" hidden="1" x14ac:dyDescent="0.3">
      <c r="B287" s="172" t="s">
        <v>187</v>
      </c>
      <c r="C287" s="172" t="s">
        <v>82</v>
      </c>
      <c r="D287" s="172" t="s">
        <v>221</v>
      </c>
      <c r="E287" s="172">
        <v>3.69081414528232E-4</v>
      </c>
      <c r="F287" s="172">
        <v>48</v>
      </c>
      <c r="G287" s="172">
        <v>24</v>
      </c>
      <c r="H287" s="172">
        <v>0</v>
      </c>
      <c r="I287" s="172">
        <v>35.5</v>
      </c>
    </row>
    <row r="288" spans="2:9" hidden="1" x14ac:dyDescent="0.3">
      <c r="B288" s="172" t="s">
        <v>187</v>
      </c>
      <c r="C288" s="172" t="s">
        <v>246</v>
      </c>
      <c r="D288" s="172" t="s">
        <v>218</v>
      </c>
      <c r="E288" s="172">
        <v>8.2380984819870097E-5</v>
      </c>
      <c r="F288" s="172">
        <v>48</v>
      </c>
      <c r="G288" s="172">
        <v>24</v>
      </c>
      <c r="H288" s="172">
        <v>0</v>
      </c>
      <c r="I288" s="172">
        <v>35.5</v>
      </c>
    </row>
    <row r="289" spans="2:9" hidden="1" x14ac:dyDescent="0.3">
      <c r="B289" s="172" t="s">
        <v>185</v>
      </c>
      <c r="C289" s="172" t="s">
        <v>79</v>
      </c>
      <c r="D289" s="172" t="s">
        <v>218</v>
      </c>
      <c r="E289" s="172">
        <v>4.12870374800422E-4</v>
      </c>
      <c r="F289" s="172">
        <v>85</v>
      </c>
      <c r="G289" s="172">
        <v>19.25</v>
      </c>
      <c r="H289" s="172">
        <v>19.25</v>
      </c>
      <c r="I289" s="172">
        <v>32</v>
      </c>
    </row>
    <row r="290" spans="2:9" hidden="1" x14ac:dyDescent="0.3">
      <c r="B290" s="172" t="s">
        <v>185</v>
      </c>
      <c r="C290" s="172" t="s">
        <v>79</v>
      </c>
      <c r="D290" s="172" t="s">
        <v>221</v>
      </c>
      <c r="E290" s="172">
        <v>8.4429513430697494E-5</v>
      </c>
      <c r="F290" s="172">
        <v>61</v>
      </c>
      <c r="G290" s="172">
        <v>0</v>
      </c>
      <c r="H290" s="172">
        <v>0</v>
      </c>
      <c r="I290" s="172">
        <v>32</v>
      </c>
    </row>
    <row r="291" spans="2:9" hidden="1" x14ac:dyDescent="0.3">
      <c r="B291" s="172" t="s">
        <v>185</v>
      </c>
      <c r="C291" s="172" t="s">
        <v>80</v>
      </c>
      <c r="D291" s="172" t="s">
        <v>218</v>
      </c>
      <c r="E291" s="172">
        <v>4.3564458260483097E-4</v>
      </c>
      <c r="F291" s="172">
        <v>48</v>
      </c>
      <c r="G291" s="172">
        <v>24</v>
      </c>
      <c r="H291" s="172">
        <v>0</v>
      </c>
      <c r="I291" s="172">
        <v>32</v>
      </c>
    </row>
    <row r="292" spans="2:9" hidden="1" x14ac:dyDescent="0.3">
      <c r="B292" s="172" t="s">
        <v>185</v>
      </c>
      <c r="C292" s="172" t="s">
        <v>80</v>
      </c>
      <c r="D292" s="172" t="s">
        <v>221</v>
      </c>
      <c r="E292" s="172">
        <v>1.28446043151904E-4</v>
      </c>
      <c r="F292" s="172">
        <v>48</v>
      </c>
      <c r="G292" s="172">
        <v>24</v>
      </c>
      <c r="H292" s="172">
        <v>0</v>
      </c>
      <c r="I292" s="172">
        <v>32</v>
      </c>
    </row>
    <row r="293" spans="2:9" hidden="1" x14ac:dyDescent="0.3">
      <c r="B293" s="172" t="s">
        <v>185</v>
      </c>
      <c r="C293" s="172" t="s">
        <v>81</v>
      </c>
      <c r="D293" s="172" t="s">
        <v>218</v>
      </c>
      <c r="E293" s="172">
        <v>1.2473744138141599E-4</v>
      </c>
      <c r="F293" s="172">
        <v>48</v>
      </c>
      <c r="G293" s="172">
        <v>24</v>
      </c>
      <c r="H293" s="172">
        <v>0</v>
      </c>
      <c r="I293" s="172">
        <v>32</v>
      </c>
    </row>
    <row r="294" spans="2:9" x14ac:dyDescent="0.3">
      <c r="B294" s="172" t="s">
        <v>185</v>
      </c>
      <c r="C294" s="172" t="s">
        <v>81</v>
      </c>
      <c r="D294" s="172" t="s">
        <v>221</v>
      </c>
      <c r="E294" s="172">
        <v>6.2694019079166403E-4</v>
      </c>
      <c r="F294" s="172">
        <v>48</v>
      </c>
      <c r="G294" s="172">
        <v>24</v>
      </c>
      <c r="H294" s="172">
        <v>0</v>
      </c>
      <c r="I294" s="172">
        <v>32</v>
      </c>
    </row>
    <row r="295" spans="2:9" hidden="1" x14ac:dyDescent="0.3">
      <c r="B295" s="172" t="s">
        <v>185</v>
      </c>
      <c r="C295" s="172" t="s">
        <v>82</v>
      </c>
      <c r="D295" s="172" t="s">
        <v>218</v>
      </c>
      <c r="E295" s="172">
        <v>6.6138883422327895E-5</v>
      </c>
      <c r="F295" s="172">
        <v>85</v>
      </c>
      <c r="G295" s="172">
        <v>19.25</v>
      </c>
      <c r="H295" s="172">
        <v>19.25</v>
      </c>
      <c r="I295" s="172">
        <v>32</v>
      </c>
    </row>
    <row r="296" spans="2:9" hidden="1" x14ac:dyDescent="0.3">
      <c r="B296" s="172" t="s">
        <v>185</v>
      </c>
      <c r="C296" s="172" t="s">
        <v>82</v>
      </c>
      <c r="D296" s="172" t="s">
        <v>221</v>
      </c>
      <c r="E296" s="172">
        <v>5.3309465457802201E-4</v>
      </c>
      <c r="F296" s="172">
        <v>64</v>
      </c>
      <c r="G296" s="172">
        <v>0</v>
      </c>
      <c r="H296" s="172">
        <v>19</v>
      </c>
      <c r="I296" s="172">
        <v>32</v>
      </c>
    </row>
    <row r="297" spans="2:9" hidden="1" x14ac:dyDescent="0.3">
      <c r="B297" s="172" t="s">
        <v>185</v>
      </c>
      <c r="C297" s="172" t="s">
        <v>246</v>
      </c>
      <c r="D297" s="172" t="s">
        <v>218</v>
      </c>
      <c r="E297" s="172">
        <v>8.3323130405979596E-5</v>
      </c>
      <c r="F297" s="172">
        <v>48</v>
      </c>
      <c r="G297" s="172">
        <v>24</v>
      </c>
      <c r="H297" s="172">
        <v>0</v>
      </c>
      <c r="I297" s="172">
        <v>32</v>
      </c>
    </row>
    <row r="298" spans="2:9" hidden="1" x14ac:dyDescent="0.3">
      <c r="B298" s="172" t="s">
        <v>183</v>
      </c>
      <c r="C298" s="172" t="s">
        <v>79</v>
      </c>
      <c r="D298" s="172" t="s">
        <v>218</v>
      </c>
      <c r="E298" s="172">
        <v>5.6471327075354805E-4</v>
      </c>
      <c r="F298" s="172">
        <v>85</v>
      </c>
      <c r="G298" s="172">
        <v>19.25</v>
      </c>
      <c r="H298" s="172">
        <v>19.25</v>
      </c>
      <c r="I298" s="172">
        <v>28.5</v>
      </c>
    </row>
    <row r="299" spans="2:9" hidden="1" x14ac:dyDescent="0.3">
      <c r="B299" s="172" t="s">
        <v>183</v>
      </c>
      <c r="C299" s="172" t="s">
        <v>79</v>
      </c>
      <c r="D299" s="172" t="s">
        <v>221</v>
      </c>
      <c r="E299" s="172">
        <v>1.19323013386135E-4</v>
      </c>
      <c r="F299" s="172">
        <v>63</v>
      </c>
      <c r="G299" s="172">
        <v>0</v>
      </c>
      <c r="H299" s="172">
        <v>13</v>
      </c>
      <c r="I299" s="172">
        <v>28.5</v>
      </c>
    </row>
    <row r="300" spans="2:9" hidden="1" x14ac:dyDescent="0.3">
      <c r="B300" s="172" t="s">
        <v>183</v>
      </c>
      <c r="C300" s="172" t="s">
        <v>80</v>
      </c>
      <c r="D300" s="172" t="s">
        <v>218</v>
      </c>
      <c r="E300" s="172">
        <v>5.7912172293959495E-4</v>
      </c>
      <c r="F300" s="172">
        <v>48</v>
      </c>
      <c r="G300" s="172">
        <v>24</v>
      </c>
      <c r="H300" s="172">
        <v>0</v>
      </c>
      <c r="I300" s="172">
        <v>28.5</v>
      </c>
    </row>
    <row r="301" spans="2:9" hidden="1" x14ac:dyDescent="0.3">
      <c r="B301" s="172" t="s">
        <v>183</v>
      </c>
      <c r="C301" s="172" t="s">
        <v>80</v>
      </c>
      <c r="D301" s="172" t="s">
        <v>221</v>
      </c>
      <c r="E301" s="172">
        <v>1.5600881993602301E-4</v>
      </c>
      <c r="F301" s="172">
        <v>42</v>
      </c>
      <c r="G301" s="172">
        <v>24</v>
      </c>
      <c r="H301" s="172">
        <v>4</v>
      </c>
      <c r="I301" s="172">
        <v>28.5</v>
      </c>
    </row>
    <row r="302" spans="2:9" hidden="1" x14ac:dyDescent="0.3">
      <c r="B302" s="172" t="s">
        <v>183</v>
      </c>
      <c r="C302" s="172" t="s">
        <v>81</v>
      </c>
      <c r="D302" s="172" t="s">
        <v>218</v>
      </c>
      <c r="E302" s="172">
        <v>1.4439271665724399E-4</v>
      </c>
      <c r="F302" s="172">
        <v>48</v>
      </c>
      <c r="G302" s="172">
        <v>24</v>
      </c>
      <c r="H302" s="172">
        <v>0</v>
      </c>
      <c r="I302" s="172">
        <v>28.5</v>
      </c>
    </row>
    <row r="303" spans="2:9" x14ac:dyDescent="0.3">
      <c r="B303" s="172" t="s">
        <v>183</v>
      </c>
      <c r="C303" s="172" t="s">
        <v>81</v>
      </c>
      <c r="D303" s="172" t="s">
        <v>221</v>
      </c>
      <c r="E303" s="172">
        <v>7.9671569641361203E-4</v>
      </c>
      <c r="F303" s="172">
        <v>48</v>
      </c>
      <c r="G303" s="172">
        <v>24</v>
      </c>
      <c r="H303" s="172">
        <v>0</v>
      </c>
      <c r="I303" s="172">
        <v>28.5</v>
      </c>
    </row>
    <row r="304" spans="2:9" hidden="1" x14ac:dyDescent="0.3">
      <c r="B304" s="172" t="s">
        <v>183</v>
      </c>
      <c r="C304" s="172" t="s">
        <v>82</v>
      </c>
      <c r="D304" s="172" t="s">
        <v>218</v>
      </c>
      <c r="E304" s="172">
        <v>1.1035728598460601E-4</v>
      </c>
      <c r="F304" s="172">
        <v>85</v>
      </c>
      <c r="G304" s="172">
        <v>19.25</v>
      </c>
      <c r="H304" s="172">
        <v>19.25</v>
      </c>
      <c r="I304" s="172">
        <v>28.5</v>
      </c>
    </row>
    <row r="305" spans="2:9" hidden="1" x14ac:dyDescent="0.3">
      <c r="B305" s="172" t="s">
        <v>183</v>
      </c>
      <c r="C305" s="172" t="s">
        <v>82</v>
      </c>
      <c r="D305" s="172" t="s">
        <v>221</v>
      </c>
      <c r="E305" s="172">
        <v>7.2950816440379204E-4</v>
      </c>
      <c r="F305" s="172">
        <v>64</v>
      </c>
      <c r="G305" s="172">
        <v>0</v>
      </c>
      <c r="H305" s="172">
        <v>19</v>
      </c>
      <c r="I305" s="172">
        <v>28.5</v>
      </c>
    </row>
    <row r="306" spans="2:9" hidden="1" x14ac:dyDescent="0.3">
      <c r="B306" s="172" t="s">
        <v>183</v>
      </c>
      <c r="C306" s="172" t="s">
        <v>246</v>
      </c>
      <c r="D306" s="172" t="s">
        <v>218</v>
      </c>
      <c r="E306" s="172">
        <v>7.9875682176281206E-5</v>
      </c>
      <c r="F306" s="172">
        <v>48</v>
      </c>
      <c r="G306" s="172">
        <v>24</v>
      </c>
      <c r="H306" s="172">
        <v>0</v>
      </c>
      <c r="I306" s="172">
        <v>28.5</v>
      </c>
    </row>
    <row r="307" spans="2:9" hidden="1" x14ac:dyDescent="0.3">
      <c r="B307" s="172" t="s">
        <v>181</v>
      </c>
      <c r="C307" s="172" t="s">
        <v>79</v>
      </c>
      <c r="D307" s="172" t="s">
        <v>218</v>
      </c>
      <c r="E307" s="172">
        <v>6.9481923956387997E-4</v>
      </c>
      <c r="F307" s="172">
        <v>85</v>
      </c>
      <c r="G307" s="172">
        <v>19.25</v>
      </c>
      <c r="H307" s="172">
        <v>19.25</v>
      </c>
      <c r="I307" s="172">
        <v>25</v>
      </c>
    </row>
    <row r="308" spans="2:9" hidden="1" x14ac:dyDescent="0.3">
      <c r="B308" s="172" t="s">
        <v>181</v>
      </c>
      <c r="C308" s="172" t="s">
        <v>79</v>
      </c>
      <c r="D308" s="172" t="s">
        <v>221</v>
      </c>
      <c r="E308" s="172">
        <v>1.4984044564848601E-4</v>
      </c>
      <c r="F308" s="172">
        <v>64</v>
      </c>
      <c r="G308" s="172">
        <v>0</v>
      </c>
      <c r="H308" s="172">
        <v>19</v>
      </c>
      <c r="I308" s="172">
        <v>25</v>
      </c>
    </row>
    <row r="309" spans="2:9" hidden="1" x14ac:dyDescent="0.3">
      <c r="B309" s="172" t="s">
        <v>181</v>
      </c>
      <c r="C309" s="172" t="s">
        <v>80</v>
      </c>
      <c r="D309" s="172" t="s">
        <v>218</v>
      </c>
      <c r="E309" s="172">
        <v>7.0128153505520196E-4</v>
      </c>
      <c r="F309" s="172">
        <v>48</v>
      </c>
      <c r="G309" s="172">
        <v>24</v>
      </c>
      <c r="H309" s="172">
        <v>0</v>
      </c>
      <c r="I309" s="172">
        <v>25</v>
      </c>
    </row>
    <row r="310" spans="2:9" hidden="1" x14ac:dyDescent="0.3">
      <c r="B310" s="172" t="s">
        <v>181</v>
      </c>
      <c r="C310" s="172" t="s">
        <v>80</v>
      </c>
      <c r="D310" s="172" t="s">
        <v>221</v>
      </c>
      <c r="E310" s="172">
        <v>1.79109892028276E-4</v>
      </c>
      <c r="F310" s="172">
        <v>48</v>
      </c>
      <c r="G310" s="172">
        <v>24</v>
      </c>
      <c r="H310" s="172">
        <v>0</v>
      </c>
      <c r="I310" s="172">
        <v>25</v>
      </c>
    </row>
    <row r="311" spans="2:9" hidden="1" x14ac:dyDescent="0.3">
      <c r="B311" s="172" t="s">
        <v>181</v>
      </c>
      <c r="C311" s="172" t="s">
        <v>81</v>
      </c>
      <c r="D311" s="172" t="s">
        <v>218</v>
      </c>
      <c r="E311" s="172">
        <v>1.6007085211433401E-4</v>
      </c>
      <c r="F311" s="172">
        <v>48</v>
      </c>
      <c r="G311" s="172">
        <v>24</v>
      </c>
      <c r="H311" s="172">
        <v>0</v>
      </c>
      <c r="I311" s="172">
        <v>25</v>
      </c>
    </row>
    <row r="312" spans="2:9" x14ac:dyDescent="0.3">
      <c r="B312" s="172" t="s">
        <v>181</v>
      </c>
      <c r="C312" s="172" t="s">
        <v>81</v>
      </c>
      <c r="D312" s="172" t="s">
        <v>221</v>
      </c>
      <c r="E312" s="172">
        <v>9.3748307872188201E-4</v>
      </c>
      <c r="F312" s="172">
        <v>48</v>
      </c>
      <c r="G312" s="172">
        <v>24</v>
      </c>
      <c r="H312" s="172">
        <v>0</v>
      </c>
      <c r="I312" s="172">
        <v>25</v>
      </c>
    </row>
    <row r="313" spans="2:9" hidden="1" x14ac:dyDescent="0.3">
      <c r="B313" s="172" t="s">
        <v>181</v>
      </c>
      <c r="C313" s="172" t="s">
        <v>82</v>
      </c>
      <c r="D313" s="172" t="s">
        <v>218</v>
      </c>
      <c r="E313" s="172">
        <v>1.49140432848232E-4</v>
      </c>
      <c r="F313" s="172">
        <v>85</v>
      </c>
      <c r="G313" s="172">
        <v>19.25</v>
      </c>
      <c r="H313" s="172">
        <v>19.25</v>
      </c>
      <c r="I313" s="172">
        <v>25</v>
      </c>
    </row>
    <row r="314" spans="2:9" hidden="1" x14ac:dyDescent="0.3">
      <c r="B314" s="172" t="s">
        <v>181</v>
      </c>
      <c r="C314" s="172" t="s">
        <v>82</v>
      </c>
      <c r="D314" s="172" t="s">
        <v>221</v>
      </c>
      <c r="E314" s="172">
        <v>8.9596855251814996E-4</v>
      </c>
      <c r="F314" s="172">
        <v>64</v>
      </c>
      <c r="G314" s="172">
        <v>0</v>
      </c>
      <c r="H314" s="172">
        <v>19</v>
      </c>
      <c r="I314" s="172">
        <v>25</v>
      </c>
    </row>
    <row r="315" spans="2:9" hidden="1" x14ac:dyDescent="0.3">
      <c r="B315" s="172" t="s">
        <v>181</v>
      </c>
      <c r="C315" s="172" t="s">
        <v>246</v>
      </c>
      <c r="D315" s="172" t="s">
        <v>218</v>
      </c>
      <c r="E315" s="172">
        <v>7.4440124359417294E-5</v>
      </c>
      <c r="F315" s="172">
        <v>48</v>
      </c>
      <c r="G315" s="172">
        <v>24</v>
      </c>
      <c r="H315" s="172">
        <v>0</v>
      </c>
      <c r="I315" s="172">
        <v>25</v>
      </c>
    </row>
    <row r="316" spans="2:9" hidden="1" x14ac:dyDescent="0.3">
      <c r="B316" s="172" t="s">
        <v>179</v>
      </c>
      <c r="C316" s="172" t="s">
        <v>79</v>
      </c>
      <c r="D316" s="172" t="s">
        <v>218</v>
      </c>
      <c r="E316" s="172">
        <v>8.0453153932631704E-4</v>
      </c>
      <c r="F316" s="172">
        <v>85</v>
      </c>
      <c r="G316" s="172">
        <v>19.25</v>
      </c>
      <c r="H316" s="172">
        <v>19.25</v>
      </c>
      <c r="I316" s="172">
        <v>21.5</v>
      </c>
    </row>
    <row r="317" spans="2:9" hidden="1" x14ac:dyDescent="0.3">
      <c r="B317" s="172" t="s">
        <v>179</v>
      </c>
      <c r="C317" s="172" t="s">
        <v>79</v>
      </c>
      <c r="D317" s="172" t="s">
        <v>221</v>
      </c>
      <c r="E317" s="172">
        <v>1.7658775407721299E-4</v>
      </c>
      <c r="F317" s="172">
        <v>64</v>
      </c>
      <c r="G317" s="172">
        <v>0</v>
      </c>
      <c r="H317" s="172">
        <v>19</v>
      </c>
      <c r="I317" s="172">
        <v>21.5</v>
      </c>
    </row>
    <row r="318" spans="2:9" hidden="1" x14ac:dyDescent="0.3">
      <c r="B318" s="172" t="s">
        <v>179</v>
      </c>
      <c r="C318" s="172" t="s">
        <v>80</v>
      </c>
      <c r="D318" s="172" t="s">
        <v>218</v>
      </c>
      <c r="E318" s="172">
        <v>8.02497842518744E-4</v>
      </c>
      <c r="F318" s="172">
        <v>48</v>
      </c>
      <c r="G318" s="172">
        <v>24</v>
      </c>
      <c r="H318" s="172">
        <v>0</v>
      </c>
      <c r="I318" s="172">
        <v>21.5</v>
      </c>
    </row>
    <row r="319" spans="2:9" hidden="1" x14ac:dyDescent="0.3">
      <c r="B319" s="172" t="s">
        <v>179</v>
      </c>
      <c r="C319" s="172" t="s">
        <v>80</v>
      </c>
      <c r="D319" s="172" t="s">
        <v>221</v>
      </c>
      <c r="E319" s="172">
        <v>1.97300818969664E-4</v>
      </c>
      <c r="F319" s="172">
        <v>48</v>
      </c>
      <c r="G319" s="172">
        <v>24</v>
      </c>
      <c r="H319" s="172">
        <v>0</v>
      </c>
      <c r="I319" s="172">
        <v>21.5</v>
      </c>
    </row>
    <row r="320" spans="2:9" hidden="1" x14ac:dyDescent="0.3">
      <c r="B320" s="172" t="s">
        <v>179</v>
      </c>
      <c r="C320" s="172" t="s">
        <v>81</v>
      </c>
      <c r="D320" s="172" t="s">
        <v>218</v>
      </c>
      <c r="E320" s="172">
        <v>1.71566539646449E-4</v>
      </c>
      <c r="F320" s="172">
        <v>48</v>
      </c>
      <c r="G320" s="172">
        <v>24</v>
      </c>
      <c r="H320" s="172">
        <v>0</v>
      </c>
      <c r="I320" s="172">
        <v>21.5</v>
      </c>
    </row>
    <row r="321" spans="2:9" x14ac:dyDescent="0.3">
      <c r="B321" s="172" t="s">
        <v>179</v>
      </c>
      <c r="C321" s="172" t="s">
        <v>81</v>
      </c>
      <c r="D321" s="172" t="s">
        <v>221</v>
      </c>
      <c r="E321" s="172">
        <v>1.0519397317611599E-3</v>
      </c>
      <c r="F321" s="172">
        <v>48</v>
      </c>
      <c r="G321" s="172">
        <v>24</v>
      </c>
      <c r="H321" s="172">
        <v>0</v>
      </c>
      <c r="I321" s="172">
        <v>21.5</v>
      </c>
    </row>
    <row r="322" spans="2:9" hidden="1" x14ac:dyDescent="0.3">
      <c r="B322" s="172" t="s">
        <v>179</v>
      </c>
      <c r="C322" s="172" t="s">
        <v>82</v>
      </c>
      <c r="D322" s="172" t="s">
        <v>218</v>
      </c>
      <c r="E322" s="172">
        <v>1.8320318698724299E-4</v>
      </c>
      <c r="F322" s="172">
        <v>85</v>
      </c>
      <c r="G322" s="172">
        <v>19.25</v>
      </c>
      <c r="H322" s="172">
        <v>19.25</v>
      </c>
      <c r="I322" s="172">
        <v>21.5</v>
      </c>
    </row>
    <row r="323" spans="2:9" hidden="1" x14ac:dyDescent="0.3">
      <c r="B323" s="172" t="s">
        <v>179</v>
      </c>
      <c r="C323" s="172" t="s">
        <v>82</v>
      </c>
      <c r="D323" s="172" t="s">
        <v>221</v>
      </c>
      <c r="E323" s="172">
        <v>1.0360635406257499E-3</v>
      </c>
      <c r="F323" s="172">
        <v>64</v>
      </c>
      <c r="G323" s="172">
        <v>0</v>
      </c>
      <c r="H323" s="172">
        <v>19</v>
      </c>
      <c r="I323" s="172">
        <v>21.5</v>
      </c>
    </row>
    <row r="324" spans="2:9" hidden="1" x14ac:dyDescent="0.3">
      <c r="B324" s="172" t="s">
        <v>179</v>
      </c>
      <c r="C324" s="172" t="s">
        <v>246</v>
      </c>
      <c r="D324" s="172" t="s">
        <v>218</v>
      </c>
      <c r="E324" s="172">
        <v>6.7445731025336702E-5</v>
      </c>
      <c r="F324" s="172">
        <v>48</v>
      </c>
      <c r="G324" s="172">
        <v>24</v>
      </c>
      <c r="H324" s="172">
        <v>0</v>
      </c>
      <c r="I324" s="172">
        <v>21.5</v>
      </c>
    </row>
    <row r="325" spans="2:9" hidden="1" x14ac:dyDescent="0.3">
      <c r="B325" s="172" t="s">
        <v>39</v>
      </c>
      <c r="C325" s="172" t="s">
        <v>79</v>
      </c>
      <c r="D325" s="172" t="s">
        <v>218</v>
      </c>
      <c r="E325" s="172">
        <v>8.94393631702251E-4</v>
      </c>
      <c r="F325" s="172">
        <v>85</v>
      </c>
      <c r="G325" s="172">
        <v>19.25</v>
      </c>
      <c r="H325" s="172">
        <v>19.25</v>
      </c>
      <c r="I325" s="172">
        <v>18</v>
      </c>
    </row>
    <row r="326" spans="2:9" hidden="1" x14ac:dyDescent="0.3">
      <c r="B326" s="172" t="s">
        <v>39</v>
      </c>
      <c r="C326" s="172" t="s">
        <v>79</v>
      </c>
      <c r="D326" s="172" t="s">
        <v>221</v>
      </c>
      <c r="E326" s="172">
        <v>2.0530426720859001E-4</v>
      </c>
      <c r="F326" s="172">
        <v>64</v>
      </c>
      <c r="G326" s="172">
        <v>0</v>
      </c>
      <c r="H326" s="172">
        <v>19</v>
      </c>
      <c r="I326" s="172">
        <v>18</v>
      </c>
    </row>
    <row r="327" spans="2:9" hidden="1" x14ac:dyDescent="0.3">
      <c r="B327" s="172" t="s">
        <v>39</v>
      </c>
      <c r="C327" s="172" t="s">
        <v>80</v>
      </c>
      <c r="D327" s="172" t="s">
        <v>218</v>
      </c>
      <c r="E327" s="172">
        <v>8.7216921801314704E-4</v>
      </c>
      <c r="F327" s="172">
        <v>48</v>
      </c>
      <c r="G327" s="172">
        <v>24</v>
      </c>
      <c r="H327" s="172">
        <v>0</v>
      </c>
      <c r="I327" s="172">
        <v>18</v>
      </c>
    </row>
    <row r="328" spans="2:9" hidden="1" x14ac:dyDescent="0.3">
      <c r="B328" s="172" t="s">
        <v>39</v>
      </c>
      <c r="C328" s="172" t="s">
        <v>80</v>
      </c>
      <c r="D328" s="172" t="s">
        <v>221</v>
      </c>
      <c r="E328" s="172">
        <v>2.0303063606895999E-4</v>
      </c>
      <c r="F328" s="172">
        <v>48</v>
      </c>
      <c r="G328" s="172">
        <v>24</v>
      </c>
      <c r="H328" s="172">
        <v>0</v>
      </c>
      <c r="I328" s="172">
        <v>18</v>
      </c>
    </row>
    <row r="329" spans="2:9" hidden="1" x14ac:dyDescent="0.3">
      <c r="B329" s="172" t="s">
        <v>39</v>
      </c>
      <c r="C329" s="172" t="s">
        <v>81</v>
      </c>
      <c r="D329" s="172" t="s">
        <v>218</v>
      </c>
      <c r="E329" s="172">
        <v>1.7661301134987099E-4</v>
      </c>
      <c r="F329" s="172">
        <v>48</v>
      </c>
      <c r="G329" s="172">
        <v>24</v>
      </c>
      <c r="H329" s="172">
        <v>0</v>
      </c>
      <c r="I329" s="172">
        <v>18</v>
      </c>
    </row>
    <row r="330" spans="2:9" x14ac:dyDescent="0.3">
      <c r="B330" s="172" t="s">
        <v>39</v>
      </c>
      <c r="C330" s="172" t="s">
        <v>81</v>
      </c>
      <c r="D330" s="172" t="s">
        <v>221</v>
      </c>
      <c r="E330" s="172">
        <v>1.14067457835161E-3</v>
      </c>
      <c r="F330" s="172">
        <v>48</v>
      </c>
      <c r="G330" s="172">
        <v>24</v>
      </c>
      <c r="H330" s="172">
        <v>0</v>
      </c>
      <c r="I330" s="172">
        <v>18</v>
      </c>
    </row>
    <row r="331" spans="2:9" hidden="1" x14ac:dyDescent="0.3">
      <c r="B331" s="172" t="s">
        <v>39</v>
      </c>
      <c r="C331" s="172" t="s">
        <v>82</v>
      </c>
      <c r="D331" s="172" t="s">
        <v>218</v>
      </c>
      <c r="E331" s="172">
        <v>2.1458112733935299E-4</v>
      </c>
      <c r="F331" s="172">
        <v>85</v>
      </c>
      <c r="G331" s="172">
        <v>19.25</v>
      </c>
      <c r="H331" s="172">
        <v>19.25</v>
      </c>
      <c r="I331" s="172">
        <v>18</v>
      </c>
    </row>
    <row r="332" spans="2:9" hidden="1" x14ac:dyDescent="0.3">
      <c r="B332" s="172" t="s">
        <v>39</v>
      </c>
      <c r="C332" s="172" t="s">
        <v>82</v>
      </c>
      <c r="D332" s="172" t="s">
        <v>221</v>
      </c>
      <c r="E332" s="172">
        <v>1.1549123823423001E-3</v>
      </c>
      <c r="F332" s="172">
        <v>64</v>
      </c>
      <c r="G332" s="172">
        <v>0</v>
      </c>
      <c r="H332" s="172">
        <v>19</v>
      </c>
      <c r="I332" s="172">
        <v>18</v>
      </c>
    </row>
    <row r="333" spans="2:9" hidden="1" x14ac:dyDescent="0.3">
      <c r="B333" s="172" t="s">
        <v>39</v>
      </c>
      <c r="C333" s="172" t="s">
        <v>246</v>
      </c>
      <c r="D333" s="172" t="s">
        <v>218</v>
      </c>
      <c r="E333" s="172">
        <v>6.11699157203483E-5</v>
      </c>
      <c r="F333" s="172">
        <v>48</v>
      </c>
      <c r="G333" s="172">
        <v>24</v>
      </c>
      <c r="H333" s="172">
        <v>0</v>
      </c>
      <c r="I333" s="172">
        <v>18</v>
      </c>
    </row>
    <row r="334" spans="2:9" hidden="1" x14ac:dyDescent="0.3">
      <c r="B334" s="172" t="s">
        <v>26</v>
      </c>
      <c r="C334" s="172" t="s">
        <v>79</v>
      </c>
      <c r="D334" s="172" t="s">
        <v>218</v>
      </c>
      <c r="E334" s="172">
        <v>9.6715808354508998E-4</v>
      </c>
      <c r="F334" s="172">
        <v>85</v>
      </c>
      <c r="G334" s="172">
        <v>19.25</v>
      </c>
      <c r="H334" s="172">
        <v>19.25</v>
      </c>
      <c r="I334" s="172">
        <v>14.5</v>
      </c>
    </row>
    <row r="335" spans="2:9" hidden="1" x14ac:dyDescent="0.3">
      <c r="B335" s="172" t="s">
        <v>26</v>
      </c>
      <c r="C335" s="172" t="s">
        <v>79</v>
      </c>
      <c r="D335" s="172" t="s">
        <v>221</v>
      </c>
      <c r="E335" s="172">
        <v>2.3041550675581001E-4</v>
      </c>
      <c r="F335" s="172">
        <v>64</v>
      </c>
      <c r="G335" s="172">
        <v>0</v>
      </c>
      <c r="H335" s="172">
        <v>19</v>
      </c>
      <c r="I335" s="172">
        <v>14.5</v>
      </c>
    </row>
    <row r="336" spans="2:9" hidden="1" x14ac:dyDescent="0.3">
      <c r="B336" s="172" t="s">
        <v>26</v>
      </c>
      <c r="C336" s="172" t="s">
        <v>80</v>
      </c>
      <c r="D336" s="172" t="s">
        <v>218</v>
      </c>
      <c r="E336" s="172">
        <v>9.2365653089868896E-4</v>
      </c>
      <c r="F336" s="172">
        <v>48</v>
      </c>
      <c r="G336" s="172">
        <v>24</v>
      </c>
      <c r="H336" s="172">
        <v>0</v>
      </c>
      <c r="I336" s="172">
        <v>14.5</v>
      </c>
    </row>
    <row r="337" spans="2:9" hidden="1" x14ac:dyDescent="0.3">
      <c r="B337" s="172" t="s">
        <v>26</v>
      </c>
      <c r="C337" s="172" t="s">
        <v>80</v>
      </c>
      <c r="D337" s="172" t="s">
        <v>221</v>
      </c>
      <c r="E337" s="172">
        <v>2.0330990481240199E-4</v>
      </c>
      <c r="F337" s="172">
        <v>48</v>
      </c>
      <c r="G337" s="172">
        <v>24</v>
      </c>
      <c r="H337" s="172">
        <v>0</v>
      </c>
      <c r="I337" s="172">
        <v>14.5</v>
      </c>
    </row>
    <row r="338" spans="2:9" hidden="1" x14ac:dyDescent="0.3">
      <c r="B338" s="172" t="s">
        <v>26</v>
      </c>
      <c r="C338" s="172" t="s">
        <v>81</v>
      </c>
      <c r="D338" s="172" t="s">
        <v>218</v>
      </c>
      <c r="E338" s="172">
        <v>1.77099930103463E-4</v>
      </c>
      <c r="F338" s="172">
        <v>48</v>
      </c>
      <c r="G338" s="172">
        <v>24</v>
      </c>
      <c r="H338" s="172">
        <v>0</v>
      </c>
      <c r="I338" s="172">
        <v>14.5</v>
      </c>
    </row>
    <row r="339" spans="2:9" s="172" customFormat="1" x14ac:dyDescent="0.3">
      <c r="B339" s="172" t="s">
        <v>26</v>
      </c>
      <c r="C339" s="172" t="s">
        <v>81</v>
      </c>
      <c r="D339" s="172" t="s">
        <v>221</v>
      </c>
      <c r="E339" s="172">
        <v>1.2076836263280001E-3</v>
      </c>
      <c r="F339" s="172">
        <v>48</v>
      </c>
      <c r="G339" s="172">
        <v>24</v>
      </c>
      <c r="H339" s="172">
        <v>0</v>
      </c>
      <c r="I339" s="172">
        <v>14.5</v>
      </c>
    </row>
    <row r="340" spans="2:9" hidden="1" x14ac:dyDescent="0.3">
      <c r="B340" s="172" t="s">
        <v>26</v>
      </c>
      <c r="C340" s="172" t="s">
        <v>82</v>
      </c>
      <c r="D340" s="172" t="s">
        <v>218</v>
      </c>
      <c r="E340" s="172">
        <v>2.4238903539662099E-4</v>
      </c>
      <c r="F340" s="172">
        <v>85</v>
      </c>
      <c r="G340" s="172">
        <v>19.25</v>
      </c>
      <c r="H340" s="172">
        <v>19.25</v>
      </c>
      <c r="I340" s="172">
        <v>14.5</v>
      </c>
    </row>
    <row r="341" spans="2:9" hidden="1" x14ac:dyDescent="0.3">
      <c r="B341" s="172" t="s">
        <v>26</v>
      </c>
      <c r="C341" s="172" t="s">
        <v>82</v>
      </c>
      <c r="D341" s="172" t="s">
        <v>221</v>
      </c>
      <c r="E341" s="172">
        <v>1.25385121477958E-3</v>
      </c>
      <c r="F341" s="172">
        <v>64</v>
      </c>
      <c r="G341" s="172">
        <v>0</v>
      </c>
      <c r="H341" s="172">
        <v>19</v>
      </c>
      <c r="I341" s="172">
        <v>14.5</v>
      </c>
    </row>
    <row r="342" spans="2:9" hidden="1" x14ac:dyDescent="0.3">
      <c r="B342" s="172" t="s">
        <v>26</v>
      </c>
      <c r="C342" s="172" t="s">
        <v>246</v>
      </c>
      <c r="D342" s="172" t="s">
        <v>218</v>
      </c>
      <c r="E342" s="172">
        <v>5.2441927930410402E-5</v>
      </c>
      <c r="F342" s="172">
        <v>48</v>
      </c>
      <c r="G342" s="172">
        <v>24</v>
      </c>
      <c r="H342" s="172">
        <v>0</v>
      </c>
      <c r="I342" s="172">
        <v>14.5</v>
      </c>
    </row>
    <row r="343" spans="2:9" s="172" customFormat="1" hidden="1" x14ac:dyDescent="0.3">
      <c r="B343" s="172" t="s">
        <v>25</v>
      </c>
      <c r="C343" s="172" t="s">
        <v>79</v>
      </c>
      <c r="D343" s="172" t="s">
        <v>218</v>
      </c>
      <c r="E343" s="172">
        <v>1.02220542515514E-3</v>
      </c>
      <c r="F343" s="172">
        <v>85</v>
      </c>
      <c r="G343" s="172">
        <v>19.25</v>
      </c>
      <c r="H343" s="172">
        <v>19.25</v>
      </c>
      <c r="I343" s="172">
        <v>11</v>
      </c>
    </row>
    <row r="344" spans="2:9" hidden="1" x14ac:dyDescent="0.3">
      <c r="B344" s="172" t="s">
        <v>25</v>
      </c>
      <c r="C344" s="172" t="s">
        <v>79</v>
      </c>
      <c r="D344" s="172" t="s">
        <v>221</v>
      </c>
      <c r="E344" s="172">
        <v>2.4435727578425498E-4</v>
      </c>
      <c r="F344" s="172">
        <v>64</v>
      </c>
      <c r="G344" s="172">
        <v>0</v>
      </c>
      <c r="H344" s="172">
        <v>19</v>
      </c>
      <c r="I344" s="172">
        <v>11</v>
      </c>
    </row>
    <row r="345" spans="2:9" hidden="1" x14ac:dyDescent="0.3">
      <c r="B345" s="172" t="s">
        <v>25</v>
      </c>
      <c r="C345" s="172" t="s">
        <v>80</v>
      </c>
      <c r="D345" s="172" t="s">
        <v>218</v>
      </c>
      <c r="E345" s="172">
        <v>9.6850425522900397E-4</v>
      </c>
      <c r="F345" s="172">
        <v>48</v>
      </c>
      <c r="G345" s="172">
        <v>24</v>
      </c>
      <c r="H345" s="172">
        <v>0</v>
      </c>
      <c r="I345" s="172">
        <v>11</v>
      </c>
    </row>
    <row r="346" spans="2:9" hidden="1" x14ac:dyDescent="0.3">
      <c r="B346" s="172" t="s">
        <v>25</v>
      </c>
      <c r="C346" s="172" t="s">
        <v>80</v>
      </c>
      <c r="D346" s="172" t="s">
        <v>221</v>
      </c>
      <c r="E346" s="172">
        <v>2.0501177979016899E-4</v>
      </c>
      <c r="F346" s="172">
        <v>48</v>
      </c>
      <c r="G346" s="172">
        <v>24</v>
      </c>
      <c r="H346" s="172">
        <v>0</v>
      </c>
      <c r="I346" s="172">
        <v>11</v>
      </c>
    </row>
    <row r="347" spans="2:9" s="172" customFormat="1" hidden="1" x14ac:dyDescent="0.3">
      <c r="B347" s="172" t="s">
        <v>25</v>
      </c>
      <c r="C347" s="172" t="s">
        <v>81</v>
      </c>
      <c r="D347" s="172" t="s">
        <v>218</v>
      </c>
      <c r="E347" s="172">
        <v>1.74423113308011E-4</v>
      </c>
      <c r="F347" s="172">
        <v>48</v>
      </c>
      <c r="G347" s="172">
        <v>24</v>
      </c>
      <c r="H347" s="172">
        <v>0</v>
      </c>
      <c r="I347" s="172">
        <v>11</v>
      </c>
    </row>
    <row r="348" spans="2:9" x14ac:dyDescent="0.3">
      <c r="B348" s="172" t="s">
        <v>25</v>
      </c>
      <c r="C348" s="172" t="s">
        <v>81</v>
      </c>
      <c r="D348" s="172" t="s">
        <v>221</v>
      </c>
      <c r="E348" s="172">
        <v>1.24961229594255E-3</v>
      </c>
      <c r="F348" s="172">
        <v>48</v>
      </c>
      <c r="G348" s="172">
        <v>24</v>
      </c>
      <c r="H348" s="172">
        <v>0</v>
      </c>
      <c r="I348" s="172">
        <v>11</v>
      </c>
    </row>
    <row r="349" spans="2:9" hidden="1" x14ac:dyDescent="0.3">
      <c r="B349" s="172" t="s">
        <v>25</v>
      </c>
      <c r="C349" s="172" t="s">
        <v>82</v>
      </c>
      <c r="D349" s="172" t="s">
        <v>218</v>
      </c>
      <c r="E349" s="172">
        <v>2.64156646809065E-4</v>
      </c>
      <c r="F349" s="172">
        <v>85</v>
      </c>
      <c r="G349" s="172">
        <v>19.25</v>
      </c>
      <c r="H349" s="172">
        <v>19.25</v>
      </c>
      <c r="I349" s="172">
        <v>11</v>
      </c>
    </row>
    <row r="350" spans="2:9" hidden="1" x14ac:dyDescent="0.3">
      <c r="B350" s="172" t="s">
        <v>25</v>
      </c>
      <c r="C350" s="172" t="s">
        <v>82</v>
      </c>
      <c r="D350" s="172" t="s">
        <v>221</v>
      </c>
      <c r="E350" s="172">
        <v>1.32564783904183E-3</v>
      </c>
      <c r="F350" s="172">
        <v>64</v>
      </c>
      <c r="G350" s="172">
        <v>0</v>
      </c>
      <c r="H350" s="172">
        <v>19</v>
      </c>
      <c r="I350" s="172">
        <v>11</v>
      </c>
    </row>
    <row r="351" spans="2:9" s="172" customFormat="1" hidden="1" x14ac:dyDescent="0.3">
      <c r="B351" s="172" t="s">
        <v>25</v>
      </c>
      <c r="C351" s="172" t="s">
        <v>246</v>
      </c>
      <c r="D351" s="172" t="s">
        <v>218</v>
      </c>
      <c r="E351" s="172">
        <v>3.8440666840903803E-5</v>
      </c>
      <c r="F351" s="172">
        <v>48</v>
      </c>
      <c r="G351" s="172">
        <v>24</v>
      </c>
      <c r="H351" s="172">
        <v>0</v>
      </c>
      <c r="I351" s="172">
        <v>11</v>
      </c>
    </row>
    <row r="352" spans="2:9" hidden="1" x14ac:dyDescent="0.3">
      <c r="B352" s="172" t="s">
        <v>24</v>
      </c>
      <c r="C352" s="172" t="s">
        <v>79</v>
      </c>
      <c r="D352" s="172" t="s">
        <v>218</v>
      </c>
      <c r="E352" s="172">
        <v>1.03883292085039E-3</v>
      </c>
      <c r="F352" s="172">
        <v>85</v>
      </c>
      <c r="G352" s="172">
        <v>19.25</v>
      </c>
      <c r="H352" s="172">
        <v>19.25</v>
      </c>
      <c r="I352" s="172">
        <v>7.5</v>
      </c>
    </row>
    <row r="353" spans="2:9" hidden="1" x14ac:dyDescent="0.3">
      <c r="B353" s="172" t="s">
        <v>24</v>
      </c>
      <c r="C353" s="172" t="s">
        <v>79</v>
      </c>
      <c r="D353" s="172" t="s">
        <v>221</v>
      </c>
      <c r="E353" s="172">
        <v>2.4300275139206001E-4</v>
      </c>
      <c r="F353" s="172">
        <v>64</v>
      </c>
      <c r="G353" s="172">
        <v>0</v>
      </c>
      <c r="H353" s="172">
        <v>19</v>
      </c>
      <c r="I353" s="172">
        <v>7.5</v>
      </c>
    </row>
    <row r="354" spans="2:9" hidden="1" x14ac:dyDescent="0.3">
      <c r="B354" s="172" t="s">
        <v>24</v>
      </c>
      <c r="C354" s="172" t="s">
        <v>80</v>
      </c>
      <c r="D354" s="172" t="s">
        <v>218</v>
      </c>
      <c r="E354" s="172">
        <v>9.834039032800561E-4</v>
      </c>
      <c r="F354" s="172">
        <v>48</v>
      </c>
      <c r="G354" s="172">
        <v>24</v>
      </c>
      <c r="H354" s="172">
        <v>0</v>
      </c>
      <c r="I354" s="172">
        <v>7.5</v>
      </c>
    </row>
    <row r="355" spans="2:9" s="172" customFormat="1" hidden="1" x14ac:dyDescent="0.3">
      <c r="B355" s="172" t="s">
        <v>24</v>
      </c>
      <c r="C355" s="172" t="s">
        <v>80</v>
      </c>
      <c r="D355" s="172" t="s">
        <v>221</v>
      </c>
      <c r="E355" s="172">
        <v>2.0138956478228599E-4</v>
      </c>
      <c r="F355" s="172">
        <v>48</v>
      </c>
      <c r="G355" s="172">
        <v>24</v>
      </c>
      <c r="H355" s="172">
        <v>0</v>
      </c>
      <c r="I355" s="172">
        <v>7.5</v>
      </c>
    </row>
    <row r="356" spans="2:9" x14ac:dyDescent="0.3">
      <c r="B356" s="172" t="s">
        <v>24</v>
      </c>
      <c r="C356" s="172" t="s">
        <v>81</v>
      </c>
      <c r="D356" s="172" t="s">
        <v>221</v>
      </c>
      <c r="E356" s="172">
        <v>1.2400629256776E-3</v>
      </c>
      <c r="F356" s="172">
        <v>48</v>
      </c>
      <c r="G356" s="172">
        <v>24</v>
      </c>
      <c r="H356" s="172">
        <v>0</v>
      </c>
      <c r="I356" s="172">
        <v>7.5</v>
      </c>
    </row>
    <row r="357" spans="2:9" hidden="1" x14ac:dyDescent="0.3">
      <c r="B357" s="172" t="s">
        <v>24</v>
      </c>
      <c r="C357" s="172" t="s">
        <v>82</v>
      </c>
      <c r="D357" s="172" t="s">
        <v>218</v>
      </c>
      <c r="E357" s="172">
        <v>2.7032930911155101E-4</v>
      </c>
      <c r="F357" s="172">
        <v>85</v>
      </c>
      <c r="G357" s="172">
        <v>19.25</v>
      </c>
      <c r="H357" s="172">
        <v>19.25</v>
      </c>
      <c r="I357" s="172">
        <v>7.5</v>
      </c>
    </row>
    <row r="358" spans="2:9" hidden="1" x14ac:dyDescent="0.3">
      <c r="B358" s="172" t="s">
        <v>24</v>
      </c>
      <c r="C358" s="172" t="s">
        <v>82</v>
      </c>
      <c r="D358" s="172" t="s">
        <v>221</v>
      </c>
      <c r="E358" s="172">
        <v>1.3299623689886199E-3</v>
      </c>
      <c r="F358" s="172">
        <v>64</v>
      </c>
      <c r="G358" s="172">
        <v>0</v>
      </c>
      <c r="H358" s="172">
        <v>19</v>
      </c>
      <c r="I358" s="172">
        <v>7.5</v>
      </c>
    </row>
    <row r="359" spans="2:9" s="172" customFormat="1" hidden="1" x14ac:dyDescent="0.3">
      <c r="B359" s="172" t="s">
        <v>24</v>
      </c>
      <c r="C359" s="172" t="s">
        <v>246</v>
      </c>
      <c r="D359" s="172" t="s">
        <v>218</v>
      </c>
      <c r="E359" s="172">
        <v>2.0746725013980202E-5</v>
      </c>
      <c r="F359" s="172">
        <v>48</v>
      </c>
      <c r="G359" s="172">
        <v>24</v>
      </c>
      <c r="H359" s="172">
        <v>0</v>
      </c>
      <c r="I359" s="172">
        <v>7.5</v>
      </c>
    </row>
    <row r="360" spans="2:9" hidden="1" x14ac:dyDescent="0.3">
      <c r="B360" s="172" t="s">
        <v>22</v>
      </c>
      <c r="C360" s="172" t="s">
        <v>79</v>
      </c>
      <c r="D360" s="172" t="s">
        <v>218</v>
      </c>
      <c r="E360" s="172">
        <v>7.8287492538338496E-4</v>
      </c>
      <c r="F360" s="172">
        <v>14</v>
      </c>
      <c r="G360" s="172">
        <v>19</v>
      </c>
      <c r="H360" s="172">
        <v>19</v>
      </c>
      <c r="I360" s="172">
        <v>4</v>
      </c>
    </row>
    <row r="361" spans="2:9" hidden="1" x14ac:dyDescent="0.3">
      <c r="B361" s="172" t="s">
        <v>22</v>
      </c>
      <c r="C361" s="172" t="s">
        <v>79</v>
      </c>
      <c r="D361" s="172" t="s">
        <v>221</v>
      </c>
      <c r="E361" s="172">
        <v>1.6302968425894199E-4</v>
      </c>
      <c r="F361" s="172">
        <v>64</v>
      </c>
      <c r="G361" s="172">
        <v>0</v>
      </c>
      <c r="H361" s="172">
        <v>19</v>
      </c>
      <c r="I361" s="172">
        <v>4</v>
      </c>
    </row>
    <row r="362" spans="2:9" hidden="1" x14ac:dyDescent="0.3">
      <c r="B362" s="172" t="s">
        <v>22</v>
      </c>
      <c r="C362" s="172" t="s">
        <v>80</v>
      </c>
      <c r="D362" s="172" t="s">
        <v>218</v>
      </c>
      <c r="E362" s="172">
        <v>7.6782055340269195E-4</v>
      </c>
      <c r="F362" s="172">
        <v>48</v>
      </c>
      <c r="G362" s="172">
        <v>24</v>
      </c>
      <c r="H362" s="172">
        <v>0</v>
      </c>
      <c r="I362" s="172">
        <v>4</v>
      </c>
    </row>
    <row r="363" spans="2:9" hidden="1" x14ac:dyDescent="0.3">
      <c r="B363" s="172" t="s">
        <v>22</v>
      </c>
      <c r="C363" s="172" t="s">
        <v>80</v>
      </c>
      <c r="D363" s="172" t="s">
        <v>221</v>
      </c>
      <c r="E363" s="172">
        <v>1.65148722962058E-4</v>
      </c>
      <c r="F363" s="172">
        <v>48</v>
      </c>
      <c r="G363" s="172">
        <v>24</v>
      </c>
      <c r="H363" s="172">
        <v>0</v>
      </c>
      <c r="I363" s="172">
        <v>4</v>
      </c>
    </row>
    <row r="364" spans="2:9" hidden="1" x14ac:dyDescent="0.3">
      <c r="B364" s="172" t="s">
        <v>22</v>
      </c>
      <c r="C364" s="172" t="s">
        <v>81</v>
      </c>
      <c r="D364" s="172" t="s">
        <v>218</v>
      </c>
      <c r="E364" s="172">
        <v>1.46345305485567E-4</v>
      </c>
      <c r="F364" s="172">
        <v>48</v>
      </c>
      <c r="G364" s="172">
        <v>24</v>
      </c>
      <c r="H364" s="172">
        <v>0</v>
      </c>
      <c r="I364" s="172">
        <v>4</v>
      </c>
    </row>
    <row r="365" spans="2:9" x14ac:dyDescent="0.3">
      <c r="B365" s="172" t="s">
        <v>22</v>
      </c>
      <c r="C365" s="172" t="s">
        <v>81</v>
      </c>
      <c r="D365" s="172" t="s">
        <v>221</v>
      </c>
      <c r="E365" s="172">
        <v>9.0989095877297204E-4</v>
      </c>
      <c r="F365" s="172">
        <v>48</v>
      </c>
      <c r="G365" s="172">
        <v>24</v>
      </c>
      <c r="H365" s="172">
        <v>0</v>
      </c>
      <c r="I365" s="172">
        <v>4</v>
      </c>
    </row>
    <row r="366" spans="2:9" hidden="1" x14ac:dyDescent="0.3">
      <c r="B366" s="172" t="s">
        <v>22</v>
      </c>
      <c r="C366" s="172" t="s">
        <v>82</v>
      </c>
      <c r="D366" s="172" t="s">
        <v>218</v>
      </c>
      <c r="E366" s="172">
        <v>1.86154769740848E-4</v>
      </c>
      <c r="F366" s="172">
        <v>14</v>
      </c>
      <c r="G366" s="172">
        <v>19</v>
      </c>
      <c r="H366" s="172">
        <v>19</v>
      </c>
      <c r="I366" s="172">
        <v>4</v>
      </c>
    </row>
    <row r="367" spans="2:9" hidden="1" x14ac:dyDescent="0.3">
      <c r="B367" s="172" t="s">
        <v>22</v>
      </c>
      <c r="C367" s="172" t="s">
        <v>82</v>
      </c>
      <c r="D367" s="172" t="s">
        <v>221</v>
      </c>
      <c r="E367" s="172">
        <v>9.3270837627773399E-4</v>
      </c>
      <c r="F367" s="172">
        <v>64</v>
      </c>
      <c r="G367" s="172">
        <v>0</v>
      </c>
      <c r="H367" s="172">
        <v>19</v>
      </c>
      <c r="I367" s="172">
        <v>4</v>
      </c>
    </row>
    <row r="368" spans="2:9" hidden="1" x14ac:dyDescent="0.3">
      <c r="B368" s="172" t="s">
        <v>22</v>
      </c>
      <c r="C368" s="172" t="s">
        <v>246</v>
      </c>
      <c r="D368" s="172" t="s">
        <v>218</v>
      </c>
      <c r="E368" s="172">
        <v>5.5028512894239299E-6</v>
      </c>
      <c r="F368" s="172">
        <v>48</v>
      </c>
      <c r="G368" s="172">
        <v>24</v>
      </c>
      <c r="H368" s="172">
        <v>0</v>
      </c>
      <c r="I368" s="172">
        <v>4</v>
      </c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2.60209201266223E-4</v>
      </c>
      <c r="F402" s="172">
        <v>42</v>
      </c>
      <c r="G402" s="172">
        <v>24</v>
      </c>
      <c r="H402" s="172">
        <v>4</v>
      </c>
      <c r="I402" s="172">
        <v>38.5</v>
      </c>
    </row>
    <row r="403" spans="2:9" hidden="1" x14ac:dyDescent="0.3">
      <c r="B403" s="172" t="s">
        <v>189</v>
      </c>
      <c r="C403" s="172" t="s">
        <v>79</v>
      </c>
      <c r="D403" s="172" t="s">
        <v>221</v>
      </c>
      <c r="E403" s="172">
        <v>5.1972145880688398E-5</v>
      </c>
      <c r="F403" s="172">
        <v>39</v>
      </c>
      <c r="G403" s="172">
        <v>19</v>
      </c>
      <c r="H403" s="172">
        <v>4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218</v>
      </c>
      <c r="E404" s="172">
        <v>2.7230421804132801E-4</v>
      </c>
      <c r="F404" s="172">
        <v>48</v>
      </c>
      <c r="G404" s="172">
        <v>24</v>
      </c>
      <c r="H404" s="172">
        <v>0</v>
      </c>
      <c r="I404" s="172">
        <v>38.5</v>
      </c>
    </row>
    <row r="405" spans="2:9" hidden="1" x14ac:dyDescent="0.3">
      <c r="B405" s="172" t="s">
        <v>189</v>
      </c>
      <c r="C405" s="172" t="s">
        <v>80</v>
      </c>
      <c r="D405" s="172" t="s">
        <v>221</v>
      </c>
      <c r="E405" s="172">
        <v>8.1624006169930103E-5</v>
      </c>
      <c r="F405" s="172">
        <v>48</v>
      </c>
      <c r="G405" s="172">
        <v>24</v>
      </c>
      <c r="H405" s="172">
        <v>0</v>
      </c>
      <c r="I405" s="172">
        <v>38.5</v>
      </c>
    </row>
    <row r="406" spans="2:9" hidden="1" x14ac:dyDescent="0.3">
      <c r="B406" s="172" t="s">
        <v>189</v>
      </c>
      <c r="C406" s="172" t="s">
        <v>81</v>
      </c>
      <c r="D406" s="172" t="s">
        <v>218</v>
      </c>
      <c r="E406" s="172">
        <v>1.24970463828497E-4</v>
      </c>
      <c r="F406" s="172">
        <v>48</v>
      </c>
      <c r="G406" s="172">
        <v>24</v>
      </c>
      <c r="H406" s="172">
        <v>0</v>
      </c>
      <c r="I406" s="172">
        <v>38.5</v>
      </c>
    </row>
    <row r="407" spans="2:9" hidden="1" x14ac:dyDescent="0.3">
      <c r="B407" s="172" t="s">
        <v>189</v>
      </c>
      <c r="C407" s="172" t="s">
        <v>81</v>
      </c>
      <c r="D407" s="172" t="s">
        <v>221</v>
      </c>
      <c r="E407" s="172">
        <v>4.4890648761411901E-4</v>
      </c>
      <c r="F407" s="172">
        <v>48</v>
      </c>
      <c r="G407" s="172">
        <v>24</v>
      </c>
      <c r="H407" s="172">
        <v>0</v>
      </c>
      <c r="I407" s="172">
        <v>38.5</v>
      </c>
    </row>
    <row r="408" spans="2:9" hidden="1" x14ac:dyDescent="0.3">
      <c r="B408" s="172" t="s">
        <v>189</v>
      </c>
      <c r="C408" s="172" t="s">
        <v>82</v>
      </c>
      <c r="D408" s="172" t="s">
        <v>218</v>
      </c>
      <c r="E408" s="172">
        <v>9.1130794435961693E-5</v>
      </c>
      <c r="F408" s="172">
        <v>48</v>
      </c>
      <c r="G408" s="172">
        <v>24</v>
      </c>
      <c r="H408" s="172">
        <v>0</v>
      </c>
      <c r="I408" s="172">
        <v>38.5</v>
      </c>
    </row>
    <row r="409" spans="2:9" x14ac:dyDescent="0.3">
      <c r="B409" s="172" t="s">
        <v>189</v>
      </c>
      <c r="C409" s="172" t="s">
        <v>82</v>
      </c>
      <c r="D409" s="172" t="s">
        <v>221</v>
      </c>
      <c r="E409" s="172">
        <v>3.8749566344095101E-4</v>
      </c>
      <c r="F409" s="172">
        <v>48</v>
      </c>
      <c r="G409" s="172">
        <v>24</v>
      </c>
      <c r="H409" s="172">
        <v>0</v>
      </c>
      <c r="I409" s="172">
        <v>38.5</v>
      </c>
    </row>
    <row r="410" spans="2:9" hidden="1" x14ac:dyDescent="0.3">
      <c r="B410" s="172" t="s">
        <v>189</v>
      </c>
      <c r="C410" s="172" t="s">
        <v>246</v>
      </c>
      <c r="D410" s="172" t="s">
        <v>218</v>
      </c>
      <c r="E410" s="172">
        <v>2.45867539135543E-4</v>
      </c>
      <c r="F410" s="172">
        <v>48</v>
      </c>
      <c r="G410" s="172">
        <v>24</v>
      </c>
      <c r="H410" s="172">
        <v>0</v>
      </c>
      <c r="I410" s="172">
        <v>38.5</v>
      </c>
    </row>
    <row r="411" spans="2:9" hidden="1" x14ac:dyDescent="0.3">
      <c r="B411" s="172" t="s">
        <v>189</v>
      </c>
      <c r="C411" s="172" t="s">
        <v>246</v>
      </c>
      <c r="D411" s="172" t="s">
        <v>221</v>
      </c>
      <c r="E411" s="172">
        <v>1.05497311755549E-4</v>
      </c>
      <c r="F411" s="172">
        <v>76</v>
      </c>
      <c r="G411" s="172">
        <v>19</v>
      </c>
      <c r="H411" s="172">
        <v>0</v>
      </c>
      <c r="I411" s="172">
        <v>38.5</v>
      </c>
    </row>
    <row r="412" spans="2:9" hidden="1" x14ac:dyDescent="0.3">
      <c r="B412" s="172" t="s">
        <v>187</v>
      </c>
      <c r="C412" s="172" t="s">
        <v>79</v>
      </c>
      <c r="D412" s="172" t="s">
        <v>218</v>
      </c>
      <c r="E412" s="172">
        <v>2.5162653136409603E-4</v>
      </c>
      <c r="F412" s="172">
        <v>85</v>
      </c>
      <c r="G412" s="172">
        <v>19.25</v>
      </c>
      <c r="H412" s="172">
        <v>19.25</v>
      </c>
      <c r="I412" s="172">
        <v>35.5</v>
      </c>
    </row>
    <row r="413" spans="2:9" hidden="1" x14ac:dyDescent="0.3">
      <c r="B413" s="172" t="s">
        <v>187</v>
      </c>
      <c r="C413" s="172" t="s">
        <v>79</v>
      </c>
      <c r="D413" s="172" t="s">
        <v>221</v>
      </c>
      <c r="E413" s="172">
        <v>4.8699833787100902E-5</v>
      </c>
      <c r="F413" s="172">
        <v>64</v>
      </c>
      <c r="G413" s="172">
        <v>0</v>
      </c>
      <c r="H413" s="172">
        <v>19</v>
      </c>
      <c r="I413" s="172">
        <v>35.5</v>
      </c>
    </row>
    <row r="414" spans="2:9" hidden="1" x14ac:dyDescent="0.3">
      <c r="B414" s="172" t="s">
        <v>187</v>
      </c>
      <c r="C414" s="172" t="s">
        <v>80</v>
      </c>
      <c r="D414" s="172" t="s">
        <v>218</v>
      </c>
      <c r="E414" s="172">
        <v>2.80754842914471E-4</v>
      </c>
      <c r="F414" s="172">
        <v>48</v>
      </c>
      <c r="G414" s="172">
        <v>24</v>
      </c>
      <c r="H414" s="172">
        <v>0</v>
      </c>
      <c r="I414" s="172">
        <v>35.5</v>
      </c>
    </row>
    <row r="415" spans="2:9" hidden="1" x14ac:dyDescent="0.3">
      <c r="B415" s="172" t="s">
        <v>187</v>
      </c>
      <c r="C415" s="172" t="s">
        <v>80</v>
      </c>
      <c r="D415" s="172" t="s">
        <v>221</v>
      </c>
      <c r="E415" s="172">
        <v>9.6755346186735993E-5</v>
      </c>
      <c r="F415" s="172">
        <v>48</v>
      </c>
      <c r="G415" s="172">
        <v>24</v>
      </c>
      <c r="H415" s="172">
        <v>0</v>
      </c>
      <c r="I415" s="172">
        <v>35.5</v>
      </c>
    </row>
    <row r="416" spans="2:9" hidden="1" x14ac:dyDescent="0.3">
      <c r="B416" s="172" t="s">
        <v>187</v>
      </c>
      <c r="C416" s="172" t="s">
        <v>81</v>
      </c>
      <c r="D416" s="172" t="s">
        <v>218</v>
      </c>
      <c r="E416" s="172">
        <v>1.01121326275522E-4</v>
      </c>
      <c r="F416" s="172">
        <v>48</v>
      </c>
      <c r="G416" s="172">
        <v>24</v>
      </c>
      <c r="H416" s="172">
        <v>0</v>
      </c>
      <c r="I416" s="172">
        <v>35.5</v>
      </c>
    </row>
    <row r="417" spans="2:9" hidden="1" x14ac:dyDescent="0.3">
      <c r="B417" s="172" t="s">
        <v>187</v>
      </c>
      <c r="C417" s="172" t="s">
        <v>81</v>
      </c>
      <c r="D417" s="172" t="s">
        <v>221</v>
      </c>
      <c r="E417" s="172">
        <v>4.37293627245122E-4</v>
      </c>
      <c r="F417" s="172">
        <v>48</v>
      </c>
      <c r="G417" s="172">
        <v>24</v>
      </c>
      <c r="H417" s="172">
        <v>0</v>
      </c>
      <c r="I417" s="172">
        <v>35.5</v>
      </c>
    </row>
    <row r="418" spans="2:9" hidden="1" x14ac:dyDescent="0.3">
      <c r="B418" s="172" t="s">
        <v>187</v>
      </c>
      <c r="C418" s="172" t="s">
        <v>82</v>
      </c>
      <c r="D418" s="172" t="s">
        <v>218</v>
      </c>
      <c r="E418" s="172">
        <v>5.89548208153974E-5</v>
      </c>
      <c r="F418" s="172">
        <v>48</v>
      </c>
      <c r="G418" s="172">
        <v>24</v>
      </c>
      <c r="H418" s="172">
        <v>0</v>
      </c>
      <c r="I418" s="172">
        <v>35.5</v>
      </c>
    </row>
    <row r="419" spans="2:9" x14ac:dyDescent="0.3">
      <c r="B419" s="172" t="s">
        <v>187</v>
      </c>
      <c r="C419" s="172" t="s">
        <v>82</v>
      </c>
      <c r="D419" s="172" t="s">
        <v>221</v>
      </c>
      <c r="E419" s="172">
        <v>3.69081414528232E-4</v>
      </c>
      <c r="F419" s="172">
        <v>48</v>
      </c>
      <c r="G419" s="172">
        <v>24</v>
      </c>
      <c r="H419" s="172">
        <v>0</v>
      </c>
      <c r="I419" s="172">
        <v>35.5</v>
      </c>
    </row>
    <row r="420" spans="2:9" hidden="1" x14ac:dyDescent="0.3">
      <c r="B420" s="172" t="s">
        <v>187</v>
      </c>
      <c r="C420" s="172" t="s">
        <v>246</v>
      </c>
      <c r="D420" s="172" t="s">
        <v>218</v>
      </c>
      <c r="E420" s="172">
        <v>8.2380984819870097E-5</v>
      </c>
      <c r="F420" s="172">
        <v>48</v>
      </c>
      <c r="G420" s="172">
        <v>24</v>
      </c>
      <c r="H420" s="172">
        <v>0</v>
      </c>
      <c r="I420" s="172">
        <v>35.5</v>
      </c>
    </row>
    <row r="421" spans="2:9" hidden="1" x14ac:dyDescent="0.3">
      <c r="B421" s="172" t="s">
        <v>185</v>
      </c>
      <c r="C421" s="172" t="s">
        <v>79</v>
      </c>
      <c r="D421" s="172" t="s">
        <v>218</v>
      </c>
      <c r="E421" s="172">
        <v>4.12870374800422E-4</v>
      </c>
      <c r="F421" s="172">
        <v>85</v>
      </c>
      <c r="G421" s="172">
        <v>19.25</v>
      </c>
      <c r="H421" s="172">
        <v>19.25</v>
      </c>
      <c r="I421" s="172">
        <v>32</v>
      </c>
    </row>
    <row r="422" spans="2:9" hidden="1" x14ac:dyDescent="0.3">
      <c r="B422" s="172" t="s">
        <v>185</v>
      </c>
      <c r="C422" s="172" t="s">
        <v>79</v>
      </c>
      <c r="D422" s="172" t="s">
        <v>221</v>
      </c>
      <c r="E422" s="172">
        <v>8.4429513430697494E-5</v>
      </c>
      <c r="F422" s="172">
        <v>61</v>
      </c>
      <c r="G422" s="172">
        <v>0</v>
      </c>
      <c r="H422" s="172">
        <v>0</v>
      </c>
      <c r="I422" s="172">
        <v>32</v>
      </c>
    </row>
    <row r="423" spans="2:9" hidden="1" x14ac:dyDescent="0.3">
      <c r="B423" s="172" t="s">
        <v>185</v>
      </c>
      <c r="C423" s="172" t="s">
        <v>80</v>
      </c>
      <c r="D423" s="172" t="s">
        <v>218</v>
      </c>
      <c r="E423" s="172">
        <v>4.3564458260483097E-4</v>
      </c>
      <c r="F423" s="172">
        <v>48</v>
      </c>
      <c r="G423" s="172">
        <v>24</v>
      </c>
      <c r="H423" s="172">
        <v>0</v>
      </c>
      <c r="I423" s="172">
        <v>32</v>
      </c>
    </row>
    <row r="424" spans="2:9" hidden="1" x14ac:dyDescent="0.3">
      <c r="B424" s="172" t="s">
        <v>185</v>
      </c>
      <c r="C424" s="172" t="s">
        <v>80</v>
      </c>
      <c r="D424" s="172" t="s">
        <v>221</v>
      </c>
      <c r="E424" s="172">
        <v>1.28446043151904E-4</v>
      </c>
      <c r="F424" s="172">
        <v>48</v>
      </c>
      <c r="G424" s="172">
        <v>24</v>
      </c>
      <c r="H424" s="172">
        <v>0</v>
      </c>
      <c r="I424" s="172">
        <v>32</v>
      </c>
    </row>
    <row r="425" spans="2:9" hidden="1" x14ac:dyDescent="0.3">
      <c r="B425" s="172" t="s">
        <v>185</v>
      </c>
      <c r="C425" s="172" t="s">
        <v>81</v>
      </c>
      <c r="D425" s="172" t="s">
        <v>218</v>
      </c>
      <c r="E425" s="172">
        <v>1.2473744138141599E-4</v>
      </c>
      <c r="F425" s="172">
        <v>48</v>
      </c>
      <c r="G425" s="172">
        <v>24</v>
      </c>
      <c r="H425" s="172">
        <v>0</v>
      </c>
      <c r="I425" s="172">
        <v>32</v>
      </c>
    </row>
    <row r="426" spans="2:9" hidden="1" x14ac:dyDescent="0.3">
      <c r="B426" s="172" t="s">
        <v>185</v>
      </c>
      <c r="C426" s="172" t="s">
        <v>81</v>
      </c>
      <c r="D426" s="172" t="s">
        <v>221</v>
      </c>
      <c r="E426" s="172">
        <v>6.2694019079166403E-4</v>
      </c>
      <c r="F426" s="172">
        <v>48</v>
      </c>
      <c r="G426" s="172">
        <v>24</v>
      </c>
      <c r="H426" s="172">
        <v>0</v>
      </c>
      <c r="I426" s="172">
        <v>32</v>
      </c>
    </row>
    <row r="427" spans="2:9" hidden="1" x14ac:dyDescent="0.3">
      <c r="B427" s="172" t="s">
        <v>185</v>
      </c>
      <c r="C427" s="172" t="s">
        <v>82</v>
      </c>
      <c r="D427" s="172" t="s">
        <v>218</v>
      </c>
      <c r="E427" s="172">
        <v>6.6138883422327895E-5</v>
      </c>
      <c r="F427" s="172">
        <v>85</v>
      </c>
      <c r="G427" s="172">
        <v>19.25</v>
      </c>
      <c r="H427" s="172">
        <v>19.25</v>
      </c>
      <c r="I427" s="172">
        <v>32</v>
      </c>
    </row>
    <row r="428" spans="2:9" x14ac:dyDescent="0.3">
      <c r="B428" s="172" t="s">
        <v>185</v>
      </c>
      <c r="C428" s="172" t="s">
        <v>82</v>
      </c>
      <c r="D428" s="172" t="s">
        <v>221</v>
      </c>
      <c r="E428" s="172">
        <v>5.3309465457802201E-4</v>
      </c>
      <c r="F428" s="172">
        <v>64</v>
      </c>
      <c r="G428" s="172">
        <v>0</v>
      </c>
      <c r="H428" s="172">
        <v>19</v>
      </c>
      <c r="I428" s="172">
        <v>32</v>
      </c>
    </row>
    <row r="429" spans="2:9" hidden="1" x14ac:dyDescent="0.3">
      <c r="B429" s="172" t="s">
        <v>185</v>
      </c>
      <c r="C429" s="172" t="s">
        <v>246</v>
      </c>
      <c r="D429" s="172" t="s">
        <v>218</v>
      </c>
      <c r="E429" s="172">
        <v>8.3323130405979596E-5</v>
      </c>
      <c r="F429" s="172">
        <v>48</v>
      </c>
      <c r="G429" s="172">
        <v>24</v>
      </c>
      <c r="H429" s="172">
        <v>0</v>
      </c>
      <c r="I429" s="172">
        <v>32</v>
      </c>
    </row>
    <row r="430" spans="2:9" hidden="1" x14ac:dyDescent="0.3">
      <c r="B430" s="172" t="s">
        <v>183</v>
      </c>
      <c r="C430" s="172" t="s">
        <v>79</v>
      </c>
      <c r="D430" s="172" t="s">
        <v>218</v>
      </c>
      <c r="E430" s="172">
        <v>5.6471327075354805E-4</v>
      </c>
      <c r="F430" s="172">
        <v>85</v>
      </c>
      <c r="G430" s="172">
        <v>19.25</v>
      </c>
      <c r="H430" s="172">
        <v>19.25</v>
      </c>
      <c r="I430" s="172">
        <v>28.5</v>
      </c>
    </row>
    <row r="431" spans="2:9" hidden="1" x14ac:dyDescent="0.3">
      <c r="B431" s="172" t="s">
        <v>183</v>
      </c>
      <c r="C431" s="172" t="s">
        <v>79</v>
      </c>
      <c r="D431" s="172" t="s">
        <v>221</v>
      </c>
      <c r="E431" s="172">
        <v>1.19323013386135E-4</v>
      </c>
      <c r="F431" s="172">
        <v>63</v>
      </c>
      <c r="G431" s="172">
        <v>0</v>
      </c>
      <c r="H431" s="172">
        <v>13</v>
      </c>
      <c r="I431" s="172">
        <v>28.5</v>
      </c>
    </row>
    <row r="432" spans="2:9" hidden="1" x14ac:dyDescent="0.3">
      <c r="B432" s="172" t="s">
        <v>183</v>
      </c>
      <c r="C432" s="172" t="s">
        <v>80</v>
      </c>
      <c r="D432" s="172" t="s">
        <v>218</v>
      </c>
      <c r="E432" s="172">
        <v>5.7912172293959495E-4</v>
      </c>
      <c r="F432" s="172">
        <v>48</v>
      </c>
      <c r="G432" s="172">
        <v>24</v>
      </c>
      <c r="H432" s="172">
        <v>0</v>
      </c>
      <c r="I432" s="172">
        <v>28.5</v>
      </c>
    </row>
    <row r="433" spans="2:9" hidden="1" x14ac:dyDescent="0.3">
      <c r="B433" s="172" t="s">
        <v>183</v>
      </c>
      <c r="C433" s="172" t="s">
        <v>80</v>
      </c>
      <c r="D433" s="172" t="s">
        <v>221</v>
      </c>
      <c r="E433" s="172">
        <v>1.5600881993602301E-4</v>
      </c>
      <c r="F433" s="172">
        <v>42</v>
      </c>
      <c r="G433" s="172">
        <v>24</v>
      </c>
      <c r="H433" s="172">
        <v>4</v>
      </c>
      <c r="I433" s="172">
        <v>28.5</v>
      </c>
    </row>
    <row r="434" spans="2:9" hidden="1" x14ac:dyDescent="0.3">
      <c r="B434" s="172" t="s">
        <v>183</v>
      </c>
      <c r="C434" s="172" t="s">
        <v>81</v>
      </c>
      <c r="D434" s="172" t="s">
        <v>218</v>
      </c>
      <c r="E434" s="172">
        <v>1.4439271665724399E-4</v>
      </c>
      <c r="F434" s="172">
        <v>48</v>
      </c>
      <c r="G434" s="172">
        <v>24</v>
      </c>
      <c r="H434" s="172">
        <v>0</v>
      </c>
      <c r="I434" s="172">
        <v>28.5</v>
      </c>
    </row>
    <row r="435" spans="2:9" hidden="1" x14ac:dyDescent="0.3">
      <c r="B435" s="172" t="s">
        <v>183</v>
      </c>
      <c r="C435" s="172" t="s">
        <v>81</v>
      </c>
      <c r="D435" s="172" t="s">
        <v>221</v>
      </c>
      <c r="E435" s="172">
        <v>7.9671569641361203E-4</v>
      </c>
      <c r="F435" s="172">
        <v>48</v>
      </c>
      <c r="G435" s="172">
        <v>24</v>
      </c>
      <c r="H435" s="172">
        <v>0</v>
      </c>
      <c r="I435" s="172">
        <v>28.5</v>
      </c>
    </row>
    <row r="436" spans="2:9" hidden="1" x14ac:dyDescent="0.3">
      <c r="B436" s="172" t="s">
        <v>183</v>
      </c>
      <c r="C436" s="172" t="s">
        <v>82</v>
      </c>
      <c r="D436" s="172" t="s">
        <v>218</v>
      </c>
      <c r="E436" s="172">
        <v>1.1035728598460601E-4</v>
      </c>
      <c r="F436" s="172">
        <v>85</v>
      </c>
      <c r="G436" s="172">
        <v>19.25</v>
      </c>
      <c r="H436" s="172">
        <v>19.25</v>
      </c>
      <c r="I436" s="172">
        <v>28.5</v>
      </c>
    </row>
    <row r="437" spans="2:9" x14ac:dyDescent="0.3">
      <c r="B437" s="172" t="s">
        <v>183</v>
      </c>
      <c r="C437" s="172" t="s">
        <v>82</v>
      </c>
      <c r="D437" s="172" t="s">
        <v>221</v>
      </c>
      <c r="E437" s="172">
        <v>7.2950816440379204E-4</v>
      </c>
      <c r="F437" s="172">
        <v>64</v>
      </c>
      <c r="G437" s="172">
        <v>0</v>
      </c>
      <c r="H437" s="172">
        <v>19</v>
      </c>
      <c r="I437" s="172">
        <v>28.5</v>
      </c>
    </row>
    <row r="438" spans="2:9" hidden="1" x14ac:dyDescent="0.3">
      <c r="B438" s="172" t="s">
        <v>183</v>
      </c>
      <c r="C438" s="172" t="s">
        <v>246</v>
      </c>
      <c r="D438" s="172" t="s">
        <v>218</v>
      </c>
      <c r="E438" s="172">
        <v>7.9875682176281206E-5</v>
      </c>
      <c r="F438" s="172">
        <v>48</v>
      </c>
      <c r="G438" s="172">
        <v>24</v>
      </c>
      <c r="H438" s="172">
        <v>0</v>
      </c>
      <c r="I438" s="172">
        <v>28.5</v>
      </c>
    </row>
    <row r="439" spans="2:9" hidden="1" x14ac:dyDescent="0.3">
      <c r="B439" s="172" t="s">
        <v>181</v>
      </c>
      <c r="C439" s="172" t="s">
        <v>79</v>
      </c>
      <c r="D439" s="172" t="s">
        <v>218</v>
      </c>
      <c r="E439" s="172">
        <v>6.9481923956387997E-4</v>
      </c>
      <c r="F439" s="172">
        <v>85</v>
      </c>
      <c r="G439" s="172">
        <v>19.25</v>
      </c>
      <c r="H439" s="172">
        <v>19.25</v>
      </c>
      <c r="I439" s="172">
        <v>25</v>
      </c>
    </row>
    <row r="440" spans="2:9" hidden="1" x14ac:dyDescent="0.3">
      <c r="B440" s="172" t="s">
        <v>181</v>
      </c>
      <c r="C440" s="172" t="s">
        <v>79</v>
      </c>
      <c r="D440" s="172" t="s">
        <v>221</v>
      </c>
      <c r="E440" s="172">
        <v>1.4984044564848601E-4</v>
      </c>
      <c r="F440" s="172">
        <v>64</v>
      </c>
      <c r="G440" s="172">
        <v>0</v>
      </c>
      <c r="H440" s="172">
        <v>19</v>
      </c>
      <c r="I440" s="172">
        <v>25</v>
      </c>
    </row>
    <row r="441" spans="2:9" hidden="1" x14ac:dyDescent="0.3">
      <c r="B441" s="172" t="s">
        <v>181</v>
      </c>
      <c r="C441" s="172" t="s">
        <v>80</v>
      </c>
      <c r="D441" s="172" t="s">
        <v>218</v>
      </c>
      <c r="E441" s="172">
        <v>7.0128153505520196E-4</v>
      </c>
      <c r="F441" s="172">
        <v>48</v>
      </c>
      <c r="G441" s="172">
        <v>24</v>
      </c>
      <c r="H441" s="172">
        <v>0</v>
      </c>
      <c r="I441" s="172">
        <v>25</v>
      </c>
    </row>
    <row r="442" spans="2:9" hidden="1" x14ac:dyDescent="0.3">
      <c r="B442" s="172" t="s">
        <v>181</v>
      </c>
      <c r="C442" s="172" t="s">
        <v>80</v>
      </c>
      <c r="D442" s="172" t="s">
        <v>221</v>
      </c>
      <c r="E442" s="172">
        <v>1.79109892028276E-4</v>
      </c>
      <c r="F442" s="172">
        <v>48</v>
      </c>
      <c r="G442" s="172">
        <v>24</v>
      </c>
      <c r="H442" s="172">
        <v>0</v>
      </c>
      <c r="I442" s="172">
        <v>25</v>
      </c>
    </row>
    <row r="443" spans="2:9" hidden="1" x14ac:dyDescent="0.3">
      <c r="B443" s="172" t="s">
        <v>181</v>
      </c>
      <c r="C443" s="172" t="s">
        <v>81</v>
      </c>
      <c r="D443" s="172" t="s">
        <v>218</v>
      </c>
      <c r="E443" s="172">
        <v>1.6007085211433401E-4</v>
      </c>
      <c r="F443" s="172">
        <v>48</v>
      </c>
      <c r="G443" s="172">
        <v>24</v>
      </c>
      <c r="H443" s="172">
        <v>0</v>
      </c>
      <c r="I443" s="172">
        <v>25</v>
      </c>
    </row>
    <row r="444" spans="2:9" hidden="1" x14ac:dyDescent="0.3">
      <c r="B444" s="172" t="s">
        <v>181</v>
      </c>
      <c r="C444" s="172" t="s">
        <v>81</v>
      </c>
      <c r="D444" s="172" t="s">
        <v>221</v>
      </c>
      <c r="E444" s="172">
        <v>9.3748307872188201E-4</v>
      </c>
      <c r="F444" s="172">
        <v>48</v>
      </c>
      <c r="G444" s="172">
        <v>24</v>
      </c>
      <c r="H444" s="172">
        <v>0</v>
      </c>
      <c r="I444" s="172">
        <v>25</v>
      </c>
    </row>
    <row r="445" spans="2:9" hidden="1" x14ac:dyDescent="0.3">
      <c r="B445" s="172" t="s">
        <v>181</v>
      </c>
      <c r="C445" s="172" t="s">
        <v>82</v>
      </c>
      <c r="D445" s="172" t="s">
        <v>218</v>
      </c>
      <c r="E445" s="172">
        <v>1.49140432848232E-4</v>
      </c>
      <c r="F445" s="172">
        <v>85</v>
      </c>
      <c r="G445" s="172">
        <v>19.25</v>
      </c>
      <c r="H445" s="172">
        <v>19.25</v>
      </c>
      <c r="I445" s="172">
        <v>25</v>
      </c>
    </row>
    <row r="446" spans="2:9" x14ac:dyDescent="0.3">
      <c r="B446" s="172" t="s">
        <v>181</v>
      </c>
      <c r="C446" s="172" t="s">
        <v>82</v>
      </c>
      <c r="D446" s="172" t="s">
        <v>221</v>
      </c>
      <c r="E446" s="172">
        <v>8.9596855251814996E-4</v>
      </c>
      <c r="F446" s="172">
        <v>64</v>
      </c>
      <c r="G446" s="172">
        <v>0</v>
      </c>
      <c r="H446" s="172">
        <v>19</v>
      </c>
      <c r="I446" s="172">
        <v>25</v>
      </c>
    </row>
    <row r="447" spans="2:9" hidden="1" x14ac:dyDescent="0.3">
      <c r="B447" s="172" t="s">
        <v>181</v>
      </c>
      <c r="C447" s="172" t="s">
        <v>246</v>
      </c>
      <c r="D447" s="172" t="s">
        <v>218</v>
      </c>
      <c r="E447" s="172">
        <v>7.4440124359417294E-5</v>
      </c>
      <c r="F447" s="172">
        <v>48</v>
      </c>
      <c r="G447" s="172">
        <v>24</v>
      </c>
      <c r="H447" s="172">
        <v>0</v>
      </c>
      <c r="I447" s="172">
        <v>25</v>
      </c>
    </row>
    <row r="448" spans="2:9" hidden="1" x14ac:dyDescent="0.3">
      <c r="B448" s="172" t="s">
        <v>179</v>
      </c>
      <c r="C448" s="172" t="s">
        <v>79</v>
      </c>
      <c r="D448" s="172" t="s">
        <v>218</v>
      </c>
      <c r="E448" s="172">
        <v>8.0453153932631704E-4</v>
      </c>
      <c r="F448" s="172">
        <v>85</v>
      </c>
      <c r="G448" s="172">
        <v>19.25</v>
      </c>
      <c r="H448" s="172">
        <v>19.25</v>
      </c>
      <c r="I448" s="172">
        <v>21.5</v>
      </c>
    </row>
    <row r="449" spans="2:9" hidden="1" x14ac:dyDescent="0.3">
      <c r="B449" s="172" t="s">
        <v>179</v>
      </c>
      <c r="C449" s="172" t="s">
        <v>79</v>
      </c>
      <c r="D449" s="172" t="s">
        <v>221</v>
      </c>
      <c r="E449" s="172">
        <v>1.7658775407721299E-4</v>
      </c>
      <c r="F449" s="172">
        <v>64</v>
      </c>
      <c r="G449" s="172">
        <v>0</v>
      </c>
      <c r="H449" s="172">
        <v>19</v>
      </c>
      <c r="I449" s="172">
        <v>21.5</v>
      </c>
    </row>
    <row r="450" spans="2:9" hidden="1" x14ac:dyDescent="0.3">
      <c r="B450" s="172" t="s">
        <v>179</v>
      </c>
      <c r="C450" s="172" t="s">
        <v>80</v>
      </c>
      <c r="D450" s="172" t="s">
        <v>218</v>
      </c>
      <c r="E450" s="172">
        <v>8.02497842518744E-4</v>
      </c>
      <c r="F450" s="172">
        <v>48</v>
      </c>
      <c r="G450" s="172">
        <v>24</v>
      </c>
      <c r="H450" s="172">
        <v>0</v>
      </c>
      <c r="I450" s="172">
        <v>21.5</v>
      </c>
    </row>
    <row r="451" spans="2:9" hidden="1" x14ac:dyDescent="0.3">
      <c r="B451" s="172" t="s">
        <v>179</v>
      </c>
      <c r="C451" s="172" t="s">
        <v>80</v>
      </c>
      <c r="D451" s="172" t="s">
        <v>221</v>
      </c>
      <c r="E451" s="172">
        <v>1.97300818969664E-4</v>
      </c>
      <c r="F451" s="172">
        <v>48</v>
      </c>
      <c r="G451" s="172">
        <v>24</v>
      </c>
      <c r="H451" s="172">
        <v>0</v>
      </c>
      <c r="I451" s="172">
        <v>21.5</v>
      </c>
    </row>
    <row r="452" spans="2:9" hidden="1" x14ac:dyDescent="0.3">
      <c r="B452" s="172" t="s">
        <v>179</v>
      </c>
      <c r="C452" s="172" t="s">
        <v>81</v>
      </c>
      <c r="D452" s="172" t="s">
        <v>218</v>
      </c>
      <c r="E452" s="172">
        <v>1.71566539646449E-4</v>
      </c>
      <c r="F452" s="172">
        <v>48</v>
      </c>
      <c r="G452" s="172">
        <v>24</v>
      </c>
      <c r="H452" s="172">
        <v>0</v>
      </c>
      <c r="I452" s="172">
        <v>21.5</v>
      </c>
    </row>
    <row r="453" spans="2:9" hidden="1" x14ac:dyDescent="0.3">
      <c r="B453" s="172" t="s">
        <v>179</v>
      </c>
      <c r="C453" s="172" t="s">
        <v>81</v>
      </c>
      <c r="D453" s="172" t="s">
        <v>221</v>
      </c>
      <c r="E453" s="172">
        <v>1.0519397317611599E-3</v>
      </c>
      <c r="F453" s="172">
        <v>48</v>
      </c>
      <c r="G453" s="172">
        <v>24</v>
      </c>
      <c r="H453" s="172">
        <v>0</v>
      </c>
      <c r="I453" s="172">
        <v>21.5</v>
      </c>
    </row>
    <row r="454" spans="2:9" hidden="1" x14ac:dyDescent="0.3">
      <c r="B454" s="172" t="s">
        <v>179</v>
      </c>
      <c r="C454" s="172" t="s">
        <v>82</v>
      </c>
      <c r="D454" s="172" t="s">
        <v>218</v>
      </c>
      <c r="E454" s="172">
        <v>1.8320318698724299E-4</v>
      </c>
      <c r="F454" s="172">
        <v>85</v>
      </c>
      <c r="G454" s="172">
        <v>19.25</v>
      </c>
      <c r="H454" s="172">
        <v>19.25</v>
      </c>
      <c r="I454" s="172">
        <v>21.5</v>
      </c>
    </row>
    <row r="455" spans="2:9" x14ac:dyDescent="0.3">
      <c r="B455" s="172" t="s">
        <v>179</v>
      </c>
      <c r="C455" s="172" t="s">
        <v>82</v>
      </c>
      <c r="D455" s="172" t="s">
        <v>221</v>
      </c>
      <c r="E455" s="172">
        <v>1.0360635406257499E-3</v>
      </c>
      <c r="F455" s="172">
        <v>64</v>
      </c>
      <c r="G455" s="172">
        <v>0</v>
      </c>
      <c r="H455" s="172">
        <v>19</v>
      </c>
      <c r="I455" s="172">
        <v>21.5</v>
      </c>
    </row>
    <row r="456" spans="2:9" hidden="1" x14ac:dyDescent="0.3">
      <c r="B456" s="172" t="s">
        <v>179</v>
      </c>
      <c r="C456" s="172" t="s">
        <v>246</v>
      </c>
      <c r="D456" s="172" t="s">
        <v>218</v>
      </c>
      <c r="E456" s="172">
        <v>6.7445731025336702E-5</v>
      </c>
      <c r="F456" s="172">
        <v>48</v>
      </c>
      <c r="G456" s="172">
        <v>24</v>
      </c>
      <c r="H456" s="172">
        <v>0</v>
      </c>
      <c r="I456" s="172">
        <v>21.5</v>
      </c>
    </row>
    <row r="457" spans="2:9" hidden="1" x14ac:dyDescent="0.3">
      <c r="B457" s="172" t="s">
        <v>39</v>
      </c>
      <c r="C457" s="172" t="s">
        <v>79</v>
      </c>
      <c r="D457" s="172" t="s">
        <v>218</v>
      </c>
      <c r="E457" s="172">
        <v>8.94393631702251E-4</v>
      </c>
      <c r="F457" s="172">
        <v>85</v>
      </c>
      <c r="G457" s="172">
        <v>19.25</v>
      </c>
      <c r="H457" s="172">
        <v>19.25</v>
      </c>
      <c r="I457" s="172">
        <v>18</v>
      </c>
    </row>
    <row r="458" spans="2:9" hidden="1" x14ac:dyDescent="0.3">
      <c r="B458" s="172" t="s">
        <v>39</v>
      </c>
      <c r="C458" s="172" t="s">
        <v>79</v>
      </c>
      <c r="D458" s="172" t="s">
        <v>221</v>
      </c>
      <c r="E458" s="172">
        <v>2.0530426720859001E-4</v>
      </c>
      <c r="F458" s="172">
        <v>64</v>
      </c>
      <c r="G458" s="172">
        <v>0</v>
      </c>
      <c r="H458" s="172">
        <v>19</v>
      </c>
      <c r="I458" s="172">
        <v>18</v>
      </c>
    </row>
    <row r="459" spans="2:9" hidden="1" x14ac:dyDescent="0.3">
      <c r="B459" s="172" t="s">
        <v>39</v>
      </c>
      <c r="C459" s="172" t="s">
        <v>80</v>
      </c>
      <c r="D459" s="172" t="s">
        <v>218</v>
      </c>
      <c r="E459" s="172">
        <v>8.7216921801314704E-4</v>
      </c>
      <c r="F459" s="172">
        <v>48</v>
      </c>
      <c r="G459" s="172">
        <v>24</v>
      </c>
      <c r="H459" s="172">
        <v>0</v>
      </c>
      <c r="I459" s="172">
        <v>18</v>
      </c>
    </row>
    <row r="460" spans="2:9" hidden="1" x14ac:dyDescent="0.3">
      <c r="B460" s="172" t="s">
        <v>39</v>
      </c>
      <c r="C460" s="172" t="s">
        <v>80</v>
      </c>
      <c r="D460" s="172" t="s">
        <v>221</v>
      </c>
      <c r="E460" s="172">
        <v>2.0303063606895999E-4</v>
      </c>
      <c r="F460" s="172">
        <v>48</v>
      </c>
      <c r="G460" s="172">
        <v>24</v>
      </c>
      <c r="H460" s="172">
        <v>0</v>
      </c>
      <c r="I460" s="172">
        <v>18</v>
      </c>
    </row>
    <row r="461" spans="2:9" hidden="1" x14ac:dyDescent="0.3">
      <c r="B461" s="172" t="s">
        <v>39</v>
      </c>
      <c r="C461" s="172" t="s">
        <v>81</v>
      </c>
      <c r="D461" s="172" t="s">
        <v>218</v>
      </c>
      <c r="E461" s="172">
        <v>1.7661301134987099E-4</v>
      </c>
      <c r="F461" s="172">
        <v>48</v>
      </c>
      <c r="G461" s="172">
        <v>24</v>
      </c>
      <c r="H461" s="172">
        <v>0</v>
      </c>
      <c r="I461" s="172">
        <v>18</v>
      </c>
    </row>
    <row r="462" spans="2:9" hidden="1" x14ac:dyDescent="0.3">
      <c r="B462" s="172" t="s">
        <v>39</v>
      </c>
      <c r="C462" s="172" t="s">
        <v>81</v>
      </c>
      <c r="D462" s="172" t="s">
        <v>221</v>
      </c>
      <c r="E462" s="172">
        <v>1.14067457835161E-3</v>
      </c>
      <c r="F462" s="172">
        <v>48</v>
      </c>
      <c r="G462" s="172">
        <v>24</v>
      </c>
      <c r="H462" s="172">
        <v>0</v>
      </c>
      <c r="I462" s="172">
        <v>18</v>
      </c>
    </row>
    <row r="463" spans="2:9" hidden="1" x14ac:dyDescent="0.3">
      <c r="B463" s="172" t="s">
        <v>39</v>
      </c>
      <c r="C463" s="172" t="s">
        <v>82</v>
      </c>
      <c r="D463" s="172" t="s">
        <v>218</v>
      </c>
      <c r="E463" s="172">
        <v>2.1458112733935299E-4</v>
      </c>
      <c r="F463" s="172">
        <v>85</v>
      </c>
      <c r="G463" s="172">
        <v>19.25</v>
      </c>
      <c r="H463" s="172">
        <v>19.25</v>
      </c>
      <c r="I463" s="172">
        <v>18</v>
      </c>
    </row>
    <row r="464" spans="2:9" x14ac:dyDescent="0.3">
      <c r="B464" s="172" t="s">
        <v>39</v>
      </c>
      <c r="C464" s="172" t="s">
        <v>82</v>
      </c>
      <c r="D464" s="172" t="s">
        <v>221</v>
      </c>
      <c r="E464" s="172">
        <v>1.1549123823423001E-3</v>
      </c>
      <c r="F464" s="172">
        <v>64</v>
      </c>
      <c r="G464" s="172">
        <v>0</v>
      </c>
      <c r="H464" s="172">
        <v>19</v>
      </c>
      <c r="I464" s="172">
        <v>18</v>
      </c>
    </row>
    <row r="465" spans="2:9" hidden="1" x14ac:dyDescent="0.3">
      <c r="B465" s="172" t="s">
        <v>39</v>
      </c>
      <c r="C465" s="172" t="s">
        <v>246</v>
      </c>
      <c r="D465" s="172" t="s">
        <v>218</v>
      </c>
      <c r="E465" s="172">
        <v>6.11699157203483E-5</v>
      </c>
      <c r="F465" s="172">
        <v>48</v>
      </c>
      <c r="G465" s="172">
        <v>24</v>
      </c>
      <c r="H465" s="172">
        <v>0</v>
      </c>
      <c r="I465" s="172">
        <v>18</v>
      </c>
    </row>
    <row r="466" spans="2:9" hidden="1" x14ac:dyDescent="0.3">
      <c r="B466" s="172" t="s">
        <v>26</v>
      </c>
      <c r="C466" s="172" t="s">
        <v>79</v>
      </c>
      <c r="D466" s="172" t="s">
        <v>218</v>
      </c>
      <c r="E466" s="172">
        <v>9.6715808354508998E-4</v>
      </c>
      <c r="F466" s="172">
        <v>85</v>
      </c>
      <c r="G466" s="172">
        <v>19.25</v>
      </c>
      <c r="H466" s="172">
        <v>19.25</v>
      </c>
      <c r="I466" s="172">
        <v>14.5</v>
      </c>
    </row>
    <row r="467" spans="2:9" hidden="1" x14ac:dyDescent="0.3">
      <c r="B467" s="172" t="s">
        <v>26</v>
      </c>
      <c r="C467" s="172" t="s">
        <v>79</v>
      </c>
      <c r="D467" s="172" t="s">
        <v>221</v>
      </c>
      <c r="E467" s="172">
        <v>2.3041550675581001E-4</v>
      </c>
      <c r="F467" s="172">
        <v>64</v>
      </c>
      <c r="G467" s="172">
        <v>0</v>
      </c>
      <c r="H467" s="172">
        <v>19</v>
      </c>
      <c r="I467" s="172">
        <v>14.5</v>
      </c>
    </row>
    <row r="468" spans="2:9" hidden="1" x14ac:dyDescent="0.3">
      <c r="B468" s="172" t="s">
        <v>26</v>
      </c>
      <c r="C468" s="172" t="s">
        <v>80</v>
      </c>
      <c r="D468" s="172" t="s">
        <v>218</v>
      </c>
      <c r="E468" s="172">
        <v>9.2365653089868896E-4</v>
      </c>
      <c r="F468" s="172">
        <v>48</v>
      </c>
      <c r="G468" s="172">
        <v>24</v>
      </c>
      <c r="H468" s="172">
        <v>0</v>
      </c>
      <c r="I468" s="172">
        <v>14.5</v>
      </c>
    </row>
    <row r="469" spans="2:9" hidden="1" x14ac:dyDescent="0.3">
      <c r="B469" s="172" t="s">
        <v>26</v>
      </c>
      <c r="C469" s="172" t="s">
        <v>80</v>
      </c>
      <c r="D469" s="172" t="s">
        <v>221</v>
      </c>
      <c r="E469" s="172">
        <v>2.0330990481240199E-4</v>
      </c>
      <c r="F469" s="172">
        <v>48</v>
      </c>
      <c r="G469" s="172">
        <v>24</v>
      </c>
      <c r="H469" s="172">
        <v>0</v>
      </c>
      <c r="I469" s="172">
        <v>14.5</v>
      </c>
    </row>
    <row r="470" spans="2:9" hidden="1" x14ac:dyDescent="0.3">
      <c r="B470" s="172" t="s">
        <v>26</v>
      </c>
      <c r="C470" s="172" t="s">
        <v>81</v>
      </c>
      <c r="D470" s="172" t="s">
        <v>218</v>
      </c>
      <c r="E470" s="172">
        <v>1.77099930103463E-4</v>
      </c>
      <c r="F470" s="172">
        <v>48</v>
      </c>
      <c r="G470" s="172">
        <v>24</v>
      </c>
      <c r="H470" s="172">
        <v>0</v>
      </c>
      <c r="I470" s="172">
        <v>14.5</v>
      </c>
    </row>
    <row r="471" spans="2:9" hidden="1" x14ac:dyDescent="0.3">
      <c r="B471" s="172" t="s">
        <v>26</v>
      </c>
      <c r="C471" s="172" t="s">
        <v>81</v>
      </c>
      <c r="D471" s="172" t="s">
        <v>221</v>
      </c>
      <c r="E471" s="172">
        <v>1.2076836263280001E-3</v>
      </c>
      <c r="F471" s="172">
        <v>48</v>
      </c>
      <c r="G471" s="172">
        <v>24</v>
      </c>
      <c r="H471" s="172">
        <v>0</v>
      </c>
      <c r="I471" s="172">
        <v>14.5</v>
      </c>
    </row>
    <row r="472" spans="2:9" hidden="1" x14ac:dyDescent="0.3">
      <c r="B472" s="172" t="s">
        <v>26</v>
      </c>
      <c r="C472" s="172" t="s">
        <v>82</v>
      </c>
      <c r="D472" s="172" t="s">
        <v>218</v>
      </c>
      <c r="E472" s="172">
        <v>2.4238903539662099E-4</v>
      </c>
      <c r="F472" s="172">
        <v>85</v>
      </c>
      <c r="G472" s="172">
        <v>19.25</v>
      </c>
      <c r="H472" s="172">
        <v>19.25</v>
      </c>
      <c r="I472" s="172">
        <v>14.5</v>
      </c>
    </row>
    <row r="473" spans="2:9" x14ac:dyDescent="0.3">
      <c r="B473" s="172" t="s">
        <v>26</v>
      </c>
      <c r="C473" s="172" t="s">
        <v>82</v>
      </c>
      <c r="D473" s="172" t="s">
        <v>221</v>
      </c>
      <c r="E473" s="172">
        <v>1.25385121477958E-3</v>
      </c>
      <c r="F473" s="172">
        <v>64</v>
      </c>
      <c r="G473" s="172">
        <v>0</v>
      </c>
      <c r="H473" s="172">
        <v>19</v>
      </c>
      <c r="I473" s="172">
        <v>14.5</v>
      </c>
    </row>
    <row r="474" spans="2:9" hidden="1" x14ac:dyDescent="0.3">
      <c r="B474" s="172" t="s">
        <v>26</v>
      </c>
      <c r="C474" s="172" t="s">
        <v>246</v>
      </c>
      <c r="D474" s="172" t="s">
        <v>218</v>
      </c>
      <c r="E474" s="172">
        <v>5.2441927930410402E-5</v>
      </c>
      <c r="F474" s="172">
        <v>48</v>
      </c>
      <c r="G474" s="172">
        <v>24</v>
      </c>
      <c r="H474" s="172">
        <v>0</v>
      </c>
      <c r="I474" s="172">
        <v>14.5</v>
      </c>
    </row>
    <row r="475" spans="2:9" hidden="1" x14ac:dyDescent="0.3">
      <c r="B475" s="172" t="s">
        <v>25</v>
      </c>
      <c r="C475" s="172" t="s">
        <v>79</v>
      </c>
      <c r="D475" s="172" t="s">
        <v>218</v>
      </c>
      <c r="E475" s="172">
        <v>1.02220542515514E-3</v>
      </c>
      <c r="F475" s="172">
        <v>85</v>
      </c>
      <c r="G475" s="172">
        <v>19.25</v>
      </c>
      <c r="H475" s="172">
        <v>19.25</v>
      </c>
      <c r="I475" s="172">
        <v>11</v>
      </c>
    </row>
    <row r="476" spans="2:9" hidden="1" x14ac:dyDescent="0.3">
      <c r="B476" s="172" t="s">
        <v>25</v>
      </c>
      <c r="C476" s="172" t="s">
        <v>79</v>
      </c>
      <c r="D476" s="172" t="s">
        <v>221</v>
      </c>
      <c r="E476" s="172">
        <v>2.4435727578425498E-4</v>
      </c>
      <c r="F476" s="172">
        <v>64</v>
      </c>
      <c r="G476" s="172">
        <v>0</v>
      </c>
      <c r="H476" s="172">
        <v>19</v>
      </c>
      <c r="I476" s="172">
        <v>11</v>
      </c>
    </row>
    <row r="477" spans="2:9" hidden="1" x14ac:dyDescent="0.3">
      <c r="B477" s="172" t="s">
        <v>25</v>
      </c>
      <c r="C477" s="172" t="s">
        <v>80</v>
      </c>
      <c r="D477" s="172" t="s">
        <v>218</v>
      </c>
      <c r="E477" s="172">
        <v>9.6850425522900397E-4</v>
      </c>
      <c r="F477" s="172">
        <v>48</v>
      </c>
      <c r="G477" s="172">
        <v>24</v>
      </c>
      <c r="H477" s="172">
        <v>0</v>
      </c>
      <c r="I477" s="172">
        <v>11</v>
      </c>
    </row>
    <row r="478" spans="2:9" hidden="1" x14ac:dyDescent="0.3">
      <c r="B478" s="172" t="s">
        <v>25</v>
      </c>
      <c r="C478" s="172" t="s">
        <v>80</v>
      </c>
      <c r="D478" s="172" t="s">
        <v>221</v>
      </c>
      <c r="E478" s="172">
        <v>2.0501177979016899E-4</v>
      </c>
      <c r="F478" s="172">
        <v>48</v>
      </c>
      <c r="G478" s="172">
        <v>24</v>
      </c>
      <c r="H478" s="172">
        <v>0</v>
      </c>
      <c r="I478" s="172">
        <v>11</v>
      </c>
    </row>
    <row r="479" spans="2:9" hidden="1" x14ac:dyDescent="0.3">
      <c r="B479" s="172" t="s">
        <v>25</v>
      </c>
      <c r="C479" s="172" t="s">
        <v>81</v>
      </c>
      <c r="D479" s="172" t="s">
        <v>218</v>
      </c>
      <c r="E479" s="172">
        <v>1.74423113308011E-4</v>
      </c>
      <c r="F479" s="172">
        <v>48</v>
      </c>
      <c r="G479" s="172">
        <v>24</v>
      </c>
      <c r="H479" s="172">
        <v>0</v>
      </c>
      <c r="I479" s="172">
        <v>11</v>
      </c>
    </row>
    <row r="480" spans="2:9" hidden="1" x14ac:dyDescent="0.3">
      <c r="B480" s="172" t="s">
        <v>25</v>
      </c>
      <c r="C480" s="172" t="s">
        <v>81</v>
      </c>
      <c r="D480" s="172" t="s">
        <v>221</v>
      </c>
      <c r="E480" s="172">
        <v>1.24961229594255E-3</v>
      </c>
      <c r="F480" s="172">
        <v>48</v>
      </c>
      <c r="G480" s="172">
        <v>24</v>
      </c>
      <c r="H480" s="172">
        <v>0</v>
      </c>
      <c r="I480" s="172">
        <v>11</v>
      </c>
    </row>
    <row r="481" spans="2:9" hidden="1" x14ac:dyDescent="0.3">
      <c r="B481" s="172" t="s">
        <v>25</v>
      </c>
      <c r="C481" s="172" t="s">
        <v>82</v>
      </c>
      <c r="D481" s="172" t="s">
        <v>218</v>
      </c>
      <c r="E481" s="172">
        <v>2.64156646809065E-4</v>
      </c>
      <c r="F481" s="172">
        <v>85</v>
      </c>
      <c r="G481" s="172">
        <v>19.25</v>
      </c>
      <c r="H481" s="172">
        <v>19.25</v>
      </c>
      <c r="I481" s="172">
        <v>11</v>
      </c>
    </row>
    <row r="482" spans="2:9" x14ac:dyDescent="0.3">
      <c r="B482" s="172" t="s">
        <v>25</v>
      </c>
      <c r="C482" s="172" t="s">
        <v>82</v>
      </c>
      <c r="D482" s="172" t="s">
        <v>221</v>
      </c>
      <c r="E482" s="172">
        <v>1.32564783904183E-3</v>
      </c>
      <c r="F482" s="172">
        <v>64</v>
      </c>
      <c r="G482" s="172">
        <v>0</v>
      </c>
      <c r="H482" s="172">
        <v>19</v>
      </c>
      <c r="I482" s="172">
        <v>11</v>
      </c>
    </row>
    <row r="483" spans="2:9" hidden="1" x14ac:dyDescent="0.3">
      <c r="B483" s="172" t="s">
        <v>25</v>
      </c>
      <c r="C483" s="172" t="s">
        <v>246</v>
      </c>
      <c r="D483" s="172" t="s">
        <v>218</v>
      </c>
      <c r="E483" s="172">
        <v>3.8440666840903803E-5</v>
      </c>
      <c r="F483" s="172">
        <v>48</v>
      </c>
      <c r="G483" s="172">
        <v>24</v>
      </c>
      <c r="H483" s="172">
        <v>0</v>
      </c>
      <c r="I483" s="172">
        <v>11</v>
      </c>
    </row>
    <row r="484" spans="2:9" hidden="1" x14ac:dyDescent="0.3">
      <c r="B484" s="172" t="s">
        <v>24</v>
      </c>
      <c r="C484" s="172" t="s">
        <v>79</v>
      </c>
      <c r="D484" s="172" t="s">
        <v>218</v>
      </c>
      <c r="E484" s="172">
        <v>1.03883292085039E-3</v>
      </c>
      <c r="F484" s="172">
        <v>85</v>
      </c>
      <c r="G484" s="172">
        <v>19.25</v>
      </c>
      <c r="H484" s="172">
        <v>19.25</v>
      </c>
      <c r="I484" s="172">
        <v>7.5</v>
      </c>
    </row>
    <row r="485" spans="2:9" hidden="1" x14ac:dyDescent="0.3">
      <c r="B485" s="172" t="s">
        <v>24</v>
      </c>
      <c r="C485" s="172" t="s">
        <v>79</v>
      </c>
      <c r="D485" s="172" t="s">
        <v>221</v>
      </c>
      <c r="E485" s="172">
        <v>2.4300275139206001E-4</v>
      </c>
      <c r="F485" s="172">
        <v>64</v>
      </c>
      <c r="G485" s="172">
        <v>0</v>
      </c>
      <c r="H485" s="172">
        <v>19</v>
      </c>
      <c r="I485" s="172">
        <v>7.5</v>
      </c>
    </row>
    <row r="486" spans="2:9" hidden="1" x14ac:dyDescent="0.3">
      <c r="B486" s="172" t="s">
        <v>24</v>
      </c>
      <c r="C486" s="172" t="s">
        <v>80</v>
      </c>
      <c r="D486" s="172" t="s">
        <v>218</v>
      </c>
      <c r="E486" s="172">
        <v>9.834039032800561E-4</v>
      </c>
      <c r="F486" s="172">
        <v>48</v>
      </c>
      <c r="G486" s="172">
        <v>24</v>
      </c>
      <c r="H486" s="172">
        <v>0</v>
      </c>
      <c r="I486" s="172">
        <v>7.5</v>
      </c>
    </row>
    <row r="487" spans="2:9" hidden="1" x14ac:dyDescent="0.3">
      <c r="B487" s="172" t="s">
        <v>24</v>
      </c>
      <c r="C487" s="172" t="s">
        <v>80</v>
      </c>
      <c r="D487" s="172" t="s">
        <v>221</v>
      </c>
      <c r="E487" s="172">
        <v>2.0138956478228599E-4</v>
      </c>
      <c r="F487" s="172">
        <v>48</v>
      </c>
      <c r="G487" s="172">
        <v>24</v>
      </c>
      <c r="H487" s="172">
        <v>0</v>
      </c>
      <c r="I487" s="172">
        <v>7.5</v>
      </c>
    </row>
    <row r="488" spans="2:9" hidden="1" x14ac:dyDescent="0.3">
      <c r="B488" s="172" t="s">
        <v>24</v>
      </c>
      <c r="C488" s="172" t="s">
        <v>81</v>
      </c>
      <c r="D488" s="172" t="s">
        <v>221</v>
      </c>
      <c r="E488" s="172">
        <v>1.2400629256776E-3</v>
      </c>
      <c r="F488" s="172">
        <v>48</v>
      </c>
      <c r="G488" s="172">
        <v>24</v>
      </c>
      <c r="H488" s="172">
        <v>0</v>
      </c>
      <c r="I488" s="172">
        <v>7.5</v>
      </c>
    </row>
    <row r="489" spans="2:9" hidden="1" x14ac:dyDescent="0.3">
      <c r="B489" s="172" t="s">
        <v>24</v>
      </c>
      <c r="C489" s="172" t="s">
        <v>82</v>
      </c>
      <c r="D489" s="172" t="s">
        <v>218</v>
      </c>
      <c r="E489" s="172">
        <v>2.7032930911155101E-4</v>
      </c>
      <c r="F489" s="172">
        <v>85</v>
      </c>
      <c r="G489" s="172">
        <v>19.25</v>
      </c>
      <c r="H489" s="172">
        <v>19.25</v>
      </c>
      <c r="I489" s="172">
        <v>7.5</v>
      </c>
    </row>
    <row r="490" spans="2:9" x14ac:dyDescent="0.3">
      <c r="B490" s="172" t="s">
        <v>24</v>
      </c>
      <c r="C490" s="172" t="s">
        <v>82</v>
      </c>
      <c r="D490" s="172" t="s">
        <v>221</v>
      </c>
      <c r="E490" s="172">
        <v>1.3299623689886199E-3</v>
      </c>
      <c r="F490" s="172">
        <v>64</v>
      </c>
      <c r="G490" s="172">
        <v>0</v>
      </c>
      <c r="H490" s="172">
        <v>19</v>
      </c>
      <c r="I490" s="172">
        <v>7.5</v>
      </c>
    </row>
    <row r="491" spans="2:9" hidden="1" x14ac:dyDescent="0.3">
      <c r="B491" s="172" t="s">
        <v>24</v>
      </c>
      <c r="C491" s="172" t="s">
        <v>246</v>
      </c>
      <c r="D491" s="172" t="s">
        <v>218</v>
      </c>
      <c r="E491" s="172">
        <v>2.0746725013980202E-5</v>
      </c>
      <c r="F491" s="172">
        <v>48</v>
      </c>
      <c r="G491" s="172">
        <v>24</v>
      </c>
      <c r="H491" s="172">
        <v>0</v>
      </c>
      <c r="I491" s="172">
        <v>7.5</v>
      </c>
    </row>
    <row r="492" spans="2:9" hidden="1" x14ac:dyDescent="0.3">
      <c r="B492" s="172" t="s">
        <v>22</v>
      </c>
      <c r="C492" s="172" t="s">
        <v>79</v>
      </c>
      <c r="D492" s="172" t="s">
        <v>218</v>
      </c>
      <c r="E492" s="172">
        <v>7.8287492538338496E-4</v>
      </c>
      <c r="F492" s="172">
        <v>14</v>
      </c>
      <c r="G492" s="172">
        <v>19</v>
      </c>
      <c r="H492" s="172">
        <v>19</v>
      </c>
      <c r="I492" s="172">
        <v>4</v>
      </c>
    </row>
    <row r="493" spans="2:9" hidden="1" x14ac:dyDescent="0.3">
      <c r="B493" s="172" t="s">
        <v>22</v>
      </c>
      <c r="C493" s="172" t="s">
        <v>79</v>
      </c>
      <c r="D493" s="172" t="s">
        <v>221</v>
      </c>
      <c r="E493" s="172">
        <v>1.6302968425894199E-4</v>
      </c>
      <c r="F493" s="172">
        <v>64</v>
      </c>
      <c r="G493" s="172">
        <v>0</v>
      </c>
      <c r="H493" s="172">
        <v>19</v>
      </c>
      <c r="I493" s="172">
        <v>4</v>
      </c>
    </row>
    <row r="494" spans="2:9" hidden="1" x14ac:dyDescent="0.3">
      <c r="B494" s="172" t="s">
        <v>22</v>
      </c>
      <c r="C494" s="172" t="s">
        <v>80</v>
      </c>
      <c r="D494" s="172" t="s">
        <v>218</v>
      </c>
      <c r="E494" s="172">
        <v>7.6782055340269195E-4</v>
      </c>
      <c r="F494" s="172">
        <v>48</v>
      </c>
      <c r="G494" s="172">
        <v>24</v>
      </c>
      <c r="H494" s="172">
        <v>0</v>
      </c>
      <c r="I494" s="172">
        <v>4</v>
      </c>
    </row>
    <row r="495" spans="2:9" hidden="1" x14ac:dyDescent="0.3">
      <c r="B495" s="172" t="s">
        <v>22</v>
      </c>
      <c r="C495" s="172" t="s">
        <v>80</v>
      </c>
      <c r="D495" s="172" t="s">
        <v>221</v>
      </c>
      <c r="E495" s="172">
        <v>1.65148722962058E-4</v>
      </c>
      <c r="F495" s="172">
        <v>48</v>
      </c>
      <c r="G495" s="172">
        <v>24</v>
      </c>
      <c r="H495" s="172">
        <v>0</v>
      </c>
      <c r="I495" s="172">
        <v>4</v>
      </c>
    </row>
    <row r="496" spans="2:9" hidden="1" x14ac:dyDescent="0.3">
      <c r="B496" s="172" t="s">
        <v>22</v>
      </c>
      <c r="C496" s="172" t="s">
        <v>81</v>
      </c>
      <c r="D496" s="172" t="s">
        <v>218</v>
      </c>
      <c r="E496" s="172">
        <v>1.46345305485567E-4</v>
      </c>
      <c r="F496" s="172">
        <v>48</v>
      </c>
      <c r="G496" s="172">
        <v>24</v>
      </c>
      <c r="H496" s="172">
        <v>0</v>
      </c>
      <c r="I496" s="172">
        <v>4</v>
      </c>
    </row>
    <row r="497" spans="2:9" hidden="1" x14ac:dyDescent="0.3">
      <c r="B497" s="172" t="s">
        <v>22</v>
      </c>
      <c r="C497" s="172" t="s">
        <v>81</v>
      </c>
      <c r="D497" s="172" t="s">
        <v>221</v>
      </c>
      <c r="E497" s="172">
        <v>9.0989095877297204E-4</v>
      </c>
      <c r="F497" s="172">
        <v>48</v>
      </c>
      <c r="G497" s="172">
        <v>24</v>
      </c>
      <c r="H497" s="172">
        <v>0</v>
      </c>
      <c r="I497" s="172">
        <v>4</v>
      </c>
    </row>
    <row r="498" spans="2:9" hidden="1" x14ac:dyDescent="0.3">
      <c r="B498" s="172" t="s">
        <v>22</v>
      </c>
      <c r="C498" s="172" t="s">
        <v>82</v>
      </c>
      <c r="D498" s="172" t="s">
        <v>218</v>
      </c>
      <c r="E498" s="172">
        <v>1.86154769740848E-4</v>
      </c>
      <c r="F498" s="172">
        <v>14</v>
      </c>
      <c r="G498" s="172">
        <v>19</v>
      </c>
      <c r="H498" s="172">
        <v>19</v>
      </c>
      <c r="I498" s="172">
        <v>4</v>
      </c>
    </row>
    <row r="499" spans="2:9" x14ac:dyDescent="0.3">
      <c r="B499" s="172" t="s">
        <v>22</v>
      </c>
      <c r="C499" s="172" t="s">
        <v>82</v>
      </c>
      <c r="D499" s="172" t="s">
        <v>221</v>
      </c>
      <c r="E499" s="172">
        <v>9.3270837627773399E-4</v>
      </c>
      <c r="F499" s="172">
        <v>64</v>
      </c>
      <c r="G499" s="172">
        <v>0</v>
      </c>
      <c r="H499" s="172">
        <v>19</v>
      </c>
      <c r="I499" s="172">
        <v>4</v>
      </c>
    </row>
    <row r="500" spans="2:9" hidden="1" x14ac:dyDescent="0.3">
      <c r="B500" s="172" t="s">
        <v>22</v>
      </c>
      <c r="C500" s="172" t="s">
        <v>246</v>
      </c>
      <c r="D500" s="172" t="s">
        <v>218</v>
      </c>
      <c r="E500" s="172">
        <v>5.5028512894239299E-6</v>
      </c>
      <c r="F500" s="172">
        <v>48</v>
      </c>
      <c r="G500" s="172">
        <v>24</v>
      </c>
      <c r="H500" s="172">
        <v>0</v>
      </c>
      <c r="I500" s="172">
        <v>4</v>
      </c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topLeftCell="A46" zoomScale="80" zoomScaleNormal="80" workbookViewId="0">
      <selection activeCell="K68" sqref="K68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2.60209201266223E-4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2.5162653136409603E-4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4.12870374800422E-4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5.6471327075354805E-4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6.9481923956387997E-4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8.0453153932631704E-4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8.94393631702251E-4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9.6715808354508998E-4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1.02220542515514E-3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1.03883292085039E-3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7.8287492538338496E-4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2.7230421804132801E-4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2.80754842914471E-4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4.3564458260483097E-4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5.7912172293959495E-4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7.0128153505520196E-4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8.02497842518744E-4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8.7216921801314704E-4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9.2365653089868896E-4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9.6850425522900397E-4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9.834039032800561E-4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7.6782055340269195E-4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4.4890648761411901E-4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4.37293627245122E-4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6.2694019079166403E-4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7.9671569641361203E-4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9.3748307872188201E-4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1.0519397317611599E-3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1.14067457835161E-3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1.2076836263280001E-3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1.24961229594255E-3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1.2400629256776E-3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9.0989095877297204E-4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3.8749566344095101E-4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3.69081414528232E-4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5.3309465457802201E-4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7.2950816440379204E-4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8.9596855251814996E-4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1.0360635406257499E-3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1.1549123823423001E-3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1.25385121477958E-3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1.32564783904183E-3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1.3299623689886199E-3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9.3270837627773399E-4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topLeftCell="A22" zoomScale="80" zoomScaleNormal="80" workbookViewId="0">
      <selection activeCell="N4" sqref="N4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19</v>
      </c>
      <c r="O3" s="183">
        <v>19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2.4296677670393899E-2</v>
      </c>
      <c r="F6" s="185">
        <v>2.3896112612663899E-2</v>
      </c>
      <c r="G6" s="186">
        <v>1.0167627707578499</v>
      </c>
      <c r="H6" s="42">
        <f>+E6/(1.2*F6)</f>
        <v>0.84730230896488024</v>
      </c>
      <c r="I6" s="47">
        <f>+'Centers of Mass and Rigidity'!L5-'Centers of Mass and Rigidity'!F5</f>
        <v>-3.2056048742051004</v>
      </c>
      <c r="J6" s="47">
        <f>+'Centers of Mass and Rigidity'!M5-'Centers of Mass and Rigidity'!G5</f>
        <v>0.19227968188172007</v>
      </c>
      <c r="K6" s="172">
        <f>IF(+'Sismo UBC-94 y Dinamico'!O15=0,'Sismo UBC-94 y Dinamico'!M15,'Sismo UBC-94 y Dinamico'!O15)</f>
        <v>1032.3389005933491</v>
      </c>
      <c r="L6" s="172">
        <f>IF(+'Sismo UBC-94 y Dinamico'!P15=0,'Sismo UBC-94 y Dinamico'!N15,'Sismo UBC-94 y Dinamico'!P15)</f>
        <v>313.19995533577736</v>
      </c>
      <c r="M6" s="52">
        <f>0.05*N6*K6*(H6-1)+0.05*O6*L6*(H6-1)</f>
        <v>-195.1876426734936</v>
      </c>
      <c r="N6">
        <f>+$N$3</f>
        <v>19</v>
      </c>
      <c r="O6">
        <f>+$O$3</f>
        <v>19</v>
      </c>
      <c r="P6" s="95">
        <f>+K6*(J6+0.05*N6*H6)-K6*(J6+0.05*N6)</f>
        <v>-149.75397816202167</v>
      </c>
      <c r="Q6" s="95">
        <f>+L6*(I6+0.05*O6*H6)-L6*(I6+0.05*O6)</f>
        <v>-45.433664511472102</v>
      </c>
      <c r="R6" s="95">
        <f>+P6+Q6</f>
        <v>-195.18764267349377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2.6369173778708701E-2</v>
      </c>
      <c r="F7" s="185">
        <v>2.45621954277035E-2</v>
      </c>
      <c r="G7" s="186">
        <v>1.07356746086985</v>
      </c>
      <c r="H7" s="42">
        <f t="shared" ref="H7:H16" si="0">+E7/(1.2*F7)</f>
        <v>0.89463955072487567</v>
      </c>
      <c r="I7" s="47">
        <f>+'Centers of Mass and Rigidity'!L6-'Centers of Mass and Rigidity'!F6</f>
        <v>-6.4753649596998031E-3</v>
      </c>
      <c r="J7" s="47">
        <f>+'Centers of Mass and Rigidity'!M6-'Centers of Mass and Rigidity'!G6</f>
        <v>3.1397112938300609E-3</v>
      </c>
      <c r="K7" s="172">
        <f>IF(+'Sismo UBC-94 y Dinamico'!O16=0,'Sismo UBC-94 y Dinamico'!M16,'Sismo UBC-94 y Dinamico'!O16)</f>
        <v>16560.283868190407</v>
      </c>
      <c r="L7" s="172">
        <f>IF(+'Sismo UBC-94 y Dinamico'!P16=0,'Sismo UBC-94 y Dinamico'!N16,'Sismo UBC-94 y Dinamico'!P16)</f>
        <v>1649.4652017279357</v>
      </c>
      <c r="M7" s="52">
        <f>0.05*N7*K7*(H7-1)+0.05*O7*L7*(H7-1)</f>
        <v>-1822.6579760341806</v>
      </c>
      <c r="N7" s="172">
        <f t="shared" ref="N7:N16" si="1">+$N$3</f>
        <v>19</v>
      </c>
      <c r="O7" s="172">
        <f t="shared" ref="O7:O16" si="2">+$O$3</f>
        <v>19</v>
      </c>
      <c r="P7" s="95">
        <f>+K7*(J7+0.05*N7*H7)-K7*(J7+0.05*N7)</f>
        <v>-1657.5590010523283</v>
      </c>
      <c r="Q7" s="95">
        <f>+L7*(I7+0.05*O7*H7)-L7*(I7+0.05*O7)</f>
        <v>-165.09897498185182</v>
      </c>
      <c r="R7" s="95">
        <f>+P7+Q7</f>
        <v>-1822.6579760341801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2.5488575718546399E-2</v>
      </c>
      <c r="F8" s="185">
        <v>2.3685199752799001E-2</v>
      </c>
      <c r="G8" s="186">
        <v>1.0761393606374099</v>
      </c>
      <c r="H8" s="42">
        <f t="shared" si="0"/>
        <v>0.89678280053117299</v>
      </c>
      <c r="I8" s="47">
        <f>+'Centers of Mass and Rigidity'!L7-'Centers of Mass and Rigidity'!F7</f>
        <v>0.22085194709699962</v>
      </c>
      <c r="J8" s="47">
        <f>+'Centers of Mass and Rigidity'!M7-'Centers of Mass and Rigidity'!G7</f>
        <v>-0.14930059241574867</v>
      </c>
      <c r="K8" s="172">
        <f>IF(+'Sismo UBC-94 y Dinamico'!O17=0,'Sismo UBC-94 y Dinamico'!M17,'Sismo UBC-94 y Dinamico'!O17)</f>
        <v>18443.033423557976</v>
      </c>
      <c r="L8" s="172">
        <f>IF(+'Sismo UBC-94 y Dinamico'!P17=0,'Sismo UBC-94 y Dinamico'!N17,'Sismo UBC-94 y Dinamico'!P17)</f>
        <v>1956.0492204943423</v>
      </c>
      <c r="M8" s="52">
        <f>0.05*N8*K8*(H8-1)+0.05*O8*L8*(H8-1)</f>
        <v>-2000.2593731396237</v>
      </c>
      <c r="N8" s="172">
        <f t="shared" si="1"/>
        <v>19</v>
      </c>
      <c r="O8" s="172">
        <f t="shared" si="2"/>
        <v>19</v>
      </c>
      <c r="P8" s="95">
        <f>+K8*(J8+0.05*N8*H8)-K8*(J8+0.05*N8)</f>
        <v>-1808.4563467051466</v>
      </c>
      <c r="Q8" s="95">
        <f>+L8*(I8+0.05*O8*H8)-L8*(I8+0.05*O8)</f>
        <v>-191.80302643447794</v>
      </c>
      <c r="R8" s="95">
        <f>+P8+Q8</f>
        <v>-2000.2593731396246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2.4044831911139E-2</v>
      </c>
      <c r="F9" s="185">
        <v>2.2290951112365901E-2</v>
      </c>
      <c r="G9" s="186">
        <v>1.0786812904452601</v>
      </c>
      <c r="H9" s="42">
        <f t="shared" si="0"/>
        <v>0.89890107537104802</v>
      </c>
      <c r="I9" s="47">
        <f>+'Centers of Mass and Rigidity'!L8-'Centers of Mass and Rigidity'!F8</f>
        <v>0.31640781404770024</v>
      </c>
      <c r="J9" s="47">
        <f>+'Centers of Mass and Rigidity'!M8-'Centers of Mass and Rigidity'!G8</f>
        <v>-0.16947088898539953</v>
      </c>
      <c r="K9" s="172">
        <f>IF(+'Sismo UBC-94 y Dinamico'!O18=0,'Sismo UBC-94 y Dinamico'!M18,'Sismo UBC-94 y Dinamico'!O18)</f>
        <v>15670.337512796956</v>
      </c>
      <c r="L9" s="172">
        <f>IF(+'Sismo UBC-94 y Dinamico'!P18=0,'Sismo UBC-94 y Dinamico'!N18,'Sismo UBC-94 y Dinamico'!P18)</f>
        <v>1695.1812430018706</v>
      </c>
      <c r="M9" s="52">
        <f>0.05*N9*K9*(H9-1)+0.05*O9*L9*(H9-1)</f>
        <v>-1667.8535082433998</v>
      </c>
      <c r="N9" s="172">
        <f t="shared" si="1"/>
        <v>19</v>
      </c>
      <c r="O9" s="172">
        <f t="shared" si="2"/>
        <v>19</v>
      </c>
      <c r="P9" s="95">
        <f>+K9*(J9+0.05*N9*H9)-K9*(J9+0.05*N9)</f>
        <v>-1505.041557560673</v>
      </c>
      <c r="Q9" s="95">
        <f>+L9*(I9+0.05*O9*H9)-L9*(I9+0.05*O9)</f>
        <v>-162.81195068272655</v>
      </c>
      <c r="R9" s="95">
        <f>+P9+Q9</f>
        <v>-1667.8535082433996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2.2070856033619E-2</v>
      </c>
      <c r="F10" s="185">
        <v>2.0412756899310099E-2</v>
      </c>
      <c r="G10" s="186">
        <v>1.0812285739984999</v>
      </c>
      <c r="H10" s="42">
        <f t="shared" si="0"/>
        <v>0.90102381166541246</v>
      </c>
      <c r="I10" s="47">
        <f>+'Centers of Mass and Rigidity'!L9-'Centers of Mass and Rigidity'!F9</f>
        <v>0.40120001847949993</v>
      </c>
      <c r="J10" s="47">
        <f>+'Centers of Mass and Rigidity'!M9-'Centers of Mass and Rigidity'!G9</f>
        <v>-0.19177557463725847</v>
      </c>
      <c r="K10" s="172">
        <f>IF(+'Sismo UBC-94 y Dinamico'!O19=0,'Sismo UBC-94 y Dinamico'!M19,'Sismo UBC-94 y Dinamico'!O19)</f>
        <v>13350.139352017604</v>
      </c>
      <c r="L10" s="172">
        <f>IF(+'Sismo UBC-94 y Dinamico'!P19=0,'Sismo UBC-94 y Dinamico'!N19,'Sismo UBC-94 y Dinamico'!P19)</f>
        <v>1460.012881657902</v>
      </c>
      <c r="M10" s="52">
        <f>0.05*N10*K10*(H10-1)+0.05*O10*L10*(H10-1)</f>
        <v>-1392.5597959069705</v>
      </c>
      <c r="N10" s="172">
        <f t="shared" si="1"/>
        <v>19</v>
      </c>
      <c r="O10" s="172">
        <f t="shared" si="2"/>
        <v>19</v>
      </c>
      <c r="P10" s="95">
        <f>+K10*(J10+0.05*N10*H10)-K10*(J10+0.05*N10)</f>
        <v>-1255.2786114583687</v>
      </c>
      <c r="Q10" s="95">
        <f>+L10*(I10+0.05*O10*H10)-L10*(I10+0.05*O10)</f>
        <v>-137.28118444860183</v>
      </c>
      <c r="R10" s="95">
        <f>+P10+Q10</f>
        <v>-1392.5597959069705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1.9642581950925199E-2</v>
      </c>
      <c r="F11" s="185">
        <v>1.8121026536248301E-2</v>
      </c>
      <c r="G11" s="186">
        <v>1.0839662925074001</v>
      </c>
      <c r="H11" s="42">
        <f t="shared" si="0"/>
        <v>0.90330524375616283</v>
      </c>
      <c r="I11" s="47">
        <f>+'Centers of Mass and Rigidity'!L10-'Centers of Mass and Rigidity'!F10</f>
        <v>0.47478576381829996</v>
      </c>
      <c r="J11" s="47">
        <f>+'Centers of Mass and Rigidity'!M10-'Centers of Mass and Rigidity'!G10</f>
        <v>-0.21758443465391863</v>
      </c>
      <c r="K11" s="172">
        <f>IF(+'Sismo UBC-94 y Dinamico'!O20=0,'Sismo UBC-94 y Dinamico'!M20,'Sismo UBC-94 y Dinamico'!O20)</f>
        <v>11511.886271702979</v>
      </c>
      <c r="L11" s="172">
        <f>IF(+'Sismo UBC-94 y Dinamico'!P20=0,'Sismo UBC-94 y Dinamico'!N20,'Sismo UBC-94 y Dinamico'!P20)</f>
        <v>1265.7891566998769</v>
      </c>
      <c r="M11" s="52">
        <f t="shared" ref="M11:M16" si="3">0.05*N11*K11*(H11-1)+0.05*O11*L11*(H11-1)</f>
        <v>-1173.7575003666677</v>
      </c>
      <c r="N11" s="172">
        <f t="shared" si="1"/>
        <v>19</v>
      </c>
      <c r="O11" s="172">
        <f t="shared" si="2"/>
        <v>19</v>
      </c>
      <c r="P11" s="95">
        <f t="shared" ref="P11:P16" si="4">+K11*(J11+0.05*N11*H11)-K11*(J11+0.05*N11)</f>
        <v>-1057.4820851016393</v>
      </c>
      <c r="Q11" s="95">
        <f t="shared" ref="Q11:Q16" si="5">+L11*(I11+0.05*O11*H11)-L11*(I11+0.05*O11)</f>
        <v>-116.2754152650275</v>
      </c>
      <c r="R11" s="95">
        <f t="shared" ref="R11:R16" si="6">+P11+Q11</f>
        <v>-1173.7575003666668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1.68312945482136E-2</v>
      </c>
      <c r="F12" s="185">
        <v>1.54835125608936E-2</v>
      </c>
      <c r="G12" s="186">
        <v>1.0870462682172</v>
      </c>
      <c r="H12" s="42">
        <f t="shared" si="0"/>
        <v>0.90587189018100378</v>
      </c>
      <c r="I12" s="47">
        <f>+'Centers of Mass and Rigidity'!L11-'Centers of Mass and Rigidity'!F11</f>
        <v>0.53465697644869969</v>
      </c>
      <c r="J12" s="47">
        <f>+'Centers of Mass and Rigidity'!M11-'Centers of Mass and Rigidity'!G11</f>
        <v>-0.24620721664105893</v>
      </c>
      <c r="K12" s="172">
        <f>IF(+'Sismo UBC-94 y Dinamico'!O21=0,'Sismo UBC-94 y Dinamico'!M21,'Sismo UBC-94 y Dinamico'!O21)</f>
        <v>10009.099351660292</v>
      </c>
      <c r="L12" s="172">
        <f>IF(+'Sismo UBC-94 y Dinamico'!P21=0,'Sismo UBC-94 y Dinamico'!N21,'Sismo UBC-94 y Dinamico'!P21)</f>
        <v>1095.4266185305537</v>
      </c>
      <c r="M12" s="52">
        <f t="shared" si="3"/>
        <v>-992.98563800951865</v>
      </c>
      <c r="N12" s="172">
        <f t="shared" si="1"/>
        <v>19</v>
      </c>
      <c r="O12" s="172">
        <f t="shared" si="2"/>
        <v>19</v>
      </c>
      <c r="P12" s="95">
        <f t="shared" si="4"/>
        <v>-895.03072281420737</v>
      </c>
      <c r="Q12" s="95">
        <f t="shared" si="5"/>
        <v>-97.95491519531106</v>
      </c>
      <c r="R12" s="95">
        <f t="shared" si="6"/>
        <v>-992.98563800951842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1.37068370032923E-2</v>
      </c>
      <c r="F13" s="185">
        <v>1.25840213253634E-2</v>
      </c>
      <c r="G13" s="186">
        <v>1.0892255066086001</v>
      </c>
      <c r="H13" s="42">
        <f t="shared" si="0"/>
        <v>0.90768792217382832</v>
      </c>
      <c r="I13" s="47">
        <f>+'Centers of Mass and Rigidity'!L12-'Centers of Mass and Rigidity'!F12</f>
        <v>0.46259341591409964</v>
      </c>
      <c r="J13" s="47">
        <f>+'Centers of Mass and Rigidity'!M12-'Centers of Mass and Rigidity'!G12</f>
        <v>-0.18283470047992978</v>
      </c>
      <c r="K13" s="172">
        <f>IF(+'Sismo UBC-94 y Dinamico'!O22=0,'Sismo UBC-94 y Dinamico'!M22,'Sismo UBC-94 y Dinamico'!O22)</f>
        <v>8718.6341221167113</v>
      </c>
      <c r="L13" s="172">
        <f>IF(+'Sismo UBC-94 y Dinamico'!P22=0,'Sismo UBC-94 y Dinamico'!N22,'Sismo UBC-94 y Dinamico'!P22)</f>
        <v>946.55078244369361</v>
      </c>
      <c r="M13" s="52">
        <f t="shared" si="3"/>
        <v>-847.60263605841374</v>
      </c>
      <c r="N13" s="172">
        <f t="shared" si="1"/>
        <v>19</v>
      </c>
      <c r="O13" s="172">
        <f t="shared" si="2"/>
        <v>19</v>
      </c>
      <c r="P13" s="95">
        <f t="shared" si="4"/>
        <v>-764.59347003781659</v>
      </c>
      <c r="Q13" s="95">
        <f t="shared" si="5"/>
        <v>-83.009166020597831</v>
      </c>
      <c r="R13" s="95">
        <f t="shared" si="6"/>
        <v>-847.60263605841442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1.03289988617898E-2</v>
      </c>
      <c r="F14" s="185">
        <v>9.4803589182617404E-3</v>
      </c>
      <c r="G14" s="186">
        <v>1.0895155922729201</v>
      </c>
      <c r="H14" s="42">
        <f t="shared" si="0"/>
        <v>0.90792966022743349</v>
      </c>
      <c r="I14" s="47">
        <f>+'Centers of Mass and Rigidity'!L13-'Centers of Mass and Rigidity'!F13</f>
        <v>0.45363788765610025</v>
      </c>
      <c r="J14" s="47">
        <f>+'Centers of Mass and Rigidity'!M13-'Centers of Mass and Rigidity'!G13</f>
        <v>-0.16324609242867893</v>
      </c>
      <c r="K14" s="172">
        <f>IF(+'Sismo UBC-94 y Dinamico'!O23=0,'Sismo UBC-94 y Dinamico'!M23,'Sismo UBC-94 y Dinamico'!O23)</f>
        <v>7356.7497030948261</v>
      </c>
      <c r="L14" s="172">
        <f>IF(+'Sismo UBC-94 y Dinamico'!P23=0,'Sismo UBC-94 y Dinamico'!N23,'Sismo UBC-94 y Dinamico'!P23)</f>
        <v>778.28001621993121</v>
      </c>
      <c r="M14" s="52">
        <f t="shared" si="3"/>
        <v>-711.54520280137444</v>
      </c>
      <c r="N14" s="172">
        <f t="shared" si="1"/>
        <v>19</v>
      </c>
      <c r="O14" s="172">
        <f t="shared" si="2"/>
        <v>19</v>
      </c>
      <c r="P14" s="95">
        <f t="shared" si="4"/>
        <v>-643.47152254638513</v>
      </c>
      <c r="Q14" s="95">
        <f t="shared" si="5"/>
        <v>-68.07368025498954</v>
      </c>
      <c r="R14" s="95">
        <f t="shared" si="6"/>
        <v>-711.54520280137467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6.7592369928653698E-3</v>
      </c>
      <c r="F15" s="185">
        <v>6.2129675758438602E-3</v>
      </c>
      <c r="G15" s="186">
        <v>1.08792407337605</v>
      </c>
      <c r="H15" s="42">
        <f t="shared" si="0"/>
        <v>0.90660339448004101</v>
      </c>
      <c r="I15" s="47">
        <f>+'Centers of Mass and Rigidity'!L14-'Centers of Mass and Rigidity'!F14</f>
        <v>0.35209416062570043</v>
      </c>
      <c r="J15" s="47">
        <f>+'Centers of Mass and Rigidity'!M14-'Centers of Mass and Rigidity'!G14</f>
        <v>-0.10296012116257991</v>
      </c>
      <c r="K15" s="172">
        <f>IF(+'Sismo UBC-94 y Dinamico'!O24=0,'Sismo UBC-94 y Dinamico'!M24,'Sismo UBC-94 y Dinamico'!O24)</f>
        <v>5632.6190140709587</v>
      </c>
      <c r="L15" s="172">
        <f>IF(+'Sismo UBC-94 y Dinamico'!P24=0,'Sismo UBC-94 y Dinamico'!N24,'Sismo UBC-94 y Dinamico'!P24)</f>
        <v>570.59122414932108</v>
      </c>
      <c r="M15" s="52">
        <f t="shared" si="3"/>
        <v>-550.39084059760887</v>
      </c>
      <c r="N15" s="172">
        <f t="shared" si="1"/>
        <v>19</v>
      </c>
      <c r="O15" s="172">
        <f t="shared" si="2"/>
        <v>19</v>
      </c>
      <c r="P15" s="95">
        <f t="shared" si="4"/>
        <v>-499.76412129633536</v>
      </c>
      <c r="Q15" s="95">
        <f t="shared" si="5"/>
        <v>-50.626719301273397</v>
      </c>
      <c r="R15" s="95">
        <f t="shared" si="6"/>
        <v>-550.39084059760876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3.1314997015335399E-3</v>
      </c>
      <c r="F16" s="188">
        <v>2.89599168700461E-3</v>
      </c>
      <c r="G16" s="189">
        <v>1.08132206165706</v>
      </c>
      <c r="H16" s="42">
        <f t="shared" si="0"/>
        <v>0.90110171804755224</v>
      </c>
      <c r="I16" s="47">
        <f>+'Centers of Mass and Rigidity'!L15-'Centers of Mass and Rigidity'!F15</f>
        <v>-1.3378493461599916E-2</v>
      </c>
      <c r="J16" s="47">
        <f>+'Centers of Mass and Rigidity'!M15-'Centers of Mass and Rigidity'!G15</f>
        <v>9.2981227220338525E-2</v>
      </c>
      <c r="K16" s="172">
        <f>IF(+'Sismo UBC-94 y Dinamico'!O25=0,'Sismo UBC-94 y Dinamico'!M25,'Sismo UBC-94 y Dinamico'!O25)</f>
        <v>3168.8500935925626</v>
      </c>
      <c r="L16" s="172">
        <f>IF(+'Sismo UBC-94 y Dinamico'!P25=0,'Sismo UBC-94 y Dinamico'!N25,'Sismo UBC-94 y Dinamico'!P25)</f>
        <v>293.71224587016678</v>
      </c>
      <c r="M16" s="52">
        <f t="shared" si="3"/>
        <v>-325.31939319980654</v>
      </c>
      <c r="N16" s="172">
        <f t="shared" si="1"/>
        <v>19</v>
      </c>
      <c r="O16" s="172">
        <f t="shared" si="2"/>
        <v>19</v>
      </c>
      <c r="P16" s="95">
        <f t="shared" si="4"/>
        <v>-297.72413852010004</v>
      </c>
      <c r="Q16" s="95">
        <f t="shared" si="5"/>
        <v>-27.59525467970667</v>
      </c>
      <c r="R16" s="95">
        <f t="shared" si="6"/>
        <v>-325.31939319980671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2.6802815384822799E-2</v>
      </c>
      <c r="F24" s="185">
        <v>2.6428880000281499E-2</v>
      </c>
      <c r="G24" s="186">
        <v>1.0141487412458401</v>
      </c>
      <c r="H24" s="42">
        <f>+E24/(1.2*F24)</f>
        <v>0.84512395103819871</v>
      </c>
      <c r="I24" s="47">
        <f t="shared" ref="I24:L28" si="7">+I6</f>
        <v>-3.2056048742051004</v>
      </c>
      <c r="J24" s="47">
        <f t="shared" si="7"/>
        <v>0.19227968188172007</v>
      </c>
      <c r="K24" s="48">
        <f>+K6</f>
        <v>1032.3389005933491</v>
      </c>
      <c r="L24" s="48">
        <f>+L6</f>
        <v>313.19995533577736</v>
      </c>
      <c r="M24" s="52">
        <f>-0.05*N24*K24*(H24-1)-0.05*O24*L24*(H24-1)</f>
        <v>197.97215464434123</v>
      </c>
      <c r="N24" s="172">
        <f>+$N$3</f>
        <v>19</v>
      </c>
      <c r="O24" s="172">
        <f>+$O$3</f>
        <v>19</v>
      </c>
      <c r="P24" s="95">
        <f>+K24*(J24-0.05*N24*H24)-K24*(J24-0.05*N24)</f>
        <v>151.89034160779431</v>
      </c>
      <c r="Q24" s="95">
        <f>+L24*(I24-0.05*O24*H24)-L24*(I24-0.05*O24)</f>
        <v>46.081813036547146</v>
      </c>
      <c r="R24" s="95">
        <f>+P24+Q24</f>
        <v>197.97215464434146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2.5985902730698899E-2</v>
      </c>
      <c r="F25" s="185">
        <v>2.4222655655899799E-2</v>
      </c>
      <c r="G25" s="186">
        <v>1.0727933014384201</v>
      </c>
      <c r="H25" s="42">
        <f>+E25/(1.2*F25)</f>
        <v>0.89399441786535472</v>
      </c>
      <c r="I25" s="47">
        <f t="shared" si="7"/>
        <v>-6.4753649596998031E-3</v>
      </c>
      <c r="J25" s="47">
        <f t="shared" si="7"/>
        <v>3.1397112938300609E-3</v>
      </c>
      <c r="K25" s="48">
        <f t="shared" si="7"/>
        <v>16560.283868190407</v>
      </c>
      <c r="L25" s="48">
        <f t="shared" si="7"/>
        <v>1649.4652017279357</v>
      </c>
      <c r="M25" s="52">
        <f>-0.05*N25*K25*(H25-1)-0.05*O25*L25*(H25-1)</f>
        <v>1833.818298148384</v>
      </c>
      <c r="N25" s="172">
        <f t="shared" ref="N25:N34" si="8">+$N$3</f>
        <v>19</v>
      </c>
      <c r="O25" s="172">
        <f t="shared" ref="O25:O34" si="9">+$O$3</f>
        <v>19</v>
      </c>
      <c r="P25" s="95">
        <f>+K25*(J25-0.05*N25*H25)-K25*(J25-0.05*N25)</f>
        <v>1667.708405174375</v>
      </c>
      <c r="Q25" s="95">
        <f>+L25*(I25-0.05*O25*H25)-L25*(I25-0.05*O25)</f>
        <v>166.10989297400965</v>
      </c>
      <c r="R25" s="95">
        <f>+P25+Q25</f>
        <v>1833.8182981483847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2.50032607804982E-2</v>
      </c>
      <c r="F26" s="185">
        <v>2.33541090090639E-2</v>
      </c>
      <c r="G26" s="186">
        <v>1.07061505839483</v>
      </c>
      <c r="H26" s="42">
        <f>+E26/(1.2*F26)</f>
        <v>0.892179215329026</v>
      </c>
      <c r="I26" s="47">
        <f t="shared" si="7"/>
        <v>0.22085194709699962</v>
      </c>
      <c r="J26" s="47">
        <f t="shared" si="7"/>
        <v>-0.14930059241574867</v>
      </c>
      <c r="K26" s="48">
        <f t="shared" si="7"/>
        <v>18443.033423557976</v>
      </c>
      <c r="L26" s="48">
        <f t="shared" si="7"/>
        <v>1956.0492204943423</v>
      </c>
      <c r="M26" s="52">
        <f>-0.05*N26*K26*(H26-1)-0.05*O26*L26*(H26-1)</f>
        <v>2089.4728423872798</v>
      </c>
      <c r="N26" s="172">
        <f t="shared" si="8"/>
        <v>19</v>
      </c>
      <c r="O26" s="172">
        <f t="shared" si="9"/>
        <v>19</v>
      </c>
      <c r="P26" s="95">
        <f>+K26*(J26-0.05*N26*H26)-K26*(J26-0.05*N26)</f>
        <v>1889.1152186689724</v>
      </c>
      <c r="Q26" s="95">
        <f>+L26*(I26-0.05*O26*H26)-L26*(I26-0.05*O26)</f>
        <v>200.35762371830992</v>
      </c>
      <c r="R26" s="95">
        <f>+P26+Q26</f>
        <v>2089.4728423872821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2.3478504741381301E-2</v>
      </c>
      <c r="F27" s="185">
        <v>2.19749729566956E-2</v>
      </c>
      <c r="G27" s="186">
        <v>1.0684201881680899</v>
      </c>
      <c r="H27" s="42">
        <f>+E27/(1.2*F27)</f>
        <v>0.8903501568067379</v>
      </c>
      <c r="I27" s="47">
        <f t="shared" si="7"/>
        <v>0.31640781404770024</v>
      </c>
      <c r="J27" s="47">
        <f t="shared" si="7"/>
        <v>-0.16947088898539953</v>
      </c>
      <c r="K27" s="48">
        <f t="shared" si="7"/>
        <v>15670.337512796956</v>
      </c>
      <c r="L27" s="48">
        <f t="shared" si="7"/>
        <v>1695.1812430018706</v>
      </c>
      <c r="M27" s="52">
        <f>-0.05*N27*K27*(H27-1)-0.05*O27*L27*(H27-1)</f>
        <v>1808.9200881158436</v>
      </c>
      <c r="N27" s="172">
        <f t="shared" si="8"/>
        <v>19</v>
      </c>
      <c r="O27" s="172">
        <f t="shared" si="9"/>
        <v>19</v>
      </c>
      <c r="P27" s="95">
        <f>+K27*(J27-0.05*N27*H27)-K27*(J27-0.05*N27)</f>
        <v>1632.3375485104934</v>
      </c>
      <c r="Q27" s="95">
        <f>+L27*(I27-0.05*O27*H27)-L27*(I27-0.05*O27)</f>
        <v>176.58253960534853</v>
      </c>
      <c r="R27" s="95">
        <f>+P27+Q27</f>
        <v>1808.920088115842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2.1451578711092701E-2</v>
      </c>
      <c r="F28" s="185">
        <v>2.0118532360645699E-2</v>
      </c>
      <c r="G28" s="186">
        <v>1.0662596220514899</v>
      </c>
      <c r="H28" s="42">
        <f>+E28/(1.2*F28)</f>
        <v>0.8885496850429061</v>
      </c>
      <c r="I28" s="47">
        <f t="shared" si="7"/>
        <v>0.40120001847949993</v>
      </c>
      <c r="J28" s="47">
        <f t="shared" si="7"/>
        <v>-0.19177557463725847</v>
      </c>
      <c r="K28" s="48">
        <f t="shared" si="7"/>
        <v>13350.139352017604</v>
      </c>
      <c r="L28" s="48">
        <f t="shared" si="7"/>
        <v>1460.012881657902</v>
      </c>
      <c r="M28" s="52">
        <f>-0.05*N28*K28*(H28-1)-0.05*O28*L28*(H28-1)</f>
        <v>1568.0663244553609</v>
      </c>
      <c r="N28" s="172">
        <f t="shared" si="8"/>
        <v>19</v>
      </c>
      <c r="O28" s="172">
        <f t="shared" si="9"/>
        <v>19</v>
      </c>
      <c r="P28" s="95">
        <f>+K28*(J28-0.05*N28*H28)-K28*(J28-0.05*N28)</f>
        <v>1413.4833737282825</v>
      </c>
      <c r="Q28" s="95">
        <f>+L28*(I28-0.05*O28*H28)-L28*(I28-0.05*O28)</f>
        <v>154.58295072707813</v>
      </c>
      <c r="R28" s="95">
        <f>+P28+Q28</f>
        <v>1568.0663244553607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1.8997093338399499E-2</v>
      </c>
      <c r="F29" s="185">
        <v>1.7854401137874301E-2</v>
      </c>
      <c r="G29" s="186">
        <v>1.0640005896418001</v>
      </c>
      <c r="H29" s="42">
        <f t="shared" ref="H29:H34" si="10">+E29/(1.2*F29)</f>
        <v>0.8866671580348342</v>
      </c>
      <c r="I29" s="47">
        <f t="shared" ref="I29:L34" si="11">+I11</f>
        <v>0.47478576381829996</v>
      </c>
      <c r="J29" s="47">
        <f t="shared" si="11"/>
        <v>-0.21758443465391863</v>
      </c>
      <c r="K29" s="48">
        <f t="shared" si="11"/>
        <v>11511.886271702979</v>
      </c>
      <c r="L29" s="48">
        <f t="shared" si="11"/>
        <v>1265.7891566998769</v>
      </c>
      <c r="M29" s="52">
        <f t="shared" ref="M29:M34" si="12">-0.05*N29*K29*(H29-1)-0.05*O29*L29*(H29-1)</f>
        <v>1375.7237565088949</v>
      </c>
      <c r="N29" s="172">
        <f t="shared" si="8"/>
        <v>19</v>
      </c>
      <c r="O29" s="172">
        <f t="shared" si="9"/>
        <v>19</v>
      </c>
      <c r="P29" s="95">
        <f t="shared" ref="P29:P34" si="13">+K29*(J29-0.05*N29*H29)-K29*(J29-0.05*N29)</f>
        <v>1239.4410481742816</v>
      </c>
      <c r="Q29" s="95">
        <f t="shared" ref="Q29:Q34" si="14">+L29*(I29-0.05*O29*H29)-L29*(I29-0.05*O29)</f>
        <v>136.28270833461329</v>
      </c>
      <c r="R29" s="95">
        <f t="shared" ref="R29:R34" si="15">+P29+Q29</f>
        <v>1375.7237565088949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1.61883508895839E-2</v>
      </c>
      <c r="F30" s="185">
        <v>1.5249907554261199E-2</v>
      </c>
      <c r="G30" s="186">
        <v>1.06153764093215</v>
      </c>
      <c r="H30" s="42">
        <f t="shared" si="10"/>
        <v>0.88461470077679683</v>
      </c>
      <c r="I30" s="47">
        <f t="shared" si="11"/>
        <v>0.53465697644869969</v>
      </c>
      <c r="J30" s="47">
        <f t="shared" si="11"/>
        <v>-0.24620721664105893</v>
      </c>
      <c r="K30" s="48">
        <f t="shared" si="11"/>
        <v>10009.099351660292</v>
      </c>
      <c r="L30" s="48">
        <f t="shared" si="11"/>
        <v>1095.4266185305537</v>
      </c>
      <c r="M30" s="52">
        <f t="shared" si="12"/>
        <v>1217.2340992121865</v>
      </c>
      <c r="N30" s="172">
        <f t="shared" si="8"/>
        <v>19</v>
      </c>
      <c r="O30" s="172">
        <f t="shared" si="9"/>
        <v>19</v>
      </c>
      <c r="P30" s="95">
        <f t="shared" si="13"/>
        <v>1097.1577774637881</v>
      </c>
      <c r="Q30" s="95">
        <f t="shared" si="14"/>
        <v>120.0763217483991</v>
      </c>
      <c r="R30" s="95">
        <f t="shared" si="15"/>
        <v>1217.2340992121872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1.3135758626537901E-2</v>
      </c>
      <c r="F31" s="185">
        <v>1.2390788597031801E-2</v>
      </c>
      <c r="G31" s="186">
        <v>1.0601228907807001</v>
      </c>
      <c r="H31" s="42">
        <f t="shared" si="10"/>
        <v>0.88343574231725097</v>
      </c>
      <c r="I31" s="47">
        <f t="shared" si="11"/>
        <v>0.46259341591409964</v>
      </c>
      <c r="J31" s="47">
        <f t="shared" si="11"/>
        <v>-0.18283470047992978</v>
      </c>
      <c r="K31" s="48">
        <f t="shared" si="11"/>
        <v>8718.6341221167113</v>
      </c>
      <c r="L31" s="48">
        <f t="shared" si="11"/>
        <v>946.55078244369361</v>
      </c>
      <c r="M31" s="52">
        <f t="shared" si="12"/>
        <v>1070.2843485782655</v>
      </c>
      <c r="N31" s="172">
        <f t="shared" si="8"/>
        <v>19</v>
      </c>
      <c r="O31" s="172">
        <f t="shared" si="9"/>
        <v>19</v>
      </c>
      <c r="P31" s="95">
        <f t="shared" si="13"/>
        <v>965.46705872942039</v>
      </c>
      <c r="Q31" s="95">
        <f t="shared" si="14"/>
        <v>104.81728984884563</v>
      </c>
      <c r="R31" s="95">
        <f t="shared" si="15"/>
        <v>1070.284348578266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9.9029607683924804E-3</v>
      </c>
      <c r="F32" s="185">
        <v>9.3346708318653004E-3</v>
      </c>
      <c r="G32" s="186">
        <v>1.0608794832472499</v>
      </c>
      <c r="H32" s="42">
        <f t="shared" si="10"/>
        <v>0.88406623603937884</v>
      </c>
      <c r="I32" s="47">
        <f t="shared" si="11"/>
        <v>0.45363788765610025</v>
      </c>
      <c r="J32" s="47">
        <f t="shared" si="11"/>
        <v>-0.16324609242867893</v>
      </c>
      <c r="K32" s="48">
        <f t="shared" si="11"/>
        <v>7356.7497030948261</v>
      </c>
      <c r="L32" s="48">
        <f t="shared" si="11"/>
        <v>778.28001621993121</v>
      </c>
      <c r="M32" s="52">
        <f t="shared" si="12"/>
        <v>895.96838452709153</v>
      </c>
      <c r="N32" s="172">
        <f t="shared" si="8"/>
        <v>19</v>
      </c>
      <c r="O32" s="172">
        <f t="shared" si="9"/>
        <v>19</v>
      </c>
      <c r="P32" s="95">
        <f t="shared" si="13"/>
        <v>810.25089941616898</v>
      </c>
      <c r="Q32" s="95">
        <f t="shared" si="14"/>
        <v>85.717485110924486</v>
      </c>
      <c r="R32" s="95">
        <f t="shared" si="15"/>
        <v>895.96838452709346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6.5131958750909696E-3</v>
      </c>
      <c r="F33" s="185">
        <v>6.1190504531143204E-3</v>
      </c>
      <c r="G33" s="186">
        <v>1.06441284068446</v>
      </c>
      <c r="H33" s="42">
        <f t="shared" si="10"/>
        <v>0.88701070057038656</v>
      </c>
      <c r="I33" s="47">
        <f t="shared" si="11"/>
        <v>0.35209416062570043</v>
      </c>
      <c r="J33" s="47">
        <f t="shared" si="11"/>
        <v>-0.10296012116257991</v>
      </c>
      <c r="K33" s="48">
        <f t="shared" si="11"/>
        <v>5632.6190140709587</v>
      </c>
      <c r="L33" s="48">
        <f t="shared" si="11"/>
        <v>570.59122414932108</v>
      </c>
      <c r="M33" s="52">
        <f t="shared" si="12"/>
        <v>665.85156007955925</v>
      </c>
      <c r="N33" s="172">
        <f t="shared" si="8"/>
        <v>19</v>
      </c>
      <c r="O33" s="172">
        <f t="shared" si="9"/>
        <v>19</v>
      </c>
      <c r="P33" s="95">
        <f t="shared" si="13"/>
        <v>604.60439253610821</v>
      </c>
      <c r="Q33" s="95">
        <f t="shared" si="14"/>
        <v>61.24716754345144</v>
      </c>
      <c r="R33" s="95">
        <f t="shared" si="15"/>
        <v>665.8515600795597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3.07128221361077E-3</v>
      </c>
      <c r="F34" s="188">
        <v>2.8549571440666202E-3</v>
      </c>
      <c r="G34" s="189">
        <v>1.0757717396892399</v>
      </c>
      <c r="H34" s="42">
        <f t="shared" si="10"/>
        <v>0.89647644974103269</v>
      </c>
      <c r="I34" s="47">
        <f t="shared" si="11"/>
        <v>-1.3378493461599916E-2</v>
      </c>
      <c r="J34" s="47">
        <f t="shared" si="11"/>
        <v>9.2981227220338525E-2</v>
      </c>
      <c r="K34" s="48">
        <f t="shared" si="11"/>
        <v>3168.8500935925626</v>
      </c>
      <c r="L34" s="48">
        <f t="shared" si="11"/>
        <v>293.71224587016678</v>
      </c>
      <c r="M34" s="52">
        <f t="shared" si="12"/>
        <v>340.53390905546848</v>
      </c>
      <c r="N34" s="172">
        <f t="shared" si="8"/>
        <v>19</v>
      </c>
      <c r="O34" s="172">
        <f t="shared" si="9"/>
        <v>19</v>
      </c>
      <c r="P34" s="95">
        <f t="shared" si="13"/>
        <v>311.64808133080487</v>
      </c>
      <c r="Q34" s="95">
        <f t="shared" si="14"/>
        <v>28.88582772466367</v>
      </c>
      <c r="R34" s="95">
        <f t="shared" si="15"/>
        <v>340.53390905546854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3.5395703427250402E-2</v>
      </c>
      <c r="F42" s="185">
        <v>3.4655364455426302E-2</v>
      </c>
      <c r="G42" s="186">
        <v>1.02136289672488</v>
      </c>
      <c r="H42" s="42">
        <f>+E42/(1.2*F42)</f>
        <v>0.85113574727072738</v>
      </c>
      <c r="I42" s="181">
        <f>+I24</f>
        <v>-3.2056048742051004</v>
      </c>
      <c r="J42" s="181">
        <f>+J24</f>
        <v>0.19227968188172007</v>
      </c>
      <c r="K42" s="48">
        <f>IF(+'Sismo UBC-94 y Dinamico'!O34=0,'Sismo UBC-94 y Dinamico'!M34,'Sismo UBC-94 y Dinamico'!O34)</f>
        <v>303.37124405996224</v>
      </c>
      <c r="L42" s="48">
        <f>IF(+'Sismo UBC-94 y Dinamico'!P34=0,'Sismo UBC-94 y Dinamico'!N34,'Sismo UBC-94 y Dinamico'!P34)</f>
        <v>903.73213639425637</v>
      </c>
      <c r="M42" s="52">
        <f>0.05*N42*K42*(H42-1)+0.05*O42*L42*(H42-1)</f>
        <v>-170.70981556338131</v>
      </c>
      <c r="N42" s="172">
        <f>+$N$3</f>
        <v>19</v>
      </c>
      <c r="O42" s="172">
        <f>+$O$3</f>
        <v>19</v>
      </c>
      <c r="P42" s="95">
        <f>+K42*(J42+0.05*N42*H42)-K42*(J42+0.05*N42)</f>
        <v>-42.903076869209315</v>
      </c>
      <c r="Q42" s="95">
        <f>+L42*(I42+0.05*O42*H42)-L42*(I42+0.05*O42)</f>
        <v>-127.80673869417228</v>
      </c>
      <c r="R42" s="95">
        <f>+P42+Q42</f>
        <v>-170.7098155633816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3.40489839644081E-2</v>
      </c>
      <c r="F43" s="185">
        <v>3.1160872938817599E-2</v>
      </c>
      <c r="G43" s="186">
        <v>1.0926838933960901</v>
      </c>
      <c r="H43" s="42">
        <f t="shared" ref="H43:H52" si="16">+E43/(1.2*F43)</f>
        <v>0.91056991116340902</v>
      </c>
      <c r="I43" s="181">
        <f t="shared" ref="I43:J43" si="17">+I25</f>
        <v>-6.4753649596998031E-3</v>
      </c>
      <c r="J43" s="181">
        <f t="shared" si="17"/>
        <v>3.1397112938300609E-3</v>
      </c>
      <c r="K43" s="48">
        <f>IF(+'Sismo UBC-94 y Dinamico'!O35=0,'Sismo UBC-94 y Dinamico'!M35,'Sismo UBC-94 y Dinamico'!O35)</f>
        <v>1735.8007923822011</v>
      </c>
      <c r="L43" s="48">
        <f>IF(+'Sismo UBC-94 y Dinamico'!P35=0,'Sismo UBC-94 y Dinamico'!N35,'Sismo UBC-94 y Dinamico'!P35)</f>
        <v>17431.188760394794</v>
      </c>
      <c r="M43" s="52">
        <f>0.05*N43*K43*(H43-1)+0.05*O43*L43*(H43-1)</f>
        <v>-1628.400299513115</v>
      </c>
      <c r="N43" s="172">
        <f t="shared" ref="N43:N52" si="18">+$N$3</f>
        <v>19</v>
      </c>
      <c r="O43" s="172">
        <f t="shared" ref="O43:O52" si="19">+$O$3</f>
        <v>19</v>
      </c>
      <c r="P43" s="95">
        <f>+K43*(J43+0.05*N43*H43)-K43*(J43+0.05*N43)</f>
        <v>-147.47117811209705</v>
      </c>
      <c r="Q43" s="95">
        <f>+L43*(I43+0.05*O43*H43)-L43*(I43+0.05*O43)</f>
        <v>-1480.9291214010191</v>
      </c>
      <c r="R43" s="95">
        <f>+P43+Q43</f>
        <v>-1628.4002995131161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3.25184562690502E-2</v>
      </c>
      <c r="F44" s="185">
        <v>2.9911374275229701E-2</v>
      </c>
      <c r="G44" s="186">
        <v>1.08716022105275</v>
      </c>
      <c r="H44" s="42">
        <f t="shared" si="16"/>
        <v>0.90596685087729001</v>
      </c>
      <c r="I44" s="181">
        <f t="shared" ref="I44:J44" si="20">+I26</f>
        <v>0.22085194709699962</v>
      </c>
      <c r="J44" s="181">
        <f t="shared" si="20"/>
        <v>-0.14930059241574867</v>
      </c>
      <c r="K44" s="48">
        <f>IF(+'Sismo UBC-94 y Dinamico'!O36=0,'Sismo UBC-94 y Dinamico'!M36,'Sismo UBC-94 y Dinamico'!O36)</f>
        <v>2253.8695614652383</v>
      </c>
      <c r="L44" s="48">
        <f>IF(+'Sismo UBC-94 y Dinamico'!P36=0,'Sismo UBC-94 y Dinamico'!N36,'Sismo UBC-94 y Dinamico'!P36)</f>
        <v>18835.803401276858</v>
      </c>
      <c r="M44" s="52">
        <f>0.05*N44*K44*(H44-1)+0.05*O44*L44*(H44-1)</f>
        <v>-1883.9719445219769</v>
      </c>
      <c r="N44" s="172">
        <f t="shared" si="18"/>
        <v>19</v>
      </c>
      <c r="O44" s="172">
        <f t="shared" si="19"/>
        <v>19</v>
      </c>
      <c r="P44" s="95">
        <f>+K44*(J44+0.05*N44*H44)-K44*(J44+0.05*N44)</f>
        <v>-201.34152994757778</v>
      </c>
      <c r="Q44" s="95">
        <f>+L44*(I44+0.05*O44*H44)-L44*(I44+0.05*O44)</f>
        <v>-1682.6304145744034</v>
      </c>
      <c r="R44" s="95">
        <f>+P44+Q44</f>
        <v>-1883.9719445219812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3.0324165601279301E-2</v>
      </c>
      <c r="F45" s="185">
        <v>2.8025087604086001E-2</v>
      </c>
      <c r="G45" s="186">
        <v>1.0820364249943699</v>
      </c>
      <c r="H45" s="42">
        <f t="shared" si="16"/>
        <v>0.90169702082864323</v>
      </c>
      <c r="I45" s="181">
        <f t="shared" ref="I45:J45" si="21">+I27</f>
        <v>0.31640781404770024</v>
      </c>
      <c r="J45" s="181">
        <f t="shared" si="21"/>
        <v>-0.16947088898539953</v>
      </c>
      <c r="K45" s="48">
        <f>IF(+'Sismo UBC-94 y Dinamico'!O37=0,'Sismo UBC-94 y Dinamico'!M37,'Sismo UBC-94 y Dinamico'!O37)</f>
        <v>1962.5970687392075</v>
      </c>
      <c r="L45" s="48">
        <f>IF(+'Sismo UBC-94 y Dinamico'!P37=0,'Sismo UBC-94 y Dinamico'!N37,'Sismo UBC-94 y Dinamico'!P37)</f>
        <v>15573.565009895307</v>
      </c>
      <c r="M45" s="52">
        <f>0.05*N45*K45*(H45-1)+0.05*O45*L45*(H45-1)</f>
        <v>-1637.664126783468</v>
      </c>
      <c r="N45" s="172">
        <f t="shared" si="18"/>
        <v>19</v>
      </c>
      <c r="O45" s="172">
        <f t="shared" si="19"/>
        <v>19</v>
      </c>
      <c r="P45" s="95">
        <f>+K45*(J45+0.05*N45*H45)-K45*(J45+0.05*N45)</f>
        <v>-183.28268183153432</v>
      </c>
      <c r="Q45" s="95">
        <f>+L45*(I45+0.05*O45*H45)-L45*(I45+0.05*O45)</f>
        <v>-1454.3814449519341</v>
      </c>
      <c r="R45" s="95">
        <f>+P45+Q45</f>
        <v>-1637.6641267834684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2.7535660663831701E-2</v>
      </c>
      <c r="F46" s="185">
        <v>2.5555092608173999E-2</v>
      </c>
      <c r="G46" s="186">
        <v>1.07750189310698</v>
      </c>
      <c r="H46" s="42">
        <f t="shared" si="16"/>
        <v>0.89791824425581757</v>
      </c>
      <c r="I46" s="181">
        <f t="shared" ref="I46:J46" si="22">+I28</f>
        <v>0.40120001847949993</v>
      </c>
      <c r="J46" s="181">
        <f t="shared" si="22"/>
        <v>-0.19177557463725847</v>
      </c>
      <c r="K46" s="48">
        <f>IF(+'Sismo UBC-94 y Dinamico'!O38=0,'Sismo UBC-94 y Dinamico'!M38,'Sismo UBC-94 y Dinamico'!O38)</f>
        <v>1694.0660797869841</v>
      </c>
      <c r="L46" s="48">
        <f>IF(+'Sismo UBC-94 y Dinamico'!P38=0,'Sismo UBC-94 y Dinamico'!N38,'Sismo UBC-94 y Dinamico'!P38)</f>
        <v>12979.064736406326</v>
      </c>
      <c r="M46" s="52">
        <f>0.05*N46*K46*(H46-1)+0.05*O46*L46*(H46-1)</f>
        <v>-1422.9660081820275</v>
      </c>
      <c r="N46" s="172">
        <f t="shared" si="18"/>
        <v>19</v>
      </c>
      <c r="O46" s="172">
        <f t="shared" si="19"/>
        <v>19</v>
      </c>
      <c r="P46" s="95">
        <f>+K46*(J46+0.05*N46*H46)-K46*(J46+0.05*N46)</f>
        <v>-164.28657778275351</v>
      </c>
      <c r="Q46" s="95">
        <f>+L46*(I46+0.05*O46*H46)-L46*(I46+0.05*O46)</f>
        <v>-1258.6794303992774</v>
      </c>
      <c r="R46" s="95">
        <f>+P46+Q46</f>
        <v>-1422.9660081820309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2.42544698883051E-2</v>
      </c>
      <c r="F47" s="185">
        <v>2.25954882917851E-2</v>
      </c>
      <c r="G47" s="186">
        <v>1.0734209225796301</v>
      </c>
      <c r="H47" s="42">
        <f t="shared" si="16"/>
        <v>0.89451743548302176</v>
      </c>
      <c r="I47" s="181">
        <f t="shared" ref="I47:J47" si="23">+I29</f>
        <v>0.47478576381829996</v>
      </c>
      <c r="J47" s="181">
        <f t="shared" si="23"/>
        <v>-0.21758443465391863</v>
      </c>
      <c r="K47" s="48">
        <f>IF(+'Sismo UBC-94 y Dinamico'!O39=0,'Sismo UBC-94 y Dinamico'!M39,'Sismo UBC-94 y Dinamico'!O39)</f>
        <v>1470.6379416565917</v>
      </c>
      <c r="L47" s="48">
        <f>IF(+'Sismo UBC-94 y Dinamico'!P39=0,'Sismo UBC-94 y Dinamico'!N39,'Sismo UBC-94 y Dinamico'!P39)</f>
        <v>11058.355615234041</v>
      </c>
      <c r="M47" s="52">
        <f t="shared" ref="M47:M52" si="24">0.05*N47*K47*(H47-1)+0.05*O47*L47*(H47-1)</f>
        <v>-1255.5108526376448</v>
      </c>
      <c r="N47" s="172">
        <f t="shared" si="18"/>
        <v>19</v>
      </c>
      <c r="O47" s="172">
        <f t="shared" si="19"/>
        <v>19</v>
      </c>
      <c r="P47" s="95">
        <f t="shared" ref="P47:P52" si="25">+K47*(J47+0.05*N47*H47)-K47*(J47+0.05*N47)</f>
        <v>-147.37032848381205</v>
      </c>
      <c r="Q47" s="95">
        <f t="shared" ref="Q47:Q52" si="26">+L47*(I47+0.05*O47*H47)-L47*(I47+0.05*O47)</f>
        <v>-1108.1405241538323</v>
      </c>
      <c r="R47" s="95">
        <f t="shared" ref="R47:R52" si="27">+P47+Q47</f>
        <v>-1255.5108526376443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2.0572680827141001E-2</v>
      </c>
      <c r="F48" s="185">
        <v>1.92309112077487E-2</v>
      </c>
      <c r="G48" s="186">
        <v>1.0697715050991301</v>
      </c>
      <c r="H48" s="42">
        <f t="shared" si="16"/>
        <v>0.89147625424927268</v>
      </c>
      <c r="I48" s="181">
        <f t="shared" ref="I48:J48" si="28">+I30</f>
        <v>0.53465697644869969</v>
      </c>
      <c r="J48" s="181">
        <f t="shared" si="28"/>
        <v>-0.24620721664105893</v>
      </c>
      <c r="K48" s="48">
        <f>IF(+'Sismo UBC-94 y Dinamico'!O40=0,'Sismo UBC-94 y Dinamico'!M40,'Sismo UBC-94 y Dinamico'!O40)</f>
        <v>1273.9360810550543</v>
      </c>
      <c r="L48" s="48">
        <f>IF(+'Sismo UBC-94 y Dinamico'!P40=0,'Sismo UBC-94 y Dinamico'!N40,'Sismo UBC-94 y Dinamico'!P40)</f>
        <v>9660.8540564907762</v>
      </c>
      <c r="M48" s="52">
        <f t="shared" si="24"/>
        <v>-1127.3501654883553</v>
      </c>
      <c r="N48" s="172">
        <f t="shared" si="18"/>
        <v>19</v>
      </c>
      <c r="O48" s="172">
        <f t="shared" si="19"/>
        <v>19</v>
      </c>
      <c r="P48" s="95">
        <f t="shared" si="25"/>
        <v>-131.33969959494186</v>
      </c>
      <c r="Q48" s="95">
        <f t="shared" si="26"/>
        <v>-996.01046589341422</v>
      </c>
      <c r="R48" s="95">
        <f t="shared" si="27"/>
        <v>-1127.3501654883562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1.6580319802910401E-2</v>
      </c>
      <c r="F49" s="185">
        <v>1.5536228647796701E-2</v>
      </c>
      <c r="G49" s="186">
        <v>1.0672036424529401</v>
      </c>
      <c r="H49" s="42">
        <f t="shared" si="16"/>
        <v>0.88933636871078592</v>
      </c>
      <c r="I49" s="181">
        <f t="shared" ref="I49:J49" si="29">+I31</f>
        <v>0.46259341591409964</v>
      </c>
      <c r="J49" s="181">
        <f t="shared" si="29"/>
        <v>-0.18283470047992978</v>
      </c>
      <c r="K49" s="48">
        <f>IF(+'Sismo UBC-94 y Dinamico'!O41=0,'Sismo UBC-94 y Dinamico'!M41,'Sismo UBC-94 y Dinamico'!O41)</f>
        <v>1091.1186470047139</v>
      </c>
      <c r="L49" s="48">
        <f>IF(+'Sismo UBC-94 y Dinamico'!P41=0,'Sismo UBC-94 y Dinamico'!N41,'Sismo UBC-94 y Dinamico'!P41)</f>
        <v>8571.366556307803</v>
      </c>
      <c r="M49" s="52">
        <f t="shared" si="24"/>
        <v>-1015.82141488302</v>
      </c>
      <c r="N49" s="172">
        <f t="shared" si="18"/>
        <v>19</v>
      </c>
      <c r="O49" s="172">
        <f t="shared" si="19"/>
        <v>19</v>
      </c>
      <c r="P49" s="95">
        <f t="shared" si="25"/>
        <v>-114.70979406266997</v>
      </c>
      <c r="Q49" s="95">
        <f t="shared" si="26"/>
        <v>-901.11162082034934</v>
      </c>
      <c r="R49" s="95">
        <f t="shared" si="27"/>
        <v>-1015.8214148830193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1.2353427110762399E-2</v>
      </c>
      <c r="F50" s="185">
        <v>1.15793589224162E-2</v>
      </c>
      <c r="G50" s="186">
        <v>1.0668489675061099</v>
      </c>
      <c r="H50" s="42">
        <f t="shared" si="16"/>
        <v>0.88904080625509274</v>
      </c>
      <c r="I50" s="181">
        <f t="shared" ref="I50:J50" si="30">+I32</f>
        <v>0.45363788765610025</v>
      </c>
      <c r="J50" s="181">
        <f t="shared" si="30"/>
        <v>-0.16324609242867893</v>
      </c>
      <c r="K50" s="48">
        <f>IF(+'Sismo UBC-94 y Dinamico'!O42=0,'Sismo UBC-94 y Dinamico'!M42,'Sismo UBC-94 y Dinamico'!O42)</f>
        <v>893.3714181223919</v>
      </c>
      <c r="L50" s="48">
        <f>IF(+'Sismo UBC-94 y Dinamico'!P42=0,'Sismo UBC-94 y Dinamico'!N42,'Sismo UBC-94 y Dinamico'!P42)</f>
        <v>7402.9463348581066</v>
      </c>
      <c r="M50" s="52">
        <f t="shared" si="24"/>
        <v>-874.52509247616297</v>
      </c>
      <c r="N50" s="172">
        <f t="shared" si="18"/>
        <v>19</v>
      </c>
      <c r="O50" s="172">
        <f t="shared" si="19"/>
        <v>19</v>
      </c>
      <c r="P50" s="95">
        <f t="shared" si="25"/>
        <v>-94.171383656124817</v>
      </c>
      <c r="Q50" s="95">
        <f t="shared" si="26"/>
        <v>-780.35370882003917</v>
      </c>
      <c r="R50" s="95">
        <f t="shared" si="27"/>
        <v>-874.52509247616399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7.9797840749634905E-3</v>
      </c>
      <c r="F51" s="185">
        <v>7.4471580378774101E-3</v>
      </c>
      <c r="G51" s="186">
        <v>1.0715207109043601</v>
      </c>
      <c r="H51" s="42">
        <f t="shared" si="16"/>
        <v>0.89293392575362984</v>
      </c>
      <c r="I51" s="181">
        <f t="shared" ref="I51:J51" si="31">+I33</f>
        <v>0.35209416062570043</v>
      </c>
      <c r="J51" s="181">
        <f t="shared" si="31"/>
        <v>-0.10296012116257991</v>
      </c>
      <c r="K51" s="48">
        <f>IF(+'Sismo UBC-94 y Dinamico'!O43=0,'Sismo UBC-94 y Dinamico'!M43,'Sismo UBC-94 y Dinamico'!O43)</f>
        <v>653.71270294835119</v>
      </c>
      <c r="L51" s="48">
        <f>IF(+'Sismo UBC-94 y Dinamico'!P43=0,'Sismo UBC-94 y Dinamico'!N43,'Sismo UBC-94 y Dinamico'!P43)</f>
        <v>5784.6411518504856</v>
      </c>
      <c r="M51" s="52">
        <f t="shared" si="24"/>
        <v>-654.86280825018105</v>
      </c>
      <c r="N51" s="172">
        <f t="shared" si="18"/>
        <v>19</v>
      </c>
      <c r="O51" s="172">
        <f t="shared" si="19"/>
        <v>19</v>
      </c>
      <c r="P51" s="95">
        <f t="shared" si="25"/>
        <v>-66.490930150180304</v>
      </c>
      <c r="Q51" s="95">
        <f t="shared" si="26"/>
        <v>-588.37187810000069</v>
      </c>
      <c r="R51" s="95">
        <f t="shared" si="27"/>
        <v>-654.86280825018093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3.6395638350918899E-3</v>
      </c>
      <c r="F52" s="188">
        <v>3.3357023692140702E-3</v>
      </c>
      <c r="G52" s="189">
        <v>1.09109369849128</v>
      </c>
      <c r="H52" s="42">
        <f t="shared" si="16"/>
        <v>0.90924474874272954</v>
      </c>
      <c r="I52" s="181">
        <f t="shared" ref="I52:J52" si="32">+I34</f>
        <v>-1.3378493461599916E-2</v>
      </c>
      <c r="J52" s="181">
        <f t="shared" si="32"/>
        <v>9.2981227220338525E-2</v>
      </c>
      <c r="K52" s="48">
        <f>IF(+'Sismo UBC-94 y Dinamico'!O44=0,'Sismo UBC-94 y Dinamico'!M44,'Sismo UBC-94 y Dinamico'!O44)</f>
        <v>339.20708921301042</v>
      </c>
      <c r="L52" s="48">
        <f>IF(+'Sismo UBC-94 y Dinamico'!P44=0,'Sismo UBC-94 y Dinamico'!N44,'Sismo UBC-94 y Dinamico'!P44)</f>
        <v>3252.4538542858595</v>
      </c>
      <c r="M52" s="52">
        <f t="shared" si="24"/>
        <v>-309.66398679025679</v>
      </c>
      <c r="N52" s="172">
        <f t="shared" si="18"/>
        <v>19</v>
      </c>
      <c r="O52" s="172">
        <f t="shared" si="19"/>
        <v>19</v>
      </c>
      <c r="P52" s="95">
        <f t="shared" si="25"/>
        <v>-29.245583379285449</v>
      </c>
      <c r="Q52" s="95">
        <f t="shared" si="26"/>
        <v>-280.41840341097122</v>
      </c>
      <c r="R52" s="95">
        <f t="shared" si="27"/>
        <v>-309.66398679025667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2.9971248893849899E-2</v>
      </c>
      <c r="F60" s="185">
        <v>2.9446057967908199E-2</v>
      </c>
      <c r="G60" s="186">
        <v>1.01783569557983</v>
      </c>
      <c r="H60" s="42">
        <f>+E60/(1.2*F60)</f>
        <v>0.84819641298319348</v>
      </c>
      <c r="I60" s="181">
        <f>+I42</f>
        <v>-3.2056048742051004</v>
      </c>
      <c r="J60" s="181">
        <f>+J42</f>
        <v>0.19227968188172007</v>
      </c>
      <c r="K60" s="48">
        <f>+K42</f>
        <v>303.37124405996224</v>
      </c>
      <c r="L60" s="48">
        <f>+L42</f>
        <v>903.73213639425637</v>
      </c>
      <c r="M60" s="52">
        <f>-0.05*N60*K60*(H60-1)-0.05*O60*L60*(H60-1)</f>
        <v>174.0804919004101</v>
      </c>
      <c r="N60" s="172">
        <f>+$N$3</f>
        <v>19</v>
      </c>
      <c r="O60" s="172">
        <f>+$O$3</f>
        <v>19</v>
      </c>
      <c r="P60" s="95">
        <f>+K60*(J60-0.05*N60*H60)-K60*(J60-0.05*N60)</f>
        <v>43.750200893750673</v>
      </c>
      <c r="Q60" s="95">
        <f>+L60*(I60-0.05*O60*H60)-L60*(I60-0.05*O60)</f>
        <v>130.33029100665999</v>
      </c>
      <c r="R60" s="95">
        <f>+P60+Q60</f>
        <v>174.08049190041066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3.3769006564579901E-2</v>
      </c>
      <c r="F61" s="185">
        <v>3.0763693308111802E-2</v>
      </c>
      <c r="G61" s="186">
        <v>1.09769026190609</v>
      </c>
      <c r="H61" s="42">
        <f t="shared" ref="H61:H70" si="33">+E61/(1.2*F61)</f>
        <v>0.91474188492174247</v>
      </c>
      <c r="I61" s="181">
        <f t="shared" ref="I61:J61" si="34">+I43</f>
        <v>-6.4753649596998031E-3</v>
      </c>
      <c r="J61" s="181">
        <f t="shared" si="34"/>
        <v>3.1397112938300609E-3</v>
      </c>
      <c r="K61" s="48">
        <f t="shared" ref="K61:L64" si="35">+K43</f>
        <v>1735.8007923822011</v>
      </c>
      <c r="L61" s="48">
        <f t="shared" si="35"/>
        <v>17431.188760394794</v>
      </c>
      <c r="M61" s="52">
        <f>-0.05*N61*K61*(H61-1)-0.05*O61*L61*(H61-1)</f>
        <v>1552.4343309446999</v>
      </c>
      <c r="N61" s="172">
        <f t="shared" ref="N61:N70" si="36">+$N$3</f>
        <v>19</v>
      </c>
      <c r="O61" s="172">
        <f t="shared" ref="O61:O70" si="37">+$O$3</f>
        <v>19</v>
      </c>
      <c r="P61" s="95">
        <f>+K61*(J61-0.05*N61*H61)-K61*(J61-0.05*N61)</f>
        <v>140.59154852435972</v>
      </c>
      <c r="Q61" s="95">
        <f>+L61*(I61-0.05*O61*H61)-L61*(I61-0.05*O61)</f>
        <v>1411.8427824203409</v>
      </c>
      <c r="R61" s="95">
        <f>+P61+Q61</f>
        <v>1552.4343309447006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3.2637364015584099E-2</v>
      </c>
      <c r="F62" s="185">
        <v>2.9551979558189501E-2</v>
      </c>
      <c r="G62" s="186">
        <v>1.10440533945685</v>
      </c>
      <c r="H62" s="42">
        <f t="shared" si="33"/>
        <v>0.92033778288070645</v>
      </c>
      <c r="I62" s="181">
        <f t="shared" ref="I62:J62" si="38">+I44</f>
        <v>0.22085194709699962</v>
      </c>
      <c r="J62" s="181">
        <f t="shared" si="38"/>
        <v>-0.14930059241574867</v>
      </c>
      <c r="K62" s="48">
        <f t="shared" si="35"/>
        <v>2253.8695614652383</v>
      </c>
      <c r="L62" s="48">
        <f t="shared" si="35"/>
        <v>18835.803401276858</v>
      </c>
      <c r="M62" s="52">
        <f>-0.05*N62*K62*(H62-1)-0.05*O62*L62*(H62-1)</f>
        <v>1596.0476012062131</v>
      </c>
      <c r="N62" s="172">
        <f t="shared" si="36"/>
        <v>19</v>
      </c>
      <c r="O62" s="172">
        <f t="shared" si="37"/>
        <v>19</v>
      </c>
      <c r="P62" s="95">
        <f>+K62*(J62-0.05*N62*H62)-K62*(J62-0.05*N62)</f>
        <v>170.57083404580999</v>
      </c>
      <c r="Q62" s="95">
        <f>+L62*(I62-0.05*O62*H62)-L62*(I62-0.05*O62)</f>
        <v>1425.4767671604022</v>
      </c>
      <c r="R62" s="95">
        <f>+P62+Q62</f>
        <v>1596.0476012062122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3.0771532724560999E-2</v>
      </c>
      <c r="F63" s="185">
        <v>2.7708793624586101E-2</v>
      </c>
      <c r="G63" s="186">
        <v>1.1105331087838199</v>
      </c>
      <c r="H63" s="42">
        <f t="shared" si="33"/>
        <v>0.92544425731985325</v>
      </c>
      <c r="I63" s="181">
        <f t="shared" ref="I63:J63" si="39">+I45</f>
        <v>0.31640781404770024</v>
      </c>
      <c r="J63" s="181">
        <f t="shared" si="39"/>
        <v>-0.16947088898539953</v>
      </c>
      <c r="K63" s="48">
        <f t="shared" si="35"/>
        <v>1962.5970687392075</v>
      </c>
      <c r="L63" s="48">
        <f t="shared" si="35"/>
        <v>15573.565009895307</v>
      </c>
      <c r="M63" s="52">
        <f>-0.05*N63*K63*(H63-1)-0.05*O63*L63*(H63-1)</f>
        <v>1242.0505081554213</v>
      </c>
      <c r="N63" s="172">
        <f t="shared" si="36"/>
        <v>19</v>
      </c>
      <c r="O63" s="172">
        <f t="shared" si="37"/>
        <v>19</v>
      </c>
      <c r="P63" s="95">
        <f>+K63*(J63-0.05*N63*H63)-K63*(J63-0.05*N63)</f>
        <v>139.00673793964461</v>
      </c>
      <c r="Q63" s="95">
        <f>+L63*(I63-0.05*O63*H63)-L63*(I63-0.05*O63)</f>
        <v>1103.0437702157778</v>
      </c>
      <c r="R63" s="95">
        <f>+P63+Q63</f>
        <v>1242.0505081554224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2.8218254149147699E-2</v>
      </c>
      <c r="F64" s="185">
        <v>2.5283644781923499E-2</v>
      </c>
      <c r="G64" s="186">
        <v>1.1160674970929101</v>
      </c>
      <c r="H64" s="42">
        <f t="shared" si="33"/>
        <v>0.93005624757742922</v>
      </c>
      <c r="I64" s="181">
        <f t="shared" ref="I64:J64" si="40">+I46</f>
        <v>0.40120001847949993</v>
      </c>
      <c r="J64" s="181">
        <f t="shared" si="40"/>
        <v>-0.19177557463725847</v>
      </c>
      <c r="K64" s="48">
        <f t="shared" si="35"/>
        <v>1694.0660797869841</v>
      </c>
      <c r="L64" s="48">
        <f t="shared" si="35"/>
        <v>12979.064736406326</v>
      </c>
      <c r="M64" s="52">
        <f>-0.05*N64*K64*(H64-1)-0.05*O64*L64*(H64-1)</f>
        <v>974.97913761822792</v>
      </c>
      <c r="N64" s="172">
        <f t="shared" si="36"/>
        <v>19</v>
      </c>
      <c r="O64" s="172">
        <f t="shared" si="37"/>
        <v>19</v>
      </c>
      <c r="P64" s="95">
        <f>+K64*(J64-0.05*N64*H64)-K64*(J64-0.05*N64)</f>
        <v>112.56487154849151</v>
      </c>
      <c r="Q64" s="95">
        <f>+L64*(I64-0.05*O64*H64)-L64*(I64-0.05*O64)</f>
        <v>862.4142660697371</v>
      </c>
      <c r="R64" s="95">
        <f>+P64+Q64</f>
        <v>974.97913761822861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2.5082364215334201E-2</v>
      </c>
      <c r="F65" s="185">
        <v>2.2369318117055701E-2</v>
      </c>
      <c r="G65" s="186">
        <v>1.1212842556970899</v>
      </c>
      <c r="H65" s="42">
        <f t="shared" si="33"/>
        <v>0.9344035464142405</v>
      </c>
      <c r="I65" s="181">
        <f t="shared" ref="I65:J65" si="41">+I47</f>
        <v>0.47478576381829996</v>
      </c>
      <c r="J65" s="181">
        <f t="shared" si="41"/>
        <v>-0.21758443465391863</v>
      </c>
      <c r="K65" s="48">
        <f t="shared" ref="K65:L70" si="42">+K47</f>
        <v>1470.6379416565917</v>
      </c>
      <c r="L65" s="48">
        <f t="shared" si="42"/>
        <v>11058.355615234041</v>
      </c>
      <c r="M65" s="52">
        <f t="shared" ref="M65:M70" si="43">-0.05*N65*K65*(H65-1)-0.05*O65*L65*(H65-1)</f>
        <v>780.7646671143134</v>
      </c>
      <c r="N65" s="172">
        <f t="shared" si="36"/>
        <v>19</v>
      </c>
      <c r="O65" s="172">
        <f t="shared" si="37"/>
        <v>19</v>
      </c>
      <c r="P65" s="95">
        <f t="shared" ref="P65:P70" si="44">+K65*(J65-0.05*N65*H65)-K65*(J65-0.05*N65)</f>
        <v>91.645201807266858</v>
      </c>
      <c r="Q65" s="95">
        <f t="shared" ref="Q65:Q70" si="45">+L65*(I65-0.05*O65*H65)-L65*(I65-0.05*O65)</f>
        <v>689.11946530704699</v>
      </c>
      <c r="R65" s="95">
        <f t="shared" ref="R65:R70" si="46">+P65+Q65</f>
        <v>780.76466711431385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2.14561418231441E-2</v>
      </c>
      <c r="F66" s="185">
        <v>1.90492593207129E-2</v>
      </c>
      <c r="G66" s="186">
        <v>1.1263504507922799</v>
      </c>
      <c r="H66" s="42">
        <f t="shared" si="33"/>
        <v>0.93862537566023696</v>
      </c>
      <c r="I66" s="181">
        <f t="shared" ref="I66:J66" si="47">+I48</f>
        <v>0.53465697644869969</v>
      </c>
      <c r="J66" s="181">
        <f t="shared" si="47"/>
        <v>-0.24620721664105893</v>
      </c>
      <c r="K66" s="48">
        <f t="shared" si="42"/>
        <v>1273.9360810550543</v>
      </c>
      <c r="L66" s="48">
        <f t="shared" si="42"/>
        <v>9660.8540564907762</v>
      </c>
      <c r="M66" s="52">
        <f t="shared" si="43"/>
        <v>637.56270507972022</v>
      </c>
      <c r="N66" s="172">
        <f t="shared" si="36"/>
        <v>19</v>
      </c>
      <c r="O66" s="172">
        <f t="shared" si="37"/>
        <v>19</v>
      </c>
      <c r="P66" s="95">
        <f t="shared" si="44"/>
        <v>74.277980987242927</v>
      </c>
      <c r="Q66" s="95">
        <f t="shared" si="45"/>
        <v>563.28472409247752</v>
      </c>
      <c r="R66" s="95">
        <f t="shared" si="46"/>
        <v>637.56270507972044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1.7413948484945999E-2</v>
      </c>
      <c r="F67" s="185">
        <v>1.5396143337161E-2</v>
      </c>
      <c r="G67" s="186">
        <v>1.13105912978315</v>
      </c>
      <c r="H67" s="42">
        <f t="shared" si="33"/>
        <v>0.94254927481929363</v>
      </c>
      <c r="I67" s="181">
        <f t="shared" ref="I67:J67" si="48">+I49</f>
        <v>0.46259341591409964</v>
      </c>
      <c r="J67" s="181">
        <f t="shared" si="48"/>
        <v>-0.18283470047992978</v>
      </c>
      <c r="K67" s="48">
        <f t="shared" si="42"/>
        <v>1091.1186470047139</v>
      </c>
      <c r="L67" s="48">
        <f t="shared" si="42"/>
        <v>8571.366556307803</v>
      </c>
      <c r="M67" s="52">
        <f t="shared" si="43"/>
        <v>527.36094287924175</v>
      </c>
      <c r="N67" s="172">
        <f t="shared" si="36"/>
        <v>19</v>
      </c>
      <c r="O67" s="172">
        <f t="shared" si="37"/>
        <v>19</v>
      </c>
      <c r="P67" s="95">
        <f t="shared" si="44"/>
        <v>59.55127965218162</v>
      </c>
      <c r="Q67" s="95">
        <f t="shared" si="45"/>
        <v>467.80966322706126</v>
      </c>
      <c r="R67" s="95">
        <f t="shared" si="46"/>
        <v>527.36094287924288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1.30254692332175E-2</v>
      </c>
      <c r="F68" s="185">
        <v>1.14761626580641E-2</v>
      </c>
      <c r="G68" s="186">
        <v>1.1350021449952801</v>
      </c>
      <c r="H68" s="42">
        <f t="shared" si="33"/>
        <v>0.94583512082940102</v>
      </c>
      <c r="I68" s="181">
        <f t="shared" ref="I68:J68" si="49">+I50</f>
        <v>0.45363788765610025</v>
      </c>
      <c r="J68" s="181">
        <f t="shared" si="49"/>
        <v>-0.16324609242867893</v>
      </c>
      <c r="K68" s="48">
        <f t="shared" si="42"/>
        <v>893.3714181223919</v>
      </c>
      <c r="L68" s="48">
        <f t="shared" si="42"/>
        <v>7402.9463348581066</v>
      </c>
      <c r="M68" s="52">
        <f t="shared" si="43"/>
        <v>426.90059621852981</v>
      </c>
      <c r="N68" s="172">
        <f t="shared" si="36"/>
        <v>19</v>
      </c>
      <c r="O68" s="172">
        <f t="shared" si="37"/>
        <v>19</v>
      </c>
      <c r="P68" s="95">
        <f t="shared" si="44"/>
        <v>45.969887171212804</v>
      </c>
      <c r="Q68" s="95">
        <f t="shared" si="45"/>
        <v>380.93070904731667</v>
      </c>
      <c r="R68" s="95">
        <f t="shared" si="46"/>
        <v>426.90059621852947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8.3857017965710892E-3</v>
      </c>
      <c r="F69" s="185">
        <v>7.3755837957845899E-3</v>
      </c>
      <c r="G69" s="186">
        <v>1.1369543115168499</v>
      </c>
      <c r="H69" s="42">
        <f t="shared" si="33"/>
        <v>0.94746192626404013</v>
      </c>
      <c r="I69" s="181">
        <f t="shared" ref="I69:J69" si="50">+I51</f>
        <v>0.35209416062570043</v>
      </c>
      <c r="J69" s="181">
        <f t="shared" si="50"/>
        <v>-0.10296012116257991</v>
      </c>
      <c r="K69" s="48">
        <f t="shared" si="42"/>
        <v>653.71270294835119</v>
      </c>
      <c r="L69" s="48">
        <f t="shared" si="42"/>
        <v>5784.6411518504856</v>
      </c>
      <c r="M69" s="52">
        <f t="shared" si="43"/>
        <v>321.34577408354164</v>
      </c>
      <c r="N69" s="172">
        <f t="shared" si="36"/>
        <v>19</v>
      </c>
      <c r="O69" s="172">
        <f t="shared" si="37"/>
        <v>19</v>
      </c>
      <c r="P69" s="95">
        <f t="shared" si="44"/>
        <v>32.627565880152588</v>
      </c>
      <c r="Q69" s="95">
        <f t="shared" si="45"/>
        <v>288.71820820338917</v>
      </c>
      <c r="R69" s="95">
        <f t="shared" si="46"/>
        <v>321.34577408354176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3.7308335051109399E-3</v>
      </c>
      <c r="F70" s="188">
        <v>3.2931550041509399E-3</v>
      </c>
      <c r="G70" s="189">
        <v>1.1329055268908701</v>
      </c>
      <c r="H70" s="42">
        <f t="shared" si="33"/>
        <v>0.94408793907572852</v>
      </c>
      <c r="I70" s="181">
        <f t="shared" ref="I70:J70" si="51">+I52</f>
        <v>-1.3378493461599916E-2</v>
      </c>
      <c r="J70" s="181">
        <f t="shared" si="51"/>
        <v>9.2981227220338525E-2</v>
      </c>
      <c r="K70" s="48">
        <f t="shared" si="42"/>
        <v>339.20708921301042</v>
      </c>
      <c r="L70" s="48">
        <f t="shared" si="42"/>
        <v>3252.4538542858595</v>
      </c>
      <c r="M70" s="52">
        <f t="shared" si="43"/>
        <v>190.77630721762344</v>
      </c>
      <c r="N70" s="172">
        <f t="shared" si="36"/>
        <v>19</v>
      </c>
      <c r="O70" s="172">
        <f t="shared" si="37"/>
        <v>19</v>
      </c>
      <c r="P70" s="95">
        <f t="shared" si="44"/>
        <v>18.017479066121496</v>
      </c>
      <c r="Q70" s="95">
        <f t="shared" si="45"/>
        <v>172.7588281515018</v>
      </c>
      <c r="R70" s="95">
        <f t="shared" si="46"/>
        <v>190.7763072176233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topLeftCell="A10"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1377745.5645618299</v>
      </c>
      <c r="E6" s="53">
        <f>0.7*D6</f>
        <v>964421.89519328088</v>
      </c>
      <c r="F6" s="1" t="str">
        <f>+IF(D6&lt;E5,"piso suave","ok")</f>
        <v>ok</v>
      </c>
      <c r="G6" s="53">
        <f>0.9*D6</f>
        <v>1239971.0081056471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17322628.9977782</v>
      </c>
      <c r="E7" s="53">
        <f>0.7*D7</f>
        <v>12125840.298444739</v>
      </c>
      <c r="F7" s="1" t="str">
        <f>+IF(D7&lt;E6,"piso suave","ok")</f>
        <v>ok</v>
      </c>
      <c r="G7" s="53">
        <f>0.9*D7</f>
        <v>15590366.098000379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24044141.383265499</v>
      </c>
      <c r="E8" s="53">
        <f>0.7*D8</f>
        <v>16830898.968285847</v>
      </c>
      <c r="F8" s="1" t="str">
        <f>+IF(D8&lt;E7,"piso suave","ok")</f>
        <v>ok</v>
      </c>
      <c r="G8" s="53">
        <f>0.9*D8</f>
        <v>21639727.244938951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26866840.336691801</v>
      </c>
      <c r="E9" s="53">
        <f>0.7*D9</f>
        <v>18806788.235684261</v>
      </c>
      <c r="F9" s="1" t="str">
        <f>+IF(D9&lt;E8,"piso suave","ok")</f>
        <v>ok</v>
      </c>
      <c r="G9" s="53">
        <f>0.9*D9</f>
        <v>24180156.303022619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28387341.761257902</v>
      </c>
      <c r="E10" s="53">
        <f>0.7*D10</f>
        <v>19871139.232880529</v>
      </c>
      <c r="F10" s="1" t="str">
        <f>+IF(D10&lt;E9,"piso suave","ok")</f>
        <v>ok</v>
      </c>
      <c r="G10" s="53">
        <f>0.9*D10</f>
        <v>25548607.585132111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29030374.824723698</v>
      </c>
      <c r="E11" s="53">
        <f t="shared" ref="E11:E16" si="0">0.7*D11</f>
        <v>20321262.377306588</v>
      </c>
      <c r="F11" s="1" t="str">
        <f t="shared" ref="F11:F16" si="1">+IF(D11&lt;E10,"piso suave","ok")</f>
        <v>ok</v>
      </c>
      <c r="G11" s="53">
        <f t="shared" ref="G11:G16" si="2">0.9*D11</f>
        <v>26127337.342251331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29859417.2652434</v>
      </c>
      <c r="E12" s="53">
        <f t="shared" si="0"/>
        <v>20901592.085670378</v>
      </c>
      <c r="F12" s="1" t="str">
        <f t="shared" si="1"/>
        <v>ok</v>
      </c>
      <c r="G12" s="53">
        <f t="shared" si="2"/>
        <v>26873475.538719062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30704290.698950302</v>
      </c>
      <c r="E13" s="53">
        <f t="shared" si="0"/>
        <v>21493003.489265211</v>
      </c>
      <c r="F13" s="1" t="str">
        <f t="shared" si="1"/>
        <v>ok</v>
      </c>
      <c r="G13" s="53">
        <f t="shared" si="2"/>
        <v>27633861.629055273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31417265.862216201</v>
      </c>
      <c r="E14" s="53">
        <f t="shared" si="0"/>
        <v>21992086.103551339</v>
      </c>
      <c r="F14" s="1" t="str">
        <f t="shared" si="1"/>
        <v>ok</v>
      </c>
      <c r="G14" s="53">
        <f t="shared" si="2"/>
        <v>28275539.27599458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34004209.837431103</v>
      </c>
      <c r="E15" s="53">
        <f t="shared" si="0"/>
        <v>23802946.886201769</v>
      </c>
      <c r="F15" s="1" t="str">
        <f t="shared" si="1"/>
        <v>ok</v>
      </c>
      <c r="G15" s="53">
        <f t="shared" si="2"/>
        <v>30603788.853687994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38485597.900031596</v>
      </c>
      <c r="E16" s="53">
        <f t="shared" si="0"/>
        <v>26939918.530022115</v>
      </c>
      <c r="F16" s="1" t="str">
        <f t="shared" si="1"/>
        <v>ok</v>
      </c>
      <c r="G16" s="53">
        <f t="shared" si="2"/>
        <v>34637038.110028438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1297575.3437302001</v>
      </c>
      <c r="E23" s="53">
        <f>0.7*D23</f>
        <v>908302.74061114003</v>
      </c>
      <c r="F23" s="1" t="str">
        <f>+IF(D23&lt;E22,"piso suave","ok")</f>
        <v>ok</v>
      </c>
      <c r="G23" s="53">
        <f>0.9*D23</f>
        <v>1167817.80935718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17250135.9769095</v>
      </c>
      <c r="E24" s="53">
        <f>0.7*D24</f>
        <v>12075095.183836648</v>
      </c>
      <c r="F24" s="1" t="str">
        <f>+IF(D24&lt;E23,"piso suave","ok")</f>
        <v>ok</v>
      </c>
      <c r="G24" s="53">
        <f>0.9*D24</f>
        <v>15525122.37921855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23537271.944733299</v>
      </c>
      <c r="E25" s="53">
        <f>0.7*D25</f>
        <v>16476090.361313308</v>
      </c>
      <c r="F25" s="1" t="str">
        <f>+IF(D25&lt;E24,"piso suave","ok")</f>
        <v>ok</v>
      </c>
      <c r="G25" s="53">
        <f>0.9*D25</f>
        <v>21183544.750259969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26046362.0728449</v>
      </c>
      <c r="E26" s="53">
        <f>0.7*D26</f>
        <v>18232453.450991429</v>
      </c>
      <c r="F26" s="1" t="str">
        <f>+IF(D26&lt;E25,"piso suave","ok")</f>
        <v>ok</v>
      </c>
      <c r="G26" s="53">
        <f>0.9*D26</f>
        <v>23441725.865560412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27477570.373151399</v>
      </c>
      <c r="E27" s="53">
        <f>0.7*D27</f>
        <v>19234299.261205979</v>
      </c>
      <c r="F27" s="1" t="str">
        <f>+IF(D27&lt;E26,"piso suave","ok")</f>
        <v>ok</v>
      </c>
      <c r="G27" s="53">
        <f>0.9*D27</f>
        <v>24729813.335836262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28222057.961233102</v>
      </c>
      <c r="E28" s="53">
        <f t="shared" ref="E28:E33" si="4">0.7*D28</f>
        <v>19755440.572863169</v>
      </c>
      <c r="F28" s="1" t="str">
        <f t="shared" ref="F28:F33" si="5">+IF(D28&lt;E27,"piso suave","ok")</f>
        <v>ok</v>
      </c>
      <c r="G28" s="53">
        <f t="shared" ref="G28:G33" si="6">0.9*D28</f>
        <v>25399852.165109791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29922444.193415899</v>
      </c>
      <c r="E29" s="53">
        <f t="shared" si="4"/>
        <v>20945710.935391128</v>
      </c>
      <c r="F29" s="1" t="str">
        <f t="shared" si="5"/>
        <v>ok</v>
      </c>
      <c r="G29" s="53">
        <f t="shared" si="6"/>
        <v>26930199.774074309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30687098.086785398</v>
      </c>
      <c r="E30" s="53">
        <f t="shared" si="4"/>
        <v>21480968.660749778</v>
      </c>
      <c r="F30" s="1" t="str">
        <f t="shared" si="5"/>
        <v>ok</v>
      </c>
      <c r="G30" s="53">
        <f t="shared" si="6"/>
        <v>27618388.278106861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31654899.818223398</v>
      </c>
      <c r="E31" s="53">
        <f t="shared" si="4"/>
        <v>22158429.872756377</v>
      </c>
      <c r="F31" s="1" t="str">
        <f t="shared" si="5"/>
        <v>ok</v>
      </c>
      <c r="G31" s="53">
        <f t="shared" si="6"/>
        <v>28489409.83640106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33384071.568009999</v>
      </c>
      <c r="E32" s="53">
        <f t="shared" si="4"/>
        <v>23368850.097606998</v>
      </c>
      <c r="F32" s="1" t="str">
        <f t="shared" si="5"/>
        <v>ok</v>
      </c>
      <c r="G32" s="53">
        <f t="shared" si="6"/>
        <v>30045664.411208998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39038754.686555803</v>
      </c>
      <c r="E33" s="53">
        <f t="shared" si="4"/>
        <v>27327128.280589059</v>
      </c>
      <c r="F33" s="1" t="str">
        <f t="shared" si="5"/>
        <v>ok</v>
      </c>
      <c r="G33" s="53">
        <f t="shared" si="6"/>
        <v>35134879.217900224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748590.59073075303</v>
      </c>
      <c r="E40" s="53">
        <f>0.7*D40</f>
        <v>524013.41351152706</v>
      </c>
      <c r="F40" s="1" t="str">
        <f>+IF(D40&lt;E39,"piso suave","ok")</f>
        <v>ok</v>
      </c>
      <c r="G40" s="53">
        <f>0.9*D40</f>
        <v>673731.53165767773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12758657.5199078</v>
      </c>
      <c r="E41" s="53">
        <f>0.7*D41</f>
        <v>8931060.2639354598</v>
      </c>
      <c r="F41" s="1" t="str">
        <f>+IF(D41&lt;E40,"piso suave","ok")</f>
        <v>ok</v>
      </c>
      <c r="G41" s="53">
        <f>0.9*D41</f>
        <v>11482791.76791702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17946211.1749736</v>
      </c>
      <c r="E42" s="53">
        <f>0.7*D42</f>
        <v>12562347.822481519</v>
      </c>
      <c r="F42" s="1" t="str">
        <f>+IF(D42&lt;E41,"piso suave","ok")</f>
        <v>ok</v>
      </c>
      <c r="G42" s="53">
        <f>0.9*D42</f>
        <v>16151590.057476239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20114216.389697298</v>
      </c>
      <c r="E43" s="53">
        <f>0.7*D43</f>
        <v>14079951.472788109</v>
      </c>
      <c r="F43" s="1" t="str">
        <f>+IF(D43&lt;E42,"piso suave","ok")</f>
        <v>ok</v>
      </c>
      <c r="G43" s="53">
        <f>0.9*D43</f>
        <v>18102794.750727568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21314969.513744898</v>
      </c>
      <c r="E44" s="53">
        <f>0.7*D44</f>
        <v>14920478.659621427</v>
      </c>
      <c r="F44" s="1" t="str">
        <f>+IF(D44&lt;E43,"piso suave","ok")</f>
        <v>ok</v>
      </c>
      <c r="G44" s="53">
        <f>0.9*D44</f>
        <v>19183472.562370408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22153405.769553401</v>
      </c>
      <c r="E45" s="53">
        <f t="shared" ref="E45:E50" si="8">0.7*D45</f>
        <v>15507384.03868738</v>
      </c>
      <c r="F45" s="1" t="str">
        <f t="shared" ref="F45:F50" si="9">+IF(D45&lt;E44,"piso suave","ok")</f>
        <v>ok</v>
      </c>
      <c r="G45" s="53">
        <f t="shared" ref="G45:G50" si="10">0.9*D45</f>
        <v>19938065.19259806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22953145.735587802</v>
      </c>
      <c r="E46" s="53">
        <f t="shared" si="8"/>
        <v>16067202.01491146</v>
      </c>
      <c r="F46" s="1" t="str">
        <f t="shared" si="9"/>
        <v>ok</v>
      </c>
      <c r="G46" s="53">
        <f t="shared" si="10"/>
        <v>20657831.16202902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23717051.012499399</v>
      </c>
      <c r="E47" s="53">
        <f t="shared" si="8"/>
        <v>16601935.708749579</v>
      </c>
      <c r="F47" s="1" t="str">
        <f t="shared" si="9"/>
        <v>ok</v>
      </c>
      <c r="G47" s="53">
        <f t="shared" si="10"/>
        <v>21345345.911249459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24684261.3382692</v>
      </c>
      <c r="E48" s="53">
        <f t="shared" si="8"/>
        <v>17278982.93678844</v>
      </c>
      <c r="F48" s="1" t="str">
        <f t="shared" si="9"/>
        <v>ok</v>
      </c>
      <c r="G48" s="53">
        <f t="shared" si="10"/>
        <v>22215835.204442281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27715705.0980956</v>
      </c>
      <c r="E49" s="53">
        <f t="shared" si="8"/>
        <v>19400993.56866692</v>
      </c>
      <c r="F49" s="1" t="str">
        <f t="shared" si="9"/>
        <v>ok</v>
      </c>
      <c r="G49" s="53">
        <f t="shared" si="10"/>
        <v>24944134.588286038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33412444.8970716</v>
      </c>
      <c r="E50" s="53">
        <f t="shared" si="8"/>
        <v>23388711.427950118</v>
      </c>
      <c r="F50" s="1" t="str">
        <f t="shared" si="9"/>
        <v>ok</v>
      </c>
      <c r="G50" s="53">
        <f t="shared" si="10"/>
        <v>30071200.407364439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851991.10213417199</v>
      </c>
      <c r="E57" s="53">
        <f>0.7*D57</f>
        <v>596393.77149392036</v>
      </c>
      <c r="F57" s="1" t="str">
        <f>+IF(D57&lt;E56,"piso suave","ok")</f>
        <v>ok</v>
      </c>
      <c r="G57" s="53">
        <f>0.9*D57</f>
        <v>766791.99192075478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13322002.635389799</v>
      </c>
      <c r="E58" s="53">
        <f>0.7*D58</f>
        <v>9325401.8447728585</v>
      </c>
      <c r="F58" s="1" t="str">
        <f>+IF(D58&lt;E57,"piso suave","ok")</f>
        <v>ok</v>
      </c>
      <c r="G58" s="53">
        <f>0.9*D58</f>
        <v>11989802.37185082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18638185.832373999</v>
      </c>
      <c r="E59" s="53">
        <f>0.7*D59</f>
        <v>13046730.082661798</v>
      </c>
      <c r="F59" s="1" t="str">
        <f>+IF(D59&lt;E58,"piso suave","ok")</f>
        <v>ok</v>
      </c>
      <c r="G59" s="53">
        <f>0.9*D59</f>
        <v>16774367.249136599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21389757.874659799</v>
      </c>
      <c r="E60" s="53">
        <f>0.7*D60</f>
        <v>14972830.512261858</v>
      </c>
      <c r="F60" s="1" t="str">
        <f>+IF(D60&lt;E59,"piso suave","ok")</f>
        <v>ok</v>
      </c>
      <c r="G60" s="53">
        <f>0.9*D60</f>
        <v>19250782.087193821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22533969.008812498</v>
      </c>
      <c r="E61" s="53">
        <f>0.7*D61</f>
        <v>15773778.306168748</v>
      </c>
      <c r="F61" s="1" t="str">
        <f>+IF(D61&lt;E60,"piso suave","ok")</f>
        <v>ok</v>
      </c>
      <c r="G61" s="53">
        <f>0.9*D61</f>
        <v>20280572.107931249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23104417.619260099</v>
      </c>
      <c r="E62" s="53">
        <f t="shared" ref="E62:E67" si="12">0.7*D62</f>
        <v>16173092.333482068</v>
      </c>
      <c r="F62" s="1" t="str">
        <f t="shared" ref="F62:F67" si="13">+IF(D62&lt;E61,"piso suave","ok")</f>
        <v>ok</v>
      </c>
      <c r="G62" s="53">
        <f t="shared" ref="G62:G67" si="14">0.9*D62</f>
        <v>20793975.857334089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23636470.373503398</v>
      </c>
      <c r="E63" s="53">
        <f t="shared" si="12"/>
        <v>16545529.261452377</v>
      </c>
      <c r="F63" s="1" t="str">
        <f t="shared" si="13"/>
        <v>ok</v>
      </c>
      <c r="G63" s="53">
        <f t="shared" si="14"/>
        <v>21272823.33615306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24208228.864626501</v>
      </c>
      <c r="E64" s="53">
        <f t="shared" si="12"/>
        <v>16945760.205238551</v>
      </c>
      <c r="F64" s="1" t="str">
        <f t="shared" si="13"/>
        <v>ok</v>
      </c>
      <c r="G64" s="53">
        <f t="shared" si="14"/>
        <v>21787405.97816385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24942036.696803901</v>
      </c>
      <c r="E65" s="53">
        <f t="shared" si="12"/>
        <v>17459425.68776273</v>
      </c>
      <c r="F65" s="1" t="str">
        <f t="shared" si="13"/>
        <v>ok</v>
      </c>
      <c r="G65" s="53">
        <f t="shared" si="14"/>
        <v>22447833.027123511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28132131.405738</v>
      </c>
      <c r="E66" s="53">
        <f t="shared" si="12"/>
        <v>19692491.984016597</v>
      </c>
      <c r="F66" s="1" t="str">
        <f t="shared" si="13"/>
        <v>ok</v>
      </c>
      <c r="G66" s="53">
        <f t="shared" si="14"/>
        <v>25318918.2651642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33844131.680257902</v>
      </c>
      <c r="E67" s="53">
        <f t="shared" si="12"/>
        <v>23690892.17618053</v>
      </c>
      <c r="F67" s="1" t="str">
        <f t="shared" si="13"/>
        <v>ok</v>
      </c>
      <c r="G67" s="53">
        <f t="shared" si="14"/>
        <v>30459718.512232114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581.94183486763905</v>
      </c>
      <c r="E7" s="171">
        <f>+'Centers of Mass and Rigidity'!E5</f>
        <v>581.94183486763905</v>
      </c>
      <c r="F7" s="68">
        <f>+E7*9.807</f>
        <v>5707.1035745469362</v>
      </c>
      <c r="G7">
        <f>1.5*F7</f>
        <v>8560.6553618204052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10531.687143311199</v>
      </c>
      <c r="E8" s="171">
        <f>+'Centers of Mass and Rigidity'!E6</f>
        <v>10531.687143311199</v>
      </c>
      <c r="F8" s="68">
        <f t="shared" ref="F8:F17" si="0">+E8*9.807</f>
        <v>103284.25581445293</v>
      </c>
      <c r="G8" s="68">
        <f t="shared" ref="G8:G17" si="1">1.5*F8</f>
        <v>154926.38372167939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13112.662145529601</v>
      </c>
      <c r="E9" s="171">
        <f>+'Centers of Mass and Rigidity'!E7</f>
        <v>13112.662145529601</v>
      </c>
      <c r="F9" s="68">
        <f t="shared" si="0"/>
        <v>128595.8776612088</v>
      </c>
      <c r="G9" s="68">
        <f t="shared" si="1"/>
        <v>192893.8164918132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13112.662145529601</v>
      </c>
      <c r="E10" s="171">
        <f>+'Centers of Mass and Rigidity'!E8</f>
        <v>13112.662145529601</v>
      </c>
      <c r="F10" s="68">
        <f t="shared" si="0"/>
        <v>128595.8776612088</v>
      </c>
      <c r="G10" s="68">
        <f t="shared" si="1"/>
        <v>192893.8164918132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13112.662145529601</v>
      </c>
      <c r="E11" s="171">
        <f>+'Centers of Mass and Rigidity'!E9</f>
        <v>13112.662145529601</v>
      </c>
      <c r="F11" s="68">
        <f t="shared" si="0"/>
        <v>128595.8776612088</v>
      </c>
      <c r="G11" s="68">
        <f t="shared" si="1"/>
        <v>192893.8164918132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13112.662145529601</v>
      </c>
      <c r="E12" s="171">
        <f>+'Centers of Mass and Rigidity'!E10</f>
        <v>13112.662145529601</v>
      </c>
      <c r="F12" s="158">
        <f t="shared" si="0"/>
        <v>128595.8776612088</v>
      </c>
      <c r="G12" s="158">
        <f t="shared" si="1"/>
        <v>192893.8164918132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13112.662145529601</v>
      </c>
      <c r="E13" s="171">
        <f>+'Centers of Mass and Rigidity'!E11</f>
        <v>13112.662145529601</v>
      </c>
      <c r="F13" s="158">
        <f t="shared" si="0"/>
        <v>128595.8776612088</v>
      </c>
      <c r="G13" s="158">
        <f t="shared" si="1"/>
        <v>192893.8164918132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13247.0199510168</v>
      </c>
      <c r="E14" s="171">
        <f>+'Centers of Mass and Rigidity'!E12</f>
        <v>13247.0199510168</v>
      </c>
      <c r="F14" s="158">
        <f t="shared" si="0"/>
        <v>129913.52465962176</v>
      </c>
      <c r="G14" s="158">
        <f t="shared" si="1"/>
        <v>194870.28698943264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13247.0199510168</v>
      </c>
      <c r="E15" s="171">
        <f>+'Centers of Mass and Rigidity'!E13</f>
        <v>13247.0199510168</v>
      </c>
      <c r="F15" s="158">
        <f t="shared" si="0"/>
        <v>129913.52465962176</v>
      </c>
      <c r="G15" s="158">
        <f t="shared" si="1"/>
        <v>194870.28698943264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13247.0199510168</v>
      </c>
      <c r="E16" s="171">
        <f>+'Centers of Mass and Rigidity'!E14</f>
        <v>13247.0199510168</v>
      </c>
      <c r="F16" s="158">
        <f t="shared" si="0"/>
        <v>129913.52465962176</v>
      </c>
      <c r="G16" s="158">
        <f t="shared" si="1"/>
        <v>194870.28698943264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13701.772438288701</v>
      </c>
      <c r="E17" s="171">
        <f>+'Centers of Mass and Rigidity'!E15</f>
        <v>13701.772438288701</v>
      </c>
      <c r="F17" s="158">
        <f t="shared" si="0"/>
        <v>134373.2823022973</v>
      </c>
      <c r="G17" s="158">
        <f t="shared" si="1"/>
        <v>201559.92345344595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1276084.6039762064</v>
      </c>
      <c r="G18">
        <f>1.5*F18</f>
        <v>1914126.9059643096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topLeftCell="A61"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17917.200000000499</v>
      </c>
      <c r="F5" s="172">
        <v>-2.89253421215108E-9</v>
      </c>
      <c r="G5" s="172">
        <v>1.6756018794694699E-9</v>
      </c>
      <c r="H5" s="172">
        <v>3.7107611206010902E-8</v>
      </c>
      <c r="I5" s="172">
        <v>34611.929999995999</v>
      </c>
      <c r="J5" s="172">
        <v>-381751.56000001502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454509.65624999697</v>
      </c>
      <c r="F6" s="172">
        <v>-2.6037901079689602E-7</v>
      </c>
      <c r="G6" s="172">
        <v>-1.09391748992493E-8</v>
      </c>
      <c r="H6" s="172">
        <v>2.2201747924555102E-6</v>
      </c>
      <c r="I6" s="172">
        <v>4040856.5385938198</v>
      </c>
      <c r="J6" s="172">
        <v>-4784173.7545788502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883497.11250001297</v>
      </c>
      <c r="F7" s="172">
        <v>-3.6088619026486402E-7</v>
      </c>
      <c r="G7" s="172">
        <v>-1.2663292636716501E-8</v>
      </c>
      <c r="H7" s="172">
        <v>3.1143508749664799E-6</v>
      </c>
      <c r="I7" s="172">
        <v>7974853.6471878104</v>
      </c>
      <c r="J7" s="172">
        <v>-9114348.4491581507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1312484.5687499901</v>
      </c>
      <c r="F8" s="172">
        <v>-5.2063330713281196E-7</v>
      </c>
      <c r="G8" s="172">
        <v>-1.82721464625502E-8</v>
      </c>
      <c r="H8" s="172">
        <v>4.9904592742677803E-6</v>
      </c>
      <c r="I8" s="172">
        <v>11908850.7557816</v>
      </c>
      <c r="J8" s="172">
        <v>-13444523.1437377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1741472.0250000199</v>
      </c>
      <c r="F9" s="172">
        <v>-6.2535832512367104E-7</v>
      </c>
      <c r="G9" s="172">
        <v>-2.2349240680341599E-8</v>
      </c>
      <c r="H9" s="172">
        <v>5.9453241192386503E-6</v>
      </c>
      <c r="I9" s="172">
        <v>15842847.864375699</v>
      </c>
      <c r="J9" s="172">
        <v>-17774697.838318098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2170459.48125003</v>
      </c>
      <c r="F10" s="172">
        <v>-6.63274704493233E-7</v>
      </c>
      <c r="G10" s="172">
        <v>-2.5166968953271899E-8</v>
      </c>
      <c r="H10" s="172">
        <v>6.3200714066624599E-6</v>
      </c>
      <c r="I10" s="172">
        <v>19776844.9729697</v>
      </c>
      <c r="J10" s="172">
        <v>-22104872.532898601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2599446.93750002</v>
      </c>
      <c r="F11" s="172">
        <v>-7.1377363042302001E-7</v>
      </c>
      <c r="G11" s="172">
        <v>-2.7544103886611999E-8</v>
      </c>
      <c r="H11" s="172">
        <v>6.80058201396605E-6</v>
      </c>
      <c r="I11" s="172">
        <v>23710842.081563499</v>
      </c>
      <c r="J11" s="172">
        <v>-26435047.2274791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3029752.35375003</v>
      </c>
      <c r="F12" s="172">
        <v>-7.5775420782520097E-7</v>
      </c>
      <c r="G12" s="172">
        <v>-2.9789077871100701E-8</v>
      </c>
      <c r="H12" s="172">
        <v>7.1441745603806297E-6</v>
      </c>
      <c r="I12" s="172">
        <v>27647488.7901574</v>
      </c>
      <c r="J12" s="172">
        <v>-30793573.631609801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3460057.7700000098</v>
      </c>
      <c r="F13" s="172">
        <v>-7.8689370752727004E-7</v>
      </c>
      <c r="G13" s="172">
        <v>-2.97573592433764E-8</v>
      </c>
      <c r="H13" s="172">
        <v>7.4220488386345096E-6</v>
      </c>
      <c r="I13" s="172">
        <v>31584135.498751201</v>
      </c>
      <c r="J13" s="172">
        <v>-35152100.035740502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3890363.1862499998</v>
      </c>
      <c r="F14" s="172">
        <v>-7.9094031235627003E-7</v>
      </c>
      <c r="G14" s="172">
        <v>-2.9903333143011001E-8</v>
      </c>
      <c r="H14" s="172">
        <v>7.4608360591810197E-6</v>
      </c>
      <c r="I14" s="172">
        <v>35520782.207345001</v>
      </c>
      <c r="J14" s="172">
        <v>-39510626.439871296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4441789.57125</v>
      </c>
      <c r="F15" s="172">
        <v>-7.9363806548826698E-7</v>
      </c>
      <c r="G15" s="172">
        <v>-3.0061471534281703E-8</v>
      </c>
      <c r="H15" s="172">
        <v>7.4743920777109502E-6</v>
      </c>
      <c r="I15" s="172">
        <v>40607241.669845097</v>
      </c>
      <c r="J15" s="172">
        <v>-45026069.099861696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3" t="s">
        <v>73</v>
      </c>
      <c r="F19" s="203"/>
      <c r="G19" s="203"/>
      <c r="H19" s="203"/>
      <c r="I19" s="203"/>
      <c r="J19" s="203"/>
      <c r="K19" s="203"/>
      <c r="L19" s="203"/>
      <c r="M19" s="203"/>
      <c r="N19" s="203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2.4296677670393899E-2</v>
      </c>
      <c r="F22" s="83">
        <f t="shared" ref="F22:F32" si="0">+E5</f>
        <v>17917.200000000499</v>
      </c>
      <c r="G22" s="83">
        <v>0</v>
      </c>
      <c r="H22" s="83">
        <f t="shared" ref="H22:H32" si="1">+E22</f>
        <v>2.4296677670393899E-2</v>
      </c>
      <c r="I22" s="83">
        <f t="shared" ref="I22:I31" si="2">+H22-H23</f>
        <v>-2.0724961083148016E-3</v>
      </c>
      <c r="J22" s="83">
        <f>IF(+'Sismo UBC-94 y Dinamico'!O15=0,'Sismo UBC-94 y Dinamico'!M15,'Sismo UBC-94 y Dinamico'!O15)</f>
        <v>1032.3389005933491</v>
      </c>
      <c r="K22" s="83">
        <f t="shared" ref="K22:K32" si="3">+C22</f>
        <v>38.5</v>
      </c>
      <c r="L22" s="83">
        <f>+G22*I22</f>
        <v>0</v>
      </c>
      <c r="M22" s="83">
        <f>+J22*K22</f>
        <v>39745.047672843939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2.6369173778708701E-2</v>
      </c>
      <c r="F23" s="165">
        <f t="shared" si="0"/>
        <v>454509.65624999697</v>
      </c>
      <c r="G23" s="83">
        <f>+F23</f>
        <v>454509.65624999697</v>
      </c>
      <c r="H23" s="83">
        <f t="shared" si="1"/>
        <v>2.6369173778708701E-2</v>
      </c>
      <c r="I23" s="83">
        <f t="shared" si="2"/>
        <v>8.8059806016230202E-4</v>
      </c>
      <c r="J23" s="172">
        <f>IF(+'Sismo UBC-94 y Dinamico'!O16=0,'Sismo UBC-94 y Dinamico'!M16,'Sismo UBC-94 y Dinamico'!O16)</f>
        <v>16560.283868190407</v>
      </c>
      <c r="K23" s="172">
        <f t="shared" si="3"/>
        <v>35.5</v>
      </c>
      <c r="L23" s="83">
        <f t="shared" ref="L23:L32" si="4">+G23*I23</f>
        <v>400.24032161878205</v>
      </c>
      <c r="M23" s="83">
        <f t="shared" ref="M23:M32" si="5">+J23*K23</f>
        <v>587890.07732075942</v>
      </c>
      <c r="N23" s="83">
        <f t="shared" ref="N23:N32" si="6">+L23/M23</f>
        <v>6.8080809161268844E-4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2.5488575718546399E-2</v>
      </c>
      <c r="F24" s="165">
        <f t="shared" si="0"/>
        <v>883497.11250001297</v>
      </c>
      <c r="G24" s="83">
        <f>+F24-F23</f>
        <v>428987.456250016</v>
      </c>
      <c r="H24" s="83">
        <f t="shared" si="1"/>
        <v>2.5488575718546399E-2</v>
      </c>
      <c r="I24" s="83">
        <f t="shared" si="2"/>
        <v>1.4437438074073987E-3</v>
      </c>
      <c r="J24" s="172">
        <f>IF(+'Sismo UBC-94 y Dinamico'!O17=0,'Sismo UBC-94 y Dinamico'!M17,'Sismo UBC-94 y Dinamico'!O17)</f>
        <v>18443.033423557976</v>
      </c>
      <c r="K24" s="172">
        <f t="shared" si="3"/>
        <v>32</v>
      </c>
      <c r="L24" s="83">
        <f t="shared" si="4"/>
        <v>619.34798341641294</v>
      </c>
      <c r="M24" s="83">
        <f t="shared" si="5"/>
        <v>590177.06955385522</v>
      </c>
      <c r="N24" s="83">
        <f t="shared" si="6"/>
        <v>1.0494273928409476E-3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2.4044831911139E-2</v>
      </c>
      <c r="F25" s="165">
        <f t="shared" si="0"/>
        <v>1312484.5687499901</v>
      </c>
      <c r="G25" s="83">
        <f>+F25-F24</f>
        <v>428987.45624997711</v>
      </c>
      <c r="H25" s="83">
        <f t="shared" si="1"/>
        <v>2.4044831911139E-2</v>
      </c>
      <c r="I25" s="83">
        <f t="shared" si="2"/>
        <v>1.9739758775200004E-3</v>
      </c>
      <c r="J25" s="172">
        <f>IF(+'Sismo UBC-94 y Dinamico'!O18=0,'Sismo UBC-94 y Dinamico'!M18,'Sismo UBC-94 y Dinamico'!O18)</f>
        <v>15670.337512796956</v>
      </c>
      <c r="K25" s="172">
        <f t="shared" si="3"/>
        <v>28.5</v>
      </c>
      <c r="L25" s="83">
        <f t="shared" si="4"/>
        <v>846.81089039612141</v>
      </c>
      <c r="M25" s="83">
        <f t="shared" si="5"/>
        <v>446604.61911471322</v>
      </c>
      <c r="N25" s="83">
        <f t="shared" si="6"/>
        <v>1.8961086700686647E-3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2.2070856033619E-2</v>
      </c>
      <c r="F26" s="165">
        <f t="shared" si="0"/>
        <v>1741472.0250000199</v>
      </c>
      <c r="G26" s="83">
        <f>+F26-F25</f>
        <v>428987.45625002985</v>
      </c>
      <c r="H26" s="83">
        <f t="shared" si="1"/>
        <v>2.2070856033619E-2</v>
      </c>
      <c r="I26" s="83">
        <f t="shared" si="2"/>
        <v>2.4282740826938008E-3</v>
      </c>
      <c r="J26" s="172">
        <f>IF(+'Sismo UBC-94 y Dinamico'!O19=0,'Sismo UBC-94 y Dinamico'!M19,'Sismo UBC-94 y Dinamico'!O19)</f>
        <v>13350.139352017604</v>
      </c>
      <c r="K26" s="172">
        <f t="shared" si="3"/>
        <v>25</v>
      </c>
      <c r="L26" s="83">
        <f t="shared" si="4"/>
        <v>1041.6991218126882</v>
      </c>
      <c r="M26" s="83">
        <f t="shared" si="5"/>
        <v>333753.4838004401</v>
      </c>
      <c r="N26" s="83">
        <f t="shared" si="6"/>
        <v>3.1211632907944334E-3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1.9642581950925199E-2</v>
      </c>
      <c r="F27" s="165">
        <f t="shared" si="0"/>
        <v>2170459.48125003</v>
      </c>
      <c r="G27" s="165">
        <f t="shared" ref="G27:G32" si="8">+F27-F26</f>
        <v>428987.45625001006</v>
      </c>
      <c r="H27" s="165">
        <f t="shared" si="1"/>
        <v>1.9642581950925199E-2</v>
      </c>
      <c r="I27" s="165">
        <f t="shared" si="2"/>
        <v>2.8112874027115993E-3</v>
      </c>
      <c r="J27" s="172">
        <f>IF(+'Sismo UBC-94 y Dinamico'!O20=0,'Sismo UBC-94 y Dinamico'!M20,'Sismo UBC-94 y Dinamico'!O20)</f>
        <v>11511.886271702979</v>
      </c>
      <c r="K27" s="172">
        <f t="shared" si="3"/>
        <v>21.5</v>
      </c>
      <c r="L27" s="165">
        <f t="shared" si="4"/>
        <v>1206.0070316769466</v>
      </c>
      <c r="M27" s="165">
        <f t="shared" si="5"/>
        <v>247505.55484161404</v>
      </c>
      <c r="N27" s="165">
        <f t="shared" si="6"/>
        <v>4.8726463228217455E-3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1.68312945482136E-2</v>
      </c>
      <c r="F28" s="165">
        <f t="shared" si="0"/>
        <v>2599446.93750002</v>
      </c>
      <c r="G28" s="165">
        <f t="shared" si="8"/>
        <v>428987.45624999003</v>
      </c>
      <c r="H28" s="165">
        <f t="shared" si="1"/>
        <v>1.68312945482136E-2</v>
      </c>
      <c r="I28" s="165">
        <f t="shared" si="2"/>
        <v>3.1244575449212997E-3</v>
      </c>
      <c r="J28" s="172">
        <f>IF(+'Sismo UBC-94 y Dinamico'!O21=0,'Sismo UBC-94 y Dinamico'!M21,'Sismo UBC-94 y Dinamico'!O21)</f>
        <v>10009.099351660292</v>
      </c>
      <c r="K28" s="172">
        <f t="shared" si="3"/>
        <v>18</v>
      </c>
      <c r="L28" s="165">
        <f t="shared" si="4"/>
        <v>1340.3530943568774</v>
      </c>
      <c r="M28" s="165">
        <f t="shared" si="5"/>
        <v>180163.78832988525</v>
      </c>
      <c r="N28" s="165">
        <f t="shared" si="6"/>
        <v>7.4396364928930722E-3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1.37068370032923E-2</v>
      </c>
      <c r="F29" s="165">
        <f t="shared" si="0"/>
        <v>3029752.35375003</v>
      </c>
      <c r="G29" s="165">
        <f t="shared" si="8"/>
        <v>430305.41625001002</v>
      </c>
      <c r="H29" s="165">
        <f t="shared" si="1"/>
        <v>1.37068370032923E-2</v>
      </c>
      <c r="I29" s="165">
        <f t="shared" si="2"/>
        <v>3.3778381415025E-3</v>
      </c>
      <c r="J29" s="172">
        <f>IF(+'Sismo UBC-94 y Dinamico'!O22=0,'Sismo UBC-94 y Dinamico'!M22,'Sismo UBC-94 y Dinamico'!O22)</f>
        <v>8718.6341221167113</v>
      </c>
      <c r="K29" s="172">
        <f t="shared" si="3"/>
        <v>14.5</v>
      </c>
      <c r="L29" s="165">
        <f t="shared" si="4"/>
        <v>1453.5020475043934</v>
      </c>
      <c r="M29" s="165">
        <f t="shared" si="5"/>
        <v>126420.19477069231</v>
      </c>
      <c r="N29" s="165">
        <f t="shared" si="6"/>
        <v>1.1497388135976479E-2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1.03289988617898E-2</v>
      </c>
      <c r="F30" s="165">
        <f t="shared" si="0"/>
        <v>3460057.7700000098</v>
      </c>
      <c r="G30" s="165">
        <f t="shared" si="8"/>
        <v>430305.41624997975</v>
      </c>
      <c r="H30" s="165">
        <f t="shared" si="1"/>
        <v>1.03289988617898E-2</v>
      </c>
      <c r="I30" s="165">
        <f t="shared" si="2"/>
        <v>3.5697618689244301E-3</v>
      </c>
      <c r="J30" s="172">
        <f>IF(+'Sismo UBC-94 y Dinamico'!O23=0,'Sismo UBC-94 y Dinamico'!M23,'Sismo UBC-94 y Dinamico'!O23)</f>
        <v>7356.7497030948261</v>
      </c>
      <c r="K30" s="172">
        <f t="shared" si="3"/>
        <v>11</v>
      </c>
      <c r="L30" s="165">
        <f t="shared" si="4"/>
        <v>1536.0878669208325</v>
      </c>
      <c r="M30" s="165">
        <f t="shared" si="5"/>
        <v>80924.246734043089</v>
      </c>
      <c r="N30" s="165">
        <f t="shared" si="6"/>
        <v>1.8981800003269395E-2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6.7592369928653698E-3</v>
      </c>
      <c r="F31" s="165">
        <f t="shared" si="0"/>
        <v>3890363.1862499998</v>
      </c>
      <c r="G31" s="165">
        <f t="shared" si="8"/>
        <v>430305.41624999</v>
      </c>
      <c r="H31" s="165">
        <f t="shared" si="1"/>
        <v>6.7592369928653698E-3</v>
      </c>
      <c r="I31" s="165">
        <f t="shared" si="2"/>
        <v>3.62773729133183E-3</v>
      </c>
      <c r="J31" s="172">
        <f>IF(+'Sismo UBC-94 y Dinamico'!O24=0,'Sismo UBC-94 y Dinamico'!M24,'Sismo UBC-94 y Dinamico'!O24)</f>
        <v>5632.6190140709587</v>
      </c>
      <c r="K31" s="172">
        <f t="shared" si="3"/>
        <v>7.5</v>
      </c>
      <c r="L31" s="165">
        <f t="shared" si="4"/>
        <v>1561.0350051921544</v>
      </c>
      <c r="M31" s="165">
        <f t="shared" si="5"/>
        <v>42244.642605532194</v>
      </c>
      <c r="N31" s="165">
        <f t="shared" si="6"/>
        <v>3.6952259716542785E-2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3.1314997015335399E-3</v>
      </c>
      <c r="F32" s="165">
        <f t="shared" si="0"/>
        <v>4441789.57125</v>
      </c>
      <c r="G32" s="165">
        <f t="shared" si="8"/>
        <v>551426.38500000024</v>
      </c>
      <c r="H32" s="165">
        <f t="shared" si="1"/>
        <v>3.1314997015335399E-3</v>
      </c>
      <c r="I32" s="165">
        <f>+H32-I33</f>
        <v>3.1314997015335399E-3</v>
      </c>
      <c r="J32" s="172">
        <f>IF(+'Sismo UBC-94 y Dinamico'!O25=0,'Sismo UBC-94 y Dinamico'!M25,'Sismo UBC-94 y Dinamico'!O25)</f>
        <v>3168.8500935925626</v>
      </c>
      <c r="K32" s="172">
        <f t="shared" si="3"/>
        <v>4</v>
      </c>
      <c r="L32" s="165">
        <f t="shared" si="4"/>
        <v>1726.7915600452195</v>
      </c>
      <c r="M32" s="165">
        <f t="shared" si="5"/>
        <v>12675.400374370251</v>
      </c>
      <c r="N32" s="165">
        <f t="shared" si="6"/>
        <v>0.13623171726684108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3" t="s">
        <v>73</v>
      </c>
      <c r="F37" s="203"/>
      <c r="G37" s="203"/>
      <c r="H37" s="203"/>
      <c r="I37" s="203"/>
      <c r="J37" s="203"/>
      <c r="K37" s="203"/>
      <c r="L37" s="203"/>
      <c r="M37" s="203"/>
      <c r="N37" s="203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2.6802815384822799E-2</v>
      </c>
      <c r="F40" s="165">
        <f t="shared" ref="F40:F50" si="9">+E5</f>
        <v>17917.200000000499</v>
      </c>
      <c r="G40" s="165">
        <v>0</v>
      </c>
      <c r="H40" s="165">
        <f t="shared" ref="H40:H50" si="10">+E40</f>
        <v>2.6802815384822799E-2</v>
      </c>
      <c r="I40" s="165">
        <f t="shared" ref="I40:I49" si="11">+H40-H41</f>
        <v>8.1691265412390038E-4</v>
      </c>
      <c r="J40" s="165">
        <f>+J22</f>
        <v>1032.3389005933491</v>
      </c>
      <c r="K40" s="165">
        <f t="shared" ref="K40:K50" si="12">+C40</f>
        <v>38.5</v>
      </c>
      <c r="L40" s="165">
        <f>+G40*I40</f>
        <v>0</v>
      </c>
      <c r="M40" s="165">
        <f>+J40*K40</f>
        <v>39745.047672843939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2.5985902730698899E-2</v>
      </c>
      <c r="F41" s="165">
        <f t="shared" si="9"/>
        <v>454509.65624999697</v>
      </c>
      <c r="G41" s="165">
        <f>+F41</f>
        <v>454509.65624999697</v>
      </c>
      <c r="H41" s="165">
        <f t="shared" si="10"/>
        <v>2.5985902730698899E-2</v>
      </c>
      <c r="I41" s="165">
        <f t="shared" si="11"/>
        <v>9.8264195020069875E-4</v>
      </c>
      <c r="J41" s="172">
        <f t="shared" ref="J41:J50" si="13">+J23</f>
        <v>16560.283868190407</v>
      </c>
      <c r="K41" s="172">
        <f t="shared" si="12"/>
        <v>35.5</v>
      </c>
      <c r="L41" s="165">
        <f t="shared" ref="L41:L50" si="14">+G41*I41</f>
        <v>446.62025500254623</v>
      </c>
      <c r="M41" s="165">
        <f t="shared" ref="M41:M50" si="15">+J41*K41</f>
        <v>587890.07732075942</v>
      </c>
      <c r="N41" s="165">
        <f t="shared" ref="N41:N50" si="16">+L41/M41</f>
        <v>7.5970027770831932E-4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2.50032607804982E-2</v>
      </c>
      <c r="F42" s="165">
        <f t="shared" si="9"/>
        <v>883497.11250001297</v>
      </c>
      <c r="G42" s="165">
        <f>+F42-F41</f>
        <v>428987.456250016</v>
      </c>
      <c r="H42" s="165">
        <f t="shared" si="10"/>
        <v>2.50032607804982E-2</v>
      </c>
      <c r="I42" s="165">
        <f t="shared" si="11"/>
        <v>1.5247560391168993E-3</v>
      </c>
      <c r="J42" s="172">
        <f t="shared" si="13"/>
        <v>18443.033423557976</v>
      </c>
      <c r="K42" s="172">
        <f t="shared" si="12"/>
        <v>32</v>
      </c>
      <c r="L42" s="165">
        <f t="shared" si="14"/>
        <v>654.1012146226085</v>
      </c>
      <c r="M42" s="165">
        <f t="shared" si="15"/>
        <v>590177.06955385522</v>
      </c>
      <c r="N42" s="165">
        <f t="shared" si="16"/>
        <v>1.1083135017717256E-3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2.3478504741381301E-2</v>
      </c>
      <c r="F43" s="165">
        <f t="shared" si="9"/>
        <v>1312484.5687499901</v>
      </c>
      <c r="G43" s="165">
        <f t="shared" ref="G43:G50" si="18">+F43-F42</f>
        <v>428987.45624997711</v>
      </c>
      <c r="H43" s="165">
        <f t="shared" si="10"/>
        <v>2.3478504741381301E-2</v>
      </c>
      <c r="I43" s="165">
        <f t="shared" si="11"/>
        <v>2.0269260302885998E-3</v>
      </c>
      <c r="J43" s="172">
        <f t="shared" si="13"/>
        <v>15670.337512796956</v>
      </c>
      <c r="K43" s="172">
        <f t="shared" si="12"/>
        <v>28.5</v>
      </c>
      <c r="L43" s="165">
        <f t="shared" si="14"/>
        <v>869.52584174037054</v>
      </c>
      <c r="M43" s="165">
        <f t="shared" si="15"/>
        <v>446604.61911471322</v>
      </c>
      <c r="N43" s="165">
        <f t="shared" si="16"/>
        <v>1.946970104035192E-3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2.1451578711092701E-2</v>
      </c>
      <c r="F44" s="165">
        <f t="shared" si="9"/>
        <v>1741472.0250000199</v>
      </c>
      <c r="G44" s="165">
        <f t="shared" si="18"/>
        <v>428987.45625002985</v>
      </c>
      <c r="H44" s="165">
        <f t="shared" si="10"/>
        <v>2.1451578711092701E-2</v>
      </c>
      <c r="I44" s="165">
        <f t="shared" si="11"/>
        <v>2.454485372693202E-3</v>
      </c>
      <c r="J44" s="172">
        <f t="shared" si="13"/>
        <v>13350.139352017604</v>
      </c>
      <c r="K44" s="172">
        <f t="shared" si="12"/>
        <v>25</v>
      </c>
      <c r="L44" s="165">
        <f t="shared" si="14"/>
        <v>1052.9434364345632</v>
      </c>
      <c r="M44" s="165">
        <f t="shared" si="15"/>
        <v>333753.4838004401</v>
      </c>
      <c r="N44" s="165">
        <f t="shared" si="16"/>
        <v>3.1548537694490271E-3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1.8997093338399499E-2</v>
      </c>
      <c r="F45" s="165">
        <f t="shared" si="9"/>
        <v>2170459.48125003</v>
      </c>
      <c r="G45" s="165">
        <f t="shared" si="18"/>
        <v>428987.45625001006</v>
      </c>
      <c r="H45" s="165">
        <f t="shared" si="10"/>
        <v>1.8997093338399499E-2</v>
      </c>
      <c r="I45" s="165">
        <f t="shared" si="11"/>
        <v>2.8087424488155988E-3</v>
      </c>
      <c r="J45" s="172">
        <f t="shared" si="13"/>
        <v>11511.886271702979</v>
      </c>
      <c r="K45" s="172">
        <f t="shared" si="12"/>
        <v>21.5</v>
      </c>
      <c r="L45" s="165">
        <f t="shared" si="14"/>
        <v>1204.9152783788277</v>
      </c>
      <c r="M45" s="165">
        <f t="shared" si="15"/>
        <v>247505.55484161404</v>
      </c>
      <c r="N45" s="165">
        <f t="shared" si="16"/>
        <v>4.8682352973850943E-3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1.61883508895839E-2</v>
      </c>
      <c r="F46" s="165">
        <f t="shared" si="9"/>
        <v>2599446.93750002</v>
      </c>
      <c r="G46" s="165">
        <f t="shared" si="18"/>
        <v>428987.45624999003</v>
      </c>
      <c r="H46" s="165">
        <f t="shared" si="10"/>
        <v>1.61883508895839E-2</v>
      </c>
      <c r="I46" s="165">
        <f t="shared" si="11"/>
        <v>3.0525922630459997E-3</v>
      </c>
      <c r="J46" s="172">
        <f t="shared" si="13"/>
        <v>10009.099351660292</v>
      </c>
      <c r="K46" s="172">
        <f t="shared" si="12"/>
        <v>18</v>
      </c>
      <c r="L46" s="165">
        <f t="shared" si="14"/>
        <v>1309.5237898925038</v>
      </c>
      <c r="M46" s="165">
        <f t="shared" si="15"/>
        <v>180163.78832988525</v>
      </c>
      <c r="N46" s="165">
        <f t="shared" si="16"/>
        <v>7.2685182856764025E-3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1.3135758626537901E-2</v>
      </c>
      <c r="F47" s="165">
        <f t="shared" si="9"/>
        <v>3029752.35375003</v>
      </c>
      <c r="G47" s="165">
        <f t="shared" si="18"/>
        <v>430305.41625001002</v>
      </c>
      <c r="H47" s="165">
        <f t="shared" si="10"/>
        <v>1.3135758626537901E-2</v>
      </c>
      <c r="I47" s="165">
        <f t="shared" si="11"/>
        <v>3.2327978581454201E-3</v>
      </c>
      <c r="J47" s="172">
        <f t="shared" si="13"/>
        <v>8718.6341221167113</v>
      </c>
      <c r="K47" s="172">
        <f t="shared" si="12"/>
        <v>14.5</v>
      </c>
      <c r="L47" s="165">
        <f t="shared" si="14"/>
        <v>1391.0904280014058</v>
      </c>
      <c r="M47" s="165">
        <f t="shared" si="15"/>
        <v>126420.19477069231</v>
      </c>
      <c r="N47" s="165">
        <f t="shared" si="16"/>
        <v>1.1003704198721096E-2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9.9029607683924804E-3</v>
      </c>
      <c r="F48" s="165">
        <f t="shared" si="9"/>
        <v>3460057.7700000098</v>
      </c>
      <c r="G48" s="165">
        <f t="shared" si="18"/>
        <v>430305.41624997975</v>
      </c>
      <c r="H48" s="165">
        <f t="shared" si="10"/>
        <v>9.9029607683924804E-3</v>
      </c>
      <c r="I48" s="165">
        <f t="shared" si="11"/>
        <v>3.3897648933015109E-3</v>
      </c>
      <c r="J48" s="172">
        <f t="shared" si="13"/>
        <v>7356.7497030948261</v>
      </c>
      <c r="K48" s="172">
        <f t="shared" si="12"/>
        <v>11</v>
      </c>
      <c r="L48" s="165">
        <f t="shared" si="14"/>
        <v>1458.6341934016748</v>
      </c>
      <c r="M48" s="165">
        <f t="shared" si="15"/>
        <v>80924.246734043089</v>
      </c>
      <c r="N48" s="165">
        <f t="shared" si="16"/>
        <v>1.8024686694897079E-2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6.5131958750909696E-3</v>
      </c>
      <c r="F49" s="165">
        <f t="shared" si="9"/>
        <v>3890363.1862499998</v>
      </c>
      <c r="G49" s="165">
        <f t="shared" si="18"/>
        <v>430305.41624999</v>
      </c>
      <c r="H49" s="165">
        <f t="shared" si="10"/>
        <v>6.5131958750909696E-3</v>
      </c>
      <c r="I49" s="165">
        <f t="shared" si="11"/>
        <v>3.4419136614801996E-3</v>
      </c>
      <c r="J49" s="172">
        <f t="shared" si="13"/>
        <v>5632.6190140709587</v>
      </c>
      <c r="K49" s="172">
        <f t="shared" si="12"/>
        <v>7.5</v>
      </c>
      <c r="L49" s="165">
        <f t="shared" si="14"/>
        <v>1481.0740907997645</v>
      </c>
      <c r="M49" s="165">
        <f t="shared" si="15"/>
        <v>42244.642605532194</v>
      </c>
      <c r="N49" s="165">
        <f t="shared" si="16"/>
        <v>3.5059453683383958E-2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3.07128221361077E-3</v>
      </c>
      <c r="F50" s="165">
        <f t="shared" si="9"/>
        <v>4441789.57125</v>
      </c>
      <c r="G50" s="165">
        <f t="shared" si="18"/>
        <v>551426.38500000024</v>
      </c>
      <c r="H50" s="165">
        <f t="shared" si="10"/>
        <v>3.07128221361077E-3</v>
      </c>
      <c r="I50" s="165">
        <f>+H50-I51</f>
        <v>3.07128221361077E-3</v>
      </c>
      <c r="J50" s="172">
        <f t="shared" si="13"/>
        <v>3168.8500935925626</v>
      </c>
      <c r="K50" s="172">
        <f t="shared" si="12"/>
        <v>4</v>
      </c>
      <c r="L50" s="165">
        <f t="shared" si="14"/>
        <v>1693.5860483661854</v>
      </c>
      <c r="M50" s="165">
        <f t="shared" si="15"/>
        <v>12675.400374370251</v>
      </c>
      <c r="N50" s="165">
        <f t="shared" si="16"/>
        <v>0.13361203578157801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3" t="s">
        <v>73</v>
      </c>
      <c r="F55" s="203"/>
      <c r="G55" s="203"/>
      <c r="H55" s="203"/>
      <c r="I55" s="203"/>
      <c r="J55" s="203"/>
      <c r="K55" s="203"/>
      <c r="L55" s="203"/>
      <c r="M55" s="203"/>
      <c r="N55" s="203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3.5395703427250402E-2</v>
      </c>
      <c r="F58" s="83">
        <f t="shared" ref="F58:F68" si="19">+E5</f>
        <v>17917.200000000499</v>
      </c>
      <c r="G58" s="83">
        <v>0</v>
      </c>
      <c r="H58" s="83">
        <f>+E58</f>
        <v>3.5395703427250402E-2</v>
      </c>
      <c r="I58" s="83">
        <f>+H58-H59</f>
        <v>1.3467194628423024E-3</v>
      </c>
      <c r="J58" s="83">
        <f>IF(+'Sismo UBC-94 y Dinamico'!P34=0,'Sismo UBC-94 y Dinamico'!N34,'Sismo UBC-94 y Dinamico'!P34)</f>
        <v>903.73213639425637</v>
      </c>
      <c r="K58" s="83">
        <f t="shared" ref="K58:K68" si="20">+C58</f>
        <v>38.5</v>
      </c>
      <c r="L58" s="83">
        <f>+G58*I58</f>
        <v>0</v>
      </c>
      <c r="M58" s="83">
        <f>+J58*K58</f>
        <v>34793.687251178868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3.40489839644081E-2</v>
      </c>
      <c r="F59" s="165">
        <f t="shared" si="19"/>
        <v>454509.65624999697</v>
      </c>
      <c r="G59" s="83">
        <f>+F59</f>
        <v>454509.65624999697</v>
      </c>
      <c r="H59" s="83">
        <f t="shared" ref="H59:H68" si="21">+E59</f>
        <v>3.40489839644081E-2</v>
      </c>
      <c r="I59" s="83">
        <f>+H59-H60</f>
        <v>1.5305276953579E-3</v>
      </c>
      <c r="J59" s="172">
        <f>IF(+'Sismo UBC-94 y Dinamico'!P35=0,'Sismo UBC-94 y Dinamico'!N35,'Sismo UBC-94 y Dinamico'!P35)</f>
        <v>17431.188760394794</v>
      </c>
      <c r="K59" s="172">
        <f t="shared" si="20"/>
        <v>35.5</v>
      </c>
      <c r="L59" s="83">
        <f>+G59*I59</f>
        <v>695.63961669821924</v>
      </c>
      <c r="M59" s="83">
        <f>+J59*K59</f>
        <v>618807.20099401521</v>
      </c>
      <c r="N59" s="83">
        <f>+L59/M59</f>
        <v>1.1241621228401755E-3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3.25184562690502E-2</v>
      </c>
      <c r="F60" s="165">
        <f t="shared" si="19"/>
        <v>883497.11250001297</v>
      </c>
      <c r="G60" s="83">
        <f>+F60-F59</f>
        <v>428987.456250016</v>
      </c>
      <c r="H60" s="83">
        <f t="shared" si="21"/>
        <v>3.25184562690502E-2</v>
      </c>
      <c r="I60" s="83">
        <f>+H60-H61</f>
        <v>2.1942906677708991E-3</v>
      </c>
      <c r="J60" s="172">
        <f>IF(+'Sismo UBC-94 y Dinamico'!P36=0,'Sismo UBC-94 y Dinamico'!N36,'Sismo UBC-94 y Dinamico'!P36)</f>
        <v>18835.803401276858</v>
      </c>
      <c r="K60" s="172">
        <f t="shared" si="20"/>
        <v>32</v>
      </c>
      <c r="L60" s="83">
        <f>+G60*I60</f>
        <v>941.323171840187</v>
      </c>
      <c r="M60" s="83">
        <f>+J60*K60</f>
        <v>602745.70884085947</v>
      </c>
      <c r="N60" s="83">
        <f>+L60/M60</f>
        <v>1.5617252151831093E-3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3.0324165601279301E-2</v>
      </c>
      <c r="F61" s="165">
        <f t="shared" si="19"/>
        <v>1312484.5687499901</v>
      </c>
      <c r="G61" s="83">
        <f t="shared" ref="G61:G68" si="22">+F61-F60</f>
        <v>428987.45624997711</v>
      </c>
      <c r="H61" s="83">
        <f t="shared" si="21"/>
        <v>3.0324165601279301E-2</v>
      </c>
      <c r="I61" s="83">
        <f>+H61-H62</f>
        <v>2.7885049374475994E-3</v>
      </c>
      <c r="J61" s="172">
        <f>IF(+'Sismo UBC-94 y Dinamico'!P37=0,'Sismo UBC-94 y Dinamico'!N37,'Sismo UBC-94 y Dinamico'!P37)</f>
        <v>15573.565009895307</v>
      </c>
      <c r="K61" s="172">
        <f t="shared" si="20"/>
        <v>28.5</v>
      </c>
      <c r="L61" s="83">
        <f>+G61*I61</f>
        <v>1196.2336398561472</v>
      </c>
      <c r="M61" s="83">
        <f>+J61*K61</f>
        <v>443846.60278201621</v>
      </c>
      <c r="N61" s="83">
        <f>+L61/M61</f>
        <v>2.6951510552479015E-3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2.7535660663831701E-2</v>
      </c>
      <c r="F62" s="165">
        <f t="shared" si="19"/>
        <v>1741472.0250000199</v>
      </c>
      <c r="G62" s="83">
        <f t="shared" si="22"/>
        <v>428987.45625002985</v>
      </c>
      <c r="H62" s="83">
        <f t="shared" si="21"/>
        <v>2.7535660663831701E-2</v>
      </c>
      <c r="I62" s="83">
        <f>+H62-H63</f>
        <v>3.2811907755266011E-3</v>
      </c>
      <c r="J62" s="172">
        <f>IF(+'Sismo UBC-94 y Dinamico'!P38=0,'Sismo UBC-94 y Dinamico'!N38,'Sismo UBC-94 y Dinamico'!P38)</f>
        <v>12979.064736406326</v>
      </c>
      <c r="K62" s="172">
        <f t="shared" si="20"/>
        <v>25</v>
      </c>
      <c r="L62" s="83">
        <f>+G62*I62</f>
        <v>1407.5896842642194</v>
      </c>
      <c r="M62" s="83">
        <f>+J62*K62</f>
        <v>324476.61841015815</v>
      </c>
      <c r="N62" s="83">
        <f>+L62/M62</f>
        <v>4.3380311689668206E-3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2.42544698883051E-2</v>
      </c>
      <c r="F63" s="165">
        <f t="shared" si="19"/>
        <v>2170459.48125003</v>
      </c>
      <c r="G63" s="165">
        <f t="shared" si="22"/>
        <v>428987.45625001006</v>
      </c>
      <c r="H63" s="165">
        <f t="shared" si="21"/>
        <v>2.42544698883051E-2</v>
      </c>
      <c r="I63" s="165">
        <f t="shared" ref="I63:I68" si="23">+H63-H64</f>
        <v>3.6817890611640994E-3</v>
      </c>
      <c r="J63" s="172">
        <f>IF(+'Sismo UBC-94 y Dinamico'!P39=0,'Sismo UBC-94 y Dinamico'!N39,'Sismo UBC-94 y Dinamico'!P39)</f>
        <v>11058.355615234041</v>
      </c>
      <c r="K63" s="172">
        <f t="shared" si="20"/>
        <v>21.5</v>
      </c>
      <c r="L63" s="165">
        <f t="shared" ref="L63:L68" si="24">+G63*I63</f>
        <v>1579.4413237978997</v>
      </c>
      <c r="M63" s="165">
        <f t="shared" ref="M63:M68" si="25">+J63*K63</f>
        <v>237754.64572753187</v>
      </c>
      <c r="N63" s="165">
        <f t="shared" ref="N63:N68" si="26">+L63/M63</f>
        <v>6.6431565152587939E-3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2.0572680827141001E-2</v>
      </c>
      <c r="F64" s="165">
        <f t="shared" si="19"/>
        <v>2599446.93750002</v>
      </c>
      <c r="G64" s="165">
        <f t="shared" si="22"/>
        <v>428987.45624999003</v>
      </c>
      <c r="H64" s="165">
        <f t="shared" si="21"/>
        <v>2.0572680827141001E-2</v>
      </c>
      <c r="I64" s="165">
        <f t="shared" si="23"/>
        <v>3.9923610242306E-3</v>
      </c>
      <c r="J64" s="172">
        <f>IF(+'Sismo UBC-94 y Dinamico'!P40=0,'Sismo UBC-94 y Dinamico'!N40,'Sismo UBC-94 y Dinamico'!P40)</f>
        <v>9660.8540564907762</v>
      </c>
      <c r="K64" s="172">
        <f t="shared" si="20"/>
        <v>18</v>
      </c>
      <c r="L64" s="165">
        <f t="shared" si="24"/>
        <v>1712.6728002162899</v>
      </c>
      <c r="M64" s="165">
        <f t="shared" si="25"/>
        <v>173895.37301683397</v>
      </c>
      <c r="N64" s="165">
        <f t="shared" si="26"/>
        <v>9.8488692971174935E-3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1.6580319802910401E-2</v>
      </c>
      <c r="F65" s="165">
        <f t="shared" si="19"/>
        <v>3029752.35375003</v>
      </c>
      <c r="G65" s="165">
        <f t="shared" si="22"/>
        <v>430305.41625001002</v>
      </c>
      <c r="H65" s="165">
        <f t="shared" si="21"/>
        <v>1.6580319802910401E-2</v>
      </c>
      <c r="I65" s="165">
        <f t="shared" si="23"/>
        <v>4.2268926921480016E-3</v>
      </c>
      <c r="J65" s="172">
        <f>IF(+'Sismo UBC-94 y Dinamico'!P41=0,'Sismo UBC-94 y Dinamico'!N41,'Sismo UBC-94 y Dinamico'!P41)</f>
        <v>8571.366556307803</v>
      </c>
      <c r="K65" s="172">
        <f t="shared" si="20"/>
        <v>14.5</v>
      </c>
      <c r="L65" s="165">
        <f t="shared" si="24"/>
        <v>1818.8548193388713</v>
      </c>
      <c r="M65" s="165">
        <f t="shared" si="25"/>
        <v>124284.81506646314</v>
      </c>
      <c r="N65" s="165">
        <f t="shared" si="26"/>
        <v>1.4634569946185396E-2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1.2353427110762399E-2</v>
      </c>
      <c r="F66" s="165">
        <f t="shared" si="19"/>
        <v>3460057.7700000098</v>
      </c>
      <c r="G66" s="165">
        <f t="shared" si="22"/>
        <v>430305.41624997975</v>
      </c>
      <c r="H66" s="165">
        <f t="shared" si="21"/>
        <v>1.2353427110762399E-2</v>
      </c>
      <c r="I66" s="165">
        <f t="shared" si="23"/>
        <v>4.373643035798909E-3</v>
      </c>
      <c r="J66" s="172">
        <f>IF(+'Sismo UBC-94 y Dinamico'!P42=0,'Sismo UBC-94 y Dinamico'!N42,'Sismo UBC-94 y Dinamico'!P42)</f>
        <v>7402.9463348581066</v>
      </c>
      <c r="K66" s="172">
        <f t="shared" si="20"/>
        <v>11</v>
      </c>
      <c r="L66" s="165">
        <f t="shared" si="24"/>
        <v>1882.0022870482746</v>
      </c>
      <c r="M66" s="165">
        <f t="shared" si="25"/>
        <v>81432.409683439168</v>
      </c>
      <c r="N66" s="165">
        <f t="shared" si="26"/>
        <v>2.3111219407167018E-2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7.9797840749634905E-3</v>
      </c>
      <c r="F67" s="165">
        <f t="shared" si="19"/>
        <v>3890363.1862499998</v>
      </c>
      <c r="G67" s="165">
        <f t="shared" si="22"/>
        <v>430305.41624999</v>
      </c>
      <c r="H67" s="165">
        <f t="shared" si="21"/>
        <v>7.9797840749634905E-3</v>
      </c>
      <c r="I67" s="165">
        <f t="shared" si="23"/>
        <v>4.3402202398716005E-3</v>
      </c>
      <c r="J67" s="172">
        <f>IF(+'Sismo UBC-94 y Dinamico'!P43=0,'Sismo UBC-94 y Dinamico'!N43,'Sismo UBC-94 y Dinamico'!P43)</f>
        <v>5784.6411518504856</v>
      </c>
      <c r="K67" s="172">
        <f t="shared" si="20"/>
        <v>7.5</v>
      </c>
      <c r="L67" s="165">
        <f t="shared" si="24"/>
        <v>1867.6202769345805</v>
      </c>
      <c r="M67" s="165">
        <f t="shared" si="25"/>
        <v>43384.80863887864</v>
      </c>
      <c r="N67" s="165">
        <f t="shared" si="26"/>
        <v>4.3047793352739165E-2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3.6395638350918899E-3</v>
      </c>
      <c r="F68" s="165">
        <f t="shared" si="19"/>
        <v>4441789.57125</v>
      </c>
      <c r="G68" s="165">
        <f t="shared" si="22"/>
        <v>551426.38500000024</v>
      </c>
      <c r="H68" s="165">
        <f t="shared" si="21"/>
        <v>3.6395638350918899E-3</v>
      </c>
      <c r="I68" s="165">
        <f t="shared" si="23"/>
        <v>3.6395638350918899E-3</v>
      </c>
      <c r="J68" s="172">
        <f>IF(+'Sismo UBC-94 y Dinamico'!P44=0,'Sismo UBC-94 y Dinamico'!N44,'Sismo UBC-94 y Dinamico'!P44)</f>
        <v>3252.4538542858595</v>
      </c>
      <c r="K68" s="172">
        <f t="shared" si="20"/>
        <v>4</v>
      </c>
      <c r="L68" s="165">
        <f t="shared" si="24"/>
        <v>2006.951528561458</v>
      </c>
      <c r="M68" s="165">
        <f t="shared" si="25"/>
        <v>13009.815417143438</v>
      </c>
      <c r="N68" s="165">
        <f t="shared" si="26"/>
        <v>0.15426441223115553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3" t="s">
        <v>73</v>
      </c>
      <c r="F73" s="203"/>
      <c r="G73" s="203"/>
      <c r="H73" s="203"/>
      <c r="I73" s="203"/>
      <c r="J73" s="203"/>
      <c r="K73" s="203"/>
      <c r="L73" s="203"/>
      <c r="M73" s="203"/>
      <c r="N73" s="203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2.9971248893849899E-2</v>
      </c>
      <c r="F76" s="83">
        <f t="shared" ref="F76:F86" si="28">+E5</f>
        <v>17917.200000000499</v>
      </c>
      <c r="G76" s="83">
        <v>0</v>
      </c>
      <c r="H76" s="83">
        <f>+E76</f>
        <v>2.9971248893849899E-2</v>
      </c>
      <c r="I76" s="83">
        <f>+H76-H77</f>
        <v>-3.7977576707300016E-3</v>
      </c>
      <c r="J76" s="83">
        <f>+J58</f>
        <v>903.73213639425637</v>
      </c>
      <c r="K76" s="83">
        <f t="shared" ref="K76:K86" si="29">+C76</f>
        <v>38.5</v>
      </c>
      <c r="L76" s="83">
        <f>+G76*I76</f>
        <v>0</v>
      </c>
      <c r="M76" s="83">
        <f>+J76*K76</f>
        <v>34793.687251178868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3.3769006564579901E-2</v>
      </c>
      <c r="F77" s="165">
        <f t="shared" si="28"/>
        <v>454509.65624999697</v>
      </c>
      <c r="G77" s="83">
        <f>+F77</f>
        <v>454509.65624999697</v>
      </c>
      <c r="H77" s="83">
        <f>+E77</f>
        <v>3.3769006564579901E-2</v>
      </c>
      <c r="I77" s="83">
        <f>+H77-H78</f>
        <v>1.1316425489958024E-3</v>
      </c>
      <c r="J77" s="172">
        <f t="shared" ref="J77:J86" si="30">+J59</f>
        <v>17431.188760394794</v>
      </c>
      <c r="K77" s="172">
        <f t="shared" si="29"/>
        <v>35.5</v>
      </c>
      <c r="L77" s="83">
        <f>+G77*I77</f>
        <v>514.34246594195247</v>
      </c>
      <c r="M77" s="83">
        <f>+J77*K77</f>
        <v>618807.20099401521</v>
      </c>
      <c r="N77" s="83">
        <f>+L77/M77</f>
        <v>8.3118371136558079E-4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3.2637364015584099E-2</v>
      </c>
      <c r="F78" s="165">
        <f t="shared" si="28"/>
        <v>883497.11250001297</v>
      </c>
      <c r="G78" s="83">
        <f>+F78-F77</f>
        <v>428987.456250016</v>
      </c>
      <c r="H78" s="83">
        <f>+E78</f>
        <v>3.2637364015584099E-2</v>
      </c>
      <c r="I78" s="83">
        <f>+H78-H79</f>
        <v>1.8658312910230998E-3</v>
      </c>
      <c r="J78" s="172">
        <f t="shared" si="30"/>
        <v>18835.803401276858</v>
      </c>
      <c r="K78" s="172">
        <f t="shared" si="29"/>
        <v>32</v>
      </c>
      <c r="L78" s="83">
        <f>+G78*I78</f>
        <v>800.41821932768289</v>
      </c>
      <c r="M78" s="83">
        <f>+J78*K78</f>
        <v>602745.70884085947</v>
      </c>
      <c r="N78" s="83">
        <f>+L78/M78</f>
        <v>1.3279534098500137E-3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3.0771532724560999E-2</v>
      </c>
      <c r="F79" s="165">
        <f t="shared" si="28"/>
        <v>1312484.5687499901</v>
      </c>
      <c r="G79" s="83">
        <f t="shared" ref="G79:G86" si="31">+F79-F78</f>
        <v>428987.45624997711</v>
      </c>
      <c r="H79" s="83">
        <f>+E79</f>
        <v>3.0771532724560999E-2</v>
      </c>
      <c r="I79" s="83">
        <f>+H79-H80</f>
        <v>2.5532785754132994E-3</v>
      </c>
      <c r="J79" s="172">
        <f t="shared" si="30"/>
        <v>15573.565009895307</v>
      </c>
      <c r="K79" s="172">
        <f t="shared" si="29"/>
        <v>28.5</v>
      </c>
      <c r="L79" s="83">
        <f>+G79*I79</f>
        <v>1095.3244811641166</v>
      </c>
      <c r="M79" s="83">
        <f>+J79*K79</f>
        <v>443846.60278201621</v>
      </c>
      <c r="N79" s="83">
        <f>+L79/M79</f>
        <v>2.4677996278413715E-3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2.8218254149147699E-2</v>
      </c>
      <c r="F80" s="165">
        <f t="shared" si="28"/>
        <v>1741472.0250000199</v>
      </c>
      <c r="G80" s="83">
        <f t="shared" si="31"/>
        <v>428987.45625002985</v>
      </c>
      <c r="H80" s="83">
        <f>+E80</f>
        <v>2.8218254149147699E-2</v>
      </c>
      <c r="I80" s="83">
        <f>+H80-H81</f>
        <v>3.1358899338134981E-3</v>
      </c>
      <c r="J80" s="172">
        <f t="shared" si="30"/>
        <v>12979.064736406326</v>
      </c>
      <c r="K80" s="172">
        <f t="shared" si="29"/>
        <v>25</v>
      </c>
      <c r="L80" s="83">
        <f>+G80*I80</f>
        <v>1345.257445786727</v>
      </c>
      <c r="M80" s="83">
        <f>+J80*K80</f>
        <v>324476.61841015815</v>
      </c>
      <c r="N80" s="83">
        <f>+L80/M80</f>
        <v>4.1459303057893677E-3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2.5082364215334201E-2</v>
      </c>
      <c r="F81" s="165">
        <f t="shared" si="28"/>
        <v>2170459.48125003</v>
      </c>
      <c r="G81" s="165">
        <f t="shared" si="31"/>
        <v>428987.45625001006</v>
      </c>
      <c r="H81" s="165">
        <f t="shared" ref="H81:H86" si="32">+E81</f>
        <v>2.5082364215334201E-2</v>
      </c>
      <c r="I81" s="165">
        <f t="shared" ref="I81:I86" si="33">+H81-H82</f>
        <v>3.6262223921901017E-3</v>
      </c>
      <c r="J81" s="172">
        <f t="shared" si="30"/>
        <v>11058.355615234041</v>
      </c>
      <c r="K81" s="172">
        <f t="shared" si="29"/>
        <v>21.5</v>
      </c>
      <c r="L81" s="165">
        <f t="shared" ref="L81:L86" si="34">+G81*I81</f>
        <v>1555.603919822458</v>
      </c>
      <c r="M81" s="165">
        <f t="shared" ref="M81:M86" si="35">+J81*K81</f>
        <v>237754.64572753187</v>
      </c>
      <c r="N81" s="165">
        <f t="shared" ref="N81:N86" si="36">+L81/M81</f>
        <v>6.542895997099416E-3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2.14561418231441E-2</v>
      </c>
      <c r="F82" s="165">
        <f t="shared" si="28"/>
        <v>2599446.93750002</v>
      </c>
      <c r="G82" s="165">
        <f t="shared" si="31"/>
        <v>428987.45624999003</v>
      </c>
      <c r="H82" s="165">
        <f t="shared" si="32"/>
        <v>2.14561418231441E-2</v>
      </c>
      <c r="I82" s="165">
        <f t="shared" si="33"/>
        <v>4.0421933381981009E-3</v>
      </c>
      <c r="J82" s="172">
        <f t="shared" si="30"/>
        <v>9660.8540564907762</v>
      </c>
      <c r="K82" s="172">
        <f t="shared" si="29"/>
        <v>18</v>
      </c>
      <c r="L82" s="165">
        <f t="shared" si="34"/>
        <v>1734.0502378242591</v>
      </c>
      <c r="M82" s="165">
        <f t="shared" si="35"/>
        <v>173895.37301683397</v>
      </c>
      <c r="N82" s="165">
        <f t="shared" si="36"/>
        <v>9.971802053964909E-3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1.7413948484945999E-2</v>
      </c>
      <c r="F83" s="165">
        <f t="shared" si="28"/>
        <v>3029752.35375003</v>
      </c>
      <c r="G83" s="165">
        <f t="shared" si="31"/>
        <v>430305.41625001002</v>
      </c>
      <c r="H83" s="165">
        <f t="shared" si="32"/>
        <v>1.7413948484945999E-2</v>
      </c>
      <c r="I83" s="165">
        <f t="shared" si="33"/>
        <v>4.3884792517284981E-3</v>
      </c>
      <c r="J83" s="172">
        <f t="shared" si="30"/>
        <v>8571.366556307803</v>
      </c>
      <c r="K83" s="172">
        <f t="shared" si="29"/>
        <v>14.5</v>
      </c>
      <c r="L83" s="165">
        <f t="shared" si="34"/>
        <v>1888.386391119564</v>
      </c>
      <c r="M83" s="165">
        <f t="shared" si="35"/>
        <v>124284.81506646314</v>
      </c>
      <c r="N83" s="165">
        <f t="shared" si="36"/>
        <v>1.5194023422006313E-2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1.30254692332175E-2</v>
      </c>
      <c r="F84" s="165">
        <f t="shared" si="28"/>
        <v>3460057.7700000098</v>
      </c>
      <c r="G84" s="165">
        <f t="shared" si="31"/>
        <v>430305.41624997975</v>
      </c>
      <c r="H84" s="165">
        <f t="shared" si="32"/>
        <v>1.30254692332175E-2</v>
      </c>
      <c r="I84" s="165">
        <f t="shared" si="33"/>
        <v>4.6397674366464112E-3</v>
      </c>
      <c r="J84" s="172">
        <f t="shared" si="30"/>
        <v>7402.9463348581066</v>
      </c>
      <c r="K84" s="172">
        <f t="shared" si="29"/>
        <v>11</v>
      </c>
      <c r="L84" s="165">
        <f t="shared" si="34"/>
        <v>1996.5170581292355</v>
      </c>
      <c r="M84" s="165">
        <f t="shared" si="35"/>
        <v>81432.409683439168</v>
      </c>
      <c r="N84" s="165">
        <f t="shared" si="36"/>
        <v>2.4517474871375018E-2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8.3857017965710892E-3</v>
      </c>
      <c r="F85" s="165">
        <f t="shared" si="28"/>
        <v>3890363.1862499998</v>
      </c>
      <c r="G85" s="165">
        <f t="shared" si="31"/>
        <v>430305.41624999</v>
      </c>
      <c r="H85" s="165">
        <f t="shared" si="32"/>
        <v>8.3857017965710892E-3</v>
      </c>
      <c r="I85" s="165">
        <f t="shared" si="33"/>
        <v>4.6548682914601489E-3</v>
      </c>
      <c r="J85" s="172">
        <f t="shared" si="30"/>
        <v>5784.6411518504856</v>
      </c>
      <c r="K85" s="172">
        <f t="shared" si="29"/>
        <v>7.5</v>
      </c>
      <c r="L85" s="165">
        <f t="shared" si="34"/>
        <v>2003.0150377456391</v>
      </c>
      <c r="M85" s="165">
        <f t="shared" si="35"/>
        <v>43384.80863887864</v>
      </c>
      <c r="N85" s="165">
        <f t="shared" si="36"/>
        <v>4.6168580675740666E-2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3.7308335051109399E-3</v>
      </c>
      <c r="F86" s="165">
        <f t="shared" si="28"/>
        <v>4441789.57125</v>
      </c>
      <c r="G86" s="165">
        <f t="shared" si="31"/>
        <v>551426.38500000024</v>
      </c>
      <c r="H86" s="165">
        <f t="shared" si="32"/>
        <v>3.7308335051109399E-3</v>
      </c>
      <c r="I86" s="165">
        <f t="shared" si="33"/>
        <v>3.7308335051109399E-3</v>
      </c>
      <c r="J86" s="172">
        <f t="shared" si="30"/>
        <v>3252.4538542858595</v>
      </c>
      <c r="K86" s="172">
        <f t="shared" si="29"/>
        <v>4</v>
      </c>
      <c r="L86" s="165">
        <f t="shared" si="34"/>
        <v>2057.2800327602054</v>
      </c>
      <c r="M86" s="165">
        <f t="shared" si="35"/>
        <v>13009.815417143438</v>
      </c>
      <c r="N86" s="165">
        <f t="shared" si="36"/>
        <v>0.1581329147874968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4"/>
      <c r="D104" s="204"/>
      <c r="E104" s="204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C104:E104"/>
    <mergeCell ref="E19:F19"/>
    <mergeCell ref="E37:F37"/>
    <mergeCell ref="E55:F55"/>
    <mergeCell ref="E73:F73"/>
    <mergeCell ref="G19:H19"/>
    <mergeCell ref="I19:J19"/>
    <mergeCell ref="K19:L19"/>
    <mergeCell ref="M19:N19"/>
    <mergeCell ref="G37:H37"/>
    <mergeCell ref="I37:J37"/>
    <mergeCell ref="K37:L37"/>
    <mergeCell ref="M37:N37"/>
    <mergeCell ref="G55:H55"/>
    <mergeCell ref="I55:J55"/>
    <mergeCell ref="K55:L55"/>
    <mergeCell ref="M55:N55"/>
    <mergeCell ref="G73:H73"/>
    <mergeCell ref="I73:J73"/>
    <mergeCell ref="K73:L73"/>
    <mergeCell ref="M73:N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2021-05-24T23:40:58Z</dcterms:modified>
</cp:coreProperties>
</file>