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1\"/>
    </mc:Choice>
  </mc:AlternateContent>
  <bookViews>
    <workbookView xWindow="0" yWindow="0" windowWidth="23040" windowHeight="9972" tabRatio="830" firstSheet="6" activeTab="14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83" i="11" l="1"/>
  <c r="L46" i="1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<sst xmlns="http://schemas.openxmlformats.org/spreadsheetml/2006/main" count="3728" uniqueCount="262">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</sst>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18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784860</xdr:colOff>
          <xdr:row>0</xdr:row>
          <xdr:rowOff>99060</xdr:rowOff>
        </xdr:from>
        <xdr:to>
          <xdr:col>9</xdr:col>
          <xdr:colOff>381000</xdr:colOff>
          <xdr:row>11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708660</xdr:colOff>
      <xdr:row>3</xdr:row>
      <xdr:rowOff>30480</xdr:rowOff>
    </xdr:from>
    <xdr:to>
      <xdr:col>12</xdr:col>
      <xdr:colOff>137160</xdr:colOff>
      <xdr:row>7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624840</xdr:colOff>
          <xdr:row>1</xdr:row>
          <xdr:rowOff>38100</xdr:rowOff>
        </xdr:from>
        <xdr:to>
          <xdr:col>15</xdr:col>
          <xdr:colOff>441960</xdr:colOff>
          <xdr:row>11</xdr:row>
          <xdr:rowOff>167640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586740</xdr:colOff>
      <xdr:row>2</xdr:row>
      <xdr:rowOff>99060</xdr:rowOff>
    </xdr:from>
    <xdr:to>
      <xdr:col>18</xdr:col>
      <xdr:colOff>15240</xdr:colOff>
      <xdr:row>5</xdr:row>
      <xdr:rowOff>99060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473940" y="464820"/>
          <a:ext cx="1805940" cy="5486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>
      <selection activeCell="G13" sqref="G13:M15"/>
    </sheetView>
  </sheetViews>
  <sheetFormatPr baseColWidth="10" defaultRowHeight="14.4" x14ac:dyDescent="0.3"/>
  <sheetData>
    <row r="4" spans="7:13" x14ac:dyDescent="0.3">
      <c r="G4" s="193" t="s">
        <v>197</v>
      </c>
      <c r="H4" s="193"/>
      <c r="I4" s="193"/>
      <c r="J4" s="193"/>
      <c r="K4" s="193"/>
      <c r="L4" s="193"/>
      <c r="M4" s="193"/>
    </row>
    <row r="5" spans="7:13" x14ac:dyDescent="0.3">
      <c r="G5" s="193"/>
      <c r="H5" s="193"/>
      <c r="I5" s="193"/>
      <c r="J5" s="193"/>
      <c r="K5" s="193"/>
      <c r="L5" s="193"/>
      <c r="M5" s="193"/>
    </row>
    <row r="6" spans="7:13" x14ac:dyDescent="0.3">
      <c r="G6" s="193"/>
      <c r="H6" s="193"/>
      <c r="I6" s="193"/>
      <c r="J6" s="193"/>
      <c r="K6" s="193"/>
      <c r="L6" s="193"/>
      <c r="M6" s="193"/>
    </row>
    <row r="13" spans="7:13" x14ac:dyDescent="0.3">
      <c r="G13" s="193" t="s">
        <v>196</v>
      </c>
      <c r="H13" s="193"/>
      <c r="I13" s="193"/>
      <c r="J13" s="193"/>
      <c r="K13" s="193"/>
      <c r="L13" s="193"/>
      <c r="M13" s="193"/>
    </row>
    <row r="14" spans="7:13" x14ac:dyDescent="0.3">
      <c r="G14" s="193"/>
      <c r="H14" s="193"/>
      <c r="I14" s="193"/>
      <c r="J14" s="193"/>
      <c r="K14" s="193"/>
      <c r="L14" s="193"/>
      <c r="M14" s="193"/>
    </row>
    <row r="15" spans="7:13" x14ac:dyDescent="0.3">
      <c r="G15" s="193"/>
      <c r="H15" s="193"/>
      <c r="I15" s="193"/>
      <c r="J15" s="193"/>
      <c r="K15" s="193"/>
      <c r="L15" s="193"/>
      <c r="M15" s="193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4" t="s">
        <v>195</v>
      </c>
      <c r="H21" s="194"/>
      <c r="I21" s="194"/>
      <c r="J21" s="194"/>
      <c r="K21" s="194"/>
      <c r="L21" s="194"/>
      <c r="M21" s="194"/>
    </row>
    <row r="22" spans="2:13" x14ac:dyDescent="0.3">
      <c r="B22" s="75"/>
      <c r="C22" s="75"/>
      <c r="D22" s="75"/>
      <c r="E22" s="75"/>
      <c r="F22" s="75"/>
      <c r="G22" s="194"/>
      <c r="H22" s="194"/>
      <c r="I22" s="194"/>
      <c r="J22" s="194"/>
      <c r="K22" s="194"/>
      <c r="L22" s="194"/>
      <c r="M22" s="194"/>
    </row>
    <row r="23" spans="2:13" x14ac:dyDescent="0.3">
      <c r="B23" s="75"/>
      <c r="C23" s="75"/>
      <c r="D23" s="75"/>
      <c r="E23" s="75"/>
      <c r="F23" s="75"/>
      <c r="G23" s="194"/>
      <c r="H23" s="194"/>
      <c r="I23" s="194"/>
      <c r="J23" s="194"/>
      <c r="K23" s="194"/>
      <c r="L23" s="194"/>
      <c r="M23" s="194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5" t="s">
        <v>38</v>
      </c>
      <c r="C29" s="197">
        <f>+G22*3.23</f>
        <v>952.85</v>
      </c>
      <c r="D29" s="197"/>
      <c r="G29" s="9" t="s">
        <v>152</v>
      </c>
      <c r="H29">
        <v>4</v>
      </c>
      <c r="I29" t="s">
        <v>155</v>
      </c>
    </row>
    <row r="30" spans="2:18" x14ac:dyDescent="0.3">
      <c r="B30" s="196"/>
      <c r="C30" s="198"/>
      <c r="D30" s="198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9" t="s">
        <v>163</v>
      </c>
      <c r="C32" s="1"/>
      <c r="D32" s="1"/>
      <c r="F32" t="s">
        <v>164</v>
      </c>
    </row>
    <row r="33" spans="2:18" x14ac:dyDescent="0.3">
      <c r="B33" s="199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848.73018227297905</v>
      </c>
      <c r="E5" s="172">
        <f t="shared" si="0"/>
        <v>848.73018227297905</v>
      </c>
      <c r="F5" s="172">
        <f t="shared" si="0"/>
        <v>20.908304498395498</v>
      </c>
      <c r="G5" s="172">
        <f t="shared" si="0"/>
        <v>14.1247837405593</v>
      </c>
      <c r="H5" s="172">
        <f t="shared" si="0"/>
        <v>848.73018227297905</v>
      </c>
      <c r="I5" s="172">
        <f t="shared" si="0"/>
        <v>848.73018227297905</v>
      </c>
      <c r="J5" s="172">
        <f t="shared" si="0"/>
        <v>20.908304498395498</v>
      </c>
      <c r="K5" s="172">
        <f t="shared" si="0"/>
        <v>14.1247837405593</v>
      </c>
      <c r="L5" s="172">
        <f t="shared" si="0"/>
        <v>19.953298064496099</v>
      </c>
      <c r="M5" s="172">
        <f t="shared" si="0"/>
        <v>13.650368146505199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16964.982633744599</v>
      </c>
      <c r="E6" s="172">
        <f t="shared" si="1"/>
        <v>16964.982633744599</v>
      </c>
      <c r="F6" s="172">
        <f t="shared" si="1"/>
        <v>12.233297274155699</v>
      </c>
      <c r="G6" s="172">
        <f t="shared" si="1"/>
        <v>15.452965868025601</v>
      </c>
      <c r="H6" s="172">
        <f t="shared" si="1"/>
        <v>16964.982633744599</v>
      </c>
      <c r="I6" s="172">
        <f t="shared" si="1"/>
        <v>16964.982633744599</v>
      </c>
      <c r="J6" s="172">
        <f t="shared" si="1"/>
        <v>12.233297274155699</v>
      </c>
      <c r="K6" s="172">
        <f t="shared" si="1"/>
        <v>15.452965868025601</v>
      </c>
      <c r="L6" s="172">
        <f t="shared" si="1"/>
        <v>12.503729958898001</v>
      </c>
      <c r="M6" s="172">
        <f t="shared" si="1"/>
        <v>15.549636806723401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22130.926448071099</v>
      </c>
      <c r="E7" s="172">
        <f t="shared" si="2"/>
        <v>22130.926448071099</v>
      </c>
      <c r="F7" s="172">
        <f t="shared" si="2"/>
        <v>12.2334690495827</v>
      </c>
      <c r="G7" s="172">
        <f t="shared" si="2"/>
        <v>15.4913501577626</v>
      </c>
      <c r="H7" s="172">
        <f t="shared" si="2"/>
        <v>22130.926448071099</v>
      </c>
      <c r="I7" s="172">
        <f t="shared" si="2"/>
        <v>22130.926448071099</v>
      </c>
      <c r="J7" s="172">
        <f t="shared" si="2"/>
        <v>12.2334690495827</v>
      </c>
      <c r="K7" s="172">
        <f t="shared" si="2"/>
        <v>15.4913501577626</v>
      </c>
      <c r="L7" s="172">
        <f t="shared" si="2"/>
        <v>12.502942729767</v>
      </c>
      <c r="M7" s="172">
        <f t="shared" si="2"/>
        <v>15.5529114660565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22130.926448071099</v>
      </c>
      <c r="E8" s="172">
        <f t="shared" si="3"/>
        <v>22130.926448071099</v>
      </c>
      <c r="F8" s="172">
        <f t="shared" si="3"/>
        <v>12.2334690495827</v>
      </c>
      <c r="G8" s="172">
        <f t="shared" si="3"/>
        <v>15.4913501577626</v>
      </c>
      <c r="H8" s="172">
        <f t="shared" si="3"/>
        <v>22130.926448071099</v>
      </c>
      <c r="I8" s="172">
        <f t="shared" si="3"/>
        <v>22130.926448071099</v>
      </c>
      <c r="J8" s="172">
        <f t="shared" si="3"/>
        <v>12.2334690495827</v>
      </c>
      <c r="K8" s="172">
        <f t="shared" si="3"/>
        <v>15.4913501577626</v>
      </c>
      <c r="L8" s="172">
        <f t="shared" si="3"/>
        <v>12.5003280892739</v>
      </c>
      <c r="M8" s="172">
        <f t="shared" si="3"/>
        <v>15.556011227781999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22130.926448071099</v>
      </c>
      <c r="E9" s="172">
        <f t="shared" si="4"/>
        <v>22130.926448071099</v>
      </c>
      <c r="F9" s="172">
        <f t="shared" si="4"/>
        <v>12.2334690495827</v>
      </c>
      <c r="G9" s="172">
        <f t="shared" si="4"/>
        <v>15.4913501577626</v>
      </c>
      <c r="H9" s="172">
        <f t="shared" si="4"/>
        <v>22130.926448071099</v>
      </c>
      <c r="I9" s="172">
        <f t="shared" si="4"/>
        <v>22130.926448071099</v>
      </c>
      <c r="J9" s="172">
        <f t="shared" si="4"/>
        <v>12.2334690495827</v>
      </c>
      <c r="K9" s="172">
        <f t="shared" si="4"/>
        <v>15.4913501577626</v>
      </c>
      <c r="L9" s="172">
        <f t="shared" si="4"/>
        <v>12.490692664029501</v>
      </c>
      <c r="M9" s="172">
        <f t="shared" si="4"/>
        <v>15.5584229376407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22130.926448071099</v>
      </c>
      <c r="E10" s="172">
        <f t="shared" si="5"/>
        <v>22130.926448071099</v>
      </c>
      <c r="F10" s="172">
        <f t="shared" si="5"/>
        <v>12.2334690495827</v>
      </c>
      <c r="G10" s="172">
        <f t="shared" si="5"/>
        <v>15.4913501577626</v>
      </c>
      <c r="H10" s="172">
        <f t="shared" si="5"/>
        <v>22130.926448071099</v>
      </c>
      <c r="I10" s="172">
        <f t="shared" si="5"/>
        <v>22130.926448071099</v>
      </c>
      <c r="J10" s="172">
        <f t="shared" si="5"/>
        <v>12.2334690495827</v>
      </c>
      <c r="K10" s="172">
        <f t="shared" si="5"/>
        <v>15.4913501577626</v>
      </c>
      <c r="L10" s="172">
        <f t="shared" si="5"/>
        <v>12.4723983031591</v>
      </c>
      <c r="M10" s="172">
        <f t="shared" si="5"/>
        <v>15.5597934366314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22130.926448071099</v>
      </c>
      <c r="E11" s="172">
        <f t="shared" si="6"/>
        <v>22130.926448071099</v>
      </c>
      <c r="F11" s="172">
        <f t="shared" si="6"/>
        <v>12.2334690495827</v>
      </c>
      <c r="G11" s="172">
        <f t="shared" si="6"/>
        <v>15.4913501577626</v>
      </c>
      <c r="H11" s="172">
        <f t="shared" si="6"/>
        <v>22130.926448071099</v>
      </c>
      <c r="I11" s="172">
        <f t="shared" si="6"/>
        <v>22130.926448071099</v>
      </c>
      <c r="J11" s="172">
        <f t="shared" si="6"/>
        <v>12.2334690495827</v>
      </c>
      <c r="K11" s="172">
        <f t="shared" si="6"/>
        <v>15.4913501577626</v>
      </c>
      <c r="L11" s="172">
        <f t="shared" si="6"/>
        <v>12.4464332315421</v>
      </c>
      <c r="M11" s="172">
        <f t="shared" si="6"/>
        <v>15.560155242769801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23564.076373268199</v>
      </c>
      <c r="E12" s="172">
        <f t="shared" si="7"/>
        <v>23564.076373268199</v>
      </c>
      <c r="F12" s="172">
        <f t="shared" si="7"/>
        <v>12.185993515367199</v>
      </c>
      <c r="G12" s="172">
        <f t="shared" si="7"/>
        <v>15.491652290948201</v>
      </c>
      <c r="H12" s="172">
        <f t="shared" si="7"/>
        <v>23564.076373268199</v>
      </c>
      <c r="I12" s="172">
        <f t="shared" si="7"/>
        <v>23564.076373268199</v>
      </c>
      <c r="J12" s="172">
        <f t="shared" si="7"/>
        <v>12.185993515367199</v>
      </c>
      <c r="K12" s="172">
        <f t="shared" si="7"/>
        <v>15.491652290948201</v>
      </c>
      <c r="L12" s="172">
        <f t="shared" si="7"/>
        <v>12.4106234429798</v>
      </c>
      <c r="M12" s="172">
        <f t="shared" si="7"/>
        <v>15.560667192528999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23564.076373268199</v>
      </c>
      <c r="E13" s="172">
        <f t="shared" si="8"/>
        <v>23564.076373268199</v>
      </c>
      <c r="F13" s="172">
        <f t="shared" si="8"/>
        <v>12.185993515367199</v>
      </c>
      <c r="G13" s="172">
        <f t="shared" si="8"/>
        <v>15.491652290948201</v>
      </c>
      <c r="H13" s="172">
        <f t="shared" si="8"/>
        <v>23564.076373268199</v>
      </c>
      <c r="I13" s="172">
        <f t="shared" si="8"/>
        <v>23564.076373268199</v>
      </c>
      <c r="J13" s="172">
        <f t="shared" si="8"/>
        <v>12.185993515367199</v>
      </c>
      <c r="K13" s="172">
        <f t="shared" si="8"/>
        <v>15.491652290948201</v>
      </c>
      <c r="L13" s="172">
        <f t="shared" si="8"/>
        <v>12.353677960610799</v>
      </c>
      <c r="M13" s="172">
        <f t="shared" si="8"/>
        <v>15.5605678749868</v>
      </c>
      <c r="N13" s="75"/>
      <c r="O13" s="75"/>
    </row>
    <row r="14" spans="2:15" x14ac:dyDescent="0.3">
      <c r="B14" s="172" t="str">
        <f>+B24</f>
        <v>Story1</v>
      </c>
      <c r="C14" s="172" t="str">
        <f t="shared" ref="C14:M14" si="9">+C24</f>
        <v>D1</v>
      </c>
      <c r="D14" s="172">
        <f t="shared" si="9"/>
        <v>24294.431038135001</v>
      </c>
      <c r="E14" s="172">
        <f t="shared" si="9"/>
        <v>24294.431038135001</v>
      </c>
      <c r="F14" s="172">
        <f t="shared" si="9"/>
        <v>12.1931217708832</v>
      </c>
      <c r="G14" s="172">
        <f t="shared" si="9"/>
        <v>15.4942610982872</v>
      </c>
      <c r="H14" s="172">
        <f t="shared" si="9"/>
        <v>24294.431038135001</v>
      </c>
      <c r="I14" s="172">
        <f t="shared" si="9"/>
        <v>24294.431038135001</v>
      </c>
      <c r="J14" s="172">
        <f t="shared" si="9"/>
        <v>12.1931217708832</v>
      </c>
      <c r="K14" s="172">
        <f t="shared" si="9"/>
        <v>15.4942610982872</v>
      </c>
      <c r="L14" s="172">
        <f t="shared" si="9"/>
        <v>12.021552238385301</v>
      </c>
      <c r="M14" s="172">
        <f t="shared" si="9"/>
        <v>15.5542974793096</v>
      </c>
      <c r="N14" s="75"/>
      <c r="O14" s="75"/>
    </row>
    <row r="15" spans="2:15" x14ac:dyDescent="0.3">
      <c r="B15" s="172" t="str">
        <f>+B23</f>
        <v>Story2</v>
      </c>
      <c r="C15" s="172" t="str">
        <f t="shared" ref="C15:M15" si="10">+C23</f>
        <v>D2</v>
      </c>
      <c r="D15" s="172">
        <f t="shared" si="10"/>
        <v>23483.314850844199</v>
      </c>
      <c r="E15" s="172">
        <f t="shared" si="10"/>
        <v>23483.314850844199</v>
      </c>
      <c r="F15" s="172">
        <f t="shared" si="10"/>
        <v>12.1488030406514</v>
      </c>
      <c r="G15" s="172">
        <f t="shared" si="10"/>
        <v>15.4486348034083</v>
      </c>
      <c r="H15" s="172">
        <f t="shared" si="10"/>
        <v>23483.314850844199</v>
      </c>
      <c r="I15" s="172">
        <f t="shared" si="10"/>
        <v>23483.314850844199</v>
      </c>
      <c r="J15" s="172">
        <f t="shared" si="10"/>
        <v>12.1488030406514</v>
      </c>
      <c r="K15" s="172">
        <f t="shared" si="10"/>
        <v>15.4486348034083</v>
      </c>
      <c r="L15" s="172">
        <f t="shared" si="10"/>
        <v>12.2656475289819</v>
      </c>
      <c r="M15" s="172">
        <f t="shared" si="10"/>
        <v>15.559721367188899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24</v>
      </c>
      <c r="C23" s="172" t="s">
        <v>175</v>
      </c>
      <c r="D23" s="172">
        <v>23483.314850844199</v>
      </c>
      <c r="E23" s="172">
        <v>23483.314850844199</v>
      </c>
      <c r="F23" s="172">
        <v>12.1488030406514</v>
      </c>
      <c r="G23" s="172">
        <v>15.4486348034083</v>
      </c>
      <c r="H23" s="172">
        <v>23483.314850844199</v>
      </c>
      <c r="I23" s="172">
        <v>23483.314850844199</v>
      </c>
      <c r="J23" s="172">
        <v>12.1488030406514</v>
      </c>
      <c r="K23" s="172">
        <v>15.4486348034083</v>
      </c>
      <c r="L23" s="172">
        <v>12.2656475289819</v>
      </c>
      <c r="M23" s="172">
        <v>15.559721367188899</v>
      </c>
    </row>
    <row r="24" spans="2:15" x14ac:dyDescent="0.3">
      <c r="B24" s="172" t="s">
        <v>22</v>
      </c>
      <c r="C24" s="172" t="s">
        <v>23</v>
      </c>
      <c r="D24" s="172">
        <v>24294.431038135001</v>
      </c>
      <c r="E24" s="172">
        <v>24294.431038135001</v>
      </c>
      <c r="F24" s="172">
        <v>12.1931217708832</v>
      </c>
      <c r="G24" s="172">
        <v>15.4942610982872</v>
      </c>
      <c r="H24" s="172">
        <v>24294.431038135001</v>
      </c>
      <c r="I24" s="172">
        <v>24294.431038135001</v>
      </c>
      <c r="J24" s="172">
        <v>12.1931217708832</v>
      </c>
      <c r="K24" s="172">
        <v>15.4942610982872</v>
      </c>
      <c r="L24" s="172">
        <v>12.021552238385301</v>
      </c>
      <c r="M24" s="172">
        <v>15.5542974793096</v>
      </c>
    </row>
    <row r="25" spans="2:15" x14ac:dyDescent="0.3">
      <c r="B25" s="172" t="s">
        <v>25</v>
      </c>
      <c r="C25" s="172" t="s">
        <v>176</v>
      </c>
      <c r="D25" s="172">
        <v>23564.076373268199</v>
      </c>
      <c r="E25" s="172">
        <v>23564.076373268199</v>
      </c>
      <c r="F25" s="172">
        <v>12.185993515367199</v>
      </c>
      <c r="G25" s="172">
        <v>15.491652290948201</v>
      </c>
      <c r="H25" s="172">
        <v>23564.076373268199</v>
      </c>
      <c r="I25" s="172">
        <v>23564.076373268199</v>
      </c>
      <c r="J25" s="172">
        <v>12.185993515367199</v>
      </c>
      <c r="K25" s="172">
        <v>15.491652290948201</v>
      </c>
      <c r="L25" s="172">
        <v>12.353677960610799</v>
      </c>
      <c r="M25" s="172">
        <v>15.5605678749868</v>
      </c>
    </row>
    <row r="26" spans="2:15" x14ac:dyDescent="0.3">
      <c r="B26" s="172" t="s">
        <v>26</v>
      </c>
      <c r="C26" s="172" t="s">
        <v>177</v>
      </c>
      <c r="D26" s="172">
        <v>23564.076373268199</v>
      </c>
      <c r="E26" s="172">
        <v>23564.076373268199</v>
      </c>
      <c r="F26" s="172">
        <v>12.185993515367199</v>
      </c>
      <c r="G26" s="172">
        <v>15.491652290948201</v>
      </c>
      <c r="H26" s="172">
        <v>23564.076373268199</v>
      </c>
      <c r="I26" s="172">
        <v>23564.076373268199</v>
      </c>
      <c r="J26" s="172">
        <v>12.185993515367199</v>
      </c>
      <c r="K26" s="172">
        <v>15.491652290948201</v>
      </c>
      <c r="L26" s="172">
        <v>12.4106234429798</v>
      </c>
      <c r="M26" s="172">
        <v>15.560667192528999</v>
      </c>
    </row>
    <row r="27" spans="2:15" x14ac:dyDescent="0.3">
      <c r="B27" s="172" t="s">
        <v>39</v>
      </c>
      <c r="C27" s="172" t="s">
        <v>178</v>
      </c>
      <c r="D27" s="172">
        <v>22130.926448071099</v>
      </c>
      <c r="E27" s="172">
        <v>22130.926448071099</v>
      </c>
      <c r="F27" s="172">
        <v>12.2334690495827</v>
      </c>
      <c r="G27" s="172">
        <v>15.4913501577626</v>
      </c>
      <c r="H27" s="172">
        <v>22130.926448071099</v>
      </c>
      <c r="I27" s="172">
        <v>22130.926448071099</v>
      </c>
      <c r="J27" s="172">
        <v>12.2334690495827</v>
      </c>
      <c r="K27" s="172">
        <v>15.4913501577626</v>
      </c>
      <c r="L27" s="172">
        <v>12.4464332315421</v>
      </c>
      <c r="M27" s="172">
        <v>15.560155242769801</v>
      </c>
    </row>
    <row r="28" spans="2:15" x14ac:dyDescent="0.3">
      <c r="B28" s="172" t="s">
        <v>179</v>
      </c>
      <c r="C28" s="172" t="s">
        <v>180</v>
      </c>
      <c r="D28" s="172">
        <v>22130.926448071099</v>
      </c>
      <c r="E28" s="172">
        <v>22130.926448071099</v>
      </c>
      <c r="F28" s="172">
        <v>12.2334690495827</v>
      </c>
      <c r="G28" s="172">
        <v>15.4913501577626</v>
      </c>
      <c r="H28" s="172">
        <v>22130.926448071099</v>
      </c>
      <c r="I28" s="172">
        <v>22130.926448071099</v>
      </c>
      <c r="J28" s="172">
        <v>12.2334690495827</v>
      </c>
      <c r="K28" s="172">
        <v>15.4913501577626</v>
      </c>
      <c r="L28" s="172">
        <v>12.4723983031591</v>
      </c>
      <c r="M28" s="172">
        <v>15.5597934366314</v>
      </c>
    </row>
    <row r="29" spans="2:15" x14ac:dyDescent="0.3">
      <c r="B29" s="172" t="s">
        <v>181</v>
      </c>
      <c r="C29" s="172" t="s">
        <v>182</v>
      </c>
      <c r="D29" s="172">
        <v>22130.926448071099</v>
      </c>
      <c r="E29" s="172">
        <v>22130.926448071099</v>
      </c>
      <c r="F29" s="172">
        <v>12.2334690495827</v>
      </c>
      <c r="G29" s="172">
        <v>15.4913501577626</v>
      </c>
      <c r="H29" s="172">
        <v>22130.926448071099</v>
      </c>
      <c r="I29" s="172">
        <v>22130.926448071099</v>
      </c>
      <c r="J29" s="172">
        <v>12.2334690495827</v>
      </c>
      <c r="K29" s="172">
        <v>15.4913501577626</v>
      </c>
      <c r="L29" s="172">
        <v>12.490692664029501</v>
      </c>
      <c r="M29" s="172">
        <v>15.5584229376407</v>
      </c>
    </row>
    <row r="30" spans="2:15" x14ac:dyDescent="0.3">
      <c r="B30" s="172" t="s">
        <v>183</v>
      </c>
      <c r="C30" s="172" t="s">
        <v>184</v>
      </c>
      <c r="D30" s="172">
        <v>22130.926448071099</v>
      </c>
      <c r="E30" s="172">
        <v>22130.926448071099</v>
      </c>
      <c r="F30" s="172">
        <v>12.2334690495827</v>
      </c>
      <c r="G30" s="172">
        <v>15.4913501577626</v>
      </c>
      <c r="H30" s="172">
        <v>22130.926448071099</v>
      </c>
      <c r="I30" s="172">
        <v>22130.926448071099</v>
      </c>
      <c r="J30" s="172">
        <v>12.2334690495827</v>
      </c>
      <c r="K30" s="172">
        <v>15.4913501577626</v>
      </c>
      <c r="L30" s="172">
        <v>12.5003280892739</v>
      </c>
      <c r="M30" s="172">
        <v>15.556011227781999</v>
      </c>
    </row>
    <row r="31" spans="2:15" x14ac:dyDescent="0.3">
      <c r="B31" s="172" t="s">
        <v>185</v>
      </c>
      <c r="C31" s="172" t="s">
        <v>186</v>
      </c>
      <c r="D31" s="172">
        <v>22130.926448071099</v>
      </c>
      <c r="E31" s="172">
        <v>22130.926448071099</v>
      </c>
      <c r="F31" s="172">
        <v>12.2334690495827</v>
      </c>
      <c r="G31" s="172">
        <v>15.4913501577626</v>
      </c>
      <c r="H31" s="172">
        <v>22130.926448071099</v>
      </c>
      <c r="I31" s="172">
        <v>22130.926448071099</v>
      </c>
      <c r="J31" s="172">
        <v>12.2334690495827</v>
      </c>
      <c r="K31" s="172">
        <v>15.4913501577626</v>
      </c>
      <c r="L31" s="172">
        <v>12.502942729767</v>
      </c>
      <c r="M31" s="172">
        <v>15.5529114660565</v>
      </c>
    </row>
    <row r="32" spans="2:15" x14ac:dyDescent="0.3">
      <c r="B32" s="172" t="s">
        <v>187</v>
      </c>
      <c r="C32" s="172" t="s">
        <v>188</v>
      </c>
      <c r="D32" s="172">
        <v>16964.982633744599</v>
      </c>
      <c r="E32" s="172">
        <v>16964.982633744599</v>
      </c>
      <c r="F32" s="172">
        <v>12.233297274155699</v>
      </c>
      <c r="G32" s="172">
        <v>15.452965868025601</v>
      </c>
      <c r="H32" s="172">
        <v>16964.982633744599</v>
      </c>
      <c r="I32" s="172">
        <v>16964.982633744599</v>
      </c>
      <c r="J32" s="172">
        <v>12.233297274155699</v>
      </c>
      <c r="K32" s="172">
        <v>15.452965868025601</v>
      </c>
      <c r="L32" s="172">
        <v>12.503729958898001</v>
      </c>
      <c r="M32" s="172">
        <v>15.549636806723401</v>
      </c>
    </row>
    <row r="33" spans="2:13" x14ac:dyDescent="0.3">
      <c r="B33" s="172" t="s">
        <v>189</v>
      </c>
      <c r="C33" s="172" t="s">
        <v>190</v>
      </c>
      <c r="D33" s="172">
        <v>848.73018227297905</v>
      </c>
      <c r="E33" s="172">
        <v>848.73018227297905</v>
      </c>
      <c r="F33" s="172">
        <v>20.908304498395498</v>
      </c>
      <c r="G33" s="172">
        <v>14.1247837405593</v>
      </c>
      <c r="H33" s="172">
        <v>848.73018227297905</v>
      </c>
      <c r="I33" s="172">
        <v>848.73018227297905</v>
      </c>
      <c r="J33" s="172">
        <v>20.908304498395498</v>
      </c>
      <c r="K33" s="172">
        <v>14.1247837405593</v>
      </c>
      <c r="L33" s="172">
        <v>19.953298064496099</v>
      </c>
      <c r="M33" s="172">
        <v>13.650368146505199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4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2.9601995692495499E-10</v>
      </c>
      <c r="G6" s="172">
        <v>1101.93738407757</v>
      </c>
      <c r="H6" s="172">
        <v>59.396355781570399</v>
      </c>
      <c r="I6" s="172">
        <v>15804.000648271</v>
      </c>
      <c r="J6" s="172">
        <v>4.72870510577684E-9</v>
      </c>
      <c r="K6" s="172">
        <v>6.67450983733543E-9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1.39704849541277E-10</v>
      </c>
      <c r="G7" s="172">
        <v>1101.93738407766</v>
      </c>
      <c r="H7" s="172">
        <v>59.396355781573597</v>
      </c>
      <c r="I7" s="172">
        <v>15804.0006482729</v>
      </c>
      <c r="J7" s="172">
        <v>178.189067344443</v>
      </c>
      <c r="K7" s="172">
        <v>3305.8121522301499</v>
      </c>
      <c r="L7" s="14"/>
    </row>
    <row r="8" spans="2:12" s="172" customFormat="1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1.42814773845502E-10</v>
      </c>
      <c r="G8" s="172">
        <v>56.721320187542403</v>
      </c>
      <c r="H8" s="172">
        <v>943.78611611450901</v>
      </c>
      <c r="I8" s="172">
        <v>19827.516760638598</v>
      </c>
      <c r="J8" s="172">
        <v>2.51674389656806E-9</v>
      </c>
      <c r="K8" s="172">
        <v>3.1367353054451499E-9</v>
      </c>
      <c r="L8" s="14"/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1.1155845943751399E-10</v>
      </c>
      <c r="G9" s="172">
        <v>56.721320187541302</v>
      </c>
      <c r="H9" s="172">
        <v>943.786116113969</v>
      </c>
      <c r="I9" s="172">
        <v>19827.5167606258</v>
      </c>
      <c r="J9" s="172">
        <v>2831.3583483452899</v>
      </c>
      <c r="K9" s="172">
        <v>170.16396056232799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2.2528120692619499E-9</v>
      </c>
      <c r="G10" s="172">
        <v>30295.1055662051</v>
      </c>
      <c r="H10" s="172">
        <v>172.53985324150901</v>
      </c>
      <c r="I10" s="172">
        <v>463245.93752257898</v>
      </c>
      <c r="J10" s="172">
        <v>178.18906744762</v>
      </c>
      <c r="K10" s="172">
        <v>3305.8121522118099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1.95996306963176E-9</v>
      </c>
      <c r="G11" s="172">
        <v>30436.239682523399</v>
      </c>
      <c r="H11" s="172">
        <v>175.14556113371299</v>
      </c>
      <c r="I11" s="172">
        <v>465615.716307853</v>
      </c>
      <c r="J11" s="172">
        <v>668.02347351153003</v>
      </c>
      <c r="K11" s="172">
        <v>109388.038639807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1.11612018012237E-7</v>
      </c>
      <c r="G12" s="172">
        <v>143.677509237767</v>
      </c>
      <c r="H12" s="172">
        <v>28571.9502402131</v>
      </c>
      <c r="I12" s="172">
        <v>307133.39660083503</v>
      </c>
      <c r="J12" s="172">
        <v>2831.35834971245</v>
      </c>
      <c r="K12" s="172">
        <v>170.16396022952901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1.1155850042039899E-7</v>
      </c>
      <c r="G13" s="172">
        <v>146.38407225309001</v>
      </c>
      <c r="H13" s="172">
        <v>28693.418057388899</v>
      </c>
      <c r="I13" s="172">
        <v>309701.48148233298</v>
      </c>
      <c r="J13" s="172">
        <v>102839.614380787</v>
      </c>
      <c r="K13" s="172">
        <v>504.27772216076301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1.20829899562274E-7</v>
      </c>
      <c r="G14" s="172">
        <v>62664.318125227997</v>
      </c>
      <c r="H14" s="172">
        <v>296.79715330670098</v>
      </c>
      <c r="I14" s="172">
        <v>960810.45782690297</v>
      </c>
      <c r="J14" s="172">
        <v>668.02347299652502</v>
      </c>
      <c r="K14" s="172">
        <v>109388.038637465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1.2092863017810601E-7</v>
      </c>
      <c r="G15" s="172">
        <v>62782.905198922999</v>
      </c>
      <c r="H15" s="172">
        <v>298.81962445350399</v>
      </c>
      <c r="I15" s="172">
        <v>962804.63750688301</v>
      </c>
      <c r="J15" s="172">
        <v>1654.02915573328</v>
      </c>
      <c r="K15" s="172">
        <v>327887.94927926199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1.3489525952374901E-7</v>
      </c>
      <c r="G16" s="172">
        <v>272.96142269327299</v>
      </c>
      <c r="H16" s="172">
        <v>58945.937510397001</v>
      </c>
      <c r="I16" s="172">
        <v>626634.00238115597</v>
      </c>
      <c r="J16" s="172">
        <v>102839.614380888</v>
      </c>
      <c r="K16" s="172">
        <v>504.27772224464297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1.34555965027397E-7</v>
      </c>
      <c r="G17" s="172">
        <v>275.634915893146</v>
      </c>
      <c r="H17" s="172">
        <v>59047.162769897201</v>
      </c>
      <c r="I17" s="172">
        <v>628780.68272239296</v>
      </c>
      <c r="J17" s="172">
        <v>308182.58563177002</v>
      </c>
      <c r="K17" s="172">
        <v>1367.17722741786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2.1283260793784199E-7</v>
      </c>
      <c r="G18" s="172">
        <v>89586.608885160706</v>
      </c>
      <c r="H18" s="172">
        <v>379.78804896747999</v>
      </c>
      <c r="I18" s="172">
        <v>1374983.6076496299</v>
      </c>
      <c r="J18" s="172">
        <v>1654.0291553792799</v>
      </c>
      <c r="K18" s="172">
        <v>327887.94927742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2.1268378350943799E-7</v>
      </c>
      <c r="G19" s="172">
        <v>89685.161954746305</v>
      </c>
      <c r="H19" s="172">
        <v>381.39583691046198</v>
      </c>
      <c r="I19" s="172">
        <v>1376642.2499678801</v>
      </c>
      <c r="J19" s="172">
        <v>2936.97856607631</v>
      </c>
      <c r="K19" s="172">
        <v>638111.19767474302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1.92631799024935E-7</v>
      </c>
      <c r="G20" s="172">
        <v>360.68067471904197</v>
      </c>
      <c r="H20" s="172">
        <v>84187.936588177501</v>
      </c>
      <c r="I20" s="172">
        <v>894188.36091642501</v>
      </c>
      <c r="J20" s="172">
        <v>308182.58563238999</v>
      </c>
      <c r="K20" s="172">
        <v>1367.1772277468599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1.9226822687178501E-7</v>
      </c>
      <c r="G21" s="172">
        <v>363.06222982911999</v>
      </c>
      <c r="H21" s="172">
        <v>84272.358899381594</v>
      </c>
      <c r="I21" s="172">
        <v>895982.467120099</v>
      </c>
      <c r="J21" s="172">
        <v>599262.66516430397</v>
      </c>
      <c r="K21" s="172">
        <v>2569.1976005038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1.73813359844939E-7</v>
      </c>
      <c r="G22" s="172">
        <v>112071.74048890499</v>
      </c>
      <c r="H22" s="172">
        <v>439.31387769106198</v>
      </c>
      <c r="I22" s="172">
        <v>1721063.5654993299</v>
      </c>
      <c r="J22" s="172">
        <v>2936.97856623499</v>
      </c>
      <c r="K22" s="172">
        <v>638111.19767556095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1.7391851940131999E-7</v>
      </c>
      <c r="G23" s="172">
        <v>112154.64973811401</v>
      </c>
      <c r="H23" s="172">
        <v>440.51247182818298</v>
      </c>
      <c r="I23" s="172">
        <v>1722459.71704936</v>
      </c>
      <c r="J23" s="172">
        <v>4383.3875110155404</v>
      </c>
      <c r="K23" s="172">
        <v>1022925.79123465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1.6604670833169501E-7</v>
      </c>
      <c r="G24" s="172">
        <v>426.585447168754</v>
      </c>
      <c r="H24" s="172">
        <v>105291.046038555</v>
      </c>
      <c r="I24" s="172">
        <v>1119156.5804586599</v>
      </c>
      <c r="J24" s="172">
        <v>599262.665163973</v>
      </c>
      <c r="K24" s="172">
        <v>2569.19760033381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1.65803546786172E-7</v>
      </c>
      <c r="G25" s="172">
        <v>428.67746643957003</v>
      </c>
      <c r="H25" s="172">
        <v>105362.377061023</v>
      </c>
      <c r="I25" s="172">
        <v>1120673.0844934799</v>
      </c>
      <c r="J25" s="172">
        <v>960148.79443977703</v>
      </c>
      <c r="K25" s="172">
        <v>3964.2658826371999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3.3743414093409402E-7</v>
      </c>
      <c r="G26" s="172">
        <v>131138.49868076801</v>
      </c>
      <c r="H26" s="172">
        <v>485.22545621839299</v>
      </c>
      <c r="I26" s="172">
        <v>2014587.2761359001</v>
      </c>
      <c r="J26" s="172">
        <v>4383.3875101268704</v>
      </c>
      <c r="K26" s="172">
        <v>1022925.79123114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3.3711667026023799E-7</v>
      </c>
      <c r="G27" s="172">
        <v>131209.42025764799</v>
      </c>
      <c r="H27" s="172">
        <v>486.32366462518303</v>
      </c>
      <c r="I27" s="172">
        <v>2015781.7400891799</v>
      </c>
      <c r="J27" s="172">
        <v>5931.6006391169603</v>
      </c>
      <c r="K27" s="172">
        <v>1469045.27907304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1.9098332872250199E-7</v>
      </c>
      <c r="G28" s="172">
        <v>479.18896484795602</v>
      </c>
      <c r="H28" s="172">
        <v>123187.653933635</v>
      </c>
      <c r="I28" s="172">
        <v>1310714.4407675699</v>
      </c>
      <c r="J28" s="172">
        <v>960148.79443978798</v>
      </c>
      <c r="K28" s="172">
        <v>3964.2658828282101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1.9078268384922201E-7</v>
      </c>
      <c r="G29" s="172">
        <v>481.05675536233002</v>
      </c>
      <c r="H29" s="172">
        <v>123248.847066096</v>
      </c>
      <c r="I29" s="172">
        <v>1312013.6131714301</v>
      </c>
      <c r="J29" s="172">
        <v>1378449.9088888001</v>
      </c>
      <c r="K29" s="172">
        <v>5486.3983236978702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3.14430553759424E-7</v>
      </c>
      <c r="G30" s="172">
        <v>147588.899020971</v>
      </c>
      <c r="H30" s="172">
        <v>526.98187732420502</v>
      </c>
      <c r="I30" s="172">
        <v>2267822.64433236</v>
      </c>
      <c r="J30" s="172">
        <v>5931.6006391745204</v>
      </c>
      <c r="K30" s="172">
        <v>1469045.2790735101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3.1458331376193203E-7</v>
      </c>
      <c r="G31" s="172">
        <v>147650.69572644401</v>
      </c>
      <c r="H31" s="172">
        <v>528.00166712560099</v>
      </c>
      <c r="I31" s="172">
        <v>2268863.0420226599</v>
      </c>
      <c r="J31" s="172">
        <v>7568.1277757077596</v>
      </c>
      <c r="K31" s="172">
        <v>1966364.0965506299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1.5227317756511199E-7</v>
      </c>
      <c r="G32" s="172">
        <v>525.86399088159396</v>
      </c>
      <c r="H32" s="172">
        <v>138643.13567833099</v>
      </c>
      <c r="I32" s="172">
        <v>1476322.7522757901</v>
      </c>
      <c r="J32" s="172">
        <v>1378449.9088882301</v>
      </c>
      <c r="K32" s="172">
        <v>5486.3983234151901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1.5234601675336501E-7</v>
      </c>
      <c r="G33" s="172">
        <v>527.53810237095195</v>
      </c>
      <c r="H33" s="172">
        <v>138696.581905889</v>
      </c>
      <c r="I33" s="172">
        <v>1477454.9475974201</v>
      </c>
      <c r="J33" s="172">
        <v>1844723.4742624699</v>
      </c>
      <c r="K33" s="172">
        <v>7121.41995737873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3.6338548667766099E-7</v>
      </c>
      <c r="G34" s="172">
        <v>162352.567273961</v>
      </c>
      <c r="H34" s="172">
        <v>573.11296435422298</v>
      </c>
      <c r="I34" s="172">
        <v>2494950.10449991</v>
      </c>
      <c r="J34" s="172">
        <v>7568.1277754673101</v>
      </c>
      <c r="K34" s="172">
        <v>1966364.09654952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3.63432296488432E-7</v>
      </c>
      <c r="G35" s="172">
        <v>162406.74729408699</v>
      </c>
      <c r="H35" s="172">
        <v>574.13111099710204</v>
      </c>
      <c r="I35" s="172">
        <v>2495861.6112404098</v>
      </c>
      <c r="J35" s="172">
        <v>9297.4357380399397</v>
      </c>
      <c r="K35" s="172">
        <v>2508262.4815130802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1.9064717521158801E-7</v>
      </c>
      <c r="G36" s="172">
        <v>574.94902912165298</v>
      </c>
      <c r="H36" s="172">
        <v>152559.61262065</v>
      </c>
      <c r="I36" s="172">
        <v>1624710.8744149499</v>
      </c>
      <c r="J36" s="172">
        <v>1844723.47426291</v>
      </c>
      <c r="K36" s="172">
        <v>7121.4199576893197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1.90582189637558E-7</v>
      </c>
      <c r="G37" s="172">
        <v>576.468492274048</v>
      </c>
      <c r="H37" s="172">
        <v>152606.826217444</v>
      </c>
      <c r="I37" s="172">
        <v>1625707.52989822</v>
      </c>
      <c r="J37" s="172">
        <v>2352883.0567832701</v>
      </c>
      <c r="K37" s="172">
        <v>8869.0559206061807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3.6540292097732899E-7</v>
      </c>
      <c r="G38" s="172">
        <v>175079.036924908</v>
      </c>
      <c r="H38" s="172">
        <v>620.161796609514</v>
      </c>
      <c r="I38" s="172">
        <v>2690575.4573788601</v>
      </c>
      <c r="J38" s="172">
        <v>9297.4357379693993</v>
      </c>
      <c r="K38" s="172">
        <v>2508262.4815130299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3.6536601888895002E-7</v>
      </c>
      <c r="G39" s="172">
        <v>175123.83722515401</v>
      </c>
      <c r="H39" s="172">
        <v>621.19459443295295</v>
      </c>
      <c r="I39" s="172">
        <v>2691328.3051186898</v>
      </c>
      <c r="J39" s="172">
        <v>11138.376720906001</v>
      </c>
      <c r="K39" s="172">
        <v>3088644.3820619402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1.5736531210645701E-7</v>
      </c>
      <c r="G40" s="172">
        <v>622.58594509616205</v>
      </c>
      <c r="H40" s="172">
        <v>164586.809605227</v>
      </c>
      <c r="I40" s="172">
        <v>1752341.6428965901</v>
      </c>
      <c r="J40" s="172">
        <v>2352883.0567827001</v>
      </c>
      <c r="K40" s="172">
        <v>8869.0559203436205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1.57479369846528E-7</v>
      </c>
      <c r="G41" s="172">
        <v>623.90691818454604</v>
      </c>
      <c r="H41" s="172">
        <v>164625.79497758899</v>
      </c>
      <c r="I41" s="172">
        <v>1753162.3774047501</v>
      </c>
      <c r="J41" s="172">
        <v>2897366.4795854101</v>
      </c>
      <c r="K41" s="172">
        <v>10738.6839533456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3.6996038845682402E-7</v>
      </c>
      <c r="G42" s="172">
        <v>184941.123915423</v>
      </c>
      <c r="H42" s="172">
        <v>669.56334182194598</v>
      </c>
      <c r="I42" s="172">
        <v>2841881.1453873198</v>
      </c>
      <c r="J42" s="172">
        <v>11138.376720885701</v>
      </c>
      <c r="K42" s="172">
        <v>3088644.38206182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3.7004089300735898E-7</v>
      </c>
      <c r="G43" s="172">
        <v>184971.61593265401</v>
      </c>
      <c r="H43" s="172">
        <v>670.36552045981</v>
      </c>
      <c r="I43" s="172">
        <v>2842392.93124033</v>
      </c>
      <c r="J43" s="172">
        <v>13114.055635554199</v>
      </c>
      <c r="K43" s="172">
        <v>3700350.9597910899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1.6897184081361201E-7</v>
      </c>
      <c r="G44" s="172">
        <v>669.792709217837</v>
      </c>
      <c r="H44" s="172">
        <v>173898.62463690099</v>
      </c>
      <c r="I44" s="172">
        <v>1850795.7636375399</v>
      </c>
      <c r="J44" s="172">
        <v>2897366.4795855498</v>
      </c>
      <c r="K44" s="172">
        <v>10738.68395345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1.69030917870525E-7</v>
      </c>
      <c r="G45" s="172">
        <v>670.68123266473901</v>
      </c>
      <c r="H45" s="172">
        <v>173925.33664615301</v>
      </c>
      <c r="I45" s="172">
        <v>1851359.00047607</v>
      </c>
      <c r="J45" s="172">
        <v>3471470.74777176</v>
      </c>
      <c r="K45" s="172">
        <v>12740.209426062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3.6551632640911799E-7</v>
      </c>
      <c r="G46" s="172">
        <v>190476.578192235</v>
      </c>
      <c r="H46" s="172">
        <v>702.52119912839203</v>
      </c>
      <c r="I46" s="172">
        <v>2926838.81734971</v>
      </c>
      <c r="J46" s="172">
        <v>13114.0556355852</v>
      </c>
      <c r="K46" s="172">
        <v>3700350.9597911802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3.6549469710852098E-7</v>
      </c>
      <c r="G47" s="172">
        <v>190487.65066376299</v>
      </c>
      <c r="H47" s="172">
        <v>702.92423828159997</v>
      </c>
      <c r="I47" s="172">
        <v>2927024.62667567</v>
      </c>
      <c r="J47" s="172">
        <v>15535.081952254201</v>
      </c>
      <c r="K47" s="172">
        <v>4424778.9754780503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1.71894570237303E-7</v>
      </c>
      <c r="G48" s="172">
        <v>702.60760277165605</v>
      </c>
      <c r="H48" s="172">
        <v>179076.94402234899</v>
      </c>
      <c r="I48" s="172">
        <v>1906089.0085199899</v>
      </c>
      <c r="J48" s="172">
        <v>3471470.7477718401</v>
      </c>
      <c r="K48" s="172">
        <v>12740.209426089399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1.71885061860375E-7</v>
      </c>
      <c r="G49" s="172">
        <v>702.92492885874503</v>
      </c>
      <c r="H49" s="172">
        <v>179087.85314810701</v>
      </c>
      <c r="I49" s="172">
        <v>1906322.6052667899</v>
      </c>
      <c r="J49" s="172">
        <v>4151531.3340018298</v>
      </c>
      <c r="K49" s="172">
        <v>15186.7346309472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  <row r="54" spans="2:11" x14ac:dyDescent="0.3">
      <c r="B54" s="75"/>
      <c r="C54" s="75"/>
      <c r="D54" s="75"/>
      <c r="E54" s="75"/>
      <c r="F54" s="75"/>
      <c r="G54" s="75"/>
      <c r="H54" s="75"/>
      <c r="I54" s="75"/>
      <c r="J54" s="75"/>
      <c r="K54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topLeftCell="A13" zoomScale="80" zoomScaleNormal="80" workbookViewId="0">
      <selection activeCell="A36" sqref="A36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1.45939251111271</v>
      </c>
      <c r="N5" s="172">
        <v>1.45731419946094</v>
      </c>
      <c r="O5" s="172">
        <v>6293678.6876600804</v>
      </c>
      <c r="P5" s="172">
        <v>214010.23742867401</v>
      </c>
      <c r="Q5" s="172">
        <v>21862.745646340201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1.5282258085895899</v>
      </c>
      <c r="N6" s="172">
        <v>1.41321938364334</v>
      </c>
      <c r="O6" s="172">
        <v>6293678.6876600804</v>
      </c>
      <c r="P6" s="172">
        <v>207534.803369231</v>
      </c>
      <c r="Q6" s="172">
        <v>22201.2029882598</v>
      </c>
    </row>
    <row r="7" spans="2:17" x14ac:dyDescent="0.3">
      <c r="B7" s="200" t="s">
        <v>192</v>
      </c>
      <c r="C7" s="200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201" t="s">
        <v>125</v>
      </c>
      <c r="D10" s="201"/>
      <c r="E10" s="201" t="s">
        <v>124</v>
      </c>
      <c r="F10" s="201"/>
      <c r="G10" s="201"/>
      <c r="H10" s="9" t="s">
        <v>126</v>
      </c>
      <c r="I10" s="9">
        <f>+$I$9*O5</f>
        <v>203028.8812897389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201" t="s">
        <v>125</v>
      </c>
      <c r="D11" s="201"/>
      <c r="E11" s="201" t="s">
        <v>124</v>
      </c>
      <c r="F11" s="201"/>
      <c r="G11" s="201"/>
      <c r="H11" s="9" t="s">
        <v>127</v>
      </c>
      <c r="I11" s="9">
        <f>+$I$9*O6</f>
        <v>203028.8812897389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8" t="s">
        <v>61</v>
      </c>
      <c r="M12" s="198"/>
      <c r="N12" s="198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8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8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2.9601995692495499E-10</v>
      </c>
      <c r="F15" s="172">
        <v>1101.93738407757</v>
      </c>
      <c r="G15" s="172">
        <v>59.396355781570399</v>
      </c>
      <c r="H15" s="172">
        <v>15804.000648271</v>
      </c>
      <c r="I15" s="172">
        <v>4.72870510577684E-9</v>
      </c>
      <c r="J15" s="172">
        <v>6.67450983733543E-9</v>
      </c>
      <c r="K15" s="166"/>
      <c r="L15" s="166" t="s">
        <v>189</v>
      </c>
      <c r="M15">
        <f>+F15</f>
        <v>1101.93738407757</v>
      </c>
      <c r="N15">
        <f>+G15</f>
        <v>59.396355781570399</v>
      </c>
      <c r="O15" s="18">
        <f t="shared" ref="O15:P19" si="0">+M15*$O$55</f>
        <v>1174.5544594717567</v>
      </c>
      <c r="P15" s="19">
        <f t="shared" si="0"/>
        <v>63.310543382657009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2.2528120692619499E-9</v>
      </c>
      <c r="F16" s="172">
        <v>30295.1055662051</v>
      </c>
      <c r="G16" s="172">
        <v>172.53985324150901</v>
      </c>
      <c r="H16" s="172">
        <v>463245.93752257898</v>
      </c>
      <c r="I16" s="172">
        <v>178.18906744762</v>
      </c>
      <c r="J16" s="172">
        <v>3305.8121522118099</v>
      </c>
      <c r="K16" s="166"/>
      <c r="L16" s="166" t="s">
        <v>187</v>
      </c>
      <c r="M16" s="13">
        <f>+F16-F15</f>
        <v>29193.168182127531</v>
      </c>
      <c r="N16">
        <f>+G16-G15</f>
        <v>113.1434974599386</v>
      </c>
      <c r="O16" s="18">
        <f t="shared" si="0"/>
        <v>31116.982117028481</v>
      </c>
      <c r="P16" s="19">
        <f t="shared" si="0"/>
        <v>120.59959251953953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1.20829899562274E-7</v>
      </c>
      <c r="F17" s="172">
        <v>62664.318125227997</v>
      </c>
      <c r="G17" s="172">
        <v>296.79715330670098</v>
      </c>
      <c r="H17" s="172">
        <v>960810.45782690297</v>
      </c>
      <c r="I17" s="172">
        <v>668.02347299652502</v>
      </c>
      <c r="J17" s="172">
        <v>109388.038637465</v>
      </c>
      <c r="K17" s="166"/>
      <c r="L17" s="166" t="s">
        <v>185</v>
      </c>
      <c r="M17" s="13">
        <f t="shared" ref="M17:M25" si="1">+F17-F16</f>
        <v>32369.212559022897</v>
      </c>
      <c r="N17" s="13">
        <f t="shared" ref="N17:N25" si="2">+G17-G16</f>
        <v>124.25730006519197</v>
      </c>
      <c r="O17" s="18">
        <f t="shared" si="0"/>
        <v>34502.326094159624</v>
      </c>
      <c r="P17" s="19">
        <f t="shared" si="0"/>
        <v>132.44578868305064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2.1283260793784199E-7</v>
      </c>
      <c r="F18" s="172">
        <v>89586.608885160706</v>
      </c>
      <c r="G18" s="172">
        <v>379.78804896747999</v>
      </c>
      <c r="H18" s="172">
        <v>1374983.6076496299</v>
      </c>
      <c r="I18" s="172">
        <v>1654.0291553792799</v>
      </c>
      <c r="J18" s="172">
        <v>327887.94927742</v>
      </c>
      <c r="K18" s="166"/>
      <c r="L18" s="166" t="s">
        <v>183</v>
      </c>
      <c r="M18" s="13">
        <f t="shared" si="1"/>
        <v>26922.290759932708</v>
      </c>
      <c r="N18" s="13">
        <f t="shared" si="2"/>
        <v>82.990895660779017</v>
      </c>
      <c r="O18" s="18">
        <f t="shared" si="0"/>
        <v>28696.455105518275</v>
      </c>
      <c r="P18" s="19">
        <f t="shared" si="0"/>
        <v>88.459950630971079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1.73813359844939E-7</v>
      </c>
      <c r="F19" s="172">
        <v>112071.74048890499</v>
      </c>
      <c r="G19" s="172">
        <v>439.31387769106198</v>
      </c>
      <c r="H19" s="172">
        <v>1721063.5654993299</v>
      </c>
      <c r="I19" s="172">
        <v>2936.97856623499</v>
      </c>
      <c r="J19" s="172">
        <v>638111.19767556095</v>
      </c>
      <c r="K19" s="166"/>
      <c r="L19" s="166" t="s">
        <v>181</v>
      </c>
      <c r="M19" s="13">
        <f t="shared" si="1"/>
        <v>22485.131603744288</v>
      </c>
      <c r="N19" s="13">
        <f t="shared" si="2"/>
        <v>59.525828723581981</v>
      </c>
      <c r="O19" s="18">
        <f t="shared" si="0"/>
        <v>23966.889569768944</v>
      </c>
      <c r="P19" s="19">
        <f t="shared" si="0"/>
        <v>63.448548521259269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3.3743414093409402E-7</v>
      </c>
      <c r="F20" s="172">
        <v>131138.49868076801</v>
      </c>
      <c r="G20" s="172">
        <v>485.22545621839299</v>
      </c>
      <c r="H20" s="172">
        <v>2014587.2761359001</v>
      </c>
      <c r="I20" s="172">
        <v>4383.3875101268704</v>
      </c>
      <c r="J20" s="172">
        <v>1022925.79123114</v>
      </c>
      <c r="K20" s="166"/>
      <c r="L20" s="166" t="s">
        <v>179</v>
      </c>
      <c r="M20" s="113">
        <f t="shared" si="1"/>
        <v>19066.758191863017</v>
      </c>
      <c r="N20" s="113">
        <f t="shared" si="2"/>
        <v>45.911578527331017</v>
      </c>
      <c r="O20" s="18">
        <f t="shared" ref="O20:O25" si="3">+M20*$O$55</f>
        <v>20323.247205801199</v>
      </c>
      <c r="P20" s="19">
        <f t="shared" ref="P20:P25" si="4">+N20*$O$55</f>
        <v>48.937126627939456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3.14430553759424E-7</v>
      </c>
      <c r="F21" s="172">
        <v>147588.899020971</v>
      </c>
      <c r="G21" s="172">
        <v>526.98187732420502</v>
      </c>
      <c r="H21" s="172">
        <v>2267822.64433236</v>
      </c>
      <c r="I21" s="172">
        <v>5931.6006391745204</v>
      </c>
      <c r="J21" s="172">
        <v>1469045.2790735101</v>
      </c>
      <c r="K21" s="166"/>
      <c r="L21" s="166" t="s">
        <v>39</v>
      </c>
      <c r="M21" s="113">
        <f t="shared" si="1"/>
        <v>16450.400340202992</v>
      </c>
      <c r="N21" s="113">
        <f t="shared" si="2"/>
        <v>41.756421105812024</v>
      </c>
      <c r="O21" s="18">
        <f t="shared" si="3"/>
        <v>17534.472792077431</v>
      </c>
      <c r="P21" s="19">
        <f t="shared" si="4"/>
        <v>44.508146588081999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3.6338548667766099E-7</v>
      </c>
      <c r="F22" s="172">
        <v>162352.567273961</v>
      </c>
      <c r="G22" s="172">
        <v>573.11296435422298</v>
      </c>
      <c r="H22" s="172">
        <v>2494950.10449991</v>
      </c>
      <c r="I22" s="172">
        <v>7568.1277754673101</v>
      </c>
      <c r="J22" s="172">
        <v>1966364.09654952</v>
      </c>
      <c r="K22" s="166"/>
      <c r="L22" s="166" t="s">
        <v>26</v>
      </c>
      <c r="M22" s="113">
        <f t="shared" si="1"/>
        <v>14763.668252989999</v>
      </c>
      <c r="N22" s="113">
        <f t="shared" si="2"/>
        <v>46.131087030017966</v>
      </c>
      <c r="O22" s="18">
        <f t="shared" si="3"/>
        <v>15736.585976005255</v>
      </c>
      <c r="P22" s="19">
        <f t="shared" si="4"/>
        <v>49.171100621787346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3.6540292097732899E-7</v>
      </c>
      <c r="F23" s="172">
        <v>175079.036924908</v>
      </c>
      <c r="G23" s="172">
        <v>620.161796609514</v>
      </c>
      <c r="H23" s="172">
        <v>2690575.4573788601</v>
      </c>
      <c r="I23" s="172">
        <v>9297.4357379693993</v>
      </c>
      <c r="J23" s="172">
        <v>2508262.4815130299</v>
      </c>
      <c r="K23" s="166"/>
      <c r="L23" s="166" t="s">
        <v>25</v>
      </c>
      <c r="M23" s="113">
        <f t="shared" si="1"/>
        <v>12726.469650946994</v>
      </c>
      <c r="N23" s="113">
        <f t="shared" si="2"/>
        <v>47.048832255291018</v>
      </c>
      <c r="O23" s="18">
        <f t="shared" si="3"/>
        <v>13565.137092035999</v>
      </c>
      <c r="P23" s="19">
        <f t="shared" si="4"/>
        <v>50.149324759183067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3.6996038845682402E-7</v>
      </c>
      <c r="F24" s="172">
        <v>184941.123915423</v>
      </c>
      <c r="G24" s="172">
        <v>669.56334182194598</v>
      </c>
      <c r="H24" s="172">
        <v>2841881.1453873198</v>
      </c>
      <c r="I24" s="172">
        <v>11138.376720885701</v>
      </c>
      <c r="J24" s="172">
        <v>3088644.38206182</v>
      </c>
      <c r="K24" s="166"/>
      <c r="L24" s="166" t="s">
        <v>24</v>
      </c>
      <c r="M24" s="113">
        <f t="shared" si="1"/>
        <v>9862.086990515003</v>
      </c>
      <c r="N24" s="113">
        <f t="shared" si="2"/>
        <v>49.401545212431984</v>
      </c>
      <c r="O24" s="18">
        <f t="shared" si="3"/>
        <v>10511.993169289171</v>
      </c>
      <c r="P24" s="19">
        <f t="shared" si="4"/>
        <v>52.657080222965732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3.6551632640911799E-7</v>
      </c>
      <c r="F25" s="172">
        <v>190476.578192235</v>
      </c>
      <c r="G25" s="172">
        <v>702.52119912839203</v>
      </c>
      <c r="H25" s="172">
        <v>2926838.81734971</v>
      </c>
      <c r="I25" s="172">
        <v>13114.0556355852</v>
      </c>
      <c r="J25" s="172">
        <v>3700350.9597911802</v>
      </c>
      <c r="K25" s="166"/>
      <c r="L25" s="166" t="s">
        <v>22</v>
      </c>
      <c r="M25" s="113">
        <f t="shared" si="1"/>
        <v>5535.4542768120009</v>
      </c>
      <c r="N25" s="113">
        <f t="shared" si="2"/>
        <v>32.957857306446044</v>
      </c>
      <c r="O25" s="30">
        <f t="shared" si="3"/>
        <v>5900.2377085827802</v>
      </c>
      <c r="P25" s="24">
        <f t="shared" si="4"/>
        <v>35.12976221087623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8" t="s">
        <v>61</v>
      </c>
      <c r="M31" s="198"/>
      <c r="N31" s="198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8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8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1.42814773845502E-10</v>
      </c>
      <c r="F34" s="172">
        <v>56.721320187542403</v>
      </c>
      <c r="G34" s="172">
        <v>943.78611611450901</v>
      </c>
      <c r="H34" s="172">
        <v>19827.516760638598</v>
      </c>
      <c r="I34" s="172">
        <v>2.51674389656806E-9</v>
      </c>
      <c r="J34" s="172">
        <v>3.1367353054451499E-9</v>
      </c>
      <c r="L34" s="113" t="s">
        <v>189</v>
      </c>
      <c r="M34" s="13">
        <f>+F34</f>
        <v>56.721320187542403</v>
      </c>
      <c r="N34" s="13">
        <f>+G34</f>
        <v>943.78611611450901</v>
      </c>
      <c r="O34" s="18">
        <f>+M34*$O$56</f>
        <v>64.307922194141298</v>
      </c>
      <c r="P34" s="19">
        <f>+N34*$O$56</f>
        <v>1070.0195961999582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1.11612018012237E-7</v>
      </c>
      <c r="F35" s="172">
        <v>143.677509237767</v>
      </c>
      <c r="G35" s="172">
        <v>28571.9502402131</v>
      </c>
      <c r="H35" s="172">
        <v>307133.39660083503</v>
      </c>
      <c r="I35" s="172">
        <v>2831.35834971245</v>
      </c>
      <c r="J35" s="172">
        <v>170.16396022952901</v>
      </c>
      <c r="L35" s="113" t="s">
        <v>187</v>
      </c>
      <c r="M35" s="13">
        <f>+F35-F34</f>
        <v>86.956189050224594</v>
      </c>
      <c r="N35" s="13">
        <f>+G35-G34</f>
        <v>27628.164124098592</v>
      </c>
      <c r="O35" s="18">
        <f t="shared" ref="O35:P44" si="5">+M35*$O$56</f>
        <v>98.586771627523561</v>
      </c>
      <c r="P35" s="19">
        <f t="shared" si="5"/>
        <v>31323.492171638729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1.3489525952374901E-7</v>
      </c>
      <c r="F36" s="172">
        <v>272.96142269327299</v>
      </c>
      <c r="G36" s="172">
        <v>58945.937510397001</v>
      </c>
      <c r="H36" s="172">
        <v>626634.00238115597</v>
      </c>
      <c r="I36" s="172">
        <v>102839.614380888</v>
      </c>
      <c r="J36" s="172">
        <v>504.27772224464297</v>
      </c>
      <c r="L36" s="113" t="s">
        <v>185</v>
      </c>
      <c r="M36" s="13">
        <f t="shared" ref="M36:M44" si="6">+F36-F35</f>
        <v>129.283913455506</v>
      </c>
      <c r="N36" s="13">
        <f t="shared" ref="N36:N44" si="7">+G36-G35</f>
        <v>30373.987270183901</v>
      </c>
      <c r="O36" s="18">
        <f t="shared" si="5"/>
        <v>146.57592277403941</v>
      </c>
      <c r="P36" s="19">
        <f t="shared" si="5"/>
        <v>34436.575235528835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1.92631799024935E-7</v>
      </c>
      <c r="F37" s="172">
        <v>360.68067471904197</v>
      </c>
      <c r="G37" s="172">
        <v>84187.936588177501</v>
      </c>
      <c r="H37" s="172">
        <v>894188.36091642501</v>
      </c>
      <c r="I37" s="172">
        <v>308182.58563238999</v>
      </c>
      <c r="J37" s="172">
        <v>1367.1772277468599</v>
      </c>
      <c r="L37" s="113" t="s">
        <v>183</v>
      </c>
      <c r="M37" s="13">
        <f t="shared" si="6"/>
        <v>87.719252025768981</v>
      </c>
      <c r="N37" s="13">
        <f t="shared" si="7"/>
        <v>25241.9990777805</v>
      </c>
      <c r="O37" s="18">
        <f t="shared" si="5"/>
        <v>99.451895963457403</v>
      </c>
      <c r="P37" s="19">
        <f t="shared" si="5"/>
        <v>28618.172273694865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1.6604670833169501E-7</v>
      </c>
      <c r="F38" s="172">
        <v>426.585447168754</v>
      </c>
      <c r="G38" s="172">
        <v>105291.046038555</v>
      </c>
      <c r="H38" s="172">
        <v>1119156.5804586599</v>
      </c>
      <c r="I38" s="172">
        <v>599262.665163973</v>
      </c>
      <c r="J38" s="172">
        <v>2569.19760033381</v>
      </c>
      <c r="L38" s="113" t="s">
        <v>181</v>
      </c>
      <c r="M38" s="13">
        <f t="shared" si="6"/>
        <v>65.904772449712027</v>
      </c>
      <c r="N38" s="13">
        <f t="shared" si="7"/>
        <v>21103.109450377495</v>
      </c>
      <c r="O38" s="18">
        <f t="shared" si="5"/>
        <v>74.719681504336634</v>
      </c>
      <c r="P38" s="19">
        <f t="shared" si="5"/>
        <v>23925.697006033028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1.9098332872250199E-7</v>
      </c>
      <c r="F39" s="172">
        <v>479.18896484795602</v>
      </c>
      <c r="G39" s="172">
        <v>123187.653933635</v>
      </c>
      <c r="H39" s="172">
        <v>1310714.4407675699</v>
      </c>
      <c r="I39" s="172">
        <v>960148.79443978798</v>
      </c>
      <c r="J39" s="172">
        <v>3964.2658828282101</v>
      </c>
      <c r="L39" s="113" t="s">
        <v>179</v>
      </c>
      <c r="M39" s="113">
        <f t="shared" si="6"/>
        <v>52.603517679202014</v>
      </c>
      <c r="N39" s="113">
        <f t="shared" si="7"/>
        <v>17896.60789508</v>
      </c>
      <c r="O39" s="18">
        <f t="shared" si="5"/>
        <v>59.639354494348012</v>
      </c>
      <c r="P39" s="19">
        <f t="shared" si="5"/>
        <v>20290.318776970715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1.5227317756511199E-7</v>
      </c>
      <c r="F40" s="172">
        <v>525.86399088159396</v>
      </c>
      <c r="G40" s="172">
        <v>138643.13567833099</v>
      </c>
      <c r="H40" s="172">
        <v>1476322.7522757901</v>
      </c>
      <c r="I40" s="172">
        <v>1378449.9088882301</v>
      </c>
      <c r="J40" s="172">
        <v>5486.3983234151901</v>
      </c>
      <c r="L40" s="13" t="s">
        <v>39</v>
      </c>
      <c r="M40" s="113">
        <f t="shared" si="6"/>
        <v>46.675026033637948</v>
      </c>
      <c r="N40" s="113">
        <f t="shared" si="7"/>
        <v>15455.481744695993</v>
      </c>
      <c r="O40" s="18">
        <f t="shared" si="5"/>
        <v>52.917913981133658</v>
      </c>
      <c r="P40" s="19">
        <f t="shared" si="5"/>
        <v>17522.686605753082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1.9064717521158801E-7</v>
      </c>
      <c r="F41" s="172">
        <v>574.94902912165298</v>
      </c>
      <c r="G41" s="172">
        <v>152559.61262065</v>
      </c>
      <c r="H41" s="172">
        <v>1624710.8744149499</v>
      </c>
      <c r="I41" s="172">
        <v>1844723.47426291</v>
      </c>
      <c r="J41" s="172">
        <v>7121.4199576893197</v>
      </c>
      <c r="L41" s="13" t="s">
        <v>26</v>
      </c>
      <c r="M41" s="113">
        <f t="shared" si="6"/>
        <v>49.085038240059021</v>
      </c>
      <c r="N41" s="113">
        <f t="shared" si="7"/>
        <v>13916.476942319016</v>
      </c>
      <c r="O41" s="18">
        <f t="shared" si="5"/>
        <v>55.650270649579042</v>
      </c>
      <c r="P41" s="19">
        <f t="shared" si="5"/>
        <v>15777.836507757565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1.5736531210645701E-7</v>
      </c>
      <c r="F42" s="172">
        <v>622.58594509616205</v>
      </c>
      <c r="G42" s="172">
        <v>164586.809605227</v>
      </c>
      <c r="H42" s="172">
        <v>1752341.6428965901</v>
      </c>
      <c r="I42" s="172">
        <v>2352883.0567827001</v>
      </c>
      <c r="J42" s="172">
        <v>8869.0559203436205</v>
      </c>
      <c r="L42" s="13" t="s">
        <v>25</v>
      </c>
      <c r="M42" s="113">
        <f t="shared" si="6"/>
        <v>47.636915974509066</v>
      </c>
      <c r="N42" s="113">
        <f t="shared" si="7"/>
        <v>12027.196984576993</v>
      </c>
      <c r="O42" s="18">
        <f t="shared" si="5"/>
        <v>54.008458828685576</v>
      </c>
      <c r="P42" s="19">
        <f t="shared" si="5"/>
        <v>13635.861177780876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1.6897184081361201E-7</v>
      </c>
      <c r="F43" s="172">
        <v>669.792709217837</v>
      </c>
      <c r="G43" s="172">
        <v>173898.62463690099</v>
      </c>
      <c r="H43" s="172">
        <v>1850795.7636375399</v>
      </c>
      <c r="I43" s="172">
        <v>2897366.4795855498</v>
      </c>
      <c r="J43" s="172">
        <v>10738.68395345</v>
      </c>
      <c r="L43" s="13" t="s">
        <v>24</v>
      </c>
      <c r="M43" s="113">
        <f t="shared" si="6"/>
        <v>47.206764121674951</v>
      </c>
      <c r="N43" s="113">
        <f t="shared" si="7"/>
        <v>9311.8150316739921</v>
      </c>
      <c r="O43" s="18">
        <f t="shared" si="5"/>
        <v>53.520773214312349</v>
      </c>
      <c r="P43" s="19">
        <f t="shared" si="5"/>
        <v>10557.290883977785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1.71894570237303E-7</v>
      </c>
      <c r="F44" s="172">
        <v>702.60760277165605</v>
      </c>
      <c r="G44" s="172">
        <v>179076.94402234899</v>
      </c>
      <c r="H44" s="172">
        <v>1906089.0085199899</v>
      </c>
      <c r="I44" s="172">
        <v>3471470.7477718401</v>
      </c>
      <c r="J44" s="172">
        <v>12740.209426089399</v>
      </c>
      <c r="L44" s="13" t="s">
        <v>22</v>
      </c>
      <c r="M44" s="113">
        <f t="shared" si="6"/>
        <v>32.814893553819047</v>
      </c>
      <c r="N44" s="113">
        <f t="shared" si="7"/>
        <v>5178.3193854480051</v>
      </c>
      <c r="O44" s="30">
        <f t="shared" si="5"/>
        <v>37.203958132333739</v>
      </c>
      <c r="P44" s="24">
        <f t="shared" si="5"/>
        <v>5870.9310544034479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2" t="s">
        <v>57</v>
      </c>
      <c r="M49" s="203"/>
      <c r="N49" s="203"/>
      <c r="O49" s="203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192609.21368580661</v>
      </c>
      <c r="O51" s="14" t="str">
        <f>+K10</f>
        <v>USAR TA</v>
      </c>
      <c r="P51" s="107">
        <f>+IF(O51="USAR TA",(I10),N51)</f>
        <v>203028.8812897389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186781.3230323079</v>
      </c>
      <c r="O52" s="14" t="str">
        <f>+K11</f>
        <v>USAR TA</v>
      </c>
      <c r="P52" s="107">
        <f>+IF(O52="USAR TB",(N52),I11)</f>
        <v>203028.8812897389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190476.578192235</v>
      </c>
      <c r="N55" s="16" t="str">
        <f>+IF(M55&lt;P51,"ESCALAR",N51)</f>
        <v>ESCALAR</v>
      </c>
      <c r="O55" s="14">
        <f>+IF(N55="ESCALAR",(P51/M55))</f>
        <v>1.0658994571229421</v>
      </c>
      <c r="P55" s="19">
        <f>+M55*O55</f>
        <v>203028.88128973893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179076.94402234899</v>
      </c>
      <c r="N56" s="112" t="str">
        <f>+IF(M56&lt;P52,"ESCALAR",M56)</f>
        <v>ESCALAR</v>
      </c>
      <c r="O56" s="23">
        <f>+IF(N56="ESCALAR",(P52/M56))</f>
        <v>1.133752211364522</v>
      </c>
      <c r="P56" s="24">
        <f>+M56*O56</f>
        <v>203028.8812897389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1.5282258085895899</v>
      </c>
      <c r="E62" s="172">
        <v>7.5794305767202503E-7</v>
      </c>
      <c r="F62" s="172">
        <v>0.79154003057970701</v>
      </c>
      <c r="G62" s="172">
        <v>0</v>
      </c>
      <c r="H62" s="172">
        <v>7.5794305767202503E-7</v>
      </c>
      <c r="I62" s="172">
        <v>0.79154003057970701</v>
      </c>
      <c r="J62" s="172">
        <v>0</v>
      </c>
      <c r="K62" s="172">
        <v>0.18983721706989101</v>
      </c>
      <c r="L62" s="172">
        <v>1.5590001081814999E-7</v>
      </c>
      <c r="M62" s="172">
        <v>2.1170066234802099E-2</v>
      </c>
      <c r="N62" s="172">
        <v>0.18983721706989101</v>
      </c>
      <c r="O62" s="172">
        <v>1.5590001081814999E-7</v>
      </c>
      <c r="P62" s="172">
        <v>2.1170066234802099E-2</v>
      </c>
    </row>
    <row r="63" spans="2:16" x14ac:dyDescent="0.3">
      <c r="B63" s="172" t="s">
        <v>238</v>
      </c>
      <c r="C63" s="172">
        <v>2</v>
      </c>
      <c r="D63" s="172">
        <v>1.45939251111271</v>
      </c>
      <c r="E63" s="172">
        <v>0.81095320211382604</v>
      </c>
      <c r="F63" s="172">
        <v>2.96838168571048E-6</v>
      </c>
      <c r="G63" s="172">
        <v>0</v>
      </c>
      <c r="H63" s="172">
        <v>0.81095396005688403</v>
      </c>
      <c r="I63" s="172">
        <v>0.79154299896139202</v>
      </c>
      <c r="J63" s="172">
        <v>0</v>
      </c>
      <c r="K63" s="172">
        <v>9.56595803563592E-7</v>
      </c>
      <c r="L63" s="172">
        <v>0.19799430535586099</v>
      </c>
      <c r="M63" s="172">
        <v>2.6419626253552399E-4</v>
      </c>
      <c r="N63" s="172">
        <v>0.189838173665695</v>
      </c>
      <c r="O63" s="172">
        <v>0.197994461255872</v>
      </c>
      <c r="P63" s="172">
        <v>2.1434262497337601E-2</v>
      </c>
    </row>
    <row r="64" spans="2:16" x14ac:dyDescent="0.3">
      <c r="B64" s="172" t="s">
        <v>238</v>
      </c>
      <c r="C64" s="172">
        <v>3</v>
      </c>
      <c r="D64" s="172">
        <v>1.2867326080441901</v>
      </c>
      <c r="E64" s="172">
        <v>2.6378109392071202E-4</v>
      </c>
      <c r="F64" s="172">
        <v>2.1629891578497599E-2</v>
      </c>
      <c r="G64" s="172">
        <v>0</v>
      </c>
      <c r="H64" s="172">
        <v>0.81121774115080403</v>
      </c>
      <c r="I64" s="172">
        <v>0.81317289053988995</v>
      </c>
      <c r="J64" s="172">
        <v>0</v>
      </c>
      <c r="K64" s="172">
        <v>5.4255204218102296E-3</v>
      </c>
      <c r="L64" s="172">
        <v>5.4188091880653398E-5</v>
      </c>
      <c r="M64" s="172">
        <v>0.78956174356357101</v>
      </c>
      <c r="N64" s="172">
        <v>0.19526369408750499</v>
      </c>
      <c r="O64" s="172">
        <v>0.19804864934775299</v>
      </c>
      <c r="P64" s="172">
        <v>0.81099600606090805</v>
      </c>
    </row>
    <row r="65" spans="2:16" x14ac:dyDescent="0.3">
      <c r="B65" s="172" t="s">
        <v>238</v>
      </c>
      <c r="C65" s="172">
        <v>4</v>
      </c>
      <c r="D65" s="172">
        <v>0.50940813235874305</v>
      </c>
      <c r="E65" s="172">
        <v>1.47979914332388E-6</v>
      </c>
      <c r="F65" s="172">
        <v>0.10297976316298001</v>
      </c>
      <c r="G65" s="172">
        <v>0</v>
      </c>
      <c r="H65" s="172">
        <v>0.81121922094994803</v>
      </c>
      <c r="I65" s="172">
        <v>0.91615265370287002</v>
      </c>
      <c r="J65" s="172">
        <v>0</v>
      </c>
      <c r="K65" s="172">
        <v>0.55387413435754196</v>
      </c>
      <c r="L65" s="172">
        <v>9.2640697813108699E-6</v>
      </c>
      <c r="M65" s="172">
        <v>4.8172801558815804E-3</v>
      </c>
      <c r="N65" s="172">
        <v>0.74913782844504695</v>
      </c>
      <c r="O65" s="172">
        <v>0.19805791341753401</v>
      </c>
      <c r="P65" s="172">
        <v>0.81581328621678995</v>
      </c>
    </row>
    <row r="66" spans="2:16" x14ac:dyDescent="0.3">
      <c r="B66" s="172" t="s">
        <v>238</v>
      </c>
      <c r="C66" s="172">
        <v>5</v>
      </c>
      <c r="D66" s="172">
        <v>0.48426097711459698</v>
      </c>
      <c r="E66" s="172">
        <v>0.111785421043607</v>
      </c>
      <c r="F66" s="172">
        <v>9.4766136049236503E-6</v>
      </c>
      <c r="G66" s="172">
        <v>0</v>
      </c>
      <c r="H66" s="172">
        <v>0.92300464199355503</v>
      </c>
      <c r="I66" s="172">
        <v>0.91616213031647498</v>
      </c>
      <c r="J66" s="172">
        <v>0</v>
      </c>
      <c r="K66" s="172">
        <v>5.1208059040030997E-5</v>
      </c>
      <c r="L66" s="172">
        <v>0.57970322991155498</v>
      </c>
      <c r="M66" s="172">
        <v>8.2889941516829695E-5</v>
      </c>
      <c r="N66" s="172">
        <v>0.74918903650408697</v>
      </c>
      <c r="O66" s="172">
        <v>0.77776114332908897</v>
      </c>
      <c r="P66" s="172">
        <v>0.81589617615830701</v>
      </c>
    </row>
    <row r="67" spans="2:16" x14ac:dyDescent="0.3">
      <c r="B67" s="172" t="s">
        <v>238</v>
      </c>
      <c r="C67" s="172">
        <v>6</v>
      </c>
      <c r="D67" s="172">
        <v>0.441515459990663</v>
      </c>
      <c r="E67" s="172">
        <v>9.1685287156961201E-5</v>
      </c>
      <c r="F67" s="172">
        <v>4.2521380578972104E-3</v>
      </c>
      <c r="G67" s="172">
        <v>0</v>
      </c>
      <c r="H67" s="172">
        <v>0.923096327280712</v>
      </c>
      <c r="I67" s="172">
        <v>0.92041426837437201</v>
      </c>
      <c r="J67" s="172">
        <v>0</v>
      </c>
      <c r="K67" s="172">
        <v>2.4304055698624798E-2</v>
      </c>
      <c r="L67" s="172">
        <v>4.6004070609300898E-4</v>
      </c>
      <c r="M67" s="172">
        <v>0.109730242643266</v>
      </c>
      <c r="N67" s="172">
        <v>0.77349309220271101</v>
      </c>
      <c r="O67" s="172">
        <v>0.77822118403518203</v>
      </c>
      <c r="P67" s="172">
        <v>0.92562641880157304</v>
      </c>
    </row>
    <row r="68" spans="2:16" x14ac:dyDescent="0.3">
      <c r="B68" s="172" t="s">
        <v>238</v>
      </c>
      <c r="C68" s="172">
        <v>7</v>
      </c>
      <c r="D68" s="172">
        <v>0.288590920711145</v>
      </c>
      <c r="E68" s="172">
        <v>9.5073837949560104E-7</v>
      </c>
      <c r="F68" s="172">
        <v>3.4411850261130798E-2</v>
      </c>
      <c r="G68" s="172">
        <v>0</v>
      </c>
      <c r="H68" s="172">
        <v>0.92309727801909103</v>
      </c>
      <c r="I68" s="172">
        <v>0.95482611863550304</v>
      </c>
      <c r="J68" s="172">
        <v>0</v>
      </c>
      <c r="K68" s="172">
        <v>6.5586197553574296E-2</v>
      </c>
      <c r="L68" s="172">
        <v>1.8372591690122199E-6</v>
      </c>
      <c r="M68" s="172">
        <v>1.37283526772316E-3</v>
      </c>
      <c r="N68" s="172">
        <v>0.83907928975628598</v>
      </c>
      <c r="O68" s="172">
        <v>0.77822302129435095</v>
      </c>
      <c r="P68" s="172">
        <v>0.92699925406929595</v>
      </c>
    </row>
    <row r="69" spans="2:16" x14ac:dyDescent="0.3">
      <c r="B69" s="172" t="s">
        <v>238</v>
      </c>
      <c r="C69" s="172">
        <v>8</v>
      </c>
      <c r="D69" s="172">
        <v>0.27344564917880698</v>
      </c>
      <c r="E69" s="172">
        <v>3.5297027905983797E-2</v>
      </c>
      <c r="F69" s="172">
        <v>6.0527652738071602E-6</v>
      </c>
      <c r="G69" s="172">
        <v>0</v>
      </c>
      <c r="H69" s="172">
        <v>0.95839430592507502</v>
      </c>
      <c r="I69" s="172">
        <v>0.95483217140077703</v>
      </c>
      <c r="J69" s="172">
        <v>0</v>
      </c>
      <c r="K69" s="172">
        <v>1.15758166442678E-5</v>
      </c>
      <c r="L69" s="172">
        <v>7.0412674920107596E-2</v>
      </c>
      <c r="M69" s="172">
        <v>4.3044304065622998E-5</v>
      </c>
      <c r="N69" s="172">
        <v>0.83909086557293</v>
      </c>
      <c r="O69" s="172">
        <v>0.848635696214459</v>
      </c>
      <c r="P69" s="172">
        <v>0.92704229837336205</v>
      </c>
    </row>
    <row r="70" spans="2:16" x14ac:dyDescent="0.3">
      <c r="B70" s="172" t="s">
        <v>238</v>
      </c>
      <c r="C70" s="172">
        <v>9</v>
      </c>
      <c r="D70" s="172">
        <v>0.252078584155777</v>
      </c>
      <c r="E70" s="172">
        <v>4.9016119174709699E-5</v>
      </c>
      <c r="F70" s="172">
        <v>1.3096896799334101E-3</v>
      </c>
      <c r="G70" s="172">
        <v>0</v>
      </c>
      <c r="H70" s="172">
        <v>0.95844332204424998</v>
      </c>
      <c r="I70" s="172">
        <v>0.95614186108070998</v>
      </c>
      <c r="J70" s="172">
        <v>0</v>
      </c>
      <c r="K70" s="172">
        <v>2.5172558670520698E-3</v>
      </c>
      <c r="L70" s="172">
        <v>1.03807759420138E-4</v>
      </c>
      <c r="M70" s="172">
        <v>3.2655711890168797E-2</v>
      </c>
      <c r="N70" s="172">
        <v>0.84160812143998198</v>
      </c>
      <c r="O70" s="172">
        <v>0.84873950397387898</v>
      </c>
      <c r="P70" s="172">
        <v>0.95969801026352997</v>
      </c>
    </row>
    <row r="71" spans="2:16" x14ac:dyDescent="0.3">
      <c r="B71" s="172" t="s">
        <v>238</v>
      </c>
      <c r="C71" s="172">
        <v>10</v>
      </c>
      <c r="D71" s="172">
        <v>0.19514759634939299</v>
      </c>
      <c r="E71" s="172">
        <v>1.3970188094950999E-6</v>
      </c>
      <c r="F71" s="172">
        <v>1.8916830710676999E-2</v>
      </c>
      <c r="G71" s="172">
        <v>0</v>
      </c>
      <c r="H71" s="172">
        <v>0.95844471906305895</v>
      </c>
      <c r="I71" s="172">
        <v>0.97505869179138704</v>
      </c>
      <c r="J71" s="172">
        <v>0</v>
      </c>
      <c r="K71" s="172">
        <v>8.1338067038402101E-2</v>
      </c>
      <c r="L71" s="172">
        <v>6.2917974565364096E-6</v>
      </c>
      <c r="M71" s="172">
        <v>6.7160020523131497E-4</v>
      </c>
      <c r="N71" s="172">
        <v>0.92294618847838406</v>
      </c>
      <c r="O71" s="172">
        <v>0.84874579577133502</v>
      </c>
      <c r="P71" s="172">
        <v>0.96036961046876201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1174.5544591200801</v>
      </c>
      <c r="E6" s="172">
        <v>9.4716481970608503E-4</v>
      </c>
      <c r="F6" s="172">
        <v>1240073.99206884</v>
      </c>
      <c r="G6" s="172">
        <v>63.310543375312598</v>
      </c>
      <c r="H6" s="172">
        <v>4.50643649102005E-5</v>
      </c>
      <c r="I6" s="172">
        <v>0</v>
      </c>
    </row>
    <row r="7" spans="2:9" hidden="1" x14ac:dyDescent="0.3">
      <c r="B7" s="172" t="s">
        <v>187</v>
      </c>
      <c r="C7" s="172" t="s">
        <v>79</v>
      </c>
      <c r="D7" s="172">
        <v>32291.5365821251</v>
      </c>
      <c r="E7" s="172">
        <v>1.2175851451723401E-3</v>
      </c>
      <c r="F7" s="172">
        <v>26520967.925864901</v>
      </c>
      <c r="G7" s="172">
        <v>183.91013610298199</v>
      </c>
      <c r="H7" s="172">
        <v>5.8744387873644402E-5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66793.862672659496</v>
      </c>
      <c r="E8" s="172">
        <v>1.7925046148117799E-3</v>
      </c>
      <c r="F8" s="172">
        <v>37262867.900439501</v>
      </c>
      <c r="G8" s="172">
        <v>316.35592380620898</v>
      </c>
      <c r="H8" s="172">
        <v>1.00343373371568E-4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95490.317788806802</v>
      </c>
      <c r="E9" s="172">
        <v>2.2966241742134802E-3</v>
      </c>
      <c r="F9" s="172">
        <v>41578556.413788997</v>
      </c>
      <c r="G9" s="172">
        <v>404.81587540087099</v>
      </c>
      <c r="H9" s="172">
        <v>1.3960699185207201E-4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119457.20735502501</v>
      </c>
      <c r="E10" s="172">
        <v>2.7626859902913402E-3</v>
      </c>
      <c r="F10" s="172">
        <v>43239516.823418401</v>
      </c>
      <c r="G10" s="172">
        <v>468.26442531022502</v>
      </c>
      <c r="H10" s="172">
        <v>1.72409078378285E-4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139780.454560154</v>
      </c>
      <c r="E11" s="172">
        <v>3.1376232242299302E-3</v>
      </c>
      <c r="F11" s="172">
        <v>44549789.624425396</v>
      </c>
      <c r="G11" s="172">
        <v>517.20154984946498</v>
      </c>
      <c r="H11" s="172">
        <v>1.96804799292323E-4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157314.92734860399</v>
      </c>
      <c r="E12" s="172">
        <v>3.31617802070847E-3</v>
      </c>
      <c r="F12" s="172">
        <v>47438625.540071398</v>
      </c>
      <c r="G12" s="172">
        <v>561.709694599405</v>
      </c>
      <c r="H12" s="172">
        <v>1.9894022128737901E-4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173051.513329421</v>
      </c>
      <c r="E13" s="172">
        <v>3.4223479128274699E-3</v>
      </c>
      <c r="F13" s="172">
        <v>50565143.503031299</v>
      </c>
      <c r="G13" s="172">
        <v>610.88079554026899</v>
      </c>
      <c r="H13" s="172">
        <v>1.9636155206536601E-4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186616.650417381</v>
      </c>
      <c r="E14" s="172">
        <v>3.5687527697239401E-3</v>
      </c>
      <c r="F14" s="172">
        <v>52291840.443689898</v>
      </c>
      <c r="G14" s="172">
        <v>661.03011918702396</v>
      </c>
      <c r="H14" s="172">
        <v>2.06811341679235E-4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197128.64358593899</v>
      </c>
      <c r="E15" s="172">
        <v>3.5790119846081298E-3</v>
      </c>
      <c r="F15" s="172">
        <v>55079067.752136298</v>
      </c>
      <c r="G15" s="172">
        <v>713.68719962299701</v>
      </c>
      <c r="H15" s="172">
        <v>2.12096154525808E-4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203028.881295467</v>
      </c>
      <c r="E16" s="172">
        <v>2.9850552807994201E-3</v>
      </c>
      <c r="F16" s="172">
        <v>68015116.035336494</v>
      </c>
      <c r="G16" s="172">
        <v>748.81696155225904</v>
      </c>
      <c r="H16" s="172">
        <v>1.8702981013852499E-4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1174.55445912235</v>
      </c>
      <c r="E17" s="172">
        <v>9.4324608053802602E-4</v>
      </c>
      <c r="F17" s="172">
        <v>1245225.9101382999</v>
      </c>
      <c r="G17" s="172">
        <v>63.310543350234497</v>
      </c>
      <c r="H17" s="172">
        <v>4.4243403864108798E-5</v>
      </c>
      <c r="I17" s="172">
        <v>0</v>
      </c>
    </row>
    <row r="18" spans="2:9" hidden="1" x14ac:dyDescent="0.3">
      <c r="B18" s="172" t="s">
        <v>187</v>
      </c>
      <c r="C18" s="172" t="s">
        <v>80</v>
      </c>
      <c r="D18" s="172">
        <v>32291.5365824404</v>
      </c>
      <c r="E18" s="172">
        <v>1.2250423902379899E-3</v>
      </c>
      <c r="F18" s="172">
        <v>26359525.874175701</v>
      </c>
      <c r="G18" s="172">
        <v>183.91013461065199</v>
      </c>
      <c r="H18" s="172">
        <v>8.6050285848608297E-5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66793.862673091295</v>
      </c>
      <c r="E19" s="172">
        <v>1.8032954591722301E-3</v>
      </c>
      <c r="F19" s="172">
        <v>37039888.462732397</v>
      </c>
      <c r="G19" s="172">
        <v>316.355923696925</v>
      </c>
      <c r="H19" s="172">
        <v>1.2520469710308399E-4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95490.317789843393</v>
      </c>
      <c r="E20" s="172">
        <v>2.3081753409988299E-3</v>
      </c>
      <c r="F20" s="172">
        <v>41370478.270737097</v>
      </c>
      <c r="G20" s="172">
        <v>404.81587222309201</v>
      </c>
      <c r="H20" s="172">
        <v>1.6114016195719E-4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119457.20735608099</v>
      </c>
      <c r="E21" s="172">
        <v>2.7653497523323599E-3</v>
      </c>
      <c r="F21" s="172">
        <v>43197865.751096502</v>
      </c>
      <c r="G21" s="172">
        <v>468.26441837645302</v>
      </c>
      <c r="H21" s="172">
        <v>1.9297198406121601E-4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139780.454561358</v>
      </c>
      <c r="E22" s="172">
        <v>3.1409152391703101E-3</v>
      </c>
      <c r="F22" s="172">
        <v>44503096.682825901</v>
      </c>
      <c r="G22" s="172">
        <v>517.20154692388701</v>
      </c>
      <c r="H22" s="172">
        <v>2.20518286890482E-4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157314.927349921</v>
      </c>
      <c r="E23" s="172">
        <v>3.31949018301069E-3</v>
      </c>
      <c r="F23" s="172">
        <v>47391291.637211703</v>
      </c>
      <c r="G23" s="172">
        <v>561.70969529116496</v>
      </c>
      <c r="H23" s="172">
        <v>2.2203431874713599E-4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173051.513330521</v>
      </c>
      <c r="E24" s="172">
        <v>3.4255760506761699E-3</v>
      </c>
      <c r="F24" s="172">
        <v>50517492.757564798</v>
      </c>
      <c r="G24" s="172">
        <v>610.88079503576796</v>
      </c>
      <c r="H24" s="172">
        <v>2.1827478643974901E-4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186616.650418406</v>
      </c>
      <c r="E25" s="172">
        <v>3.57220765574722E-3</v>
      </c>
      <c r="F25" s="172">
        <v>52241266.018833801</v>
      </c>
      <c r="G25" s="172">
        <v>661.03012081790803</v>
      </c>
      <c r="H25" s="172">
        <v>2.2992724479531601E-4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197128.643586925</v>
      </c>
      <c r="E26" s="172">
        <v>3.582706400881E-3</v>
      </c>
      <c r="F26" s="172">
        <v>55022271.302624904</v>
      </c>
      <c r="G26" s="172">
        <v>713.68720057078201</v>
      </c>
      <c r="H26" s="172">
        <v>2.3668513777461901E-4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203028.88129649599</v>
      </c>
      <c r="E27" s="172">
        <v>2.9883010894539998E-3</v>
      </c>
      <c r="F27" s="172">
        <v>67941239.928267196</v>
      </c>
      <c r="G27" s="172">
        <v>748.81696303645901</v>
      </c>
      <c r="H27" s="172">
        <v>2.0860814069020601E-4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64.307922174523299</v>
      </c>
      <c r="E28" s="172">
        <v>2.5171275861716198E-6</v>
      </c>
      <c r="F28" s="172">
        <v>0</v>
      </c>
      <c r="G28" s="172">
        <v>1070.0195958213001</v>
      </c>
      <c r="H28" s="172">
        <v>7.2900491658743497E-4</v>
      </c>
      <c r="I28" s="172">
        <v>1467781.04162891</v>
      </c>
    </row>
    <row r="29" spans="2:9" hidden="1" x14ac:dyDescent="0.3">
      <c r="B29" s="172" t="s">
        <v>187</v>
      </c>
      <c r="C29" s="172" t="s">
        <v>81</v>
      </c>
      <c r="D29" s="172">
        <v>162.894693452089</v>
      </c>
      <c r="E29" s="172">
        <v>5.6063657441787E-5</v>
      </c>
      <c r="F29" s="172">
        <v>0</v>
      </c>
      <c r="G29" s="172">
        <v>32393.511758808701</v>
      </c>
      <c r="H29" s="172">
        <v>1.2635085930578201E-3</v>
      </c>
      <c r="I29" s="172">
        <v>25637745.510232799</v>
      </c>
    </row>
    <row r="30" spans="2:9" hidden="1" x14ac:dyDescent="0.3">
      <c r="B30" s="172" t="s">
        <v>185</v>
      </c>
      <c r="C30" s="172" t="s">
        <v>81</v>
      </c>
      <c r="D30" s="172">
        <v>309.47061588108699</v>
      </c>
      <c r="E30" s="172">
        <v>8.4587381072152995E-5</v>
      </c>
      <c r="F30" s="172">
        <v>0</v>
      </c>
      <c r="G30" s="172">
        <v>66830.087006583402</v>
      </c>
      <c r="H30" s="172">
        <v>1.9399505533193001E-3</v>
      </c>
      <c r="I30" s="172">
        <v>34449376.502012096</v>
      </c>
    </row>
    <row r="31" spans="2:9" hidden="1" x14ac:dyDescent="0.3">
      <c r="B31" s="172" t="s">
        <v>183</v>
      </c>
      <c r="C31" s="172" t="s">
        <v>81</v>
      </c>
      <c r="D31" s="172">
        <v>408.92251162967301</v>
      </c>
      <c r="E31" s="172">
        <v>1.08119695722221E-4</v>
      </c>
      <c r="F31" s="172">
        <v>0</v>
      </c>
      <c r="G31" s="172">
        <v>95448.259256697303</v>
      </c>
      <c r="H31" s="172">
        <v>2.5609182242169399E-3</v>
      </c>
      <c r="I31" s="172">
        <v>37271107.821446702</v>
      </c>
    </row>
    <row r="32" spans="2:9" hidden="1" x14ac:dyDescent="0.3">
      <c r="B32" s="172" t="s">
        <v>181</v>
      </c>
      <c r="C32" s="172" t="s">
        <v>81</v>
      </c>
      <c r="D32" s="172">
        <v>483.642192744498</v>
      </c>
      <c r="E32" s="172">
        <v>1.2717238903341401E-4</v>
      </c>
      <c r="F32" s="172">
        <v>0</v>
      </c>
      <c r="G32" s="172">
        <v>119373.956256094</v>
      </c>
      <c r="H32" s="172">
        <v>3.0744110541238399E-3</v>
      </c>
      <c r="I32" s="172">
        <v>38828235.442353301</v>
      </c>
    </row>
    <row r="33" spans="2:9" hidden="1" x14ac:dyDescent="0.3">
      <c r="B33" s="172" t="s">
        <v>179</v>
      </c>
      <c r="C33" s="172" t="s">
        <v>81</v>
      </c>
      <c r="D33" s="172">
        <v>543.28154693299996</v>
      </c>
      <c r="E33" s="172">
        <v>1.4199566463900601E-4</v>
      </c>
      <c r="F33" s="172">
        <v>0</v>
      </c>
      <c r="G33" s="172">
        <v>139664.275059648</v>
      </c>
      <c r="H33" s="172">
        <v>3.4850880868952999E-3</v>
      </c>
      <c r="I33" s="172">
        <v>40074819.223312102</v>
      </c>
    </row>
    <row r="34" spans="2:9" hidden="1" x14ac:dyDescent="0.3">
      <c r="B34" s="172" t="s">
        <v>39</v>
      </c>
      <c r="C34" s="172" t="s">
        <v>81</v>
      </c>
      <c r="D34" s="172">
        <v>596.19946067483204</v>
      </c>
      <c r="E34" s="172">
        <v>1.4335508087662E-4</v>
      </c>
      <c r="F34" s="172">
        <v>0</v>
      </c>
      <c r="G34" s="172">
        <v>157186.96169684501</v>
      </c>
      <c r="H34" s="172">
        <v>3.5934366363162698E-3</v>
      </c>
      <c r="I34" s="172">
        <v>43742794.880051501</v>
      </c>
    </row>
    <row r="35" spans="2:9" hidden="1" x14ac:dyDescent="0.3">
      <c r="B35" s="172" t="s">
        <v>26</v>
      </c>
      <c r="C35" s="172" t="s">
        <v>81</v>
      </c>
      <c r="D35" s="172">
        <v>651.84973103548396</v>
      </c>
      <c r="E35" s="172">
        <v>1.42472481129753E-4</v>
      </c>
      <c r="F35" s="172">
        <v>0</v>
      </c>
      <c r="G35" s="172">
        <v>172964.79819673201</v>
      </c>
      <c r="H35" s="172">
        <v>3.7957301703808299E-3</v>
      </c>
      <c r="I35" s="172">
        <v>45568254.441905797</v>
      </c>
    </row>
    <row r="36" spans="2:9" hidden="1" x14ac:dyDescent="0.3">
      <c r="B36" s="172" t="s">
        <v>25</v>
      </c>
      <c r="C36" s="172" t="s">
        <v>81</v>
      </c>
      <c r="D36" s="172">
        <v>705.85818966682098</v>
      </c>
      <c r="E36" s="172">
        <v>1.5798482462535201E-4</v>
      </c>
      <c r="F36" s="172">
        <v>0</v>
      </c>
      <c r="G36" s="172">
        <v>186600.65938859299</v>
      </c>
      <c r="H36" s="172">
        <v>3.9519576452056396E-3</v>
      </c>
      <c r="I36" s="172">
        <v>47217272.081589803</v>
      </c>
    </row>
    <row r="37" spans="2:9" hidden="1" x14ac:dyDescent="0.3">
      <c r="B37" s="172" t="s">
        <v>24</v>
      </c>
      <c r="C37" s="172" t="s">
        <v>81</v>
      </c>
      <c r="D37" s="172">
        <v>759.37896274562604</v>
      </c>
      <c r="E37" s="172">
        <v>1.69323445213557E-4</v>
      </c>
      <c r="F37" s="172">
        <v>0</v>
      </c>
      <c r="G37" s="172">
        <v>197157.95026716101</v>
      </c>
      <c r="H37" s="172">
        <v>3.8478845767172701E-3</v>
      </c>
      <c r="I37" s="172">
        <v>51238010.479867801</v>
      </c>
    </row>
    <row r="38" spans="2:9" hidden="1" x14ac:dyDescent="0.3">
      <c r="B38" s="172" t="s">
        <v>22</v>
      </c>
      <c r="C38" s="172" t="s">
        <v>81</v>
      </c>
      <c r="D38" s="172">
        <v>796.58292084974403</v>
      </c>
      <c r="E38" s="172">
        <v>1.8576164441351501E-4</v>
      </c>
      <c r="F38" s="172">
        <v>0</v>
      </c>
      <c r="G38" s="172">
        <v>203028.881325088</v>
      </c>
      <c r="H38" s="172">
        <v>3.1717316942395301E-3</v>
      </c>
      <c r="I38" s="172">
        <v>64011997.513480604</v>
      </c>
    </row>
    <row r="39" spans="2:9" x14ac:dyDescent="0.3">
      <c r="B39" s="172" t="s">
        <v>189</v>
      </c>
      <c r="C39" s="172" t="s">
        <v>82</v>
      </c>
      <c r="D39" s="172">
        <v>64.307922172859705</v>
      </c>
      <c r="E39" s="172">
        <v>1.8976582559734999E-5</v>
      </c>
      <c r="F39" s="172">
        <v>0</v>
      </c>
      <c r="G39" s="172">
        <v>1070.0195958398799</v>
      </c>
      <c r="H39" s="172">
        <v>6.7292576294345602E-4</v>
      </c>
      <c r="I39" s="172">
        <v>1590100.505529</v>
      </c>
    </row>
    <row r="40" spans="2:9" x14ac:dyDescent="0.3">
      <c r="B40" s="172" t="s">
        <v>187</v>
      </c>
      <c r="C40" s="172" t="s">
        <v>82</v>
      </c>
      <c r="D40" s="172">
        <v>162.89469321556001</v>
      </c>
      <c r="E40" s="172">
        <v>5.7268822973223499E-5</v>
      </c>
      <c r="F40" s="172">
        <v>0</v>
      </c>
      <c r="G40" s="172">
        <v>32393.511759919402</v>
      </c>
      <c r="H40" s="172">
        <v>1.19686265292262E-3</v>
      </c>
      <c r="I40" s="172">
        <v>27065354.3084644</v>
      </c>
    </row>
    <row r="41" spans="2:9" x14ac:dyDescent="0.3">
      <c r="B41" s="172" t="s">
        <v>185</v>
      </c>
      <c r="C41" s="172" t="s">
        <v>82</v>
      </c>
      <c r="D41" s="172">
        <v>309.470615562901</v>
      </c>
      <c r="E41" s="172">
        <v>1.09905570994954E-4</v>
      </c>
      <c r="F41" s="172">
        <v>0</v>
      </c>
      <c r="G41" s="172">
        <v>66830.0870066637</v>
      </c>
      <c r="H41" s="172">
        <v>1.8317408718671101E-3</v>
      </c>
      <c r="I41" s="172">
        <v>36484465.697674297</v>
      </c>
    </row>
    <row r="42" spans="2:9" x14ac:dyDescent="0.3">
      <c r="B42" s="172" t="s">
        <v>183</v>
      </c>
      <c r="C42" s="172" t="s">
        <v>82</v>
      </c>
      <c r="D42" s="172">
        <v>408.92251085777701</v>
      </c>
      <c r="E42" s="172">
        <v>1.6280046299467E-4</v>
      </c>
      <c r="F42" s="172">
        <v>0</v>
      </c>
      <c r="G42" s="172">
        <v>95448.259259069702</v>
      </c>
      <c r="H42" s="172">
        <v>2.4116643363715101E-3</v>
      </c>
      <c r="I42" s="172">
        <v>39577754.590291403</v>
      </c>
    </row>
    <row r="43" spans="2:9" x14ac:dyDescent="0.3">
      <c r="B43" s="172" t="s">
        <v>181</v>
      </c>
      <c r="C43" s="172" t="s">
        <v>82</v>
      </c>
      <c r="D43" s="172">
        <v>483.64219195695802</v>
      </c>
      <c r="E43" s="172">
        <v>2.0790652168336499E-4</v>
      </c>
      <c r="F43" s="172">
        <v>0</v>
      </c>
      <c r="G43" s="172">
        <v>119373.95626125199</v>
      </c>
      <c r="H43" s="172">
        <v>2.9741682598993999E-3</v>
      </c>
      <c r="I43" s="172">
        <v>40136920.923663601</v>
      </c>
    </row>
    <row r="44" spans="2:9" x14ac:dyDescent="0.3">
      <c r="B44" s="172" t="s">
        <v>179</v>
      </c>
      <c r="C44" s="172" t="s">
        <v>82</v>
      </c>
      <c r="D44" s="172">
        <v>543.28154603774999</v>
      </c>
      <c r="E44" s="172">
        <v>2.4078536637444701E-4</v>
      </c>
      <c r="F44" s="172">
        <v>0</v>
      </c>
      <c r="G44" s="172">
        <v>139664.275061822</v>
      </c>
      <c r="H44" s="172">
        <v>3.4156804163227002E-3</v>
      </c>
      <c r="I44" s="172">
        <v>40889151.805420801</v>
      </c>
    </row>
    <row r="45" spans="2:9" x14ac:dyDescent="0.3">
      <c r="B45" s="172" t="s">
        <v>39</v>
      </c>
      <c r="C45" s="172" t="s">
        <v>82</v>
      </c>
      <c r="D45" s="172">
        <v>596.19945969394996</v>
      </c>
      <c r="E45" s="172">
        <v>2.4275401166844499E-4</v>
      </c>
      <c r="F45" s="172">
        <v>0</v>
      </c>
      <c r="G45" s="172">
        <v>157186.96169633599</v>
      </c>
      <c r="H45" s="172">
        <v>3.6238668559397001E-3</v>
      </c>
      <c r="I45" s="172">
        <v>43375479.272561699</v>
      </c>
    </row>
    <row r="46" spans="2:9" x14ac:dyDescent="0.3">
      <c r="B46" s="172" t="s">
        <v>26</v>
      </c>
      <c r="C46" s="172" t="s">
        <v>82</v>
      </c>
      <c r="D46" s="172">
        <v>651.84973021783901</v>
      </c>
      <c r="E46" s="172">
        <v>2.3783387142603299E-4</v>
      </c>
      <c r="F46" s="172">
        <v>0</v>
      </c>
      <c r="G46" s="172">
        <v>172964.79819710599</v>
      </c>
      <c r="H46" s="172">
        <v>3.7675424040868699E-3</v>
      </c>
      <c r="I46" s="172">
        <v>45909184.196435697</v>
      </c>
    </row>
    <row r="47" spans="2:9" x14ac:dyDescent="0.3">
      <c r="B47" s="172" t="s">
        <v>25</v>
      </c>
      <c r="C47" s="172" t="s">
        <v>82</v>
      </c>
      <c r="D47" s="172">
        <v>705.85818890298196</v>
      </c>
      <c r="E47" s="172">
        <v>2.42321232020851E-4</v>
      </c>
      <c r="F47" s="172">
        <v>0</v>
      </c>
      <c r="G47" s="172">
        <v>186600.65938737901</v>
      </c>
      <c r="H47" s="172">
        <v>3.9685614873180199E-3</v>
      </c>
      <c r="I47" s="172">
        <v>47019722.3814428</v>
      </c>
    </row>
    <row r="48" spans="2:9" x14ac:dyDescent="0.3">
      <c r="B48" s="172" t="s">
        <v>24</v>
      </c>
      <c r="C48" s="172" t="s">
        <v>82</v>
      </c>
      <c r="D48" s="172">
        <v>759.37896201179103</v>
      </c>
      <c r="E48" s="172">
        <v>2.41734705086475E-4</v>
      </c>
      <c r="F48" s="172">
        <v>0</v>
      </c>
      <c r="G48" s="172">
        <v>197157.95026645501</v>
      </c>
      <c r="H48" s="172">
        <v>3.6901317239557301E-3</v>
      </c>
      <c r="I48" s="172">
        <v>53428431.561545096</v>
      </c>
    </row>
    <row r="49" spans="2:9" x14ac:dyDescent="0.3">
      <c r="B49" s="172" t="s">
        <v>22</v>
      </c>
      <c r="C49" s="172" t="s">
        <v>82</v>
      </c>
      <c r="D49" s="172">
        <v>796.58292008337696</v>
      </c>
      <c r="E49" s="172">
        <v>1.8377115308763499E-4</v>
      </c>
      <c r="F49" s="172">
        <v>0</v>
      </c>
      <c r="G49" s="172">
        <v>203028.88132398299</v>
      </c>
      <c r="H49" s="172">
        <v>3.2019269517320299E-3</v>
      </c>
      <c r="I49" s="172">
        <v>63408342.658834703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-5.4933479987084897E-10</v>
      </c>
      <c r="H6" s="172">
        <v>-1174.5544591200501</v>
      </c>
      <c r="I6" s="172">
        <v>-63.310543375348701</v>
      </c>
      <c r="J6" s="172">
        <v>15547.5881137174</v>
      </c>
      <c r="K6" s="172">
        <v>-8.1879534263862297E-9</v>
      </c>
      <c r="L6" s="172">
        <v>1.2244072422618E-8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-4.0381564758717998E-10</v>
      </c>
      <c r="H7" s="172">
        <v>-1174.5544591200801</v>
      </c>
      <c r="I7" s="172">
        <v>-63.310543375312598</v>
      </c>
      <c r="J7" s="172">
        <v>15547.588113718701</v>
      </c>
      <c r="K7" s="172">
        <v>189.931630120325</v>
      </c>
      <c r="L7" s="172">
        <v>-3523.6633773518902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-5.5297277867793996E-10</v>
      </c>
      <c r="H8" s="172">
        <v>-1174.5544591225701</v>
      </c>
      <c r="I8" s="172">
        <v>-63.310543350247301</v>
      </c>
      <c r="J8" s="172">
        <v>14985.635102128999</v>
      </c>
      <c r="K8" s="172">
        <v>-8.3444149368006004E-9</v>
      </c>
      <c r="L8" s="172">
        <v>1.2350483302725501E-8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-4.8021320253610601E-10</v>
      </c>
      <c r="H9" s="172">
        <v>-1174.55445912235</v>
      </c>
      <c r="I9" s="172">
        <v>-63.310543350234497</v>
      </c>
      <c r="J9" s="172">
        <v>14985.6351021257</v>
      </c>
      <c r="K9" s="172">
        <v>189.93163004363899</v>
      </c>
      <c r="L9" s="172">
        <v>-3523.66337735665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2.1464074961841101E-10</v>
      </c>
      <c r="H10" s="172">
        <v>-64.307922174516605</v>
      </c>
      <c r="I10" s="172">
        <v>-1070.01959582021</v>
      </c>
      <c r="J10" s="172">
        <v>-21661.886973738801</v>
      </c>
      <c r="K10" s="172">
        <v>3.0640876502730002E-9</v>
      </c>
      <c r="L10" s="172">
        <v>-4.6484274207614404E-9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1.67347025126219E-10</v>
      </c>
      <c r="H11" s="172">
        <v>-64.307922174523299</v>
      </c>
      <c r="I11" s="172">
        <v>-1070.0195958213001</v>
      </c>
      <c r="J11" s="172">
        <v>-21661.8869737596</v>
      </c>
      <c r="K11" s="172">
        <v>3210.05878746382</v>
      </c>
      <c r="L11" s="172">
        <v>-192.92376652722501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2.4374458007514497E-10</v>
      </c>
      <c r="H12" s="172">
        <v>-64.307922172872296</v>
      </c>
      <c r="I12" s="172">
        <v>-1070.01959583905</v>
      </c>
      <c r="J12" s="172">
        <v>-21266.0330968495</v>
      </c>
      <c r="K12" s="172">
        <v>3.3351170714013299E-9</v>
      </c>
      <c r="L12" s="172">
        <v>-5.2214090828783802E-9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2.1100277081131899E-10</v>
      </c>
      <c r="H13" s="172">
        <v>-64.307922172859705</v>
      </c>
      <c r="I13" s="172">
        <v>-1070.0195958398799</v>
      </c>
      <c r="J13" s="172">
        <v>-21266.033096864001</v>
      </c>
      <c r="K13" s="172">
        <v>3210.0587875207102</v>
      </c>
      <c r="L13" s="172">
        <v>-192.92376652313601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12085.1999999944</v>
      </c>
      <c r="H14" s="172">
        <v>4.35755964645068E-9</v>
      </c>
      <c r="I14" s="172">
        <v>-4.2752930085043797E-9</v>
      </c>
      <c r="J14" s="172">
        <v>-1.4875206488795801E-7</v>
      </c>
      <c r="K14" s="172">
        <v>174819.95999991699</v>
      </c>
      <c r="L14" s="172">
        <v>-253849.04999988101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18781.199999996999</v>
      </c>
      <c r="H15" s="172">
        <v>4.3514205572137102E-9</v>
      </c>
      <c r="I15" s="172">
        <v>-4.2655869947338901E-9</v>
      </c>
      <c r="J15" s="172">
        <v>-1.4847751117485999E-7</v>
      </c>
      <c r="K15" s="172">
        <v>266691.95999997301</v>
      </c>
      <c r="L15" s="172">
        <v>-392881.04999992001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-5.9949343267362598E-9</v>
      </c>
      <c r="H16" s="172">
        <v>-32291.5365821251</v>
      </c>
      <c r="I16" s="172">
        <v>-183.910136103018</v>
      </c>
      <c r="J16" s="172">
        <v>543789.46241219796</v>
      </c>
      <c r="K16" s="172">
        <v>189.93163093102299</v>
      </c>
      <c r="L16" s="172">
        <v>-3523.66337725021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-5.7839315559249396E-9</v>
      </c>
      <c r="H17" s="172">
        <v>-32291.5365821251</v>
      </c>
      <c r="I17" s="172">
        <v>-183.91013610298199</v>
      </c>
      <c r="J17" s="172">
        <v>543789.46241220005</v>
      </c>
      <c r="K17" s="172">
        <v>833.61710729536605</v>
      </c>
      <c r="L17" s="172">
        <v>-116544.041414693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2.8937847673660099E-9</v>
      </c>
      <c r="H18" s="172">
        <v>-32291.536582440502</v>
      </c>
      <c r="I18" s="172">
        <v>-183.91013461057599</v>
      </c>
      <c r="J18" s="172">
        <v>445492.42478000402</v>
      </c>
      <c r="K18" s="172">
        <v>189.93163100088</v>
      </c>
      <c r="L18" s="172">
        <v>-3523.6633774625998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2.9519924282794802E-9</v>
      </c>
      <c r="H19" s="172">
        <v>-32291.5365824404</v>
      </c>
      <c r="I19" s="172">
        <v>-183.91013461065199</v>
      </c>
      <c r="J19" s="172">
        <v>445492.42478000099</v>
      </c>
      <c r="K19" s="172">
        <v>833.61710213925096</v>
      </c>
      <c r="L19" s="172">
        <v>-116544.041416006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1.40789779834449E-7</v>
      </c>
      <c r="H20" s="172">
        <v>-162.89469345210301</v>
      </c>
      <c r="I20" s="172">
        <v>-32393.511758807999</v>
      </c>
      <c r="J20" s="172">
        <v>-439977.849303419</v>
      </c>
      <c r="K20" s="172">
        <v>3210.0587896664802</v>
      </c>
      <c r="L20" s="172">
        <v>-192.923769701141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1.4093529898673301E-7</v>
      </c>
      <c r="H21" s="172">
        <v>-162.894693452089</v>
      </c>
      <c r="I21" s="172">
        <v>-32393.511758808701</v>
      </c>
      <c r="J21" s="172">
        <v>-439977.84930343798</v>
      </c>
      <c r="K21" s="172">
        <v>116587.349945498</v>
      </c>
      <c r="L21" s="172">
        <v>-763.05519678656105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1.3410772226052401E-7</v>
      </c>
      <c r="H22" s="172">
        <v>-162.89469321556601</v>
      </c>
      <c r="I22" s="172">
        <v>-32393.511759919002</v>
      </c>
      <c r="J22" s="172">
        <v>-366282.33716891397</v>
      </c>
      <c r="K22" s="172">
        <v>3210.0587896100501</v>
      </c>
      <c r="L22" s="172">
        <v>-192.923769545581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1.34202309709508E-7</v>
      </c>
      <c r="H23" s="172">
        <v>-162.89469321556001</v>
      </c>
      <c r="I23" s="172">
        <v>-32393.511759919402</v>
      </c>
      <c r="J23" s="172">
        <v>-366282.337168923</v>
      </c>
      <c r="K23" s="172">
        <v>116587.349949328</v>
      </c>
      <c r="L23" s="172">
        <v>-763.05519580184796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712472.39874986198</v>
      </c>
      <c r="H24" s="172">
        <v>5.7057945923588698E-8</v>
      </c>
      <c r="I24" s="172">
        <v>-1.0441135600558501E-7</v>
      </c>
      <c r="J24" s="172">
        <v>-2.7497044357005498E-6</v>
      </c>
      <c r="K24" s="172">
        <v>11009189.4296149</v>
      </c>
      <c r="L24" s="172">
        <v>-8341741.7378056999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819497.44874986203</v>
      </c>
      <c r="H25" s="172">
        <v>5.7057718549913301E-8</v>
      </c>
      <c r="I25" s="172">
        <v>-1.0440476216899699E-7</v>
      </c>
      <c r="J25" s="172">
        <v>-2.7495079848449698E-6</v>
      </c>
      <c r="K25" s="172">
        <v>12685483.631490201</v>
      </c>
      <c r="L25" s="172">
        <v>-9730619.7878054809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-1.39249095809646E-7</v>
      </c>
      <c r="H26" s="172">
        <v>-66793.862672660805</v>
      </c>
      <c r="I26" s="172">
        <v>-316.35592380619602</v>
      </c>
      <c r="J26" s="172">
        <v>1130842.3455314101</v>
      </c>
      <c r="K26" s="172">
        <v>833.617105397567</v>
      </c>
      <c r="L26" s="172">
        <v>-116544.041411702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-1.3916178431827599E-7</v>
      </c>
      <c r="H27" s="172">
        <v>-66793.862672659496</v>
      </c>
      <c r="I27" s="172">
        <v>-316.35592380620898</v>
      </c>
      <c r="J27" s="172">
        <v>1130842.34553138</v>
      </c>
      <c r="K27" s="172">
        <v>1940.8628387209001</v>
      </c>
      <c r="L27" s="172">
        <v>-350322.56076601503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-1.2877353583462499E-7</v>
      </c>
      <c r="H28" s="172">
        <v>-66793.862673092299</v>
      </c>
      <c r="I28" s="172">
        <v>-316.35592369699498</v>
      </c>
      <c r="J28" s="172">
        <v>924174.22818874998</v>
      </c>
      <c r="K28" s="172">
        <v>833.61710024655599</v>
      </c>
      <c r="L28" s="172">
        <v>-116544.041413043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-1.2861346476711301E-7</v>
      </c>
      <c r="H29" s="172">
        <v>-66793.862673091295</v>
      </c>
      <c r="I29" s="172">
        <v>-316.355923696925</v>
      </c>
      <c r="J29" s="172">
        <v>924174.22818873497</v>
      </c>
      <c r="K29" s="172">
        <v>1940.86283318909</v>
      </c>
      <c r="L29" s="172">
        <v>-350322.56076886802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1.6916237655095801E-7</v>
      </c>
      <c r="H30" s="172">
        <v>-309.47061588109102</v>
      </c>
      <c r="I30" s="172">
        <v>-66830.087006584901</v>
      </c>
      <c r="J30" s="172">
        <v>-899218.08678129397</v>
      </c>
      <c r="K30" s="172">
        <v>116587.34994564801</v>
      </c>
      <c r="L30" s="172">
        <v>-763.05519740136504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1.6902049537748101E-7</v>
      </c>
      <c r="H31" s="172">
        <v>-309.47061588108699</v>
      </c>
      <c r="I31" s="172">
        <v>-66830.087006583402</v>
      </c>
      <c r="J31" s="172">
        <v>-899218.086781263</v>
      </c>
      <c r="K31" s="172">
        <v>350492.65446869098</v>
      </c>
      <c r="L31" s="172">
        <v>-1846.20235298241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1.61089701578021E-7</v>
      </c>
      <c r="H32" s="172">
        <v>-309.47061556290902</v>
      </c>
      <c r="I32" s="172">
        <v>-66830.087006664995</v>
      </c>
      <c r="J32" s="172">
        <v>-745058.33689234499</v>
      </c>
      <c r="K32" s="172">
        <v>116587.349949476</v>
      </c>
      <c r="L32" s="172">
        <v>-763.05519639119302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1.61016942001879E-7</v>
      </c>
      <c r="H33" s="172">
        <v>-309.470615562901</v>
      </c>
      <c r="I33" s="172">
        <v>-66830.0870066637</v>
      </c>
      <c r="J33" s="172">
        <v>-745058.336892316</v>
      </c>
      <c r="K33" s="172">
        <v>350492.65447280102</v>
      </c>
      <c r="L33" s="172">
        <v>-1846.2023508597599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1503092.5474988299</v>
      </c>
      <c r="H34" s="172">
        <v>6.3606307776353801E-8</v>
      </c>
      <c r="I34" s="172">
        <v>-2.2022277335054201E-8</v>
      </c>
      <c r="J34" s="172">
        <v>5.9452395362313805E-7</v>
      </c>
      <c r="K34" s="172">
        <v>23263633.258586898</v>
      </c>
      <c r="L34" s="172">
        <v>-17602494.840590801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1610117.59749884</v>
      </c>
      <c r="H35" s="172">
        <v>6.3579363995813804E-8</v>
      </c>
      <c r="I35" s="172">
        <v>-2.2029553292668401E-8</v>
      </c>
      <c r="J35" s="172">
        <v>5.9475348734849799E-7</v>
      </c>
      <c r="K35" s="172">
        <v>24939927.460462</v>
      </c>
      <c r="L35" s="172">
        <v>-18991372.890590701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-2.43060640059412E-7</v>
      </c>
      <c r="H36" s="172">
        <v>-95490.3177888059</v>
      </c>
      <c r="I36" s="172">
        <v>-404.81587540087997</v>
      </c>
      <c r="J36" s="172">
        <v>1619399.9842983501</v>
      </c>
      <c r="K36" s="172">
        <v>1940.86283747427</v>
      </c>
      <c r="L36" s="172">
        <v>-350322.56076371903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-2.4311884772032499E-7</v>
      </c>
      <c r="H37" s="172">
        <v>-95490.317788806802</v>
      </c>
      <c r="I37" s="172">
        <v>-404.81587540087099</v>
      </c>
      <c r="J37" s="172">
        <v>1619399.9842983701</v>
      </c>
      <c r="K37" s="172">
        <v>3357.7184013770002</v>
      </c>
      <c r="L37" s="172">
        <v>-684538.67302453902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-2.2727181203663299E-7</v>
      </c>
      <c r="H38" s="172">
        <v>-95490.317789842593</v>
      </c>
      <c r="I38" s="172">
        <v>-404.81587222301999</v>
      </c>
      <c r="J38" s="172">
        <v>1322545.9142213899</v>
      </c>
      <c r="K38" s="172">
        <v>1940.8628320013499</v>
      </c>
      <c r="L38" s="172">
        <v>-350322.56076667598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-2.2730091586708999E-7</v>
      </c>
      <c r="H39" s="172">
        <v>-95490.317789843393</v>
      </c>
      <c r="I39" s="172">
        <v>-404.81587222309201</v>
      </c>
      <c r="J39" s="172">
        <v>1322545.9142214099</v>
      </c>
      <c r="K39" s="172">
        <v>3357.7183847814899</v>
      </c>
      <c r="L39" s="172">
        <v>-684538.67303112498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2.4205473891925098E-7</v>
      </c>
      <c r="H40" s="172">
        <v>-408.92251162968898</v>
      </c>
      <c r="I40" s="172">
        <v>-95448.259256696198</v>
      </c>
      <c r="J40" s="172">
        <v>-1281246.6826297699</v>
      </c>
      <c r="K40" s="172">
        <v>350492.65446953598</v>
      </c>
      <c r="L40" s="172">
        <v>-1846.2023545735401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2.4188739189412402E-7</v>
      </c>
      <c r="H41" s="172">
        <v>-408.92251162967301</v>
      </c>
      <c r="I41" s="172">
        <v>-95448.259256697303</v>
      </c>
      <c r="J41" s="172">
        <v>-1281246.6826297899</v>
      </c>
      <c r="K41" s="172">
        <v>684561.56186797295</v>
      </c>
      <c r="L41" s="172">
        <v>-3277.4311452739898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2.3031134332995899E-7</v>
      </c>
      <c r="H42" s="172">
        <v>-408.92251085775598</v>
      </c>
      <c r="I42" s="172">
        <v>-95448.259259068</v>
      </c>
      <c r="J42" s="172">
        <v>-1060147.5013625401</v>
      </c>
      <c r="K42" s="172">
        <v>350492.65447360202</v>
      </c>
      <c r="L42" s="172">
        <v>-1846.20235237008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2.3024585971143099E-7</v>
      </c>
      <c r="H43" s="172">
        <v>-408.92251085777701</v>
      </c>
      <c r="I43" s="172">
        <v>-95448.259259069702</v>
      </c>
      <c r="J43" s="172">
        <v>-1060147.5013625701</v>
      </c>
      <c r="K43" s="172">
        <v>684561.56188034103</v>
      </c>
      <c r="L43" s="172">
        <v>-3277.4311403711599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2293712.6962476098</v>
      </c>
      <c r="H44" s="172">
        <v>1.53714609041344E-7</v>
      </c>
      <c r="I44" s="172">
        <v>-2.1606786049233101E-7</v>
      </c>
      <c r="J44" s="172">
        <v>-3.5080192901659799E-6</v>
      </c>
      <c r="K44" s="172">
        <v>35518077.087557599</v>
      </c>
      <c r="L44" s="172">
        <v>-26863247.9433727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2400737.7462476199</v>
      </c>
      <c r="H45" s="172">
        <v>1.53727228280331E-7</v>
      </c>
      <c r="I45" s="172">
        <v>-2.16061039282067E-7</v>
      </c>
      <c r="J45" s="172">
        <v>-3.5081620808341498E-6</v>
      </c>
      <c r="K45" s="172">
        <v>37194371.289433397</v>
      </c>
      <c r="L45" s="172">
        <v>-28252125.993372198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-1.9895014702342501E-7</v>
      </c>
      <c r="H46" s="172">
        <v>-119457.207355026</v>
      </c>
      <c r="I46" s="172">
        <v>-468.26442531028601</v>
      </c>
      <c r="J46" s="172">
        <v>2027576.5659413999</v>
      </c>
      <c r="K46" s="172">
        <v>3357.71840188741</v>
      </c>
      <c r="L46" s="172">
        <v>-684538.67302553204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-1.9866638467647101E-7</v>
      </c>
      <c r="H47" s="172">
        <v>-119457.20735502501</v>
      </c>
      <c r="I47" s="172">
        <v>-468.26442531022502</v>
      </c>
      <c r="J47" s="172">
        <v>2027576.5659413801</v>
      </c>
      <c r="K47" s="172">
        <v>4996.6438904778397</v>
      </c>
      <c r="L47" s="172">
        <v>-1102638.89876813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-1.86042598215863E-7</v>
      </c>
      <c r="H48" s="172">
        <v>-119457.207356082</v>
      </c>
      <c r="I48" s="172">
        <v>-468.26441837636997</v>
      </c>
      <c r="J48" s="172">
        <v>1655375.8978037201</v>
      </c>
      <c r="K48" s="172">
        <v>3357.7183852512699</v>
      </c>
      <c r="L48" s="172">
        <v>-684538.673032052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-1.85795215656981E-7</v>
      </c>
      <c r="H49" s="172">
        <v>-119457.20735608099</v>
      </c>
      <c r="I49" s="172">
        <v>-468.26441837645302</v>
      </c>
      <c r="J49" s="172">
        <v>1655375.8978037001</v>
      </c>
      <c r="K49" s="172">
        <v>4996.6438495728498</v>
      </c>
      <c r="L49" s="172">
        <v>-1102638.8987783401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2.0852621673839201E-7</v>
      </c>
      <c r="H50" s="172">
        <v>-483.64219274449698</v>
      </c>
      <c r="I50" s="172">
        <v>-119373.956256094</v>
      </c>
      <c r="J50" s="172">
        <v>-1600778.4578913399</v>
      </c>
      <c r="K50" s="172">
        <v>684561.56186751905</v>
      </c>
      <c r="L50" s="172">
        <v>-3277.4311445351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2.0833613234572099E-7</v>
      </c>
      <c r="H51" s="172">
        <v>-483.642192744498</v>
      </c>
      <c r="I51" s="172">
        <v>-119373.956256094</v>
      </c>
      <c r="J51" s="172">
        <v>-1600778.4578913499</v>
      </c>
      <c r="K51" s="172">
        <v>1102370.4087638501</v>
      </c>
      <c r="L51" s="172">
        <v>-4970.1788191369697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1.9866638467647101E-7</v>
      </c>
      <c r="H52" s="172">
        <v>-483.64219195697598</v>
      </c>
      <c r="I52" s="172">
        <v>-119373.95626125199</v>
      </c>
      <c r="J52" s="172">
        <v>-1323689.25564409</v>
      </c>
      <c r="K52" s="172">
        <v>684561.56187991297</v>
      </c>
      <c r="L52" s="172">
        <v>-3277.43113967713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1.98491761693731E-7</v>
      </c>
      <c r="H53" s="172">
        <v>-483.64219195695802</v>
      </c>
      <c r="I53" s="172">
        <v>-119373.95626125199</v>
      </c>
      <c r="J53" s="172">
        <v>-1323689.2556441</v>
      </c>
      <c r="K53" s="172">
        <v>1102370.4087942899</v>
      </c>
      <c r="L53" s="172">
        <v>-4970.1788115230402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3084332.84499788</v>
      </c>
      <c r="H54" s="172">
        <v>1.05958406493301E-7</v>
      </c>
      <c r="I54" s="172">
        <v>-3.1967562108547998E-7</v>
      </c>
      <c r="J54" s="172">
        <v>-5.1432434702292102E-6</v>
      </c>
      <c r="K54" s="172">
        <v>47772520.916547</v>
      </c>
      <c r="L54" s="172">
        <v>-36124001.046187103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3191357.8949978901</v>
      </c>
      <c r="H55" s="172">
        <v>1.0594112609396701E-7</v>
      </c>
      <c r="I55" s="172">
        <v>-3.1966908409231099E-7</v>
      </c>
      <c r="J55" s="172">
        <v>-5.14282407948485E-6</v>
      </c>
      <c r="K55" s="172">
        <v>49448815.118423097</v>
      </c>
      <c r="L55" s="172">
        <v>-37512879.096186802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-3.8223515730351199E-7</v>
      </c>
      <c r="H56" s="172">
        <v>-139780.45456015601</v>
      </c>
      <c r="I56" s="172">
        <v>-517.20154984949204</v>
      </c>
      <c r="J56" s="172">
        <v>2373764.0472173998</v>
      </c>
      <c r="K56" s="172">
        <v>4996.6438878500003</v>
      </c>
      <c r="L56" s="172">
        <v>-1102638.8987640201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-3.8174766814336202E-7</v>
      </c>
      <c r="H57" s="172">
        <v>-139780.454560154</v>
      </c>
      <c r="I57" s="172">
        <v>-517.20154984946498</v>
      </c>
      <c r="J57" s="172">
        <v>2373764.04721737</v>
      </c>
      <c r="K57" s="172">
        <v>6806.8493123312901</v>
      </c>
      <c r="L57" s="172">
        <v>-1591870.48972457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-3.6746496334672001E-7</v>
      </c>
      <c r="H58" s="172">
        <v>-139780.45456135899</v>
      </c>
      <c r="I58" s="172">
        <v>-517.20154692381595</v>
      </c>
      <c r="J58" s="172">
        <v>1937660.15245359</v>
      </c>
      <c r="K58" s="172">
        <v>4996.6438469275499</v>
      </c>
      <c r="L58" s="172">
        <v>-1102638.89877426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-3.6718847695738098E-7</v>
      </c>
      <c r="H59" s="172">
        <v>-139780.454561358</v>
      </c>
      <c r="I59" s="172">
        <v>-517.20154692388701</v>
      </c>
      <c r="J59" s="172">
        <v>1937660.1524535599</v>
      </c>
      <c r="K59" s="172">
        <v>6806.8492611659203</v>
      </c>
      <c r="L59" s="172">
        <v>-1591870.4897390299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2.3879783839220202E-7</v>
      </c>
      <c r="H60" s="172">
        <v>-543.28154693300098</v>
      </c>
      <c r="I60" s="172">
        <v>-139664.275059648</v>
      </c>
      <c r="J60" s="172">
        <v>-1871822.74373141</v>
      </c>
      <c r="K60" s="172">
        <v>1102370.4087638401</v>
      </c>
      <c r="L60" s="172">
        <v>-4970.17881981356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2.38703250943217E-7</v>
      </c>
      <c r="H61" s="172">
        <v>-543.28154693299996</v>
      </c>
      <c r="I61" s="172">
        <v>-139664.275059648</v>
      </c>
      <c r="J61" s="172">
        <v>-1871822.74373141</v>
      </c>
      <c r="K61" s="172">
        <v>1591195.3714725999</v>
      </c>
      <c r="L61" s="172">
        <v>-6871.6642340767003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2.2814492695033601E-7</v>
      </c>
      <c r="H62" s="172">
        <v>-543.28154603777205</v>
      </c>
      <c r="I62" s="172">
        <v>-139664.275061822</v>
      </c>
      <c r="J62" s="172">
        <v>-1547239.15619695</v>
      </c>
      <c r="K62" s="172">
        <v>1102370.40879432</v>
      </c>
      <c r="L62" s="172">
        <v>-4970.1788121876298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2.2812309907749301E-7</v>
      </c>
      <c r="H63" s="172">
        <v>-543.28154603774999</v>
      </c>
      <c r="I63" s="172">
        <v>-139664.275061822</v>
      </c>
      <c r="J63" s="172">
        <v>-1547239.15619695</v>
      </c>
      <c r="K63" s="172">
        <v>1591195.3715106901</v>
      </c>
      <c r="L63" s="172">
        <v>-6871.6642233190496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3874952.9937463598</v>
      </c>
      <c r="H64" s="172">
        <v>5.44757767784176E-8</v>
      </c>
      <c r="I64" s="172">
        <v>-1.6692996496203699E-7</v>
      </c>
      <c r="J64" s="172">
        <v>-1.2567579688038701E-7</v>
      </c>
      <c r="K64" s="172">
        <v>60026964.745512798</v>
      </c>
      <c r="L64" s="172">
        <v>-45384754.148960799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3981978.0437463601</v>
      </c>
      <c r="H65" s="172">
        <v>5.4477823141496602E-8</v>
      </c>
      <c r="I65" s="172">
        <v>-1.66927748068701E-7</v>
      </c>
      <c r="J65" s="172">
        <v>-1.2565141105369501E-7</v>
      </c>
      <c r="K65" s="172">
        <v>61703258.947388403</v>
      </c>
      <c r="L65" s="172">
        <v>-46773632.198960602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-3.5397533793002399E-7</v>
      </c>
      <c r="H66" s="172">
        <v>-157314.92734860399</v>
      </c>
      <c r="I66" s="172">
        <v>-561.70969459942796</v>
      </c>
      <c r="J66" s="172">
        <v>2672416.7136120098</v>
      </c>
      <c r="K66" s="172">
        <v>6806.84931254809</v>
      </c>
      <c r="L66" s="172">
        <v>-1591870.4897251599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-3.5391713026910999E-7</v>
      </c>
      <c r="H67" s="172">
        <v>-157314.92734860399</v>
      </c>
      <c r="I67" s="172">
        <v>-561.709694599405</v>
      </c>
      <c r="J67" s="172">
        <v>2672416.713612</v>
      </c>
      <c r="K67" s="172">
        <v>8772.8332436467608</v>
      </c>
      <c r="L67" s="172">
        <v>-2142472.7354452801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-3.4377444535493898E-7</v>
      </c>
      <c r="H68" s="172">
        <v>-157314.927349921</v>
      </c>
      <c r="I68" s="172">
        <v>-561.70969529115496</v>
      </c>
      <c r="J68" s="172">
        <v>2181183.8235691199</v>
      </c>
      <c r="K68" s="172">
        <v>6806.8492613154503</v>
      </c>
      <c r="L68" s="172">
        <v>-1591870.48973951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-3.4358527045697E-7</v>
      </c>
      <c r="H69" s="172">
        <v>-157314.927349921</v>
      </c>
      <c r="I69" s="172">
        <v>-561.70969529116496</v>
      </c>
      <c r="J69" s="172">
        <v>2181183.8235691199</v>
      </c>
      <c r="K69" s="172">
        <v>8772.8331948380692</v>
      </c>
      <c r="L69" s="172">
        <v>-2142472.73546424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1.9023264030693099E-7</v>
      </c>
      <c r="H70" s="172">
        <v>-596.19946067483204</v>
      </c>
      <c r="I70" s="172">
        <v>-157186.96169684501</v>
      </c>
      <c r="J70" s="172">
        <v>-2105872.0297526401</v>
      </c>
      <c r="K70" s="172">
        <v>1591195.37147187</v>
      </c>
      <c r="L70" s="172">
        <v>-6871.6642330247396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1.90226273844019E-7</v>
      </c>
      <c r="H71" s="172">
        <v>-596.19946067483204</v>
      </c>
      <c r="I71" s="172">
        <v>-157186.96169684501</v>
      </c>
      <c r="J71" s="172">
        <v>-2105872.0297526498</v>
      </c>
      <c r="K71" s="172">
        <v>2141349.7374108299</v>
      </c>
      <c r="L71" s="172">
        <v>-8958.3623453863092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1.8237369658891101E-7</v>
      </c>
      <c r="H72" s="172">
        <v>-596.19945969394303</v>
      </c>
      <c r="I72" s="172">
        <v>-157186.96169633599</v>
      </c>
      <c r="J72" s="172">
        <v>-1740276.8200133999</v>
      </c>
      <c r="K72" s="172">
        <v>1591195.37151</v>
      </c>
      <c r="L72" s="172">
        <v>-6871.6642223368799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1.8236642063129701E-7</v>
      </c>
      <c r="H73" s="172">
        <v>-596.19945969394996</v>
      </c>
      <c r="I73" s="172">
        <v>-157186.96169633599</v>
      </c>
      <c r="J73" s="172">
        <v>-1740276.8200134099</v>
      </c>
      <c r="K73" s="172">
        <v>2141349.7374471799</v>
      </c>
      <c r="L73" s="172">
        <v>-8958.3623312654599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4665573.1424962804</v>
      </c>
      <c r="H74" s="172">
        <v>4.0169140902435201E-8</v>
      </c>
      <c r="I74" s="172">
        <v>-3.2496870971954201E-8</v>
      </c>
      <c r="J74" s="172">
        <v>3.3348460419801999E-6</v>
      </c>
      <c r="K74" s="172">
        <v>72281408.574497104</v>
      </c>
      <c r="L74" s="172">
        <v>-54645507.2517685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4772598.1924962802</v>
      </c>
      <c r="H75" s="172">
        <v>4.0166526105167597E-8</v>
      </c>
      <c r="I75" s="172">
        <v>-3.2491016099811499E-8</v>
      </c>
      <c r="J75" s="172">
        <v>3.3349915611324798E-6</v>
      </c>
      <c r="K75" s="172">
        <v>73957702.776372194</v>
      </c>
      <c r="L75" s="172">
        <v>-56034385.301768303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-4.1151361074298599E-7</v>
      </c>
      <c r="H76" s="172">
        <v>-173051.51332941899</v>
      </c>
      <c r="I76" s="172">
        <v>-610.88079554025603</v>
      </c>
      <c r="J76" s="172">
        <v>2940330.5800319598</v>
      </c>
      <c r="K76" s="172">
        <v>8772.8332429545098</v>
      </c>
      <c r="L76" s="172">
        <v>-2142472.73544398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-4.1149905882775799E-7</v>
      </c>
      <c r="H77" s="172">
        <v>-173051.513329421</v>
      </c>
      <c r="I77" s="172">
        <v>-610.88079554026899</v>
      </c>
      <c r="J77" s="172">
        <v>2940330.5800319901</v>
      </c>
      <c r="K77" s="172">
        <v>10910.916027346</v>
      </c>
      <c r="L77" s="172">
        <v>-2748153.0320969499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-3.9636506699025599E-7</v>
      </c>
      <c r="H78" s="172">
        <v>-173051.513330519</v>
      </c>
      <c r="I78" s="172">
        <v>-610.88079503584402</v>
      </c>
      <c r="J78" s="172">
        <v>2399642.9962758999</v>
      </c>
      <c r="K78" s="172">
        <v>8772.8331942035002</v>
      </c>
      <c r="L78" s="172">
        <v>-2142472.7354630399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-3.9637961890548499E-7</v>
      </c>
      <c r="H79" s="172">
        <v>-173051.513330521</v>
      </c>
      <c r="I79" s="172">
        <v>-610.88079503576796</v>
      </c>
      <c r="J79" s="172">
        <v>2399642.99627592</v>
      </c>
      <c r="K79" s="172">
        <v>10910.915976828501</v>
      </c>
      <c r="L79" s="172">
        <v>-2748153.0321198599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2.39875589613803E-7</v>
      </c>
      <c r="H80" s="172">
        <v>-651.84973103548998</v>
      </c>
      <c r="I80" s="172">
        <v>-172964.798196733</v>
      </c>
      <c r="J80" s="172">
        <v>-2315729.83702642</v>
      </c>
      <c r="K80" s="172">
        <v>2141349.7374113998</v>
      </c>
      <c r="L80" s="172">
        <v>-8958.3623464951506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2.3994107323233001E-7</v>
      </c>
      <c r="H81" s="172">
        <v>-651.84973103548396</v>
      </c>
      <c r="I81" s="172">
        <v>-172964.79819673201</v>
      </c>
      <c r="J81" s="172">
        <v>-2315729.8370264</v>
      </c>
      <c r="K81" s="172">
        <v>2746726.5310999602</v>
      </c>
      <c r="L81" s="172">
        <v>-11239.836405120701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2.2846143110655201E-7</v>
      </c>
      <c r="H82" s="172">
        <v>-651.84973021782105</v>
      </c>
      <c r="I82" s="172">
        <v>-172964.79819710701</v>
      </c>
      <c r="J82" s="172">
        <v>-1913232.00986883</v>
      </c>
      <c r="K82" s="172">
        <v>2141349.7374477098</v>
      </c>
      <c r="L82" s="172">
        <v>-8958.3623322986696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2.2848325897939501E-7</v>
      </c>
      <c r="H83" s="172">
        <v>-651.84973021783901</v>
      </c>
      <c r="I83" s="172">
        <v>-172964.79819710599</v>
      </c>
      <c r="J83" s="172">
        <v>-1913232.00986882</v>
      </c>
      <c r="K83" s="172">
        <v>2746726.5311375801</v>
      </c>
      <c r="L83" s="172">
        <v>-11239.8363880613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5470247.9792455304</v>
      </c>
      <c r="H84" s="172">
        <v>4.42122995991667E-8</v>
      </c>
      <c r="I84" s="172">
        <v>-6.9710836214653695E-8</v>
      </c>
      <c r="J84" s="172">
        <v>2.3835309548303502E-6</v>
      </c>
      <c r="K84" s="172">
        <v>84753614.042162105</v>
      </c>
      <c r="L84" s="172">
        <v>-64067230.178560801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5577273.0292455303</v>
      </c>
      <c r="H85" s="172">
        <v>4.42221335106296E-8</v>
      </c>
      <c r="I85" s="172">
        <v>-6.9714133132947596E-8</v>
      </c>
      <c r="J85" s="172">
        <v>2.3832533315726302E-6</v>
      </c>
      <c r="K85" s="172">
        <v>86429908.2440373</v>
      </c>
      <c r="L85" s="172">
        <v>-65456108.228560701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-4.1138264350593101E-7</v>
      </c>
      <c r="H86" s="172">
        <v>-186616.65041738001</v>
      </c>
      <c r="I86" s="172">
        <v>-661.03011918700395</v>
      </c>
      <c r="J86" s="172">
        <v>3171172.0132174101</v>
      </c>
      <c r="K86" s="172">
        <v>10910.9160272299</v>
      </c>
      <c r="L86" s="172">
        <v>-2748153.0320969499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-4.1132443584501701E-7</v>
      </c>
      <c r="H87" s="172">
        <v>-186616.650417381</v>
      </c>
      <c r="I87" s="172">
        <v>-661.03011918702396</v>
      </c>
      <c r="J87" s="172">
        <v>3171172.0132174199</v>
      </c>
      <c r="K87" s="172">
        <v>13224.5214443853</v>
      </c>
      <c r="L87" s="172">
        <v>-3401311.30855778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-4.0079612517729402E-7</v>
      </c>
      <c r="H88" s="172">
        <v>-186616.65041840501</v>
      </c>
      <c r="I88" s="172">
        <v>-661.03012081792394</v>
      </c>
      <c r="J88" s="172">
        <v>2587872.0984949302</v>
      </c>
      <c r="K88" s="172">
        <v>10910.915976634</v>
      </c>
      <c r="L88" s="172">
        <v>-2748153.0321197598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-4.0069426177069502E-7</v>
      </c>
      <c r="H89" s="172">
        <v>-186616.650418406</v>
      </c>
      <c r="I89" s="172">
        <v>-661.03012081790803</v>
      </c>
      <c r="J89" s="172">
        <v>2587872.09849494</v>
      </c>
      <c r="K89" s="172">
        <v>13224.521399498</v>
      </c>
      <c r="L89" s="172">
        <v>-3401311.3085841802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1.9587423594202801E-7</v>
      </c>
      <c r="H90" s="172">
        <v>-705.858189666822</v>
      </c>
      <c r="I90" s="172">
        <v>-186600.65938859401</v>
      </c>
      <c r="J90" s="172">
        <v>-2496996.7465283801</v>
      </c>
      <c r="K90" s="172">
        <v>2746726.53109921</v>
      </c>
      <c r="L90" s="172">
        <v>-11239.8364041647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1.9591243471950301E-7</v>
      </c>
      <c r="H91" s="172">
        <v>-705.85818966682098</v>
      </c>
      <c r="I91" s="172">
        <v>-186600.65938859299</v>
      </c>
      <c r="J91" s="172">
        <v>-2496996.7465283698</v>
      </c>
      <c r="K91" s="172">
        <v>3399828.8389592902</v>
      </c>
      <c r="L91" s="172">
        <v>-13710.340067999399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1.88048943527974E-7</v>
      </c>
      <c r="H92" s="172">
        <v>-705.85818890297105</v>
      </c>
      <c r="I92" s="172">
        <v>-186600.65938737901</v>
      </c>
      <c r="J92" s="172">
        <v>-2062624.7722088599</v>
      </c>
      <c r="K92" s="172">
        <v>2746726.5311368899</v>
      </c>
      <c r="L92" s="172">
        <v>-11239.8363871862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1.8812897906172999E-7</v>
      </c>
      <c r="H93" s="172">
        <v>-705.85818890298196</v>
      </c>
      <c r="I93" s="172">
        <v>-186600.65938737901</v>
      </c>
      <c r="J93" s="172">
        <v>-2062624.7722088599</v>
      </c>
      <c r="K93" s="172">
        <v>3399828.83899272</v>
      </c>
      <c r="L93" s="172">
        <v>-13710.340048348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6274922.8159953002</v>
      </c>
      <c r="H94" s="172">
        <v>3.05729486171913E-8</v>
      </c>
      <c r="I94" s="172">
        <v>-4.6149182253429899E-8</v>
      </c>
      <c r="J94" s="172">
        <v>3.1413037504535198E-6</v>
      </c>
      <c r="K94" s="172">
        <v>97225819.509831697</v>
      </c>
      <c r="L94" s="172">
        <v>-73488953.105364904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6381947.8659953</v>
      </c>
      <c r="H95" s="172">
        <v>3.0571868592232898E-8</v>
      </c>
      <c r="I95" s="172">
        <v>-4.6150830712576902E-8</v>
      </c>
      <c r="J95" s="172">
        <v>3.1413062515639501E-6</v>
      </c>
      <c r="K95" s="172">
        <v>98902113.711706802</v>
      </c>
      <c r="L95" s="172">
        <v>-74877831.155364707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-4.1713065002113602E-7</v>
      </c>
      <c r="H96" s="172">
        <v>-197128.64358593899</v>
      </c>
      <c r="I96" s="172">
        <v>-713.68719962299997</v>
      </c>
      <c r="J96" s="172">
        <v>3349422.7534113699</v>
      </c>
      <c r="K96" s="172">
        <v>13224.5214443287</v>
      </c>
      <c r="L96" s="172">
        <v>-3401311.3085576398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-4.1702878661453697E-7</v>
      </c>
      <c r="H97" s="172">
        <v>-197128.64358593899</v>
      </c>
      <c r="I97" s="172">
        <v>-713.68719962299701</v>
      </c>
      <c r="J97" s="172">
        <v>3349422.7534113699</v>
      </c>
      <c r="K97" s="172">
        <v>15722.4266430099</v>
      </c>
      <c r="L97" s="172">
        <v>-4091261.5611084201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-4.0422310121357399E-7</v>
      </c>
      <c r="H98" s="172">
        <v>-197128.643586925</v>
      </c>
      <c r="I98" s="172">
        <v>-713.68720057078497</v>
      </c>
      <c r="J98" s="172">
        <v>2733133.8043492902</v>
      </c>
      <c r="K98" s="172">
        <v>13224.5213994687</v>
      </c>
      <c r="L98" s="172">
        <v>-3401311.3085840698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-4.0418672142550302E-7</v>
      </c>
      <c r="H99" s="172">
        <v>-197128.643586925</v>
      </c>
      <c r="I99" s="172">
        <v>-713.68720057078201</v>
      </c>
      <c r="J99" s="172">
        <v>2733133.8043492902</v>
      </c>
      <c r="K99" s="172">
        <v>15722.426601467199</v>
      </c>
      <c r="L99" s="172">
        <v>-4091261.56113831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2.1180312614888E-7</v>
      </c>
      <c r="H100" s="172">
        <v>-759.37896274562399</v>
      </c>
      <c r="I100" s="172">
        <v>-197157.95026716101</v>
      </c>
      <c r="J100" s="172">
        <v>-2636748.8927025199</v>
      </c>
      <c r="K100" s="172">
        <v>3399828.8389594802</v>
      </c>
      <c r="L100" s="172">
        <v>-13710.340068375101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2.1191954147070601E-7</v>
      </c>
      <c r="H101" s="172">
        <v>-759.37896274562604</v>
      </c>
      <c r="I101" s="172">
        <v>-197157.95026716101</v>
      </c>
      <c r="J101" s="172">
        <v>-2636748.8927025199</v>
      </c>
      <c r="K101" s="172">
        <v>4089881.6648945501</v>
      </c>
      <c r="L101" s="172">
        <v>-16368.1664379868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2.02217051992193E-7</v>
      </c>
      <c r="H102" s="172">
        <v>-759.37896201178796</v>
      </c>
      <c r="I102" s="172">
        <v>-197157.95026645501</v>
      </c>
      <c r="J102" s="172">
        <v>-2177735.8752560699</v>
      </c>
      <c r="K102" s="172">
        <v>3399828.83899289</v>
      </c>
      <c r="L102" s="172">
        <v>-13710.3400486921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2.02293449547142E-7</v>
      </c>
      <c r="H103" s="172">
        <v>-759.37896201179103</v>
      </c>
      <c r="I103" s="172">
        <v>-197157.95026645501</v>
      </c>
      <c r="J103" s="172">
        <v>-2177735.8752560802</v>
      </c>
      <c r="K103" s="172">
        <v>4089881.6649254798</v>
      </c>
      <c r="L103" s="172">
        <v>-16368.1664157348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7078805.6527450401</v>
      </c>
      <c r="H104" s="172">
        <v>2.32964794122381E-8</v>
      </c>
      <c r="I104" s="172">
        <v>-4.7132118652370998E-8</v>
      </c>
      <c r="J104" s="172">
        <v>3.1977288017515102E-6</v>
      </c>
      <c r="K104" s="172">
        <v>109675848.977502</v>
      </c>
      <c r="L104" s="172">
        <v>-82892460.032168195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7185830.7027450399</v>
      </c>
      <c r="H105" s="172">
        <v>2.3294944639928902E-8</v>
      </c>
      <c r="I105" s="172">
        <v>-4.7130583880061703E-8</v>
      </c>
      <c r="J105" s="172">
        <v>3.19779860546987E-6</v>
      </c>
      <c r="K105" s="172">
        <v>111352143.179377</v>
      </c>
      <c r="L105" s="172">
        <v>-84281338.082168102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-4.1355087887495799E-7</v>
      </c>
      <c r="H106" s="172">
        <v>-203028.881295467</v>
      </c>
      <c r="I106" s="172">
        <v>-748.81696155225995</v>
      </c>
      <c r="J106" s="172">
        <v>3449665.8324845899</v>
      </c>
      <c r="K106" s="172">
        <v>15722.426643058499</v>
      </c>
      <c r="L106" s="172">
        <v>-4091261.5611085002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-4.1348539525643002E-7</v>
      </c>
      <c r="H107" s="172">
        <v>-203028.881295467</v>
      </c>
      <c r="I107" s="172">
        <v>-748.81696155225904</v>
      </c>
      <c r="J107" s="172">
        <v>3449665.8324846001</v>
      </c>
      <c r="K107" s="172">
        <v>18717.694489268899</v>
      </c>
      <c r="L107" s="172">
        <v>-4903377.0862903604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-3.99330019718036E-7</v>
      </c>
      <c r="H108" s="172">
        <v>-203028.88129649599</v>
      </c>
      <c r="I108" s="172">
        <v>-748.81696303645401</v>
      </c>
      <c r="J108" s="172">
        <v>2814873.6895614602</v>
      </c>
      <c r="K108" s="172">
        <v>15722.426601544599</v>
      </c>
      <c r="L108" s="172">
        <v>-4091261.5611384101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-3.9917722460813799E-7</v>
      </c>
      <c r="H109" s="172">
        <v>-203028.88129649599</v>
      </c>
      <c r="I109" s="172">
        <v>-748.81696303645901</v>
      </c>
      <c r="J109" s="172">
        <v>2814873.6895614699</v>
      </c>
      <c r="K109" s="172">
        <v>18717.694453692198</v>
      </c>
      <c r="L109" s="172">
        <v>-4903377.0863244003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2.15979525819421E-7</v>
      </c>
      <c r="H110" s="172">
        <v>-796.58292084974505</v>
      </c>
      <c r="I110" s="172">
        <v>-203028.881325088</v>
      </c>
      <c r="J110" s="172">
        <v>-2714597.1699493099</v>
      </c>
      <c r="K110" s="172">
        <v>4089881.6648946698</v>
      </c>
      <c r="L110" s="172">
        <v>-16368.1664381134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2.1596861188299999E-7</v>
      </c>
      <c r="H111" s="172">
        <v>-796.58292084974403</v>
      </c>
      <c r="I111" s="172">
        <v>-203028.881325088</v>
      </c>
      <c r="J111" s="172">
        <v>-2714597.1699493099</v>
      </c>
      <c r="K111" s="172">
        <v>4901997.1901950203</v>
      </c>
      <c r="L111" s="172">
        <v>-19554.498121511999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2.0552761270664601E-7</v>
      </c>
      <c r="H112" s="172">
        <v>-796.58292008337605</v>
      </c>
      <c r="I112" s="172">
        <v>-203028.88132398299</v>
      </c>
      <c r="J112" s="172">
        <v>-2241904.65698</v>
      </c>
      <c r="K112" s="172">
        <v>4089881.6649255902</v>
      </c>
      <c r="L112" s="172">
        <v>-16368.1664158434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2.0553125068545299E-7</v>
      </c>
      <c r="H113" s="172">
        <v>-796.58292008337696</v>
      </c>
      <c r="I113" s="172">
        <v>-203028.88132398299</v>
      </c>
      <c r="J113" s="172">
        <v>-2241904.65698</v>
      </c>
      <c r="K113" s="172">
        <v>4901997.1902215201</v>
      </c>
      <c r="L113" s="172">
        <v>-19554.498096176601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8099723.48949512</v>
      </c>
      <c r="H114" s="172">
        <v>2.5128088054771099E-8</v>
      </c>
      <c r="I114" s="172">
        <v>-4.6297742528622601E-8</v>
      </c>
      <c r="J114" s="172">
        <v>3.18773436447373E-6</v>
      </c>
      <c r="K114" s="172">
        <v>125506236.14517801</v>
      </c>
      <c r="L114" s="172">
        <v>-94744261.258978695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8220260.5394951198</v>
      </c>
      <c r="H115" s="172">
        <v>2.5123938485194201E-8</v>
      </c>
      <c r="I115" s="172">
        <v>-4.6298779921016797E-8</v>
      </c>
      <c r="J115" s="172">
        <v>3.1877771107247099E-6</v>
      </c>
      <c r="K115" s="172">
        <v>127392859.147053</v>
      </c>
      <c r="L115" s="172">
        <v>-96294227.308978602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295" workbookViewId="0">
      <selection activeCell="B435" sqref="B435:G445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191"/>
      <c r="C4" s="191"/>
      <c r="D4" s="191"/>
      <c r="E4" s="191" t="s">
        <v>7</v>
      </c>
      <c r="F4" s="191" t="s">
        <v>7</v>
      </c>
      <c r="G4" s="192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2.92269329699054E-2</v>
      </c>
      <c r="F6" s="172">
        <v>2.8572278381681901E-2</v>
      </c>
      <c r="G6" s="172">
        <v>1.0229122291011701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3.1496908406860397E-2</v>
      </c>
      <c r="F7" s="172">
        <v>2.7859767794999199E-2</v>
      </c>
      <c r="G7" s="172">
        <v>1.1305517202664599</v>
      </c>
    </row>
    <row r="8" spans="2:7" s="172" customFormat="1" x14ac:dyDescent="0.3">
      <c r="B8" s="172" t="s">
        <v>185</v>
      </c>
      <c r="C8" s="172" t="s">
        <v>79</v>
      </c>
      <c r="D8" s="172" t="s">
        <v>218</v>
      </c>
      <c r="E8" s="172">
        <v>3.0273931172022501E-2</v>
      </c>
      <c r="F8" s="172">
        <v>2.6763332059075801E-2</v>
      </c>
      <c r="G8" s="172">
        <v>1.1311719745955999</v>
      </c>
    </row>
    <row r="9" spans="2:7" s="172" customFormat="1" x14ac:dyDescent="0.3">
      <c r="B9" s="172" t="s">
        <v>183</v>
      </c>
      <c r="C9" s="172" t="s">
        <v>79</v>
      </c>
      <c r="D9" s="172" t="s">
        <v>218</v>
      </c>
      <c r="E9" s="172">
        <v>2.8346142731247199E-2</v>
      </c>
      <c r="F9" s="172">
        <v>2.50538344656351E-2</v>
      </c>
      <c r="G9" s="172">
        <v>1.1314093565249701</v>
      </c>
    </row>
    <row r="10" spans="2:7" s="172" customFormat="1" x14ac:dyDescent="0.3">
      <c r="B10" s="172" t="s">
        <v>181</v>
      </c>
      <c r="C10" s="172" t="s">
        <v>79</v>
      </c>
      <c r="D10" s="172" t="s">
        <v>218</v>
      </c>
      <c r="E10" s="172">
        <v>2.5760257010385802E-2</v>
      </c>
      <c r="F10" s="172">
        <v>2.2771655183188699E-2</v>
      </c>
      <c r="G10" s="172">
        <v>1.1312421869712601</v>
      </c>
    </row>
    <row r="11" spans="2:7" s="172" customFormat="1" x14ac:dyDescent="0.3">
      <c r="B11" s="172" t="s">
        <v>179</v>
      </c>
      <c r="C11" s="172" t="s">
        <v>79</v>
      </c>
      <c r="D11" s="172" t="s">
        <v>218</v>
      </c>
      <c r="E11" s="172">
        <v>2.2622505656604799E-2</v>
      </c>
      <c r="F11" s="172">
        <v>2.0008969192897401E-2</v>
      </c>
      <c r="G11" s="172">
        <v>1.13061824617308</v>
      </c>
    </row>
    <row r="12" spans="2:7" s="172" customFormat="1" x14ac:dyDescent="0.3">
      <c r="B12" s="172" t="s">
        <v>39</v>
      </c>
      <c r="C12" s="172" t="s">
        <v>79</v>
      </c>
      <c r="D12" s="172" t="s">
        <v>218</v>
      </c>
      <c r="E12" s="172">
        <v>1.9056745676019698E-2</v>
      </c>
      <c r="F12" s="172">
        <v>1.6871345968667399E-2</v>
      </c>
      <c r="G12" s="172">
        <v>1.1295332163427201</v>
      </c>
    </row>
    <row r="13" spans="2:7" s="172" customFormat="1" x14ac:dyDescent="0.3">
      <c r="B13" s="172" t="s">
        <v>26</v>
      </c>
      <c r="C13" s="172" t="s">
        <v>79</v>
      </c>
      <c r="D13" s="172" t="s">
        <v>218</v>
      </c>
      <c r="E13" s="172">
        <v>1.5307785419528101E-2</v>
      </c>
      <c r="F13" s="172">
        <v>1.3555167947958999E-2</v>
      </c>
      <c r="G13" s="172">
        <v>1.12929514988658</v>
      </c>
    </row>
    <row r="14" spans="2:7" s="172" customFormat="1" x14ac:dyDescent="0.3">
      <c r="B14" s="172" t="s">
        <v>25</v>
      </c>
      <c r="C14" s="172" t="s">
        <v>79</v>
      </c>
      <c r="D14" s="172" t="s">
        <v>218</v>
      </c>
      <c r="E14" s="172">
        <v>1.14582650074708E-2</v>
      </c>
      <c r="F14" s="172">
        <v>1.0132820035131501E-2</v>
      </c>
      <c r="G14" s="172">
        <v>1.1308071166510201</v>
      </c>
    </row>
    <row r="15" spans="2:7" s="172" customFormat="1" x14ac:dyDescent="0.3">
      <c r="B15" s="172" t="s">
        <v>24</v>
      </c>
      <c r="C15" s="172" t="s">
        <v>79</v>
      </c>
      <c r="D15" s="172" t="s">
        <v>218</v>
      </c>
      <c r="E15" s="172">
        <v>7.4396068628656701E-3</v>
      </c>
      <c r="F15" s="172">
        <v>6.5640672654075499E-3</v>
      </c>
      <c r="G15" s="172">
        <v>1.13338370282587</v>
      </c>
    </row>
    <row r="16" spans="2:7" x14ac:dyDescent="0.3">
      <c r="B16" s="172" t="s">
        <v>22</v>
      </c>
      <c r="C16" s="172" t="s">
        <v>79</v>
      </c>
      <c r="D16" s="172" t="s">
        <v>218</v>
      </c>
      <c r="E16" s="172">
        <v>3.3991927175347301E-3</v>
      </c>
      <c r="F16" s="172">
        <v>2.9850552807994201E-3</v>
      </c>
      <c r="G16" s="172">
        <v>1.1387369404510299</v>
      </c>
    </row>
    <row r="17" spans="2:7" hidden="1" x14ac:dyDescent="0.3">
      <c r="B17" s="172" t="s">
        <v>189</v>
      </c>
      <c r="C17" s="172" t="s">
        <v>80</v>
      </c>
      <c r="D17" s="172" t="s">
        <v>218</v>
      </c>
      <c r="E17" s="172">
        <v>2.97083009290194E-2</v>
      </c>
      <c r="F17" s="172">
        <v>2.90942388983827E-2</v>
      </c>
      <c r="G17" s="172">
        <v>1.0211059664692199</v>
      </c>
    </row>
    <row r="18" spans="2:7" hidden="1" x14ac:dyDescent="0.3">
      <c r="B18" s="172" t="s">
        <v>187</v>
      </c>
      <c r="C18" s="172" t="s">
        <v>80</v>
      </c>
      <c r="D18" s="172" t="s">
        <v>218</v>
      </c>
      <c r="E18" s="172">
        <v>3.1945236720474099E-2</v>
      </c>
      <c r="F18" s="172">
        <v>2.7885363848346001E-2</v>
      </c>
      <c r="G18" s="172">
        <v>1.14559153304248</v>
      </c>
    </row>
    <row r="19" spans="2:7" hidden="1" x14ac:dyDescent="0.3">
      <c r="B19" s="172" t="s">
        <v>185</v>
      </c>
      <c r="C19" s="172" t="s">
        <v>80</v>
      </c>
      <c r="D19" s="172" t="s">
        <v>218</v>
      </c>
      <c r="E19" s="172">
        <v>3.0706040375794601E-2</v>
      </c>
      <c r="F19" s="172">
        <v>2.6788904409164899E-2</v>
      </c>
      <c r="G19" s="172">
        <v>1.1462223279758199</v>
      </c>
    </row>
    <row r="20" spans="2:7" hidden="1" x14ac:dyDescent="0.3">
      <c r="B20" s="172" t="s">
        <v>183</v>
      </c>
      <c r="C20" s="172" t="s">
        <v>80</v>
      </c>
      <c r="D20" s="172" t="s">
        <v>218</v>
      </c>
      <c r="E20" s="172">
        <v>2.8752169155889101E-2</v>
      </c>
      <c r="F20" s="172">
        <v>2.5078542258757001E-2</v>
      </c>
      <c r="G20" s="172">
        <v>1.1464848657959501</v>
      </c>
    </row>
    <row r="21" spans="2:7" hidden="1" x14ac:dyDescent="0.3">
      <c r="B21" s="172" t="s">
        <v>181</v>
      </c>
      <c r="C21" s="172" t="s">
        <v>80</v>
      </c>
      <c r="D21" s="172" t="s">
        <v>218</v>
      </c>
      <c r="E21" s="172">
        <v>2.61289391002411E-2</v>
      </c>
      <c r="F21" s="172">
        <v>2.27945463712717E-2</v>
      </c>
      <c r="G21" s="172">
        <v>1.1462802845320801</v>
      </c>
    </row>
    <row r="22" spans="2:7" hidden="1" x14ac:dyDescent="0.3">
      <c r="B22" s="172" t="s">
        <v>179</v>
      </c>
      <c r="C22" s="172" t="s">
        <v>80</v>
      </c>
      <c r="D22" s="172" t="s">
        <v>218</v>
      </c>
      <c r="E22" s="172">
        <v>2.2943790645740501E-2</v>
      </c>
      <c r="F22" s="172">
        <v>2.0029196618939399E-2</v>
      </c>
      <c r="G22" s="172">
        <v>1.1455172707249299</v>
      </c>
    </row>
    <row r="23" spans="2:7" hidden="1" x14ac:dyDescent="0.3">
      <c r="B23" s="172" t="s">
        <v>39</v>
      </c>
      <c r="C23" s="172" t="s">
        <v>80</v>
      </c>
      <c r="D23" s="172" t="s">
        <v>218</v>
      </c>
      <c r="E23" s="172">
        <v>1.93231514140365E-2</v>
      </c>
      <c r="F23" s="172">
        <v>1.68882813797691E-2</v>
      </c>
      <c r="G23" s="172">
        <v>1.14417512235344</v>
      </c>
    </row>
    <row r="24" spans="2:7" hidden="1" x14ac:dyDescent="0.3">
      <c r="B24" s="172" t="s">
        <v>26</v>
      </c>
      <c r="C24" s="172" t="s">
        <v>80</v>
      </c>
      <c r="D24" s="172" t="s">
        <v>218</v>
      </c>
      <c r="E24" s="172">
        <v>1.55206392042777E-2</v>
      </c>
      <c r="F24" s="172">
        <v>1.35687911967584E-2</v>
      </c>
      <c r="G24" s="172">
        <v>1.1438483339610701</v>
      </c>
    </row>
    <row r="25" spans="2:7" hidden="1" x14ac:dyDescent="0.3">
      <c r="B25" s="172" t="s">
        <v>25</v>
      </c>
      <c r="C25" s="172" t="s">
        <v>80</v>
      </c>
      <c r="D25" s="172" t="s">
        <v>218</v>
      </c>
      <c r="E25" s="172">
        <v>1.16202197585396E-2</v>
      </c>
      <c r="F25" s="172">
        <v>1.0143215146082201E-2</v>
      </c>
      <c r="G25" s="172">
        <v>1.14561503341747</v>
      </c>
    </row>
    <row r="26" spans="2:7" hidden="1" x14ac:dyDescent="0.3">
      <c r="B26" s="172" t="s">
        <v>24</v>
      </c>
      <c r="C26" s="172" t="s">
        <v>80</v>
      </c>
      <c r="D26" s="172" t="s">
        <v>218</v>
      </c>
      <c r="E26" s="172">
        <v>7.5478195000797804E-3</v>
      </c>
      <c r="F26" s="172">
        <v>6.5710074903350003E-3</v>
      </c>
      <c r="G26" s="172">
        <v>1.1486548312692599</v>
      </c>
    </row>
    <row r="27" spans="2:7" hidden="1" x14ac:dyDescent="0.3">
      <c r="B27" s="172" t="s">
        <v>22</v>
      </c>
      <c r="C27" s="172" t="s">
        <v>80</v>
      </c>
      <c r="D27" s="172" t="s">
        <v>218</v>
      </c>
      <c r="E27" s="172">
        <v>3.45021911526803E-3</v>
      </c>
      <c r="F27" s="172">
        <v>2.9883010894539998E-3</v>
      </c>
      <c r="G27" s="172">
        <v>1.15457546344449</v>
      </c>
    </row>
    <row r="28" spans="2:7" hidden="1" x14ac:dyDescent="0.3">
      <c r="B28" s="172" t="s">
        <v>189</v>
      </c>
      <c r="C28" s="172" t="s">
        <v>81</v>
      </c>
      <c r="D28" s="172" t="s">
        <v>221</v>
      </c>
      <c r="E28" s="172">
        <v>3.2166432107919599E-2</v>
      </c>
      <c r="F28" s="172">
        <v>3.1859882637548201E-2</v>
      </c>
      <c r="G28" s="172">
        <v>1.0096218016198899</v>
      </c>
    </row>
    <row r="29" spans="2:7" hidden="1" x14ac:dyDescent="0.3">
      <c r="B29" s="172" t="s">
        <v>187</v>
      </c>
      <c r="C29" s="172" t="s">
        <v>81</v>
      </c>
      <c r="D29" s="172" t="s">
        <v>221</v>
      </c>
      <c r="E29" s="172">
        <v>3.1568969301326903E-2</v>
      </c>
      <c r="F29" s="172">
        <v>2.9791854913952399E-2</v>
      </c>
      <c r="G29" s="172">
        <v>1.0596510151015199</v>
      </c>
    </row>
    <row r="30" spans="2:7" hidden="1" x14ac:dyDescent="0.3">
      <c r="B30" s="172" t="s">
        <v>185</v>
      </c>
      <c r="C30" s="172" t="s">
        <v>81</v>
      </c>
      <c r="D30" s="172" t="s">
        <v>221</v>
      </c>
      <c r="E30" s="172">
        <v>3.0448222159332301E-2</v>
      </c>
      <c r="F30" s="172">
        <v>2.8746736166160702E-2</v>
      </c>
      <c r="G30" s="172">
        <v>1.0591888408943799</v>
      </c>
    </row>
    <row r="31" spans="2:7" hidden="1" x14ac:dyDescent="0.3">
      <c r="B31" s="172" t="s">
        <v>183</v>
      </c>
      <c r="C31" s="172" t="s">
        <v>81</v>
      </c>
      <c r="D31" s="172" t="s">
        <v>221</v>
      </c>
      <c r="E31" s="172">
        <v>2.8606403901793399E-2</v>
      </c>
      <c r="F31" s="172">
        <v>2.7019024053176698E-2</v>
      </c>
      <c r="G31" s="172">
        <v>1.05875045099677</v>
      </c>
    </row>
    <row r="32" spans="2:7" hidden="1" x14ac:dyDescent="0.3">
      <c r="B32" s="172" t="s">
        <v>181</v>
      </c>
      <c r="C32" s="172" t="s">
        <v>81</v>
      </c>
      <c r="D32" s="172" t="s">
        <v>221</v>
      </c>
      <c r="E32" s="172">
        <v>2.6081105219633301E-2</v>
      </c>
      <c r="F32" s="172">
        <v>2.46395759869469E-2</v>
      </c>
      <c r="G32" s="172">
        <v>1.05850462822291</v>
      </c>
    </row>
    <row r="33" spans="2:7" hidden="1" x14ac:dyDescent="0.3">
      <c r="B33" s="172" t="s">
        <v>179</v>
      </c>
      <c r="C33" s="172" t="s">
        <v>81</v>
      </c>
      <c r="D33" s="172" t="s">
        <v>221</v>
      </c>
      <c r="E33" s="172">
        <v>2.2976091760190599E-2</v>
      </c>
      <c r="F33" s="172">
        <v>2.1706114723854201E-2</v>
      </c>
      <c r="G33" s="172">
        <v>1.05850780079683</v>
      </c>
    </row>
    <row r="34" spans="2:7" hidden="1" x14ac:dyDescent="0.3">
      <c r="B34" s="172" t="s">
        <v>39</v>
      </c>
      <c r="C34" s="172" t="s">
        <v>81</v>
      </c>
      <c r="D34" s="172" t="s">
        <v>221</v>
      </c>
      <c r="E34" s="172">
        <v>1.9415274483000799E-2</v>
      </c>
      <c r="F34" s="172">
        <v>1.8336845850576201E-2</v>
      </c>
      <c r="G34" s="172">
        <v>1.0588121120291101</v>
      </c>
    </row>
    <row r="35" spans="2:7" hidden="1" x14ac:dyDescent="0.3">
      <c r="B35" s="172" t="s">
        <v>26</v>
      </c>
      <c r="C35" s="172" t="s">
        <v>81</v>
      </c>
      <c r="D35" s="172" t="s">
        <v>221</v>
      </c>
      <c r="E35" s="172">
        <v>1.56389487126424E-2</v>
      </c>
      <c r="F35" s="172">
        <v>1.47539023007552E-2</v>
      </c>
      <c r="G35" s="172">
        <v>1.0599872761690901</v>
      </c>
    </row>
    <row r="36" spans="2:7" hidden="1" x14ac:dyDescent="0.3">
      <c r="B36" s="172" t="s">
        <v>25</v>
      </c>
      <c r="C36" s="172" t="s">
        <v>81</v>
      </c>
      <c r="D36" s="172" t="s">
        <v>221</v>
      </c>
      <c r="E36" s="172">
        <v>1.1725049135635201E-2</v>
      </c>
      <c r="F36" s="172">
        <v>1.10321943405212E-2</v>
      </c>
      <c r="G36" s="172">
        <v>1.0628029903868801</v>
      </c>
    </row>
    <row r="37" spans="2:7" hidden="1" x14ac:dyDescent="0.3">
      <c r="B37" s="172" t="s">
        <v>24</v>
      </c>
      <c r="C37" s="172" t="s">
        <v>81</v>
      </c>
      <c r="D37" s="172" t="s">
        <v>221</v>
      </c>
      <c r="E37" s="172">
        <v>7.5890344013269497E-3</v>
      </c>
      <c r="F37" s="172">
        <v>7.10929696494517E-3</v>
      </c>
      <c r="G37" s="172">
        <v>1.0674802921790001</v>
      </c>
    </row>
    <row r="38" spans="2:7" hidden="1" x14ac:dyDescent="0.3">
      <c r="B38" s="172" t="s">
        <v>22</v>
      </c>
      <c r="C38" s="172" t="s">
        <v>81</v>
      </c>
      <c r="D38" s="172" t="s">
        <v>221</v>
      </c>
      <c r="E38" s="172">
        <v>3.4230562719754598E-3</v>
      </c>
      <c r="F38" s="172">
        <v>3.1717316942395301E-3</v>
      </c>
      <c r="G38" s="172">
        <v>1.0792389148780701</v>
      </c>
    </row>
    <row r="39" spans="2:7" hidden="1" x14ac:dyDescent="0.3">
      <c r="B39" s="172" t="s">
        <v>189</v>
      </c>
      <c r="C39" s="172" t="s">
        <v>82</v>
      </c>
      <c r="D39" s="172" t="s">
        <v>221</v>
      </c>
      <c r="E39" s="172">
        <v>2.9126791257902799E-2</v>
      </c>
      <c r="F39" s="172">
        <v>2.8677980524647699E-2</v>
      </c>
      <c r="G39" s="172">
        <v>1.01565001178759</v>
      </c>
    </row>
    <row r="40" spans="2:7" hidden="1" x14ac:dyDescent="0.3">
      <c r="B40" s="172" t="s">
        <v>187</v>
      </c>
      <c r="C40" s="172" t="s">
        <v>82</v>
      </c>
      <c r="D40" s="172" t="s">
        <v>221</v>
      </c>
      <c r="E40" s="172">
        <v>3.2635089389927499E-2</v>
      </c>
      <c r="F40" s="172">
        <v>3.0159254145357799E-2</v>
      </c>
      <c r="G40" s="172">
        <v>1.0820920581336999</v>
      </c>
    </row>
    <row r="41" spans="2:7" hidden="1" x14ac:dyDescent="0.3">
      <c r="B41" s="172" t="s">
        <v>185</v>
      </c>
      <c r="C41" s="172" t="s">
        <v>82</v>
      </c>
      <c r="D41" s="172" t="s">
        <v>221</v>
      </c>
      <c r="E41" s="172">
        <v>3.1503716721333501E-2</v>
      </c>
      <c r="F41" s="172">
        <v>2.91015700321978E-2</v>
      </c>
      <c r="G41" s="172">
        <v>1.08254354271876</v>
      </c>
    </row>
    <row r="42" spans="2:7" hidden="1" x14ac:dyDescent="0.3">
      <c r="B42" s="172" t="s">
        <v>183</v>
      </c>
      <c r="C42" s="172" t="s">
        <v>82</v>
      </c>
      <c r="D42" s="172" t="s">
        <v>221</v>
      </c>
      <c r="E42" s="172">
        <v>2.9612364819576301E-2</v>
      </c>
      <c r="F42" s="172">
        <v>2.7351635088923701E-2</v>
      </c>
      <c r="G42" s="172">
        <v>1.08265428093431</v>
      </c>
    </row>
    <row r="43" spans="2:7" hidden="1" x14ac:dyDescent="0.3">
      <c r="B43" s="172" t="s">
        <v>181</v>
      </c>
      <c r="C43" s="172" t="s">
        <v>82</v>
      </c>
      <c r="D43" s="172" t="s">
        <v>221</v>
      </c>
      <c r="E43" s="172">
        <v>2.69912229643865E-2</v>
      </c>
      <c r="F43" s="172">
        <v>2.49399707525522E-2</v>
      </c>
      <c r="G43" s="172">
        <v>1.0822475788839601</v>
      </c>
    </row>
    <row r="44" spans="2:7" hidden="1" x14ac:dyDescent="0.3">
      <c r="B44" s="172" t="s">
        <v>179</v>
      </c>
      <c r="C44" s="172" t="s">
        <v>82</v>
      </c>
      <c r="D44" s="172" t="s">
        <v>221</v>
      </c>
      <c r="E44" s="172">
        <v>2.3749538620642701E-2</v>
      </c>
      <c r="F44" s="172">
        <v>2.19658024926528E-2</v>
      </c>
      <c r="G44" s="172">
        <v>1.0812051427935101</v>
      </c>
    </row>
    <row r="45" spans="2:7" hidden="1" x14ac:dyDescent="0.3">
      <c r="B45" s="172" t="s">
        <v>39</v>
      </c>
      <c r="C45" s="172" t="s">
        <v>82</v>
      </c>
      <c r="D45" s="172" t="s">
        <v>221</v>
      </c>
      <c r="E45" s="172">
        <v>2.0024036474159901E-2</v>
      </c>
      <c r="F45" s="172">
        <v>1.8550122076330101E-2</v>
      </c>
      <c r="G45" s="172">
        <v>1.07945577887655</v>
      </c>
    </row>
    <row r="46" spans="2:7" hidden="1" x14ac:dyDescent="0.3">
      <c r="B46" s="172" t="s">
        <v>26</v>
      </c>
      <c r="C46" s="172" t="s">
        <v>82</v>
      </c>
      <c r="D46" s="172" t="s">
        <v>221</v>
      </c>
      <c r="E46" s="172">
        <v>1.6081852592754801E-2</v>
      </c>
      <c r="F46" s="172">
        <v>1.49202930071417E-2</v>
      </c>
      <c r="G46" s="172">
        <v>1.07785099026253</v>
      </c>
    </row>
    <row r="47" spans="2:7" hidden="1" x14ac:dyDescent="0.3">
      <c r="B47" s="172" t="s">
        <v>25</v>
      </c>
      <c r="C47" s="172" t="s">
        <v>82</v>
      </c>
      <c r="D47" s="172" t="s">
        <v>221</v>
      </c>
      <c r="E47" s="172">
        <v>1.2008286186273601E-2</v>
      </c>
      <c r="F47" s="172">
        <v>1.1152750603054901E-2</v>
      </c>
      <c r="G47" s="172">
        <v>1.0767107248847101</v>
      </c>
    </row>
    <row r="48" spans="2:7" hidden="1" x14ac:dyDescent="0.3">
      <c r="B48" s="172" t="s">
        <v>24</v>
      </c>
      <c r="C48" s="172" t="s">
        <v>82</v>
      </c>
      <c r="D48" s="172" t="s">
        <v>221</v>
      </c>
      <c r="E48" s="172">
        <v>7.7279267500616096E-3</v>
      </c>
      <c r="F48" s="172">
        <v>7.1841891157368304E-3</v>
      </c>
      <c r="G48" s="172">
        <v>1.07568531751673</v>
      </c>
    </row>
    <row r="49" spans="2:7" hidden="1" x14ac:dyDescent="0.3">
      <c r="B49" s="172" t="s">
        <v>22</v>
      </c>
      <c r="C49" s="172" t="s">
        <v>82</v>
      </c>
      <c r="D49" s="172" t="s">
        <v>221</v>
      </c>
      <c r="E49" s="172">
        <v>3.4346213291623299E-3</v>
      </c>
      <c r="F49" s="172">
        <v>3.2019269517320299E-3</v>
      </c>
      <c r="G49" s="172">
        <v>1.0726732311317799</v>
      </c>
    </row>
    <row r="50" spans="2:7" hidden="1" x14ac:dyDescent="0.3">
      <c r="B50" s="172" t="s">
        <v>189</v>
      </c>
      <c r="C50" s="172" t="s">
        <v>246</v>
      </c>
      <c r="D50" s="172" t="s">
        <v>218</v>
      </c>
      <c r="E50" s="172">
        <v>1.12893544119806E-3</v>
      </c>
      <c r="F50" s="172">
        <v>1.12096980268239E-3</v>
      </c>
      <c r="G50" s="172">
        <v>1.0071060241735399</v>
      </c>
    </row>
    <row r="51" spans="2:7" hidden="1" x14ac:dyDescent="0.3">
      <c r="B51" s="172" t="s">
        <v>189</v>
      </c>
      <c r="C51" s="172" t="s">
        <v>246</v>
      </c>
      <c r="D51" s="172" t="s">
        <v>221</v>
      </c>
      <c r="E51" s="172">
        <v>6.5172164550839897E-4</v>
      </c>
      <c r="F51" s="172">
        <v>6.4534913469586398E-4</v>
      </c>
      <c r="G51" s="172">
        <v>1.0098745167072101</v>
      </c>
    </row>
    <row r="52" spans="2:7" hidden="1" x14ac:dyDescent="0.3">
      <c r="B52" s="172" t="s">
        <v>187</v>
      </c>
      <c r="C52" s="172" t="s">
        <v>246</v>
      </c>
      <c r="D52" s="172" t="s">
        <v>218</v>
      </c>
      <c r="E52" s="172">
        <v>5.8543583939677001E-4</v>
      </c>
      <c r="F52" s="172">
        <v>4.6801901545064702E-4</v>
      </c>
      <c r="G52" s="172">
        <v>1.2508804558572599</v>
      </c>
    </row>
    <row r="53" spans="2:7" hidden="1" x14ac:dyDescent="0.3">
      <c r="B53" s="172" t="s">
        <v>187</v>
      </c>
      <c r="C53" s="172" t="s">
        <v>246</v>
      </c>
      <c r="D53" s="172" t="s">
        <v>221</v>
      </c>
      <c r="E53" s="172">
        <v>4.0151675754257601E-4</v>
      </c>
      <c r="F53" s="172">
        <v>3.1440104945351801E-4</v>
      </c>
      <c r="G53" s="172">
        <v>1.27708466062846</v>
      </c>
    </row>
    <row r="54" spans="2:7" hidden="1" x14ac:dyDescent="0.3">
      <c r="B54" s="172" t="s">
        <v>185</v>
      </c>
      <c r="C54" s="172" t="s">
        <v>246</v>
      </c>
      <c r="D54" s="172" t="s">
        <v>218</v>
      </c>
      <c r="E54" s="172">
        <v>5.03831256195978E-4</v>
      </c>
      <c r="F54" s="172">
        <v>4.0487245478598401E-4</v>
      </c>
      <c r="G54" s="172">
        <v>1.24441969375838</v>
      </c>
    </row>
    <row r="55" spans="2:7" hidden="1" x14ac:dyDescent="0.3">
      <c r="B55" s="172" t="s">
        <v>185</v>
      </c>
      <c r="C55" s="172" t="s">
        <v>246</v>
      </c>
      <c r="D55" s="172" t="s">
        <v>221</v>
      </c>
      <c r="E55" s="172">
        <v>3.4140421003136102E-4</v>
      </c>
      <c r="F55" s="172">
        <v>2.6798316382394601E-4</v>
      </c>
      <c r="G55" s="172">
        <v>1.2739763392585699</v>
      </c>
    </row>
    <row r="56" spans="2:7" hidden="1" x14ac:dyDescent="0.3">
      <c r="B56" s="172" t="s">
        <v>183</v>
      </c>
      <c r="C56" s="172" t="s">
        <v>246</v>
      </c>
      <c r="D56" s="172" t="s">
        <v>218</v>
      </c>
      <c r="E56" s="172">
        <v>4.1642477522496401E-4</v>
      </c>
      <c r="F56" s="172">
        <v>3.38629515046354E-4</v>
      </c>
      <c r="G56" s="172">
        <v>1.2297356158336099</v>
      </c>
    </row>
    <row r="57" spans="2:7" hidden="1" x14ac:dyDescent="0.3">
      <c r="B57" s="172" t="s">
        <v>183</v>
      </c>
      <c r="C57" s="172" t="s">
        <v>246</v>
      </c>
      <c r="D57" s="172" t="s">
        <v>221</v>
      </c>
      <c r="E57" s="172">
        <v>2.7407508453810902E-4</v>
      </c>
      <c r="F57" s="172">
        <v>2.1635602053462401E-4</v>
      </c>
      <c r="G57" s="172">
        <v>1.2667781735902599</v>
      </c>
    </row>
    <row r="58" spans="2:7" hidden="1" x14ac:dyDescent="0.3">
      <c r="B58" s="172" t="s">
        <v>181</v>
      </c>
      <c r="C58" s="172" t="s">
        <v>246</v>
      </c>
      <c r="D58" s="172" t="s">
        <v>218</v>
      </c>
      <c r="E58" s="172">
        <v>3.3188939182413101E-4</v>
      </c>
      <c r="F58" s="172">
        <v>2.7393423873026303E-4</v>
      </c>
      <c r="G58" s="172">
        <v>1.2115659340814799</v>
      </c>
    </row>
    <row r="59" spans="2:7" hidden="1" x14ac:dyDescent="0.3">
      <c r="B59" s="172" t="s">
        <v>181</v>
      </c>
      <c r="C59" s="172" t="s">
        <v>246</v>
      </c>
      <c r="D59" s="172" t="s">
        <v>221</v>
      </c>
      <c r="E59" s="172">
        <v>2.0983107953528301E-4</v>
      </c>
      <c r="F59" s="172">
        <v>1.6683209498176801E-4</v>
      </c>
      <c r="G59" s="172">
        <v>1.25773808425899</v>
      </c>
    </row>
    <row r="60" spans="2:7" hidden="1" x14ac:dyDescent="0.3">
      <c r="B60" s="172" t="s">
        <v>179</v>
      </c>
      <c r="C60" s="172" t="s">
        <v>246</v>
      </c>
      <c r="D60" s="172" t="s">
        <v>218</v>
      </c>
      <c r="E60" s="172">
        <v>2.5243351167105301E-4</v>
      </c>
      <c r="F60" s="172">
        <v>2.1220724771273599E-4</v>
      </c>
      <c r="G60" s="172">
        <v>1.1895612161785001</v>
      </c>
    </row>
    <row r="61" spans="2:7" hidden="1" x14ac:dyDescent="0.3">
      <c r="B61" s="172" t="s">
        <v>179</v>
      </c>
      <c r="C61" s="172" t="s">
        <v>246</v>
      </c>
      <c r="D61" s="172" t="s">
        <v>221</v>
      </c>
      <c r="E61" s="172">
        <v>1.5119482967272199E-4</v>
      </c>
      <c r="F61" s="172">
        <v>1.21349537058486E-4</v>
      </c>
      <c r="G61" s="172">
        <v>1.24594484113978</v>
      </c>
    </row>
    <row r="62" spans="2:7" hidden="1" x14ac:dyDescent="0.3">
      <c r="B62" s="172" t="s">
        <v>39</v>
      </c>
      <c r="C62" s="172" t="s">
        <v>246</v>
      </c>
      <c r="D62" s="172" t="s">
        <v>218</v>
      </c>
      <c r="E62" s="172">
        <v>1.80094872643361E-4</v>
      </c>
      <c r="F62" s="172">
        <v>1.5493574227317799E-4</v>
      </c>
      <c r="G62" s="172">
        <v>1.1623842891320899</v>
      </c>
    </row>
    <row r="63" spans="2:7" hidden="1" x14ac:dyDescent="0.3">
      <c r="B63" s="172" t="s">
        <v>39</v>
      </c>
      <c r="C63" s="172" t="s">
        <v>246</v>
      </c>
      <c r="D63" s="172" t="s">
        <v>221</v>
      </c>
      <c r="E63" s="172">
        <v>9.9835426465179897E-5</v>
      </c>
      <c r="F63" s="172">
        <v>8.11689749002056E-5</v>
      </c>
      <c r="G63" s="172">
        <v>1.2299702760558899</v>
      </c>
    </row>
    <row r="64" spans="2:7" hidden="1" x14ac:dyDescent="0.3">
      <c r="B64" s="172" t="s">
        <v>26</v>
      </c>
      <c r="C64" s="172" t="s">
        <v>246</v>
      </c>
      <c r="D64" s="172" t="s">
        <v>218</v>
      </c>
      <c r="E64" s="172">
        <v>1.1806610675168399E-4</v>
      </c>
      <c r="F64" s="172">
        <v>1.0531216989216101E-4</v>
      </c>
      <c r="G64" s="172">
        <v>1.1211060115139899</v>
      </c>
    </row>
    <row r="65" spans="2:7" hidden="1" x14ac:dyDescent="0.3">
      <c r="B65" s="172" t="s">
        <v>26</v>
      </c>
      <c r="C65" s="172" t="s">
        <v>246</v>
      </c>
      <c r="D65" s="172" t="s">
        <v>221</v>
      </c>
      <c r="E65" s="172">
        <v>5.6841238092883401E-5</v>
      </c>
      <c r="F65" s="172">
        <v>4.7378639777753303E-5</v>
      </c>
      <c r="G65" s="172">
        <v>1.19972287848528</v>
      </c>
    </row>
    <row r="66" spans="2:7" hidden="1" x14ac:dyDescent="0.3">
      <c r="B66" s="172" t="s">
        <v>25</v>
      </c>
      <c r="C66" s="172" t="s">
        <v>246</v>
      </c>
      <c r="D66" s="172" t="s">
        <v>218</v>
      </c>
      <c r="E66" s="172">
        <v>6.8098926109285001E-5</v>
      </c>
      <c r="F66" s="172">
        <v>6.4535669819133906E-5</v>
      </c>
      <c r="G66" s="172">
        <v>1.0552137492356899</v>
      </c>
    </row>
    <row r="67" spans="2:7" hidden="1" x14ac:dyDescent="0.3">
      <c r="B67" s="172" t="s">
        <v>25</v>
      </c>
      <c r="C67" s="172" t="s">
        <v>246</v>
      </c>
      <c r="D67" s="172" t="s">
        <v>221</v>
      </c>
      <c r="E67" s="172">
        <v>2.41175146017923E-5</v>
      </c>
      <c r="F67" s="172">
        <v>2.14738083220028E-5</v>
      </c>
      <c r="G67" s="172">
        <v>1.12311306127664</v>
      </c>
    </row>
    <row r="68" spans="2:7" hidden="1" x14ac:dyDescent="0.3">
      <c r="B68" s="172" t="s">
        <v>24</v>
      </c>
      <c r="C68" s="172" t="s">
        <v>246</v>
      </c>
      <c r="D68" s="172" t="s">
        <v>218</v>
      </c>
      <c r="E68" s="172">
        <v>3.3873561447866801E-5</v>
      </c>
      <c r="F68" s="172">
        <v>3.2528195430531198E-5</v>
      </c>
      <c r="G68" s="172">
        <v>1.0413599955217001</v>
      </c>
    </row>
    <row r="69" spans="2:7" hidden="1" x14ac:dyDescent="0.3">
      <c r="B69" s="172" t="s">
        <v>24</v>
      </c>
      <c r="C69" s="172" t="s">
        <v>246</v>
      </c>
      <c r="D69" s="172" t="s">
        <v>221</v>
      </c>
      <c r="E69" s="172">
        <v>6.87834776098873E-6</v>
      </c>
      <c r="F69" s="172">
        <v>5.8801729739332797E-6</v>
      </c>
      <c r="G69" s="172">
        <v>1.16975262317628</v>
      </c>
    </row>
    <row r="70" spans="2:7" hidden="1" x14ac:dyDescent="0.3">
      <c r="B70" s="172" t="s">
        <v>22</v>
      </c>
      <c r="C70" s="172" t="s">
        <v>246</v>
      </c>
      <c r="D70" s="172" t="s">
        <v>218</v>
      </c>
      <c r="E70" s="172">
        <v>1.09373844525862E-5</v>
      </c>
      <c r="F70" s="172">
        <v>1.0177090335920599E-5</v>
      </c>
      <c r="G70" s="172">
        <v>1.07470643293616</v>
      </c>
    </row>
    <row r="71" spans="2:7" hidden="1" x14ac:dyDescent="0.3">
      <c r="B71" s="172" t="s">
        <v>22</v>
      </c>
      <c r="C71" s="172" t="s">
        <v>246</v>
      </c>
      <c r="D71" s="172" t="s">
        <v>221</v>
      </c>
      <c r="E71" s="172">
        <v>1.8234335235787199E-6</v>
      </c>
      <c r="F71" s="172">
        <v>1.2593443402461301E-6</v>
      </c>
      <c r="G71" s="172">
        <v>1.44792291139558</v>
      </c>
    </row>
    <row r="72" spans="2:7" hidden="1" x14ac:dyDescent="0.3">
      <c r="B72" s="172"/>
      <c r="C72" s="172"/>
      <c r="D72" s="172"/>
      <c r="E72" s="172"/>
      <c r="F72" s="172"/>
      <c r="G72" s="172"/>
    </row>
    <row r="73" spans="2:7" hidden="1" x14ac:dyDescent="0.3">
      <c r="B73" s="172"/>
      <c r="C73" s="172"/>
      <c r="D73" s="172"/>
      <c r="E73" s="172"/>
      <c r="F73" s="172"/>
      <c r="G73" s="172"/>
    </row>
    <row r="74" spans="2:7" hidden="1" x14ac:dyDescent="0.3">
      <c r="B74" s="172"/>
      <c r="C74" s="172"/>
      <c r="D74" s="172"/>
      <c r="E74" s="172"/>
      <c r="F74" s="172"/>
      <c r="G74" s="172"/>
    </row>
    <row r="75" spans="2:7" hidden="1" x14ac:dyDescent="0.3">
      <c r="B75" s="172"/>
      <c r="C75" s="172"/>
      <c r="D75" s="172"/>
      <c r="E75" s="172"/>
      <c r="F75" s="172"/>
      <c r="G75" s="172"/>
    </row>
    <row r="76" spans="2:7" hidden="1" x14ac:dyDescent="0.3">
      <c r="B76" s="172"/>
      <c r="C76" s="172"/>
      <c r="D76" s="172"/>
      <c r="E76" s="172"/>
      <c r="F76" s="172"/>
      <c r="G76" s="172"/>
    </row>
    <row r="77" spans="2:7" hidden="1" x14ac:dyDescent="0.3">
      <c r="B77" s="172"/>
      <c r="C77" s="172"/>
      <c r="D77" s="172"/>
      <c r="E77" s="172"/>
      <c r="F77" s="172"/>
      <c r="G77" s="172"/>
    </row>
    <row r="78" spans="2:7" hidden="1" x14ac:dyDescent="0.3">
      <c r="B78" s="172"/>
      <c r="C78" s="172"/>
      <c r="D78" s="172"/>
      <c r="E78" s="172"/>
      <c r="F78" s="172"/>
      <c r="G78" s="172"/>
    </row>
    <row r="79" spans="2:7" hidden="1" x14ac:dyDescent="0.3">
      <c r="B79" s="172"/>
      <c r="C79" s="172"/>
      <c r="D79" s="172"/>
      <c r="E79" s="172"/>
      <c r="F79" s="172"/>
      <c r="G79" s="172"/>
    </row>
    <row r="80" spans="2:7" hidden="1" x14ac:dyDescent="0.3">
      <c r="B80" s="172"/>
      <c r="C80" s="172"/>
      <c r="D80" s="172"/>
      <c r="E80" s="172"/>
      <c r="F80" s="172"/>
      <c r="G80" s="172"/>
    </row>
    <row r="81" spans="2:7" hidden="1" x14ac:dyDescent="0.3">
      <c r="B81" s="172"/>
      <c r="C81" s="172"/>
      <c r="D81" s="172"/>
      <c r="E81" s="172"/>
      <c r="F81" s="172"/>
      <c r="G81" s="172"/>
    </row>
    <row r="82" spans="2:7" hidden="1" x14ac:dyDescent="0.3">
      <c r="B82" s="172"/>
      <c r="C82" s="172"/>
      <c r="D82" s="172"/>
      <c r="E82" s="172"/>
      <c r="F82" s="172"/>
      <c r="G82" s="172"/>
    </row>
    <row r="83" spans="2:7" hidden="1" x14ac:dyDescent="0.3">
      <c r="B83" s="172"/>
      <c r="C83" s="172"/>
      <c r="D83" s="172"/>
      <c r="E83" s="172"/>
      <c r="F83" s="172"/>
      <c r="G83" s="172"/>
    </row>
    <row r="84" spans="2:7" hidden="1" x14ac:dyDescent="0.3">
      <c r="B84" s="172"/>
      <c r="C84" s="172"/>
      <c r="D84" s="172"/>
      <c r="E84" s="172"/>
      <c r="F84" s="172"/>
      <c r="G84" s="172"/>
    </row>
    <row r="85" spans="2:7" hidden="1" x14ac:dyDescent="0.3">
      <c r="B85" s="172"/>
      <c r="C85" s="172"/>
      <c r="D85" s="172"/>
      <c r="E85" s="172"/>
      <c r="F85" s="172"/>
      <c r="G85" s="172"/>
    </row>
    <row r="86" spans="2:7" hidden="1" x14ac:dyDescent="0.3">
      <c r="B86" s="172"/>
      <c r="C86" s="172"/>
      <c r="D86" s="172"/>
      <c r="E86" s="172"/>
      <c r="F86" s="172"/>
      <c r="G86" s="172"/>
    </row>
    <row r="87" spans="2:7" hidden="1" x14ac:dyDescent="0.3">
      <c r="B87" s="172"/>
      <c r="C87" s="172"/>
      <c r="D87" s="172"/>
      <c r="E87" s="172"/>
      <c r="F87" s="172"/>
      <c r="G87" s="172"/>
    </row>
    <row r="88" spans="2:7" hidden="1" x14ac:dyDescent="0.3">
      <c r="B88" s="172"/>
      <c r="C88" s="172"/>
      <c r="D88" s="172"/>
      <c r="E88" s="172"/>
      <c r="F88" s="172"/>
      <c r="G88" s="172"/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hidden="1" x14ac:dyDescent="0.3">
      <c r="B115" s="172"/>
      <c r="C115" s="172"/>
      <c r="D115" s="172"/>
      <c r="E115" s="172"/>
      <c r="F115" s="172"/>
      <c r="G115" s="172"/>
    </row>
    <row r="116" spans="2:7" s="172" customFormat="1" hidden="1" x14ac:dyDescent="0.3"/>
    <row r="117" spans="2:7" hidden="1" x14ac:dyDescent="0.3">
      <c r="B117" s="172"/>
      <c r="C117" s="172"/>
      <c r="D117" s="172"/>
      <c r="E117" s="172"/>
      <c r="F117" s="172"/>
      <c r="G117" s="172"/>
    </row>
    <row r="118" spans="2:7" s="172" customFormat="1" hidden="1" x14ac:dyDescent="0.3"/>
    <row r="119" spans="2:7" hidden="1" x14ac:dyDescent="0.3">
      <c r="B119" s="172"/>
      <c r="C119" s="172"/>
      <c r="D119" s="172"/>
      <c r="E119" s="172"/>
      <c r="F119" s="172"/>
      <c r="G119" s="172"/>
    </row>
    <row r="120" spans="2:7" s="172" customFormat="1" hidden="1" x14ac:dyDescent="0.3"/>
    <row r="121" spans="2:7" hidden="1" x14ac:dyDescent="0.3">
      <c r="B121" s="172"/>
      <c r="C121" s="172"/>
      <c r="D121" s="172"/>
      <c r="E121" s="172"/>
      <c r="F121" s="172"/>
      <c r="G121" s="172"/>
    </row>
    <row r="122" spans="2:7" s="172" customFormat="1" hidden="1" x14ac:dyDescent="0.3"/>
    <row r="123" spans="2:7" hidden="1" x14ac:dyDescent="0.3">
      <c r="B123" s="172"/>
      <c r="C123" s="172"/>
      <c r="D123" s="172"/>
      <c r="E123" s="172"/>
      <c r="F123" s="172"/>
      <c r="G123" s="172"/>
    </row>
    <row r="124" spans="2:7" s="172" customFormat="1" hidden="1" x14ac:dyDescent="0.3"/>
    <row r="125" spans="2:7" hidden="1" x14ac:dyDescent="0.3">
      <c r="B125" s="172"/>
      <c r="C125" s="172"/>
      <c r="D125" s="172"/>
      <c r="E125" s="172"/>
      <c r="F125" s="172"/>
      <c r="G125" s="172"/>
    </row>
    <row r="126" spans="2:7" s="172" customFormat="1" hidden="1" x14ac:dyDescent="0.3"/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191"/>
      <c r="C136" s="191"/>
      <c r="D136" s="191"/>
      <c r="E136" s="191" t="s">
        <v>7</v>
      </c>
      <c r="F136" s="191" t="s">
        <v>7</v>
      </c>
      <c r="G136" s="192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2.92269329699054E-2</v>
      </c>
      <c r="F138" s="172">
        <v>2.8572278381681901E-2</v>
      </c>
      <c r="G138" s="172">
        <v>1.0229122291011701</v>
      </c>
    </row>
    <row r="139" spans="2:7" s="172" customFormat="1" hidden="1" x14ac:dyDescent="0.3">
      <c r="B139" s="172" t="s">
        <v>187</v>
      </c>
      <c r="C139" s="172" t="s">
        <v>79</v>
      </c>
      <c r="D139" s="172" t="s">
        <v>218</v>
      </c>
      <c r="E139" s="172">
        <v>3.1496908406860397E-2</v>
      </c>
      <c r="F139" s="172">
        <v>2.7859767794999199E-2</v>
      </c>
      <c r="G139" s="172">
        <v>1.1305517202664599</v>
      </c>
    </row>
    <row r="140" spans="2:7" hidden="1" x14ac:dyDescent="0.3">
      <c r="B140" s="172" t="s">
        <v>185</v>
      </c>
      <c r="C140" s="172" t="s">
        <v>79</v>
      </c>
      <c r="D140" s="172" t="s">
        <v>218</v>
      </c>
      <c r="E140" s="172">
        <v>3.0273931172022501E-2</v>
      </c>
      <c r="F140" s="172">
        <v>2.6763332059075801E-2</v>
      </c>
      <c r="G140" s="172">
        <v>1.1311719745955999</v>
      </c>
    </row>
    <row r="141" spans="2:7" hidden="1" x14ac:dyDescent="0.3">
      <c r="B141" s="172" t="s">
        <v>183</v>
      </c>
      <c r="C141" s="172" t="s">
        <v>79</v>
      </c>
      <c r="D141" s="172" t="s">
        <v>218</v>
      </c>
      <c r="E141" s="172">
        <v>2.8346142731247199E-2</v>
      </c>
      <c r="F141" s="172">
        <v>2.50538344656351E-2</v>
      </c>
      <c r="G141" s="172">
        <v>1.1314093565249701</v>
      </c>
    </row>
    <row r="142" spans="2:7" hidden="1" x14ac:dyDescent="0.3">
      <c r="B142" s="172" t="s">
        <v>181</v>
      </c>
      <c r="C142" s="172" t="s">
        <v>79</v>
      </c>
      <c r="D142" s="172" t="s">
        <v>218</v>
      </c>
      <c r="E142" s="172">
        <v>2.5760257010385802E-2</v>
      </c>
      <c r="F142" s="172">
        <v>2.2771655183188699E-2</v>
      </c>
      <c r="G142" s="172">
        <v>1.1312421869712601</v>
      </c>
    </row>
    <row r="143" spans="2:7" hidden="1" x14ac:dyDescent="0.3">
      <c r="B143" s="172" t="s">
        <v>179</v>
      </c>
      <c r="C143" s="172" t="s">
        <v>79</v>
      </c>
      <c r="D143" s="172" t="s">
        <v>218</v>
      </c>
      <c r="E143" s="172">
        <v>2.2622505656604799E-2</v>
      </c>
      <c r="F143" s="172">
        <v>2.0008969192897401E-2</v>
      </c>
      <c r="G143" s="172">
        <v>1.13061824617308</v>
      </c>
    </row>
    <row r="144" spans="2:7" hidden="1" x14ac:dyDescent="0.3">
      <c r="B144" s="172" t="s">
        <v>39</v>
      </c>
      <c r="C144" s="172" t="s">
        <v>79</v>
      </c>
      <c r="D144" s="172" t="s">
        <v>218</v>
      </c>
      <c r="E144" s="172">
        <v>1.9056745676019698E-2</v>
      </c>
      <c r="F144" s="172">
        <v>1.6871345968667399E-2</v>
      </c>
      <c r="G144" s="172">
        <v>1.1295332163427201</v>
      </c>
    </row>
    <row r="145" spans="2:7" hidden="1" x14ac:dyDescent="0.3">
      <c r="B145" s="172" t="s">
        <v>26</v>
      </c>
      <c r="C145" s="172" t="s">
        <v>79</v>
      </c>
      <c r="D145" s="172" t="s">
        <v>218</v>
      </c>
      <c r="E145" s="172">
        <v>1.5307785419528101E-2</v>
      </c>
      <c r="F145" s="172">
        <v>1.3555167947958999E-2</v>
      </c>
      <c r="G145" s="172">
        <v>1.12929514988658</v>
      </c>
    </row>
    <row r="146" spans="2:7" hidden="1" x14ac:dyDescent="0.3">
      <c r="B146" s="172" t="s">
        <v>25</v>
      </c>
      <c r="C146" s="172" t="s">
        <v>79</v>
      </c>
      <c r="D146" s="172" t="s">
        <v>218</v>
      </c>
      <c r="E146" s="172">
        <v>1.14582650074708E-2</v>
      </c>
      <c r="F146" s="172">
        <v>1.0132820035131501E-2</v>
      </c>
      <c r="G146" s="172">
        <v>1.1308071166510201</v>
      </c>
    </row>
    <row r="147" spans="2:7" hidden="1" x14ac:dyDescent="0.3">
      <c r="B147" s="172" t="s">
        <v>24</v>
      </c>
      <c r="C147" s="172" t="s">
        <v>79</v>
      </c>
      <c r="D147" s="172" t="s">
        <v>218</v>
      </c>
      <c r="E147" s="172">
        <v>7.4396068628656701E-3</v>
      </c>
      <c r="F147" s="172">
        <v>6.5640672654075499E-3</v>
      </c>
      <c r="G147" s="172">
        <v>1.13338370282587</v>
      </c>
    </row>
    <row r="148" spans="2:7" hidden="1" x14ac:dyDescent="0.3">
      <c r="B148" s="172" t="s">
        <v>22</v>
      </c>
      <c r="C148" s="172" t="s">
        <v>79</v>
      </c>
      <c r="D148" s="172" t="s">
        <v>218</v>
      </c>
      <c r="E148" s="172">
        <v>3.3991927175347301E-3</v>
      </c>
      <c r="F148" s="172">
        <v>2.9850552807994201E-3</v>
      </c>
      <c r="G148" s="172">
        <v>1.1387369404510299</v>
      </c>
    </row>
    <row r="149" spans="2:7" x14ac:dyDescent="0.3">
      <c r="B149" s="172" t="s">
        <v>189</v>
      </c>
      <c r="C149" s="172" t="s">
        <v>80</v>
      </c>
      <c r="D149" s="172" t="s">
        <v>218</v>
      </c>
      <c r="E149" s="172">
        <v>2.97083009290194E-2</v>
      </c>
      <c r="F149" s="172">
        <v>2.90942388983827E-2</v>
      </c>
      <c r="G149" s="172">
        <v>1.0211059664692199</v>
      </c>
    </row>
    <row r="150" spans="2:7" x14ac:dyDescent="0.3">
      <c r="B150" s="172" t="s">
        <v>187</v>
      </c>
      <c r="C150" s="172" t="s">
        <v>80</v>
      </c>
      <c r="D150" s="172" t="s">
        <v>218</v>
      </c>
      <c r="E150" s="172">
        <v>3.1945236720474099E-2</v>
      </c>
      <c r="F150" s="172">
        <v>2.7885363848346001E-2</v>
      </c>
      <c r="G150" s="172">
        <v>1.14559153304248</v>
      </c>
    </row>
    <row r="151" spans="2:7" x14ac:dyDescent="0.3">
      <c r="B151" s="172" t="s">
        <v>185</v>
      </c>
      <c r="C151" s="172" t="s">
        <v>80</v>
      </c>
      <c r="D151" s="172" t="s">
        <v>218</v>
      </c>
      <c r="E151" s="172">
        <v>3.0706040375794601E-2</v>
      </c>
      <c r="F151" s="172">
        <v>2.6788904409164899E-2</v>
      </c>
      <c r="G151" s="172">
        <v>1.1462223279758199</v>
      </c>
    </row>
    <row r="152" spans="2:7" x14ac:dyDescent="0.3">
      <c r="B152" s="172" t="s">
        <v>183</v>
      </c>
      <c r="C152" s="172" t="s">
        <v>80</v>
      </c>
      <c r="D152" s="172" t="s">
        <v>218</v>
      </c>
      <c r="E152" s="172">
        <v>2.8752169155889101E-2</v>
      </c>
      <c r="F152" s="172">
        <v>2.5078542258757001E-2</v>
      </c>
      <c r="G152" s="172">
        <v>1.1464848657959501</v>
      </c>
    </row>
    <row r="153" spans="2:7" x14ac:dyDescent="0.3">
      <c r="B153" s="172" t="s">
        <v>181</v>
      </c>
      <c r="C153" s="172" t="s">
        <v>80</v>
      </c>
      <c r="D153" s="172" t="s">
        <v>218</v>
      </c>
      <c r="E153" s="172">
        <v>2.61289391002411E-2</v>
      </c>
      <c r="F153" s="172">
        <v>2.27945463712717E-2</v>
      </c>
      <c r="G153" s="172">
        <v>1.1462802845320801</v>
      </c>
    </row>
    <row r="154" spans="2:7" x14ac:dyDescent="0.3">
      <c r="B154" s="172" t="s">
        <v>179</v>
      </c>
      <c r="C154" s="172" t="s">
        <v>80</v>
      </c>
      <c r="D154" s="172" t="s">
        <v>218</v>
      </c>
      <c r="E154" s="172">
        <v>2.2943790645740501E-2</v>
      </c>
      <c r="F154" s="172">
        <v>2.0029196618939399E-2</v>
      </c>
      <c r="G154" s="172">
        <v>1.1455172707249299</v>
      </c>
    </row>
    <row r="155" spans="2:7" x14ac:dyDescent="0.3">
      <c r="B155" s="172" t="s">
        <v>39</v>
      </c>
      <c r="C155" s="172" t="s">
        <v>80</v>
      </c>
      <c r="D155" s="172" t="s">
        <v>218</v>
      </c>
      <c r="E155" s="172">
        <v>1.93231514140365E-2</v>
      </c>
      <c r="F155" s="172">
        <v>1.68882813797691E-2</v>
      </c>
      <c r="G155" s="172">
        <v>1.14417512235344</v>
      </c>
    </row>
    <row r="156" spans="2:7" x14ac:dyDescent="0.3">
      <c r="B156" s="172" t="s">
        <v>26</v>
      </c>
      <c r="C156" s="172" t="s">
        <v>80</v>
      </c>
      <c r="D156" s="172" t="s">
        <v>218</v>
      </c>
      <c r="E156" s="172">
        <v>1.55206392042777E-2</v>
      </c>
      <c r="F156" s="172">
        <v>1.35687911967584E-2</v>
      </c>
      <c r="G156" s="172">
        <v>1.1438483339610701</v>
      </c>
    </row>
    <row r="157" spans="2:7" x14ac:dyDescent="0.3">
      <c r="B157" s="172" t="s">
        <v>25</v>
      </c>
      <c r="C157" s="172" t="s">
        <v>80</v>
      </c>
      <c r="D157" s="172" t="s">
        <v>218</v>
      </c>
      <c r="E157" s="172">
        <v>1.16202197585396E-2</v>
      </c>
      <c r="F157" s="172">
        <v>1.0143215146082201E-2</v>
      </c>
      <c r="G157" s="172">
        <v>1.14561503341747</v>
      </c>
    </row>
    <row r="158" spans="2:7" x14ac:dyDescent="0.3">
      <c r="B158" s="172" t="s">
        <v>24</v>
      </c>
      <c r="C158" s="172" t="s">
        <v>80</v>
      </c>
      <c r="D158" s="172" t="s">
        <v>218</v>
      </c>
      <c r="E158" s="172">
        <v>7.5478195000797804E-3</v>
      </c>
      <c r="F158" s="172">
        <v>6.5710074903350003E-3</v>
      </c>
      <c r="G158" s="172">
        <v>1.1486548312692599</v>
      </c>
    </row>
    <row r="159" spans="2:7" x14ac:dyDescent="0.3">
      <c r="B159" s="172" t="s">
        <v>22</v>
      </c>
      <c r="C159" s="172" t="s">
        <v>80</v>
      </c>
      <c r="D159" s="172" t="s">
        <v>218</v>
      </c>
      <c r="E159" s="172">
        <v>3.45021911526803E-3</v>
      </c>
      <c r="F159" s="172">
        <v>2.9883010894539998E-3</v>
      </c>
      <c r="G159" s="172">
        <v>1.15457546344449</v>
      </c>
    </row>
    <row r="160" spans="2:7" hidden="1" x14ac:dyDescent="0.3">
      <c r="B160" s="172" t="s">
        <v>189</v>
      </c>
      <c r="C160" s="172" t="s">
        <v>81</v>
      </c>
      <c r="D160" s="172" t="s">
        <v>221</v>
      </c>
      <c r="E160" s="172">
        <v>3.2166432107919599E-2</v>
      </c>
      <c r="F160" s="172">
        <v>3.1859882637548201E-2</v>
      </c>
      <c r="G160" s="172">
        <v>1.0096218016198899</v>
      </c>
    </row>
    <row r="161" spans="2:7" hidden="1" x14ac:dyDescent="0.3">
      <c r="B161" s="172" t="s">
        <v>187</v>
      </c>
      <c r="C161" s="172" t="s">
        <v>81</v>
      </c>
      <c r="D161" s="172" t="s">
        <v>221</v>
      </c>
      <c r="E161" s="172">
        <v>3.1568969301326903E-2</v>
      </c>
      <c r="F161" s="172">
        <v>2.9791854913952399E-2</v>
      </c>
      <c r="G161" s="172">
        <v>1.0596510151015199</v>
      </c>
    </row>
    <row r="162" spans="2:7" hidden="1" x14ac:dyDescent="0.3">
      <c r="B162" s="172" t="s">
        <v>185</v>
      </c>
      <c r="C162" s="172" t="s">
        <v>81</v>
      </c>
      <c r="D162" s="172" t="s">
        <v>221</v>
      </c>
      <c r="E162" s="172">
        <v>3.0448222159332301E-2</v>
      </c>
      <c r="F162" s="172">
        <v>2.8746736166160702E-2</v>
      </c>
      <c r="G162" s="172">
        <v>1.0591888408943799</v>
      </c>
    </row>
    <row r="163" spans="2:7" hidden="1" x14ac:dyDescent="0.3">
      <c r="B163" s="172" t="s">
        <v>183</v>
      </c>
      <c r="C163" s="172" t="s">
        <v>81</v>
      </c>
      <c r="D163" s="172" t="s">
        <v>221</v>
      </c>
      <c r="E163" s="172">
        <v>2.8606403901793399E-2</v>
      </c>
      <c r="F163" s="172">
        <v>2.7019024053176698E-2</v>
      </c>
      <c r="G163" s="172">
        <v>1.05875045099677</v>
      </c>
    </row>
    <row r="164" spans="2:7" hidden="1" x14ac:dyDescent="0.3">
      <c r="B164" s="172" t="s">
        <v>181</v>
      </c>
      <c r="C164" s="172" t="s">
        <v>81</v>
      </c>
      <c r="D164" s="172" t="s">
        <v>221</v>
      </c>
      <c r="E164" s="172">
        <v>2.6081105219633301E-2</v>
      </c>
      <c r="F164" s="172">
        <v>2.46395759869469E-2</v>
      </c>
      <c r="G164" s="172">
        <v>1.05850462822291</v>
      </c>
    </row>
    <row r="165" spans="2:7" hidden="1" x14ac:dyDescent="0.3">
      <c r="B165" s="172" t="s">
        <v>179</v>
      </c>
      <c r="C165" s="172" t="s">
        <v>81</v>
      </c>
      <c r="D165" s="172" t="s">
        <v>221</v>
      </c>
      <c r="E165" s="172">
        <v>2.2976091760190599E-2</v>
      </c>
      <c r="F165" s="172">
        <v>2.1706114723854201E-2</v>
      </c>
      <c r="G165" s="172">
        <v>1.05850780079683</v>
      </c>
    </row>
    <row r="166" spans="2:7" hidden="1" x14ac:dyDescent="0.3">
      <c r="B166" s="172" t="s">
        <v>39</v>
      </c>
      <c r="C166" s="172" t="s">
        <v>81</v>
      </c>
      <c r="D166" s="172" t="s">
        <v>221</v>
      </c>
      <c r="E166" s="172">
        <v>1.9415274483000799E-2</v>
      </c>
      <c r="F166" s="172">
        <v>1.8336845850576201E-2</v>
      </c>
      <c r="G166" s="172">
        <v>1.0588121120291101</v>
      </c>
    </row>
    <row r="167" spans="2:7" hidden="1" x14ac:dyDescent="0.3">
      <c r="B167" s="172" t="s">
        <v>26</v>
      </c>
      <c r="C167" s="172" t="s">
        <v>81</v>
      </c>
      <c r="D167" s="172" t="s">
        <v>221</v>
      </c>
      <c r="E167" s="172">
        <v>1.56389487126424E-2</v>
      </c>
      <c r="F167" s="172">
        <v>1.47539023007552E-2</v>
      </c>
      <c r="G167" s="172">
        <v>1.0599872761690901</v>
      </c>
    </row>
    <row r="168" spans="2:7" hidden="1" x14ac:dyDescent="0.3">
      <c r="B168" s="172" t="s">
        <v>25</v>
      </c>
      <c r="C168" s="172" t="s">
        <v>81</v>
      </c>
      <c r="D168" s="172" t="s">
        <v>221</v>
      </c>
      <c r="E168" s="172">
        <v>1.1725049135635201E-2</v>
      </c>
      <c r="F168" s="172">
        <v>1.10321943405212E-2</v>
      </c>
      <c r="G168" s="172">
        <v>1.0628029903868801</v>
      </c>
    </row>
    <row r="169" spans="2:7" hidden="1" x14ac:dyDescent="0.3">
      <c r="B169" s="172" t="s">
        <v>24</v>
      </c>
      <c r="C169" s="172" t="s">
        <v>81</v>
      </c>
      <c r="D169" s="172" t="s">
        <v>221</v>
      </c>
      <c r="E169" s="172">
        <v>7.5890344013269497E-3</v>
      </c>
      <c r="F169" s="172">
        <v>7.10929696494517E-3</v>
      </c>
      <c r="G169" s="172">
        <v>1.0674802921790001</v>
      </c>
    </row>
    <row r="170" spans="2:7" hidden="1" x14ac:dyDescent="0.3">
      <c r="B170" s="172" t="s">
        <v>22</v>
      </c>
      <c r="C170" s="172" t="s">
        <v>81</v>
      </c>
      <c r="D170" s="172" t="s">
        <v>221</v>
      </c>
      <c r="E170" s="172">
        <v>3.4230562719754598E-3</v>
      </c>
      <c r="F170" s="172">
        <v>3.1717316942395301E-3</v>
      </c>
      <c r="G170" s="172">
        <v>1.0792389148780701</v>
      </c>
    </row>
    <row r="171" spans="2:7" hidden="1" x14ac:dyDescent="0.3">
      <c r="B171" s="172" t="s">
        <v>189</v>
      </c>
      <c r="C171" s="172" t="s">
        <v>82</v>
      </c>
      <c r="D171" s="172" t="s">
        <v>221</v>
      </c>
      <c r="E171" s="172">
        <v>2.9126791257902799E-2</v>
      </c>
      <c r="F171" s="172">
        <v>2.8677980524647699E-2</v>
      </c>
      <c r="G171" s="172">
        <v>1.01565001178759</v>
      </c>
    </row>
    <row r="172" spans="2:7" hidden="1" x14ac:dyDescent="0.3">
      <c r="B172" s="172" t="s">
        <v>187</v>
      </c>
      <c r="C172" s="172" t="s">
        <v>82</v>
      </c>
      <c r="D172" s="172" t="s">
        <v>221</v>
      </c>
      <c r="E172" s="172">
        <v>3.2635089389927499E-2</v>
      </c>
      <c r="F172" s="172">
        <v>3.0159254145357799E-2</v>
      </c>
      <c r="G172" s="172">
        <v>1.0820920581336999</v>
      </c>
    </row>
    <row r="173" spans="2:7" hidden="1" x14ac:dyDescent="0.3">
      <c r="B173" s="172" t="s">
        <v>185</v>
      </c>
      <c r="C173" s="172" t="s">
        <v>82</v>
      </c>
      <c r="D173" s="172" t="s">
        <v>221</v>
      </c>
      <c r="E173" s="172">
        <v>3.1503716721333501E-2</v>
      </c>
      <c r="F173" s="172">
        <v>2.91015700321978E-2</v>
      </c>
      <c r="G173" s="172">
        <v>1.08254354271876</v>
      </c>
    </row>
    <row r="174" spans="2:7" hidden="1" x14ac:dyDescent="0.3">
      <c r="B174" s="172" t="s">
        <v>183</v>
      </c>
      <c r="C174" s="172" t="s">
        <v>82</v>
      </c>
      <c r="D174" s="172" t="s">
        <v>221</v>
      </c>
      <c r="E174" s="172">
        <v>2.9612364819576301E-2</v>
      </c>
      <c r="F174" s="172">
        <v>2.7351635088923701E-2</v>
      </c>
      <c r="G174" s="172">
        <v>1.08265428093431</v>
      </c>
    </row>
    <row r="175" spans="2:7" hidden="1" x14ac:dyDescent="0.3">
      <c r="B175" s="172" t="s">
        <v>181</v>
      </c>
      <c r="C175" s="172" t="s">
        <v>82</v>
      </c>
      <c r="D175" s="172" t="s">
        <v>221</v>
      </c>
      <c r="E175" s="172">
        <v>2.69912229643865E-2</v>
      </c>
      <c r="F175" s="172">
        <v>2.49399707525522E-2</v>
      </c>
      <c r="G175" s="172">
        <v>1.0822475788839601</v>
      </c>
    </row>
    <row r="176" spans="2:7" hidden="1" x14ac:dyDescent="0.3">
      <c r="B176" s="172" t="s">
        <v>179</v>
      </c>
      <c r="C176" s="172" t="s">
        <v>82</v>
      </c>
      <c r="D176" s="172" t="s">
        <v>221</v>
      </c>
      <c r="E176" s="172">
        <v>2.3749538620642701E-2</v>
      </c>
      <c r="F176" s="172">
        <v>2.19658024926528E-2</v>
      </c>
      <c r="G176" s="172">
        <v>1.0812051427935101</v>
      </c>
    </row>
    <row r="177" spans="2:7" hidden="1" x14ac:dyDescent="0.3">
      <c r="B177" s="172" t="s">
        <v>39</v>
      </c>
      <c r="C177" s="172" t="s">
        <v>82</v>
      </c>
      <c r="D177" s="172" t="s">
        <v>221</v>
      </c>
      <c r="E177" s="172">
        <v>2.0024036474159901E-2</v>
      </c>
      <c r="F177" s="172">
        <v>1.8550122076330101E-2</v>
      </c>
      <c r="G177" s="172">
        <v>1.07945577887655</v>
      </c>
    </row>
    <row r="178" spans="2:7" hidden="1" x14ac:dyDescent="0.3">
      <c r="B178" s="172" t="s">
        <v>26</v>
      </c>
      <c r="C178" s="172" t="s">
        <v>82</v>
      </c>
      <c r="D178" s="172" t="s">
        <v>221</v>
      </c>
      <c r="E178" s="172">
        <v>1.6081852592754801E-2</v>
      </c>
      <c r="F178" s="172">
        <v>1.49202930071417E-2</v>
      </c>
      <c r="G178" s="172">
        <v>1.07785099026253</v>
      </c>
    </row>
    <row r="179" spans="2:7" hidden="1" x14ac:dyDescent="0.3">
      <c r="B179" s="172" t="s">
        <v>25</v>
      </c>
      <c r="C179" s="172" t="s">
        <v>82</v>
      </c>
      <c r="D179" s="172" t="s">
        <v>221</v>
      </c>
      <c r="E179" s="172">
        <v>1.2008286186273601E-2</v>
      </c>
      <c r="F179" s="172">
        <v>1.1152750603054901E-2</v>
      </c>
      <c r="G179" s="172">
        <v>1.0767107248847101</v>
      </c>
    </row>
    <row r="180" spans="2:7" hidden="1" x14ac:dyDescent="0.3">
      <c r="B180" s="172" t="s">
        <v>24</v>
      </c>
      <c r="C180" s="172" t="s">
        <v>82</v>
      </c>
      <c r="D180" s="172" t="s">
        <v>221</v>
      </c>
      <c r="E180" s="172">
        <v>7.7279267500616096E-3</v>
      </c>
      <c r="F180" s="172">
        <v>7.1841891157368304E-3</v>
      </c>
      <c r="G180" s="172">
        <v>1.07568531751673</v>
      </c>
    </row>
    <row r="181" spans="2:7" hidden="1" x14ac:dyDescent="0.3">
      <c r="B181" s="172" t="s">
        <v>22</v>
      </c>
      <c r="C181" s="172" t="s">
        <v>82</v>
      </c>
      <c r="D181" s="172" t="s">
        <v>221</v>
      </c>
      <c r="E181" s="172">
        <v>3.4346213291623299E-3</v>
      </c>
      <c r="F181" s="172">
        <v>3.2019269517320299E-3</v>
      </c>
      <c r="G181" s="172">
        <v>1.0726732311317799</v>
      </c>
    </row>
    <row r="182" spans="2:7" hidden="1" x14ac:dyDescent="0.3">
      <c r="B182" s="172" t="s">
        <v>189</v>
      </c>
      <c r="C182" s="172" t="s">
        <v>246</v>
      </c>
      <c r="D182" s="172" t="s">
        <v>218</v>
      </c>
      <c r="E182" s="172">
        <v>1.12893544119806E-3</v>
      </c>
      <c r="F182" s="172">
        <v>1.12096980268239E-3</v>
      </c>
      <c r="G182" s="172">
        <v>1.0071060241735399</v>
      </c>
    </row>
    <row r="183" spans="2:7" hidden="1" x14ac:dyDescent="0.3">
      <c r="B183" s="172" t="s">
        <v>189</v>
      </c>
      <c r="C183" s="172" t="s">
        <v>246</v>
      </c>
      <c r="D183" s="172" t="s">
        <v>221</v>
      </c>
      <c r="E183" s="172">
        <v>6.5172164550839897E-4</v>
      </c>
      <c r="F183" s="172">
        <v>6.4534913469586398E-4</v>
      </c>
      <c r="G183" s="172">
        <v>1.0098745167072101</v>
      </c>
    </row>
    <row r="184" spans="2:7" hidden="1" x14ac:dyDescent="0.3">
      <c r="B184" s="172" t="s">
        <v>187</v>
      </c>
      <c r="C184" s="172" t="s">
        <v>246</v>
      </c>
      <c r="D184" s="172" t="s">
        <v>218</v>
      </c>
      <c r="E184" s="172">
        <v>5.8543583939677001E-4</v>
      </c>
      <c r="F184" s="172">
        <v>4.6801901545064702E-4</v>
      </c>
      <c r="G184" s="172">
        <v>1.2508804558572599</v>
      </c>
    </row>
    <row r="185" spans="2:7" hidden="1" x14ac:dyDescent="0.3">
      <c r="B185" s="172" t="s">
        <v>187</v>
      </c>
      <c r="C185" s="172" t="s">
        <v>246</v>
      </c>
      <c r="D185" s="172" t="s">
        <v>221</v>
      </c>
      <c r="E185" s="172">
        <v>4.0151675754257601E-4</v>
      </c>
      <c r="F185" s="172">
        <v>3.1440104945351801E-4</v>
      </c>
      <c r="G185" s="172">
        <v>1.27708466062846</v>
      </c>
    </row>
    <row r="186" spans="2:7" hidden="1" x14ac:dyDescent="0.3">
      <c r="B186" s="172" t="s">
        <v>185</v>
      </c>
      <c r="C186" s="172" t="s">
        <v>246</v>
      </c>
      <c r="D186" s="172" t="s">
        <v>218</v>
      </c>
      <c r="E186" s="172">
        <v>5.03831256195978E-4</v>
      </c>
      <c r="F186" s="172">
        <v>4.0487245478598401E-4</v>
      </c>
      <c r="G186" s="172">
        <v>1.24441969375838</v>
      </c>
    </row>
    <row r="187" spans="2:7" hidden="1" x14ac:dyDescent="0.3">
      <c r="B187" s="172" t="s">
        <v>185</v>
      </c>
      <c r="C187" s="172" t="s">
        <v>246</v>
      </c>
      <c r="D187" s="172" t="s">
        <v>221</v>
      </c>
      <c r="E187" s="172">
        <v>3.4140421003136102E-4</v>
      </c>
      <c r="F187" s="172">
        <v>2.6798316382394601E-4</v>
      </c>
      <c r="G187" s="172">
        <v>1.2739763392585699</v>
      </c>
    </row>
    <row r="188" spans="2:7" hidden="1" x14ac:dyDescent="0.3">
      <c r="B188" s="172" t="s">
        <v>183</v>
      </c>
      <c r="C188" s="172" t="s">
        <v>246</v>
      </c>
      <c r="D188" s="172" t="s">
        <v>218</v>
      </c>
      <c r="E188" s="172">
        <v>4.1642477522496401E-4</v>
      </c>
      <c r="F188" s="172">
        <v>3.38629515046354E-4</v>
      </c>
      <c r="G188" s="172">
        <v>1.2297356158336099</v>
      </c>
    </row>
    <row r="189" spans="2:7" hidden="1" x14ac:dyDescent="0.3">
      <c r="B189" s="172" t="s">
        <v>183</v>
      </c>
      <c r="C189" s="172" t="s">
        <v>246</v>
      </c>
      <c r="D189" s="172" t="s">
        <v>221</v>
      </c>
      <c r="E189" s="172">
        <v>2.7407508453810902E-4</v>
      </c>
      <c r="F189" s="172">
        <v>2.1635602053462401E-4</v>
      </c>
      <c r="G189" s="172">
        <v>1.2667781735902599</v>
      </c>
    </row>
    <row r="190" spans="2:7" hidden="1" x14ac:dyDescent="0.3">
      <c r="B190" s="172" t="s">
        <v>181</v>
      </c>
      <c r="C190" s="172" t="s">
        <v>246</v>
      </c>
      <c r="D190" s="172" t="s">
        <v>218</v>
      </c>
      <c r="E190" s="172">
        <v>3.3188939182413101E-4</v>
      </c>
      <c r="F190" s="172">
        <v>2.7393423873026303E-4</v>
      </c>
      <c r="G190" s="172">
        <v>1.2115659340814799</v>
      </c>
    </row>
    <row r="191" spans="2:7" hidden="1" x14ac:dyDescent="0.3">
      <c r="B191" s="172" t="s">
        <v>181</v>
      </c>
      <c r="C191" s="172" t="s">
        <v>246</v>
      </c>
      <c r="D191" s="172" t="s">
        <v>221</v>
      </c>
      <c r="E191" s="172">
        <v>2.0983107953528301E-4</v>
      </c>
      <c r="F191" s="172">
        <v>1.6683209498176801E-4</v>
      </c>
      <c r="G191" s="172">
        <v>1.25773808425899</v>
      </c>
    </row>
    <row r="192" spans="2:7" hidden="1" x14ac:dyDescent="0.3">
      <c r="B192" s="172" t="s">
        <v>179</v>
      </c>
      <c r="C192" s="172" t="s">
        <v>246</v>
      </c>
      <c r="D192" s="172" t="s">
        <v>218</v>
      </c>
      <c r="E192" s="172">
        <v>2.5243351167105301E-4</v>
      </c>
      <c r="F192" s="172">
        <v>2.1220724771273599E-4</v>
      </c>
      <c r="G192" s="172">
        <v>1.1895612161785001</v>
      </c>
    </row>
    <row r="193" spans="2:7" hidden="1" x14ac:dyDescent="0.3">
      <c r="B193" s="172" t="s">
        <v>179</v>
      </c>
      <c r="C193" s="172" t="s">
        <v>246</v>
      </c>
      <c r="D193" s="172" t="s">
        <v>221</v>
      </c>
      <c r="E193" s="172">
        <v>1.5119482967272199E-4</v>
      </c>
      <c r="F193" s="172">
        <v>1.21349537058486E-4</v>
      </c>
      <c r="G193" s="172">
        <v>1.24594484113978</v>
      </c>
    </row>
    <row r="194" spans="2:7" hidden="1" x14ac:dyDescent="0.3">
      <c r="B194" s="172" t="s">
        <v>39</v>
      </c>
      <c r="C194" s="172" t="s">
        <v>246</v>
      </c>
      <c r="D194" s="172" t="s">
        <v>218</v>
      </c>
      <c r="E194" s="172">
        <v>1.80094872643361E-4</v>
      </c>
      <c r="F194" s="172">
        <v>1.5493574227317799E-4</v>
      </c>
      <c r="G194" s="172">
        <v>1.1623842891320899</v>
      </c>
    </row>
    <row r="195" spans="2:7" hidden="1" x14ac:dyDescent="0.3">
      <c r="B195" s="172" t="s">
        <v>39</v>
      </c>
      <c r="C195" s="172" t="s">
        <v>246</v>
      </c>
      <c r="D195" s="172" t="s">
        <v>221</v>
      </c>
      <c r="E195" s="172">
        <v>9.9835426465179897E-5</v>
      </c>
      <c r="F195" s="172">
        <v>8.11689749002056E-5</v>
      </c>
      <c r="G195" s="172">
        <v>1.2299702760558899</v>
      </c>
    </row>
    <row r="196" spans="2:7" hidden="1" x14ac:dyDescent="0.3">
      <c r="B196" s="172" t="s">
        <v>26</v>
      </c>
      <c r="C196" s="172" t="s">
        <v>246</v>
      </c>
      <c r="D196" s="172" t="s">
        <v>218</v>
      </c>
      <c r="E196" s="172">
        <v>1.1806610675168399E-4</v>
      </c>
      <c r="F196" s="172">
        <v>1.0531216989216101E-4</v>
      </c>
      <c r="G196" s="172">
        <v>1.1211060115139899</v>
      </c>
    </row>
    <row r="197" spans="2:7" hidden="1" x14ac:dyDescent="0.3">
      <c r="B197" s="172" t="s">
        <v>26</v>
      </c>
      <c r="C197" s="172" t="s">
        <v>246</v>
      </c>
      <c r="D197" s="172" t="s">
        <v>221</v>
      </c>
      <c r="E197" s="172">
        <v>5.6841238092883401E-5</v>
      </c>
      <c r="F197" s="172">
        <v>4.7378639777753303E-5</v>
      </c>
      <c r="G197" s="172">
        <v>1.19972287848528</v>
      </c>
    </row>
    <row r="198" spans="2:7" hidden="1" x14ac:dyDescent="0.3">
      <c r="B198" s="172" t="s">
        <v>25</v>
      </c>
      <c r="C198" s="172" t="s">
        <v>246</v>
      </c>
      <c r="D198" s="172" t="s">
        <v>218</v>
      </c>
      <c r="E198" s="172">
        <v>6.8098926109285001E-5</v>
      </c>
      <c r="F198" s="172">
        <v>6.4535669819133906E-5</v>
      </c>
      <c r="G198" s="172">
        <v>1.0552137492356899</v>
      </c>
    </row>
    <row r="199" spans="2:7" hidden="1" x14ac:dyDescent="0.3">
      <c r="B199" s="172" t="s">
        <v>25</v>
      </c>
      <c r="C199" s="172" t="s">
        <v>246</v>
      </c>
      <c r="D199" s="172" t="s">
        <v>221</v>
      </c>
      <c r="E199" s="172">
        <v>2.41175146017923E-5</v>
      </c>
      <c r="F199" s="172">
        <v>2.14738083220028E-5</v>
      </c>
      <c r="G199" s="172">
        <v>1.12311306127664</v>
      </c>
    </row>
    <row r="200" spans="2:7" hidden="1" x14ac:dyDescent="0.3">
      <c r="B200" s="172" t="s">
        <v>24</v>
      </c>
      <c r="C200" s="172" t="s">
        <v>246</v>
      </c>
      <c r="D200" s="172" t="s">
        <v>218</v>
      </c>
      <c r="E200" s="172">
        <v>3.3873561447866801E-5</v>
      </c>
      <c r="F200" s="172">
        <v>3.2528195430531198E-5</v>
      </c>
      <c r="G200" s="172">
        <v>1.0413599955217001</v>
      </c>
    </row>
    <row r="201" spans="2:7" hidden="1" x14ac:dyDescent="0.3">
      <c r="B201" s="172" t="s">
        <v>24</v>
      </c>
      <c r="C201" s="172" t="s">
        <v>246</v>
      </c>
      <c r="D201" s="172" t="s">
        <v>221</v>
      </c>
      <c r="E201" s="172">
        <v>6.87834776098873E-6</v>
      </c>
      <c r="F201" s="172">
        <v>5.8801729739332797E-6</v>
      </c>
      <c r="G201" s="172">
        <v>1.16975262317628</v>
      </c>
    </row>
    <row r="202" spans="2:7" hidden="1" x14ac:dyDescent="0.3">
      <c r="B202" s="172" t="s">
        <v>22</v>
      </c>
      <c r="C202" s="172" t="s">
        <v>246</v>
      </c>
      <c r="D202" s="172" t="s">
        <v>218</v>
      </c>
      <c r="E202" s="172">
        <v>1.09373844525862E-5</v>
      </c>
      <c r="F202" s="172">
        <v>1.0177090335920599E-5</v>
      </c>
      <c r="G202" s="172">
        <v>1.07470643293616</v>
      </c>
    </row>
    <row r="203" spans="2:7" hidden="1" x14ac:dyDescent="0.3">
      <c r="B203" s="172" t="s">
        <v>22</v>
      </c>
      <c r="C203" s="172" t="s">
        <v>246</v>
      </c>
      <c r="D203" s="172" t="s">
        <v>221</v>
      </c>
      <c r="E203" s="172">
        <v>1.8234335235787199E-6</v>
      </c>
      <c r="F203" s="172">
        <v>1.2593443402461301E-6</v>
      </c>
      <c r="G203" s="172">
        <v>1.44792291139558</v>
      </c>
    </row>
    <row r="204" spans="2:7" hidden="1" x14ac:dyDescent="0.3">
      <c r="B204" s="172"/>
      <c r="C204" s="172"/>
      <c r="D204" s="172"/>
      <c r="E204" s="172"/>
      <c r="F204" s="172"/>
      <c r="G204" s="172"/>
    </row>
    <row r="205" spans="2:7" hidden="1" x14ac:dyDescent="0.3">
      <c r="B205" s="172"/>
      <c r="C205" s="172"/>
      <c r="D205" s="172"/>
      <c r="E205" s="172"/>
      <c r="F205" s="172"/>
      <c r="G205" s="172"/>
    </row>
    <row r="206" spans="2:7" hidden="1" x14ac:dyDescent="0.3">
      <c r="B206" s="172"/>
      <c r="C206" s="172"/>
      <c r="D206" s="172"/>
      <c r="E206" s="172"/>
      <c r="F206" s="172"/>
      <c r="G206" s="172"/>
    </row>
    <row r="207" spans="2:7" hidden="1" x14ac:dyDescent="0.3">
      <c r="B207" s="172"/>
      <c r="C207" s="172"/>
      <c r="D207" s="172"/>
      <c r="E207" s="172"/>
      <c r="F207" s="172"/>
      <c r="G207" s="172"/>
    </row>
    <row r="208" spans="2:7" hidden="1" x14ac:dyDescent="0.3">
      <c r="B208" s="172"/>
      <c r="C208" s="172"/>
      <c r="D208" s="172"/>
      <c r="E208" s="172"/>
      <c r="F208" s="172"/>
      <c r="G208" s="172"/>
    </row>
    <row r="209" spans="2:7" hidden="1" x14ac:dyDescent="0.3">
      <c r="B209" s="172"/>
      <c r="C209" s="172"/>
      <c r="D209" s="172"/>
      <c r="E209" s="172"/>
      <c r="F209" s="172"/>
      <c r="G209" s="172"/>
    </row>
    <row r="210" spans="2:7" hidden="1" x14ac:dyDescent="0.3">
      <c r="B210" s="172"/>
      <c r="C210" s="172"/>
      <c r="D210" s="172"/>
      <c r="E210" s="172"/>
      <c r="F210" s="172"/>
      <c r="G210" s="172"/>
    </row>
    <row r="211" spans="2:7" hidden="1" x14ac:dyDescent="0.3">
      <c r="B211" s="172"/>
      <c r="C211" s="172"/>
      <c r="D211" s="172"/>
      <c r="E211" s="172"/>
      <c r="F211" s="172"/>
      <c r="G211" s="172"/>
    </row>
    <row r="212" spans="2:7" hidden="1" x14ac:dyDescent="0.3">
      <c r="B212" s="172"/>
      <c r="C212" s="172"/>
      <c r="D212" s="172"/>
      <c r="E212" s="172"/>
      <c r="F212" s="172"/>
      <c r="G212" s="172"/>
    </row>
    <row r="213" spans="2:7" hidden="1" x14ac:dyDescent="0.3">
      <c r="B213" s="172"/>
      <c r="C213" s="172"/>
      <c r="D213" s="172"/>
      <c r="E213" s="172"/>
      <c r="F213" s="172"/>
      <c r="G213" s="172"/>
    </row>
    <row r="214" spans="2:7" hidden="1" x14ac:dyDescent="0.3">
      <c r="B214" s="172"/>
      <c r="C214" s="172"/>
      <c r="D214" s="172"/>
      <c r="E214" s="172"/>
      <c r="F214" s="172"/>
      <c r="G214" s="172"/>
    </row>
    <row r="215" spans="2:7" hidden="1" x14ac:dyDescent="0.3">
      <c r="B215" s="172"/>
      <c r="C215" s="172"/>
      <c r="D215" s="172"/>
      <c r="E215" s="172"/>
      <c r="F215" s="172"/>
      <c r="G215" s="172"/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hidden="1" x14ac:dyDescent="0.3">
      <c r="B220" s="172"/>
      <c r="C220" s="172"/>
      <c r="D220" s="172"/>
      <c r="E220" s="172"/>
      <c r="F220" s="172"/>
      <c r="G220" s="172"/>
    </row>
    <row r="221" spans="2:7" hidden="1" x14ac:dyDescent="0.3">
      <c r="B221" s="172"/>
      <c r="C221" s="172"/>
      <c r="D221" s="172"/>
      <c r="E221" s="172"/>
      <c r="F221" s="172"/>
      <c r="G221" s="172"/>
    </row>
    <row r="222" spans="2:7" hidden="1" x14ac:dyDescent="0.3">
      <c r="B222" s="172"/>
      <c r="C222" s="172"/>
      <c r="D222" s="172"/>
      <c r="E222" s="172"/>
      <c r="F222" s="172"/>
      <c r="G222" s="172"/>
    </row>
    <row r="223" spans="2:7" hidden="1" x14ac:dyDescent="0.3">
      <c r="B223" s="172"/>
      <c r="C223" s="172"/>
      <c r="D223" s="172"/>
      <c r="E223" s="172"/>
      <c r="F223" s="172"/>
      <c r="G223" s="172"/>
    </row>
    <row r="224" spans="2:7" hidden="1" x14ac:dyDescent="0.3">
      <c r="B224" s="172"/>
      <c r="C224" s="172"/>
      <c r="D224" s="172"/>
      <c r="E224" s="172"/>
      <c r="F224" s="172"/>
      <c r="G224" s="172"/>
    </row>
    <row r="225" spans="2:7" hidden="1" x14ac:dyDescent="0.3">
      <c r="B225" s="172"/>
      <c r="C225" s="172"/>
      <c r="D225" s="172"/>
      <c r="E225" s="172"/>
      <c r="F225" s="172"/>
      <c r="G225" s="172"/>
    </row>
    <row r="226" spans="2:7" hidden="1" x14ac:dyDescent="0.3">
      <c r="B226" s="172"/>
      <c r="C226" s="172"/>
      <c r="D226" s="172"/>
      <c r="E226" s="172"/>
      <c r="F226" s="172"/>
      <c r="G226" s="172"/>
    </row>
    <row r="227" spans="2:7" hidden="1" x14ac:dyDescent="0.3">
      <c r="B227" s="172"/>
      <c r="C227" s="172"/>
      <c r="D227" s="172"/>
      <c r="E227" s="172"/>
      <c r="F227" s="172"/>
      <c r="G227" s="172"/>
    </row>
    <row r="228" spans="2:7" hidden="1" x14ac:dyDescent="0.3">
      <c r="B228" s="172"/>
      <c r="C228" s="172"/>
      <c r="D228" s="172"/>
      <c r="E228" s="172"/>
      <c r="F228" s="172"/>
      <c r="G228" s="172"/>
    </row>
    <row r="229" spans="2:7" s="172" customFormat="1" hidden="1" x14ac:dyDescent="0.3"/>
    <row r="230" spans="2:7" hidden="1" x14ac:dyDescent="0.3">
      <c r="B230" s="172"/>
      <c r="C230" s="172"/>
      <c r="D230" s="172"/>
      <c r="E230" s="172"/>
      <c r="F230" s="172"/>
      <c r="G230" s="172"/>
    </row>
    <row r="231" spans="2:7" hidden="1" x14ac:dyDescent="0.3">
      <c r="B231" s="172"/>
      <c r="C231" s="172"/>
      <c r="D231" s="172"/>
      <c r="E231" s="172"/>
      <c r="F231" s="172"/>
      <c r="G231" s="172"/>
    </row>
    <row r="232" spans="2:7" s="172" customFormat="1" hidden="1" x14ac:dyDescent="0.3"/>
    <row r="233" spans="2:7" hidden="1" x14ac:dyDescent="0.3">
      <c r="B233" s="172"/>
      <c r="C233" s="172"/>
      <c r="D233" s="172"/>
      <c r="E233" s="172"/>
      <c r="F233" s="172"/>
      <c r="G233" s="172"/>
    </row>
    <row r="234" spans="2:7" hidden="1" x14ac:dyDescent="0.3">
      <c r="B234" s="172"/>
      <c r="C234" s="172"/>
      <c r="D234" s="172"/>
      <c r="E234" s="172"/>
      <c r="F234" s="172"/>
      <c r="G234" s="172"/>
    </row>
    <row r="235" spans="2:7" s="172" customFormat="1" hidden="1" x14ac:dyDescent="0.3"/>
    <row r="236" spans="2:7" hidden="1" x14ac:dyDescent="0.3">
      <c r="B236" s="172"/>
      <c r="C236" s="172"/>
      <c r="D236" s="172"/>
      <c r="E236" s="172"/>
      <c r="F236" s="172"/>
      <c r="G236" s="172"/>
    </row>
    <row r="237" spans="2:7" hidden="1" x14ac:dyDescent="0.3">
      <c r="B237" s="172"/>
      <c r="C237" s="172"/>
      <c r="D237" s="172"/>
      <c r="E237" s="172"/>
      <c r="F237" s="172"/>
      <c r="G237" s="172"/>
    </row>
    <row r="238" spans="2:7" s="172" customFormat="1" hidden="1" x14ac:dyDescent="0.3"/>
    <row r="239" spans="2:7" hidden="1" x14ac:dyDescent="0.3">
      <c r="B239" s="172"/>
      <c r="C239" s="172"/>
      <c r="D239" s="172"/>
      <c r="E239" s="172"/>
      <c r="F239" s="172"/>
      <c r="G239" s="172"/>
    </row>
    <row r="240" spans="2:7" hidden="1" x14ac:dyDescent="0.3">
      <c r="B240" s="172"/>
      <c r="C240" s="172"/>
      <c r="D240" s="172"/>
      <c r="E240" s="172"/>
      <c r="F240" s="172"/>
      <c r="G240" s="172"/>
    </row>
    <row r="241" spans="2:7" s="172" customFormat="1" hidden="1" x14ac:dyDescent="0.3"/>
    <row r="242" spans="2:7" hidden="1" x14ac:dyDescent="0.3">
      <c r="B242" s="172"/>
      <c r="C242" s="172"/>
      <c r="D242" s="172"/>
      <c r="E242" s="172"/>
      <c r="F242" s="172"/>
      <c r="G242" s="172"/>
    </row>
    <row r="243" spans="2:7" hidden="1" x14ac:dyDescent="0.3">
      <c r="B243" s="172"/>
      <c r="C243" s="172"/>
      <c r="D243" s="172"/>
      <c r="E243" s="172"/>
      <c r="F243" s="172"/>
      <c r="G243" s="172"/>
    </row>
    <row r="244" spans="2:7" s="172" customFormat="1" hidden="1" x14ac:dyDescent="0.3"/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191"/>
      <c r="C268" s="191"/>
      <c r="D268" s="191"/>
      <c r="E268" s="191" t="s">
        <v>7</v>
      </c>
      <c r="F268" s="191" t="s">
        <v>7</v>
      </c>
      <c r="G268" s="192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2.92269329699054E-2</v>
      </c>
      <c r="F270" s="172">
        <v>2.8572278381681901E-2</v>
      </c>
      <c r="G270" s="172">
        <v>1.0229122291011701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3.1496908406860397E-2</v>
      </c>
      <c r="F271" s="172">
        <v>2.7859767794999199E-2</v>
      </c>
      <c r="G271" s="172">
        <v>1.1305517202664599</v>
      </c>
    </row>
    <row r="272" spans="2:7" s="172" customFormat="1" hidden="1" x14ac:dyDescent="0.3">
      <c r="B272" s="172" t="s">
        <v>185</v>
      </c>
      <c r="C272" s="172" t="s">
        <v>79</v>
      </c>
      <c r="D272" s="172" t="s">
        <v>218</v>
      </c>
      <c r="E272" s="172">
        <v>3.0273931172022501E-2</v>
      </c>
      <c r="F272" s="172">
        <v>2.6763332059075801E-2</v>
      </c>
      <c r="G272" s="172">
        <v>1.1311719745955999</v>
      </c>
    </row>
    <row r="273" spans="2:7" hidden="1" x14ac:dyDescent="0.3">
      <c r="B273" s="172" t="s">
        <v>183</v>
      </c>
      <c r="C273" s="172" t="s">
        <v>79</v>
      </c>
      <c r="D273" s="172" t="s">
        <v>218</v>
      </c>
      <c r="E273" s="172">
        <v>2.8346142731247199E-2</v>
      </c>
      <c r="F273" s="172">
        <v>2.50538344656351E-2</v>
      </c>
      <c r="G273" s="172">
        <v>1.1314093565249701</v>
      </c>
    </row>
    <row r="274" spans="2:7" hidden="1" x14ac:dyDescent="0.3">
      <c r="B274" s="172" t="s">
        <v>181</v>
      </c>
      <c r="C274" s="172" t="s">
        <v>79</v>
      </c>
      <c r="D274" s="172" t="s">
        <v>218</v>
      </c>
      <c r="E274" s="172">
        <v>2.5760257010385802E-2</v>
      </c>
      <c r="F274" s="172">
        <v>2.2771655183188699E-2</v>
      </c>
      <c r="G274" s="172">
        <v>1.1312421869712601</v>
      </c>
    </row>
    <row r="275" spans="2:7" hidden="1" x14ac:dyDescent="0.3">
      <c r="B275" s="172" t="s">
        <v>179</v>
      </c>
      <c r="C275" s="172" t="s">
        <v>79</v>
      </c>
      <c r="D275" s="172" t="s">
        <v>218</v>
      </c>
      <c r="E275" s="172">
        <v>2.2622505656604799E-2</v>
      </c>
      <c r="F275" s="172">
        <v>2.0008969192897401E-2</v>
      </c>
      <c r="G275" s="172">
        <v>1.13061824617308</v>
      </c>
    </row>
    <row r="276" spans="2:7" hidden="1" x14ac:dyDescent="0.3">
      <c r="B276" s="172" t="s">
        <v>39</v>
      </c>
      <c r="C276" s="172" t="s">
        <v>79</v>
      </c>
      <c r="D276" s="172" t="s">
        <v>218</v>
      </c>
      <c r="E276" s="172">
        <v>1.9056745676019698E-2</v>
      </c>
      <c r="F276" s="172">
        <v>1.6871345968667399E-2</v>
      </c>
      <c r="G276" s="172">
        <v>1.1295332163427201</v>
      </c>
    </row>
    <row r="277" spans="2:7" hidden="1" x14ac:dyDescent="0.3">
      <c r="B277" s="172" t="s">
        <v>26</v>
      </c>
      <c r="C277" s="172" t="s">
        <v>79</v>
      </c>
      <c r="D277" s="172" t="s">
        <v>218</v>
      </c>
      <c r="E277" s="172">
        <v>1.5307785419528101E-2</v>
      </c>
      <c r="F277" s="172">
        <v>1.3555167947958999E-2</v>
      </c>
      <c r="G277" s="172">
        <v>1.12929514988658</v>
      </c>
    </row>
    <row r="278" spans="2:7" hidden="1" x14ac:dyDescent="0.3">
      <c r="B278" s="172" t="s">
        <v>25</v>
      </c>
      <c r="C278" s="172" t="s">
        <v>79</v>
      </c>
      <c r="D278" s="172" t="s">
        <v>218</v>
      </c>
      <c r="E278" s="172">
        <v>1.14582650074708E-2</v>
      </c>
      <c r="F278" s="172">
        <v>1.0132820035131501E-2</v>
      </c>
      <c r="G278" s="172">
        <v>1.1308071166510201</v>
      </c>
    </row>
    <row r="279" spans="2:7" hidden="1" x14ac:dyDescent="0.3">
      <c r="B279" s="172" t="s">
        <v>24</v>
      </c>
      <c r="C279" s="172" t="s">
        <v>79</v>
      </c>
      <c r="D279" s="172" t="s">
        <v>218</v>
      </c>
      <c r="E279" s="172">
        <v>7.4396068628656701E-3</v>
      </c>
      <c r="F279" s="172">
        <v>6.5640672654075499E-3</v>
      </c>
      <c r="G279" s="172">
        <v>1.13338370282587</v>
      </c>
    </row>
    <row r="280" spans="2:7" hidden="1" x14ac:dyDescent="0.3">
      <c r="B280" s="172" t="s">
        <v>22</v>
      </c>
      <c r="C280" s="172" t="s">
        <v>79</v>
      </c>
      <c r="D280" s="172" t="s">
        <v>218</v>
      </c>
      <c r="E280" s="172">
        <v>3.3991927175347301E-3</v>
      </c>
      <c r="F280" s="172">
        <v>2.9850552807994201E-3</v>
      </c>
      <c r="G280" s="172">
        <v>1.1387369404510299</v>
      </c>
    </row>
    <row r="281" spans="2:7" hidden="1" x14ac:dyDescent="0.3">
      <c r="B281" s="172" t="s">
        <v>189</v>
      </c>
      <c r="C281" s="172" t="s">
        <v>80</v>
      </c>
      <c r="D281" s="172" t="s">
        <v>218</v>
      </c>
      <c r="E281" s="172">
        <v>2.97083009290194E-2</v>
      </c>
      <c r="F281" s="172">
        <v>2.90942388983827E-2</v>
      </c>
      <c r="G281" s="172">
        <v>1.0211059664692199</v>
      </c>
    </row>
    <row r="282" spans="2:7" hidden="1" x14ac:dyDescent="0.3">
      <c r="B282" s="172" t="s">
        <v>187</v>
      </c>
      <c r="C282" s="172" t="s">
        <v>80</v>
      </c>
      <c r="D282" s="172" t="s">
        <v>218</v>
      </c>
      <c r="E282" s="172">
        <v>3.1945236720474099E-2</v>
      </c>
      <c r="F282" s="172">
        <v>2.7885363848346001E-2</v>
      </c>
      <c r="G282" s="172">
        <v>1.14559153304248</v>
      </c>
    </row>
    <row r="283" spans="2:7" hidden="1" x14ac:dyDescent="0.3">
      <c r="B283" s="172" t="s">
        <v>185</v>
      </c>
      <c r="C283" s="172" t="s">
        <v>80</v>
      </c>
      <c r="D283" s="172" t="s">
        <v>218</v>
      </c>
      <c r="E283" s="172">
        <v>3.0706040375794601E-2</v>
      </c>
      <c r="F283" s="172">
        <v>2.6788904409164899E-2</v>
      </c>
      <c r="G283" s="172">
        <v>1.1462223279758199</v>
      </c>
    </row>
    <row r="284" spans="2:7" hidden="1" x14ac:dyDescent="0.3">
      <c r="B284" s="172" t="s">
        <v>183</v>
      </c>
      <c r="C284" s="172" t="s">
        <v>80</v>
      </c>
      <c r="D284" s="172" t="s">
        <v>218</v>
      </c>
      <c r="E284" s="172">
        <v>2.8752169155889101E-2</v>
      </c>
      <c r="F284" s="172">
        <v>2.5078542258757001E-2</v>
      </c>
      <c r="G284" s="172">
        <v>1.1464848657959501</v>
      </c>
    </row>
    <row r="285" spans="2:7" hidden="1" x14ac:dyDescent="0.3">
      <c r="B285" s="172" t="s">
        <v>181</v>
      </c>
      <c r="C285" s="172" t="s">
        <v>80</v>
      </c>
      <c r="D285" s="172" t="s">
        <v>218</v>
      </c>
      <c r="E285" s="172">
        <v>2.61289391002411E-2</v>
      </c>
      <c r="F285" s="172">
        <v>2.27945463712717E-2</v>
      </c>
      <c r="G285" s="172">
        <v>1.1462802845320801</v>
      </c>
    </row>
    <row r="286" spans="2:7" hidden="1" x14ac:dyDescent="0.3">
      <c r="B286" s="172" t="s">
        <v>179</v>
      </c>
      <c r="C286" s="172" t="s">
        <v>80</v>
      </c>
      <c r="D286" s="172" t="s">
        <v>218</v>
      </c>
      <c r="E286" s="172">
        <v>2.2943790645740501E-2</v>
      </c>
      <c r="F286" s="172">
        <v>2.0029196618939399E-2</v>
      </c>
      <c r="G286" s="172">
        <v>1.1455172707249299</v>
      </c>
    </row>
    <row r="287" spans="2:7" hidden="1" x14ac:dyDescent="0.3">
      <c r="B287" s="172" t="s">
        <v>39</v>
      </c>
      <c r="C287" s="172" t="s">
        <v>80</v>
      </c>
      <c r="D287" s="172" t="s">
        <v>218</v>
      </c>
      <c r="E287" s="172">
        <v>1.93231514140365E-2</v>
      </c>
      <c r="F287" s="172">
        <v>1.68882813797691E-2</v>
      </c>
      <c r="G287" s="172">
        <v>1.14417512235344</v>
      </c>
    </row>
    <row r="288" spans="2:7" hidden="1" x14ac:dyDescent="0.3">
      <c r="B288" s="172" t="s">
        <v>26</v>
      </c>
      <c r="C288" s="172" t="s">
        <v>80</v>
      </c>
      <c r="D288" s="172" t="s">
        <v>218</v>
      </c>
      <c r="E288" s="172">
        <v>1.55206392042777E-2</v>
      </c>
      <c r="F288" s="172">
        <v>1.35687911967584E-2</v>
      </c>
      <c r="G288" s="172">
        <v>1.1438483339610701</v>
      </c>
    </row>
    <row r="289" spans="2:7" hidden="1" x14ac:dyDescent="0.3">
      <c r="B289" s="172" t="s">
        <v>25</v>
      </c>
      <c r="C289" s="172" t="s">
        <v>80</v>
      </c>
      <c r="D289" s="172" t="s">
        <v>218</v>
      </c>
      <c r="E289" s="172">
        <v>1.16202197585396E-2</v>
      </c>
      <c r="F289" s="172">
        <v>1.0143215146082201E-2</v>
      </c>
      <c r="G289" s="172">
        <v>1.14561503341747</v>
      </c>
    </row>
    <row r="290" spans="2:7" hidden="1" x14ac:dyDescent="0.3">
      <c r="B290" s="172" t="s">
        <v>24</v>
      </c>
      <c r="C290" s="172" t="s">
        <v>80</v>
      </c>
      <c r="D290" s="172" t="s">
        <v>218</v>
      </c>
      <c r="E290" s="172">
        <v>7.5478195000797804E-3</v>
      </c>
      <c r="F290" s="172">
        <v>6.5710074903350003E-3</v>
      </c>
      <c r="G290" s="172">
        <v>1.1486548312692599</v>
      </c>
    </row>
    <row r="291" spans="2:7" hidden="1" x14ac:dyDescent="0.3">
      <c r="B291" s="172" t="s">
        <v>22</v>
      </c>
      <c r="C291" s="172" t="s">
        <v>80</v>
      </c>
      <c r="D291" s="172" t="s">
        <v>218</v>
      </c>
      <c r="E291" s="172">
        <v>3.45021911526803E-3</v>
      </c>
      <c r="F291" s="172">
        <v>2.9883010894539998E-3</v>
      </c>
      <c r="G291" s="172">
        <v>1.15457546344449</v>
      </c>
    </row>
    <row r="292" spans="2:7" x14ac:dyDescent="0.3">
      <c r="B292" s="172" t="s">
        <v>189</v>
      </c>
      <c r="C292" s="172" t="s">
        <v>81</v>
      </c>
      <c r="D292" s="172" t="s">
        <v>221</v>
      </c>
      <c r="E292" s="172">
        <v>3.2166432107919599E-2</v>
      </c>
      <c r="F292" s="172">
        <v>3.1859882637548201E-2</v>
      </c>
      <c r="G292" s="172">
        <v>1.0096218016198899</v>
      </c>
    </row>
    <row r="293" spans="2:7" x14ac:dyDescent="0.3">
      <c r="B293" s="172" t="s">
        <v>187</v>
      </c>
      <c r="C293" s="172" t="s">
        <v>81</v>
      </c>
      <c r="D293" s="172" t="s">
        <v>221</v>
      </c>
      <c r="E293" s="172">
        <v>3.1568969301326903E-2</v>
      </c>
      <c r="F293" s="172">
        <v>2.9791854913952399E-2</v>
      </c>
      <c r="G293" s="172">
        <v>1.0596510151015199</v>
      </c>
    </row>
    <row r="294" spans="2:7" x14ac:dyDescent="0.3">
      <c r="B294" s="172" t="s">
        <v>185</v>
      </c>
      <c r="C294" s="172" t="s">
        <v>81</v>
      </c>
      <c r="D294" s="172" t="s">
        <v>221</v>
      </c>
      <c r="E294" s="172">
        <v>3.0448222159332301E-2</v>
      </c>
      <c r="F294" s="172">
        <v>2.8746736166160702E-2</v>
      </c>
      <c r="G294" s="172">
        <v>1.0591888408943799</v>
      </c>
    </row>
    <row r="295" spans="2:7" x14ac:dyDescent="0.3">
      <c r="B295" s="172" t="s">
        <v>183</v>
      </c>
      <c r="C295" s="172" t="s">
        <v>81</v>
      </c>
      <c r="D295" s="172" t="s">
        <v>221</v>
      </c>
      <c r="E295" s="172">
        <v>2.8606403901793399E-2</v>
      </c>
      <c r="F295" s="172">
        <v>2.7019024053176698E-2</v>
      </c>
      <c r="G295" s="172">
        <v>1.05875045099677</v>
      </c>
    </row>
    <row r="296" spans="2:7" x14ac:dyDescent="0.3">
      <c r="B296" s="172" t="s">
        <v>181</v>
      </c>
      <c r="C296" s="172" t="s">
        <v>81</v>
      </c>
      <c r="D296" s="172" t="s">
        <v>221</v>
      </c>
      <c r="E296" s="172">
        <v>2.6081105219633301E-2</v>
      </c>
      <c r="F296" s="172">
        <v>2.46395759869469E-2</v>
      </c>
      <c r="G296" s="172">
        <v>1.05850462822291</v>
      </c>
    </row>
    <row r="297" spans="2:7" x14ac:dyDescent="0.3">
      <c r="B297" s="172" t="s">
        <v>179</v>
      </c>
      <c r="C297" s="172" t="s">
        <v>81</v>
      </c>
      <c r="D297" s="172" t="s">
        <v>221</v>
      </c>
      <c r="E297" s="172">
        <v>2.2976091760190599E-2</v>
      </c>
      <c r="F297" s="172">
        <v>2.1706114723854201E-2</v>
      </c>
      <c r="G297" s="172">
        <v>1.05850780079683</v>
      </c>
    </row>
    <row r="298" spans="2:7" x14ac:dyDescent="0.3">
      <c r="B298" s="172" t="s">
        <v>39</v>
      </c>
      <c r="C298" s="172" t="s">
        <v>81</v>
      </c>
      <c r="D298" s="172" t="s">
        <v>221</v>
      </c>
      <c r="E298" s="172">
        <v>1.9415274483000799E-2</v>
      </c>
      <c r="F298" s="172">
        <v>1.8336845850576201E-2</v>
      </c>
      <c r="G298" s="172">
        <v>1.0588121120291101</v>
      </c>
    </row>
    <row r="299" spans="2:7" x14ac:dyDescent="0.3">
      <c r="B299" s="172" t="s">
        <v>26</v>
      </c>
      <c r="C299" s="172" t="s">
        <v>81</v>
      </c>
      <c r="D299" s="172" t="s">
        <v>221</v>
      </c>
      <c r="E299" s="172">
        <v>1.56389487126424E-2</v>
      </c>
      <c r="F299" s="172">
        <v>1.47539023007552E-2</v>
      </c>
      <c r="G299" s="172">
        <v>1.0599872761690901</v>
      </c>
    </row>
    <row r="300" spans="2:7" x14ac:dyDescent="0.3">
      <c r="B300" s="172" t="s">
        <v>25</v>
      </c>
      <c r="C300" s="172" t="s">
        <v>81</v>
      </c>
      <c r="D300" s="172" t="s">
        <v>221</v>
      </c>
      <c r="E300" s="172">
        <v>1.1725049135635201E-2</v>
      </c>
      <c r="F300" s="172">
        <v>1.10321943405212E-2</v>
      </c>
      <c r="G300" s="172">
        <v>1.0628029903868801</v>
      </c>
    </row>
    <row r="301" spans="2:7" x14ac:dyDescent="0.3">
      <c r="B301" s="172" t="s">
        <v>24</v>
      </c>
      <c r="C301" s="172" t="s">
        <v>81</v>
      </c>
      <c r="D301" s="172" t="s">
        <v>221</v>
      </c>
      <c r="E301" s="172">
        <v>7.5890344013269497E-3</v>
      </c>
      <c r="F301" s="172">
        <v>7.10929696494517E-3</v>
      </c>
      <c r="G301" s="172">
        <v>1.0674802921790001</v>
      </c>
    </row>
    <row r="302" spans="2:7" x14ac:dyDescent="0.3">
      <c r="B302" s="172" t="s">
        <v>22</v>
      </c>
      <c r="C302" s="172" t="s">
        <v>81</v>
      </c>
      <c r="D302" s="172" t="s">
        <v>221</v>
      </c>
      <c r="E302" s="172">
        <v>3.4230562719754598E-3</v>
      </c>
      <c r="F302" s="172">
        <v>3.1717316942395301E-3</v>
      </c>
      <c r="G302" s="172">
        <v>1.0792389148780701</v>
      </c>
    </row>
    <row r="303" spans="2:7" hidden="1" x14ac:dyDescent="0.3">
      <c r="B303" s="172" t="s">
        <v>189</v>
      </c>
      <c r="C303" s="172" t="s">
        <v>82</v>
      </c>
      <c r="D303" s="172" t="s">
        <v>221</v>
      </c>
      <c r="E303" s="172">
        <v>2.9126791257902799E-2</v>
      </c>
      <c r="F303" s="172">
        <v>2.8677980524647699E-2</v>
      </c>
      <c r="G303" s="172">
        <v>1.01565001178759</v>
      </c>
    </row>
    <row r="304" spans="2:7" hidden="1" x14ac:dyDescent="0.3">
      <c r="B304" s="172" t="s">
        <v>187</v>
      </c>
      <c r="C304" s="172" t="s">
        <v>82</v>
      </c>
      <c r="D304" s="172" t="s">
        <v>221</v>
      </c>
      <c r="E304" s="172">
        <v>3.2635089389927499E-2</v>
      </c>
      <c r="F304" s="172">
        <v>3.0159254145357799E-2</v>
      </c>
      <c r="G304" s="172">
        <v>1.0820920581336999</v>
      </c>
    </row>
    <row r="305" spans="2:7" hidden="1" x14ac:dyDescent="0.3">
      <c r="B305" s="172" t="s">
        <v>185</v>
      </c>
      <c r="C305" s="172" t="s">
        <v>82</v>
      </c>
      <c r="D305" s="172" t="s">
        <v>221</v>
      </c>
      <c r="E305" s="172">
        <v>3.1503716721333501E-2</v>
      </c>
      <c r="F305" s="172">
        <v>2.91015700321978E-2</v>
      </c>
      <c r="G305" s="172">
        <v>1.08254354271876</v>
      </c>
    </row>
    <row r="306" spans="2:7" hidden="1" x14ac:dyDescent="0.3">
      <c r="B306" s="172" t="s">
        <v>183</v>
      </c>
      <c r="C306" s="172" t="s">
        <v>82</v>
      </c>
      <c r="D306" s="172" t="s">
        <v>221</v>
      </c>
      <c r="E306" s="172">
        <v>2.9612364819576301E-2</v>
      </c>
      <c r="F306" s="172">
        <v>2.7351635088923701E-2</v>
      </c>
      <c r="G306" s="172">
        <v>1.08265428093431</v>
      </c>
    </row>
    <row r="307" spans="2:7" hidden="1" x14ac:dyDescent="0.3">
      <c r="B307" s="172" t="s">
        <v>181</v>
      </c>
      <c r="C307" s="172" t="s">
        <v>82</v>
      </c>
      <c r="D307" s="172" t="s">
        <v>221</v>
      </c>
      <c r="E307" s="172">
        <v>2.69912229643865E-2</v>
      </c>
      <c r="F307" s="172">
        <v>2.49399707525522E-2</v>
      </c>
      <c r="G307" s="172">
        <v>1.0822475788839601</v>
      </c>
    </row>
    <row r="308" spans="2:7" hidden="1" x14ac:dyDescent="0.3">
      <c r="B308" s="172" t="s">
        <v>179</v>
      </c>
      <c r="C308" s="172" t="s">
        <v>82</v>
      </c>
      <c r="D308" s="172" t="s">
        <v>221</v>
      </c>
      <c r="E308" s="172">
        <v>2.3749538620642701E-2</v>
      </c>
      <c r="F308" s="172">
        <v>2.19658024926528E-2</v>
      </c>
      <c r="G308" s="172">
        <v>1.0812051427935101</v>
      </c>
    </row>
    <row r="309" spans="2:7" hidden="1" x14ac:dyDescent="0.3">
      <c r="B309" s="172" t="s">
        <v>39</v>
      </c>
      <c r="C309" s="172" t="s">
        <v>82</v>
      </c>
      <c r="D309" s="172" t="s">
        <v>221</v>
      </c>
      <c r="E309" s="172">
        <v>2.0024036474159901E-2</v>
      </c>
      <c r="F309" s="172">
        <v>1.8550122076330101E-2</v>
      </c>
      <c r="G309" s="172">
        <v>1.07945577887655</v>
      </c>
    </row>
    <row r="310" spans="2:7" hidden="1" x14ac:dyDescent="0.3">
      <c r="B310" s="172" t="s">
        <v>26</v>
      </c>
      <c r="C310" s="172" t="s">
        <v>82</v>
      </c>
      <c r="D310" s="172" t="s">
        <v>221</v>
      </c>
      <c r="E310" s="172">
        <v>1.6081852592754801E-2</v>
      </c>
      <c r="F310" s="172">
        <v>1.49202930071417E-2</v>
      </c>
      <c r="G310" s="172">
        <v>1.07785099026253</v>
      </c>
    </row>
    <row r="311" spans="2:7" hidden="1" x14ac:dyDescent="0.3">
      <c r="B311" s="172" t="s">
        <v>25</v>
      </c>
      <c r="C311" s="172" t="s">
        <v>82</v>
      </c>
      <c r="D311" s="172" t="s">
        <v>221</v>
      </c>
      <c r="E311" s="172">
        <v>1.2008286186273601E-2</v>
      </c>
      <c r="F311" s="172">
        <v>1.1152750603054901E-2</v>
      </c>
      <c r="G311" s="172">
        <v>1.0767107248847101</v>
      </c>
    </row>
    <row r="312" spans="2:7" hidden="1" x14ac:dyDescent="0.3">
      <c r="B312" s="172" t="s">
        <v>24</v>
      </c>
      <c r="C312" s="172" t="s">
        <v>82</v>
      </c>
      <c r="D312" s="172" t="s">
        <v>221</v>
      </c>
      <c r="E312" s="172">
        <v>7.7279267500616096E-3</v>
      </c>
      <c r="F312" s="172">
        <v>7.1841891157368304E-3</v>
      </c>
      <c r="G312" s="172">
        <v>1.07568531751673</v>
      </c>
    </row>
    <row r="313" spans="2:7" hidden="1" x14ac:dyDescent="0.3">
      <c r="B313" s="172" t="s">
        <v>22</v>
      </c>
      <c r="C313" s="172" t="s">
        <v>82</v>
      </c>
      <c r="D313" s="172" t="s">
        <v>221</v>
      </c>
      <c r="E313" s="172">
        <v>3.4346213291623299E-3</v>
      </c>
      <c r="F313" s="172">
        <v>3.2019269517320299E-3</v>
      </c>
      <c r="G313" s="172">
        <v>1.0726732311317799</v>
      </c>
    </row>
    <row r="314" spans="2:7" hidden="1" x14ac:dyDescent="0.3">
      <c r="B314" s="172" t="s">
        <v>189</v>
      </c>
      <c r="C314" s="172" t="s">
        <v>246</v>
      </c>
      <c r="D314" s="172" t="s">
        <v>218</v>
      </c>
      <c r="E314" s="172">
        <v>1.12893544119806E-3</v>
      </c>
      <c r="F314" s="172">
        <v>1.12096980268239E-3</v>
      </c>
      <c r="G314" s="172">
        <v>1.0071060241735399</v>
      </c>
    </row>
    <row r="315" spans="2:7" hidden="1" x14ac:dyDescent="0.3">
      <c r="B315" s="172" t="s">
        <v>189</v>
      </c>
      <c r="C315" s="172" t="s">
        <v>246</v>
      </c>
      <c r="D315" s="172" t="s">
        <v>221</v>
      </c>
      <c r="E315" s="172">
        <v>6.5172164550839897E-4</v>
      </c>
      <c r="F315" s="172">
        <v>6.4534913469586398E-4</v>
      </c>
      <c r="G315" s="172">
        <v>1.0098745167072101</v>
      </c>
    </row>
    <row r="316" spans="2:7" hidden="1" x14ac:dyDescent="0.3">
      <c r="B316" s="172" t="s">
        <v>187</v>
      </c>
      <c r="C316" s="172" t="s">
        <v>246</v>
      </c>
      <c r="D316" s="172" t="s">
        <v>218</v>
      </c>
      <c r="E316" s="172">
        <v>5.8543583939677001E-4</v>
      </c>
      <c r="F316" s="172">
        <v>4.6801901545064702E-4</v>
      </c>
      <c r="G316" s="172">
        <v>1.2508804558572599</v>
      </c>
    </row>
    <row r="317" spans="2:7" hidden="1" x14ac:dyDescent="0.3">
      <c r="B317" s="172" t="s">
        <v>187</v>
      </c>
      <c r="C317" s="172" t="s">
        <v>246</v>
      </c>
      <c r="D317" s="172" t="s">
        <v>221</v>
      </c>
      <c r="E317" s="172">
        <v>4.0151675754257601E-4</v>
      </c>
      <c r="F317" s="172">
        <v>3.1440104945351801E-4</v>
      </c>
      <c r="G317" s="172">
        <v>1.27708466062846</v>
      </c>
    </row>
    <row r="318" spans="2:7" hidden="1" x14ac:dyDescent="0.3">
      <c r="B318" s="172" t="s">
        <v>185</v>
      </c>
      <c r="C318" s="172" t="s">
        <v>246</v>
      </c>
      <c r="D318" s="172" t="s">
        <v>218</v>
      </c>
      <c r="E318" s="172">
        <v>5.03831256195978E-4</v>
      </c>
      <c r="F318" s="172">
        <v>4.0487245478598401E-4</v>
      </c>
      <c r="G318" s="172">
        <v>1.24441969375838</v>
      </c>
    </row>
    <row r="319" spans="2:7" hidden="1" x14ac:dyDescent="0.3">
      <c r="B319" s="172" t="s">
        <v>185</v>
      </c>
      <c r="C319" s="172" t="s">
        <v>246</v>
      </c>
      <c r="D319" s="172" t="s">
        <v>221</v>
      </c>
      <c r="E319" s="172">
        <v>3.4140421003136102E-4</v>
      </c>
      <c r="F319" s="172">
        <v>2.6798316382394601E-4</v>
      </c>
      <c r="G319" s="172">
        <v>1.2739763392585699</v>
      </c>
    </row>
    <row r="320" spans="2:7" hidden="1" x14ac:dyDescent="0.3">
      <c r="B320" s="172" t="s">
        <v>183</v>
      </c>
      <c r="C320" s="172" t="s">
        <v>246</v>
      </c>
      <c r="D320" s="172" t="s">
        <v>218</v>
      </c>
      <c r="E320" s="172">
        <v>4.1642477522496401E-4</v>
      </c>
      <c r="F320" s="172">
        <v>3.38629515046354E-4</v>
      </c>
      <c r="G320" s="172">
        <v>1.2297356158336099</v>
      </c>
    </row>
    <row r="321" spans="2:7" hidden="1" x14ac:dyDescent="0.3">
      <c r="B321" s="172" t="s">
        <v>183</v>
      </c>
      <c r="C321" s="172" t="s">
        <v>246</v>
      </c>
      <c r="D321" s="172" t="s">
        <v>221</v>
      </c>
      <c r="E321" s="172">
        <v>2.7407508453810902E-4</v>
      </c>
      <c r="F321" s="172">
        <v>2.1635602053462401E-4</v>
      </c>
      <c r="G321" s="172">
        <v>1.2667781735902599</v>
      </c>
    </row>
    <row r="322" spans="2:7" hidden="1" x14ac:dyDescent="0.3">
      <c r="B322" s="172" t="s">
        <v>181</v>
      </c>
      <c r="C322" s="172" t="s">
        <v>246</v>
      </c>
      <c r="D322" s="172" t="s">
        <v>218</v>
      </c>
      <c r="E322" s="172">
        <v>3.3188939182413101E-4</v>
      </c>
      <c r="F322" s="172">
        <v>2.7393423873026303E-4</v>
      </c>
      <c r="G322" s="172">
        <v>1.2115659340814799</v>
      </c>
    </row>
    <row r="323" spans="2:7" hidden="1" x14ac:dyDescent="0.3">
      <c r="B323" s="172" t="s">
        <v>181</v>
      </c>
      <c r="C323" s="172" t="s">
        <v>246</v>
      </c>
      <c r="D323" s="172" t="s">
        <v>221</v>
      </c>
      <c r="E323" s="172">
        <v>2.0983107953528301E-4</v>
      </c>
      <c r="F323" s="172">
        <v>1.6683209498176801E-4</v>
      </c>
      <c r="G323" s="172">
        <v>1.25773808425899</v>
      </c>
    </row>
    <row r="324" spans="2:7" hidden="1" x14ac:dyDescent="0.3">
      <c r="B324" s="172" t="s">
        <v>179</v>
      </c>
      <c r="C324" s="172" t="s">
        <v>246</v>
      </c>
      <c r="D324" s="172" t="s">
        <v>218</v>
      </c>
      <c r="E324" s="172">
        <v>2.5243351167105301E-4</v>
      </c>
      <c r="F324" s="172">
        <v>2.1220724771273599E-4</v>
      </c>
      <c r="G324" s="172">
        <v>1.1895612161785001</v>
      </c>
    </row>
    <row r="325" spans="2:7" hidden="1" x14ac:dyDescent="0.3">
      <c r="B325" s="172" t="s">
        <v>179</v>
      </c>
      <c r="C325" s="172" t="s">
        <v>246</v>
      </c>
      <c r="D325" s="172" t="s">
        <v>221</v>
      </c>
      <c r="E325" s="172">
        <v>1.5119482967272199E-4</v>
      </c>
      <c r="F325" s="172">
        <v>1.21349537058486E-4</v>
      </c>
      <c r="G325" s="172">
        <v>1.24594484113978</v>
      </c>
    </row>
    <row r="326" spans="2:7" hidden="1" x14ac:dyDescent="0.3">
      <c r="B326" s="172" t="s">
        <v>39</v>
      </c>
      <c r="C326" s="172" t="s">
        <v>246</v>
      </c>
      <c r="D326" s="172" t="s">
        <v>218</v>
      </c>
      <c r="E326" s="172">
        <v>1.80094872643361E-4</v>
      </c>
      <c r="F326" s="172">
        <v>1.5493574227317799E-4</v>
      </c>
      <c r="G326" s="172">
        <v>1.1623842891320899</v>
      </c>
    </row>
    <row r="327" spans="2:7" hidden="1" x14ac:dyDescent="0.3">
      <c r="B327" s="172" t="s">
        <v>39</v>
      </c>
      <c r="C327" s="172" t="s">
        <v>246</v>
      </c>
      <c r="D327" s="172" t="s">
        <v>221</v>
      </c>
      <c r="E327" s="172">
        <v>9.9835426465179897E-5</v>
      </c>
      <c r="F327" s="172">
        <v>8.11689749002056E-5</v>
      </c>
      <c r="G327" s="172">
        <v>1.2299702760558899</v>
      </c>
    </row>
    <row r="328" spans="2:7" hidden="1" x14ac:dyDescent="0.3">
      <c r="B328" s="172" t="s">
        <v>26</v>
      </c>
      <c r="C328" s="172" t="s">
        <v>246</v>
      </c>
      <c r="D328" s="172" t="s">
        <v>218</v>
      </c>
      <c r="E328" s="172">
        <v>1.1806610675168399E-4</v>
      </c>
      <c r="F328" s="172">
        <v>1.0531216989216101E-4</v>
      </c>
      <c r="G328" s="172">
        <v>1.1211060115139899</v>
      </c>
    </row>
    <row r="329" spans="2:7" hidden="1" x14ac:dyDescent="0.3">
      <c r="B329" s="172" t="s">
        <v>26</v>
      </c>
      <c r="C329" s="172" t="s">
        <v>246</v>
      </c>
      <c r="D329" s="172" t="s">
        <v>221</v>
      </c>
      <c r="E329" s="172">
        <v>5.6841238092883401E-5</v>
      </c>
      <c r="F329" s="172">
        <v>4.7378639777753303E-5</v>
      </c>
      <c r="G329" s="172">
        <v>1.19972287848528</v>
      </c>
    </row>
    <row r="330" spans="2:7" hidden="1" x14ac:dyDescent="0.3">
      <c r="B330" s="172" t="s">
        <v>25</v>
      </c>
      <c r="C330" s="172" t="s">
        <v>246</v>
      </c>
      <c r="D330" s="172" t="s">
        <v>218</v>
      </c>
      <c r="E330" s="172">
        <v>6.8098926109285001E-5</v>
      </c>
      <c r="F330" s="172">
        <v>6.4535669819133906E-5</v>
      </c>
      <c r="G330" s="172">
        <v>1.0552137492356899</v>
      </c>
    </row>
    <row r="331" spans="2:7" hidden="1" x14ac:dyDescent="0.3">
      <c r="B331" s="172" t="s">
        <v>25</v>
      </c>
      <c r="C331" s="172" t="s">
        <v>246</v>
      </c>
      <c r="D331" s="172" t="s">
        <v>221</v>
      </c>
      <c r="E331" s="172">
        <v>2.41175146017923E-5</v>
      </c>
      <c r="F331" s="172">
        <v>2.14738083220028E-5</v>
      </c>
      <c r="G331" s="172">
        <v>1.12311306127664</v>
      </c>
    </row>
    <row r="332" spans="2:7" hidden="1" x14ac:dyDescent="0.3">
      <c r="B332" s="172" t="s">
        <v>24</v>
      </c>
      <c r="C332" s="172" t="s">
        <v>246</v>
      </c>
      <c r="D332" s="172" t="s">
        <v>218</v>
      </c>
      <c r="E332" s="172">
        <v>3.3873561447866801E-5</v>
      </c>
      <c r="F332" s="172">
        <v>3.2528195430531198E-5</v>
      </c>
      <c r="G332" s="172">
        <v>1.0413599955217001</v>
      </c>
    </row>
    <row r="333" spans="2:7" hidden="1" x14ac:dyDescent="0.3">
      <c r="B333" s="172" t="s">
        <v>24</v>
      </c>
      <c r="C333" s="172" t="s">
        <v>246</v>
      </c>
      <c r="D333" s="172" t="s">
        <v>221</v>
      </c>
      <c r="E333" s="172">
        <v>6.87834776098873E-6</v>
      </c>
      <c r="F333" s="172">
        <v>5.8801729739332797E-6</v>
      </c>
      <c r="G333" s="172">
        <v>1.16975262317628</v>
      </c>
    </row>
    <row r="334" spans="2:7" hidden="1" x14ac:dyDescent="0.3">
      <c r="B334" s="172" t="s">
        <v>22</v>
      </c>
      <c r="C334" s="172" t="s">
        <v>246</v>
      </c>
      <c r="D334" s="172" t="s">
        <v>218</v>
      </c>
      <c r="E334" s="172">
        <v>1.09373844525862E-5</v>
      </c>
      <c r="F334" s="172">
        <v>1.0177090335920599E-5</v>
      </c>
      <c r="G334" s="172">
        <v>1.07470643293616</v>
      </c>
    </row>
    <row r="335" spans="2:7" hidden="1" x14ac:dyDescent="0.3">
      <c r="B335" s="172" t="s">
        <v>22</v>
      </c>
      <c r="C335" s="172" t="s">
        <v>246</v>
      </c>
      <c r="D335" s="172" t="s">
        <v>221</v>
      </c>
      <c r="E335" s="172">
        <v>1.8234335235787199E-6</v>
      </c>
      <c r="F335" s="172">
        <v>1.2593443402461301E-6</v>
      </c>
      <c r="G335" s="172">
        <v>1.44792291139558</v>
      </c>
    </row>
    <row r="336" spans="2:7" hidden="1" x14ac:dyDescent="0.3">
      <c r="B336" s="172"/>
      <c r="C336" s="172"/>
      <c r="D336" s="172"/>
      <c r="E336" s="172"/>
      <c r="F336" s="172"/>
      <c r="G336" s="172"/>
    </row>
    <row r="337" spans="2:7" hidden="1" x14ac:dyDescent="0.3">
      <c r="B337" s="172"/>
      <c r="C337" s="172"/>
      <c r="D337" s="172"/>
      <c r="E337" s="172"/>
      <c r="F337" s="172"/>
      <c r="G337" s="172"/>
    </row>
    <row r="338" spans="2:7" hidden="1" x14ac:dyDescent="0.3">
      <c r="B338" s="172"/>
      <c r="C338" s="172"/>
      <c r="D338" s="172"/>
      <c r="E338" s="172"/>
      <c r="F338" s="172"/>
      <c r="G338" s="172"/>
    </row>
    <row r="339" spans="2:7" hidden="1" x14ac:dyDescent="0.3">
      <c r="B339" s="172"/>
      <c r="C339" s="172"/>
      <c r="D339" s="172"/>
      <c r="E339" s="172"/>
      <c r="F339" s="172"/>
      <c r="G339" s="172"/>
    </row>
    <row r="340" spans="2:7" hidden="1" x14ac:dyDescent="0.3">
      <c r="B340" s="172"/>
      <c r="C340" s="172"/>
      <c r="D340" s="172"/>
      <c r="E340" s="172"/>
      <c r="F340" s="172"/>
      <c r="G340" s="172"/>
    </row>
    <row r="341" spans="2:7" hidden="1" x14ac:dyDescent="0.3">
      <c r="B341" s="172"/>
      <c r="C341" s="172"/>
      <c r="D341" s="172"/>
      <c r="E341" s="172"/>
      <c r="F341" s="172"/>
      <c r="G341" s="172"/>
    </row>
    <row r="342" spans="2:7" s="172" customFormat="1" hidden="1" x14ac:dyDescent="0.3"/>
    <row r="343" spans="2:7" hidden="1" x14ac:dyDescent="0.3">
      <c r="B343" s="172"/>
      <c r="C343" s="172"/>
      <c r="D343" s="172"/>
      <c r="E343" s="172"/>
      <c r="F343" s="172"/>
      <c r="G343" s="172"/>
    </row>
    <row r="344" spans="2:7" hidden="1" x14ac:dyDescent="0.3">
      <c r="B344" s="172"/>
      <c r="C344" s="172"/>
      <c r="D344" s="172"/>
      <c r="E344" s="172"/>
      <c r="F344" s="172"/>
      <c r="G344" s="172"/>
    </row>
    <row r="345" spans="2:7" hidden="1" x14ac:dyDescent="0.3">
      <c r="B345" s="172"/>
      <c r="C345" s="172"/>
      <c r="D345" s="172"/>
      <c r="E345" s="172"/>
      <c r="F345" s="172"/>
      <c r="G345" s="172"/>
    </row>
    <row r="346" spans="2:7" s="172" customFormat="1" hidden="1" x14ac:dyDescent="0.3"/>
    <row r="347" spans="2:7" hidden="1" x14ac:dyDescent="0.3">
      <c r="B347" s="172"/>
      <c r="C347" s="172"/>
      <c r="D347" s="172"/>
      <c r="E347" s="172"/>
      <c r="F347" s="172"/>
      <c r="G347" s="172"/>
    </row>
    <row r="348" spans="2:7" hidden="1" x14ac:dyDescent="0.3">
      <c r="B348" s="172"/>
      <c r="C348" s="172"/>
      <c r="D348" s="172"/>
      <c r="E348" s="172"/>
      <c r="F348" s="172"/>
      <c r="G348" s="172"/>
    </row>
    <row r="349" spans="2:7" hidden="1" x14ac:dyDescent="0.3">
      <c r="B349" s="172"/>
      <c r="C349" s="172"/>
      <c r="D349" s="172"/>
      <c r="E349" s="172"/>
      <c r="F349" s="172"/>
      <c r="G349" s="172"/>
    </row>
    <row r="350" spans="2:7" s="172" customFormat="1" hidden="1" x14ac:dyDescent="0.3"/>
    <row r="351" spans="2:7" hidden="1" x14ac:dyDescent="0.3">
      <c r="B351" s="172"/>
      <c r="C351" s="172"/>
      <c r="D351" s="172"/>
      <c r="E351" s="172"/>
      <c r="F351" s="172"/>
      <c r="G351" s="172"/>
    </row>
    <row r="352" spans="2:7" hidden="1" x14ac:dyDescent="0.3">
      <c r="B352" s="172"/>
      <c r="C352" s="172"/>
      <c r="D352" s="172"/>
      <c r="E352" s="172"/>
      <c r="F352" s="172"/>
      <c r="G352" s="172"/>
    </row>
    <row r="353" spans="2:7" hidden="1" x14ac:dyDescent="0.3">
      <c r="B353" s="172"/>
      <c r="C353" s="172"/>
      <c r="D353" s="172"/>
      <c r="E353" s="172"/>
      <c r="F353" s="172"/>
      <c r="G353" s="172"/>
    </row>
    <row r="354" spans="2:7" s="172" customFormat="1" hidden="1" x14ac:dyDescent="0.3"/>
    <row r="355" spans="2:7" hidden="1" x14ac:dyDescent="0.3">
      <c r="B355" s="172"/>
      <c r="C355" s="172"/>
      <c r="D355" s="172"/>
      <c r="E355" s="172"/>
      <c r="F355" s="172"/>
      <c r="G355" s="172"/>
    </row>
    <row r="356" spans="2:7" hidden="1" x14ac:dyDescent="0.3">
      <c r="B356" s="172"/>
      <c r="C356" s="172"/>
      <c r="D356" s="172"/>
      <c r="E356" s="172"/>
      <c r="F356" s="172"/>
      <c r="G356" s="172"/>
    </row>
    <row r="357" spans="2:7" hidden="1" x14ac:dyDescent="0.3">
      <c r="B357" s="172"/>
      <c r="C357" s="172"/>
      <c r="D357" s="172"/>
      <c r="E357" s="172"/>
      <c r="F357" s="172"/>
      <c r="G357" s="172"/>
    </row>
    <row r="358" spans="2:7" s="172" customFormat="1" hidden="1" x14ac:dyDescent="0.3"/>
    <row r="359" spans="2:7" hidden="1" x14ac:dyDescent="0.3">
      <c r="B359" s="172"/>
      <c r="C359" s="172"/>
      <c r="D359" s="172"/>
      <c r="E359" s="172"/>
      <c r="F359" s="172"/>
      <c r="G359" s="172"/>
    </row>
    <row r="360" spans="2:7" hidden="1" x14ac:dyDescent="0.3">
      <c r="B360" s="172"/>
      <c r="C360" s="172"/>
      <c r="D360" s="172"/>
      <c r="E360" s="172"/>
      <c r="F360" s="172"/>
      <c r="G360" s="172"/>
    </row>
    <row r="361" spans="2:7" hidden="1" x14ac:dyDescent="0.3">
      <c r="B361" s="172"/>
      <c r="C361" s="172"/>
      <c r="D361" s="172"/>
      <c r="E361" s="172"/>
      <c r="F361" s="172"/>
      <c r="G361" s="172"/>
    </row>
    <row r="362" spans="2:7" s="172" customFormat="1" hidden="1" x14ac:dyDescent="0.3"/>
    <row r="363" spans="2:7" hidden="1" x14ac:dyDescent="0.3">
      <c r="B363" s="172"/>
      <c r="C363" s="172"/>
      <c r="D363" s="172"/>
      <c r="E363" s="172"/>
      <c r="F363" s="172"/>
      <c r="G363" s="172"/>
    </row>
    <row r="364" spans="2:7" hidden="1" x14ac:dyDescent="0.3">
      <c r="B364" s="172"/>
      <c r="C364" s="172"/>
      <c r="D364" s="172"/>
      <c r="E364" s="172"/>
      <c r="F364" s="172"/>
      <c r="G364" s="172"/>
    </row>
    <row r="365" spans="2:7" hidden="1" x14ac:dyDescent="0.3">
      <c r="B365" s="172"/>
      <c r="C365" s="172"/>
      <c r="D365" s="172"/>
      <c r="E365" s="172"/>
      <c r="F365" s="172"/>
      <c r="G365" s="172"/>
    </row>
    <row r="366" spans="2:7" hidden="1" x14ac:dyDescent="0.3">
      <c r="B366" s="172"/>
      <c r="C366" s="172"/>
      <c r="D366" s="172"/>
      <c r="E366" s="172"/>
      <c r="F366" s="172"/>
      <c r="G366" s="172"/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191"/>
      <c r="C400" s="191"/>
      <c r="D400" s="191"/>
      <c r="E400" s="191" t="s">
        <v>7</v>
      </c>
      <c r="F400" s="191" t="s">
        <v>7</v>
      </c>
      <c r="G400" s="192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2.92269329699054E-2</v>
      </c>
      <c r="F402" s="172">
        <v>2.8572278381681901E-2</v>
      </c>
      <c r="G402" s="172">
        <v>1.0229122291011701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3.1496908406860397E-2</v>
      </c>
      <c r="F403" s="172">
        <v>2.7859767794999199E-2</v>
      </c>
      <c r="G403" s="172">
        <v>1.1305517202664599</v>
      </c>
    </row>
    <row r="404" spans="2:7" hidden="1" x14ac:dyDescent="0.3">
      <c r="B404" s="172" t="s">
        <v>185</v>
      </c>
      <c r="C404" s="172" t="s">
        <v>79</v>
      </c>
      <c r="D404" s="172" t="s">
        <v>218</v>
      </c>
      <c r="E404" s="172">
        <v>3.0273931172022501E-2</v>
      </c>
      <c r="F404" s="172">
        <v>2.6763332059075801E-2</v>
      </c>
      <c r="G404" s="172">
        <v>1.1311719745955999</v>
      </c>
    </row>
    <row r="405" spans="2:7" s="172" customFormat="1" hidden="1" x14ac:dyDescent="0.3">
      <c r="B405" s="172" t="s">
        <v>183</v>
      </c>
      <c r="C405" s="172" t="s">
        <v>79</v>
      </c>
      <c r="D405" s="172" t="s">
        <v>218</v>
      </c>
      <c r="E405" s="172">
        <v>2.8346142731247199E-2</v>
      </c>
      <c r="F405" s="172">
        <v>2.50538344656351E-2</v>
      </c>
      <c r="G405" s="172">
        <v>1.1314093565249701</v>
      </c>
    </row>
    <row r="406" spans="2:7" hidden="1" x14ac:dyDescent="0.3">
      <c r="B406" s="172" t="s">
        <v>181</v>
      </c>
      <c r="C406" s="172" t="s">
        <v>79</v>
      </c>
      <c r="D406" s="172" t="s">
        <v>218</v>
      </c>
      <c r="E406" s="172">
        <v>2.5760257010385802E-2</v>
      </c>
      <c r="F406" s="172">
        <v>2.2771655183188699E-2</v>
      </c>
      <c r="G406" s="172">
        <v>1.1312421869712601</v>
      </c>
    </row>
    <row r="407" spans="2:7" hidden="1" x14ac:dyDescent="0.3">
      <c r="B407" s="172" t="s">
        <v>179</v>
      </c>
      <c r="C407" s="172" t="s">
        <v>79</v>
      </c>
      <c r="D407" s="172" t="s">
        <v>218</v>
      </c>
      <c r="E407" s="172">
        <v>2.2622505656604799E-2</v>
      </c>
      <c r="F407" s="172">
        <v>2.0008969192897401E-2</v>
      </c>
      <c r="G407" s="172">
        <v>1.13061824617308</v>
      </c>
    </row>
    <row r="408" spans="2:7" hidden="1" x14ac:dyDescent="0.3">
      <c r="B408" s="172" t="s">
        <v>39</v>
      </c>
      <c r="C408" s="172" t="s">
        <v>79</v>
      </c>
      <c r="D408" s="172" t="s">
        <v>218</v>
      </c>
      <c r="E408" s="172">
        <v>1.9056745676019698E-2</v>
      </c>
      <c r="F408" s="172">
        <v>1.6871345968667399E-2</v>
      </c>
      <c r="G408" s="172">
        <v>1.1295332163427201</v>
      </c>
    </row>
    <row r="409" spans="2:7" hidden="1" x14ac:dyDescent="0.3">
      <c r="B409" s="172" t="s">
        <v>26</v>
      </c>
      <c r="C409" s="172" t="s">
        <v>79</v>
      </c>
      <c r="D409" s="172" t="s">
        <v>218</v>
      </c>
      <c r="E409" s="172">
        <v>1.5307785419528101E-2</v>
      </c>
      <c r="F409" s="172">
        <v>1.3555167947958999E-2</v>
      </c>
      <c r="G409" s="172">
        <v>1.12929514988658</v>
      </c>
    </row>
    <row r="410" spans="2:7" hidden="1" x14ac:dyDescent="0.3">
      <c r="B410" s="172" t="s">
        <v>25</v>
      </c>
      <c r="C410" s="172" t="s">
        <v>79</v>
      </c>
      <c r="D410" s="172" t="s">
        <v>218</v>
      </c>
      <c r="E410" s="172">
        <v>1.14582650074708E-2</v>
      </c>
      <c r="F410" s="172">
        <v>1.0132820035131501E-2</v>
      </c>
      <c r="G410" s="172">
        <v>1.1308071166510201</v>
      </c>
    </row>
    <row r="411" spans="2:7" hidden="1" x14ac:dyDescent="0.3">
      <c r="B411" s="172" t="s">
        <v>24</v>
      </c>
      <c r="C411" s="172" t="s">
        <v>79</v>
      </c>
      <c r="D411" s="172" t="s">
        <v>218</v>
      </c>
      <c r="E411" s="172">
        <v>7.4396068628656701E-3</v>
      </c>
      <c r="F411" s="172">
        <v>6.5640672654075499E-3</v>
      </c>
      <c r="G411" s="172">
        <v>1.13338370282587</v>
      </c>
    </row>
    <row r="412" spans="2:7" hidden="1" x14ac:dyDescent="0.3">
      <c r="B412" s="172" t="s">
        <v>22</v>
      </c>
      <c r="C412" s="172" t="s">
        <v>79</v>
      </c>
      <c r="D412" s="172" t="s">
        <v>218</v>
      </c>
      <c r="E412" s="172">
        <v>3.3991927175347301E-3</v>
      </c>
      <c r="F412" s="172">
        <v>2.9850552807994201E-3</v>
      </c>
      <c r="G412" s="172">
        <v>1.1387369404510299</v>
      </c>
    </row>
    <row r="413" spans="2:7" hidden="1" x14ac:dyDescent="0.3">
      <c r="B413" s="172" t="s">
        <v>189</v>
      </c>
      <c r="C413" s="172" t="s">
        <v>80</v>
      </c>
      <c r="D413" s="172" t="s">
        <v>218</v>
      </c>
      <c r="E413" s="172">
        <v>2.97083009290194E-2</v>
      </c>
      <c r="F413" s="172">
        <v>2.90942388983827E-2</v>
      </c>
      <c r="G413" s="172">
        <v>1.0211059664692199</v>
      </c>
    </row>
    <row r="414" spans="2:7" hidden="1" x14ac:dyDescent="0.3">
      <c r="B414" s="172" t="s">
        <v>187</v>
      </c>
      <c r="C414" s="172" t="s">
        <v>80</v>
      </c>
      <c r="D414" s="172" t="s">
        <v>218</v>
      </c>
      <c r="E414" s="172">
        <v>3.1945236720474099E-2</v>
      </c>
      <c r="F414" s="172">
        <v>2.7885363848346001E-2</v>
      </c>
      <c r="G414" s="172">
        <v>1.14559153304248</v>
      </c>
    </row>
    <row r="415" spans="2:7" hidden="1" x14ac:dyDescent="0.3">
      <c r="B415" s="172" t="s">
        <v>185</v>
      </c>
      <c r="C415" s="172" t="s">
        <v>80</v>
      </c>
      <c r="D415" s="172" t="s">
        <v>218</v>
      </c>
      <c r="E415" s="172">
        <v>3.0706040375794601E-2</v>
      </c>
      <c r="F415" s="172">
        <v>2.6788904409164899E-2</v>
      </c>
      <c r="G415" s="172">
        <v>1.1462223279758199</v>
      </c>
    </row>
    <row r="416" spans="2:7" hidden="1" x14ac:dyDescent="0.3">
      <c r="B416" s="172" t="s">
        <v>183</v>
      </c>
      <c r="C416" s="172" t="s">
        <v>80</v>
      </c>
      <c r="D416" s="172" t="s">
        <v>218</v>
      </c>
      <c r="E416" s="172">
        <v>2.8752169155889101E-2</v>
      </c>
      <c r="F416" s="172">
        <v>2.5078542258757001E-2</v>
      </c>
      <c r="G416" s="172">
        <v>1.1464848657959501</v>
      </c>
    </row>
    <row r="417" spans="2:7" hidden="1" x14ac:dyDescent="0.3">
      <c r="B417" s="172" t="s">
        <v>181</v>
      </c>
      <c r="C417" s="172" t="s">
        <v>80</v>
      </c>
      <c r="D417" s="172" t="s">
        <v>218</v>
      </c>
      <c r="E417" s="172">
        <v>2.61289391002411E-2</v>
      </c>
      <c r="F417" s="172">
        <v>2.27945463712717E-2</v>
      </c>
      <c r="G417" s="172">
        <v>1.1462802845320801</v>
      </c>
    </row>
    <row r="418" spans="2:7" hidden="1" x14ac:dyDescent="0.3">
      <c r="B418" s="172" t="s">
        <v>179</v>
      </c>
      <c r="C418" s="172" t="s">
        <v>80</v>
      </c>
      <c r="D418" s="172" t="s">
        <v>218</v>
      </c>
      <c r="E418" s="172">
        <v>2.2943790645740501E-2</v>
      </c>
      <c r="F418" s="172">
        <v>2.0029196618939399E-2</v>
      </c>
      <c r="G418" s="172">
        <v>1.1455172707249299</v>
      </c>
    </row>
    <row r="419" spans="2:7" hidden="1" x14ac:dyDescent="0.3">
      <c r="B419" s="172" t="s">
        <v>39</v>
      </c>
      <c r="C419" s="172" t="s">
        <v>80</v>
      </c>
      <c r="D419" s="172" t="s">
        <v>218</v>
      </c>
      <c r="E419" s="172">
        <v>1.93231514140365E-2</v>
      </c>
      <c r="F419" s="172">
        <v>1.68882813797691E-2</v>
      </c>
      <c r="G419" s="172">
        <v>1.14417512235344</v>
      </c>
    </row>
    <row r="420" spans="2:7" hidden="1" x14ac:dyDescent="0.3">
      <c r="B420" s="172" t="s">
        <v>26</v>
      </c>
      <c r="C420" s="172" t="s">
        <v>80</v>
      </c>
      <c r="D420" s="172" t="s">
        <v>218</v>
      </c>
      <c r="E420" s="172">
        <v>1.55206392042777E-2</v>
      </c>
      <c r="F420" s="172">
        <v>1.35687911967584E-2</v>
      </c>
      <c r="G420" s="172">
        <v>1.1438483339610701</v>
      </c>
    </row>
    <row r="421" spans="2:7" hidden="1" x14ac:dyDescent="0.3">
      <c r="B421" s="172" t="s">
        <v>25</v>
      </c>
      <c r="C421" s="172" t="s">
        <v>80</v>
      </c>
      <c r="D421" s="172" t="s">
        <v>218</v>
      </c>
      <c r="E421" s="172">
        <v>1.16202197585396E-2</v>
      </c>
      <c r="F421" s="172">
        <v>1.0143215146082201E-2</v>
      </c>
      <c r="G421" s="172">
        <v>1.14561503341747</v>
      </c>
    </row>
    <row r="422" spans="2:7" hidden="1" x14ac:dyDescent="0.3">
      <c r="B422" s="172" t="s">
        <v>24</v>
      </c>
      <c r="C422" s="172" t="s">
        <v>80</v>
      </c>
      <c r="D422" s="172" t="s">
        <v>218</v>
      </c>
      <c r="E422" s="172">
        <v>7.5478195000797804E-3</v>
      </c>
      <c r="F422" s="172">
        <v>6.5710074903350003E-3</v>
      </c>
      <c r="G422" s="172">
        <v>1.1486548312692599</v>
      </c>
    </row>
    <row r="423" spans="2:7" hidden="1" x14ac:dyDescent="0.3">
      <c r="B423" s="172" t="s">
        <v>22</v>
      </c>
      <c r="C423" s="172" t="s">
        <v>80</v>
      </c>
      <c r="D423" s="172" t="s">
        <v>218</v>
      </c>
      <c r="E423" s="172">
        <v>3.45021911526803E-3</v>
      </c>
      <c r="F423" s="172">
        <v>2.9883010894539998E-3</v>
      </c>
      <c r="G423" s="172">
        <v>1.15457546344449</v>
      </c>
    </row>
    <row r="424" spans="2:7" hidden="1" x14ac:dyDescent="0.3">
      <c r="B424" s="172" t="s">
        <v>189</v>
      </c>
      <c r="C424" s="172" t="s">
        <v>81</v>
      </c>
      <c r="D424" s="172" t="s">
        <v>221</v>
      </c>
      <c r="E424" s="172">
        <v>3.2166432107919599E-2</v>
      </c>
      <c r="F424" s="172">
        <v>3.1859882637548201E-2</v>
      </c>
      <c r="G424" s="172">
        <v>1.0096218016198899</v>
      </c>
    </row>
    <row r="425" spans="2:7" hidden="1" x14ac:dyDescent="0.3">
      <c r="B425" s="172" t="s">
        <v>187</v>
      </c>
      <c r="C425" s="172" t="s">
        <v>81</v>
      </c>
      <c r="D425" s="172" t="s">
        <v>221</v>
      </c>
      <c r="E425" s="172">
        <v>3.1568969301326903E-2</v>
      </c>
      <c r="F425" s="172">
        <v>2.9791854913952399E-2</v>
      </c>
      <c r="G425" s="172">
        <v>1.0596510151015199</v>
      </c>
    </row>
    <row r="426" spans="2:7" hidden="1" x14ac:dyDescent="0.3">
      <c r="B426" s="172" t="s">
        <v>185</v>
      </c>
      <c r="C426" s="172" t="s">
        <v>81</v>
      </c>
      <c r="D426" s="172" t="s">
        <v>221</v>
      </c>
      <c r="E426" s="172">
        <v>3.0448222159332301E-2</v>
      </c>
      <c r="F426" s="172">
        <v>2.8746736166160702E-2</v>
      </c>
      <c r="G426" s="172">
        <v>1.0591888408943799</v>
      </c>
    </row>
    <row r="427" spans="2:7" hidden="1" x14ac:dyDescent="0.3">
      <c r="B427" s="172" t="s">
        <v>183</v>
      </c>
      <c r="C427" s="172" t="s">
        <v>81</v>
      </c>
      <c r="D427" s="172" t="s">
        <v>221</v>
      </c>
      <c r="E427" s="172">
        <v>2.8606403901793399E-2</v>
      </c>
      <c r="F427" s="172">
        <v>2.7019024053176698E-2</v>
      </c>
      <c r="G427" s="172">
        <v>1.05875045099677</v>
      </c>
    </row>
    <row r="428" spans="2:7" hidden="1" x14ac:dyDescent="0.3">
      <c r="B428" s="172" t="s">
        <v>181</v>
      </c>
      <c r="C428" s="172" t="s">
        <v>81</v>
      </c>
      <c r="D428" s="172" t="s">
        <v>221</v>
      </c>
      <c r="E428" s="172">
        <v>2.6081105219633301E-2</v>
      </c>
      <c r="F428" s="172">
        <v>2.46395759869469E-2</v>
      </c>
      <c r="G428" s="172">
        <v>1.05850462822291</v>
      </c>
    </row>
    <row r="429" spans="2:7" hidden="1" x14ac:dyDescent="0.3">
      <c r="B429" s="172" t="s">
        <v>179</v>
      </c>
      <c r="C429" s="172" t="s">
        <v>81</v>
      </c>
      <c r="D429" s="172" t="s">
        <v>221</v>
      </c>
      <c r="E429" s="172">
        <v>2.2976091760190599E-2</v>
      </c>
      <c r="F429" s="172">
        <v>2.1706114723854201E-2</v>
      </c>
      <c r="G429" s="172">
        <v>1.05850780079683</v>
      </c>
    </row>
    <row r="430" spans="2:7" hidden="1" x14ac:dyDescent="0.3">
      <c r="B430" s="172" t="s">
        <v>39</v>
      </c>
      <c r="C430" s="172" t="s">
        <v>81</v>
      </c>
      <c r="D430" s="172" t="s">
        <v>221</v>
      </c>
      <c r="E430" s="172">
        <v>1.9415274483000799E-2</v>
      </c>
      <c r="F430" s="172">
        <v>1.8336845850576201E-2</v>
      </c>
      <c r="G430" s="172">
        <v>1.0588121120291101</v>
      </c>
    </row>
    <row r="431" spans="2:7" hidden="1" x14ac:dyDescent="0.3">
      <c r="B431" s="172" t="s">
        <v>26</v>
      </c>
      <c r="C431" s="172" t="s">
        <v>81</v>
      </c>
      <c r="D431" s="172" t="s">
        <v>221</v>
      </c>
      <c r="E431" s="172">
        <v>1.56389487126424E-2</v>
      </c>
      <c r="F431" s="172">
        <v>1.47539023007552E-2</v>
      </c>
      <c r="G431" s="172">
        <v>1.0599872761690901</v>
      </c>
    </row>
    <row r="432" spans="2:7" hidden="1" x14ac:dyDescent="0.3">
      <c r="B432" s="172" t="s">
        <v>25</v>
      </c>
      <c r="C432" s="172" t="s">
        <v>81</v>
      </c>
      <c r="D432" s="172" t="s">
        <v>221</v>
      </c>
      <c r="E432" s="172">
        <v>1.1725049135635201E-2</v>
      </c>
      <c r="F432" s="172">
        <v>1.10321943405212E-2</v>
      </c>
      <c r="G432" s="172">
        <v>1.0628029903868801</v>
      </c>
    </row>
    <row r="433" spans="2:7" hidden="1" x14ac:dyDescent="0.3">
      <c r="B433" s="172" t="s">
        <v>24</v>
      </c>
      <c r="C433" s="172" t="s">
        <v>81</v>
      </c>
      <c r="D433" s="172" t="s">
        <v>221</v>
      </c>
      <c r="E433" s="172">
        <v>7.5890344013269497E-3</v>
      </c>
      <c r="F433" s="172">
        <v>7.10929696494517E-3</v>
      </c>
      <c r="G433" s="172">
        <v>1.0674802921790001</v>
      </c>
    </row>
    <row r="434" spans="2:7" hidden="1" x14ac:dyDescent="0.3">
      <c r="B434" s="172" t="s">
        <v>22</v>
      </c>
      <c r="C434" s="172" t="s">
        <v>81</v>
      </c>
      <c r="D434" s="172" t="s">
        <v>221</v>
      </c>
      <c r="E434" s="172">
        <v>3.4230562719754598E-3</v>
      </c>
      <c r="F434" s="172">
        <v>3.1717316942395301E-3</v>
      </c>
      <c r="G434" s="172">
        <v>1.0792389148780701</v>
      </c>
    </row>
    <row r="435" spans="2:7" x14ac:dyDescent="0.3">
      <c r="B435" s="172" t="s">
        <v>189</v>
      </c>
      <c r="C435" s="172" t="s">
        <v>82</v>
      </c>
      <c r="D435" s="172" t="s">
        <v>221</v>
      </c>
      <c r="E435" s="172">
        <v>2.9126791257902799E-2</v>
      </c>
      <c r="F435" s="172">
        <v>2.8677980524647699E-2</v>
      </c>
      <c r="G435" s="172">
        <v>1.01565001178759</v>
      </c>
    </row>
    <row r="436" spans="2:7" x14ac:dyDescent="0.3">
      <c r="B436" s="172" t="s">
        <v>187</v>
      </c>
      <c r="C436" s="172" t="s">
        <v>82</v>
      </c>
      <c r="D436" s="172" t="s">
        <v>221</v>
      </c>
      <c r="E436" s="172">
        <v>3.2635089389927499E-2</v>
      </c>
      <c r="F436" s="172">
        <v>3.0159254145357799E-2</v>
      </c>
      <c r="G436" s="172">
        <v>1.0820920581336999</v>
      </c>
    </row>
    <row r="437" spans="2:7" x14ac:dyDescent="0.3">
      <c r="B437" s="172" t="s">
        <v>185</v>
      </c>
      <c r="C437" s="172" t="s">
        <v>82</v>
      </c>
      <c r="D437" s="172" t="s">
        <v>221</v>
      </c>
      <c r="E437" s="172">
        <v>3.1503716721333501E-2</v>
      </c>
      <c r="F437" s="172">
        <v>2.91015700321978E-2</v>
      </c>
      <c r="G437" s="172">
        <v>1.08254354271876</v>
      </c>
    </row>
    <row r="438" spans="2:7" x14ac:dyDescent="0.3">
      <c r="B438" s="172" t="s">
        <v>183</v>
      </c>
      <c r="C438" s="172" t="s">
        <v>82</v>
      </c>
      <c r="D438" s="172" t="s">
        <v>221</v>
      </c>
      <c r="E438" s="172">
        <v>2.9612364819576301E-2</v>
      </c>
      <c r="F438" s="172">
        <v>2.7351635088923701E-2</v>
      </c>
      <c r="G438" s="172">
        <v>1.08265428093431</v>
      </c>
    </row>
    <row r="439" spans="2:7" x14ac:dyDescent="0.3">
      <c r="B439" s="172" t="s">
        <v>181</v>
      </c>
      <c r="C439" s="172" t="s">
        <v>82</v>
      </c>
      <c r="D439" s="172" t="s">
        <v>221</v>
      </c>
      <c r="E439" s="172">
        <v>2.69912229643865E-2</v>
      </c>
      <c r="F439" s="172">
        <v>2.49399707525522E-2</v>
      </c>
      <c r="G439" s="172">
        <v>1.0822475788839601</v>
      </c>
    </row>
    <row r="440" spans="2:7" x14ac:dyDescent="0.3">
      <c r="B440" s="172" t="s">
        <v>179</v>
      </c>
      <c r="C440" s="172" t="s">
        <v>82</v>
      </c>
      <c r="D440" s="172" t="s">
        <v>221</v>
      </c>
      <c r="E440" s="172">
        <v>2.3749538620642701E-2</v>
      </c>
      <c r="F440" s="172">
        <v>2.19658024926528E-2</v>
      </c>
      <c r="G440" s="172">
        <v>1.0812051427935101</v>
      </c>
    </row>
    <row r="441" spans="2:7" x14ac:dyDescent="0.3">
      <c r="B441" s="172" t="s">
        <v>39</v>
      </c>
      <c r="C441" s="172" t="s">
        <v>82</v>
      </c>
      <c r="D441" s="172" t="s">
        <v>221</v>
      </c>
      <c r="E441" s="172">
        <v>2.0024036474159901E-2</v>
      </c>
      <c r="F441" s="172">
        <v>1.8550122076330101E-2</v>
      </c>
      <c r="G441" s="172">
        <v>1.07945577887655</v>
      </c>
    </row>
    <row r="442" spans="2:7" x14ac:dyDescent="0.3">
      <c r="B442" s="172" t="s">
        <v>26</v>
      </c>
      <c r="C442" s="172" t="s">
        <v>82</v>
      </c>
      <c r="D442" s="172" t="s">
        <v>221</v>
      </c>
      <c r="E442" s="172">
        <v>1.6081852592754801E-2</v>
      </c>
      <c r="F442" s="172">
        <v>1.49202930071417E-2</v>
      </c>
      <c r="G442" s="172">
        <v>1.07785099026253</v>
      </c>
    </row>
    <row r="443" spans="2:7" x14ac:dyDescent="0.3">
      <c r="B443" s="172" t="s">
        <v>25</v>
      </c>
      <c r="C443" s="172" t="s">
        <v>82</v>
      </c>
      <c r="D443" s="172" t="s">
        <v>221</v>
      </c>
      <c r="E443" s="172">
        <v>1.2008286186273601E-2</v>
      </c>
      <c r="F443" s="172">
        <v>1.1152750603054901E-2</v>
      </c>
      <c r="G443" s="172">
        <v>1.0767107248847101</v>
      </c>
    </row>
    <row r="444" spans="2:7" x14ac:dyDescent="0.3">
      <c r="B444" s="172" t="s">
        <v>24</v>
      </c>
      <c r="C444" s="172" t="s">
        <v>82</v>
      </c>
      <c r="D444" s="172" t="s">
        <v>221</v>
      </c>
      <c r="E444" s="172">
        <v>7.7279267500616096E-3</v>
      </c>
      <c r="F444" s="172">
        <v>7.1841891157368304E-3</v>
      </c>
      <c r="G444" s="172">
        <v>1.07568531751673</v>
      </c>
    </row>
    <row r="445" spans="2:7" x14ac:dyDescent="0.3">
      <c r="B445" s="172" t="s">
        <v>22</v>
      </c>
      <c r="C445" s="172" t="s">
        <v>82</v>
      </c>
      <c r="D445" s="172" t="s">
        <v>221</v>
      </c>
      <c r="E445" s="172">
        <v>3.4346213291623299E-3</v>
      </c>
      <c r="F445" s="172">
        <v>3.2019269517320299E-3</v>
      </c>
      <c r="G445" s="172">
        <v>1.0726732311317799</v>
      </c>
    </row>
    <row r="446" spans="2:7" hidden="1" x14ac:dyDescent="0.3">
      <c r="B446" s="172" t="s">
        <v>189</v>
      </c>
      <c r="C446" s="172" t="s">
        <v>246</v>
      </c>
      <c r="D446" s="172" t="s">
        <v>218</v>
      </c>
      <c r="E446" s="172">
        <v>1.12893544119806E-3</v>
      </c>
      <c r="F446" s="172">
        <v>1.12096980268239E-3</v>
      </c>
      <c r="G446" s="172">
        <v>1.0071060241735399</v>
      </c>
    </row>
    <row r="447" spans="2:7" hidden="1" x14ac:dyDescent="0.3">
      <c r="B447" s="172" t="s">
        <v>189</v>
      </c>
      <c r="C447" s="172" t="s">
        <v>246</v>
      </c>
      <c r="D447" s="172" t="s">
        <v>221</v>
      </c>
      <c r="E447" s="172">
        <v>6.5172164550839897E-4</v>
      </c>
      <c r="F447" s="172">
        <v>6.4534913469586398E-4</v>
      </c>
      <c r="G447" s="172">
        <v>1.0098745167072101</v>
      </c>
    </row>
    <row r="448" spans="2:7" hidden="1" x14ac:dyDescent="0.3">
      <c r="B448" s="172" t="s">
        <v>187</v>
      </c>
      <c r="C448" s="172" t="s">
        <v>246</v>
      </c>
      <c r="D448" s="172" t="s">
        <v>218</v>
      </c>
      <c r="E448" s="172">
        <v>5.8543583939677001E-4</v>
      </c>
      <c r="F448" s="172">
        <v>4.6801901545064702E-4</v>
      </c>
      <c r="G448" s="172">
        <v>1.2508804558572599</v>
      </c>
    </row>
    <row r="449" spans="2:7" hidden="1" x14ac:dyDescent="0.3">
      <c r="B449" s="172" t="s">
        <v>187</v>
      </c>
      <c r="C449" s="172" t="s">
        <v>246</v>
      </c>
      <c r="D449" s="172" t="s">
        <v>221</v>
      </c>
      <c r="E449" s="172">
        <v>4.0151675754257601E-4</v>
      </c>
      <c r="F449" s="172">
        <v>3.1440104945351801E-4</v>
      </c>
      <c r="G449" s="172">
        <v>1.27708466062846</v>
      </c>
    </row>
    <row r="450" spans="2:7" hidden="1" x14ac:dyDescent="0.3">
      <c r="B450" s="172" t="s">
        <v>185</v>
      </c>
      <c r="C450" s="172" t="s">
        <v>246</v>
      </c>
      <c r="D450" s="172" t="s">
        <v>218</v>
      </c>
      <c r="E450" s="172">
        <v>5.03831256195978E-4</v>
      </c>
      <c r="F450" s="172">
        <v>4.0487245478598401E-4</v>
      </c>
      <c r="G450" s="172">
        <v>1.24441969375838</v>
      </c>
    </row>
    <row r="451" spans="2:7" hidden="1" x14ac:dyDescent="0.3">
      <c r="B451" s="172" t="s">
        <v>185</v>
      </c>
      <c r="C451" s="172" t="s">
        <v>246</v>
      </c>
      <c r="D451" s="172" t="s">
        <v>221</v>
      </c>
      <c r="E451" s="172">
        <v>3.4140421003136102E-4</v>
      </c>
      <c r="F451" s="172">
        <v>2.6798316382394601E-4</v>
      </c>
      <c r="G451" s="172">
        <v>1.2739763392585699</v>
      </c>
    </row>
    <row r="452" spans="2:7" hidden="1" x14ac:dyDescent="0.3">
      <c r="B452" s="172" t="s">
        <v>183</v>
      </c>
      <c r="C452" s="172" t="s">
        <v>246</v>
      </c>
      <c r="D452" s="172" t="s">
        <v>218</v>
      </c>
      <c r="E452" s="172">
        <v>4.1642477522496401E-4</v>
      </c>
      <c r="F452" s="172">
        <v>3.38629515046354E-4</v>
      </c>
      <c r="G452" s="172">
        <v>1.2297356158336099</v>
      </c>
    </row>
    <row r="453" spans="2:7" hidden="1" x14ac:dyDescent="0.3">
      <c r="B453" s="172" t="s">
        <v>183</v>
      </c>
      <c r="C453" s="172" t="s">
        <v>246</v>
      </c>
      <c r="D453" s="172" t="s">
        <v>221</v>
      </c>
      <c r="E453" s="172">
        <v>2.7407508453810902E-4</v>
      </c>
      <c r="F453" s="172">
        <v>2.1635602053462401E-4</v>
      </c>
      <c r="G453" s="172">
        <v>1.2667781735902599</v>
      </c>
    </row>
    <row r="454" spans="2:7" hidden="1" x14ac:dyDescent="0.3">
      <c r="B454" s="172" t="s">
        <v>181</v>
      </c>
      <c r="C454" s="172" t="s">
        <v>246</v>
      </c>
      <c r="D454" s="172" t="s">
        <v>218</v>
      </c>
      <c r="E454" s="172">
        <v>3.3188939182413101E-4</v>
      </c>
      <c r="F454" s="172">
        <v>2.7393423873026303E-4</v>
      </c>
      <c r="G454" s="172">
        <v>1.2115659340814799</v>
      </c>
    </row>
    <row r="455" spans="2:7" hidden="1" x14ac:dyDescent="0.3">
      <c r="B455" s="172" t="s">
        <v>181</v>
      </c>
      <c r="C455" s="172" t="s">
        <v>246</v>
      </c>
      <c r="D455" s="172" t="s">
        <v>221</v>
      </c>
      <c r="E455" s="172">
        <v>2.0983107953528301E-4</v>
      </c>
      <c r="F455" s="172">
        <v>1.6683209498176801E-4</v>
      </c>
      <c r="G455" s="172">
        <v>1.25773808425899</v>
      </c>
    </row>
    <row r="456" spans="2:7" hidden="1" x14ac:dyDescent="0.3">
      <c r="B456" s="172" t="s">
        <v>179</v>
      </c>
      <c r="C456" s="172" t="s">
        <v>246</v>
      </c>
      <c r="D456" s="172" t="s">
        <v>218</v>
      </c>
      <c r="E456" s="172">
        <v>2.5243351167105301E-4</v>
      </c>
      <c r="F456" s="172">
        <v>2.1220724771273599E-4</v>
      </c>
      <c r="G456" s="172">
        <v>1.1895612161785001</v>
      </c>
    </row>
    <row r="457" spans="2:7" hidden="1" x14ac:dyDescent="0.3">
      <c r="B457" s="172" t="s">
        <v>179</v>
      </c>
      <c r="C457" s="172" t="s">
        <v>246</v>
      </c>
      <c r="D457" s="172" t="s">
        <v>221</v>
      </c>
      <c r="E457" s="172">
        <v>1.5119482967272199E-4</v>
      </c>
      <c r="F457" s="172">
        <v>1.21349537058486E-4</v>
      </c>
      <c r="G457" s="172">
        <v>1.24594484113978</v>
      </c>
    </row>
    <row r="458" spans="2:7" hidden="1" x14ac:dyDescent="0.3">
      <c r="B458" s="172" t="s">
        <v>39</v>
      </c>
      <c r="C458" s="172" t="s">
        <v>246</v>
      </c>
      <c r="D458" s="172" t="s">
        <v>218</v>
      </c>
      <c r="E458" s="172">
        <v>1.80094872643361E-4</v>
      </c>
      <c r="F458" s="172">
        <v>1.5493574227317799E-4</v>
      </c>
      <c r="G458" s="172">
        <v>1.1623842891320899</v>
      </c>
    </row>
    <row r="459" spans="2:7" hidden="1" x14ac:dyDescent="0.3">
      <c r="B459" s="172" t="s">
        <v>39</v>
      </c>
      <c r="C459" s="172" t="s">
        <v>246</v>
      </c>
      <c r="D459" s="172" t="s">
        <v>221</v>
      </c>
      <c r="E459" s="172">
        <v>9.9835426465179897E-5</v>
      </c>
      <c r="F459" s="172">
        <v>8.11689749002056E-5</v>
      </c>
      <c r="G459" s="172">
        <v>1.2299702760558899</v>
      </c>
    </row>
    <row r="460" spans="2:7" hidden="1" x14ac:dyDescent="0.3">
      <c r="B460" s="172" t="s">
        <v>26</v>
      </c>
      <c r="C460" s="172" t="s">
        <v>246</v>
      </c>
      <c r="D460" s="172" t="s">
        <v>218</v>
      </c>
      <c r="E460" s="172">
        <v>1.1806610675168399E-4</v>
      </c>
      <c r="F460" s="172">
        <v>1.0531216989216101E-4</v>
      </c>
      <c r="G460" s="172">
        <v>1.1211060115139899</v>
      </c>
    </row>
    <row r="461" spans="2:7" hidden="1" x14ac:dyDescent="0.3">
      <c r="B461" s="172" t="s">
        <v>26</v>
      </c>
      <c r="C461" s="172" t="s">
        <v>246</v>
      </c>
      <c r="D461" s="172" t="s">
        <v>221</v>
      </c>
      <c r="E461" s="172">
        <v>5.6841238092883401E-5</v>
      </c>
      <c r="F461" s="172">
        <v>4.7378639777753303E-5</v>
      </c>
      <c r="G461" s="172">
        <v>1.19972287848528</v>
      </c>
    </row>
    <row r="462" spans="2:7" hidden="1" x14ac:dyDescent="0.3">
      <c r="B462" s="172" t="s">
        <v>25</v>
      </c>
      <c r="C462" s="172" t="s">
        <v>246</v>
      </c>
      <c r="D462" s="172" t="s">
        <v>218</v>
      </c>
      <c r="E462" s="172">
        <v>6.8098926109285001E-5</v>
      </c>
      <c r="F462" s="172">
        <v>6.4535669819133906E-5</v>
      </c>
      <c r="G462" s="172">
        <v>1.0552137492356899</v>
      </c>
    </row>
    <row r="463" spans="2:7" hidden="1" x14ac:dyDescent="0.3">
      <c r="B463" s="172" t="s">
        <v>25</v>
      </c>
      <c r="C463" s="172" t="s">
        <v>246</v>
      </c>
      <c r="D463" s="172" t="s">
        <v>221</v>
      </c>
      <c r="E463" s="172">
        <v>2.41175146017923E-5</v>
      </c>
      <c r="F463" s="172">
        <v>2.14738083220028E-5</v>
      </c>
      <c r="G463" s="172">
        <v>1.12311306127664</v>
      </c>
    </row>
    <row r="464" spans="2:7" hidden="1" x14ac:dyDescent="0.3">
      <c r="B464" s="172" t="s">
        <v>24</v>
      </c>
      <c r="C464" s="172" t="s">
        <v>246</v>
      </c>
      <c r="D464" s="172" t="s">
        <v>218</v>
      </c>
      <c r="E464" s="172">
        <v>3.3873561447866801E-5</v>
      </c>
      <c r="F464" s="172">
        <v>3.2528195430531198E-5</v>
      </c>
      <c r="G464" s="172">
        <v>1.0413599955217001</v>
      </c>
    </row>
    <row r="465" spans="2:7" hidden="1" x14ac:dyDescent="0.3">
      <c r="B465" s="172" t="s">
        <v>24</v>
      </c>
      <c r="C465" s="172" t="s">
        <v>246</v>
      </c>
      <c r="D465" s="172" t="s">
        <v>221</v>
      </c>
      <c r="E465" s="172">
        <v>6.87834776098873E-6</v>
      </c>
      <c r="F465" s="172">
        <v>5.8801729739332797E-6</v>
      </c>
      <c r="G465" s="172">
        <v>1.16975262317628</v>
      </c>
    </row>
    <row r="466" spans="2:7" hidden="1" x14ac:dyDescent="0.3">
      <c r="B466" s="172" t="s">
        <v>22</v>
      </c>
      <c r="C466" s="172" t="s">
        <v>246</v>
      </c>
      <c r="D466" s="172" t="s">
        <v>218</v>
      </c>
      <c r="E466" s="172">
        <v>1.09373844525862E-5</v>
      </c>
      <c r="F466" s="172">
        <v>1.0177090335920599E-5</v>
      </c>
      <c r="G466" s="172">
        <v>1.07470643293616</v>
      </c>
    </row>
    <row r="467" spans="2:7" hidden="1" x14ac:dyDescent="0.3">
      <c r="B467" s="172" t="s">
        <v>22</v>
      </c>
      <c r="C467" s="172" t="s">
        <v>246</v>
      </c>
      <c r="D467" s="172" t="s">
        <v>221</v>
      </c>
      <c r="E467" s="172">
        <v>1.8234335235787199E-6</v>
      </c>
      <c r="F467" s="172">
        <v>1.2593443402461301E-6</v>
      </c>
      <c r="G467" s="172">
        <v>1.44792291139558</v>
      </c>
    </row>
    <row r="468" spans="2:7" hidden="1" x14ac:dyDescent="0.3">
      <c r="B468" s="172"/>
      <c r="C468" s="172"/>
      <c r="D468" s="172"/>
      <c r="E468" s="172"/>
      <c r="F468" s="172"/>
      <c r="G468" s="172"/>
    </row>
    <row r="469" spans="2:7" hidden="1" x14ac:dyDescent="0.3">
      <c r="B469" s="172"/>
      <c r="C469" s="172"/>
      <c r="D469" s="172"/>
      <c r="E469" s="172"/>
      <c r="F469" s="172"/>
      <c r="G469" s="172"/>
    </row>
    <row r="470" spans="2:7" hidden="1" x14ac:dyDescent="0.3">
      <c r="B470" s="172"/>
      <c r="C470" s="172"/>
      <c r="D470" s="172"/>
      <c r="E470" s="172"/>
      <c r="F470" s="172"/>
      <c r="G470" s="172"/>
    </row>
    <row r="471" spans="2:7" hidden="1" x14ac:dyDescent="0.3">
      <c r="B471" s="172"/>
      <c r="C471" s="172"/>
      <c r="D471" s="172"/>
      <c r="E471" s="172"/>
      <c r="F471" s="172"/>
      <c r="G471" s="172"/>
    </row>
    <row r="472" spans="2:7" hidden="1" x14ac:dyDescent="0.3">
      <c r="B472" s="172"/>
      <c r="C472" s="172"/>
      <c r="D472" s="172"/>
      <c r="E472" s="172"/>
      <c r="F472" s="172"/>
      <c r="G472" s="172"/>
    </row>
    <row r="473" spans="2:7" hidden="1" x14ac:dyDescent="0.3">
      <c r="B473" s="172"/>
      <c r="C473" s="172"/>
      <c r="D473" s="172"/>
      <c r="E473" s="172"/>
      <c r="F473" s="172"/>
      <c r="G473" s="172"/>
    </row>
    <row r="474" spans="2:7" hidden="1" x14ac:dyDescent="0.3">
      <c r="B474" s="172"/>
      <c r="C474" s="172"/>
      <c r="D474" s="172"/>
      <c r="E474" s="172"/>
      <c r="F474" s="172"/>
      <c r="G474" s="172"/>
    </row>
    <row r="475" spans="2:7" hidden="1" x14ac:dyDescent="0.3">
      <c r="B475" s="172"/>
      <c r="C475" s="172"/>
      <c r="D475" s="172"/>
      <c r="E475" s="172"/>
      <c r="F475" s="172"/>
      <c r="G475" s="172"/>
    </row>
    <row r="476" spans="2:7" hidden="1" x14ac:dyDescent="0.3">
      <c r="B476" s="172"/>
      <c r="C476" s="172"/>
      <c r="D476" s="172"/>
      <c r="E476" s="172"/>
      <c r="F476" s="172"/>
      <c r="G476" s="172"/>
    </row>
    <row r="477" spans="2:7" hidden="1" x14ac:dyDescent="0.3">
      <c r="B477" s="172"/>
      <c r="C477" s="172"/>
      <c r="D477" s="172"/>
      <c r="E477" s="172"/>
      <c r="F477" s="172"/>
      <c r="G477" s="172"/>
    </row>
    <row r="478" spans="2:7" hidden="1" x14ac:dyDescent="0.3">
      <c r="B478" s="172"/>
      <c r="C478" s="172"/>
      <c r="D478" s="172"/>
      <c r="E478" s="172"/>
      <c r="F478" s="172"/>
      <c r="G478" s="172"/>
    </row>
    <row r="479" spans="2:7" hidden="1" x14ac:dyDescent="0.3">
      <c r="B479" s="172"/>
      <c r="C479" s="172"/>
      <c r="D479" s="172"/>
      <c r="E479" s="172"/>
      <c r="F479" s="172"/>
      <c r="G479" s="172"/>
    </row>
    <row r="480" spans="2:7" hidden="1" x14ac:dyDescent="0.3">
      <c r="B480" s="172"/>
      <c r="C480" s="172"/>
      <c r="D480" s="172"/>
      <c r="E480" s="172"/>
      <c r="F480" s="172"/>
      <c r="G480" s="172"/>
    </row>
    <row r="481" spans="2:7" hidden="1" x14ac:dyDescent="0.3">
      <c r="B481" s="172"/>
      <c r="C481" s="172"/>
      <c r="D481" s="172"/>
      <c r="E481" s="172"/>
      <c r="F481" s="172"/>
      <c r="G481" s="172"/>
    </row>
    <row r="482" spans="2:7" hidden="1" x14ac:dyDescent="0.3">
      <c r="B482" s="172"/>
      <c r="C482" s="172"/>
      <c r="D482" s="172"/>
      <c r="E482" s="172"/>
      <c r="F482" s="172"/>
      <c r="G482" s="172"/>
    </row>
    <row r="483" spans="2:7" hidden="1" x14ac:dyDescent="0.3">
      <c r="B483" s="172"/>
      <c r="C483" s="172"/>
      <c r="D483" s="172"/>
      <c r="E483" s="172"/>
      <c r="F483" s="172"/>
      <c r="G483" s="172"/>
    </row>
    <row r="484" spans="2:7" hidden="1" x14ac:dyDescent="0.3">
      <c r="B484" s="172"/>
      <c r="C484" s="172"/>
      <c r="D484" s="172"/>
      <c r="E484" s="172"/>
      <c r="F484" s="172"/>
      <c r="G484" s="172"/>
    </row>
    <row r="485" spans="2:7" hidden="1" x14ac:dyDescent="0.3">
      <c r="B485" s="172"/>
      <c r="C485" s="172"/>
      <c r="D485" s="172"/>
      <c r="E485" s="172"/>
      <c r="F485" s="172"/>
      <c r="G485" s="172"/>
    </row>
    <row r="486" spans="2:7" hidden="1" x14ac:dyDescent="0.3">
      <c r="B486" s="172"/>
      <c r="C486" s="172"/>
      <c r="D486" s="172"/>
      <c r="E486" s="172"/>
      <c r="F486" s="172"/>
      <c r="G486" s="172"/>
    </row>
    <row r="487" spans="2:7" hidden="1" x14ac:dyDescent="0.3">
      <c r="B487" s="172"/>
      <c r="C487" s="172"/>
      <c r="D487" s="172"/>
      <c r="E487" s="172"/>
      <c r="F487" s="172"/>
      <c r="G487" s="172"/>
    </row>
    <row r="488" spans="2:7" hidden="1" x14ac:dyDescent="0.3">
      <c r="B488" s="172"/>
      <c r="C488" s="172"/>
      <c r="D488" s="172"/>
      <c r="E488" s="172"/>
      <c r="F488" s="172"/>
      <c r="G488" s="172"/>
    </row>
    <row r="489" spans="2:7" hidden="1" x14ac:dyDescent="0.3">
      <c r="B489" s="172"/>
      <c r="C489" s="172"/>
      <c r="D489" s="172"/>
      <c r="E489" s="172"/>
      <c r="F489" s="172"/>
      <c r="G489" s="172"/>
    </row>
    <row r="490" spans="2:7" hidden="1" x14ac:dyDescent="0.3">
      <c r="B490" s="172"/>
      <c r="C490" s="172"/>
      <c r="D490" s="172"/>
      <c r="E490" s="172"/>
      <c r="F490" s="172"/>
      <c r="G490" s="172"/>
    </row>
    <row r="491" spans="2:7" hidden="1" x14ac:dyDescent="0.3">
      <c r="B491" s="172"/>
      <c r="C491" s="172"/>
      <c r="D491" s="172"/>
      <c r="E491" s="172"/>
      <c r="F491" s="172"/>
      <c r="G491" s="172"/>
    </row>
    <row r="492" spans="2:7" hidden="1" x14ac:dyDescent="0.3">
      <c r="B492" s="172"/>
      <c r="C492" s="172"/>
      <c r="D492" s="172"/>
      <c r="E492" s="172"/>
      <c r="F492" s="172"/>
      <c r="G492" s="172"/>
    </row>
    <row r="493" spans="2:7" hidden="1" x14ac:dyDescent="0.3">
      <c r="B493" s="172"/>
      <c r="C493" s="172"/>
      <c r="D493" s="172"/>
      <c r="E493" s="172"/>
      <c r="F493" s="172"/>
      <c r="G493" s="172"/>
    </row>
    <row r="494" spans="2:7" hidden="1" x14ac:dyDescent="0.3">
      <c r="B494" s="172"/>
      <c r="C494" s="172"/>
      <c r="D494" s="172"/>
      <c r="E494" s="172"/>
      <c r="F494" s="172"/>
      <c r="G494" s="172"/>
    </row>
    <row r="495" spans="2:7" hidden="1" x14ac:dyDescent="0.3">
      <c r="B495" s="172"/>
      <c r="C495" s="172"/>
      <c r="D495" s="172"/>
      <c r="E495" s="172"/>
      <c r="F495" s="172"/>
      <c r="G495" s="172"/>
    </row>
    <row r="496" spans="2:7" hidden="1" x14ac:dyDescent="0.3">
      <c r="B496" s="172"/>
      <c r="C496" s="172"/>
      <c r="D496" s="172"/>
      <c r="E496" s="172"/>
      <c r="F496" s="172"/>
      <c r="G496" s="172"/>
    </row>
    <row r="497" spans="2:7" hidden="1" x14ac:dyDescent="0.3">
      <c r="B497" s="172"/>
      <c r="C497" s="172"/>
      <c r="D497" s="172"/>
      <c r="E497" s="172"/>
      <c r="F497" s="172"/>
      <c r="G497" s="172"/>
    </row>
    <row r="498" spans="2:7" hidden="1" x14ac:dyDescent="0.3">
      <c r="B498" s="172"/>
      <c r="C498" s="172"/>
      <c r="D498" s="172"/>
      <c r="E498" s="172"/>
      <c r="F498" s="172"/>
      <c r="G498" s="172"/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6</xdr:col>
                    <xdr:colOff>784860</xdr:colOff>
                    <xdr:row>0</xdr:row>
                    <xdr:rowOff>99060</xdr:rowOff>
                  </from>
                  <to>
                    <xdr:col>9</xdr:col>
                    <xdr:colOff>381000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72" workbookViewId="0">
      <selection activeCell="E405" sqref="E405:E465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191"/>
      <c r="C4" s="191"/>
      <c r="D4" s="191"/>
      <c r="E4" s="191"/>
      <c r="F4" s="191"/>
      <c r="G4" s="191" t="s">
        <v>7</v>
      </c>
      <c r="H4" s="191" t="s">
        <v>7</v>
      </c>
      <c r="I4" s="192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3.3839460845709401E-4</v>
      </c>
      <c r="F6" s="172">
        <v>165</v>
      </c>
      <c r="G6" s="172">
        <v>23</v>
      </c>
      <c r="H6" s="172">
        <v>17</v>
      </c>
      <c r="I6" s="172">
        <v>38.5</v>
      </c>
    </row>
    <row r="7" spans="2:9" s="172" customFormat="1" hidden="1" x14ac:dyDescent="0.3">
      <c r="B7" s="172" t="s">
        <v>189</v>
      </c>
      <c r="C7" s="172" t="s">
        <v>80</v>
      </c>
      <c r="D7" s="172" t="s">
        <v>218</v>
      </c>
      <c r="E7" s="172">
        <v>3.2923464750307798E-4</v>
      </c>
      <c r="F7" s="172">
        <v>165</v>
      </c>
      <c r="G7" s="172">
        <v>23</v>
      </c>
      <c r="H7" s="172">
        <v>17</v>
      </c>
      <c r="I7" s="172">
        <v>38.5</v>
      </c>
    </row>
    <row r="8" spans="2:9" s="172" customFormat="1" hidden="1" x14ac:dyDescent="0.3">
      <c r="B8" s="172" t="s">
        <v>189</v>
      </c>
      <c r="C8" s="172" t="s">
        <v>81</v>
      </c>
      <c r="D8" s="172" t="s">
        <v>221</v>
      </c>
      <c r="E8" s="172">
        <v>2.00830203094821E-4</v>
      </c>
      <c r="F8" s="172">
        <v>166</v>
      </c>
      <c r="G8" s="172">
        <v>19</v>
      </c>
      <c r="H8" s="172">
        <v>17</v>
      </c>
      <c r="I8" s="172">
        <v>38.5</v>
      </c>
    </row>
    <row r="9" spans="2:9" s="172" customFormat="1" hidden="1" x14ac:dyDescent="0.3">
      <c r="B9" s="172" t="s">
        <v>189</v>
      </c>
      <c r="C9" s="172" t="s">
        <v>82</v>
      </c>
      <c r="D9" s="172" t="s">
        <v>221</v>
      </c>
      <c r="E9" s="172">
        <v>1.9407075734898801E-4</v>
      </c>
      <c r="F9" s="172">
        <v>166</v>
      </c>
      <c r="G9" s="172">
        <v>19</v>
      </c>
      <c r="H9" s="172">
        <v>17</v>
      </c>
      <c r="I9" s="172">
        <v>38.5</v>
      </c>
    </row>
    <row r="10" spans="2:9" s="172" customFormat="1" hidden="1" x14ac:dyDescent="0.3">
      <c r="B10" s="172" t="s">
        <v>189</v>
      </c>
      <c r="C10" s="172" t="s">
        <v>246</v>
      </c>
      <c r="D10" s="172" t="s">
        <v>218</v>
      </c>
      <c r="E10" s="172">
        <v>2.24093114731271E-4</v>
      </c>
      <c r="F10" s="172">
        <v>165</v>
      </c>
      <c r="G10" s="172">
        <v>23</v>
      </c>
      <c r="H10" s="172">
        <v>17</v>
      </c>
      <c r="I10" s="172">
        <v>38.5</v>
      </c>
    </row>
    <row r="11" spans="2:9" s="172" customFormat="1" hidden="1" x14ac:dyDescent="0.3">
      <c r="B11" s="172" t="s">
        <v>189</v>
      </c>
      <c r="C11" s="172" t="s">
        <v>246</v>
      </c>
      <c r="D11" s="172" t="s">
        <v>221</v>
      </c>
      <c r="E11" s="172">
        <v>9.3502001274295394E-5</v>
      </c>
      <c r="F11" s="172">
        <v>166</v>
      </c>
      <c r="G11" s="172">
        <v>19</v>
      </c>
      <c r="H11" s="172">
        <v>17</v>
      </c>
      <c r="I11" s="172">
        <v>38.5</v>
      </c>
    </row>
    <row r="12" spans="2:9" s="172" customFormat="1" x14ac:dyDescent="0.3">
      <c r="B12" s="172" t="s">
        <v>187</v>
      </c>
      <c r="C12" s="172" t="s">
        <v>79</v>
      </c>
      <c r="D12" s="172" t="s">
        <v>218</v>
      </c>
      <c r="E12" s="172">
        <v>3.5000520764451602E-4</v>
      </c>
      <c r="F12" s="172">
        <v>96</v>
      </c>
      <c r="G12" s="172">
        <v>23.25</v>
      </c>
      <c r="H12" s="172">
        <v>31.25</v>
      </c>
      <c r="I12" s="172">
        <v>35.5</v>
      </c>
    </row>
    <row r="13" spans="2:9" s="172" customFormat="1" hidden="1" x14ac:dyDescent="0.3">
      <c r="B13" s="172" t="s">
        <v>187</v>
      </c>
      <c r="C13" s="172" t="s">
        <v>80</v>
      </c>
      <c r="D13" s="172" t="s">
        <v>218</v>
      </c>
      <c r="E13" s="172">
        <v>3.5471387223790499E-4</v>
      </c>
      <c r="F13" s="172">
        <v>97</v>
      </c>
      <c r="G13" s="172">
        <v>23.25</v>
      </c>
      <c r="H13" s="172">
        <v>-0.25</v>
      </c>
      <c r="I13" s="172">
        <v>35.5</v>
      </c>
    </row>
    <row r="14" spans="2:9" s="172" customFormat="1" hidden="1" x14ac:dyDescent="0.3">
      <c r="B14" s="172" t="s">
        <v>187</v>
      </c>
      <c r="C14" s="172" t="s">
        <v>81</v>
      </c>
      <c r="D14" s="172" t="s">
        <v>221</v>
      </c>
      <c r="E14" s="172">
        <v>3.2068321072022203E-4</v>
      </c>
      <c r="F14" s="172">
        <v>97</v>
      </c>
      <c r="G14" s="172">
        <v>23.25</v>
      </c>
      <c r="H14" s="172">
        <v>-0.25</v>
      </c>
      <c r="I14" s="172">
        <v>35.5</v>
      </c>
    </row>
    <row r="15" spans="2:9" hidden="1" x14ac:dyDescent="0.3">
      <c r="B15" s="172" t="s">
        <v>187</v>
      </c>
      <c r="C15" s="172" t="s">
        <v>82</v>
      </c>
      <c r="D15" s="172" t="s">
        <v>221</v>
      </c>
      <c r="E15" s="172">
        <v>3.2370702677490999E-4</v>
      </c>
      <c r="F15" s="172">
        <v>80</v>
      </c>
      <c r="G15" s="172">
        <v>-0.25</v>
      </c>
      <c r="H15" s="172">
        <v>-0.25</v>
      </c>
      <c r="I15" s="172">
        <v>35.5</v>
      </c>
    </row>
    <row r="16" spans="2:9" hidden="1" x14ac:dyDescent="0.3">
      <c r="B16" s="172" t="s">
        <v>187</v>
      </c>
      <c r="C16" s="172" t="s">
        <v>246</v>
      </c>
      <c r="D16" s="172" t="s">
        <v>218</v>
      </c>
      <c r="E16" s="172">
        <v>2.3400655211913499E-5</v>
      </c>
      <c r="F16" s="172">
        <v>97</v>
      </c>
      <c r="G16" s="172">
        <v>23.25</v>
      </c>
      <c r="H16" s="172">
        <v>-0.25</v>
      </c>
      <c r="I16" s="172">
        <v>35.5</v>
      </c>
    </row>
    <row r="17" spans="2:9" hidden="1" x14ac:dyDescent="0.3">
      <c r="B17" s="172" t="s">
        <v>187</v>
      </c>
      <c r="C17" s="172" t="s">
        <v>246</v>
      </c>
      <c r="D17" s="172" t="s">
        <v>221</v>
      </c>
      <c r="E17" s="172">
        <v>1.7260073586320299E-5</v>
      </c>
      <c r="F17" s="172">
        <v>97</v>
      </c>
      <c r="G17" s="172">
        <v>23.25</v>
      </c>
      <c r="H17" s="172">
        <v>-0.25</v>
      </c>
      <c r="I17" s="172">
        <v>35.5</v>
      </c>
    </row>
    <row r="18" spans="2:9" x14ac:dyDescent="0.3">
      <c r="B18" s="172" t="s">
        <v>185</v>
      </c>
      <c r="C18" s="172" t="s">
        <v>79</v>
      </c>
      <c r="D18" s="172" t="s">
        <v>218</v>
      </c>
      <c r="E18" s="172">
        <v>5.5180264596959997E-4</v>
      </c>
      <c r="F18" s="172">
        <v>96</v>
      </c>
      <c r="G18" s="172">
        <v>23.25</v>
      </c>
      <c r="H18" s="172">
        <v>31.25</v>
      </c>
      <c r="I18" s="172">
        <v>32</v>
      </c>
    </row>
    <row r="19" spans="2:9" hidden="1" x14ac:dyDescent="0.3">
      <c r="B19" s="172" t="s">
        <v>185</v>
      </c>
      <c r="C19" s="172" t="s">
        <v>80</v>
      </c>
      <c r="D19" s="172" t="s">
        <v>218</v>
      </c>
      <c r="E19" s="172">
        <v>5.5937108158358095E-4</v>
      </c>
      <c r="F19" s="172">
        <v>97</v>
      </c>
      <c r="G19" s="172">
        <v>23.25</v>
      </c>
      <c r="H19" s="172">
        <v>-0.25</v>
      </c>
      <c r="I19" s="172">
        <v>32</v>
      </c>
    </row>
    <row r="20" spans="2:9" hidden="1" x14ac:dyDescent="0.3">
      <c r="B20" s="172" t="s">
        <v>185</v>
      </c>
      <c r="C20" s="172" t="s">
        <v>81</v>
      </c>
      <c r="D20" s="172" t="s">
        <v>221</v>
      </c>
      <c r="E20" s="172">
        <v>5.2694252168535797E-4</v>
      </c>
      <c r="F20" s="172">
        <v>97</v>
      </c>
      <c r="G20" s="172">
        <v>23.25</v>
      </c>
      <c r="H20" s="172">
        <v>-0.25</v>
      </c>
      <c r="I20" s="172">
        <v>32</v>
      </c>
    </row>
    <row r="21" spans="2:9" hidden="1" x14ac:dyDescent="0.3">
      <c r="B21" s="172" t="s">
        <v>185</v>
      </c>
      <c r="C21" s="172" t="s">
        <v>82</v>
      </c>
      <c r="D21" s="172" t="s">
        <v>221</v>
      </c>
      <c r="E21" s="172">
        <v>5.4126462384666396E-4</v>
      </c>
      <c r="F21" s="172">
        <v>80</v>
      </c>
      <c r="G21" s="172">
        <v>-0.25</v>
      </c>
      <c r="H21" s="172">
        <v>-0.25</v>
      </c>
      <c r="I21" s="172">
        <v>32</v>
      </c>
    </row>
    <row r="22" spans="2:9" hidden="1" x14ac:dyDescent="0.3">
      <c r="B22" s="172" t="s">
        <v>185</v>
      </c>
      <c r="C22" s="172" t="s">
        <v>246</v>
      </c>
      <c r="D22" s="172" t="s">
        <v>218</v>
      </c>
      <c r="E22" s="172">
        <v>2.50708081172086E-5</v>
      </c>
      <c r="F22" s="172">
        <v>97</v>
      </c>
      <c r="G22" s="172">
        <v>23.25</v>
      </c>
      <c r="H22" s="172">
        <v>-0.25</v>
      </c>
      <c r="I22" s="172">
        <v>32</v>
      </c>
    </row>
    <row r="23" spans="2:9" hidden="1" x14ac:dyDescent="0.3">
      <c r="B23" s="172" t="s">
        <v>185</v>
      </c>
      <c r="C23" s="172" t="s">
        <v>246</v>
      </c>
      <c r="D23" s="172" t="s">
        <v>221</v>
      </c>
      <c r="E23" s="172">
        <v>1.9334420837847899E-5</v>
      </c>
      <c r="F23" s="172">
        <v>97</v>
      </c>
      <c r="G23" s="172">
        <v>23.25</v>
      </c>
      <c r="H23" s="172">
        <v>-0.25</v>
      </c>
      <c r="I23" s="172">
        <v>32</v>
      </c>
    </row>
    <row r="24" spans="2:9" x14ac:dyDescent="0.3">
      <c r="B24" s="172" t="s">
        <v>183</v>
      </c>
      <c r="C24" s="172" t="s">
        <v>79</v>
      </c>
      <c r="D24" s="172" t="s">
        <v>218</v>
      </c>
      <c r="E24" s="172">
        <v>7.4022406051532695E-4</v>
      </c>
      <c r="F24" s="172">
        <v>96</v>
      </c>
      <c r="G24" s="172">
        <v>23.25</v>
      </c>
      <c r="H24" s="172">
        <v>31.25</v>
      </c>
      <c r="I24" s="172">
        <v>28.5</v>
      </c>
    </row>
    <row r="25" spans="2:9" hidden="1" x14ac:dyDescent="0.3">
      <c r="B25" s="172" t="s">
        <v>183</v>
      </c>
      <c r="C25" s="172" t="s">
        <v>80</v>
      </c>
      <c r="D25" s="172" t="s">
        <v>218</v>
      </c>
      <c r="E25" s="172">
        <v>7.5105759271122902E-4</v>
      </c>
      <c r="F25" s="172">
        <v>97</v>
      </c>
      <c r="G25" s="172">
        <v>23.25</v>
      </c>
      <c r="H25" s="172">
        <v>-0.25</v>
      </c>
      <c r="I25" s="172">
        <v>28.5</v>
      </c>
    </row>
    <row r="26" spans="2:9" hidden="1" x14ac:dyDescent="0.3">
      <c r="B26" s="172" t="s">
        <v>183</v>
      </c>
      <c r="C26" s="172" t="s">
        <v>81</v>
      </c>
      <c r="D26" s="172" t="s">
        <v>221</v>
      </c>
      <c r="E26" s="172">
        <v>7.2241981363536695E-4</v>
      </c>
      <c r="F26" s="172">
        <v>97</v>
      </c>
      <c r="G26" s="172">
        <v>23.25</v>
      </c>
      <c r="H26" s="172">
        <v>-0.25</v>
      </c>
      <c r="I26" s="172">
        <v>28.5</v>
      </c>
    </row>
    <row r="27" spans="2:9" hidden="1" x14ac:dyDescent="0.3">
      <c r="B27" s="172" t="s">
        <v>183</v>
      </c>
      <c r="C27" s="172" t="s">
        <v>82</v>
      </c>
      <c r="D27" s="172" t="s">
        <v>221</v>
      </c>
      <c r="E27" s="172">
        <v>7.5019877551273605E-4</v>
      </c>
      <c r="F27" s="172">
        <v>80</v>
      </c>
      <c r="G27" s="172">
        <v>-0.25</v>
      </c>
      <c r="H27" s="172">
        <v>-0.25</v>
      </c>
      <c r="I27" s="172">
        <v>28.5</v>
      </c>
    </row>
    <row r="28" spans="2:9" hidden="1" x14ac:dyDescent="0.3">
      <c r="B28" s="172" t="s">
        <v>183</v>
      </c>
      <c r="C28" s="172" t="s">
        <v>246</v>
      </c>
      <c r="D28" s="172" t="s">
        <v>218</v>
      </c>
      <c r="E28" s="172">
        <v>2.4244395750859001E-5</v>
      </c>
      <c r="F28" s="172">
        <v>97</v>
      </c>
      <c r="G28" s="172">
        <v>23.25</v>
      </c>
      <c r="H28" s="172">
        <v>-0.25</v>
      </c>
      <c r="I28" s="172">
        <v>28.5</v>
      </c>
    </row>
    <row r="29" spans="2:9" hidden="1" x14ac:dyDescent="0.3">
      <c r="B29" s="172" t="s">
        <v>183</v>
      </c>
      <c r="C29" s="172" t="s">
        <v>246</v>
      </c>
      <c r="D29" s="172" t="s">
        <v>221</v>
      </c>
      <c r="E29" s="172">
        <v>1.8446859065714201E-5</v>
      </c>
      <c r="F29" s="172">
        <v>97</v>
      </c>
      <c r="G29" s="172">
        <v>23.25</v>
      </c>
      <c r="H29" s="172">
        <v>-0.25</v>
      </c>
      <c r="I29" s="172">
        <v>28.5</v>
      </c>
    </row>
    <row r="30" spans="2:9" x14ac:dyDescent="0.3">
      <c r="B30" s="172" t="s">
        <v>181</v>
      </c>
      <c r="C30" s="172" t="s">
        <v>79</v>
      </c>
      <c r="D30" s="172" t="s">
        <v>218</v>
      </c>
      <c r="E30" s="172">
        <v>8.9822879860787096E-4</v>
      </c>
      <c r="F30" s="172">
        <v>96</v>
      </c>
      <c r="G30" s="172">
        <v>23.25</v>
      </c>
      <c r="H30" s="172">
        <v>31.25</v>
      </c>
      <c r="I30" s="172">
        <v>25</v>
      </c>
    </row>
    <row r="31" spans="2:9" hidden="1" x14ac:dyDescent="0.3">
      <c r="B31" s="172" t="s">
        <v>181</v>
      </c>
      <c r="C31" s="172" t="s">
        <v>80</v>
      </c>
      <c r="D31" s="172" t="s">
        <v>218</v>
      </c>
      <c r="E31" s="172">
        <v>9.1197697180279503E-4</v>
      </c>
      <c r="F31" s="172">
        <v>97</v>
      </c>
      <c r="G31" s="172">
        <v>23.25</v>
      </c>
      <c r="H31" s="172">
        <v>-0.25</v>
      </c>
      <c r="I31" s="172">
        <v>25</v>
      </c>
    </row>
    <row r="32" spans="2:9" hidden="1" x14ac:dyDescent="0.3">
      <c r="B32" s="172" t="s">
        <v>181</v>
      </c>
      <c r="C32" s="172" t="s">
        <v>81</v>
      </c>
      <c r="D32" s="172" t="s">
        <v>221</v>
      </c>
      <c r="E32" s="172">
        <v>8.8821224429016599E-4</v>
      </c>
      <c r="F32" s="172">
        <v>97</v>
      </c>
      <c r="G32" s="172">
        <v>23.25</v>
      </c>
      <c r="H32" s="172">
        <v>-0.25</v>
      </c>
      <c r="I32" s="172">
        <v>25</v>
      </c>
    </row>
    <row r="33" spans="2:9" hidden="1" x14ac:dyDescent="0.3">
      <c r="B33" s="172" t="s">
        <v>181</v>
      </c>
      <c r="C33" s="172" t="s">
        <v>82</v>
      </c>
      <c r="D33" s="172" t="s">
        <v>221</v>
      </c>
      <c r="E33" s="172">
        <v>9.2785711736680597E-4</v>
      </c>
      <c r="F33" s="172">
        <v>80</v>
      </c>
      <c r="G33" s="172">
        <v>-0.25</v>
      </c>
      <c r="H33" s="172">
        <v>-0.25</v>
      </c>
      <c r="I33" s="172">
        <v>25</v>
      </c>
    </row>
    <row r="34" spans="2:9" hidden="1" x14ac:dyDescent="0.3">
      <c r="B34" s="172" t="s">
        <v>181</v>
      </c>
      <c r="C34" s="172" t="s">
        <v>246</v>
      </c>
      <c r="D34" s="172" t="s">
        <v>218</v>
      </c>
      <c r="E34" s="172">
        <v>2.2783379993669701E-5</v>
      </c>
      <c r="F34" s="172">
        <v>97</v>
      </c>
      <c r="G34" s="172">
        <v>23.25</v>
      </c>
      <c r="H34" s="172">
        <v>-0.25</v>
      </c>
      <c r="I34" s="172">
        <v>25</v>
      </c>
    </row>
    <row r="35" spans="2:9" hidden="1" x14ac:dyDescent="0.3">
      <c r="B35" s="172" t="s">
        <v>181</v>
      </c>
      <c r="C35" s="172" t="s">
        <v>246</v>
      </c>
      <c r="D35" s="172" t="s">
        <v>221</v>
      </c>
      <c r="E35" s="172">
        <v>1.68349141963792E-5</v>
      </c>
      <c r="F35" s="172">
        <v>97</v>
      </c>
      <c r="G35" s="172">
        <v>23.25</v>
      </c>
      <c r="H35" s="172">
        <v>-0.25</v>
      </c>
      <c r="I35" s="172">
        <v>25</v>
      </c>
    </row>
    <row r="36" spans="2:9" x14ac:dyDescent="0.3">
      <c r="B36" s="172" t="s">
        <v>179</v>
      </c>
      <c r="C36" s="172" t="s">
        <v>79</v>
      </c>
      <c r="D36" s="172" t="s">
        <v>218</v>
      </c>
      <c r="E36" s="172">
        <v>1.02076154632551E-3</v>
      </c>
      <c r="F36" s="172">
        <v>96</v>
      </c>
      <c r="G36" s="172">
        <v>23.25</v>
      </c>
      <c r="H36" s="172">
        <v>31.25</v>
      </c>
      <c r="I36" s="172">
        <v>21.5</v>
      </c>
    </row>
    <row r="37" spans="2:9" hidden="1" x14ac:dyDescent="0.3">
      <c r="B37" s="172" t="s">
        <v>179</v>
      </c>
      <c r="C37" s="172" t="s">
        <v>80</v>
      </c>
      <c r="D37" s="172" t="s">
        <v>218</v>
      </c>
      <c r="E37" s="172">
        <v>1.03667906155844E-3</v>
      </c>
      <c r="F37" s="172">
        <v>97</v>
      </c>
      <c r="G37" s="172">
        <v>23.25</v>
      </c>
      <c r="H37" s="172">
        <v>-0.25</v>
      </c>
      <c r="I37" s="172">
        <v>21.5</v>
      </c>
    </row>
    <row r="38" spans="2:9" hidden="1" x14ac:dyDescent="0.3">
      <c r="B38" s="172" t="s">
        <v>179</v>
      </c>
      <c r="C38" s="172" t="s">
        <v>81</v>
      </c>
      <c r="D38" s="172" t="s">
        <v>221</v>
      </c>
      <c r="E38" s="172">
        <v>1.0185661065505701E-3</v>
      </c>
      <c r="F38" s="172">
        <v>97</v>
      </c>
      <c r="G38" s="172">
        <v>23.25</v>
      </c>
      <c r="H38" s="172">
        <v>-0.25</v>
      </c>
      <c r="I38" s="172">
        <v>21.5</v>
      </c>
    </row>
    <row r="39" spans="2:9" hidden="1" x14ac:dyDescent="0.3">
      <c r="B39" s="172" t="s">
        <v>179</v>
      </c>
      <c r="C39" s="172" t="s">
        <v>82</v>
      </c>
      <c r="D39" s="172" t="s">
        <v>221</v>
      </c>
      <c r="E39" s="172">
        <v>1.0663535432818001E-3</v>
      </c>
      <c r="F39" s="172">
        <v>80</v>
      </c>
      <c r="G39" s="172">
        <v>-0.25</v>
      </c>
      <c r="H39" s="172">
        <v>-0.25</v>
      </c>
      <c r="I39" s="172">
        <v>21.5</v>
      </c>
    </row>
    <row r="40" spans="2:9" hidden="1" x14ac:dyDescent="0.3">
      <c r="B40" s="172" t="s">
        <v>179</v>
      </c>
      <c r="C40" s="172" t="s">
        <v>246</v>
      </c>
      <c r="D40" s="172" t="s">
        <v>218</v>
      </c>
      <c r="E40" s="172">
        <v>2.0737616374677801E-5</v>
      </c>
      <c r="F40" s="172">
        <v>97</v>
      </c>
      <c r="G40" s="172">
        <v>23.25</v>
      </c>
      <c r="H40" s="172">
        <v>-0.25</v>
      </c>
      <c r="I40" s="172">
        <v>21.5</v>
      </c>
    </row>
    <row r="41" spans="2:9" hidden="1" x14ac:dyDescent="0.3">
      <c r="B41" s="172" t="s">
        <v>179</v>
      </c>
      <c r="C41" s="172" t="s">
        <v>246</v>
      </c>
      <c r="D41" s="172" t="s">
        <v>221</v>
      </c>
      <c r="E41" s="172">
        <v>1.4743548997491999E-5</v>
      </c>
      <c r="F41" s="172">
        <v>97</v>
      </c>
      <c r="G41" s="172">
        <v>23.25</v>
      </c>
      <c r="H41" s="172">
        <v>-0.25</v>
      </c>
      <c r="I41" s="172">
        <v>21.5</v>
      </c>
    </row>
    <row r="42" spans="2:9" x14ac:dyDescent="0.3">
      <c r="B42" s="172" t="s">
        <v>39</v>
      </c>
      <c r="C42" s="172" t="s">
        <v>79</v>
      </c>
      <c r="D42" s="172" t="s">
        <v>218</v>
      </c>
      <c r="E42" s="172">
        <v>1.07312589003806E-3</v>
      </c>
      <c r="F42" s="172">
        <v>96</v>
      </c>
      <c r="G42" s="172">
        <v>23.25</v>
      </c>
      <c r="H42" s="172">
        <v>31.25</v>
      </c>
      <c r="I42" s="172">
        <v>18</v>
      </c>
    </row>
    <row r="43" spans="2:9" hidden="1" x14ac:dyDescent="0.3">
      <c r="B43" s="172" t="s">
        <v>39</v>
      </c>
      <c r="C43" s="172" t="s">
        <v>80</v>
      </c>
      <c r="D43" s="172" t="s">
        <v>218</v>
      </c>
      <c r="E43" s="172">
        <v>1.08865796788846E-3</v>
      </c>
      <c r="F43" s="172">
        <v>97</v>
      </c>
      <c r="G43" s="172">
        <v>23.25</v>
      </c>
      <c r="H43" s="172">
        <v>-0.25</v>
      </c>
      <c r="I43" s="172">
        <v>18</v>
      </c>
    </row>
    <row r="44" spans="2:9" hidden="1" x14ac:dyDescent="0.3">
      <c r="B44" s="172" t="s">
        <v>39</v>
      </c>
      <c r="C44" s="172" t="s">
        <v>81</v>
      </c>
      <c r="D44" s="172" t="s">
        <v>221</v>
      </c>
      <c r="E44" s="172">
        <v>1.08015135190698E-3</v>
      </c>
      <c r="F44" s="172">
        <v>97</v>
      </c>
      <c r="G44" s="172">
        <v>23.25</v>
      </c>
      <c r="H44" s="172">
        <v>-0.25</v>
      </c>
      <c r="I44" s="172">
        <v>18</v>
      </c>
    </row>
    <row r="45" spans="2:9" hidden="1" x14ac:dyDescent="0.3">
      <c r="B45" s="172" t="s">
        <v>39</v>
      </c>
      <c r="C45" s="172" t="s">
        <v>82</v>
      </c>
      <c r="D45" s="172" t="s">
        <v>221</v>
      </c>
      <c r="E45" s="172">
        <v>1.12827834383138E-3</v>
      </c>
      <c r="F45" s="172">
        <v>80</v>
      </c>
      <c r="G45" s="172">
        <v>-0.25</v>
      </c>
      <c r="H45" s="172">
        <v>-0.25</v>
      </c>
      <c r="I45" s="172">
        <v>18</v>
      </c>
    </row>
    <row r="46" spans="2:9" hidden="1" x14ac:dyDescent="0.3">
      <c r="B46" s="172" t="s">
        <v>39</v>
      </c>
      <c r="C46" s="172" t="s">
        <v>246</v>
      </c>
      <c r="D46" s="172" t="s">
        <v>218</v>
      </c>
      <c r="E46" s="172">
        <v>1.7779671330850699E-5</v>
      </c>
      <c r="F46" s="172">
        <v>97</v>
      </c>
      <c r="G46" s="172">
        <v>23.25</v>
      </c>
      <c r="H46" s="172">
        <v>-0.25</v>
      </c>
      <c r="I46" s="172">
        <v>18</v>
      </c>
    </row>
    <row r="47" spans="2:9" hidden="1" x14ac:dyDescent="0.3">
      <c r="B47" s="172" t="s">
        <v>39</v>
      </c>
      <c r="C47" s="172" t="s">
        <v>246</v>
      </c>
      <c r="D47" s="172" t="s">
        <v>221</v>
      </c>
      <c r="E47" s="172">
        <v>1.23412206110278E-5</v>
      </c>
      <c r="F47" s="172">
        <v>97</v>
      </c>
      <c r="G47" s="172">
        <v>23.25</v>
      </c>
      <c r="H47" s="172">
        <v>-0.25</v>
      </c>
      <c r="I47" s="172">
        <v>18</v>
      </c>
    </row>
    <row r="48" spans="2:9" x14ac:dyDescent="0.3">
      <c r="B48" s="172" t="s">
        <v>26</v>
      </c>
      <c r="C48" s="172" t="s">
        <v>79</v>
      </c>
      <c r="D48" s="172" t="s">
        <v>218</v>
      </c>
      <c r="E48" s="172">
        <v>1.1018315117363501E-3</v>
      </c>
      <c r="F48" s="172">
        <v>96</v>
      </c>
      <c r="G48" s="172">
        <v>23.25</v>
      </c>
      <c r="H48" s="172">
        <v>31.25</v>
      </c>
      <c r="I48" s="172">
        <v>14.5</v>
      </c>
    </row>
    <row r="49" spans="2:9" hidden="1" x14ac:dyDescent="0.3">
      <c r="B49" s="172" t="s">
        <v>26</v>
      </c>
      <c r="C49" s="172" t="s">
        <v>80</v>
      </c>
      <c r="D49" s="172" t="s">
        <v>218</v>
      </c>
      <c r="E49" s="172">
        <v>1.1165937743355899E-3</v>
      </c>
      <c r="F49" s="172">
        <v>97</v>
      </c>
      <c r="G49" s="172">
        <v>23.25</v>
      </c>
      <c r="H49" s="172">
        <v>-0.25</v>
      </c>
      <c r="I49" s="172">
        <v>14.5</v>
      </c>
    </row>
    <row r="50" spans="2:9" hidden="1" x14ac:dyDescent="0.3">
      <c r="B50" s="172" t="s">
        <v>26</v>
      </c>
      <c r="C50" s="172" t="s">
        <v>81</v>
      </c>
      <c r="D50" s="172" t="s">
        <v>221</v>
      </c>
      <c r="E50" s="172">
        <v>1.1194507587522101E-3</v>
      </c>
      <c r="F50" s="172">
        <v>97</v>
      </c>
      <c r="G50" s="172">
        <v>23.25</v>
      </c>
      <c r="H50" s="172">
        <v>-0.25</v>
      </c>
      <c r="I50" s="172">
        <v>14.5</v>
      </c>
    </row>
    <row r="51" spans="2:9" hidden="1" x14ac:dyDescent="0.3">
      <c r="B51" s="172" t="s">
        <v>26</v>
      </c>
      <c r="C51" s="172" t="s">
        <v>82</v>
      </c>
      <c r="D51" s="172" t="s">
        <v>221</v>
      </c>
      <c r="E51" s="172">
        <v>1.16577688633869E-3</v>
      </c>
      <c r="F51" s="172">
        <v>80</v>
      </c>
      <c r="G51" s="172">
        <v>-0.25</v>
      </c>
      <c r="H51" s="172">
        <v>-0.25</v>
      </c>
      <c r="I51" s="172">
        <v>14.5</v>
      </c>
    </row>
    <row r="52" spans="2:9" hidden="1" x14ac:dyDescent="0.3">
      <c r="B52" s="172" t="s">
        <v>26</v>
      </c>
      <c r="C52" s="172" t="s">
        <v>246</v>
      </c>
      <c r="D52" s="172" t="s">
        <v>218</v>
      </c>
      <c r="E52" s="172">
        <v>1.4318690693079E-5</v>
      </c>
      <c r="F52" s="172">
        <v>97</v>
      </c>
      <c r="G52" s="172">
        <v>23.25</v>
      </c>
      <c r="H52" s="172">
        <v>-0.25</v>
      </c>
      <c r="I52" s="172">
        <v>14.5</v>
      </c>
    </row>
    <row r="53" spans="2:9" hidden="1" x14ac:dyDescent="0.3">
      <c r="B53" s="172" t="s">
        <v>26</v>
      </c>
      <c r="C53" s="172" t="s">
        <v>246</v>
      </c>
      <c r="D53" s="172" t="s">
        <v>221</v>
      </c>
      <c r="E53" s="172">
        <v>9.3919886498480204E-6</v>
      </c>
      <c r="F53" s="172">
        <v>97</v>
      </c>
      <c r="G53" s="172">
        <v>23.25</v>
      </c>
      <c r="H53" s="172">
        <v>-0.25</v>
      </c>
      <c r="I53" s="172">
        <v>14.5</v>
      </c>
    </row>
    <row r="54" spans="2:9" x14ac:dyDescent="0.3">
      <c r="B54" s="172" t="s">
        <v>25</v>
      </c>
      <c r="C54" s="172" t="s">
        <v>79</v>
      </c>
      <c r="D54" s="172" t="s">
        <v>218</v>
      </c>
      <c r="E54" s="172">
        <v>1.15026133797418E-3</v>
      </c>
      <c r="F54" s="172">
        <v>96</v>
      </c>
      <c r="G54" s="172">
        <v>23.25</v>
      </c>
      <c r="H54" s="172">
        <v>31.25</v>
      </c>
      <c r="I54" s="172">
        <v>11</v>
      </c>
    </row>
    <row r="55" spans="2:9" hidden="1" x14ac:dyDescent="0.3">
      <c r="B55" s="172" t="s">
        <v>25</v>
      </c>
      <c r="C55" s="172" t="s">
        <v>80</v>
      </c>
      <c r="D55" s="172" t="s">
        <v>218</v>
      </c>
      <c r="E55" s="172">
        <v>1.16584796602407E-3</v>
      </c>
      <c r="F55" s="172">
        <v>97</v>
      </c>
      <c r="G55" s="172">
        <v>23.25</v>
      </c>
      <c r="H55" s="172">
        <v>-0.25</v>
      </c>
      <c r="I55" s="172">
        <v>11</v>
      </c>
    </row>
    <row r="56" spans="2:9" hidden="1" x14ac:dyDescent="0.3">
      <c r="B56" s="172" t="s">
        <v>25</v>
      </c>
      <c r="C56" s="172" t="s">
        <v>81</v>
      </c>
      <c r="D56" s="172" t="s">
        <v>221</v>
      </c>
      <c r="E56" s="172">
        <v>1.18304220581932E-3</v>
      </c>
      <c r="F56" s="172">
        <v>97</v>
      </c>
      <c r="G56" s="172">
        <v>23.25</v>
      </c>
      <c r="H56" s="172">
        <v>-0.25</v>
      </c>
      <c r="I56" s="172">
        <v>11</v>
      </c>
    </row>
    <row r="57" spans="2:9" hidden="1" x14ac:dyDescent="0.3">
      <c r="B57" s="172" t="s">
        <v>25</v>
      </c>
      <c r="C57" s="172" t="s">
        <v>82</v>
      </c>
      <c r="D57" s="172" t="s">
        <v>221</v>
      </c>
      <c r="E57" s="172">
        <v>1.22489647214065E-3</v>
      </c>
      <c r="F57" s="172">
        <v>80</v>
      </c>
      <c r="G57" s="172">
        <v>-0.25</v>
      </c>
      <c r="H57" s="172">
        <v>-0.25</v>
      </c>
      <c r="I57" s="172">
        <v>11</v>
      </c>
    </row>
    <row r="58" spans="2:9" hidden="1" x14ac:dyDescent="0.3">
      <c r="B58" s="172" t="s">
        <v>25</v>
      </c>
      <c r="C58" s="172" t="s">
        <v>246</v>
      </c>
      <c r="D58" s="172" t="s">
        <v>218</v>
      </c>
      <c r="E58" s="172">
        <v>1.0570076578179801E-5</v>
      </c>
      <c r="F58" s="172">
        <v>97</v>
      </c>
      <c r="G58" s="172">
        <v>23.25</v>
      </c>
      <c r="H58" s="172">
        <v>-0.25</v>
      </c>
      <c r="I58" s="172">
        <v>11</v>
      </c>
    </row>
    <row r="59" spans="2:9" hidden="1" x14ac:dyDescent="0.3">
      <c r="B59" s="172" t="s">
        <v>25</v>
      </c>
      <c r="C59" s="172" t="s">
        <v>246</v>
      </c>
      <c r="D59" s="172" t="s">
        <v>221</v>
      </c>
      <c r="E59" s="172">
        <v>5.5184822121298798E-6</v>
      </c>
      <c r="F59" s="172">
        <v>97</v>
      </c>
      <c r="G59" s="172">
        <v>23.25</v>
      </c>
      <c r="H59" s="172">
        <v>-0.25</v>
      </c>
      <c r="I59" s="172">
        <v>11</v>
      </c>
    </row>
    <row r="60" spans="2:9" x14ac:dyDescent="0.3">
      <c r="B60" s="172" t="s">
        <v>24</v>
      </c>
      <c r="C60" s="172" t="s">
        <v>79</v>
      </c>
      <c r="D60" s="172" t="s">
        <v>218</v>
      </c>
      <c r="E60" s="172">
        <v>1.1565303187614799E-3</v>
      </c>
      <c r="F60" s="172">
        <v>96</v>
      </c>
      <c r="G60" s="172">
        <v>23.25</v>
      </c>
      <c r="H60" s="172">
        <v>31.25</v>
      </c>
      <c r="I60" s="172">
        <v>7.5</v>
      </c>
    </row>
    <row r="61" spans="2:9" hidden="1" x14ac:dyDescent="0.3">
      <c r="B61" s="172" t="s">
        <v>24</v>
      </c>
      <c r="C61" s="172" t="s">
        <v>80</v>
      </c>
      <c r="D61" s="172" t="s">
        <v>218</v>
      </c>
      <c r="E61" s="172">
        <v>1.1731157504251599E-3</v>
      </c>
      <c r="F61" s="172">
        <v>97</v>
      </c>
      <c r="G61" s="172">
        <v>23.25</v>
      </c>
      <c r="H61" s="172">
        <v>-0.25</v>
      </c>
      <c r="I61" s="172">
        <v>7.5</v>
      </c>
    </row>
    <row r="62" spans="2:9" hidden="1" x14ac:dyDescent="0.3">
      <c r="B62" s="172" t="s">
        <v>24</v>
      </c>
      <c r="C62" s="172" t="s">
        <v>81</v>
      </c>
      <c r="D62" s="172" t="s">
        <v>221</v>
      </c>
      <c r="E62" s="172">
        <v>1.1916981789367399E-3</v>
      </c>
      <c r="F62" s="172">
        <v>97</v>
      </c>
      <c r="G62" s="172">
        <v>23.25</v>
      </c>
      <c r="H62" s="172">
        <v>-0.25</v>
      </c>
      <c r="I62" s="172">
        <v>7.5</v>
      </c>
    </row>
    <row r="63" spans="2:9" hidden="1" x14ac:dyDescent="0.3">
      <c r="B63" s="172" t="s">
        <v>24</v>
      </c>
      <c r="C63" s="172" t="s">
        <v>82</v>
      </c>
      <c r="D63" s="172" t="s">
        <v>221</v>
      </c>
      <c r="E63" s="172">
        <v>1.2285906373805E-3</v>
      </c>
      <c r="F63" s="172">
        <v>80</v>
      </c>
      <c r="G63" s="172">
        <v>-0.25</v>
      </c>
      <c r="H63" s="172">
        <v>-0.25</v>
      </c>
      <c r="I63" s="172">
        <v>7.5</v>
      </c>
    </row>
    <row r="64" spans="2:9" hidden="1" x14ac:dyDescent="0.3">
      <c r="B64" s="172" t="s">
        <v>24</v>
      </c>
      <c r="C64" s="172" t="s">
        <v>246</v>
      </c>
      <c r="D64" s="172" t="s">
        <v>218</v>
      </c>
      <c r="E64" s="172">
        <v>6.55588961109708E-6</v>
      </c>
      <c r="F64" s="172">
        <v>96</v>
      </c>
      <c r="G64" s="172">
        <v>23.25</v>
      </c>
      <c r="H64" s="172">
        <v>31.25</v>
      </c>
      <c r="I64" s="172">
        <v>7.5</v>
      </c>
    </row>
    <row r="65" spans="2:9" hidden="1" x14ac:dyDescent="0.3">
      <c r="B65" s="172" t="s">
        <v>24</v>
      </c>
      <c r="C65" s="172" t="s">
        <v>246</v>
      </c>
      <c r="D65" s="172" t="s">
        <v>221</v>
      </c>
      <c r="E65" s="172">
        <v>1.4469573945626301E-6</v>
      </c>
      <c r="F65" s="172">
        <v>80</v>
      </c>
      <c r="G65" s="172">
        <v>-0.25</v>
      </c>
      <c r="H65" s="172">
        <v>-0.25</v>
      </c>
      <c r="I65" s="172">
        <v>7.5</v>
      </c>
    </row>
    <row r="66" spans="2:9" x14ac:dyDescent="0.3">
      <c r="B66" s="172" t="s">
        <v>22</v>
      </c>
      <c r="C66" s="172" t="s">
        <v>79</v>
      </c>
      <c r="D66" s="172" t="s">
        <v>218</v>
      </c>
      <c r="E66" s="172">
        <v>8.4979817938368198E-4</v>
      </c>
      <c r="F66" s="172">
        <v>28</v>
      </c>
      <c r="G66" s="172">
        <v>19</v>
      </c>
      <c r="H66" s="172">
        <v>31</v>
      </c>
      <c r="I66" s="172">
        <v>4</v>
      </c>
    </row>
    <row r="67" spans="2:9" hidden="1" x14ac:dyDescent="0.3">
      <c r="B67" s="172" t="s">
        <v>22</v>
      </c>
      <c r="C67" s="172" t="s">
        <v>80</v>
      </c>
      <c r="D67" s="172" t="s">
        <v>218</v>
      </c>
      <c r="E67" s="172">
        <v>8.6255477881700695E-4</v>
      </c>
      <c r="F67" s="172">
        <v>24</v>
      </c>
      <c r="G67" s="172">
        <v>19</v>
      </c>
      <c r="H67" s="172">
        <v>0</v>
      </c>
      <c r="I67" s="172">
        <v>4</v>
      </c>
    </row>
    <row r="68" spans="2:9" hidden="1" x14ac:dyDescent="0.3">
      <c r="B68" s="172" t="s">
        <v>22</v>
      </c>
      <c r="C68" s="172" t="s">
        <v>81</v>
      </c>
      <c r="D68" s="172" t="s">
        <v>221</v>
      </c>
      <c r="E68" s="172">
        <v>8.5576406799386495E-4</v>
      </c>
      <c r="F68" s="172">
        <v>165</v>
      </c>
      <c r="G68" s="172">
        <v>23</v>
      </c>
      <c r="H68" s="172">
        <v>17</v>
      </c>
      <c r="I68" s="172">
        <v>4</v>
      </c>
    </row>
    <row r="69" spans="2:9" hidden="1" x14ac:dyDescent="0.3">
      <c r="B69" s="172" t="s">
        <v>22</v>
      </c>
      <c r="C69" s="172" t="s">
        <v>82</v>
      </c>
      <c r="D69" s="172" t="s">
        <v>221</v>
      </c>
      <c r="E69" s="172">
        <v>8.5865533229058204E-4</v>
      </c>
      <c r="F69" s="172">
        <v>32</v>
      </c>
      <c r="G69" s="172">
        <v>0</v>
      </c>
      <c r="H69" s="172">
        <v>25</v>
      </c>
      <c r="I69" s="172">
        <v>4</v>
      </c>
    </row>
    <row r="70" spans="2:9" hidden="1" x14ac:dyDescent="0.3">
      <c r="B70" s="172" t="s">
        <v>22</v>
      </c>
      <c r="C70" s="172" t="s">
        <v>246</v>
      </c>
      <c r="D70" s="172" t="s">
        <v>218</v>
      </c>
      <c r="E70" s="172">
        <v>2.7343461131465601E-6</v>
      </c>
      <c r="F70" s="172">
        <v>28</v>
      </c>
      <c r="G70" s="172">
        <v>19</v>
      </c>
      <c r="H70" s="172">
        <v>31</v>
      </c>
      <c r="I70" s="172">
        <v>4</v>
      </c>
    </row>
    <row r="71" spans="2:9" hidden="1" x14ac:dyDescent="0.3">
      <c r="B71" s="172" t="s">
        <v>22</v>
      </c>
      <c r="C71" s="172" t="s">
        <v>246</v>
      </c>
      <c r="D71" s="172" t="s">
        <v>221</v>
      </c>
      <c r="E71" s="172">
        <v>4.5585838089467999E-7</v>
      </c>
      <c r="F71" s="172">
        <v>32</v>
      </c>
      <c r="G71" s="172">
        <v>0</v>
      </c>
      <c r="H71" s="172">
        <v>25</v>
      </c>
      <c r="I71" s="172">
        <v>4</v>
      </c>
    </row>
    <row r="72" spans="2:9" hidden="1" x14ac:dyDescent="0.3">
      <c r="B72" s="172"/>
      <c r="C72" s="172"/>
      <c r="D72" s="172"/>
      <c r="E72" s="172"/>
      <c r="F72" s="172"/>
      <c r="G72" s="172"/>
      <c r="H72" s="172"/>
      <c r="I72" s="172"/>
    </row>
    <row r="73" spans="2:9" hidden="1" x14ac:dyDescent="0.3">
      <c r="B73" s="172"/>
      <c r="C73" s="172"/>
      <c r="D73" s="172"/>
      <c r="E73" s="172"/>
      <c r="F73" s="172"/>
      <c r="G73" s="172"/>
      <c r="H73" s="172"/>
      <c r="I73" s="172"/>
    </row>
    <row r="74" spans="2:9" hidden="1" x14ac:dyDescent="0.3">
      <c r="B74" s="172"/>
      <c r="C74" s="172"/>
      <c r="D74" s="172"/>
      <c r="E74" s="172"/>
      <c r="F74" s="172"/>
      <c r="G74" s="172"/>
      <c r="H74" s="172"/>
      <c r="I74" s="172"/>
    </row>
    <row r="75" spans="2:9" hidden="1" x14ac:dyDescent="0.3">
      <c r="B75" s="172"/>
      <c r="C75" s="172"/>
      <c r="D75" s="172"/>
      <c r="E75" s="172"/>
      <c r="F75" s="172"/>
      <c r="G75" s="172"/>
      <c r="H75" s="172"/>
      <c r="I75" s="172"/>
    </row>
    <row r="76" spans="2:9" hidden="1" x14ac:dyDescent="0.3">
      <c r="B76" s="172"/>
      <c r="C76" s="172"/>
      <c r="D76" s="172"/>
      <c r="E76" s="172"/>
      <c r="F76" s="172"/>
      <c r="G76" s="172"/>
      <c r="H76" s="172"/>
      <c r="I76" s="172"/>
    </row>
    <row r="77" spans="2:9" hidden="1" x14ac:dyDescent="0.3">
      <c r="B77" s="172"/>
      <c r="C77" s="172"/>
      <c r="D77" s="172"/>
      <c r="E77" s="172"/>
      <c r="F77" s="172"/>
      <c r="G77" s="172"/>
      <c r="H77" s="172"/>
      <c r="I77" s="172"/>
    </row>
    <row r="78" spans="2:9" hidden="1" x14ac:dyDescent="0.3">
      <c r="B78" s="172"/>
      <c r="C78" s="172"/>
      <c r="D78" s="172"/>
      <c r="E78" s="172"/>
      <c r="F78" s="172"/>
      <c r="G78" s="172"/>
      <c r="H78" s="172"/>
      <c r="I78" s="172"/>
    </row>
    <row r="79" spans="2:9" hidden="1" x14ac:dyDescent="0.3">
      <c r="B79" s="172"/>
      <c r="C79" s="172"/>
      <c r="D79" s="172"/>
      <c r="E79" s="172"/>
      <c r="F79" s="172"/>
      <c r="G79" s="172"/>
      <c r="H79" s="172"/>
      <c r="I79" s="172"/>
    </row>
    <row r="80" spans="2:9" hidden="1" x14ac:dyDescent="0.3">
      <c r="B80" s="172"/>
      <c r="C80" s="172"/>
      <c r="D80" s="172"/>
      <c r="E80" s="172"/>
      <c r="F80" s="172"/>
      <c r="G80" s="172"/>
      <c r="H80" s="172"/>
      <c r="I80" s="172"/>
    </row>
    <row r="81" spans="2:9" hidden="1" x14ac:dyDescent="0.3">
      <c r="B81" s="172"/>
      <c r="C81" s="172"/>
      <c r="D81" s="172"/>
      <c r="E81" s="172"/>
      <c r="F81" s="172"/>
      <c r="G81" s="172"/>
      <c r="H81" s="172"/>
      <c r="I81" s="172"/>
    </row>
    <row r="82" spans="2:9" hidden="1" x14ac:dyDescent="0.3">
      <c r="B82" s="172"/>
      <c r="C82" s="172"/>
      <c r="D82" s="172"/>
      <c r="E82" s="172"/>
      <c r="F82" s="172"/>
      <c r="G82" s="172"/>
      <c r="H82" s="172"/>
      <c r="I82" s="172"/>
    </row>
    <row r="83" spans="2:9" hidden="1" x14ac:dyDescent="0.3">
      <c r="B83" s="172"/>
      <c r="C83" s="172"/>
      <c r="D83" s="172"/>
      <c r="E83" s="172"/>
      <c r="F83" s="172"/>
      <c r="G83" s="172"/>
      <c r="H83" s="172"/>
      <c r="I83" s="172"/>
    </row>
    <row r="84" spans="2:9" hidden="1" x14ac:dyDescent="0.3">
      <c r="B84" s="172"/>
      <c r="C84" s="172"/>
      <c r="D84" s="172"/>
      <c r="E84" s="172"/>
      <c r="F84" s="172"/>
      <c r="G84" s="172"/>
      <c r="H84" s="172"/>
      <c r="I84" s="172"/>
    </row>
    <row r="85" spans="2:9" hidden="1" x14ac:dyDescent="0.3">
      <c r="B85" s="172"/>
      <c r="C85" s="172"/>
      <c r="D85" s="172"/>
      <c r="E85" s="172"/>
      <c r="F85" s="172"/>
      <c r="G85" s="172"/>
      <c r="H85" s="172"/>
      <c r="I85" s="172"/>
    </row>
    <row r="86" spans="2:9" hidden="1" x14ac:dyDescent="0.3">
      <c r="B86" s="172"/>
      <c r="C86" s="172"/>
      <c r="D86" s="172"/>
      <c r="E86" s="172"/>
      <c r="F86" s="172"/>
      <c r="G86" s="172"/>
      <c r="H86" s="172"/>
      <c r="I86" s="172"/>
    </row>
    <row r="87" spans="2:9" hidden="1" x14ac:dyDescent="0.3">
      <c r="B87" s="172"/>
      <c r="C87" s="172"/>
      <c r="D87" s="172"/>
      <c r="E87" s="172"/>
      <c r="F87" s="172"/>
      <c r="G87" s="172"/>
      <c r="H87" s="172"/>
      <c r="I87" s="172"/>
    </row>
    <row r="88" spans="2:9" hidden="1" x14ac:dyDescent="0.3">
      <c r="B88" s="172"/>
      <c r="C88" s="172"/>
      <c r="D88" s="172"/>
      <c r="E88" s="172"/>
      <c r="F88" s="172"/>
      <c r="G88" s="172"/>
      <c r="H88" s="172"/>
      <c r="I88" s="172"/>
    </row>
    <row r="89" spans="2:9" hidden="1" x14ac:dyDescent="0.3">
      <c r="B89" s="172"/>
      <c r="C89" s="172"/>
      <c r="D89" s="172"/>
      <c r="E89" s="172"/>
      <c r="F89" s="172"/>
      <c r="G89" s="172"/>
      <c r="H89" s="172"/>
      <c r="I89" s="172"/>
    </row>
    <row r="90" spans="2:9" hidden="1" x14ac:dyDescent="0.3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3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3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3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3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3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3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3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3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3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3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3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hidden="1" x14ac:dyDescent="0.3">
      <c r="B115" s="172"/>
      <c r="C115" s="172"/>
      <c r="D115" s="172"/>
      <c r="E115" s="172"/>
      <c r="F115" s="172"/>
      <c r="G115" s="172"/>
      <c r="H115" s="172"/>
      <c r="I115" s="172"/>
    </row>
    <row r="116" spans="2:9" s="172" customFormat="1" hidden="1" x14ac:dyDescent="0.3"/>
    <row r="117" spans="2:9" hidden="1" x14ac:dyDescent="0.3">
      <c r="B117" s="172"/>
      <c r="C117" s="172"/>
      <c r="D117" s="172"/>
      <c r="E117" s="172"/>
      <c r="F117" s="172"/>
      <c r="G117" s="172"/>
      <c r="H117" s="172"/>
      <c r="I117" s="172"/>
    </row>
    <row r="118" spans="2:9" s="172" customFormat="1" hidden="1" x14ac:dyDescent="0.3"/>
    <row r="119" spans="2:9" hidden="1" x14ac:dyDescent="0.3">
      <c r="B119" s="172"/>
      <c r="C119" s="172"/>
      <c r="D119" s="172"/>
      <c r="E119" s="172"/>
      <c r="F119" s="172"/>
      <c r="G119" s="172"/>
      <c r="H119" s="172"/>
      <c r="I119" s="172"/>
    </row>
    <row r="120" spans="2:9" s="172" customFormat="1" hidden="1" x14ac:dyDescent="0.3"/>
    <row r="121" spans="2:9" hidden="1" x14ac:dyDescent="0.3">
      <c r="B121" s="172"/>
      <c r="C121" s="172"/>
      <c r="D121" s="172"/>
      <c r="E121" s="172"/>
      <c r="F121" s="172"/>
      <c r="G121" s="172"/>
      <c r="H121" s="172"/>
      <c r="I121" s="172"/>
    </row>
    <row r="122" spans="2:9" s="172" customFormat="1" hidden="1" x14ac:dyDescent="0.3"/>
    <row r="123" spans="2:9" hidden="1" x14ac:dyDescent="0.3">
      <c r="B123" s="172"/>
      <c r="C123" s="172"/>
      <c r="D123" s="172"/>
      <c r="E123" s="172"/>
      <c r="F123" s="172"/>
      <c r="G123" s="172"/>
      <c r="H123" s="172"/>
      <c r="I123" s="172"/>
    </row>
    <row r="124" spans="2:9" s="172" customFormat="1" hidden="1" x14ac:dyDescent="0.3"/>
    <row r="125" spans="2:9" hidden="1" x14ac:dyDescent="0.3">
      <c r="B125" s="172"/>
      <c r="C125" s="172"/>
      <c r="D125" s="172"/>
      <c r="E125" s="172"/>
      <c r="F125" s="172"/>
      <c r="G125" s="172"/>
      <c r="H125" s="172"/>
      <c r="I125" s="172"/>
    </row>
    <row r="126" spans="2:9" s="172" customFormat="1" hidden="1" x14ac:dyDescent="0.3"/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191"/>
      <c r="C136" s="191"/>
      <c r="D136" s="191"/>
      <c r="E136" s="191"/>
      <c r="F136" s="191"/>
      <c r="G136" s="191" t="s">
        <v>7</v>
      </c>
      <c r="H136" s="191" t="s">
        <v>7</v>
      </c>
      <c r="I136" s="192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3.3839460845709401E-4</v>
      </c>
      <c r="F138" s="172">
        <v>165</v>
      </c>
      <c r="G138" s="172">
        <v>23</v>
      </c>
      <c r="H138" s="172">
        <v>17</v>
      </c>
      <c r="I138" s="172">
        <v>38.5</v>
      </c>
    </row>
    <row r="139" spans="2:9" s="172" customFormat="1" x14ac:dyDescent="0.3">
      <c r="B139" s="172" t="s">
        <v>189</v>
      </c>
      <c r="C139" s="172" t="s">
        <v>80</v>
      </c>
      <c r="D139" s="172" t="s">
        <v>218</v>
      </c>
      <c r="E139" s="172">
        <v>3.2923464750307798E-4</v>
      </c>
      <c r="F139" s="172">
        <v>165</v>
      </c>
      <c r="G139" s="172">
        <v>23</v>
      </c>
      <c r="H139" s="172">
        <v>17</v>
      </c>
      <c r="I139" s="172">
        <v>38.5</v>
      </c>
    </row>
    <row r="140" spans="2:9" hidden="1" x14ac:dyDescent="0.3">
      <c r="B140" s="172" t="s">
        <v>189</v>
      </c>
      <c r="C140" s="172" t="s">
        <v>81</v>
      </c>
      <c r="D140" s="172" t="s">
        <v>221</v>
      </c>
      <c r="E140" s="172">
        <v>2.00830203094821E-4</v>
      </c>
      <c r="F140" s="172">
        <v>166</v>
      </c>
      <c r="G140" s="172">
        <v>19</v>
      </c>
      <c r="H140" s="172">
        <v>17</v>
      </c>
      <c r="I140" s="172">
        <v>38.5</v>
      </c>
    </row>
    <row r="141" spans="2:9" hidden="1" x14ac:dyDescent="0.3">
      <c r="B141" s="172" t="s">
        <v>189</v>
      </c>
      <c r="C141" s="172" t="s">
        <v>82</v>
      </c>
      <c r="D141" s="172" t="s">
        <v>221</v>
      </c>
      <c r="E141" s="172">
        <v>1.9407075734898801E-4</v>
      </c>
      <c r="F141" s="172">
        <v>166</v>
      </c>
      <c r="G141" s="172">
        <v>19</v>
      </c>
      <c r="H141" s="172">
        <v>17</v>
      </c>
      <c r="I141" s="172">
        <v>38.5</v>
      </c>
    </row>
    <row r="142" spans="2:9" hidden="1" x14ac:dyDescent="0.3">
      <c r="B142" s="172" t="s">
        <v>189</v>
      </c>
      <c r="C142" s="172" t="s">
        <v>246</v>
      </c>
      <c r="D142" s="172" t="s">
        <v>218</v>
      </c>
      <c r="E142" s="172">
        <v>2.24093114731271E-4</v>
      </c>
      <c r="F142" s="172">
        <v>165</v>
      </c>
      <c r="G142" s="172">
        <v>23</v>
      </c>
      <c r="H142" s="172">
        <v>17</v>
      </c>
      <c r="I142" s="172">
        <v>38.5</v>
      </c>
    </row>
    <row r="143" spans="2:9" hidden="1" x14ac:dyDescent="0.3">
      <c r="B143" s="172" t="s">
        <v>189</v>
      </c>
      <c r="C143" s="172" t="s">
        <v>246</v>
      </c>
      <c r="D143" s="172" t="s">
        <v>221</v>
      </c>
      <c r="E143" s="172">
        <v>9.3502001274295394E-5</v>
      </c>
      <c r="F143" s="172">
        <v>166</v>
      </c>
      <c r="G143" s="172">
        <v>19</v>
      </c>
      <c r="H143" s="172">
        <v>17</v>
      </c>
      <c r="I143" s="172">
        <v>38.5</v>
      </c>
    </row>
    <row r="144" spans="2:9" hidden="1" x14ac:dyDescent="0.3">
      <c r="B144" s="172" t="s">
        <v>187</v>
      </c>
      <c r="C144" s="172" t="s">
        <v>79</v>
      </c>
      <c r="D144" s="172" t="s">
        <v>218</v>
      </c>
      <c r="E144" s="172">
        <v>3.5000520764451602E-4</v>
      </c>
      <c r="F144" s="172">
        <v>96</v>
      </c>
      <c r="G144" s="172">
        <v>23.25</v>
      </c>
      <c r="H144" s="172">
        <v>31.25</v>
      </c>
      <c r="I144" s="172">
        <v>35.5</v>
      </c>
    </row>
    <row r="145" spans="2:9" x14ac:dyDescent="0.3">
      <c r="B145" s="172" t="s">
        <v>187</v>
      </c>
      <c r="C145" s="172" t="s">
        <v>80</v>
      </c>
      <c r="D145" s="172" t="s">
        <v>218</v>
      </c>
      <c r="E145" s="172">
        <v>3.5471387223790499E-4</v>
      </c>
      <c r="F145" s="172">
        <v>97</v>
      </c>
      <c r="G145" s="172">
        <v>23.25</v>
      </c>
      <c r="H145" s="172">
        <v>-0.25</v>
      </c>
      <c r="I145" s="172">
        <v>35.5</v>
      </c>
    </row>
    <row r="146" spans="2:9" hidden="1" x14ac:dyDescent="0.3">
      <c r="B146" s="172" t="s">
        <v>187</v>
      </c>
      <c r="C146" s="172" t="s">
        <v>81</v>
      </c>
      <c r="D146" s="172" t="s">
        <v>221</v>
      </c>
      <c r="E146" s="172">
        <v>3.2068321072022203E-4</v>
      </c>
      <c r="F146" s="172">
        <v>97</v>
      </c>
      <c r="G146" s="172">
        <v>23.25</v>
      </c>
      <c r="H146" s="172">
        <v>-0.25</v>
      </c>
      <c r="I146" s="172">
        <v>35.5</v>
      </c>
    </row>
    <row r="147" spans="2:9" hidden="1" x14ac:dyDescent="0.3">
      <c r="B147" s="172" t="s">
        <v>187</v>
      </c>
      <c r="C147" s="172" t="s">
        <v>82</v>
      </c>
      <c r="D147" s="172" t="s">
        <v>221</v>
      </c>
      <c r="E147" s="172">
        <v>3.2370702677490999E-4</v>
      </c>
      <c r="F147" s="172">
        <v>80</v>
      </c>
      <c r="G147" s="172">
        <v>-0.25</v>
      </c>
      <c r="H147" s="172">
        <v>-0.25</v>
      </c>
      <c r="I147" s="172">
        <v>35.5</v>
      </c>
    </row>
    <row r="148" spans="2:9" hidden="1" x14ac:dyDescent="0.3">
      <c r="B148" s="172" t="s">
        <v>187</v>
      </c>
      <c r="C148" s="172" t="s">
        <v>246</v>
      </c>
      <c r="D148" s="172" t="s">
        <v>218</v>
      </c>
      <c r="E148" s="172">
        <v>2.3400655211913499E-5</v>
      </c>
      <c r="F148" s="172">
        <v>97</v>
      </c>
      <c r="G148" s="172">
        <v>23.25</v>
      </c>
      <c r="H148" s="172">
        <v>-0.25</v>
      </c>
      <c r="I148" s="172">
        <v>35.5</v>
      </c>
    </row>
    <row r="149" spans="2:9" hidden="1" x14ac:dyDescent="0.3">
      <c r="B149" s="172" t="s">
        <v>187</v>
      </c>
      <c r="C149" s="172" t="s">
        <v>246</v>
      </c>
      <c r="D149" s="172" t="s">
        <v>221</v>
      </c>
      <c r="E149" s="172">
        <v>1.7260073586320299E-5</v>
      </c>
      <c r="F149" s="172">
        <v>97</v>
      </c>
      <c r="G149" s="172">
        <v>23.25</v>
      </c>
      <c r="H149" s="172">
        <v>-0.25</v>
      </c>
      <c r="I149" s="172">
        <v>35.5</v>
      </c>
    </row>
    <row r="150" spans="2:9" hidden="1" x14ac:dyDescent="0.3">
      <c r="B150" s="172" t="s">
        <v>185</v>
      </c>
      <c r="C150" s="172" t="s">
        <v>79</v>
      </c>
      <c r="D150" s="172" t="s">
        <v>218</v>
      </c>
      <c r="E150" s="172">
        <v>5.5180264596959997E-4</v>
      </c>
      <c r="F150" s="172">
        <v>96</v>
      </c>
      <c r="G150" s="172">
        <v>23.25</v>
      </c>
      <c r="H150" s="172">
        <v>31.25</v>
      </c>
      <c r="I150" s="172">
        <v>32</v>
      </c>
    </row>
    <row r="151" spans="2:9" x14ac:dyDescent="0.3">
      <c r="B151" s="172" t="s">
        <v>185</v>
      </c>
      <c r="C151" s="172" t="s">
        <v>80</v>
      </c>
      <c r="D151" s="172" t="s">
        <v>218</v>
      </c>
      <c r="E151" s="172">
        <v>5.5937108158358095E-4</v>
      </c>
      <c r="F151" s="172">
        <v>97</v>
      </c>
      <c r="G151" s="172">
        <v>23.25</v>
      </c>
      <c r="H151" s="172">
        <v>-0.25</v>
      </c>
      <c r="I151" s="172">
        <v>32</v>
      </c>
    </row>
    <row r="152" spans="2:9" hidden="1" x14ac:dyDescent="0.3">
      <c r="B152" s="172" t="s">
        <v>185</v>
      </c>
      <c r="C152" s="172" t="s">
        <v>81</v>
      </c>
      <c r="D152" s="172" t="s">
        <v>221</v>
      </c>
      <c r="E152" s="172">
        <v>5.2694252168535797E-4</v>
      </c>
      <c r="F152" s="172">
        <v>97</v>
      </c>
      <c r="G152" s="172">
        <v>23.25</v>
      </c>
      <c r="H152" s="172">
        <v>-0.25</v>
      </c>
      <c r="I152" s="172">
        <v>32</v>
      </c>
    </row>
    <row r="153" spans="2:9" hidden="1" x14ac:dyDescent="0.3">
      <c r="B153" s="172" t="s">
        <v>185</v>
      </c>
      <c r="C153" s="172" t="s">
        <v>82</v>
      </c>
      <c r="D153" s="172" t="s">
        <v>221</v>
      </c>
      <c r="E153" s="172">
        <v>5.4126462384666396E-4</v>
      </c>
      <c r="F153" s="172">
        <v>80</v>
      </c>
      <c r="G153" s="172">
        <v>-0.25</v>
      </c>
      <c r="H153" s="172">
        <v>-0.25</v>
      </c>
      <c r="I153" s="172">
        <v>32</v>
      </c>
    </row>
    <row r="154" spans="2:9" hidden="1" x14ac:dyDescent="0.3">
      <c r="B154" s="172" t="s">
        <v>185</v>
      </c>
      <c r="C154" s="172" t="s">
        <v>246</v>
      </c>
      <c r="D154" s="172" t="s">
        <v>218</v>
      </c>
      <c r="E154" s="172">
        <v>2.50708081172086E-5</v>
      </c>
      <c r="F154" s="172">
        <v>97</v>
      </c>
      <c r="G154" s="172">
        <v>23.25</v>
      </c>
      <c r="H154" s="172">
        <v>-0.25</v>
      </c>
      <c r="I154" s="172">
        <v>32</v>
      </c>
    </row>
    <row r="155" spans="2:9" hidden="1" x14ac:dyDescent="0.3">
      <c r="B155" s="172" t="s">
        <v>185</v>
      </c>
      <c r="C155" s="172" t="s">
        <v>246</v>
      </c>
      <c r="D155" s="172" t="s">
        <v>221</v>
      </c>
      <c r="E155" s="172">
        <v>1.9334420837847899E-5</v>
      </c>
      <c r="F155" s="172">
        <v>97</v>
      </c>
      <c r="G155" s="172">
        <v>23.25</v>
      </c>
      <c r="H155" s="172">
        <v>-0.25</v>
      </c>
      <c r="I155" s="172">
        <v>32</v>
      </c>
    </row>
    <row r="156" spans="2:9" hidden="1" x14ac:dyDescent="0.3">
      <c r="B156" s="172" t="s">
        <v>183</v>
      </c>
      <c r="C156" s="172" t="s">
        <v>79</v>
      </c>
      <c r="D156" s="172" t="s">
        <v>218</v>
      </c>
      <c r="E156" s="172">
        <v>7.4022406051532695E-4</v>
      </c>
      <c r="F156" s="172">
        <v>96</v>
      </c>
      <c r="G156" s="172">
        <v>23.25</v>
      </c>
      <c r="H156" s="172">
        <v>31.25</v>
      </c>
      <c r="I156" s="172">
        <v>28.5</v>
      </c>
    </row>
    <row r="157" spans="2:9" x14ac:dyDescent="0.3">
      <c r="B157" s="172" t="s">
        <v>183</v>
      </c>
      <c r="C157" s="172" t="s">
        <v>80</v>
      </c>
      <c r="D157" s="172" t="s">
        <v>218</v>
      </c>
      <c r="E157" s="172">
        <v>7.5105759271122902E-4</v>
      </c>
      <c r="F157" s="172">
        <v>97</v>
      </c>
      <c r="G157" s="172">
        <v>23.25</v>
      </c>
      <c r="H157" s="172">
        <v>-0.25</v>
      </c>
      <c r="I157" s="172">
        <v>28.5</v>
      </c>
    </row>
    <row r="158" spans="2:9" hidden="1" x14ac:dyDescent="0.3">
      <c r="B158" s="172" t="s">
        <v>183</v>
      </c>
      <c r="C158" s="172" t="s">
        <v>81</v>
      </c>
      <c r="D158" s="172" t="s">
        <v>221</v>
      </c>
      <c r="E158" s="172">
        <v>7.2241981363536695E-4</v>
      </c>
      <c r="F158" s="172">
        <v>97</v>
      </c>
      <c r="G158" s="172">
        <v>23.25</v>
      </c>
      <c r="H158" s="172">
        <v>-0.25</v>
      </c>
      <c r="I158" s="172">
        <v>28.5</v>
      </c>
    </row>
    <row r="159" spans="2:9" hidden="1" x14ac:dyDescent="0.3">
      <c r="B159" s="172" t="s">
        <v>183</v>
      </c>
      <c r="C159" s="172" t="s">
        <v>82</v>
      </c>
      <c r="D159" s="172" t="s">
        <v>221</v>
      </c>
      <c r="E159" s="172">
        <v>7.5019877551273605E-4</v>
      </c>
      <c r="F159" s="172">
        <v>80</v>
      </c>
      <c r="G159" s="172">
        <v>-0.25</v>
      </c>
      <c r="H159" s="172">
        <v>-0.25</v>
      </c>
      <c r="I159" s="172">
        <v>28.5</v>
      </c>
    </row>
    <row r="160" spans="2:9" hidden="1" x14ac:dyDescent="0.3">
      <c r="B160" s="172" t="s">
        <v>183</v>
      </c>
      <c r="C160" s="172" t="s">
        <v>246</v>
      </c>
      <c r="D160" s="172" t="s">
        <v>218</v>
      </c>
      <c r="E160" s="172">
        <v>2.4244395750859001E-5</v>
      </c>
      <c r="F160" s="172">
        <v>97</v>
      </c>
      <c r="G160" s="172">
        <v>23.25</v>
      </c>
      <c r="H160" s="172">
        <v>-0.25</v>
      </c>
      <c r="I160" s="172">
        <v>28.5</v>
      </c>
    </row>
    <row r="161" spans="2:9" hidden="1" x14ac:dyDescent="0.3">
      <c r="B161" s="172" t="s">
        <v>183</v>
      </c>
      <c r="C161" s="172" t="s">
        <v>246</v>
      </c>
      <c r="D161" s="172" t="s">
        <v>221</v>
      </c>
      <c r="E161" s="172">
        <v>1.8446859065714201E-5</v>
      </c>
      <c r="F161" s="172">
        <v>97</v>
      </c>
      <c r="G161" s="172">
        <v>23.25</v>
      </c>
      <c r="H161" s="172">
        <v>-0.25</v>
      </c>
      <c r="I161" s="172">
        <v>28.5</v>
      </c>
    </row>
    <row r="162" spans="2:9" hidden="1" x14ac:dyDescent="0.3">
      <c r="B162" s="172" t="s">
        <v>181</v>
      </c>
      <c r="C162" s="172" t="s">
        <v>79</v>
      </c>
      <c r="D162" s="172" t="s">
        <v>218</v>
      </c>
      <c r="E162" s="172">
        <v>8.9822879860787096E-4</v>
      </c>
      <c r="F162" s="172">
        <v>96</v>
      </c>
      <c r="G162" s="172">
        <v>23.25</v>
      </c>
      <c r="H162" s="172">
        <v>31.25</v>
      </c>
      <c r="I162" s="172">
        <v>25</v>
      </c>
    </row>
    <row r="163" spans="2:9" x14ac:dyDescent="0.3">
      <c r="B163" s="172" t="s">
        <v>181</v>
      </c>
      <c r="C163" s="172" t="s">
        <v>80</v>
      </c>
      <c r="D163" s="172" t="s">
        <v>218</v>
      </c>
      <c r="E163" s="172">
        <v>9.1197697180279503E-4</v>
      </c>
      <c r="F163" s="172">
        <v>97</v>
      </c>
      <c r="G163" s="172">
        <v>23.25</v>
      </c>
      <c r="H163" s="172">
        <v>-0.25</v>
      </c>
      <c r="I163" s="172">
        <v>25</v>
      </c>
    </row>
    <row r="164" spans="2:9" hidden="1" x14ac:dyDescent="0.3">
      <c r="B164" s="172" t="s">
        <v>181</v>
      </c>
      <c r="C164" s="172" t="s">
        <v>81</v>
      </c>
      <c r="D164" s="172" t="s">
        <v>221</v>
      </c>
      <c r="E164" s="172">
        <v>8.8821224429016599E-4</v>
      </c>
      <c r="F164" s="172">
        <v>97</v>
      </c>
      <c r="G164" s="172">
        <v>23.25</v>
      </c>
      <c r="H164" s="172">
        <v>-0.25</v>
      </c>
      <c r="I164" s="172">
        <v>25</v>
      </c>
    </row>
    <row r="165" spans="2:9" hidden="1" x14ac:dyDescent="0.3">
      <c r="B165" s="172" t="s">
        <v>181</v>
      </c>
      <c r="C165" s="172" t="s">
        <v>82</v>
      </c>
      <c r="D165" s="172" t="s">
        <v>221</v>
      </c>
      <c r="E165" s="172">
        <v>9.2785711736680597E-4</v>
      </c>
      <c r="F165" s="172">
        <v>80</v>
      </c>
      <c r="G165" s="172">
        <v>-0.25</v>
      </c>
      <c r="H165" s="172">
        <v>-0.25</v>
      </c>
      <c r="I165" s="172">
        <v>25</v>
      </c>
    </row>
    <row r="166" spans="2:9" hidden="1" x14ac:dyDescent="0.3">
      <c r="B166" s="172" t="s">
        <v>181</v>
      </c>
      <c r="C166" s="172" t="s">
        <v>246</v>
      </c>
      <c r="D166" s="172" t="s">
        <v>218</v>
      </c>
      <c r="E166" s="172">
        <v>2.2783379993669701E-5</v>
      </c>
      <c r="F166" s="172">
        <v>97</v>
      </c>
      <c r="G166" s="172">
        <v>23.25</v>
      </c>
      <c r="H166" s="172">
        <v>-0.25</v>
      </c>
      <c r="I166" s="172">
        <v>25</v>
      </c>
    </row>
    <row r="167" spans="2:9" hidden="1" x14ac:dyDescent="0.3">
      <c r="B167" s="172" t="s">
        <v>181</v>
      </c>
      <c r="C167" s="172" t="s">
        <v>246</v>
      </c>
      <c r="D167" s="172" t="s">
        <v>221</v>
      </c>
      <c r="E167" s="172">
        <v>1.68349141963792E-5</v>
      </c>
      <c r="F167" s="172">
        <v>97</v>
      </c>
      <c r="G167" s="172">
        <v>23.25</v>
      </c>
      <c r="H167" s="172">
        <v>-0.25</v>
      </c>
      <c r="I167" s="172">
        <v>25</v>
      </c>
    </row>
    <row r="168" spans="2:9" hidden="1" x14ac:dyDescent="0.3">
      <c r="B168" s="172" t="s">
        <v>179</v>
      </c>
      <c r="C168" s="172" t="s">
        <v>79</v>
      </c>
      <c r="D168" s="172" t="s">
        <v>218</v>
      </c>
      <c r="E168" s="172">
        <v>1.02076154632551E-3</v>
      </c>
      <c r="F168" s="172">
        <v>96</v>
      </c>
      <c r="G168" s="172">
        <v>23.25</v>
      </c>
      <c r="H168" s="172">
        <v>31.25</v>
      </c>
      <c r="I168" s="172">
        <v>21.5</v>
      </c>
    </row>
    <row r="169" spans="2:9" x14ac:dyDescent="0.3">
      <c r="B169" s="172" t="s">
        <v>179</v>
      </c>
      <c r="C169" s="172" t="s">
        <v>80</v>
      </c>
      <c r="D169" s="172" t="s">
        <v>218</v>
      </c>
      <c r="E169" s="172">
        <v>1.03667906155844E-3</v>
      </c>
      <c r="F169" s="172">
        <v>97</v>
      </c>
      <c r="G169" s="172">
        <v>23.25</v>
      </c>
      <c r="H169" s="172">
        <v>-0.25</v>
      </c>
      <c r="I169" s="172">
        <v>21.5</v>
      </c>
    </row>
    <row r="170" spans="2:9" hidden="1" x14ac:dyDescent="0.3">
      <c r="B170" s="172" t="s">
        <v>179</v>
      </c>
      <c r="C170" s="172" t="s">
        <v>81</v>
      </c>
      <c r="D170" s="172" t="s">
        <v>221</v>
      </c>
      <c r="E170" s="172">
        <v>1.0185661065505701E-3</v>
      </c>
      <c r="F170" s="172">
        <v>97</v>
      </c>
      <c r="G170" s="172">
        <v>23.25</v>
      </c>
      <c r="H170" s="172">
        <v>-0.25</v>
      </c>
      <c r="I170" s="172">
        <v>21.5</v>
      </c>
    </row>
    <row r="171" spans="2:9" hidden="1" x14ac:dyDescent="0.3">
      <c r="B171" s="172" t="s">
        <v>179</v>
      </c>
      <c r="C171" s="172" t="s">
        <v>82</v>
      </c>
      <c r="D171" s="172" t="s">
        <v>221</v>
      </c>
      <c r="E171" s="172">
        <v>1.0663535432818001E-3</v>
      </c>
      <c r="F171" s="172">
        <v>80</v>
      </c>
      <c r="G171" s="172">
        <v>-0.25</v>
      </c>
      <c r="H171" s="172">
        <v>-0.25</v>
      </c>
      <c r="I171" s="172">
        <v>21.5</v>
      </c>
    </row>
    <row r="172" spans="2:9" hidden="1" x14ac:dyDescent="0.3">
      <c r="B172" s="172" t="s">
        <v>179</v>
      </c>
      <c r="C172" s="172" t="s">
        <v>246</v>
      </c>
      <c r="D172" s="172" t="s">
        <v>218</v>
      </c>
      <c r="E172" s="172">
        <v>2.0737616374677801E-5</v>
      </c>
      <c r="F172" s="172">
        <v>97</v>
      </c>
      <c r="G172" s="172">
        <v>23.25</v>
      </c>
      <c r="H172" s="172">
        <v>-0.25</v>
      </c>
      <c r="I172" s="172">
        <v>21.5</v>
      </c>
    </row>
    <row r="173" spans="2:9" hidden="1" x14ac:dyDescent="0.3">
      <c r="B173" s="172" t="s">
        <v>179</v>
      </c>
      <c r="C173" s="172" t="s">
        <v>246</v>
      </c>
      <c r="D173" s="172" t="s">
        <v>221</v>
      </c>
      <c r="E173" s="172">
        <v>1.4743548997491999E-5</v>
      </c>
      <c r="F173" s="172">
        <v>97</v>
      </c>
      <c r="G173" s="172">
        <v>23.25</v>
      </c>
      <c r="H173" s="172">
        <v>-0.25</v>
      </c>
      <c r="I173" s="172">
        <v>21.5</v>
      </c>
    </row>
    <row r="174" spans="2:9" hidden="1" x14ac:dyDescent="0.3">
      <c r="B174" s="172" t="s">
        <v>39</v>
      </c>
      <c r="C174" s="172" t="s">
        <v>79</v>
      </c>
      <c r="D174" s="172" t="s">
        <v>218</v>
      </c>
      <c r="E174" s="172">
        <v>1.07312589003806E-3</v>
      </c>
      <c r="F174" s="172">
        <v>96</v>
      </c>
      <c r="G174" s="172">
        <v>23.25</v>
      </c>
      <c r="H174" s="172">
        <v>31.25</v>
      </c>
      <c r="I174" s="172">
        <v>18</v>
      </c>
    </row>
    <row r="175" spans="2:9" x14ac:dyDescent="0.3">
      <c r="B175" s="172" t="s">
        <v>39</v>
      </c>
      <c r="C175" s="172" t="s">
        <v>80</v>
      </c>
      <c r="D175" s="172" t="s">
        <v>218</v>
      </c>
      <c r="E175" s="172">
        <v>1.08865796788846E-3</v>
      </c>
      <c r="F175" s="172">
        <v>97</v>
      </c>
      <c r="G175" s="172">
        <v>23.25</v>
      </c>
      <c r="H175" s="172">
        <v>-0.25</v>
      </c>
      <c r="I175" s="172">
        <v>18</v>
      </c>
    </row>
    <row r="176" spans="2:9" hidden="1" x14ac:dyDescent="0.3">
      <c r="B176" s="172" t="s">
        <v>39</v>
      </c>
      <c r="C176" s="172" t="s">
        <v>81</v>
      </c>
      <c r="D176" s="172" t="s">
        <v>221</v>
      </c>
      <c r="E176" s="172">
        <v>1.08015135190698E-3</v>
      </c>
      <c r="F176" s="172">
        <v>97</v>
      </c>
      <c r="G176" s="172">
        <v>23.25</v>
      </c>
      <c r="H176" s="172">
        <v>-0.25</v>
      </c>
      <c r="I176" s="172">
        <v>18</v>
      </c>
    </row>
    <row r="177" spans="2:9" hidden="1" x14ac:dyDescent="0.3">
      <c r="B177" s="172" t="s">
        <v>39</v>
      </c>
      <c r="C177" s="172" t="s">
        <v>82</v>
      </c>
      <c r="D177" s="172" t="s">
        <v>221</v>
      </c>
      <c r="E177" s="172">
        <v>1.12827834383138E-3</v>
      </c>
      <c r="F177" s="172">
        <v>80</v>
      </c>
      <c r="G177" s="172">
        <v>-0.25</v>
      </c>
      <c r="H177" s="172">
        <v>-0.25</v>
      </c>
      <c r="I177" s="172">
        <v>18</v>
      </c>
    </row>
    <row r="178" spans="2:9" hidden="1" x14ac:dyDescent="0.3">
      <c r="B178" s="172" t="s">
        <v>39</v>
      </c>
      <c r="C178" s="172" t="s">
        <v>246</v>
      </c>
      <c r="D178" s="172" t="s">
        <v>218</v>
      </c>
      <c r="E178" s="172">
        <v>1.7779671330850699E-5</v>
      </c>
      <c r="F178" s="172">
        <v>97</v>
      </c>
      <c r="G178" s="172">
        <v>23.25</v>
      </c>
      <c r="H178" s="172">
        <v>-0.25</v>
      </c>
      <c r="I178" s="172">
        <v>18</v>
      </c>
    </row>
    <row r="179" spans="2:9" hidden="1" x14ac:dyDescent="0.3">
      <c r="B179" s="172" t="s">
        <v>39</v>
      </c>
      <c r="C179" s="172" t="s">
        <v>246</v>
      </c>
      <c r="D179" s="172" t="s">
        <v>221</v>
      </c>
      <c r="E179" s="172">
        <v>1.23412206110278E-5</v>
      </c>
      <c r="F179" s="172">
        <v>97</v>
      </c>
      <c r="G179" s="172">
        <v>23.25</v>
      </c>
      <c r="H179" s="172">
        <v>-0.25</v>
      </c>
      <c r="I179" s="172">
        <v>18</v>
      </c>
    </row>
    <row r="180" spans="2:9" hidden="1" x14ac:dyDescent="0.3">
      <c r="B180" s="172" t="s">
        <v>26</v>
      </c>
      <c r="C180" s="172" t="s">
        <v>79</v>
      </c>
      <c r="D180" s="172" t="s">
        <v>218</v>
      </c>
      <c r="E180" s="172">
        <v>1.1018315117363501E-3</v>
      </c>
      <c r="F180" s="172">
        <v>96</v>
      </c>
      <c r="G180" s="172">
        <v>23.25</v>
      </c>
      <c r="H180" s="172">
        <v>31.25</v>
      </c>
      <c r="I180" s="172">
        <v>14.5</v>
      </c>
    </row>
    <row r="181" spans="2:9" x14ac:dyDescent="0.3">
      <c r="B181" s="172" t="s">
        <v>26</v>
      </c>
      <c r="C181" s="172" t="s">
        <v>80</v>
      </c>
      <c r="D181" s="172" t="s">
        <v>218</v>
      </c>
      <c r="E181" s="172">
        <v>1.1165937743355899E-3</v>
      </c>
      <c r="F181" s="172">
        <v>97</v>
      </c>
      <c r="G181" s="172">
        <v>23.25</v>
      </c>
      <c r="H181" s="172">
        <v>-0.25</v>
      </c>
      <c r="I181" s="172">
        <v>14.5</v>
      </c>
    </row>
    <row r="182" spans="2:9" hidden="1" x14ac:dyDescent="0.3">
      <c r="B182" s="172" t="s">
        <v>26</v>
      </c>
      <c r="C182" s="172" t="s">
        <v>81</v>
      </c>
      <c r="D182" s="172" t="s">
        <v>221</v>
      </c>
      <c r="E182" s="172">
        <v>1.1194507587522101E-3</v>
      </c>
      <c r="F182" s="172">
        <v>97</v>
      </c>
      <c r="G182" s="172">
        <v>23.25</v>
      </c>
      <c r="H182" s="172">
        <v>-0.25</v>
      </c>
      <c r="I182" s="172">
        <v>14.5</v>
      </c>
    </row>
    <row r="183" spans="2:9" hidden="1" x14ac:dyDescent="0.3">
      <c r="B183" s="172" t="s">
        <v>26</v>
      </c>
      <c r="C183" s="172" t="s">
        <v>82</v>
      </c>
      <c r="D183" s="172" t="s">
        <v>221</v>
      </c>
      <c r="E183" s="172">
        <v>1.16577688633869E-3</v>
      </c>
      <c r="F183" s="172">
        <v>80</v>
      </c>
      <c r="G183" s="172">
        <v>-0.25</v>
      </c>
      <c r="H183" s="172">
        <v>-0.25</v>
      </c>
      <c r="I183" s="172">
        <v>14.5</v>
      </c>
    </row>
    <row r="184" spans="2:9" hidden="1" x14ac:dyDescent="0.3">
      <c r="B184" s="172" t="s">
        <v>26</v>
      </c>
      <c r="C184" s="172" t="s">
        <v>246</v>
      </c>
      <c r="D184" s="172" t="s">
        <v>218</v>
      </c>
      <c r="E184" s="172">
        <v>1.4318690693079E-5</v>
      </c>
      <c r="F184" s="172">
        <v>97</v>
      </c>
      <c r="G184" s="172">
        <v>23.25</v>
      </c>
      <c r="H184" s="172">
        <v>-0.25</v>
      </c>
      <c r="I184" s="172">
        <v>14.5</v>
      </c>
    </row>
    <row r="185" spans="2:9" hidden="1" x14ac:dyDescent="0.3">
      <c r="B185" s="172" t="s">
        <v>26</v>
      </c>
      <c r="C185" s="172" t="s">
        <v>246</v>
      </c>
      <c r="D185" s="172" t="s">
        <v>221</v>
      </c>
      <c r="E185" s="172">
        <v>9.3919886498480204E-6</v>
      </c>
      <c r="F185" s="172">
        <v>97</v>
      </c>
      <c r="G185" s="172">
        <v>23.25</v>
      </c>
      <c r="H185" s="172">
        <v>-0.25</v>
      </c>
      <c r="I185" s="172">
        <v>14.5</v>
      </c>
    </row>
    <row r="186" spans="2:9" hidden="1" x14ac:dyDescent="0.3">
      <c r="B186" s="172" t="s">
        <v>25</v>
      </c>
      <c r="C186" s="172" t="s">
        <v>79</v>
      </c>
      <c r="D186" s="172" t="s">
        <v>218</v>
      </c>
      <c r="E186" s="172">
        <v>1.15026133797418E-3</v>
      </c>
      <c r="F186" s="172">
        <v>96</v>
      </c>
      <c r="G186" s="172">
        <v>23.25</v>
      </c>
      <c r="H186" s="172">
        <v>31.25</v>
      </c>
      <c r="I186" s="172">
        <v>11</v>
      </c>
    </row>
    <row r="187" spans="2:9" x14ac:dyDescent="0.3">
      <c r="B187" s="172" t="s">
        <v>25</v>
      </c>
      <c r="C187" s="172" t="s">
        <v>80</v>
      </c>
      <c r="D187" s="172" t="s">
        <v>218</v>
      </c>
      <c r="E187" s="172">
        <v>1.16584796602407E-3</v>
      </c>
      <c r="F187" s="172">
        <v>97</v>
      </c>
      <c r="G187" s="172">
        <v>23.25</v>
      </c>
      <c r="H187" s="172">
        <v>-0.25</v>
      </c>
      <c r="I187" s="172">
        <v>11</v>
      </c>
    </row>
    <row r="188" spans="2:9" hidden="1" x14ac:dyDescent="0.3">
      <c r="B188" s="172" t="s">
        <v>25</v>
      </c>
      <c r="C188" s="172" t="s">
        <v>81</v>
      </c>
      <c r="D188" s="172" t="s">
        <v>221</v>
      </c>
      <c r="E188" s="172">
        <v>1.18304220581932E-3</v>
      </c>
      <c r="F188" s="172">
        <v>97</v>
      </c>
      <c r="G188" s="172">
        <v>23.25</v>
      </c>
      <c r="H188" s="172">
        <v>-0.25</v>
      </c>
      <c r="I188" s="172">
        <v>11</v>
      </c>
    </row>
    <row r="189" spans="2:9" hidden="1" x14ac:dyDescent="0.3">
      <c r="B189" s="172" t="s">
        <v>25</v>
      </c>
      <c r="C189" s="172" t="s">
        <v>82</v>
      </c>
      <c r="D189" s="172" t="s">
        <v>221</v>
      </c>
      <c r="E189" s="172">
        <v>1.22489647214065E-3</v>
      </c>
      <c r="F189" s="172">
        <v>80</v>
      </c>
      <c r="G189" s="172">
        <v>-0.25</v>
      </c>
      <c r="H189" s="172">
        <v>-0.25</v>
      </c>
      <c r="I189" s="172">
        <v>11</v>
      </c>
    </row>
    <row r="190" spans="2:9" hidden="1" x14ac:dyDescent="0.3">
      <c r="B190" s="172" t="s">
        <v>25</v>
      </c>
      <c r="C190" s="172" t="s">
        <v>246</v>
      </c>
      <c r="D190" s="172" t="s">
        <v>218</v>
      </c>
      <c r="E190" s="172">
        <v>1.0570076578179801E-5</v>
      </c>
      <c r="F190" s="172">
        <v>97</v>
      </c>
      <c r="G190" s="172">
        <v>23.25</v>
      </c>
      <c r="H190" s="172">
        <v>-0.25</v>
      </c>
      <c r="I190" s="172">
        <v>11</v>
      </c>
    </row>
    <row r="191" spans="2:9" hidden="1" x14ac:dyDescent="0.3">
      <c r="B191" s="172" t="s">
        <v>25</v>
      </c>
      <c r="C191" s="172" t="s">
        <v>246</v>
      </c>
      <c r="D191" s="172" t="s">
        <v>221</v>
      </c>
      <c r="E191" s="172">
        <v>5.5184822121298798E-6</v>
      </c>
      <c r="F191" s="172">
        <v>97</v>
      </c>
      <c r="G191" s="172">
        <v>23.25</v>
      </c>
      <c r="H191" s="172">
        <v>-0.25</v>
      </c>
      <c r="I191" s="172">
        <v>11</v>
      </c>
    </row>
    <row r="192" spans="2:9" hidden="1" x14ac:dyDescent="0.3">
      <c r="B192" s="172" t="s">
        <v>24</v>
      </c>
      <c r="C192" s="172" t="s">
        <v>79</v>
      </c>
      <c r="D192" s="172" t="s">
        <v>218</v>
      </c>
      <c r="E192" s="172">
        <v>1.1565303187614799E-3</v>
      </c>
      <c r="F192" s="172">
        <v>96</v>
      </c>
      <c r="G192" s="172">
        <v>23.25</v>
      </c>
      <c r="H192" s="172">
        <v>31.25</v>
      </c>
      <c r="I192" s="172">
        <v>7.5</v>
      </c>
    </row>
    <row r="193" spans="2:9" x14ac:dyDescent="0.3">
      <c r="B193" s="172" t="s">
        <v>24</v>
      </c>
      <c r="C193" s="172" t="s">
        <v>80</v>
      </c>
      <c r="D193" s="172" t="s">
        <v>218</v>
      </c>
      <c r="E193" s="172">
        <v>1.1731157504251599E-3</v>
      </c>
      <c r="F193" s="172">
        <v>97</v>
      </c>
      <c r="G193" s="172">
        <v>23.25</v>
      </c>
      <c r="H193" s="172">
        <v>-0.25</v>
      </c>
      <c r="I193" s="172">
        <v>7.5</v>
      </c>
    </row>
    <row r="194" spans="2:9" hidden="1" x14ac:dyDescent="0.3">
      <c r="B194" s="172" t="s">
        <v>24</v>
      </c>
      <c r="C194" s="172" t="s">
        <v>81</v>
      </c>
      <c r="D194" s="172" t="s">
        <v>221</v>
      </c>
      <c r="E194" s="172">
        <v>1.1916981789367399E-3</v>
      </c>
      <c r="F194" s="172">
        <v>97</v>
      </c>
      <c r="G194" s="172">
        <v>23.25</v>
      </c>
      <c r="H194" s="172">
        <v>-0.25</v>
      </c>
      <c r="I194" s="172">
        <v>7.5</v>
      </c>
    </row>
    <row r="195" spans="2:9" hidden="1" x14ac:dyDescent="0.3">
      <c r="B195" s="172" t="s">
        <v>24</v>
      </c>
      <c r="C195" s="172" t="s">
        <v>82</v>
      </c>
      <c r="D195" s="172" t="s">
        <v>221</v>
      </c>
      <c r="E195" s="172">
        <v>1.2285906373805E-3</v>
      </c>
      <c r="F195" s="172">
        <v>80</v>
      </c>
      <c r="G195" s="172">
        <v>-0.25</v>
      </c>
      <c r="H195" s="172">
        <v>-0.25</v>
      </c>
      <c r="I195" s="172">
        <v>7.5</v>
      </c>
    </row>
    <row r="196" spans="2:9" hidden="1" x14ac:dyDescent="0.3">
      <c r="B196" s="172" t="s">
        <v>24</v>
      </c>
      <c r="C196" s="172" t="s">
        <v>246</v>
      </c>
      <c r="D196" s="172" t="s">
        <v>218</v>
      </c>
      <c r="E196" s="172">
        <v>6.55588961109708E-6</v>
      </c>
      <c r="F196" s="172">
        <v>96</v>
      </c>
      <c r="G196" s="172">
        <v>23.25</v>
      </c>
      <c r="H196" s="172">
        <v>31.25</v>
      </c>
      <c r="I196" s="172">
        <v>7.5</v>
      </c>
    </row>
    <row r="197" spans="2:9" hidden="1" x14ac:dyDescent="0.3">
      <c r="B197" s="172" t="s">
        <v>24</v>
      </c>
      <c r="C197" s="172" t="s">
        <v>246</v>
      </c>
      <c r="D197" s="172" t="s">
        <v>221</v>
      </c>
      <c r="E197" s="172">
        <v>1.4469573945626301E-6</v>
      </c>
      <c r="F197" s="172">
        <v>80</v>
      </c>
      <c r="G197" s="172">
        <v>-0.25</v>
      </c>
      <c r="H197" s="172">
        <v>-0.25</v>
      </c>
      <c r="I197" s="172">
        <v>7.5</v>
      </c>
    </row>
    <row r="198" spans="2:9" hidden="1" x14ac:dyDescent="0.3">
      <c r="B198" s="172" t="s">
        <v>22</v>
      </c>
      <c r="C198" s="172" t="s">
        <v>79</v>
      </c>
      <c r="D198" s="172" t="s">
        <v>218</v>
      </c>
      <c r="E198" s="172">
        <v>8.4979817938368198E-4</v>
      </c>
      <c r="F198" s="172">
        <v>28</v>
      </c>
      <c r="G198" s="172">
        <v>19</v>
      </c>
      <c r="H198" s="172">
        <v>31</v>
      </c>
      <c r="I198" s="172">
        <v>4</v>
      </c>
    </row>
    <row r="199" spans="2:9" x14ac:dyDescent="0.3">
      <c r="B199" s="172" t="s">
        <v>22</v>
      </c>
      <c r="C199" s="172" t="s">
        <v>80</v>
      </c>
      <c r="D199" s="172" t="s">
        <v>218</v>
      </c>
      <c r="E199" s="172">
        <v>8.6255477881700695E-4</v>
      </c>
      <c r="F199" s="172">
        <v>24</v>
      </c>
      <c r="G199" s="172">
        <v>19</v>
      </c>
      <c r="H199" s="172">
        <v>0</v>
      </c>
      <c r="I199" s="172">
        <v>4</v>
      </c>
    </row>
    <row r="200" spans="2:9" hidden="1" x14ac:dyDescent="0.3">
      <c r="B200" s="172" t="s">
        <v>22</v>
      </c>
      <c r="C200" s="172" t="s">
        <v>81</v>
      </c>
      <c r="D200" s="172" t="s">
        <v>221</v>
      </c>
      <c r="E200" s="172">
        <v>8.5576406799386495E-4</v>
      </c>
      <c r="F200" s="172">
        <v>165</v>
      </c>
      <c r="G200" s="172">
        <v>23</v>
      </c>
      <c r="H200" s="172">
        <v>17</v>
      </c>
      <c r="I200" s="172">
        <v>4</v>
      </c>
    </row>
    <row r="201" spans="2:9" hidden="1" x14ac:dyDescent="0.3">
      <c r="B201" s="172" t="s">
        <v>22</v>
      </c>
      <c r="C201" s="172" t="s">
        <v>82</v>
      </c>
      <c r="D201" s="172" t="s">
        <v>221</v>
      </c>
      <c r="E201" s="172">
        <v>8.5865533229058204E-4</v>
      </c>
      <c r="F201" s="172">
        <v>32</v>
      </c>
      <c r="G201" s="172">
        <v>0</v>
      </c>
      <c r="H201" s="172">
        <v>25</v>
      </c>
      <c r="I201" s="172">
        <v>4</v>
      </c>
    </row>
    <row r="202" spans="2:9" hidden="1" x14ac:dyDescent="0.3">
      <c r="B202" s="172" t="s">
        <v>22</v>
      </c>
      <c r="C202" s="172" t="s">
        <v>246</v>
      </c>
      <c r="D202" s="172" t="s">
        <v>218</v>
      </c>
      <c r="E202" s="172">
        <v>2.7343461131465601E-6</v>
      </c>
      <c r="F202" s="172">
        <v>28</v>
      </c>
      <c r="G202" s="172">
        <v>19</v>
      </c>
      <c r="H202" s="172">
        <v>31</v>
      </c>
      <c r="I202" s="172">
        <v>4</v>
      </c>
    </row>
    <row r="203" spans="2:9" hidden="1" x14ac:dyDescent="0.3">
      <c r="B203" s="172" t="s">
        <v>22</v>
      </c>
      <c r="C203" s="172" t="s">
        <v>246</v>
      </c>
      <c r="D203" s="172" t="s">
        <v>221</v>
      </c>
      <c r="E203" s="172">
        <v>4.5585838089467999E-7</v>
      </c>
      <c r="F203" s="172">
        <v>32</v>
      </c>
      <c r="G203" s="172">
        <v>0</v>
      </c>
      <c r="H203" s="172">
        <v>25</v>
      </c>
      <c r="I203" s="172">
        <v>4</v>
      </c>
    </row>
    <row r="204" spans="2:9" hidden="1" x14ac:dyDescent="0.3">
      <c r="B204" s="172"/>
      <c r="C204" s="172"/>
      <c r="D204" s="172"/>
      <c r="E204" s="172"/>
      <c r="F204" s="172"/>
      <c r="G204" s="172"/>
      <c r="H204" s="172"/>
      <c r="I204" s="172"/>
    </row>
    <row r="205" spans="2:9" hidden="1" x14ac:dyDescent="0.3">
      <c r="B205" s="172"/>
      <c r="C205" s="172"/>
      <c r="D205" s="172"/>
      <c r="E205" s="172"/>
      <c r="F205" s="172"/>
      <c r="G205" s="172"/>
      <c r="H205" s="172"/>
      <c r="I205" s="172"/>
    </row>
    <row r="206" spans="2:9" hidden="1" x14ac:dyDescent="0.3">
      <c r="B206" s="172"/>
      <c r="C206" s="172"/>
      <c r="D206" s="172"/>
      <c r="E206" s="172"/>
      <c r="F206" s="172"/>
      <c r="G206" s="172"/>
      <c r="H206" s="172"/>
      <c r="I206" s="172"/>
    </row>
    <row r="207" spans="2:9" hidden="1" x14ac:dyDescent="0.3">
      <c r="B207" s="172"/>
      <c r="C207" s="172"/>
      <c r="D207" s="172"/>
      <c r="E207" s="172"/>
      <c r="F207" s="172"/>
      <c r="G207" s="172"/>
      <c r="H207" s="172"/>
      <c r="I207" s="172"/>
    </row>
    <row r="208" spans="2:9" hidden="1" x14ac:dyDescent="0.3">
      <c r="B208" s="172"/>
      <c r="C208" s="172"/>
      <c r="D208" s="172"/>
      <c r="E208" s="172"/>
      <c r="F208" s="172"/>
      <c r="G208" s="172"/>
      <c r="H208" s="172"/>
      <c r="I208" s="172"/>
    </row>
    <row r="209" spans="2:9" hidden="1" x14ac:dyDescent="0.3">
      <c r="B209" s="172"/>
      <c r="C209" s="172"/>
      <c r="D209" s="172"/>
      <c r="E209" s="172"/>
      <c r="F209" s="172"/>
      <c r="G209" s="172"/>
      <c r="H209" s="172"/>
      <c r="I209" s="172"/>
    </row>
    <row r="210" spans="2:9" hidden="1" x14ac:dyDescent="0.3">
      <c r="B210" s="172"/>
      <c r="C210" s="172"/>
      <c r="D210" s="172"/>
      <c r="E210" s="172"/>
      <c r="F210" s="172"/>
      <c r="G210" s="172"/>
      <c r="H210" s="172"/>
      <c r="I210" s="172"/>
    </row>
    <row r="211" spans="2:9" hidden="1" x14ac:dyDescent="0.3">
      <c r="B211" s="172"/>
      <c r="C211" s="172"/>
      <c r="D211" s="172"/>
      <c r="E211" s="172"/>
      <c r="F211" s="172"/>
      <c r="G211" s="172"/>
      <c r="H211" s="172"/>
      <c r="I211" s="172"/>
    </row>
    <row r="212" spans="2:9" hidden="1" x14ac:dyDescent="0.3">
      <c r="B212" s="172"/>
      <c r="C212" s="172"/>
      <c r="D212" s="172"/>
      <c r="E212" s="172"/>
      <c r="F212" s="172"/>
      <c r="G212" s="172"/>
      <c r="H212" s="172"/>
      <c r="I212" s="172"/>
    </row>
    <row r="213" spans="2:9" hidden="1" x14ac:dyDescent="0.3">
      <c r="B213" s="172"/>
      <c r="C213" s="172"/>
      <c r="D213" s="172"/>
      <c r="E213" s="172"/>
      <c r="F213" s="172"/>
      <c r="G213" s="172"/>
      <c r="H213" s="172"/>
      <c r="I213" s="172"/>
    </row>
    <row r="214" spans="2:9" hidden="1" x14ac:dyDescent="0.3">
      <c r="B214" s="172"/>
      <c r="C214" s="172"/>
      <c r="D214" s="172"/>
      <c r="E214" s="172"/>
      <c r="F214" s="172"/>
      <c r="G214" s="172"/>
      <c r="H214" s="172"/>
      <c r="I214" s="172"/>
    </row>
    <row r="215" spans="2:9" hidden="1" x14ac:dyDescent="0.3">
      <c r="B215" s="172"/>
      <c r="C215" s="172"/>
      <c r="D215" s="172"/>
      <c r="E215" s="172"/>
      <c r="F215" s="172"/>
      <c r="G215" s="172"/>
      <c r="H215" s="172"/>
      <c r="I215" s="172"/>
    </row>
    <row r="216" spans="2:9" hidden="1" x14ac:dyDescent="0.3">
      <c r="B216" s="172"/>
      <c r="C216" s="172"/>
      <c r="D216" s="172"/>
      <c r="E216" s="172"/>
      <c r="F216" s="172"/>
      <c r="G216" s="172"/>
      <c r="H216" s="172"/>
      <c r="I216" s="172"/>
    </row>
    <row r="217" spans="2:9" hidden="1" x14ac:dyDescent="0.3">
      <c r="B217" s="172"/>
      <c r="C217" s="172"/>
      <c r="D217" s="172"/>
      <c r="E217" s="172"/>
      <c r="F217" s="172"/>
      <c r="G217" s="172"/>
      <c r="H217" s="172"/>
      <c r="I217" s="172"/>
    </row>
    <row r="218" spans="2:9" hidden="1" x14ac:dyDescent="0.3">
      <c r="B218" s="172"/>
      <c r="C218" s="172"/>
      <c r="D218" s="172"/>
      <c r="E218" s="172"/>
      <c r="F218" s="172"/>
      <c r="G218" s="172"/>
      <c r="H218" s="172"/>
      <c r="I218" s="172"/>
    </row>
    <row r="219" spans="2:9" hidden="1" x14ac:dyDescent="0.3">
      <c r="B219" s="172"/>
      <c r="C219" s="172"/>
      <c r="D219" s="172"/>
      <c r="E219" s="172"/>
      <c r="F219" s="172"/>
      <c r="G219" s="172"/>
      <c r="H219" s="172"/>
      <c r="I219" s="172"/>
    </row>
    <row r="220" spans="2:9" hidden="1" x14ac:dyDescent="0.3">
      <c r="B220" s="172"/>
      <c r="C220" s="172"/>
      <c r="D220" s="172"/>
      <c r="E220" s="172"/>
      <c r="F220" s="172"/>
      <c r="G220" s="172"/>
      <c r="H220" s="172"/>
      <c r="I220" s="172"/>
    </row>
    <row r="221" spans="2:9" hidden="1" x14ac:dyDescent="0.3">
      <c r="B221" s="172"/>
      <c r="C221" s="172"/>
      <c r="D221" s="172"/>
      <c r="E221" s="172"/>
      <c r="F221" s="172"/>
      <c r="G221" s="172"/>
      <c r="H221" s="172"/>
      <c r="I221" s="172"/>
    </row>
    <row r="222" spans="2:9" hidden="1" x14ac:dyDescent="0.3">
      <c r="B222" s="172"/>
      <c r="C222" s="172"/>
      <c r="D222" s="172"/>
      <c r="E222" s="172"/>
      <c r="F222" s="172"/>
      <c r="G222" s="172"/>
      <c r="H222" s="172"/>
      <c r="I222" s="172"/>
    </row>
    <row r="223" spans="2:9" hidden="1" x14ac:dyDescent="0.3">
      <c r="B223" s="172"/>
      <c r="C223" s="172"/>
      <c r="D223" s="172"/>
      <c r="E223" s="172"/>
      <c r="F223" s="172"/>
      <c r="G223" s="172"/>
      <c r="H223" s="172"/>
      <c r="I223" s="172"/>
    </row>
    <row r="224" spans="2:9" hidden="1" x14ac:dyDescent="0.3">
      <c r="B224" s="172"/>
      <c r="C224" s="172"/>
      <c r="D224" s="172"/>
      <c r="E224" s="172"/>
      <c r="F224" s="172"/>
      <c r="G224" s="172"/>
      <c r="H224" s="172"/>
      <c r="I224" s="172"/>
    </row>
    <row r="225" spans="2:9" hidden="1" x14ac:dyDescent="0.3">
      <c r="B225" s="172"/>
      <c r="C225" s="172"/>
      <c r="D225" s="172"/>
      <c r="E225" s="172"/>
      <c r="F225" s="172"/>
      <c r="G225" s="172"/>
      <c r="H225" s="172"/>
      <c r="I225" s="172"/>
    </row>
    <row r="226" spans="2:9" hidden="1" x14ac:dyDescent="0.3">
      <c r="B226" s="172"/>
      <c r="C226" s="172"/>
      <c r="D226" s="172"/>
      <c r="E226" s="172"/>
      <c r="F226" s="172"/>
      <c r="G226" s="172"/>
      <c r="H226" s="172"/>
      <c r="I226" s="172"/>
    </row>
    <row r="227" spans="2:9" hidden="1" x14ac:dyDescent="0.3">
      <c r="B227" s="172"/>
      <c r="C227" s="172"/>
      <c r="D227" s="172"/>
      <c r="E227" s="172"/>
      <c r="F227" s="172"/>
      <c r="G227" s="172"/>
      <c r="H227" s="172"/>
      <c r="I227" s="172"/>
    </row>
    <row r="228" spans="2:9" hidden="1" x14ac:dyDescent="0.3">
      <c r="B228" s="172"/>
      <c r="C228" s="172"/>
      <c r="D228" s="172"/>
      <c r="E228" s="172"/>
      <c r="F228" s="172"/>
      <c r="G228" s="172"/>
      <c r="H228" s="172"/>
      <c r="I228" s="172"/>
    </row>
    <row r="229" spans="2:9" s="172" customFormat="1" hidden="1" x14ac:dyDescent="0.3"/>
    <row r="230" spans="2:9" hidden="1" x14ac:dyDescent="0.3">
      <c r="B230" s="172"/>
      <c r="C230" s="172"/>
      <c r="D230" s="172"/>
      <c r="E230" s="172"/>
      <c r="F230" s="172"/>
      <c r="G230" s="172"/>
      <c r="H230" s="172"/>
      <c r="I230" s="172"/>
    </row>
    <row r="231" spans="2:9" hidden="1" x14ac:dyDescent="0.3">
      <c r="B231" s="172"/>
      <c r="C231" s="172"/>
      <c r="D231" s="172"/>
      <c r="E231" s="172"/>
      <c r="F231" s="172"/>
      <c r="G231" s="172"/>
      <c r="H231" s="172"/>
      <c r="I231" s="172"/>
    </row>
    <row r="232" spans="2:9" s="172" customFormat="1" hidden="1" x14ac:dyDescent="0.3"/>
    <row r="233" spans="2:9" hidden="1" x14ac:dyDescent="0.3">
      <c r="B233" s="172"/>
      <c r="C233" s="172"/>
      <c r="D233" s="172"/>
      <c r="E233" s="172"/>
      <c r="F233" s="172"/>
      <c r="G233" s="172"/>
      <c r="H233" s="172"/>
      <c r="I233" s="172"/>
    </row>
    <row r="234" spans="2:9" hidden="1" x14ac:dyDescent="0.3">
      <c r="B234" s="172"/>
      <c r="C234" s="172"/>
      <c r="D234" s="172"/>
      <c r="E234" s="172"/>
      <c r="F234" s="172"/>
      <c r="G234" s="172"/>
      <c r="H234" s="172"/>
      <c r="I234" s="172"/>
    </row>
    <row r="235" spans="2:9" s="172" customFormat="1" hidden="1" x14ac:dyDescent="0.3"/>
    <row r="236" spans="2:9" hidden="1" x14ac:dyDescent="0.3">
      <c r="B236" s="172"/>
      <c r="C236" s="172"/>
      <c r="D236" s="172"/>
      <c r="E236" s="172"/>
      <c r="F236" s="172"/>
      <c r="G236" s="172"/>
      <c r="H236" s="172"/>
      <c r="I236" s="172"/>
    </row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s="172" customFormat="1" hidden="1" x14ac:dyDescent="0.3"/>
    <row r="239" spans="2:9" hidden="1" x14ac:dyDescent="0.3">
      <c r="B239" s="172"/>
      <c r="C239" s="172"/>
      <c r="D239" s="172"/>
      <c r="E239" s="172"/>
      <c r="F239" s="172"/>
      <c r="G239" s="172"/>
      <c r="H239" s="172"/>
      <c r="I239" s="172"/>
    </row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s="172" customFormat="1" hidden="1" x14ac:dyDescent="0.3"/>
    <row r="242" spans="2:9" hidden="1" x14ac:dyDescent="0.3">
      <c r="B242" s="172"/>
      <c r="C242" s="172"/>
      <c r="D242" s="172"/>
      <c r="E242" s="172"/>
      <c r="F242" s="172"/>
      <c r="G242" s="172"/>
      <c r="H242" s="172"/>
      <c r="I242" s="172"/>
    </row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s="172" customFormat="1" hidden="1" x14ac:dyDescent="0.3"/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191"/>
      <c r="C268" s="191"/>
      <c r="D268" s="191"/>
      <c r="E268" s="191"/>
      <c r="F268" s="191"/>
      <c r="G268" s="191" t="s">
        <v>7</v>
      </c>
      <c r="H268" s="191" t="s">
        <v>7</v>
      </c>
      <c r="I268" s="192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3.3839460845709401E-4</v>
      </c>
      <c r="F270" s="172">
        <v>165</v>
      </c>
      <c r="G270" s="172">
        <v>23</v>
      </c>
      <c r="H270" s="172">
        <v>17</v>
      </c>
      <c r="I270" s="172">
        <v>38.5</v>
      </c>
    </row>
    <row r="271" spans="2:9" hidden="1" x14ac:dyDescent="0.3">
      <c r="B271" s="172" t="s">
        <v>189</v>
      </c>
      <c r="C271" s="172" t="s">
        <v>80</v>
      </c>
      <c r="D271" s="172" t="s">
        <v>218</v>
      </c>
      <c r="E271" s="172">
        <v>3.2923464750307798E-4</v>
      </c>
      <c r="F271" s="172">
        <v>165</v>
      </c>
      <c r="G271" s="172">
        <v>23</v>
      </c>
      <c r="H271" s="172">
        <v>17</v>
      </c>
      <c r="I271" s="172">
        <v>38.5</v>
      </c>
    </row>
    <row r="272" spans="2:9" s="172" customFormat="1" x14ac:dyDescent="0.3">
      <c r="B272" s="172" t="s">
        <v>189</v>
      </c>
      <c r="C272" s="172" t="s">
        <v>81</v>
      </c>
      <c r="D272" s="172" t="s">
        <v>221</v>
      </c>
      <c r="E272" s="172">
        <v>2.00830203094821E-4</v>
      </c>
      <c r="F272" s="172">
        <v>166</v>
      </c>
      <c r="G272" s="172">
        <v>19</v>
      </c>
      <c r="H272" s="172">
        <v>17</v>
      </c>
      <c r="I272" s="172">
        <v>38.5</v>
      </c>
    </row>
    <row r="273" spans="2:9" hidden="1" x14ac:dyDescent="0.3">
      <c r="B273" s="172" t="s">
        <v>189</v>
      </c>
      <c r="C273" s="172" t="s">
        <v>82</v>
      </c>
      <c r="D273" s="172" t="s">
        <v>221</v>
      </c>
      <c r="E273" s="172">
        <v>1.9407075734898801E-4</v>
      </c>
      <c r="F273" s="172">
        <v>166</v>
      </c>
      <c r="G273" s="172">
        <v>19</v>
      </c>
      <c r="H273" s="172">
        <v>17</v>
      </c>
      <c r="I273" s="172">
        <v>38.5</v>
      </c>
    </row>
    <row r="274" spans="2:9" hidden="1" x14ac:dyDescent="0.3">
      <c r="B274" s="172" t="s">
        <v>189</v>
      </c>
      <c r="C274" s="172" t="s">
        <v>246</v>
      </c>
      <c r="D274" s="172" t="s">
        <v>218</v>
      </c>
      <c r="E274" s="172">
        <v>2.24093114731271E-4</v>
      </c>
      <c r="F274" s="172">
        <v>165</v>
      </c>
      <c r="G274" s="172">
        <v>23</v>
      </c>
      <c r="H274" s="172">
        <v>17</v>
      </c>
      <c r="I274" s="172">
        <v>38.5</v>
      </c>
    </row>
    <row r="275" spans="2:9" hidden="1" x14ac:dyDescent="0.3">
      <c r="B275" s="172" t="s">
        <v>189</v>
      </c>
      <c r="C275" s="172" t="s">
        <v>246</v>
      </c>
      <c r="D275" s="172" t="s">
        <v>221</v>
      </c>
      <c r="E275" s="172">
        <v>9.3502001274295394E-5</v>
      </c>
      <c r="F275" s="172">
        <v>166</v>
      </c>
      <c r="G275" s="172">
        <v>19</v>
      </c>
      <c r="H275" s="172">
        <v>17</v>
      </c>
      <c r="I275" s="172">
        <v>38.5</v>
      </c>
    </row>
    <row r="276" spans="2:9" hidden="1" x14ac:dyDescent="0.3">
      <c r="B276" s="172" t="s">
        <v>187</v>
      </c>
      <c r="C276" s="172" t="s">
        <v>79</v>
      </c>
      <c r="D276" s="172" t="s">
        <v>218</v>
      </c>
      <c r="E276" s="172">
        <v>3.5000520764451602E-4</v>
      </c>
      <c r="F276" s="172">
        <v>96</v>
      </c>
      <c r="G276" s="172">
        <v>23.25</v>
      </c>
      <c r="H276" s="172">
        <v>31.25</v>
      </c>
      <c r="I276" s="172">
        <v>35.5</v>
      </c>
    </row>
    <row r="277" spans="2:9" hidden="1" x14ac:dyDescent="0.3">
      <c r="B277" s="172" t="s">
        <v>187</v>
      </c>
      <c r="C277" s="172" t="s">
        <v>80</v>
      </c>
      <c r="D277" s="172" t="s">
        <v>218</v>
      </c>
      <c r="E277" s="172">
        <v>3.5471387223790499E-4</v>
      </c>
      <c r="F277" s="172">
        <v>97</v>
      </c>
      <c r="G277" s="172">
        <v>23.25</v>
      </c>
      <c r="H277" s="172">
        <v>-0.25</v>
      </c>
      <c r="I277" s="172">
        <v>35.5</v>
      </c>
    </row>
    <row r="278" spans="2:9" x14ac:dyDescent="0.3">
      <c r="B278" s="172" t="s">
        <v>187</v>
      </c>
      <c r="C278" s="172" t="s">
        <v>81</v>
      </c>
      <c r="D278" s="172" t="s">
        <v>221</v>
      </c>
      <c r="E278" s="172">
        <v>3.2068321072022203E-4</v>
      </c>
      <c r="F278" s="172">
        <v>97</v>
      </c>
      <c r="G278" s="172">
        <v>23.25</v>
      </c>
      <c r="H278" s="172">
        <v>-0.25</v>
      </c>
      <c r="I278" s="172">
        <v>35.5</v>
      </c>
    </row>
    <row r="279" spans="2:9" hidden="1" x14ac:dyDescent="0.3">
      <c r="B279" s="172" t="s">
        <v>187</v>
      </c>
      <c r="C279" s="172" t="s">
        <v>82</v>
      </c>
      <c r="D279" s="172" t="s">
        <v>221</v>
      </c>
      <c r="E279" s="172">
        <v>3.2370702677490999E-4</v>
      </c>
      <c r="F279" s="172">
        <v>80</v>
      </c>
      <c r="G279" s="172">
        <v>-0.25</v>
      </c>
      <c r="H279" s="172">
        <v>-0.25</v>
      </c>
      <c r="I279" s="172">
        <v>35.5</v>
      </c>
    </row>
    <row r="280" spans="2:9" hidden="1" x14ac:dyDescent="0.3">
      <c r="B280" s="172" t="s">
        <v>187</v>
      </c>
      <c r="C280" s="172" t="s">
        <v>246</v>
      </c>
      <c r="D280" s="172" t="s">
        <v>218</v>
      </c>
      <c r="E280" s="172">
        <v>2.3400655211913499E-5</v>
      </c>
      <c r="F280" s="172">
        <v>97</v>
      </c>
      <c r="G280" s="172">
        <v>23.25</v>
      </c>
      <c r="H280" s="172">
        <v>-0.25</v>
      </c>
      <c r="I280" s="172">
        <v>35.5</v>
      </c>
    </row>
    <row r="281" spans="2:9" hidden="1" x14ac:dyDescent="0.3">
      <c r="B281" s="172" t="s">
        <v>187</v>
      </c>
      <c r="C281" s="172" t="s">
        <v>246</v>
      </c>
      <c r="D281" s="172" t="s">
        <v>221</v>
      </c>
      <c r="E281" s="172">
        <v>1.7260073586320299E-5</v>
      </c>
      <c r="F281" s="172">
        <v>97</v>
      </c>
      <c r="G281" s="172">
        <v>23.25</v>
      </c>
      <c r="H281" s="172">
        <v>-0.25</v>
      </c>
      <c r="I281" s="172">
        <v>35.5</v>
      </c>
    </row>
    <row r="282" spans="2:9" hidden="1" x14ac:dyDescent="0.3">
      <c r="B282" s="172" t="s">
        <v>185</v>
      </c>
      <c r="C282" s="172" t="s">
        <v>79</v>
      </c>
      <c r="D282" s="172" t="s">
        <v>218</v>
      </c>
      <c r="E282" s="172">
        <v>5.5180264596959997E-4</v>
      </c>
      <c r="F282" s="172">
        <v>96</v>
      </c>
      <c r="G282" s="172">
        <v>23.25</v>
      </c>
      <c r="H282" s="172">
        <v>31.25</v>
      </c>
      <c r="I282" s="172">
        <v>32</v>
      </c>
    </row>
    <row r="283" spans="2:9" hidden="1" x14ac:dyDescent="0.3">
      <c r="B283" s="172" t="s">
        <v>185</v>
      </c>
      <c r="C283" s="172" t="s">
        <v>80</v>
      </c>
      <c r="D283" s="172" t="s">
        <v>218</v>
      </c>
      <c r="E283" s="172">
        <v>5.5937108158358095E-4</v>
      </c>
      <c r="F283" s="172">
        <v>97</v>
      </c>
      <c r="G283" s="172">
        <v>23.25</v>
      </c>
      <c r="H283" s="172">
        <v>-0.25</v>
      </c>
      <c r="I283" s="172">
        <v>32</v>
      </c>
    </row>
    <row r="284" spans="2:9" x14ac:dyDescent="0.3">
      <c r="B284" s="172" t="s">
        <v>185</v>
      </c>
      <c r="C284" s="172" t="s">
        <v>81</v>
      </c>
      <c r="D284" s="172" t="s">
        <v>221</v>
      </c>
      <c r="E284" s="172">
        <v>5.2694252168535797E-4</v>
      </c>
      <c r="F284" s="172">
        <v>97</v>
      </c>
      <c r="G284" s="172">
        <v>23.25</v>
      </c>
      <c r="H284" s="172">
        <v>-0.25</v>
      </c>
      <c r="I284" s="172">
        <v>32</v>
      </c>
    </row>
    <row r="285" spans="2:9" hidden="1" x14ac:dyDescent="0.3">
      <c r="B285" s="172" t="s">
        <v>185</v>
      </c>
      <c r="C285" s="172" t="s">
        <v>82</v>
      </c>
      <c r="D285" s="172" t="s">
        <v>221</v>
      </c>
      <c r="E285" s="172">
        <v>5.4126462384666396E-4</v>
      </c>
      <c r="F285" s="172">
        <v>80</v>
      </c>
      <c r="G285" s="172">
        <v>-0.25</v>
      </c>
      <c r="H285" s="172">
        <v>-0.25</v>
      </c>
      <c r="I285" s="172">
        <v>32</v>
      </c>
    </row>
    <row r="286" spans="2:9" hidden="1" x14ac:dyDescent="0.3">
      <c r="B286" s="172" t="s">
        <v>185</v>
      </c>
      <c r="C286" s="172" t="s">
        <v>246</v>
      </c>
      <c r="D286" s="172" t="s">
        <v>218</v>
      </c>
      <c r="E286" s="172">
        <v>2.50708081172086E-5</v>
      </c>
      <c r="F286" s="172">
        <v>97</v>
      </c>
      <c r="G286" s="172">
        <v>23.25</v>
      </c>
      <c r="H286" s="172">
        <v>-0.25</v>
      </c>
      <c r="I286" s="172">
        <v>32</v>
      </c>
    </row>
    <row r="287" spans="2:9" hidden="1" x14ac:dyDescent="0.3">
      <c r="B287" s="172" t="s">
        <v>185</v>
      </c>
      <c r="C287" s="172" t="s">
        <v>246</v>
      </c>
      <c r="D287" s="172" t="s">
        <v>221</v>
      </c>
      <c r="E287" s="172">
        <v>1.9334420837847899E-5</v>
      </c>
      <c r="F287" s="172">
        <v>97</v>
      </c>
      <c r="G287" s="172">
        <v>23.25</v>
      </c>
      <c r="H287" s="172">
        <v>-0.25</v>
      </c>
      <c r="I287" s="172">
        <v>32</v>
      </c>
    </row>
    <row r="288" spans="2:9" hidden="1" x14ac:dyDescent="0.3">
      <c r="B288" s="172" t="s">
        <v>183</v>
      </c>
      <c r="C288" s="172" t="s">
        <v>79</v>
      </c>
      <c r="D288" s="172" t="s">
        <v>218</v>
      </c>
      <c r="E288" s="172">
        <v>7.4022406051532695E-4</v>
      </c>
      <c r="F288" s="172">
        <v>96</v>
      </c>
      <c r="G288" s="172">
        <v>23.25</v>
      </c>
      <c r="H288" s="172">
        <v>31.25</v>
      </c>
      <c r="I288" s="172">
        <v>28.5</v>
      </c>
    </row>
    <row r="289" spans="2:9" hidden="1" x14ac:dyDescent="0.3">
      <c r="B289" s="172" t="s">
        <v>183</v>
      </c>
      <c r="C289" s="172" t="s">
        <v>80</v>
      </c>
      <c r="D289" s="172" t="s">
        <v>218</v>
      </c>
      <c r="E289" s="172">
        <v>7.5105759271122902E-4</v>
      </c>
      <c r="F289" s="172">
        <v>97</v>
      </c>
      <c r="G289" s="172">
        <v>23.25</v>
      </c>
      <c r="H289" s="172">
        <v>-0.25</v>
      </c>
      <c r="I289" s="172">
        <v>28.5</v>
      </c>
    </row>
    <row r="290" spans="2:9" x14ac:dyDescent="0.3">
      <c r="B290" s="172" t="s">
        <v>183</v>
      </c>
      <c r="C290" s="172" t="s">
        <v>81</v>
      </c>
      <c r="D290" s="172" t="s">
        <v>221</v>
      </c>
      <c r="E290" s="172">
        <v>7.2241981363536695E-4</v>
      </c>
      <c r="F290" s="172">
        <v>97</v>
      </c>
      <c r="G290" s="172">
        <v>23.25</v>
      </c>
      <c r="H290" s="172">
        <v>-0.25</v>
      </c>
      <c r="I290" s="172">
        <v>28.5</v>
      </c>
    </row>
    <row r="291" spans="2:9" hidden="1" x14ac:dyDescent="0.3">
      <c r="B291" s="172" t="s">
        <v>183</v>
      </c>
      <c r="C291" s="172" t="s">
        <v>82</v>
      </c>
      <c r="D291" s="172" t="s">
        <v>221</v>
      </c>
      <c r="E291" s="172">
        <v>7.5019877551273605E-4</v>
      </c>
      <c r="F291" s="172">
        <v>80</v>
      </c>
      <c r="G291" s="172">
        <v>-0.25</v>
      </c>
      <c r="H291" s="172">
        <v>-0.25</v>
      </c>
      <c r="I291" s="172">
        <v>28.5</v>
      </c>
    </row>
    <row r="292" spans="2:9" hidden="1" x14ac:dyDescent="0.3">
      <c r="B292" s="172" t="s">
        <v>183</v>
      </c>
      <c r="C292" s="172" t="s">
        <v>246</v>
      </c>
      <c r="D292" s="172" t="s">
        <v>218</v>
      </c>
      <c r="E292" s="172">
        <v>2.4244395750859001E-5</v>
      </c>
      <c r="F292" s="172">
        <v>97</v>
      </c>
      <c r="G292" s="172">
        <v>23.25</v>
      </c>
      <c r="H292" s="172">
        <v>-0.25</v>
      </c>
      <c r="I292" s="172">
        <v>28.5</v>
      </c>
    </row>
    <row r="293" spans="2:9" hidden="1" x14ac:dyDescent="0.3">
      <c r="B293" s="172" t="s">
        <v>183</v>
      </c>
      <c r="C293" s="172" t="s">
        <v>246</v>
      </c>
      <c r="D293" s="172" t="s">
        <v>221</v>
      </c>
      <c r="E293" s="172">
        <v>1.8446859065714201E-5</v>
      </c>
      <c r="F293" s="172">
        <v>97</v>
      </c>
      <c r="G293" s="172">
        <v>23.25</v>
      </c>
      <c r="H293" s="172">
        <v>-0.25</v>
      </c>
      <c r="I293" s="172">
        <v>28.5</v>
      </c>
    </row>
    <row r="294" spans="2:9" hidden="1" x14ac:dyDescent="0.3">
      <c r="B294" s="172" t="s">
        <v>181</v>
      </c>
      <c r="C294" s="172" t="s">
        <v>79</v>
      </c>
      <c r="D294" s="172" t="s">
        <v>218</v>
      </c>
      <c r="E294" s="172">
        <v>8.9822879860787096E-4</v>
      </c>
      <c r="F294" s="172">
        <v>96</v>
      </c>
      <c r="G294" s="172">
        <v>23.25</v>
      </c>
      <c r="H294" s="172">
        <v>31.25</v>
      </c>
      <c r="I294" s="172">
        <v>25</v>
      </c>
    </row>
    <row r="295" spans="2:9" hidden="1" x14ac:dyDescent="0.3">
      <c r="B295" s="172" t="s">
        <v>181</v>
      </c>
      <c r="C295" s="172" t="s">
        <v>80</v>
      </c>
      <c r="D295" s="172" t="s">
        <v>218</v>
      </c>
      <c r="E295" s="172">
        <v>9.1197697180279503E-4</v>
      </c>
      <c r="F295" s="172">
        <v>97</v>
      </c>
      <c r="G295" s="172">
        <v>23.25</v>
      </c>
      <c r="H295" s="172">
        <v>-0.25</v>
      </c>
      <c r="I295" s="172">
        <v>25</v>
      </c>
    </row>
    <row r="296" spans="2:9" x14ac:dyDescent="0.3">
      <c r="B296" s="172" t="s">
        <v>181</v>
      </c>
      <c r="C296" s="172" t="s">
        <v>81</v>
      </c>
      <c r="D296" s="172" t="s">
        <v>221</v>
      </c>
      <c r="E296" s="172">
        <v>8.8821224429016599E-4</v>
      </c>
      <c r="F296" s="172">
        <v>97</v>
      </c>
      <c r="G296" s="172">
        <v>23.25</v>
      </c>
      <c r="H296" s="172">
        <v>-0.25</v>
      </c>
      <c r="I296" s="172">
        <v>25</v>
      </c>
    </row>
    <row r="297" spans="2:9" hidden="1" x14ac:dyDescent="0.3">
      <c r="B297" s="172" t="s">
        <v>181</v>
      </c>
      <c r="C297" s="172" t="s">
        <v>82</v>
      </c>
      <c r="D297" s="172" t="s">
        <v>221</v>
      </c>
      <c r="E297" s="172">
        <v>9.2785711736680597E-4</v>
      </c>
      <c r="F297" s="172">
        <v>80</v>
      </c>
      <c r="G297" s="172">
        <v>-0.25</v>
      </c>
      <c r="H297" s="172">
        <v>-0.25</v>
      </c>
      <c r="I297" s="172">
        <v>25</v>
      </c>
    </row>
    <row r="298" spans="2:9" hidden="1" x14ac:dyDescent="0.3">
      <c r="B298" s="172" t="s">
        <v>181</v>
      </c>
      <c r="C298" s="172" t="s">
        <v>246</v>
      </c>
      <c r="D298" s="172" t="s">
        <v>218</v>
      </c>
      <c r="E298" s="172">
        <v>2.2783379993669701E-5</v>
      </c>
      <c r="F298" s="172">
        <v>97</v>
      </c>
      <c r="G298" s="172">
        <v>23.25</v>
      </c>
      <c r="H298" s="172">
        <v>-0.25</v>
      </c>
      <c r="I298" s="172">
        <v>25</v>
      </c>
    </row>
    <row r="299" spans="2:9" hidden="1" x14ac:dyDescent="0.3">
      <c r="B299" s="172" t="s">
        <v>181</v>
      </c>
      <c r="C299" s="172" t="s">
        <v>246</v>
      </c>
      <c r="D299" s="172" t="s">
        <v>221</v>
      </c>
      <c r="E299" s="172">
        <v>1.68349141963792E-5</v>
      </c>
      <c r="F299" s="172">
        <v>97</v>
      </c>
      <c r="G299" s="172">
        <v>23.25</v>
      </c>
      <c r="H299" s="172">
        <v>-0.25</v>
      </c>
      <c r="I299" s="172">
        <v>25</v>
      </c>
    </row>
    <row r="300" spans="2:9" hidden="1" x14ac:dyDescent="0.3">
      <c r="B300" s="172" t="s">
        <v>179</v>
      </c>
      <c r="C300" s="172" t="s">
        <v>79</v>
      </c>
      <c r="D300" s="172" t="s">
        <v>218</v>
      </c>
      <c r="E300" s="172">
        <v>1.02076154632551E-3</v>
      </c>
      <c r="F300" s="172">
        <v>96</v>
      </c>
      <c r="G300" s="172">
        <v>23.25</v>
      </c>
      <c r="H300" s="172">
        <v>31.25</v>
      </c>
      <c r="I300" s="172">
        <v>21.5</v>
      </c>
    </row>
    <row r="301" spans="2:9" hidden="1" x14ac:dyDescent="0.3">
      <c r="B301" s="172" t="s">
        <v>179</v>
      </c>
      <c r="C301" s="172" t="s">
        <v>80</v>
      </c>
      <c r="D301" s="172" t="s">
        <v>218</v>
      </c>
      <c r="E301" s="172">
        <v>1.03667906155844E-3</v>
      </c>
      <c r="F301" s="172">
        <v>97</v>
      </c>
      <c r="G301" s="172">
        <v>23.25</v>
      </c>
      <c r="H301" s="172">
        <v>-0.25</v>
      </c>
      <c r="I301" s="172">
        <v>21.5</v>
      </c>
    </row>
    <row r="302" spans="2:9" x14ac:dyDescent="0.3">
      <c r="B302" s="172" t="s">
        <v>179</v>
      </c>
      <c r="C302" s="172" t="s">
        <v>81</v>
      </c>
      <c r="D302" s="172" t="s">
        <v>221</v>
      </c>
      <c r="E302" s="172">
        <v>1.0185661065505701E-3</v>
      </c>
      <c r="F302" s="172">
        <v>97</v>
      </c>
      <c r="G302" s="172">
        <v>23.25</v>
      </c>
      <c r="H302" s="172">
        <v>-0.25</v>
      </c>
      <c r="I302" s="172">
        <v>21.5</v>
      </c>
    </row>
    <row r="303" spans="2:9" hidden="1" x14ac:dyDescent="0.3">
      <c r="B303" s="172" t="s">
        <v>179</v>
      </c>
      <c r="C303" s="172" t="s">
        <v>82</v>
      </c>
      <c r="D303" s="172" t="s">
        <v>221</v>
      </c>
      <c r="E303" s="172">
        <v>1.0663535432818001E-3</v>
      </c>
      <c r="F303" s="172">
        <v>80</v>
      </c>
      <c r="G303" s="172">
        <v>-0.25</v>
      </c>
      <c r="H303" s="172">
        <v>-0.25</v>
      </c>
      <c r="I303" s="172">
        <v>21.5</v>
      </c>
    </row>
    <row r="304" spans="2:9" hidden="1" x14ac:dyDescent="0.3">
      <c r="B304" s="172" t="s">
        <v>179</v>
      </c>
      <c r="C304" s="172" t="s">
        <v>246</v>
      </c>
      <c r="D304" s="172" t="s">
        <v>218</v>
      </c>
      <c r="E304" s="172">
        <v>2.0737616374677801E-5</v>
      </c>
      <c r="F304" s="172">
        <v>97</v>
      </c>
      <c r="G304" s="172">
        <v>23.25</v>
      </c>
      <c r="H304" s="172">
        <v>-0.25</v>
      </c>
      <c r="I304" s="172">
        <v>21.5</v>
      </c>
    </row>
    <row r="305" spans="2:9" hidden="1" x14ac:dyDescent="0.3">
      <c r="B305" s="172" t="s">
        <v>179</v>
      </c>
      <c r="C305" s="172" t="s">
        <v>246</v>
      </c>
      <c r="D305" s="172" t="s">
        <v>221</v>
      </c>
      <c r="E305" s="172">
        <v>1.4743548997491999E-5</v>
      </c>
      <c r="F305" s="172">
        <v>97</v>
      </c>
      <c r="G305" s="172">
        <v>23.25</v>
      </c>
      <c r="H305" s="172">
        <v>-0.25</v>
      </c>
      <c r="I305" s="172">
        <v>21.5</v>
      </c>
    </row>
    <row r="306" spans="2:9" hidden="1" x14ac:dyDescent="0.3">
      <c r="B306" s="172" t="s">
        <v>39</v>
      </c>
      <c r="C306" s="172" t="s">
        <v>79</v>
      </c>
      <c r="D306" s="172" t="s">
        <v>218</v>
      </c>
      <c r="E306" s="172">
        <v>1.07312589003806E-3</v>
      </c>
      <c r="F306" s="172">
        <v>96</v>
      </c>
      <c r="G306" s="172">
        <v>23.25</v>
      </c>
      <c r="H306" s="172">
        <v>31.25</v>
      </c>
      <c r="I306" s="172">
        <v>18</v>
      </c>
    </row>
    <row r="307" spans="2:9" hidden="1" x14ac:dyDescent="0.3">
      <c r="B307" s="172" t="s">
        <v>39</v>
      </c>
      <c r="C307" s="172" t="s">
        <v>80</v>
      </c>
      <c r="D307" s="172" t="s">
        <v>218</v>
      </c>
      <c r="E307" s="172">
        <v>1.08865796788846E-3</v>
      </c>
      <c r="F307" s="172">
        <v>97</v>
      </c>
      <c r="G307" s="172">
        <v>23.25</v>
      </c>
      <c r="H307" s="172">
        <v>-0.25</v>
      </c>
      <c r="I307" s="172">
        <v>18</v>
      </c>
    </row>
    <row r="308" spans="2:9" x14ac:dyDescent="0.3">
      <c r="B308" s="172" t="s">
        <v>39</v>
      </c>
      <c r="C308" s="172" t="s">
        <v>81</v>
      </c>
      <c r="D308" s="172" t="s">
        <v>221</v>
      </c>
      <c r="E308" s="172">
        <v>1.08015135190698E-3</v>
      </c>
      <c r="F308" s="172">
        <v>97</v>
      </c>
      <c r="G308" s="172">
        <v>23.25</v>
      </c>
      <c r="H308" s="172">
        <v>-0.25</v>
      </c>
      <c r="I308" s="172">
        <v>18</v>
      </c>
    </row>
    <row r="309" spans="2:9" hidden="1" x14ac:dyDescent="0.3">
      <c r="B309" s="172" t="s">
        <v>39</v>
      </c>
      <c r="C309" s="172" t="s">
        <v>82</v>
      </c>
      <c r="D309" s="172" t="s">
        <v>221</v>
      </c>
      <c r="E309" s="172">
        <v>1.12827834383138E-3</v>
      </c>
      <c r="F309" s="172">
        <v>80</v>
      </c>
      <c r="G309" s="172">
        <v>-0.25</v>
      </c>
      <c r="H309" s="172">
        <v>-0.25</v>
      </c>
      <c r="I309" s="172">
        <v>18</v>
      </c>
    </row>
    <row r="310" spans="2:9" hidden="1" x14ac:dyDescent="0.3">
      <c r="B310" s="172" t="s">
        <v>39</v>
      </c>
      <c r="C310" s="172" t="s">
        <v>246</v>
      </c>
      <c r="D310" s="172" t="s">
        <v>218</v>
      </c>
      <c r="E310" s="172">
        <v>1.7779671330850699E-5</v>
      </c>
      <c r="F310" s="172">
        <v>97</v>
      </c>
      <c r="G310" s="172">
        <v>23.25</v>
      </c>
      <c r="H310" s="172">
        <v>-0.25</v>
      </c>
      <c r="I310" s="172">
        <v>18</v>
      </c>
    </row>
    <row r="311" spans="2:9" hidden="1" x14ac:dyDescent="0.3">
      <c r="B311" s="172" t="s">
        <v>39</v>
      </c>
      <c r="C311" s="172" t="s">
        <v>246</v>
      </c>
      <c r="D311" s="172" t="s">
        <v>221</v>
      </c>
      <c r="E311" s="172">
        <v>1.23412206110278E-5</v>
      </c>
      <c r="F311" s="172">
        <v>97</v>
      </c>
      <c r="G311" s="172">
        <v>23.25</v>
      </c>
      <c r="H311" s="172">
        <v>-0.25</v>
      </c>
      <c r="I311" s="172">
        <v>18</v>
      </c>
    </row>
    <row r="312" spans="2:9" hidden="1" x14ac:dyDescent="0.3">
      <c r="B312" s="172" t="s">
        <v>26</v>
      </c>
      <c r="C312" s="172" t="s">
        <v>79</v>
      </c>
      <c r="D312" s="172" t="s">
        <v>218</v>
      </c>
      <c r="E312" s="172">
        <v>1.1018315117363501E-3</v>
      </c>
      <c r="F312" s="172">
        <v>96</v>
      </c>
      <c r="G312" s="172">
        <v>23.25</v>
      </c>
      <c r="H312" s="172">
        <v>31.25</v>
      </c>
      <c r="I312" s="172">
        <v>14.5</v>
      </c>
    </row>
    <row r="313" spans="2:9" hidden="1" x14ac:dyDescent="0.3">
      <c r="B313" s="172" t="s">
        <v>26</v>
      </c>
      <c r="C313" s="172" t="s">
        <v>80</v>
      </c>
      <c r="D313" s="172" t="s">
        <v>218</v>
      </c>
      <c r="E313" s="172">
        <v>1.1165937743355899E-3</v>
      </c>
      <c r="F313" s="172">
        <v>97</v>
      </c>
      <c r="G313" s="172">
        <v>23.25</v>
      </c>
      <c r="H313" s="172">
        <v>-0.25</v>
      </c>
      <c r="I313" s="172">
        <v>14.5</v>
      </c>
    </row>
    <row r="314" spans="2:9" x14ac:dyDescent="0.3">
      <c r="B314" s="172" t="s">
        <v>26</v>
      </c>
      <c r="C314" s="172" t="s">
        <v>81</v>
      </c>
      <c r="D314" s="172" t="s">
        <v>221</v>
      </c>
      <c r="E314" s="172">
        <v>1.1194507587522101E-3</v>
      </c>
      <c r="F314" s="172">
        <v>97</v>
      </c>
      <c r="G314" s="172">
        <v>23.25</v>
      </c>
      <c r="H314" s="172">
        <v>-0.25</v>
      </c>
      <c r="I314" s="172">
        <v>14.5</v>
      </c>
    </row>
    <row r="315" spans="2:9" hidden="1" x14ac:dyDescent="0.3">
      <c r="B315" s="172" t="s">
        <v>26</v>
      </c>
      <c r="C315" s="172" t="s">
        <v>82</v>
      </c>
      <c r="D315" s="172" t="s">
        <v>221</v>
      </c>
      <c r="E315" s="172">
        <v>1.16577688633869E-3</v>
      </c>
      <c r="F315" s="172">
        <v>80</v>
      </c>
      <c r="G315" s="172">
        <v>-0.25</v>
      </c>
      <c r="H315" s="172">
        <v>-0.25</v>
      </c>
      <c r="I315" s="172">
        <v>14.5</v>
      </c>
    </row>
    <row r="316" spans="2:9" hidden="1" x14ac:dyDescent="0.3">
      <c r="B316" s="172" t="s">
        <v>26</v>
      </c>
      <c r="C316" s="172" t="s">
        <v>246</v>
      </c>
      <c r="D316" s="172" t="s">
        <v>218</v>
      </c>
      <c r="E316" s="172">
        <v>1.4318690693079E-5</v>
      </c>
      <c r="F316" s="172">
        <v>97</v>
      </c>
      <c r="G316" s="172">
        <v>23.25</v>
      </c>
      <c r="H316" s="172">
        <v>-0.25</v>
      </c>
      <c r="I316" s="172">
        <v>14.5</v>
      </c>
    </row>
    <row r="317" spans="2:9" hidden="1" x14ac:dyDescent="0.3">
      <c r="B317" s="172" t="s">
        <v>26</v>
      </c>
      <c r="C317" s="172" t="s">
        <v>246</v>
      </c>
      <c r="D317" s="172" t="s">
        <v>221</v>
      </c>
      <c r="E317" s="172">
        <v>9.3919886498480204E-6</v>
      </c>
      <c r="F317" s="172">
        <v>97</v>
      </c>
      <c r="G317" s="172">
        <v>23.25</v>
      </c>
      <c r="H317" s="172">
        <v>-0.25</v>
      </c>
      <c r="I317" s="172">
        <v>14.5</v>
      </c>
    </row>
    <row r="318" spans="2:9" hidden="1" x14ac:dyDescent="0.3">
      <c r="B318" s="172" t="s">
        <v>25</v>
      </c>
      <c r="C318" s="172" t="s">
        <v>79</v>
      </c>
      <c r="D318" s="172" t="s">
        <v>218</v>
      </c>
      <c r="E318" s="172">
        <v>1.15026133797418E-3</v>
      </c>
      <c r="F318" s="172">
        <v>96</v>
      </c>
      <c r="G318" s="172">
        <v>23.25</v>
      </c>
      <c r="H318" s="172">
        <v>31.25</v>
      </c>
      <c r="I318" s="172">
        <v>11</v>
      </c>
    </row>
    <row r="319" spans="2:9" hidden="1" x14ac:dyDescent="0.3">
      <c r="B319" s="172" t="s">
        <v>25</v>
      </c>
      <c r="C319" s="172" t="s">
        <v>80</v>
      </c>
      <c r="D319" s="172" t="s">
        <v>218</v>
      </c>
      <c r="E319" s="172">
        <v>1.16584796602407E-3</v>
      </c>
      <c r="F319" s="172">
        <v>97</v>
      </c>
      <c r="G319" s="172">
        <v>23.25</v>
      </c>
      <c r="H319" s="172">
        <v>-0.25</v>
      </c>
      <c r="I319" s="172">
        <v>11</v>
      </c>
    </row>
    <row r="320" spans="2:9" x14ac:dyDescent="0.3">
      <c r="B320" s="172" t="s">
        <v>25</v>
      </c>
      <c r="C320" s="172" t="s">
        <v>81</v>
      </c>
      <c r="D320" s="172" t="s">
        <v>221</v>
      </c>
      <c r="E320" s="172">
        <v>1.18304220581932E-3</v>
      </c>
      <c r="F320" s="172">
        <v>97</v>
      </c>
      <c r="G320" s="172">
        <v>23.25</v>
      </c>
      <c r="H320" s="172">
        <v>-0.25</v>
      </c>
      <c r="I320" s="172">
        <v>11</v>
      </c>
    </row>
    <row r="321" spans="2:9" hidden="1" x14ac:dyDescent="0.3">
      <c r="B321" s="172" t="s">
        <v>25</v>
      </c>
      <c r="C321" s="172" t="s">
        <v>82</v>
      </c>
      <c r="D321" s="172" t="s">
        <v>221</v>
      </c>
      <c r="E321" s="172">
        <v>1.22489647214065E-3</v>
      </c>
      <c r="F321" s="172">
        <v>80</v>
      </c>
      <c r="G321" s="172">
        <v>-0.25</v>
      </c>
      <c r="H321" s="172">
        <v>-0.25</v>
      </c>
      <c r="I321" s="172">
        <v>11</v>
      </c>
    </row>
    <row r="322" spans="2:9" hidden="1" x14ac:dyDescent="0.3">
      <c r="B322" s="172" t="s">
        <v>25</v>
      </c>
      <c r="C322" s="172" t="s">
        <v>246</v>
      </c>
      <c r="D322" s="172" t="s">
        <v>218</v>
      </c>
      <c r="E322" s="172">
        <v>1.0570076578179801E-5</v>
      </c>
      <c r="F322" s="172">
        <v>97</v>
      </c>
      <c r="G322" s="172">
        <v>23.25</v>
      </c>
      <c r="H322" s="172">
        <v>-0.25</v>
      </c>
      <c r="I322" s="172">
        <v>11</v>
      </c>
    </row>
    <row r="323" spans="2:9" hidden="1" x14ac:dyDescent="0.3">
      <c r="B323" s="172" t="s">
        <v>25</v>
      </c>
      <c r="C323" s="172" t="s">
        <v>246</v>
      </c>
      <c r="D323" s="172" t="s">
        <v>221</v>
      </c>
      <c r="E323" s="172">
        <v>5.5184822121298798E-6</v>
      </c>
      <c r="F323" s="172">
        <v>97</v>
      </c>
      <c r="G323" s="172">
        <v>23.25</v>
      </c>
      <c r="H323" s="172">
        <v>-0.25</v>
      </c>
      <c r="I323" s="172">
        <v>11</v>
      </c>
    </row>
    <row r="324" spans="2:9" hidden="1" x14ac:dyDescent="0.3">
      <c r="B324" s="172" t="s">
        <v>24</v>
      </c>
      <c r="C324" s="172" t="s">
        <v>79</v>
      </c>
      <c r="D324" s="172" t="s">
        <v>218</v>
      </c>
      <c r="E324" s="172">
        <v>1.1565303187614799E-3</v>
      </c>
      <c r="F324" s="172">
        <v>96</v>
      </c>
      <c r="G324" s="172">
        <v>23.25</v>
      </c>
      <c r="H324" s="172">
        <v>31.25</v>
      </c>
      <c r="I324" s="172">
        <v>7.5</v>
      </c>
    </row>
    <row r="325" spans="2:9" hidden="1" x14ac:dyDescent="0.3">
      <c r="B325" s="172" t="s">
        <v>24</v>
      </c>
      <c r="C325" s="172" t="s">
        <v>80</v>
      </c>
      <c r="D325" s="172" t="s">
        <v>218</v>
      </c>
      <c r="E325" s="172">
        <v>1.1731157504251599E-3</v>
      </c>
      <c r="F325" s="172">
        <v>97</v>
      </c>
      <c r="G325" s="172">
        <v>23.25</v>
      </c>
      <c r="H325" s="172">
        <v>-0.25</v>
      </c>
      <c r="I325" s="172">
        <v>7.5</v>
      </c>
    </row>
    <row r="326" spans="2:9" x14ac:dyDescent="0.3">
      <c r="B326" s="172" t="s">
        <v>24</v>
      </c>
      <c r="C326" s="172" t="s">
        <v>81</v>
      </c>
      <c r="D326" s="172" t="s">
        <v>221</v>
      </c>
      <c r="E326" s="172">
        <v>1.1916981789367399E-3</v>
      </c>
      <c r="F326" s="172">
        <v>97</v>
      </c>
      <c r="G326" s="172">
        <v>23.25</v>
      </c>
      <c r="H326" s="172">
        <v>-0.25</v>
      </c>
      <c r="I326" s="172">
        <v>7.5</v>
      </c>
    </row>
    <row r="327" spans="2:9" hidden="1" x14ac:dyDescent="0.3">
      <c r="B327" s="172" t="s">
        <v>24</v>
      </c>
      <c r="C327" s="172" t="s">
        <v>82</v>
      </c>
      <c r="D327" s="172" t="s">
        <v>221</v>
      </c>
      <c r="E327" s="172">
        <v>1.2285906373805E-3</v>
      </c>
      <c r="F327" s="172">
        <v>80</v>
      </c>
      <c r="G327" s="172">
        <v>-0.25</v>
      </c>
      <c r="H327" s="172">
        <v>-0.25</v>
      </c>
      <c r="I327" s="172">
        <v>7.5</v>
      </c>
    </row>
    <row r="328" spans="2:9" hidden="1" x14ac:dyDescent="0.3">
      <c r="B328" s="172" t="s">
        <v>24</v>
      </c>
      <c r="C328" s="172" t="s">
        <v>246</v>
      </c>
      <c r="D328" s="172" t="s">
        <v>218</v>
      </c>
      <c r="E328" s="172">
        <v>6.55588961109708E-6</v>
      </c>
      <c r="F328" s="172">
        <v>96</v>
      </c>
      <c r="G328" s="172">
        <v>23.25</v>
      </c>
      <c r="H328" s="172">
        <v>31.25</v>
      </c>
      <c r="I328" s="172">
        <v>7.5</v>
      </c>
    </row>
    <row r="329" spans="2:9" hidden="1" x14ac:dyDescent="0.3">
      <c r="B329" s="172" t="s">
        <v>24</v>
      </c>
      <c r="C329" s="172" t="s">
        <v>246</v>
      </c>
      <c r="D329" s="172" t="s">
        <v>221</v>
      </c>
      <c r="E329" s="172">
        <v>1.4469573945626301E-6</v>
      </c>
      <c r="F329" s="172">
        <v>80</v>
      </c>
      <c r="G329" s="172">
        <v>-0.25</v>
      </c>
      <c r="H329" s="172">
        <v>-0.25</v>
      </c>
      <c r="I329" s="172">
        <v>7.5</v>
      </c>
    </row>
    <row r="330" spans="2:9" hidden="1" x14ac:dyDescent="0.3">
      <c r="B330" s="172" t="s">
        <v>22</v>
      </c>
      <c r="C330" s="172" t="s">
        <v>79</v>
      </c>
      <c r="D330" s="172" t="s">
        <v>218</v>
      </c>
      <c r="E330" s="172">
        <v>8.4979817938368198E-4</v>
      </c>
      <c r="F330" s="172">
        <v>28</v>
      </c>
      <c r="G330" s="172">
        <v>19</v>
      </c>
      <c r="H330" s="172">
        <v>31</v>
      </c>
      <c r="I330" s="172">
        <v>4</v>
      </c>
    </row>
    <row r="331" spans="2:9" hidden="1" x14ac:dyDescent="0.3">
      <c r="B331" s="172" t="s">
        <v>22</v>
      </c>
      <c r="C331" s="172" t="s">
        <v>80</v>
      </c>
      <c r="D331" s="172" t="s">
        <v>218</v>
      </c>
      <c r="E331" s="172">
        <v>8.6255477881700695E-4</v>
      </c>
      <c r="F331" s="172">
        <v>24</v>
      </c>
      <c r="G331" s="172">
        <v>19</v>
      </c>
      <c r="H331" s="172">
        <v>0</v>
      </c>
      <c r="I331" s="172">
        <v>4</v>
      </c>
    </row>
    <row r="332" spans="2:9" x14ac:dyDescent="0.3">
      <c r="B332" s="172" t="s">
        <v>22</v>
      </c>
      <c r="C332" s="172" t="s">
        <v>81</v>
      </c>
      <c r="D332" s="172" t="s">
        <v>221</v>
      </c>
      <c r="E332" s="172">
        <v>8.5576406799386495E-4</v>
      </c>
      <c r="F332" s="172">
        <v>165</v>
      </c>
      <c r="G332" s="172">
        <v>23</v>
      </c>
      <c r="H332" s="172">
        <v>17</v>
      </c>
      <c r="I332" s="172">
        <v>4</v>
      </c>
    </row>
    <row r="333" spans="2:9" hidden="1" x14ac:dyDescent="0.3">
      <c r="B333" s="172" t="s">
        <v>22</v>
      </c>
      <c r="C333" s="172" t="s">
        <v>82</v>
      </c>
      <c r="D333" s="172" t="s">
        <v>221</v>
      </c>
      <c r="E333" s="172">
        <v>8.5865533229058204E-4</v>
      </c>
      <c r="F333" s="172">
        <v>32</v>
      </c>
      <c r="G333" s="172">
        <v>0</v>
      </c>
      <c r="H333" s="172">
        <v>25</v>
      </c>
      <c r="I333" s="172">
        <v>4</v>
      </c>
    </row>
    <row r="334" spans="2:9" hidden="1" x14ac:dyDescent="0.3">
      <c r="B334" s="172" t="s">
        <v>22</v>
      </c>
      <c r="C334" s="172" t="s">
        <v>246</v>
      </c>
      <c r="D334" s="172" t="s">
        <v>218</v>
      </c>
      <c r="E334" s="172">
        <v>2.7343461131465601E-6</v>
      </c>
      <c r="F334" s="172">
        <v>28</v>
      </c>
      <c r="G334" s="172">
        <v>19</v>
      </c>
      <c r="H334" s="172">
        <v>31</v>
      </c>
      <c r="I334" s="172">
        <v>4</v>
      </c>
    </row>
    <row r="335" spans="2:9" hidden="1" x14ac:dyDescent="0.3">
      <c r="B335" s="172" t="s">
        <v>22</v>
      </c>
      <c r="C335" s="172" t="s">
        <v>246</v>
      </c>
      <c r="D335" s="172" t="s">
        <v>221</v>
      </c>
      <c r="E335" s="172">
        <v>4.5585838089467999E-7</v>
      </c>
      <c r="F335" s="172">
        <v>32</v>
      </c>
      <c r="G335" s="172">
        <v>0</v>
      </c>
      <c r="H335" s="172">
        <v>25</v>
      </c>
      <c r="I335" s="172">
        <v>4</v>
      </c>
    </row>
    <row r="336" spans="2:9" hidden="1" x14ac:dyDescent="0.3">
      <c r="B336" s="172"/>
      <c r="C336" s="172"/>
      <c r="D336" s="172"/>
      <c r="E336" s="172"/>
      <c r="F336" s="172"/>
      <c r="G336" s="172"/>
      <c r="H336" s="172"/>
      <c r="I336" s="172"/>
    </row>
    <row r="337" spans="2:9" hidden="1" x14ac:dyDescent="0.3">
      <c r="B337" s="172"/>
      <c r="C337" s="172"/>
      <c r="D337" s="172"/>
      <c r="E337" s="172"/>
      <c r="F337" s="172"/>
      <c r="G337" s="172"/>
      <c r="H337" s="172"/>
      <c r="I337" s="172"/>
    </row>
    <row r="338" spans="2:9" hidden="1" x14ac:dyDescent="0.3">
      <c r="B338" s="172"/>
      <c r="C338" s="172"/>
      <c r="D338" s="172"/>
      <c r="E338" s="172"/>
      <c r="F338" s="172"/>
      <c r="G338" s="172"/>
      <c r="H338" s="172"/>
      <c r="I338" s="172"/>
    </row>
    <row r="339" spans="2:9" hidden="1" x14ac:dyDescent="0.3">
      <c r="B339" s="172"/>
      <c r="C339" s="172"/>
      <c r="D339" s="172"/>
      <c r="E339" s="172"/>
      <c r="F339" s="172"/>
      <c r="G339" s="172"/>
      <c r="H339" s="172"/>
      <c r="I339" s="172"/>
    </row>
    <row r="340" spans="2:9" hidden="1" x14ac:dyDescent="0.3">
      <c r="B340" s="172"/>
      <c r="C340" s="172"/>
      <c r="D340" s="172"/>
      <c r="E340" s="172"/>
      <c r="F340" s="172"/>
      <c r="G340" s="172"/>
      <c r="H340" s="172"/>
      <c r="I340" s="172"/>
    </row>
    <row r="341" spans="2:9" hidden="1" x14ac:dyDescent="0.3">
      <c r="B341" s="172"/>
      <c r="C341" s="172"/>
      <c r="D341" s="172"/>
      <c r="E341" s="172"/>
      <c r="F341" s="172"/>
      <c r="G341" s="172"/>
      <c r="H341" s="172"/>
      <c r="I341" s="172"/>
    </row>
    <row r="342" spans="2:9" s="172" customFormat="1" hidden="1" x14ac:dyDescent="0.3"/>
    <row r="343" spans="2:9" hidden="1" x14ac:dyDescent="0.3">
      <c r="B343" s="172"/>
      <c r="C343" s="172"/>
      <c r="D343" s="172"/>
      <c r="E343" s="172"/>
      <c r="F343" s="172"/>
      <c r="G343" s="172"/>
      <c r="H343" s="172"/>
      <c r="I343" s="172"/>
    </row>
    <row r="344" spans="2:9" hidden="1" x14ac:dyDescent="0.3">
      <c r="B344" s="172"/>
      <c r="C344" s="172"/>
      <c r="D344" s="172"/>
      <c r="E344" s="172"/>
      <c r="F344" s="172"/>
      <c r="G344" s="172"/>
      <c r="H344" s="172"/>
      <c r="I344" s="172"/>
    </row>
    <row r="345" spans="2:9" hidden="1" x14ac:dyDescent="0.3">
      <c r="B345" s="172"/>
      <c r="C345" s="172"/>
      <c r="D345" s="172"/>
      <c r="E345" s="172"/>
      <c r="F345" s="172"/>
      <c r="G345" s="172"/>
      <c r="H345" s="172"/>
      <c r="I345" s="172"/>
    </row>
    <row r="346" spans="2:9" s="172" customFormat="1" hidden="1" x14ac:dyDescent="0.3"/>
    <row r="347" spans="2:9" hidden="1" x14ac:dyDescent="0.3">
      <c r="B347" s="172"/>
      <c r="C347" s="172"/>
      <c r="D347" s="172"/>
      <c r="E347" s="172"/>
      <c r="F347" s="172"/>
      <c r="G347" s="172"/>
      <c r="H347" s="172"/>
      <c r="I347" s="172"/>
    </row>
    <row r="348" spans="2:9" hidden="1" x14ac:dyDescent="0.3">
      <c r="B348" s="172"/>
      <c r="C348" s="172"/>
      <c r="D348" s="172"/>
      <c r="E348" s="172"/>
      <c r="F348" s="172"/>
      <c r="G348" s="172"/>
      <c r="H348" s="172"/>
      <c r="I348" s="172"/>
    </row>
    <row r="349" spans="2:9" hidden="1" x14ac:dyDescent="0.3">
      <c r="B349" s="172"/>
      <c r="C349" s="172"/>
      <c r="D349" s="172"/>
      <c r="E349" s="172"/>
      <c r="F349" s="172"/>
      <c r="G349" s="172"/>
      <c r="H349" s="172"/>
      <c r="I349" s="172"/>
    </row>
    <row r="350" spans="2:9" s="172" customFormat="1" hidden="1" x14ac:dyDescent="0.3"/>
    <row r="351" spans="2:9" hidden="1" x14ac:dyDescent="0.3">
      <c r="B351" s="172"/>
      <c r="C351" s="172"/>
      <c r="D351" s="172"/>
      <c r="E351" s="172"/>
      <c r="F351" s="172"/>
      <c r="G351" s="172"/>
      <c r="H351" s="172"/>
      <c r="I351" s="172"/>
    </row>
    <row r="352" spans="2:9" hidden="1" x14ac:dyDescent="0.3">
      <c r="B352" s="172"/>
      <c r="C352" s="172"/>
      <c r="D352" s="172"/>
      <c r="E352" s="172"/>
      <c r="F352" s="172"/>
      <c r="G352" s="172"/>
      <c r="H352" s="172"/>
      <c r="I352" s="172"/>
    </row>
    <row r="353" spans="2:9" hidden="1" x14ac:dyDescent="0.3">
      <c r="B353" s="172"/>
      <c r="C353" s="172"/>
      <c r="D353" s="172"/>
      <c r="E353" s="172"/>
      <c r="F353" s="172"/>
      <c r="G353" s="172"/>
      <c r="H353" s="172"/>
      <c r="I353" s="172"/>
    </row>
    <row r="354" spans="2:9" s="172" customFormat="1" hidden="1" x14ac:dyDescent="0.3"/>
    <row r="355" spans="2:9" hidden="1" x14ac:dyDescent="0.3">
      <c r="B355" s="172"/>
      <c r="C355" s="172"/>
      <c r="D355" s="172"/>
      <c r="E355" s="172"/>
      <c r="F355" s="172"/>
      <c r="G355" s="172"/>
      <c r="H355" s="172"/>
      <c r="I355" s="172"/>
    </row>
    <row r="356" spans="2:9" hidden="1" x14ac:dyDescent="0.3">
      <c r="B356" s="172"/>
      <c r="C356" s="172"/>
      <c r="D356" s="172"/>
      <c r="E356" s="172"/>
      <c r="F356" s="172"/>
      <c r="G356" s="172"/>
      <c r="H356" s="172"/>
      <c r="I356" s="172"/>
    </row>
    <row r="357" spans="2:9" hidden="1" x14ac:dyDescent="0.3">
      <c r="B357" s="172"/>
      <c r="C357" s="172"/>
      <c r="D357" s="172"/>
      <c r="E357" s="172"/>
      <c r="F357" s="172"/>
      <c r="G357" s="172"/>
      <c r="H357" s="172"/>
      <c r="I357" s="172"/>
    </row>
    <row r="358" spans="2:9" s="172" customFormat="1" hidden="1" x14ac:dyDescent="0.3"/>
    <row r="359" spans="2:9" hidden="1" x14ac:dyDescent="0.3">
      <c r="B359" s="172"/>
      <c r="C359" s="172"/>
      <c r="D359" s="172"/>
      <c r="E359" s="172"/>
      <c r="F359" s="172"/>
      <c r="G359" s="172"/>
      <c r="H359" s="172"/>
      <c r="I359" s="172"/>
    </row>
    <row r="360" spans="2:9" hidden="1" x14ac:dyDescent="0.3">
      <c r="B360" s="172"/>
      <c r="C360" s="172"/>
      <c r="D360" s="172"/>
      <c r="E360" s="172"/>
      <c r="F360" s="172"/>
      <c r="G360" s="172"/>
      <c r="H360" s="172"/>
      <c r="I360" s="172"/>
    </row>
    <row r="361" spans="2:9" hidden="1" x14ac:dyDescent="0.3">
      <c r="B361" s="172"/>
      <c r="C361" s="172"/>
      <c r="D361" s="172"/>
      <c r="E361" s="172"/>
      <c r="F361" s="172"/>
      <c r="G361" s="172"/>
      <c r="H361" s="172"/>
      <c r="I361" s="172"/>
    </row>
    <row r="362" spans="2:9" s="172" customFormat="1" hidden="1" x14ac:dyDescent="0.3"/>
    <row r="363" spans="2:9" hidden="1" x14ac:dyDescent="0.3">
      <c r="B363" s="172"/>
      <c r="C363" s="172"/>
      <c r="D363" s="172"/>
      <c r="E363" s="172"/>
      <c r="F363" s="172"/>
      <c r="G363" s="172"/>
      <c r="H363" s="172"/>
      <c r="I363" s="172"/>
    </row>
    <row r="364" spans="2:9" hidden="1" x14ac:dyDescent="0.3">
      <c r="B364" s="172"/>
      <c r="C364" s="172"/>
      <c r="D364" s="172"/>
      <c r="E364" s="172"/>
      <c r="F364" s="172"/>
      <c r="G364" s="172"/>
      <c r="H364" s="172"/>
      <c r="I364" s="172"/>
    </row>
    <row r="365" spans="2:9" hidden="1" x14ac:dyDescent="0.3">
      <c r="B365" s="172"/>
      <c r="C365" s="172"/>
      <c r="D365" s="172"/>
      <c r="E365" s="172"/>
      <c r="F365" s="172"/>
      <c r="G365" s="172"/>
      <c r="H365" s="172"/>
      <c r="I365" s="172"/>
    </row>
    <row r="366" spans="2:9" hidden="1" x14ac:dyDescent="0.3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3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3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191"/>
      <c r="C400" s="191"/>
      <c r="D400" s="191"/>
      <c r="E400" s="191"/>
      <c r="F400" s="191"/>
      <c r="G400" s="191" t="s">
        <v>7</v>
      </c>
      <c r="H400" s="191" t="s">
        <v>7</v>
      </c>
      <c r="I400" s="192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3.3839460845709401E-4</v>
      </c>
      <c r="F402" s="172">
        <v>165</v>
      </c>
      <c r="G402" s="172">
        <v>23</v>
      </c>
      <c r="H402" s="172">
        <v>17</v>
      </c>
      <c r="I402" s="172">
        <v>38.5</v>
      </c>
    </row>
    <row r="403" spans="2:9" hidden="1" x14ac:dyDescent="0.3">
      <c r="B403" s="172" t="s">
        <v>189</v>
      </c>
      <c r="C403" s="172" t="s">
        <v>80</v>
      </c>
      <c r="D403" s="172" t="s">
        <v>218</v>
      </c>
      <c r="E403" s="172">
        <v>3.2923464750307798E-4</v>
      </c>
      <c r="F403" s="172">
        <v>165</v>
      </c>
      <c r="G403" s="172">
        <v>23</v>
      </c>
      <c r="H403" s="172">
        <v>17</v>
      </c>
      <c r="I403" s="172">
        <v>38.5</v>
      </c>
    </row>
    <row r="404" spans="2:9" hidden="1" x14ac:dyDescent="0.3">
      <c r="B404" s="172" t="s">
        <v>189</v>
      </c>
      <c r="C404" s="172" t="s">
        <v>81</v>
      </c>
      <c r="D404" s="172" t="s">
        <v>221</v>
      </c>
      <c r="E404" s="172">
        <v>2.00830203094821E-4</v>
      </c>
      <c r="F404" s="172">
        <v>166</v>
      </c>
      <c r="G404" s="172">
        <v>19</v>
      </c>
      <c r="H404" s="172">
        <v>17</v>
      </c>
      <c r="I404" s="172">
        <v>38.5</v>
      </c>
    </row>
    <row r="405" spans="2:9" s="172" customFormat="1" x14ac:dyDescent="0.3">
      <c r="B405" s="172" t="s">
        <v>189</v>
      </c>
      <c r="C405" s="172" t="s">
        <v>82</v>
      </c>
      <c r="D405" s="172" t="s">
        <v>221</v>
      </c>
      <c r="E405" s="172">
        <v>1.9407075734898801E-4</v>
      </c>
      <c r="F405" s="172">
        <v>166</v>
      </c>
      <c r="G405" s="172">
        <v>19</v>
      </c>
      <c r="H405" s="172">
        <v>17</v>
      </c>
      <c r="I405" s="172">
        <v>38.5</v>
      </c>
    </row>
    <row r="406" spans="2:9" hidden="1" x14ac:dyDescent="0.3">
      <c r="B406" s="172" t="s">
        <v>189</v>
      </c>
      <c r="C406" s="172" t="s">
        <v>246</v>
      </c>
      <c r="D406" s="172" t="s">
        <v>218</v>
      </c>
      <c r="E406" s="172">
        <v>2.24093114731271E-4</v>
      </c>
      <c r="F406" s="172">
        <v>165</v>
      </c>
      <c r="G406" s="172">
        <v>23</v>
      </c>
      <c r="H406" s="172">
        <v>17</v>
      </c>
      <c r="I406" s="172">
        <v>38.5</v>
      </c>
    </row>
    <row r="407" spans="2:9" hidden="1" x14ac:dyDescent="0.3">
      <c r="B407" s="172" t="s">
        <v>189</v>
      </c>
      <c r="C407" s="172" t="s">
        <v>246</v>
      </c>
      <c r="D407" s="172" t="s">
        <v>221</v>
      </c>
      <c r="E407" s="172">
        <v>9.3502001274295394E-5</v>
      </c>
      <c r="F407" s="172">
        <v>166</v>
      </c>
      <c r="G407" s="172">
        <v>19</v>
      </c>
      <c r="H407" s="172">
        <v>17</v>
      </c>
      <c r="I407" s="172">
        <v>38.5</v>
      </c>
    </row>
    <row r="408" spans="2:9" hidden="1" x14ac:dyDescent="0.3">
      <c r="B408" s="172" t="s">
        <v>187</v>
      </c>
      <c r="C408" s="172" t="s">
        <v>79</v>
      </c>
      <c r="D408" s="172" t="s">
        <v>218</v>
      </c>
      <c r="E408" s="172">
        <v>3.5000520764451602E-4</v>
      </c>
      <c r="F408" s="172">
        <v>96</v>
      </c>
      <c r="G408" s="172">
        <v>23.25</v>
      </c>
      <c r="H408" s="172">
        <v>31.25</v>
      </c>
      <c r="I408" s="172">
        <v>35.5</v>
      </c>
    </row>
    <row r="409" spans="2:9" hidden="1" x14ac:dyDescent="0.3">
      <c r="B409" s="172" t="s">
        <v>187</v>
      </c>
      <c r="C409" s="172" t="s">
        <v>80</v>
      </c>
      <c r="D409" s="172" t="s">
        <v>218</v>
      </c>
      <c r="E409" s="172">
        <v>3.5471387223790499E-4</v>
      </c>
      <c r="F409" s="172">
        <v>97</v>
      </c>
      <c r="G409" s="172">
        <v>23.25</v>
      </c>
      <c r="H409" s="172">
        <v>-0.25</v>
      </c>
      <c r="I409" s="172">
        <v>35.5</v>
      </c>
    </row>
    <row r="410" spans="2:9" hidden="1" x14ac:dyDescent="0.3">
      <c r="B410" s="172" t="s">
        <v>187</v>
      </c>
      <c r="C410" s="172" t="s">
        <v>81</v>
      </c>
      <c r="D410" s="172" t="s">
        <v>221</v>
      </c>
      <c r="E410" s="172">
        <v>3.2068321072022203E-4</v>
      </c>
      <c r="F410" s="172">
        <v>97</v>
      </c>
      <c r="G410" s="172">
        <v>23.25</v>
      </c>
      <c r="H410" s="172">
        <v>-0.25</v>
      </c>
      <c r="I410" s="172">
        <v>35.5</v>
      </c>
    </row>
    <row r="411" spans="2:9" x14ac:dyDescent="0.3">
      <c r="B411" s="172" t="s">
        <v>187</v>
      </c>
      <c r="C411" s="172" t="s">
        <v>82</v>
      </c>
      <c r="D411" s="172" t="s">
        <v>221</v>
      </c>
      <c r="E411" s="172">
        <v>3.2370702677490999E-4</v>
      </c>
      <c r="F411" s="172">
        <v>80</v>
      </c>
      <c r="G411" s="172">
        <v>-0.25</v>
      </c>
      <c r="H411" s="172">
        <v>-0.25</v>
      </c>
      <c r="I411" s="172">
        <v>35.5</v>
      </c>
    </row>
    <row r="412" spans="2:9" hidden="1" x14ac:dyDescent="0.3">
      <c r="B412" s="172" t="s">
        <v>187</v>
      </c>
      <c r="C412" s="172" t="s">
        <v>246</v>
      </c>
      <c r="D412" s="172" t="s">
        <v>218</v>
      </c>
      <c r="E412" s="172">
        <v>2.3400655211913499E-5</v>
      </c>
      <c r="F412" s="172">
        <v>97</v>
      </c>
      <c r="G412" s="172">
        <v>23.25</v>
      </c>
      <c r="H412" s="172">
        <v>-0.25</v>
      </c>
      <c r="I412" s="172">
        <v>35.5</v>
      </c>
    </row>
    <row r="413" spans="2:9" hidden="1" x14ac:dyDescent="0.3">
      <c r="B413" s="172" t="s">
        <v>187</v>
      </c>
      <c r="C413" s="172" t="s">
        <v>246</v>
      </c>
      <c r="D413" s="172" t="s">
        <v>221</v>
      </c>
      <c r="E413" s="172">
        <v>1.7260073586320299E-5</v>
      </c>
      <c r="F413" s="172">
        <v>97</v>
      </c>
      <c r="G413" s="172">
        <v>23.25</v>
      </c>
      <c r="H413" s="172">
        <v>-0.25</v>
      </c>
      <c r="I413" s="172">
        <v>35.5</v>
      </c>
    </row>
    <row r="414" spans="2:9" hidden="1" x14ac:dyDescent="0.3">
      <c r="B414" s="172" t="s">
        <v>185</v>
      </c>
      <c r="C414" s="172" t="s">
        <v>79</v>
      </c>
      <c r="D414" s="172" t="s">
        <v>218</v>
      </c>
      <c r="E414" s="172">
        <v>5.5180264596959997E-4</v>
      </c>
      <c r="F414" s="172">
        <v>96</v>
      </c>
      <c r="G414" s="172">
        <v>23.25</v>
      </c>
      <c r="H414" s="172">
        <v>31.25</v>
      </c>
      <c r="I414" s="172">
        <v>32</v>
      </c>
    </row>
    <row r="415" spans="2:9" hidden="1" x14ac:dyDescent="0.3">
      <c r="B415" s="172" t="s">
        <v>185</v>
      </c>
      <c r="C415" s="172" t="s">
        <v>80</v>
      </c>
      <c r="D415" s="172" t="s">
        <v>218</v>
      </c>
      <c r="E415" s="172">
        <v>5.5937108158358095E-4</v>
      </c>
      <c r="F415" s="172">
        <v>97</v>
      </c>
      <c r="G415" s="172">
        <v>23.25</v>
      </c>
      <c r="H415" s="172">
        <v>-0.25</v>
      </c>
      <c r="I415" s="172">
        <v>32</v>
      </c>
    </row>
    <row r="416" spans="2:9" hidden="1" x14ac:dyDescent="0.3">
      <c r="B416" s="172" t="s">
        <v>185</v>
      </c>
      <c r="C416" s="172" t="s">
        <v>81</v>
      </c>
      <c r="D416" s="172" t="s">
        <v>221</v>
      </c>
      <c r="E416" s="172">
        <v>5.2694252168535797E-4</v>
      </c>
      <c r="F416" s="172">
        <v>97</v>
      </c>
      <c r="G416" s="172">
        <v>23.25</v>
      </c>
      <c r="H416" s="172">
        <v>-0.25</v>
      </c>
      <c r="I416" s="172">
        <v>32</v>
      </c>
    </row>
    <row r="417" spans="2:9" x14ac:dyDescent="0.3">
      <c r="B417" s="172" t="s">
        <v>185</v>
      </c>
      <c r="C417" s="172" t="s">
        <v>82</v>
      </c>
      <c r="D417" s="172" t="s">
        <v>221</v>
      </c>
      <c r="E417" s="172">
        <v>5.4126462384666396E-4</v>
      </c>
      <c r="F417" s="172">
        <v>80</v>
      </c>
      <c r="G417" s="172">
        <v>-0.25</v>
      </c>
      <c r="H417" s="172">
        <v>-0.25</v>
      </c>
      <c r="I417" s="172">
        <v>32</v>
      </c>
    </row>
    <row r="418" spans="2:9" hidden="1" x14ac:dyDescent="0.3">
      <c r="B418" s="172" t="s">
        <v>185</v>
      </c>
      <c r="C418" s="172" t="s">
        <v>246</v>
      </c>
      <c r="D418" s="172" t="s">
        <v>218</v>
      </c>
      <c r="E418" s="172">
        <v>2.50708081172086E-5</v>
      </c>
      <c r="F418" s="172">
        <v>97</v>
      </c>
      <c r="G418" s="172">
        <v>23.25</v>
      </c>
      <c r="H418" s="172">
        <v>-0.25</v>
      </c>
      <c r="I418" s="172">
        <v>32</v>
      </c>
    </row>
    <row r="419" spans="2:9" hidden="1" x14ac:dyDescent="0.3">
      <c r="B419" s="172" t="s">
        <v>185</v>
      </c>
      <c r="C419" s="172" t="s">
        <v>246</v>
      </c>
      <c r="D419" s="172" t="s">
        <v>221</v>
      </c>
      <c r="E419" s="172">
        <v>1.9334420837847899E-5</v>
      </c>
      <c r="F419" s="172">
        <v>97</v>
      </c>
      <c r="G419" s="172">
        <v>23.25</v>
      </c>
      <c r="H419" s="172">
        <v>-0.25</v>
      </c>
      <c r="I419" s="172">
        <v>32</v>
      </c>
    </row>
    <row r="420" spans="2:9" hidden="1" x14ac:dyDescent="0.3">
      <c r="B420" s="172" t="s">
        <v>183</v>
      </c>
      <c r="C420" s="172" t="s">
        <v>79</v>
      </c>
      <c r="D420" s="172" t="s">
        <v>218</v>
      </c>
      <c r="E420" s="172">
        <v>7.4022406051532695E-4</v>
      </c>
      <c r="F420" s="172">
        <v>96</v>
      </c>
      <c r="G420" s="172">
        <v>23.25</v>
      </c>
      <c r="H420" s="172">
        <v>31.25</v>
      </c>
      <c r="I420" s="172">
        <v>28.5</v>
      </c>
    </row>
    <row r="421" spans="2:9" hidden="1" x14ac:dyDescent="0.3">
      <c r="B421" s="172" t="s">
        <v>183</v>
      </c>
      <c r="C421" s="172" t="s">
        <v>80</v>
      </c>
      <c r="D421" s="172" t="s">
        <v>218</v>
      </c>
      <c r="E421" s="172">
        <v>7.5105759271122902E-4</v>
      </c>
      <c r="F421" s="172">
        <v>97</v>
      </c>
      <c r="G421" s="172">
        <v>23.25</v>
      </c>
      <c r="H421" s="172">
        <v>-0.25</v>
      </c>
      <c r="I421" s="172">
        <v>28.5</v>
      </c>
    </row>
    <row r="422" spans="2:9" hidden="1" x14ac:dyDescent="0.3">
      <c r="B422" s="172" t="s">
        <v>183</v>
      </c>
      <c r="C422" s="172" t="s">
        <v>81</v>
      </c>
      <c r="D422" s="172" t="s">
        <v>221</v>
      </c>
      <c r="E422" s="172">
        <v>7.2241981363536695E-4</v>
      </c>
      <c r="F422" s="172">
        <v>97</v>
      </c>
      <c r="G422" s="172">
        <v>23.25</v>
      </c>
      <c r="H422" s="172">
        <v>-0.25</v>
      </c>
      <c r="I422" s="172">
        <v>28.5</v>
      </c>
    </row>
    <row r="423" spans="2:9" x14ac:dyDescent="0.3">
      <c r="B423" s="172" t="s">
        <v>183</v>
      </c>
      <c r="C423" s="172" t="s">
        <v>82</v>
      </c>
      <c r="D423" s="172" t="s">
        <v>221</v>
      </c>
      <c r="E423" s="172">
        <v>7.5019877551273605E-4</v>
      </c>
      <c r="F423" s="172">
        <v>80</v>
      </c>
      <c r="G423" s="172">
        <v>-0.25</v>
      </c>
      <c r="H423" s="172">
        <v>-0.25</v>
      </c>
      <c r="I423" s="172">
        <v>28.5</v>
      </c>
    </row>
    <row r="424" spans="2:9" hidden="1" x14ac:dyDescent="0.3">
      <c r="B424" s="172" t="s">
        <v>183</v>
      </c>
      <c r="C424" s="172" t="s">
        <v>246</v>
      </c>
      <c r="D424" s="172" t="s">
        <v>218</v>
      </c>
      <c r="E424" s="172">
        <v>2.4244395750859001E-5</v>
      </c>
      <c r="F424" s="172">
        <v>97</v>
      </c>
      <c r="G424" s="172">
        <v>23.25</v>
      </c>
      <c r="H424" s="172">
        <v>-0.25</v>
      </c>
      <c r="I424" s="172">
        <v>28.5</v>
      </c>
    </row>
    <row r="425" spans="2:9" hidden="1" x14ac:dyDescent="0.3">
      <c r="B425" s="172" t="s">
        <v>183</v>
      </c>
      <c r="C425" s="172" t="s">
        <v>246</v>
      </c>
      <c r="D425" s="172" t="s">
        <v>221</v>
      </c>
      <c r="E425" s="172">
        <v>1.8446859065714201E-5</v>
      </c>
      <c r="F425" s="172">
        <v>97</v>
      </c>
      <c r="G425" s="172">
        <v>23.25</v>
      </c>
      <c r="H425" s="172">
        <v>-0.25</v>
      </c>
      <c r="I425" s="172">
        <v>28.5</v>
      </c>
    </row>
    <row r="426" spans="2:9" hidden="1" x14ac:dyDescent="0.3">
      <c r="B426" s="172" t="s">
        <v>181</v>
      </c>
      <c r="C426" s="172" t="s">
        <v>79</v>
      </c>
      <c r="D426" s="172" t="s">
        <v>218</v>
      </c>
      <c r="E426" s="172">
        <v>8.9822879860787096E-4</v>
      </c>
      <c r="F426" s="172">
        <v>96</v>
      </c>
      <c r="G426" s="172">
        <v>23.25</v>
      </c>
      <c r="H426" s="172">
        <v>31.25</v>
      </c>
      <c r="I426" s="172">
        <v>25</v>
      </c>
    </row>
    <row r="427" spans="2:9" hidden="1" x14ac:dyDescent="0.3">
      <c r="B427" s="172" t="s">
        <v>181</v>
      </c>
      <c r="C427" s="172" t="s">
        <v>80</v>
      </c>
      <c r="D427" s="172" t="s">
        <v>218</v>
      </c>
      <c r="E427" s="172">
        <v>9.1197697180279503E-4</v>
      </c>
      <c r="F427" s="172">
        <v>97</v>
      </c>
      <c r="G427" s="172">
        <v>23.25</v>
      </c>
      <c r="H427" s="172">
        <v>-0.25</v>
      </c>
      <c r="I427" s="172">
        <v>25</v>
      </c>
    </row>
    <row r="428" spans="2:9" hidden="1" x14ac:dyDescent="0.3">
      <c r="B428" s="172" t="s">
        <v>181</v>
      </c>
      <c r="C428" s="172" t="s">
        <v>81</v>
      </c>
      <c r="D428" s="172" t="s">
        <v>221</v>
      </c>
      <c r="E428" s="172">
        <v>8.8821224429016599E-4</v>
      </c>
      <c r="F428" s="172">
        <v>97</v>
      </c>
      <c r="G428" s="172">
        <v>23.25</v>
      </c>
      <c r="H428" s="172">
        <v>-0.25</v>
      </c>
      <c r="I428" s="172">
        <v>25</v>
      </c>
    </row>
    <row r="429" spans="2:9" x14ac:dyDescent="0.3">
      <c r="B429" s="172" t="s">
        <v>181</v>
      </c>
      <c r="C429" s="172" t="s">
        <v>82</v>
      </c>
      <c r="D429" s="172" t="s">
        <v>221</v>
      </c>
      <c r="E429" s="172">
        <v>9.2785711736680597E-4</v>
      </c>
      <c r="F429" s="172">
        <v>80</v>
      </c>
      <c r="G429" s="172">
        <v>-0.25</v>
      </c>
      <c r="H429" s="172">
        <v>-0.25</v>
      </c>
      <c r="I429" s="172">
        <v>25</v>
      </c>
    </row>
    <row r="430" spans="2:9" hidden="1" x14ac:dyDescent="0.3">
      <c r="B430" s="172" t="s">
        <v>181</v>
      </c>
      <c r="C430" s="172" t="s">
        <v>246</v>
      </c>
      <c r="D430" s="172" t="s">
        <v>218</v>
      </c>
      <c r="E430" s="172">
        <v>2.2783379993669701E-5</v>
      </c>
      <c r="F430" s="172">
        <v>97</v>
      </c>
      <c r="G430" s="172">
        <v>23.25</v>
      </c>
      <c r="H430" s="172">
        <v>-0.25</v>
      </c>
      <c r="I430" s="172">
        <v>25</v>
      </c>
    </row>
    <row r="431" spans="2:9" hidden="1" x14ac:dyDescent="0.3">
      <c r="B431" s="172" t="s">
        <v>181</v>
      </c>
      <c r="C431" s="172" t="s">
        <v>246</v>
      </c>
      <c r="D431" s="172" t="s">
        <v>221</v>
      </c>
      <c r="E431" s="172">
        <v>1.68349141963792E-5</v>
      </c>
      <c r="F431" s="172">
        <v>97</v>
      </c>
      <c r="G431" s="172">
        <v>23.25</v>
      </c>
      <c r="H431" s="172">
        <v>-0.25</v>
      </c>
      <c r="I431" s="172">
        <v>25</v>
      </c>
    </row>
    <row r="432" spans="2:9" hidden="1" x14ac:dyDescent="0.3">
      <c r="B432" s="172" t="s">
        <v>179</v>
      </c>
      <c r="C432" s="172" t="s">
        <v>79</v>
      </c>
      <c r="D432" s="172" t="s">
        <v>218</v>
      </c>
      <c r="E432" s="172">
        <v>1.02076154632551E-3</v>
      </c>
      <c r="F432" s="172">
        <v>96</v>
      </c>
      <c r="G432" s="172">
        <v>23.25</v>
      </c>
      <c r="H432" s="172">
        <v>31.25</v>
      </c>
      <c r="I432" s="172">
        <v>21.5</v>
      </c>
    </row>
    <row r="433" spans="2:9" hidden="1" x14ac:dyDescent="0.3">
      <c r="B433" s="172" t="s">
        <v>179</v>
      </c>
      <c r="C433" s="172" t="s">
        <v>80</v>
      </c>
      <c r="D433" s="172" t="s">
        <v>218</v>
      </c>
      <c r="E433" s="172">
        <v>1.03667906155844E-3</v>
      </c>
      <c r="F433" s="172">
        <v>97</v>
      </c>
      <c r="G433" s="172">
        <v>23.25</v>
      </c>
      <c r="H433" s="172">
        <v>-0.25</v>
      </c>
      <c r="I433" s="172">
        <v>21.5</v>
      </c>
    </row>
    <row r="434" spans="2:9" hidden="1" x14ac:dyDescent="0.3">
      <c r="B434" s="172" t="s">
        <v>179</v>
      </c>
      <c r="C434" s="172" t="s">
        <v>81</v>
      </c>
      <c r="D434" s="172" t="s">
        <v>221</v>
      </c>
      <c r="E434" s="172">
        <v>1.0185661065505701E-3</v>
      </c>
      <c r="F434" s="172">
        <v>97</v>
      </c>
      <c r="G434" s="172">
        <v>23.25</v>
      </c>
      <c r="H434" s="172">
        <v>-0.25</v>
      </c>
      <c r="I434" s="172">
        <v>21.5</v>
      </c>
    </row>
    <row r="435" spans="2:9" x14ac:dyDescent="0.3">
      <c r="B435" s="172" t="s">
        <v>179</v>
      </c>
      <c r="C435" s="172" t="s">
        <v>82</v>
      </c>
      <c r="D435" s="172" t="s">
        <v>221</v>
      </c>
      <c r="E435" s="172">
        <v>1.0663535432818001E-3</v>
      </c>
      <c r="F435" s="172">
        <v>80</v>
      </c>
      <c r="G435" s="172">
        <v>-0.25</v>
      </c>
      <c r="H435" s="172">
        <v>-0.25</v>
      </c>
      <c r="I435" s="172">
        <v>21.5</v>
      </c>
    </row>
    <row r="436" spans="2:9" hidden="1" x14ac:dyDescent="0.3">
      <c r="B436" s="172" t="s">
        <v>179</v>
      </c>
      <c r="C436" s="172" t="s">
        <v>246</v>
      </c>
      <c r="D436" s="172" t="s">
        <v>218</v>
      </c>
      <c r="E436" s="172">
        <v>2.0737616374677801E-5</v>
      </c>
      <c r="F436" s="172">
        <v>97</v>
      </c>
      <c r="G436" s="172">
        <v>23.25</v>
      </c>
      <c r="H436" s="172">
        <v>-0.25</v>
      </c>
      <c r="I436" s="172">
        <v>21.5</v>
      </c>
    </row>
    <row r="437" spans="2:9" hidden="1" x14ac:dyDescent="0.3">
      <c r="B437" s="172" t="s">
        <v>179</v>
      </c>
      <c r="C437" s="172" t="s">
        <v>246</v>
      </c>
      <c r="D437" s="172" t="s">
        <v>221</v>
      </c>
      <c r="E437" s="172">
        <v>1.4743548997491999E-5</v>
      </c>
      <c r="F437" s="172">
        <v>97</v>
      </c>
      <c r="G437" s="172">
        <v>23.25</v>
      </c>
      <c r="H437" s="172">
        <v>-0.25</v>
      </c>
      <c r="I437" s="172">
        <v>21.5</v>
      </c>
    </row>
    <row r="438" spans="2:9" hidden="1" x14ac:dyDescent="0.3">
      <c r="B438" s="172" t="s">
        <v>39</v>
      </c>
      <c r="C438" s="172" t="s">
        <v>79</v>
      </c>
      <c r="D438" s="172" t="s">
        <v>218</v>
      </c>
      <c r="E438" s="172">
        <v>1.07312589003806E-3</v>
      </c>
      <c r="F438" s="172">
        <v>96</v>
      </c>
      <c r="G438" s="172">
        <v>23.25</v>
      </c>
      <c r="H438" s="172">
        <v>31.25</v>
      </c>
      <c r="I438" s="172">
        <v>18</v>
      </c>
    </row>
    <row r="439" spans="2:9" hidden="1" x14ac:dyDescent="0.3">
      <c r="B439" s="172" t="s">
        <v>39</v>
      </c>
      <c r="C439" s="172" t="s">
        <v>80</v>
      </c>
      <c r="D439" s="172" t="s">
        <v>218</v>
      </c>
      <c r="E439" s="172">
        <v>1.08865796788846E-3</v>
      </c>
      <c r="F439" s="172">
        <v>97</v>
      </c>
      <c r="G439" s="172">
        <v>23.25</v>
      </c>
      <c r="H439" s="172">
        <v>-0.25</v>
      </c>
      <c r="I439" s="172">
        <v>18</v>
      </c>
    </row>
    <row r="440" spans="2:9" hidden="1" x14ac:dyDescent="0.3">
      <c r="B440" s="172" t="s">
        <v>39</v>
      </c>
      <c r="C440" s="172" t="s">
        <v>81</v>
      </c>
      <c r="D440" s="172" t="s">
        <v>221</v>
      </c>
      <c r="E440" s="172">
        <v>1.08015135190698E-3</v>
      </c>
      <c r="F440" s="172">
        <v>97</v>
      </c>
      <c r="G440" s="172">
        <v>23.25</v>
      </c>
      <c r="H440" s="172">
        <v>-0.25</v>
      </c>
      <c r="I440" s="172">
        <v>18</v>
      </c>
    </row>
    <row r="441" spans="2:9" x14ac:dyDescent="0.3">
      <c r="B441" s="172" t="s">
        <v>39</v>
      </c>
      <c r="C441" s="172" t="s">
        <v>82</v>
      </c>
      <c r="D441" s="172" t="s">
        <v>221</v>
      </c>
      <c r="E441" s="172">
        <v>1.12827834383138E-3</v>
      </c>
      <c r="F441" s="172">
        <v>80</v>
      </c>
      <c r="G441" s="172">
        <v>-0.25</v>
      </c>
      <c r="H441" s="172">
        <v>-0.25</v>
      </c>
      <c r="I441" s="172">
        <v>18</v>
      </c>
    </row>
    <row r="442" spans="2:9" hidden="1" x14ac:dyDescent="0.3">
      <c r="B442" s="172" t="s">
        <v>39</v>
      </c>
      <c r="C442" s="172" t="s">
        <v>246</v>
      </c>
      <c r="D442" s="172" t="s">
        <v>218</v>
      </c>
      <c r="E442" s="172">
        <v>1.7779671330850699E-5</v>
      </c>
      <c r="F442" s="172">
        <v>97</v>
      </c>
      <c r="G442" s="172">
        <v>23.25</v>
      </c>
      <c r="H442" s="172">
        <v>-0.25</v>
      </c>
      <c r="I442" s="172">
        <v>18</v>
      </c>
    </row>
    <row r="443" spans="2:9" hidden="1" x14ac:dyDescent="0.3">
      <c r="B443" s="172" t="s">
        <v>39</v>
      </c>
      <c r="C443" s="172" t="s">
        <v>246</v>
      </c>
      <c r="D443" s="172" t="s">
        <v>221</v>
      </c>
      <c r="E443" s="172">
        <v>1.23412206110278E-5</v>
      </c>
      <c r="F443" s="172">
        <v>97</v>
      </c>
      <c r="G443" s="172">
        <v>23.25</v>
      </c>
      <c r="H443" s="172">
        <v>-0.25</v>
      </c>
      <c r="I443" s="172">
        <v>18</v>
      </c>
    </row>
    <row r="444" spans="2:9" hidden="1" x14ac:dyDescent="0.3">
      <c r="B444" s="172" t="s">
        <v>26</v>
      </c>
      <c r="C444" s="172" t="s">
        <v>79</v>
      </c>
      <c r="D444" s="172" t="s">
        <v>218</v>
      </c>
      <c r="E444" s="172">
        <v>1.1018315117363501E-3</v>
      </c>
      <c r="F444" s="172">
        <v>96</v>
      </c>
      <c r="G444" s="172">
        <v>23.25</v>
      </c>
      <c r="H444" s="172">
        <v>31.25</v>
      </c>
      <c r="I444" s="172">
        <v>14.5</v>
      </c>
    </row>
    <row r="445" spans="2:9" hidden="1" x14ac:dyDescent="0.3">
      <c r="B445" s="172" t="s">
        <v>26</v>
      </c>
      <c r="C445" s="172" t="s">
        <v>80</v>
      </c>
      <c r="D445" s="172" t="s">
        <v>218</v>
      </c>
      <c r="E445" s="172">
        <v>1.1165937743355899E-3</v>
      </c>
      <c r="F445" s="172">
        <v>97</v>
      </c>
      <c r="G445" s="172">
        <v>23.25</v>
      </c>
      <c r="H445" s="172">
        <v>-0.25</v>
      </c>
      <c r="I445" s="172">
        <v>14.5</v>
      </c>
    </row>
    <row r="446" spans="2:9" hidden="1" x14ac:dyDescent="0.3">
      <c r="B446" s="172" t="s">
        <v>26</v>
      </c>
      <c r="C446" s="172" t="s">
        <v>81</v>
      </c>
      <c r="D446" s="172" t="s">
        <v>221</v>
      </c>
      <c r="E446" s="172">
        <v>1.1194507587522101E-3</v>
      </c>
      <c r="F446" s="172">
        <v>97</v>
      </c>
      <c r="G446" s="172">
        <v>23.25</v>
      </c>
      <c r="H446" s="172">
        <v>-0.25</v>
      </c>
      <c r="I446" s="172">
        <v>14.5</v>
      </c>
    </row>
    <row r="447" spans="2:9" x14ac:dyDescent="0.3">
      <c r="B447" s="172" t="s">
        <v>26</v>
      </c>
      <c r="C447" s="172" t="s">
        <v>82</v>
      </c>
      <c r="D447" s="172" t="s">
        <v>221</v>
      </c>
      <c r="E447" s="172">
        <v>1.16577688633869E-3</v>
      </c>
      <c r="F447" s="172">
        <v>80</v>
      </c>
      <c r="G447" s="172">
        <v>-0.25</v>
      </c>
      <c r="H447" s="172">
        <v>-0.25</v>
      </c>
      <c r="I447" s="172">
        <v>14.5</v>
      </c>
    </row>
    <row r="448" spans="2:9" hidden="1" x14ac:dyDescent="0.3">
      <c r="B448" s="172" t="s">
        <v>26</v>
      </c>
      <c r="C448" s="172" t="s">
        <v>246</v>
      </c>
      <c r="D448" s="172" t="s">
        <v>218</v>
      </c>
      <c r="E448" s="172">
        <v>1.4318690693079E-5</v>
      </c>
      <c r="F448" s="172">
        <v>97</v>
      </c>
      <c r="G448" s="172">
        <v>23.25</v>
      </c>
      <c r="H448" s="172">
        <v>-0.25</v>
      </c>
      <c r="I448" s="172">
        <v>14.5</v>
      </c>
    </row>
    <row r="449" spans="2:9" hidden="1" x14ac:dyDescent="0.3">
      <c r="B449" s="172" t="s">
        <v>26</v>
      </c>
      <c r="C449" s="172" t="s">
        <v>246</v>
      </c>
      <c r="D449" s="172" t="s">
        <v>221</v>
      </c>
      <c r="E449" s="172">
        <v>9.3919886498480204E-6</v>
      </c>
      <c r="F449" s="172">
        <v>97</v>
      </c>
      <c r="G449" s="172">
        <v>23.25</v>
      </c>
      <c r="H449" s="172">
        <v>-0.25</v>
      </c>
      <c r="I449" s="172">
        <v>14.5</v>
      </c>
    </row>
    <row r="450" spans="2:9" hidden="1" x14ac:dyDescent="0.3">
      <c r="B450" s="172" t="s">
        <v>25</v>
      </c>
      <c r="C450" s="172" t="s">
        <v>79</v>
      </c>
      <c r="D450" s="172" t="s">
        <v>218</v>
      </c>
      <c r="E450" s="172">
        <v>1.15026133797418E-3</v>
      </c>
      <c r="F450" s="172">
        <v>96</v>
      </c>
      <c r="G450" s="172">
        <v>23.25</v>
      </c>
      <c r="H450" s="172">
        <v>31.25</v>
      </c>
      <c r="I450" s="172">
        <v>11</v>
      </c>
    </row>
    <row r="451" spans="2:9" hidden="1" x14ac:dyDescent="0.3">
      <c r="B451" s="172" t="s">
        <v>25</v>
      </c>
      <c r="C451" s="172" t="s">
        <v>80</v>
      </c>
      <c r="D451" s="172" t="s">
        <v>218</v>
      </c>
      <c r="E451" s="172">
        <v>1.16584796602407E-3</v>
      </c>
      <c r="F451" s="172">
        <v>97</v>
      </c>
      <c r="G451" s="172">
        <v>23.25</v>
      </c>
      <c r="H451" s="172">
        <v>-0.25</v>
      </c>
      <c r="I451" s="172">
        <v>11</v>
      </c>
    </row>
    <row r="452" spans="2:9" hidden="1" x14ac:dyDescent="0.3">
      <c r="B452" s="172" t="s">
        <v>25</v>
      </c>
      <c r="C452" s="172" t="s">
        <v>81</v>
      </c>
      <c r="D452" s="172" t="s">
        <v>221</v>
      </c>
      <c r="E452" s="172">
        <v>1.18304220581932E-3</v>
      </c>
      <c r="F452" s="172">
        <v>97</v>
      </c>
      <c r="G452" s="172">
        <v>23.25</v>
      </c>
      <c r="H452" s="172">
        <v>-0.25</v>
      </c>
      <c r="I452" s="172">
        <v>11</v>
      </c>
    </row>
    <row r="453" spans="2:9" x14ac:dyDescent="0.3">
      <c r="B453" s="172" t="s">
        <v>25</v>
      </c>
      <c r="C453" s="172" t="s">
        <v>82</v>
      </c>
      <c r="D453" s="172" t="s">
        <v>221</v>
      </c>
      <c r="E453" s="172">
        <v>1.22489647214065E-3</v>
      </c>
      <c r="F453" s="172">
        <v>80</v>
      </c>
      <c r="G453" s="172">
        <v>-0.25</v>
      </c>
      <c r="H453" s="172">
        <v>-0.25</v>
      </c>
      <c r="I453" s="172">
        <v>11</v>
      </c>
    </row>
    <row r="454" spans="2:9" hidden="1" x14ac:dyDescent="0.3">
      <c r="B454" s="172" t="s">
        <v>25</v>
      </c>
      <c r="C454" s="172" t="s">
        <v>246</v>
      </c>
      <c r="D454" s="172" t="s">
        <v>218</v>
      </c>
      <c r="E454" s="172">
        <v>1.0570076578179801E-5</v>
      </c>
      <c r="F454" s="172">
        <v>97</v>
      </c>
      <c r="G454" s="172">
        <v>23.25</v>
      </c>
      <c r="H454" s="172">
        <v>-0.25</v>
      </c>
      <c r="I454" s="172">
        <v>11</v>
      </c>
    </row>
    <row r="455" spans="2:9" hidden="1" x14ac:dyDescent="0.3">
      <c r="B455" s="172" t="s">
        <v>25</v>
      </c>
      <c r="C455" s="172" t="s">
        <v>246</v>
      </c>
      <c r="D455" s="172" t="s">
        <v>221</v>
      </c>
      <c r="E455" s="172">
        <v>5.5184822121298798E-6</v>
      </c>
      <c r="F455" s="172">
        <v>97</v>
      </c>
      <c r="G455" s="172">
        <v>23.25</v>
      </c>
      <c r="H455" s="172">
        <v>-0.25</v>
      </c>
      <c r="I455" s="172">
        <v>11</v>
      </c>
    </row>
    <row r="456" spans="2:9" hidden="1" x14ac:dyDescent="0.3">
      <c r="B456" s="172" t="s">
        <v>24</v>
      </c>
      <c r="C456" s="172" t="s">
        <v>79</v>
      </c>
      <c r="D456" s="172" t="s">
        <v>218</v>
      </c>
      <c r="E456" s="172">
        <v>1.1565303187614799E-3</v>
      </c>
      <c r="F456" s="172">
        <v>96</v>
      </c>
      <c r="G456" s="172">
        <v>23.25</v>
      </c>
      <c r="H456" s="172">
        <v>31.25</v>
      </c>
      <c r="I456" s="172">
        <v>7.5</v>
      </c>
    </row>
    <row r="457" spans="2:9" hidden="1" x14ac:dyDescent="0.3">
      <c r="B457" s="172" t="s">
        <v>24</v>
      </c>
      <c r="C457" s="172" t="s">
        <v>80</v>
      </c>
      <c r="D457" s="172" t="s">
        <v>218</v>
      </c>
      <c r="E457" s="172">
        <v>1.1731157504251599E-3</v>
      </c>
      <c r="F457" s="172">
        <v>97</v>
      </c>
      <c r="G457" s="172">
        <v>23.25</v>
      </c>
      <c r="H457" s="172">
        <v>-0.25</v>
      </c>
      <c r="I457" s="172">
        <v>7.5</v>
      </c>
    </row>
    <row r="458" spans="2:9" hidden="1" x14ac:dyDescent="0.3">
      <c r="B458" s="172" t="s">
        <v>24</v>
      </c>
      <c r="C458" s="172" t="s">
        <v>81</v>
      </c>
      <c r="D458" s="172" t="s">
        <v>221</v>
      </c>
      <c r="E458" s="172">
        <v>1.1916981789367399E-3</v>
      </c>
      <c r="F458" s="172">
        <v>97</v>
      </c>
      <c r="G458" s="172">
        <v>23.25</v>
      </c>
      <c r="H458" s="172">
        <v>-0.25</v>
      </c>
      <c r="I458" s="172">
        <v>7.5</v>
      </c>
    </row>
    <row r="459" spans="2:9" x14ac:dyDescent="0.3">
      <c r="B459" s="172" t="s">
        <v>24</v>
      </c>
      <c r="C459" s="172" t="s">
        <v>82</v>
      </c>
      <c r="D459" s="172" t="s">
        <v>221</v>
      </c>
      <c r="E459" s="172">
        <v>1.2285906373805E-3</v>
      </c>
      <c r="F459" s="172">
        <v>80</v>
      </c>
      <c r="G459" s="172">
        <v>-0.25</v>
      </c>
      <c r="H459" s="172">
        <v>-0.25</v>
      </c>
      <c r="I459" s="172">
        <v>7.5</v>
      </c>
    </row>
    <row r="460" spans="2:9" hidden="1" x14ac:dyDescent="0.3">
      <c r="B460" s="172" t="s">
        <v>24</v>
      </c>
      <c r="C460" s="172" t="s">
        <v>246</v>
      </c>
      <c r="D460" s="172" t="s">
        <v>218</v>
      </c>
      <c r="E460" s="172">
        <v>6.55588961109708E-6</v>
      </c>
      <c r="F460" s="172">
        <v>96</v>
      </c>
      <c r="G460" s="172">
        <v>23.25</v>
      </c>
      <c r="H460" s="172">
        <v>31.25</v>
      </c>
      <c r="I460" s="172">
        <v>7.5</v>
      </c>
    </row>
    <row r="461" spans="2:9" hidden="1" x14ac:dyDescent="0.3">
      <c r="B461" s="172" t="s">
        <v>24</v>
      </c>
      <c r="C461" s="172" t="s">
        <v>246</v>
      </c>
      <c r="D461" s="172" t="s">
        <v>221</v>
      </c>
      <c r="E461" s="172">
        <v>1.4469573945626301E-6</v>
      </c>
      <c r="F461" s="172">
        <v>80</v>
      </c>
      <c r="G461" s="172">
        <v>-0.25</v>
      </c>
      <c r="H461" s="172">
        <v>-0.25</v>
      </c>
      <c r="I461" s="172">
        <v>7.5</v>
      </c>
    </row>
    <row r="462" spans="2:9" hidden="1" x14ac:dyDescent="0.3">
      <c r="B462" s="172" t="s">
        <v>22</v>
      </c>
      <c r="C462" s="172" t="s">
        <v>79</v>
      </c>
      <c r="D462" s="172" t="s">
        <v>218</v>
      </c>
      <c r="E462" s="172">
        <v>8.4979817938368198E-4</v>
      </c>
      <c r="F462" s="172">
        <v>28</v>
      </c>
      <c r="G462" s="172">
        <v>19</v>
      </c>
      <c r="H462" s="172">
        <v>31</v>
      </c>
      <c r="I462" s="172">
        <v>4</v>
      </c>
    </row>
    <row r="463" spans="2:9" hidden="1" x14ac:dyDescent="0.3">
      <c r="B463" s="172" t="s">
        <v>22</v>
      </c>
      <c r="C463" s="172" t="s">
        <v>80</v>
      </c>
      <c r="D463" s="172" t="s">
        <v>218</v>
      </c>
      <c r="E463" s="172">
        <v>8.6255477881700695E-4</v>
      </c>
      <c r="F463" s="172">
        <v>24</v>
      </c>
      <c r="G463" s="172">
        <v>19</v>
      </c>
      <c r="H463" s="172">
        <v>0</v>
      </c>
      <c r="I463" s="172">
        <v>4</v>
      </c>
    </row>
    <row r="464" spans="2:9" hidden="1" x14ac:dyDescent="0.3">
      <c r="B464" s="172" t="s">
        <v>22</v>
      </c>
      <c r="C464" s="172" t="s">
        <v>81</v>
      </c>
      <c r="D464" s="172" t="s">
        <v>221</v>
      </c>
      <c r="E464" s="172">
        <v>8.5576406799386495E-4</v>
      </c>
      <c r="F464" s="172">
        <v>165</v>
      </c>
      <c r="G464" s="172">
        <v>23</v>
      </c>
      <c r="H464" s="172">
        <v>17</v>
      </c>
      <c r="I464" s="172">
        <v>4</v>
      </c>
    </row>
    <row r="465" spans="2:9" x14ac:dyDescent="0.3">
      <c r="B465" s="172" t="s">
        <v>22</v>
      </c>
      <c r="C465" s="172" t="s">
        <v>82</v>
      </c>
      <c r="D465" s="172" t="s">
        <v>221</v>
      </c>
      <c r="E465" s="172">
        <v>8.5865533229058204E-4</v>
      </c>
      <c r="F465" s="172">
        <v>32</v>
      </c>
      <c r="G465" s="172">
        <v>0</v>
      </c>
      <c r="H465" s="172">
        <v>25</v>
      </c>
      <c r="I465" s="172">
        <v>4</v>
      </c>
    </row>
    <row r="466" spans="2:9" hidden="1" x14ac:dyDescent="0.3">
      <c r="B466" s="172" t="s">
        <v>22</v>
      </c>
      <c r="C466" s="172" t="s">
        <v>246</v>
      </c>
      <c r="D466" s="172" t="s">
        <v>218</v>
      </c>
      <c r="E466" s="172">
        <v>2.7343461131465601E-6</v>
      </c>
      <c r="F466" s="172">
        <v>28</v>
      </c>
      <c r="G466" s="172">
        <v>19</v>
      </c>
      <c r="H466" s="172">
        <v>31</v>
      </c>
      <c r="I466" s="172">
        <v>4</v>
      </c>
    </row>
    <row r="467" spans="2:9" hidden="1" x14ac:dyDescent="0.3">
      <c r="B467" s="172" t="s">
        <v>22</v>
      </c>
      <c r="C467" s="172" t="s">
        <v>246</v>
      </c>
      <c r="D467" s="172" t="s">
        <v>221</v>
      </c>
      <c r="E467" s="172">
        <v>4.5585838089467999E-7</v>
      </c>
      <c r="F467" s="172">
        <v>32</v>
      </c>
      <c r="G467" s="172">
        <v>0</v>
      </c>
      <c r="H467" s="172">
        <v>25</v>
      </c>
      <c r="I467" s="172">
        <v>4</v>
      </c>
    </row>
    <row r="468" spans="2:9" hidden="1" x14ac:dyDescent="0.3">
      <c r="B468" s="172"/>
      <c r="C468" s="172"/>
      <c r="D468" s="172"/>
      <c r="E468" s="172"/>
      <c r="F468" s="172"/>
      <c r="G468" s="172"/>
      <c r="H468" s="172"/>
      <c r="I468" s="172"/>
    </row>
    <row r="469" spans="2:9" hidden="1" x14ac:dyDescent="0.3">
      <c r="B469" s="172"/>
      <c r="C469" s="172"/>
      <c r="D469" s="172"/>
      <c r="E469" s="172"/>
      <c r="F469" s="172"/>
      <c r="G469" s="172"/>
      <c r="H469" s="172"/>
      <c r="I469" s="172"/>
    </row>
    <row r="470" spans="2:9" hidden="1" x14ac:dyDescent="0.3">
      <c r="B470" s="172"/>
      <c r="C470" s="172"/>
      <c r="D470" s="172"/>
      <c r="E470" s="172"/>
      <c r="F470" s="172"/>
      <c r="G470" s="172"/>
      <c r="H470" s="172"/>
      <c r="I470" s="172"/>
    </row>
    <row r="471" spans="2:9" hidden="1" x14ac:dyDescent="0.3">
      <c r="B471" s="172"/>
      <c r="C471" s="172"/>
      <c r="D471" s="172"/>
      <c r="E471" s="172"/>
      <c r="F471" s="172"/>
      <c r="G471" s="172"/>
      <c r="H471" s="172"/>
      <c r="I471" s="172"/>
    </row>
    <row r="472" spans="2:9" hidden="1" x14ac:dyDescent="0.3">
      <c r="B472" s="172"/>
      <c r="C472" s="172"/>
      <c r="D472" s="172"/>
      <c r="E472" s="172"/>
      <c r="F472" s="172"/>
      <c r="G472" s="172"/>
      <c r="H472" s="172"/>
      <c r="I472" s="172"/>
    </row>
    <row r="473" spans="2:9" hidden="1" x14ac:dyDescent="0.3">
      <c r="B473" s="172"/>
      <c r="C473" s="172"/>
      <c r="D473" s="172"/>
      <c r="E473" s="172"/>
      <c r="F473" s="172"/>
      <c r="G473" s="172"/>
      <c r="H473" s="172"/>
      <c r="I473" s="172"/>
    </row>
    <row r="474" spans="2:9" hidden="1" x14ac:dyDescent="0.3">
      <c r="B474" s="172"/>
      <c r="C474" s="172"/>
      <c r="D474" s="172"/>
      <c r="E474" s="172"/>
      <c r="F474" s="172"/>
      <c r="G474" s="172"/>
      <c r="H474" s="172"/>
      <c r="I474" s="172"/>
    </row>
    <row r="475" spans="2:9" hidden="1" x14ac:dyDescent="0.3">
      <c r="B475" s="172"/>
      <c r="C475" s="172"/>
      <c r="D475" s="172"/>
      <c r="E475" s="172"/>
      <c r="F475" s="172"/>
      <c r="G475" s="172"/>
      <c r="H475" s="172"/>
      <c r="I475" s="172"/>
    </row>
    <row r="476" spans="2:9" hidden="1" x14ac:dyDescent="0.3">
      <c r="B476" s="172"/>
      <c r="C476" s="172"/>
      <c r="D476" s="172"/>
      <c r="E476" s="172"/>
      <c r="F476" s="172"/>
      <c r="G476" s="172"/>
      <c r="H476" s="172"/>
      <c r="I476" s="172"/>
    </row>
    <row r="477" spans="2:9" hidden="1" x14ac:dyDescent="0.3">
      <c r="B477" s="172"/>
      <c r="C477" s="172"/>
      <c r="D477" s="172"/>
      <c r="E477" s="172"/>
      <c r="F477" s="172"/>
      <c r="G477" s="172"/>
      <c r="H477" s="172"/>
      <c r="I477" s="172"/>
    </row>
    <row r="478" spans="2:9" hidden="1" x14ac:dyDescent="0.3">
      <c r="B478" s="172"/>
      <c r="C478" s="172"/>
      <c r="D478" s="172"/>
      <c r="E478" s="172"/>
      <c r="F478" s="172"/>
      <c r="G478" s="172"/>
      <c r="H478" s="172"/>
      <c r="I478" s="172"/>
    </row>
    <row r="479" spans="2:9" hidden="1" x14ac:dyDescent="0.3">
      <c r="B479" s="172"/>
      <c r="C479" s="172"/>
      <c r="D479" s="172"/>
      <c r="E479" s="172"/>
      <c r="F479" s="172"/>
      <c r="G479" s="172"/>
      <c r="H479" s="172"/>
      <c r="I479" s="172"/>
    </row>
    <row r="480" spans="2:9" hidden="1" x14ac:dyDescent="0.3">
      <c r="B480" s="172"/>
      <c r="C480" s="172"/>
      <c r="D480" s="172"/>
      <c r="E480" s="172"/>
      <c r="F480" s="172"/>
      <c r="G480" s="172"/>
      <c r="H480" s="172"/>
      <c r="I480" s="172"/>
    </row>
    <row r="481" spans="2:9" hidden="1" x14ac:dyDescent="0.3">
      <c r="B481" s="172"/>
      <c r="C481" s="172"/>
      <c r="D481" s="172"/>
      <c r="E481" s="172"/>
      <c r="F481" s="172"/>
      <c r="G481" s="172"/>
      <c r="H481" s="172"/>
      <c r="I481" s="172"/>
    </row>
    <row r="482" spans="2:9" hidden="1" x14ac:dyDescent="0.3">
      <c r="B482" s="172"/>
      <c r="C482" s="172"/>
      <c r="D482" s="172"/>
      <c r="E482" s="172"/>
      <c r="F482" s="172"/>
      <c r="G482" s="172"/>
      <c r="H482" s="172"/>
      <c r="I482" s="172"/>
    </row>
    <row r="483" spans="2:9" hidden="1" x14ac:dyDescent="0.3">
      <c r="B483" s="172"/>
      <c r="C483" s="172"/>
      <c r="D483" s="172"/>
      <c r="E483" s="172"/>
      <c r="F483" s="172"/>
      <c r="G483" s="172"/>
      <c r="H483" s="172"/>
      <c r="I483" s="172"/>
    </row>
    <row r="484" spans="2:9" hidden="1" x14ac:dyDescent="0.3">
      <c r="B484" s="172"/>
      <c r="C484" s="172"/>
      <c r="D484" s="172"/>
      <c r="E484" s="172"/>
      <c r="F484" s="172"/>
      <c r="G484" s="172"/>
      <c r="H484" s="172"/>
      <c r="I484" s="172"/>
    </row>
    <row r="485" spans="2:9" hidden="1" x14ac:dyDescent="0.3">
      <c r="B485" s="172"/>
      <c r="C485" s="172"/>
      <c r="D485" s="172"/>
      <c r="E485" s="172"/>
      <c r="F485" s="172"/>
      <c r="G485" s="172"/>
      <c r="H485" s="172"/>
      <c r="I485" s="172"/>
    </row>
    <row r="486" spans="2:9" hidden="1" x14ac:dyDescent="0.3">
      <c r="B486" s="172"/>
      <c r="C486" s="172"/>
      <c r="D486" s="172"/>
      <c r="E486" s="172"/>
      <c r="F486" s="172"/>
      <c r="G486" s="172"/>
      <c r="H486" s="172"/>
      <c r="I486" s="172"/>
    </row>
    <row r="487" spans="2:9" hidden="1" x14ac:dyDescent="0.3">
      <c r="B487" s="172"/>
      <c r="C487" s="172"/>
      <c r="D487" s="172"/>
      <c r="E487" s="172"/>
      <c r="F487" s="172"/>
      <c r="G487" s="172"/>
      <c r="H487" s="172"/>
      <c r="I487" s="172"/>
    </row>
    <row r="488" spans="2:9" hidden="1" x14ac:dyDescent="0.3">
      <c r="B488" s="172"/>
      <c r="C488" s="172"/>
      <c r="D488" s="172"/>
      <c r="E488" s="172"/>
      <c r="F488" s="172"/>
      <c r="G488" s="172"/>
      <c r="H488" s="172"/>
      <c r="I488" s="172"/>
    </row>
    <row r="489" spans="2:9" hidden="1" x14ac:dyDescent="0.3">
      <c r="B489" s="172"/>
      <c r="C489" s="172"/>
      <c r="D489" s="172"/>
      <c r="E489" s="172"/>
      <c r="F489" s="172"/>
      <c r="G489" s="172"/>
      <c r="H489" s="172"/>
      <c r="I489" s="172"/>
    </row>
    <row r="490" spans="2:9" hidden="1" x14ac:dyDescent="0.3">
      <c r="B490" s="172"/>
      <c r="C490" s="172"/>
      <c r="D490" s="172"/>
      <c r="E490" s="172"/>
      <c r="F490" s="172"/>
      <c r="G490" s="172"/>
      <c r="H490" s="172"/>
      <c r="I490" s="172"/>
    </row>
    <row r="491" spans="2:9" hidden="1" x14ac:dyDescent="0.3">
      <c r="B491" s="172"/>
      <c r="C491" s="172"/>
      <c r="D491" s="172"/>
      <c r="E491" s="172"/>
      <c r="F491" s="172"/>
      <c r="G491" s="172"/>
      <c r="H491" s="172"/>
      <c r="I491" s="172"/>
    </row>
    <row r="492" spans="2:9" hidden="1" x14ac:dyDescent="0.3">
      <c r="B492" s="172"/>
      <c r="C492" s="172"/>
      <c r="D492" s="172"/>
      <c r="E492" s="172"/>
      <c r="F492" s="172"/>
      <c r="G492" s="172"/>
      <c r="H492" s="172"/>
      <c r="I492" s="172"/>
    </row>
    <row r="493" spans="2:9" hidden="1" x14ac:dyDescent="0.3">
      <c r="B493" s="172"/>
      <c r="C493" s="172"/>
      <c r="D493" s="172"/>
      <c r="E493" s="172"/>
      <c r="F493" s="172"/>
      <c r="G493" s="172"/>
      <c r="H493" s="172"/>
      <c r="I493" s="172"/>
    </row>
    <row r="494" spans="2:9" hidden="1" x14ac:dyDescent="0.3">
      <c r="B494" s="172"/>
      <c r="C494" s="172"/>
      <c r="D494" s="172"/>
      <c r="E494" s="172"/>
      <c r="F494" s="172"/>
      <c r="G494" s="172"/>
      <c r="H494" s="172"/>
      <c r="I494" s="172"/>
    </row>
    <row r="495" spans="2:9" hidden="1" x14ac:dyDescent="0.3">
      <c r="B495" s="172"/>
      <c r="C495" s="172"/>
      <c r="D495" s="172"/>
      <c r="E495" s="172"/>
      <c r="F495" s="172"/>
      <c r="G495" s="172"/>
      <c r="H495" s="172"/>
      <c r="I495" s="172"/>
    </row>
    <row r="496" spans="2:9" hidden="1" x14ac:dyDescent="0.3">
      <c r="B496" s="172"/>
      <c r="C496" s="172"/>
      <c r="D496" s="172"/>
      <c r="E496" s="172"/>
      <c r="F496" s="172"/>
      <c r="G496" s="172"/>
      <c r="H496" s="172"/>
      <c r="I496" s="172"/>
    </row>
    <row r="497" spans="2:9" hidden="1" x14ac:dyDescent="0.3">
      <c r="B497" s="172"/>
      <c r="C497" s="172"/>
      <c r="D497" s="172"/>
      <c r="E497" s="172"/>
      <c r="F497" s="172"/>
      <c r="G497" s="172"/>
      <c r="H497" s="172"/>
      <c r="I497" s="172"/>
    </row>
    <row r="498" spans="2:9" hidden="1" x14ac:dyDescent="0.3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3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3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12</xdr:col>
                    <xdr:colOff>624840</xdr:colOff>
                    <xdr:row>1</xdr:row>
                    <xdr:rowOff>38100</xdr:rowOff>
                  </from>
                  <to>
                    <xdr:col>15</xdr:col>
                    <xdr:colOff>441960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zoomScale="80" zoomScaleNormal="80" workbookViewId="0">
      <selection activeCell="M72" sqref="M72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201" t="s">
        <v>78</v>
      </c>
      <c r="C2" s="201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3.3839460845709401E-4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3.5000520764451602E-4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5.5180264596959997E-4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7.4022406051532695E-4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8.9822879860787096E-4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1.02076154632551E-3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1.07312589003806E-3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1.1018315117363501E-3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1.15026133797418E-3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1.1565303187614799E-3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8.4979817938368198E-4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3.2923464750307798E-4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3.5471387223790499E-4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5.5937108158358095E-4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7.5105759271122902E-4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9.1197697180279503E-4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1.03667906155844E-3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1.08865796788846E-3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1.1165937743355899E-3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1.16584796602407E-3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1.1731157504251599E-3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8.6255477881700695E-4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2.00830203094821E-4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3.2068321072022203E-4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5.2694252168535797E-4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7.2241981363536695E-4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8.8821224429016599E-4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1.0185661065505701E-3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1.08015135190698E-3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1.1194507587522101E-3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1.18304220581932E-3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1.1916981789367399E-3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8.5576406799386495E-4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1.9407075734898801E-4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3.2370702677490999E-4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5.4126462384666396E-4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7.5019877551273605E-4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9.2785711736680597E-4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1.0663535432818001E-3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1.12827834383138E-3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1.16577688633869E-3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1.22489647214065E-3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1.2285906373805E-3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8.5865533229058204E-4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zoomScale="80" zoomScaleNormal="80" workbookViewId="0">
      <selection activeCell="K73" sqref="K73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4" t="s">
        <v>194</v>
      </c>
      <c r="N2" s="204"/>
      <c r="O2" s="204"/>
      <c r="P2" s="204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31</v>
      </c>
      <c r="O3" s="183">
        <v>23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2.92269329699054E-2</v>
      </c>
      <c r="F6" s="185">
        <v>2.8572278381681901E-2</v>
      </c>
      <c r="G6" s="186">
        <v>1.0229122291011701</v>
      </c>
      <c r="H6" s="42">
        <f>+E6/(1.2*F6)</f>
        <v>0.85242685758430836</v>
      </c>
      <c r="I6" s="47">
        <f>+'Centers of Mass and Rigidity'!L5-'Centers of Mass and Rigidity'!F5</f>
        <v>-0.9550064338993991</v>
      </c>
      <c r="J6" s="47">
        <f>+'Centers of Mass and Rigidity'!M5-'Centers of Mass and Rigidity'!G5</f>
        <v>-0.47441559405410061</v>
      </c>
      <c r="K6" s="172">
        <f>IF(+'Sismo UBC-94 y Dinamico'!O15=0,'Sismo UBC-94 y Dinamico'!M15,'Sismo UBC-94 y Dinamico'!O15)</f>
        <v>1174.5544594717567</v>
      </c>
      <c r="L6" s="172">
        <f>IF(+'Sismo UBC-94 y Dinamico'!P15=0,'Sismo UBC-94 y Dinamico'!N15,'Sismo UBC-94 y Dinamico'!P15)</f>
        <v>63.310543382657009</v>
      </c>
      <c r="M6" s="52">
        <f>0.05*N6*K6*(H6-1)+0.05*O6*L6*(H6-1)</f>
        <v>-279.41004962032463</v>
      </c>
      <c r="N6">
        <f>+$N$3</f>
        <v>31</v>
      </c>
      <c r="O6">
        <f>+$O$3</f>
        <v>23</v>
      </c>
      <c r="P6" s="95">
        <f>+K6*(J6+0.05*N6*H6)-K6*(J6+0.05*N6)</f>
        <v>-268.66567341004748</v>
      </c>
      <c r="Q6" s="95">
        <f>+L6*(I6+0.05*O6*H6)-L6*(I6+0.05*O6)</f>
        <v>-10.74437621027722</v>
      </c>
      <c r="R6" s="95">
        <f>+P6+Q6</f>
        <v>-279.41004962032468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3.1496908406860397E-2</v>
      </c>
      <c r="F7" s="185">
        <v>2.7859767794999199E-2</v>
      </c>
      <c r="G7" s="186">
        <v>1.1305517202664599</v>
      </c>
      <c r="H7" s="42">
        <f t="shared" ref="H7:H16" si="0">+E7/(1.2*F7)</f>
        <v>0.94212643355538139</v>
      </c>
      <c r="I7" s="47">
        <f>+'Centers of Mass and Rigidity'!L6-'Centers of Mass and Rigidity'!F6</f>
        <v>0.27043268474230153</v>
      </c>
      <c r="J7" s="47">
        <f>+'Centers of Mass and Rigidity'!M6-'Centers of Mass and Rigidity'!G6</f>
        <v>9.6670938697799969E-2</v>
      </c>
      <c r="K7" s="172">
        <f>IF(+'Sismo UBC-94 y Dinamico'!O16=0,'Sismo UBC-94 y Dinamico'!M16,'Sismo UBC-94 y Dinamico'!O16)</f>
        <v>31116.982117028481</v>
      </c>
      <c r="L7" s="172">
        <f>IF(+'Sismo UBC-94 y Dinamico'!P16=0,'Sismo UBC-94 y Dinamico'!N16,'Sismo UBC-94 y Dinamico'!P16)</f>
        <v>120.59959251953953</v>
      </c>
      <c r="M7" s="52">
        <f>0.05*N7*K7*(H7-1)+0.05*O7*L7*(H7-1)</f>
        <v>-2799.3450925745824</v>
      </c>
      <c r="N7" s="172">
        <f t="shared" ref="N7:N16" si="1">+$N$3</f>
        <v>31</v>
      </c>
      <c r="O7" s="172">
        <f t="shared" ref="O7:O16" si="2">+$O$3</f>
        <v>23</v>
      </c>
      <c r="P7" s="95">
        <f>+K7*(J7+0.05*N7*H7)-K7*(J7+0.05*N7)</f>
        <v>-2791.3186347640731</v>
      </c>
      <c r="Q7" s="95">
        <f>+L7*(I7+0.05*O7*H7)-L7*(I7+0.05*O7)</f>
        <v>-8.0264578105045246</v>
      </c>
      <c r="R7" s="95">
        <f>+P7+Q7</f>
        <v>-2799.3450925745774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3.0273931172022501E-2</v>
      </c>
      <c r="F8" s="185">
        <v>2.6763332059075801E-2</v>
      </c>
      <c r="G8" s="186">
        <v>1.1311719745955999</v>
      </c>
      <c r="H8" s="42">
        <f t="shared" si="0"/>
        <v>0.94264331216300012</v>
      </c>
      <c r="I8" s="47">
        <f>+'Centers of Mass and Rigidity'!L7-'Centers of Mass and Rigidity'!F7</f>
        <v>0.26947368018429962</v>
      </c>
      <c r="J8" s="47">
        <f>+'Centers of Mass and Rigidity'!M7-'Centers of Mass and Rigidity'!G7</f>
        <v>6.1561308293899941E-2</v>
      </c>
      <c r="K8" s="172">
        <f>IF(+'Sismo UBC-94 y Dinamico'!O17=0,'Sismo UBC-94 y Dinamico'!M17,'Sismo UBC-94 y Dinamico'!O17)</f>
        <v>34502.326094159624</v>
      </c>
      <c r="L8" s="172">
        <f>IF(+'Sismo UBC-94 y Dinamico'!P17=0,'Sismo UBC-94 y Dinamico'!N17,'Sismo UBC-94 y Dinamico'!P17)</f>
        <v>132.44578868305064</v>
      </c>
      <c r="M8" s="52">
        <f>0.05*N8*K8*(H8-1)+0.05*O8*L8*(H8-1)</f>
        <v>-3076.0918280416295</v>
      </c>
      <c r="N8" s="172">
        <f t="shared" si="1"/>
        <v>31</v>
      </c>
      <c r="O8" s="172">
        <f t="shared" si="2"/>
        <v>23</v>
      </c>
      <c r="P8" s="95">
        <f>+K8*(J8+0.05*N8*H8)-K8*(J8+0.05*N8)</f>
        <v>-3067.3556785212859</v>
      </c>
      <c r="Q8" s="95">
        <f>+L8*(I8+0.05*O8*H8)-L8*(I8+0.05*O8)</f>
        <v>-8.7361495203418258</v>
      </c>
      <c r="R8" s="95">
        <f>+P8+Q8</f>
        <v>-3076.0918280416277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2.8346142731247199E-2</v>
      </c>
      <c r="F9" s="185">
        <v>2.50538344656351E-2</v>
      </c>
      <c r="G9" s="186">
        <v>1.1314093565249701</v>
      </c>
      <c r="H9" s="42">
        <f t="shared" si="0"/>
        <v>0.94284113043747086</v>
      </c>
      <c r="I9" s="47">
        <f>+'Centers of Mass and Rigidity'!L8-'Centers of Mass and Rigidity'!F8</f>
        <v>0.26685903969119984</v>
      </c>
      <c r="J9" s="47">
        <f>+'Centers of Mass and Rigidity'!M8-'Centers of Mass and Rigidity'!G8</f>
        <v>6.4661070019399247E-2</v>
      </c>
      <c r="K9" s="172">
        <f>IF(+'Sismo UBC-94 y Dinamico'!O18=0,'Sismo UBC-94 y Dinamico'!M18,'Sismo UBC-94 y Dinamico'!O18)</f>
        <v>28696.455105518275</v>
      </c>
      <c r="L9" s="172">
        <f>IF(+'Sismo UBC-94 y Dinamico'!P18=0,'Sismo UBC-94 y Dinamico'!N18,'Sismo UBC-94 y Dinamico'!P18)</f>
        <v>88.459950630971079</v>
      </c>
      <c r="M9" s="52">
        <f>0.05*N9*K9*(H9-1)+0.05*O9*L9*(H9-1)</f>
        <v>-2548.2129595356701</v>
      </c>
      <c r="N9" s="172">
        <f t="shared" si="1"/>
        <v>31</v>
      </c>
      <c r="O9" s="172">
        <f t="shared" si="2"/>
        <v>23</v>
      </c>
      <c r="P9" s="95">
        <f>+K9*(J9+0.05*N9*H9)-K9*(J9+0.05*N9)</f>
        <v>-2542.3982481391067</v>
      </c>
      <c r="Q9" s="95">
        <f>+L9*(I9+0.05*O9*H9)-L9*(I9+0.05*O9)</f>
        <v>-5.8147113965669632</v>
      </c>
      <c r="R9" s="95">
        <f>+P9+Q9</f>
        <v>-2548.2129595356737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2.5760257010385802E-2</v>
      </c>
      <c r="F10" s="185">
        <v>2.2771655183188699E-2</v>
      </c>
      <c r="G10" s="186">
        <v>1.1312421869712601</v>
      </c>
      <c r="H10" s="42">
        <f t="shared" si="0"/>
        <v>0.94270182247604961</v>
      </c>
      <c r="I10" s="47">
        <f>+'Centers of Mass and Rigidity'!L9-'Centers of Mass and Rigidity'!F9</f>
        <v>0.25722361444680075</v>
      </c>
      <c r="J10" s="47">
        <f>+'Centers of Mass and Rigidity'!M9-'Centers of Mass and Rigidity'!G9</f>
        <v>6.7072779878099453E-2</v>
      </c>
      <c r="K10" s="172">
        <f>IF(+'Sismo UBC-94 y Dinamico'!O19=0,'Sismo UBC-94 y Dinamico'!M19,'Sismo UBC-94 y Dinamico'!O19)</f>
        <v>23966.889569768944</v>
      </c>
      <c r="L10" s="172">
        <f>IF(+'Sismo UBC-94 y Dinamico'!P19=0,'Sismo UBC-94 y Dinamico'!N19,'Sismo UBC-94 y Dinamico'!P19)</f>
        <v>63.448548521259269</v>
      </c>
      <c r="M10" s="52">
        <f>0.05*N10*K10*(H10-1)+0.05*O10*L10*(H10-1)</f>
        <v>-2132.7324036879099</v>
      </c>
      <c r="N10" s="172">
        <f t="shared" si="1"/>
        <v>31</v>
      </c>
      <c r="O10" s="172">
        <f t="shared" si="2"/>
        <v>23</v>
      </c>
      <c r="P10" s="95">
        <f>+K10*(J10+0.05*N10*H10)-K10*(J10+0.05*N10)</f>
        <v>-2128.5515945615844</v>
      </c>
      <c r="Q10" s="95">
        <f>+L10*(I10+0.05*O10*H10)-L10*(I10+0.05*O10)</f>
        <v>-4.1808091263293079</v>
      </c>
      <c r="R10" s="95">
        <f>+P10+Q10</f>
        <v>-2132.7324036879136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2.2622505656604799E-2</v>
      </c>
      <c r="F11" s="185">
        <v>2.0008969192897401E-2</v>
      </c>
      <c r="G11" s="186">
        <v>1.13061824617308</v>
      </c>
      <c r="H11" s="42">
        <f t="shared" si="0"/>
        <v>0.94218187181089796</v>
      </c>
      <c r="I11" s="47">
        <f>+'Centers of Mass and Rigidity'!L10-'Centers of Mass and Rigidity'!F10</f>
        <v>0.2389292535763996</v>
      </c>
      <c r="J11" s="47">
        <f>+'Centers of Mass and Rigidity'!M10-'Centers of Mass and Rigidity'!G10</f>
        <v>6.8443278868800306E-2</v>
      </c>
      <c r="K11" s="172">
        <f>IF(+'Sismo UBC-94 y Dinamico'!O20=0,'Sismo UBC-94 y Dinamico'!M20,'Sismo UBC-94 y Dinamico'!O20)</f>
        <v>20323.247205801199</v>
      </c>
      <c r="L11" s="172">
        <f>IF(+'Sismo UBC-94 y Dinamico'!P20=0,'Sismo UBC-94 y Dinamico'!N20,'Sismo UBC-94 y Dinamico'!P20)</f>
        <v>48.937126627939456</v>
      </c>
      <c r="M11" s="52">
        <f t="shared" ref="M11:M16" si="3">0.05*N11*K11*(H11-1)+0.05*O11*L11*(H11-1)</f>
        <v>-1824.5846448735942</v>
      </c>
      <c r="N11" s="172">
        <f t="shared" si="1"/>
        <v>31</v>
      </c>
      <c r="O11" s="172">
        <f t="shared" si="2"/>
        <v>23</v>
      </c>
      <c r="P11" s="95">
        <f t="shared" ref="P11:P16" si="4">+K11*(J11+0.05*N11*H11)-K11*(J11+0.05*N11)</f>
        <v>-1821.3307738539297</v>
      </c>
      <c r="Q11" s="95">
        <f t="shared" ref="Q11:Q16" si="5">+L11*(I11+0.05*O11*H11)-L11*(I11+0.05*O11)</f>
        <v>-3.2538710196675993</v>
      </c>
      <c r="R11" s="95">
        <f t="shared" ref="R11:R16" si="6">+P11+Q11</f>
        <v>-1824.5846448735974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1.9056745676019698E-2</v>
      </c>
      <c r="F12" s="185">
        <v>1.6871345968667399E-2</v>
      </c>
      <c r="G12" s="186">
        <v>1.1295332163427201</v>
      </c>
      <c r="H12" s="42">
        <f t="shared" si="0"/>
        <v>0.94127768028560144</v>
      </c>
      <c r="I12" s="47">
        <f>+'Centers of Mass and Rigidity'!L11-'Centers of Mass and Rigidity'!F11</f>
        <v>0.21296418195939992</v>
      </c>
      <c r="J12" s="47">
        <f>+'Centers of Mass and Rigidity'!M11-'Centers of Mass and Rigidity'!G11</f>
        <v>6.8805085007200617E-2</v>
      </c>
      <c r="K12" s="172">
        <f>IF(+'Sismo UBC-94 y Dinamico'!O21=0,'Sismo UBC-94 y Dinamico'!M21,'Sismo UBC-94 y Dinamico'!O21)</f>
        <v>17534.472792077431</v>
      </c>
      <c r="L12" s="172">
        <f>IF(+'Sismo UBC-94 y Dinamico'!P21=0,'Sismo UBC-94 y Dinamico'!N21,'Sismo UBC-94 y Dinamico'!P21)</f>
        <v>44.508146588081999</v>
      </c>
      <c r="M12" s="52">
        <f t="shared" si="3"/>
        <v>-1598.9862867015972</v>
      </c>
      <c r="N12" s="172">
        <f t="shared" si="1"/>
        <v>31</v>
      </c>
      <c r="O12" s="172">
        <f t="shared" si="2"/>
        <v>23</v>
      </c>
      <c r="P12" s="95">
        <f t="shared" si="4"/>
        <v>-1595.9806218456833</v>
      </c>
      <c r="Q12" s="95">
        <f t="shared" si="5"/>
        <v>-3.0056648559167698</v>
      </c>
      <c r="R12" s="95">
        <f t="shared" si="6"/>
        <v>-1598.9862867016002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1.5307785419528101E-2</v>
      </c>
      <c r="F13" s="185">
        <v>1.3555167947958999E-2</v>
      </c>
      <c r="G13" s="186">
        <v>1.12929514988658</v>
      </c>
      <c r="H13" s="42">
        <f t="shared" si="0"/>
        <v>0.94107929157214854</v>
      </c>
      <c r="I13" s="47">
        <f>+'Centers of Mass and Rigidity'!L12-'Centers of Mass and Rigidity'!F12</f>
        <v>0.22462992761260026</v>
      </c>
      <c r="J13" s="47">
        <f>+'Centers of Mass and Rigidity'!M12-'Centers of Mass and Rigidity'!G12</f>
        <v>6.9014901580798593E-2</v>
      </c>
      <c r="K13" s="172">
        <f>IF(+'Sismo UBC-94 y Dinamico'!O22=0,'Sismo UBC-94 y Dinamico'!M22,'Sismo UBC-94 y Dinamico'!O22)</f>
        <v>15736.585976005255</v>
      </c>
      <c r="L13" s="172">
        <f>IF(+'Sismo UBC-94 y Dinamico'!P22=0,'Sismo UBC-94 y Dinamico'!N22,'Sismo UBC-94 y Dinamico'!P22)</f>
        <v>49.171100621787346</v>
      </c>
      <c r="M13" s="52">
        <f t="shared" si="3"/>
        <v>-1440.508506105369</v>
      </c>
      <c r="N13" s="172">
        <f t="shared" si="1"/>
        <v>31</v>
      </c>
      <c r="O13" s="172">
        <f t="shared" si="2"/>
        <v>23</v>
      </c>
      <c r="P13" s="95">
        <f t="shared" si="4"/>
        <v>-1437.1767306101356</v>
      </c>
      <c r="Q13" s="95">
        <f t="shared" si="5"/>
        <v>-3.3317754952348082</v>
      </c>
      <c r="R13" s="95">
        <f t="shared" si="6"/>
        <v>-1440.5085061053703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1.14582650074708E-2</v>
      </c>
      <c r="F14" s="185">
        <v>1.0132820035131501E-2</v>
      </c>
      <c r="G14" s="186">
        <v>1.1308071166510201</v>
      </c>
      <c r="H14" s="42">
        <f t="shared" si="0"/>
        <v>0.94233926387585509</v>
      </c>
      <c r="I14" s="47">
        <f>+'Centers of Mass and Rigidity'!L13-'Centers of Mass and Rigidity'!F13</f>
        <v>0.16768444524359971</v>
      </c>
      <c r="J14" s="47">
        <f>+'Centers of Mass and Rigidity'!M13-'Centers of Mass and Rigidity'!G13</f>
        <v>6.891558403859932E-2</v>
      </c>
      <c r="K14" s="172">
        <f>IF(+'Sismo UBC-94 y Dinamico'!O23=0,'Sismo UBC-94 y Dinamico'!M23,'Sismo UBC-94 y Dinamico'!O23)</f>
        <v>13565.137092035999</v>
      </c>
      <c r="L14" s="172">
        <f>IF(+'Sismo UBC-94 y Dinamico'!P23=0,'Sismo UBC-94 y Dinamico'!N23,'Sismo UBC-94 y Dinamico'!P23)</f>
        <v>50.149324759183067</v>
      </c>
      <c r="M14" s="52">
        <f t="shared" si="3"/>
        <v>-1215.6978690741989</v>
      </c>
      <c r="N14" s="172">
        <f t="shared" si="1"/>
        <v>31</v>
      </c>
      <c r="O14" s="172">
        <f t="shared" si="2"/>
        <v>23</v>
      </c>
      <c r="P14" s="95">
        <f t="shared" si="4"/>
        <v>-1212.3724750451947</v>
      </c>
      <c r="Q14" s="95">
        <f t="shared" si="5"/>
        <v>-3.3253940290047979</v>
      </c>
      <c r="R14" s="95">
        <f t="shared" si="6"/>
        <v>-1215.6978690741996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7.4396068628656701E-3</v>
      </c>
      <c r="F15" s="185">
        <v>6.5640672654075499E-3</v>
      </c>
      <c r="G15" s="186">
        <v>1.13338370282587</v>
      </c>
      <c r="H15" s="42">
        <f t="shared" si="0"/>
        <v>0.94448641902155572</v>
      </c>
      <c r="I15" s="47">
        <f>+'Centers of Mass and Rigidity'!L14-'Centers of Mass and Rigidity'!F14</f>
        <v>-0.17156953249789986</v>
      </c>
      <c r="J15" s="47">
        <f>+'Centers of Mass and Rigidity'!M14-'Centers of Mass and Rigidity'!G14</f>
        <v>6.003638102239961E-2</v>
      </c>
      <c r="K15" s="172">
        <f>IF(+'Sismo UBC-94 y Dinamico'!O24=0,'Sismo UBC-94 y Dinamico'!M24,'Sismo UBC-94 y Dinamico'!O24)</f>
        <v>10511.993169289171</v>
      </c>
      <c r="L15" s="172">
        <f>IF(+'Sismo UBC-94 y Dinamico'!P24=0,'Sismo UBC-94 y Dinamico'!N24,'Sismo UBC-94 y Dinamico'!P24)</f>
        <v>52.657080222965732</v>
      </c>
      <c r="M15" s="52">
        <f t="shared" si="3"/>
        <v>-907.87715582479359</v>
      </c>
      <c r="N15" s="172">
        <f t="shared" si="1"/>
        <v>31</v>
      </c>
      <c r="O15" s="172">
        <f t="shared" si="2"/>
        <v>23</v>
      </c>
      <c r="P15" s="95">
        <f t="shared" si="4"/>
        <v>-904.51549527468887</v>
      </c>
      <c r="Q15" s="95">
        <f t="shared" si="5"/>
        <v>-3.3616605501029468</v>
      </c>
      <c r="R15" s="95">
        <f t="shared" si="6"/>
        <v>-907.87715582479177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3.3991927175347301E-3</v>
      </c>
      <c r="F16" s="188">
        <v>2.9850552807994201E-3</v>
      </c>
      <c r="G16" s="189">
        <v>1.1387369404510299</v>
      </c>
      <c r="H16" s="42">
        <f t="shared" si="0"/>
        <v>0.9489474503758607</v>
      </c>
      <c r="I16" s="47">
        <f>+'Centers of Mass and Rigidity'!L15-'Centers of Mass and Rigidity'!F15</f>
        <v>0.11684448833049998</v>
      </c>
      <c r="J16" s="47">
        <f>+'Centers of Mass and Rigidity'!M15-'Centers of Mass and Rigidity'!G15</f>
        <v>0.11108656378059933</v>
      </c>
      <c r="K16" s="172">
        <f>IF(+'Sismo UBC-94 y Dinamico'!O25=0,'Sismo UBC-94 y Dinamico'!M25,'Sismo UBC-94 y Dinamico'!O25)</f>
        <v>5900.2377085827802</v>
      </c>
      <c r="L16" s="172">
        <f>IF(+'Sismo UBC-94 y Dinamico'!P25=0,'Sismo UBC-94 y Dinamico'!N25,'Sismo UBC-94 y Dinamico'!P25)</f>
        <v>35.12976221087623</v>
      </c>
      <c r="M16" s="52">
        <f t="shared" si="3"/>
        <v>-468.95686005588078</v>
      </c>
      <c r="N16" s="172">
        <f t="shared" si="1"/>
        <v>31</v>
      </c>
      <c r="O16" s="172">
        <f t="shared" si="2"/>
        <v>23</v>
      </c>
      <c r="P16" s="95">
        <f t="shared" si="4"/>
        <v>-466.89437653804271</v>
      </c>
      <c r="Q16" s="95">
        <f t="shared" si="5"/>
        <v>-2.0624835178382241</v>
      </c>
      <c r="R16" s="95">
        <f t="shared" si="6"/>
        <v>-468.95686005588095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2.97083009290194E-2</v>
      </c>
      <c r="F24" s="185">
        <v>2.90942388983827E-2</v>
      </c>
      <c r="G24" s="186">
        <v>1.0211059664692199</v>
      </c>
      <c r="H24" s="42">
        <f>+E24/(1.2*F24)</f>
        <v>0.85092163872434889</v>
      </c>
      <c r="I24" s="47">
        <f t="shared" ref="I24:L28" si="7">+I6</f>
        <v>-0.9550064338993991</v>
      </c>
      <c r="J24" s="47">
        <f t="shared" si="7"/>
        <v>-0.47441559405410061</v>
      </c>
      <c r="K24" s="48">
        <f>+K6</f>
        <v>1174.5544594717567</v>
      </c>
      <c r="L24" s="48">
        <f>+L6</f>
        <v>63.310543382657009</v>
      </c>
      <c r="M24" s="52">
        <f>-0.05*N24*K24*(H24-1)-0.05*O24*L24*(H24-1)</f>
        <v>282.25998064074048</v>
      </c>
      <c r="N24" s="172">
        <f>+$N$3</f>
        <v>31</v>
      </c>
      <c r="O24" s="172">
        <f>+$O$3</f>
        <v>23</v>
      </c>
      <c r="P24" s="95">
        <f>+K24*(J24-0.05*N24*H24)-K24*(J24-0.05*N24)</f>
        <v>271.40601377293888</v>
      </c>
      <c r="Q24" s="95">
        <f>+L24*(I24-0.05*O24*H24)-L24*(I24-0.05*O24)</f>
        <v>10.853966867801162</v>
      </c>
      <c r="R24" s="95">
        <f>+P24+Q24</f>
        <v>282.25998064074003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3.1945236720474099E-2</v>
      </c>
      <c r="F25" s="185">
        <v>2.7885363848346001E-2</v>
      </c>
      <c r="G25" s="186">
        <v>1.14559153304248</v>
      </c>
      <c r="H25" s="42">
        <f>+E25/(1.2*F25)</f>
        <v>0.95465961086873496</v>
      </c>
      <c r="I25" s="47">
        <f t="shared" si="7"/>
        <v>0.27043268474230153</v>
      </c>
      <c r="J25" s="47">
        <f t="shared" si="7"/>
        <v>9.6670938697799969E-2</v>
      </c>
      <c r="K25" s="48">
        <f t="shared" si="7"/>
        <v>31116.982117028481</v>
      </c>
      <c r="L25" s="48">
        <f t="shared" si="7"/>
        <v>120.59959251953953</v>
      </c>
      <c r="M25" s="52">
        <f>-0.05*N25*K25*(H25-1)-0.05*O25*L25*(H25-1)</f>
        <v>2193.1151578758586</v>
      </c>
      <c r="N25" s="172">
        <f t="shared" ref="N25:N34" si="8">+$N$3</f>
        <v>31</v>
      </c>
      <c r="O25" s="172">
        <f t="shared" ref="O25:O34" si="9">+$O$3</f>
        <v>23</v>
      </c>
      <c r="P25" s="95">
        <f>+K25*(J25-0.05*N25*H25)-K25*(J25-0.05*N25)</f>
        <v>2186.8269205538672</v>
      </c>
      <c r="Q25" s="95">
        <f>+L25*(I25-0.05*O25*H25)-L25*(I25-0.05*O25)</f>
        <v>6.288237321994103</v>
      </c>
      <c r="R25" s="95">
        <f>+P25+Q25</f>
        <v>2193.1151578758613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3.0706040375794601E-2</v>
      </c>
      <c r="F26" s="185">
        <v>2.6788904409164899E-2</v>
      </c>
      <c r="G26" s="186">
        <v>1.1462223279758199</v>
      </c>
      <c r="H26" s="42">
        <f>+E26/(1.2*F26)</f>
        <v>0.95518527331318026</v>
      </c>
      <c r="I26" s="47">
        <f t="shared" si="7"/>
        <v>0.26947368018429962</v>
      </c>
      <c r="J26" s="47">
        <f t="shared" si="7"/>
        <v>6.1561308293899941E-2</v>
      </c>
      <c r="K26" s="48">
        <f t="shared" si="7"/>
        <v>34502.326094159624</v>
      </c>
      <c r="L26" s="48">
        <f t="shared" si="7"/>
        <v>132.44578868305064</v>
      </c>
      <c r="M26" s="52">
        <f>-0.05*N26*K26*(H26-1)-0.05*O26*L26*(H26-1)</f>
        <v>2403.4549367461523</v>
      </c>
      <c r="N26" s="172">
        <f t="shared" si="8"/>
        <v>31</v>
      </c>
      <c r="O26" s="172">
        <f t="shared" si="9"/>
        <v>23</v>
      </c>
      <c r="P26" s="95">
        <f>+K26*(J26-0.05*N26*H26)-K26*(J26-0.05*N26)</f>
        <v>2396.6290866524068</v>
      </c>
      <c r="Q26" s="95">
        <f>+L26*(I26-0.05*O26*H26)-L26*(I26-0.05*O26)</f>
        <v>6.8258500937488833</v>
      </c>
      <c r="R26" s="95">
        <f>+P26+Q26</f>
        <v>2403.4549367461559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2.8752169155889101E-2</v>
      </c>
      <c r="F27" s="185">
        <v>2.5078542258757001E-2</v>
      </c>
      <c r="G27" s="186">
        <v>1.1464848657959501</v>
      </c>
      <c r="H27" s="42">
        <f>+E27/(1.2*F27)</f>
        <v>0.95540405482995905</v>
      </c>
      <c r="I27" s="47">
        <f t="shared" si="7"/>
        <v>0.26685903969119984</v>
      </c>
      <c r="J27" s="47">
        <f t="shared" si="7"/>
        <v>6.4661070019399247E-2</v>
      </c>
      <c r="K27" s="48">
        <f t="shared" si="7"/>
        <v>28696.455105518275</v>
      </c>
      <c r="L27" s="48">
        <f t="shared" si="7"/>
        <v>88.459950630971079</v>
      </c>
      <c r="M27" s="52">
        <f>-0.05*N27*K27*(H27-1)-0.05*O27*L27*(H27-1)</f>
        <v>1988.1422829876597</v>
      </c>
      <c r="N27" s="172">
        <f t="shared" si="8"/>
        <v>31</v>
      </c>
      <c r="O27" s="172">
        <f t="shared" si="9"/>
        <v>23</v>
      </c>
      <c r="P27" s="95">
        <f>+K27*(J27-0.05*N27*H27)-K27*(J27-0.05*N27)</f>
        <v>1983.6055846133677</v>
      </c>
      <c r="Q27" s="95">
        <f>+L27*(I27-0.05*O27*H27)-L27*(I27-0.05*O27)</f>
        <v>4.5366983742958098</v>
      </c>
      <c r="R27" s="95">
        <f>+P27+Q27</f>
        <v>1988.1422829876635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2.61289391002411E-2</v>
      </c>
      <c r="F28" s="185">
        <v>2.27945463712717E-2</v>
      </c>
      <c r="G28" s="186">
        <v>1.1462802845320801</v>
      </c>
      <c r="H28" s="42">
        <f>+E28/(1.2*F28)</f>
        <v>0.95523357044340318</v>
      </c>
      <c r="I28" s="47">
        <f t="shared" si="7"/>
        <v>0.25722361444680075</v>
      </c>
      <c r="J28" s="47">
        <f t="shared" si="7"/>
        <v>6.7072779878099453E-2</v>
      </c>
      <c r="K28" s="48">
        <f t="shared" si="7"/>
        <v>23966.889569768944</v>
      </c>
      <c r="L28" s="48">
        <f t="shared" si="7"/>
        <v>63.448548521259269</v>
      </c>
      <c r="M28" s="52">
        <f>-0.05*N28*K28*(H28-1)-0.05*O28*L28*(H28-1)</f>
        <v>1666.2801338290069</v>
      </c>
      <c r="N28" s="172">
        <f t="shared" si="8"/>
        <v>31</v>
      </c>
      <c r="O28" s="172">
        <f t="shared" si="9"/>
        <v>23</v>
      </c>
      <c r="P28" s="95">
        <f>+K28*(J28-0.05*N28*H28)-K28*(J28-0.05*N28)</f>
        <v>1663.0137141044834</v>
      </c>
      <c r="Q28" s="95">
        <f>+L28*(I28-0.05*O28*H28)-L28*(I28-0.05*O28)</f>
        <v>3.2664197245220663</v>
      </c>
      <c r="R28" s="95">
        <f>+P28+Q28</f>
        <v>1666.2801338290055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2.2943790645740501E-2</v>
      </c>
      <c r="F29" s="185">
        <v>2.0029196618939399E-2</v>
      </c>
      <c r="G29" s="186">
        <v>1.1455172707249299</v>
      </c>
      <c r="H29" s="42">
        <f t="shared" ref="H29:H34" si="10">+E29/(1.2*F29)</f>
        <v>0.95459772560411027</v>
      </c>
      <c r="I29" s="47">
        <f t="shared" ref="I29:L34" si="11">+I11</f>
        <v>0.2389292535763996</v>
      </c>
      <c r="J29" s="47">
        <f t="shared" si="11"/>
        <v>6.8443278868800306E-2</v>
      </c>
      <c r="K29" s="48">
        <f t="shared" si="11"/>
        <v>20323.247205801199</v>
      </c>
      <c r="L29" s="48">
        <f t="shared" si="11"/>
        <v>48.937126627939456</v>
      </c>
      <c r="M29" s="52">
        <f t="shared" ref="M29:M34" si="12">-0.05*N29*K29*(H29-1)-0.05*O29*L29*(H29-1)</f>
        <v>1432.7736870715964</v>
      </c>
      <c r="N29" s="172">
        <f t="shared" si="8"/>
        <v>31</v>
      </c>
      <c r="O29" s="172">
        <f t="shared" si="9"/>
        <v>23</v>
      </c>
      <c r="P29" s="95">
        <f t="shared" ref="P29:P34" si="13">+K29*(J29-0.05*N29*H29)-K29*(J29-0.05*N29)</f>
        <v>1430.2185516925892</v>
      </c>
      <c r="Q29" s="95">
        <f t="shared" ref="Q29:Q34" si="14">+L29*(I29-0.05*O29*H29)-L29*(I29-0.05*O29)</f>
        <v>2.5551353790043265</v>
      </c>
      <c r="R29" s="95">
        <f t="shared" ref="R29:R34" si="15">+P29+Q29</f>
        <v>1432.7736870715935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1.93231514140365E-2</v>
      </c>
      <c r="F30" s="185">
        <v>1.68882813797691E-2</v>
      </c>
      <c r="G30" s="186">
        <v>1.14417512235344</v>
      </c>
      <c r="H30" s="42">
        <f t="shared" si="10"/>
        <v>0.95347926862786025</v>
      </c>
      <c r="I30" s="47">
        <f t="shared" si="11"/>
        <v>0.21296418195939992</v>
      </c>
      <c r="J30" s="47">
        <f t="shared" si="11"/>
        <v>6.8805085007200617E-2</v>
      </c>
      <c r="K30" s="48">
        <f t="shared" si="11"/>
        <v>17534.472792077431</v>
      </c>
      <c r="L30" s="48">
        <f t="shared" si="11"/>
        <v>44.508146588081999</v>
      </c>
      <c r="M30" s="52">
        <f t="shared" si="12"/>
        <v>1266.7417069550977</v>
      </c>
      <c r="N30" s="172">
        <f t="shared" si="8"/>
        <v>31</v>
      </c>
      <c r="O30" s="172">
        <f t="shared" si="9"/>
        <v>23</v>
      </c>
      <c r="P30" s="95">
        <f t="shared" si="13"/>
        <v>1264.3605726941096</v>
      </c>
      <c r="Q30" s="95">
        <f t="shared" si="14"/>
        <v>2.3811342609903789</v>
      </c>
      <c r="R30" s="95">
        <f t="shared" si="15"/>
        <v>1266.7417069551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1.55206392042777E-2</v>
      </c>
      <c r="F31" s="185">
        <v>1.35687911967584E-2</v>
      </c>
      <c r="G31" s="186">
        <v>1.1438483339610701</v>
      </c>
      <c r="H31" s="42">
        <f t="shared" si="10"/>
        <v>0.95320694496755665</v>
      </c>
      <c r="I31" s="47">
        <f t="shared" si="11"/>
        <v>0.22462992761260026</v>
      </c>
      <c r="J31" s="47">
        <f t="shared" si="11"/>
        <v>6.9014901580798593E-2</v>
      </c>
      <c r="K31" s="48">
        <f t="shared" si="11"/>
        <v>15736.585976005255</v>
      </c>
      <c r="L31" s="48">
        <f t="shared" si="11"/>
        <v>49.171100621787346</v>
      </c>
      <c r="M31" s="52">
        <f t="shared" si="12"/>
        <v>1144.0085429968963</v>
      </c>
      <c r="N31" s="172">
        <f t="shared" si="8"/>
        <v>31</v>
      </c>
      <c r="O31" s="172">
        <f t="shared" si="9"/>
        <v>23</v>
      </c>
      <c r="P31" s="95">
        <f t="shared" si="13"/>
        <v>1141.3625470768857</v>
      </c>
      <c r="Q31" s="95">
        <f t="shared" si="14"/>
        <v>2.6459959200112735</v>
      </c>
      <c r="R31" s="95">
        <f t="shared" si="15"/>
        <v>1144.0085429968969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1.16202197585396E-2</v>
      </c>
      <c r="F32" s="185">
        <v>1.0143215146082201E-2</v>
      </c>
      <c r="G32" s="186">
        <v>1.14561503341747</v>
      </c>
      <c r="H32" s="42">
        <f t="shared" si="10"/>
        <v>0.95467919451456262</v>
      </c>
      <c r="I32" s="47">
        <f t="shared" si="11"/>
        <v>0.16768444524359971</v>
      </c>
      <c r="J32" s="47">
        <f t="shared" si="11"/>
        <v>6.891558403859932E-2</v>
      </c>
      <c r="K32" s="48">
        <f t="shared" si="11"/>
        <v>13565.137092035999</v>
      </c>
      <c r="L32" s="48">
        <f t="shared" si="11"/>
        <v>50.149324759183067</v>
      </c>
      <c r="M32" s="52">
        <f t="shared" si="12"/>
        <v>955.52728523528799</v>
      </c>
      <c r="N32" s="172">
        <f t="shared" si="8"/>
        <v>31</v>
      </c>
      <c r="O32" s="172">
        <f t="shared" si="9"/>
        <v>23</v>
      </c>
      <c r="P32" s="95">
        <f t="shared" si="13"/>
        <v>952.91355627375378</v>
      </c>
      <c r="Q32" s="95">
        <f t="shared" si="14"/>
        <v>2.6137289615325159</v>
      </c>
      <c r="R32" s="95">
        <f t="shared" si="15"/>
        <v>955.52728523528629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7.5478195000797804E-3</v>
      </c>
      <c r="F33" s="185">
        <v>6.5710074903350003E-3</v>
      </c>
      <c r="G33" s="186">
        <v>1.1486548312692599</v>
      </c>
      <c r="H33" s="42">
        <f t="shared" si="10"/>
        <v>0.95721235939104832</v>
      </c>
      <c r="I33" s="47">
        <f t="shared" si="11"/>
        <v>-0.17156953249789986</v>
      </c>
      <c r="J33" s="47">
        <f t="shared" si="11"/>
        <v>6.003638102239961E-2</v>
      </c>
      <c r="K33" s="48">
        <f t="shared" si="11"/>
        <v>10511.993169289171</v>
      </c>
      <c r="L33" s="48">
        <f t="shared" si="11"/>
        <v>52.657080222965732</v>
      </c>
      <c r="M33" s="52">
        <f t="shared" si="12"/>
        <v>699.75528106522665</v>
      </c>
      <c r="N33" s="172">
        <f t="shared" si="8"/>
        <v>31</v>
      </c>
      <c r="O33" s="172">
        <f t="shared" si="9"/>
        <v>23</v>
      </c>
      <c r="P33" s="95">
        <f t="shared" si="13"/>
        <v>697.1642480075152</v>
      </c>
      <c r="Q33" s="95">
        <f t="shared" si="14"/>
        <v>2.5910330577115417</v>
      </c>
      <c r="R33" s="95">
        <f t="shared" si="15"/>
        <v>699.75528106522677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3.45021911526803E-3</v>
      </c>
      <c r="F34" s="188">
        <v>2.9883010894539998E-3</v>
      </c>
      <c r="G34" s="189">
        <v>1.15457546344449</v>
      </c>
      <c r="H34" s="42">
        <f t="shared" si="10"/>
        <v>0.96214621953707602</v>
      </c>
      <c r="I34" s="47">
        <f t="shared" si="11"/>
        <v>0.11684448833049998</v>
      </c>
      <c r="J34" s="47">
        <f t="shared" si="11"/>
        <v>0.11108656378059933</v>
      </c>
      <c r="K34" s="48">
        <f t="shared" si="11"/>
        <v>5900.2377085827802</v>
      </c>
      <c r="L34" s="48">
        <f t="shared" si="11"/>
        <v>35.12976221087623</v>
      </c>
      <c r="M34" s="52">
        <f t="shared" si="12"/>
        <v>347.71603294703726</v>
      </c>
      <c r="N34" s="172">
        <f t="shared" si="8"/>
        <v>31</v>
      </c>
      <c r="O34" s="172">
        <f t="shared" si="9"/>
        <v>23</v>
      </c>
      <c r="P34" s="95">
        <f t="shared" si="13"/>
        <v>346.18676949462588</v>
      </c>
      <c r="Q34" s="95">
        <f t="shared" si="14"/>
        <v>1.5292634524120103</v>
      </c>
      <c r="R34" s="95">
        <f t="shared" si="15"/>
        <v>347.71603294703789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3.2166432107919599E-2</v>
      </c>
      <c r="F42" s="185">
        <v>3.1859882637548201E-2</v>
      </c>
      <c r="G42" s="186">
        <v>1.0096218016198899</v>
      </c>
      <c r="H42" s="42">
        <f>+E42/(1.2*F42)</f>
        <v>0.84135150134990655</v>
      </c>
      <c r="I42" s="181">
        <f>+I24</f>
        <v>-0.9550064338993991</v>
      </c>
      <c r="J42" s="181">
        <f>+J24</f>
        <v>-0.47441559405410061</v>
      </c>
      <c r="K42" s="48">
        <f>IF(+'Sismo UBC-94 y Dinamico'!O34=0,'Sismo UBC-94 y Dinamico'!M34,'Sismo UBC-94 y Dinamico'!O34)</f>
        <v>64.307922194141298</v>
      </c>
      <c r="L42" s="48">
        <f>IF(+'Sismo UBC-94 y Dinamico'!P34=0,'Sismo UBC-94 y Dinamico'!N34,'Sismo UBC-94 y Dinamico'!P34)</f>
        <v>1070.0195961999582</v>
      </c>
      <c r="M42" s="52">
        <f>0.05*N42*K42*(H42-1)+0.05*O42*L42*(H42-1)</f>
        <v>-211.03420355927969</v>
      </c>
      <c r="N42" s="172">
        <f>+$N$3</f>
        <v>31</v>
      </c>
      <c r="O42" s="172">
        <f>+$O$3</f>
        <v>23</v>
      </c>
      <c r="P42" s="95">
        <f>+K42*(J42+0.05*N42*H42)-K42*(J42+0.05*N42)</f>
        <v>-15.81365072648169</v>
      </c>
      <c r="Q42" s="95">
        <f>+L42*(I42+0.05*O42*H42)-L42*(I42+0.05*O42)</f>
        <v>-195.22055283279801</v>
      </c>
      <c r="R42" s="95">
        <f>+P42+Q42</f>
        <v>-211.03420355927969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3.1568969301326903E-2</v>
      </c>
      <c r="F43" s="185">
        <v>2.9791854913952399E-2</v>
      </c>
      <c r="G43" s="186">
        <v>1.0596510151015199</v>
      </c>
      <c r="H43" s="42">
        <f t="shared" ref="H43:H52" si="16">+E43/(1.2*F43)</f>
        <v>0.88304251258460109</v>
      </c>
      <c r="I43" s="181">
        <f t="shared" ref="I43:J43" si="17">+I25</f>
        <v>0.27043268474230153</v>
      </c>
      <c r="J43" s="181">
        <f t="shared" si="17"/>
        <v>9.6670938697799969E-2</v>
      </c>
      <c r="K43" s="48">
        <f>IF(+'Sismo UBC-94 y Dinamico'!O35=0,'Sismo UBC-94 y Dinamico'!M35,'Sismo UBC-94 y Dinamico'!O35)</f>
        <v>98.586771627523561</v>
      </c>
      <c r="L43" s="48">
        <f>IF(+'Sismo UBC-94 y Dinamico'!P35=0,'Sismo UBC-94 y Dinamico'!N35,'Sismo UBC-94 y Dinamico'!P35)</f>
        <v>31323.492171638729</v>
      </c>
      <c r="M43" s="52">
        <f>0.05*N43*K43*(H43-1)+0.05*O43*L43*(H43-1)</f>
        <v>-4230.9166973994252</v>
      </c>
      <c r="N43" s="172">
        <f t="shared" ref="N43:N52" si="18">+$N$3</f>
        <v>31</v>
      </c>
      <c r="O43" s="172">
        <f t="shared" ref="O43:O52" si="19">+$O$3</f>
        <v>23</v>
      </c>
      <c r="P43" s="95">
        <f>+K43*(J43+0.05*N43*H43)-K43*(J43+0.05*N43)</f>
        <v>-17.872214708023876</v>
      </c>
      <c r="Q43" s="95">
        <f>+L43*(I43+0.05*O43*H43)-L43*(I43+0.05*O43)</f>
        <v>-4213.0444826913954</v>
      </c>
      <c r="R43" s="95">
        <f>+P43+Q43</f>
        <v>-4230.9166973994197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3.0448222159332301E-2</v>
      </c>
      <c r="F44" s="185">
        <v>2.8746736166160702E-2</v>
      </c>
      <c r="G44" s="186">
        <v>1.0591888408943799</v>
      </c>
      <c r="H44" s="42">
        <f t="shared" si="16"/>
        <v>0.8826573674119832</v>
      </c>
      <c r="I44" s="181">
        <f t="shared" ref="I44:J44" si="20">+I26</f>
        <v>0.26947368018429962</v>
      </c>
      <c r="J44" s="181">
        <f t="shared" si="20"/>
        <v>6.1561308293899941E-2</v>
      </c>
      <c r="K44" s="48">
        <f>IF(+'Sismo UBC-94 y Dinamico'!O36=0,'Sismo UBC-94 y Dinamico'!M36,'Sismo UBC-94 y Dinamico'!O36)</f>
        <v>146.57592277403941</v>
      </c>
      <c r="L44" s="48">
        <f>IF(+'Sismo UBC-94 y Dinamico'!P36=0,'Sismo UBC-94 y Dinamico'!N36,'Sismo UBC-94 y Dinamico'!P36)</f>
        <v>34436.575235528835</v>
      </c>
      <c r="M44" s="52">
        <f>0.05*N44*K44*(H44-1)+0.05*O44*L44*(H44-1)</f>
        <v>-4673.6695419811995</v>
      </c>
      <c r="N44" s="172">
        <f t="shared" si="18"/>
        <v>31</v>
      </c>
      <c r="O44" s="172">
        <f t="shared" si="19"/>
        <v>23</v>
      </c>
      <c r="P44" s="95">
        <f>+K44*(J44+0.05*N44*H44)-K44*(J44+0.05*N44)</f>
        <v>-26.659387211101659</v>
      </c>
      <c r="Q44" s="95">
        <f>+L44*(I44+0.05*O44*H44)-L44*(I44+0.05*O44)</f>
        <v>-4647.0101547700979</v>
      </c>
      <c r="R44" s="95">
        <f>+P44+Q44</f>
        <v>-4673.6695419811995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2.8606403901793399E-2</v>
      </c>
      <c r="F45" s="185">
        <v>2.7019024053176698E-2</v>
      </c>
      <c r="G45" s="186">
        <v>1.05875045099677</v>
      </c>
      <c r="H45" s="42">
        <f t="shared" si="16"/>
        <v>0.88229204249730819</v>
      </c>
      <c r="I45" s="181">
        <f t="shared" ref="I45:J45" si="21">+I27</f>
        <v>0.26685903969119984</v>
      </c>
      <c r="J45" s="181">
        <f t="shared" si="21"/>
        <v>6.4661070019399247E-2</v>
      </c>
      <c r="K45" s="48">
        <f>IF(+'Sismo UBC-94 y Dinamico'!O37=0,'Sismo UBC-94 y Dinamico'!M37,'Sismo UBC-94 y Dinamico'!O37)</f>
        <v>99.451895963457403</v>
      </c>
      <c r="L45" s="48">
        <f>IF(+'Sismo UBC-94 y Dinamico'!P37=0,'Sismo UBC-94 y Dinamico'!N37,'Sismo UBC-94 y Dinamico'!P37)</f>
        <v>28618.172273694865</v>
      </c>
      <c r="M45" s="52">
        <f>0.05*N45*K45*(H45-1)+0.05*O45*L45*(H45-1)</f>
        <v>-3892.0193299589314</v>
      </c>
      <c r="N45" s="172">
        <f t="shared" si="18"/>
        <v>31</v>
      </c>
      <c r="O45" s="172">
        <f t="shared" si="19"/>
        <v>23</v>
      </c>
      <c r="P45" s="95">
        <f>+K45*(J45+0.05*N45*H45)-K45*(J45+0.05*N45)</f>
        <v>-18.144733292624608</v>
      </c>
      <c r="Q45" s="95">
        <f>+L45*(I45+0.05*O45*H45)-L45*(I45+0.05*O45)</f>
        <v>-3873.8745966663046</v>
      </c>
      <c r="R45" s="95">
        <f>+P45+Q45</f>
        <v>-3892.0193299589291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2.6081105219633301E-2</v>
      </c>
      <c r="F46" s="185">
        <v>2.46395759869469E-2</v>
      </c>
      <c r="G46" s="186">
        <v>1.05850462822291</v>
      </c>
      <c r="H46" s="42">
        <f t="shared" si="16"/>
        <v>0.8820871901857561</v>
      </c>
      <c r="I46" s="181">
        <f t="shared" ref="I46:J46" si="22">+I28</f>
        <v>0.25722361444680075</v>
      </c>
      <c r="J46" s="181">
        <f t="shared" si="22"/>
        <v>6.7072779878099453E-2</v>
      </c>
      <c r="K46" s="48">
        <f>IF(+'Sismo UBC-94 y Dinamico'!O38=0,'Sismo UBC-94 y Dinamico'!M38,'Sismo UBC-94 y Dinamico'!O38)</f>
        <v>74.719681504336634</v>
      </c>
      <c r="L46" s="48">
        <f>IF(+'Sismo UBC-94 y Dinamico'!P38=0,'Sismo UBC-94 y Dinamico'!N38,'Sismo UBC-94 y Dinamico'!P38)</f>
        <v>23925.697006033028</v>
      </c>
      <c r="M46" s="52">
        <f>0.05*N46*K46*(H46-1)+0.05*O46*L46*(H46-1)</f>
        <v>-3257.9742166290698</v>
      </c>
      <c r="N46" s="172">
        <f t="shared" si="18"/>
        <v>31</v>
      </c>
      <c r="O46" s="172">
        <f t="shared" si="19"/>
        <v>23</v>
      </c>
      <c r="P46" s="95">
        <f>+K46*(J46+0.05*N46*H46)-K46*(J46+0.05*N46)</f>
        <v>-13.656131771632658</v>
      </c>
      <c r="Q46" s="95">
        <f>+L46*(I46+0.05*O46*H46)-L46*(I46+0.05*O46)</f>
        <v>-3244.3180848574339</v>
      </c>
      <c r="R46" s="95">
        <f>+P46+Q46</f>
        <v>-3257.9742166290666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2.2976091760190599E-2</v>
      </c>
      <c r="F47" s="185">
        <v>2.1706114723854201E-2</v>
      </c>
      <c r="G47" s="186">
        <v>1.05850780079683</v>
      </c>
      <c r="H47" s="42">
        <f t="shared" si="16"/>
        <v>0.88208983399735819</v>
      </c>
      <c r="I47" s="181">
        <f t="shared" ref="I47:J47" si="23">+I29</f>
        <v>0.2389292535763996</v>
      </c>
      <c r="J47" s="181">
        <f t="shared" si="23"/>
        <v>6.8443278868800306E-2</v>
      </c>
      <c r="K47" s="48">
        <f>IF(+'Sismo UBC-94 y Dinamico'!O39=0,'Sismo UBC-94 y Dinamico'!M39,'Sismo UBC-94 y Dinamico'!O39)</f>
        <v>59.639354494348012</v>
      </c>
      <c r="L47" s="48">
        <f>IF(+'Sismo UBC-94 y Dinamico'!P39=0,'Sismo UBC-94 y Dinamico'!N39,'Sismo UBC-94 y Dinamico'!P39)</f>
        <v>20290.318776970715</v>
      </c>
      <c r="M47" s="52">
        <f t="shared" ref="M47:M52" si="24">0.05*N47*K47*(H47-1)+0.05*O47*L47*(H47-1)</f>
        <v>-2762.1998171175228</v>
      </c>
      <c r="N47" s="172">
        <f t="shared" si="18"/>
        <v>31</v>
      </c>
      <c r="O47" s="172">
        <f t="shared" si="19"/>
        <v>23</v>
      </c>
      <c r="P47" s="95">
        <f t="shared" ref="P47:P52" si="25">+K47*(J47+0.05*N47*H47)-K47*(J47+0.05*N47)</f>
        <v>-10.899733592514423</v>
      </c>
      <c r="Q47" s="95">
        <f t="shared" ref="Q47:Q52" si="26">+L47*(I47+0.05*O47*H47)-L47*(I47+0.05*O47)</f>
        <v>-2751.3000835250095</v>
      </c>
      <c r="R47" s="95">
        <f t="shared" ref="R47:R52" si="27">+P47+Q47</f>
        <v>-2762.1998171175242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1.9415274483000799E-2</v>
      </c>
      <c r="F48" s="185">
        <v>1.8336845850576201E-2</v>
      </c>
      <c r="G48" s="186">
        <v>1.0588121120291101</v>
      </c>
      <c r="H48" s="42">
        <f t="shared" si="16"/>
        <v>0.88234342669092458</v>
      </c>
      <c r="I48" s="181">
        <f t="shared" ref="I48:J48" si="28">+I30</f>
        <v>0.21296418195939992</v>
      </c>
      <c r="J48" s="181">
        <f t="shared" si="28"/>
        <v>6.8805085007200617E-2</v>
      </c>
      <c r="K48" s="48">
        <f>IF(+'Sismo UBC-94 y Dinamico'!O40=0,'Sismo UBC-94 y Dinamico'!M40,'Sismo UBC-94 y Dinamico'!O40)</f>
        <v>52.917913981133658</v>
      </c>
      <c r="L48" s="48">
        <f>IF(+'Sismo UBC-94 y Dinamico'!P40=0,'Sismo UBC-94 y Dinamico'!N40,'Sismo UBC-94 y Dinamico'!P40)</f>
        <v>17522.686605753082</v>
      </c>
      <c r="M48" s="52">
        <f t="shared" si="24"/>
        <v>-2380.5586680418141</v>
      </c>
      <c r="N48" s="172">
        <f t="shared" si="18"/>
        <v>31</v>
      </c>
      <c r="O48" s="172">
        <f t="shared" si="19"/>
        <v>23</v>
      </c>
      <c r="P48" s="95">
        <f t="shared" si="25"/>
        <v>-9.6505176598111149</v>
      </c>
      <c r="Q48" s="95">
        <f t="shared" si="26"/>
        <v>-2370.9081503820016</v>
      </c>
      <c r="R48" s="95">
        <f t="shared" si="27"/>
        <v>-2380.5586680418128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1.56389487126424E-2</v>
      </c>
      <c r="F49" s="185">
        <v>1.47539023007552E-2</v>
      </c>
      <c r="G49" s="186">
        <v>1.0599872761690901</v>
      </c>
      <c r="H49" s="42">
        <f t="shared" si="16"/>
        <v>0.88332273014090978</v>
      </c>
      <c r="I49" s="181">
        <f t="shared" ref="I49:J49" si="29">+I31</f>
        <v>0.22462992761260026</v>
      </c>
      <c r="J49" s="181">
        <f t="shared" si="29"/>
        <v>6.9014901580798593E-2</v>
      </c>
      <c r="K49" s="48">
        <f>IF(+'Sismo UBC-94 y Dinamico'!O41=0,'Sismo UBC-94 y Dinamico'!M41,'Sismo UBC-94 y Dinamico'!O41)</f>
        <v>55.650270649579042</v>
      </c>
      <c r="L49" s="48">
        <f>IF(+'Sismo UBC-94 y Dinamico'!P41=0,'Sismo UBC-94 y Dinamico'!N41,'Sismo UBC-94 y Dinamico'!P41)</f>
        <v>15777.836507757565</v>
      </c>
      <c r="M49" s="52">
        <f t="shared" si="24"/>
        <v>-2127.1164597612546</v>
      </c>
      <c r="N49" s="172">
        <f t="shared" si="18"/>
        <v>31</v>
      </c>
      <c r="O49" s="172">
        <f t="shared" si="19"/>
        <v>23</v>
      </c>
      <c r="P49" s="95">
        <f t="shared" si="25"/>
        <v>-10.064338551784132</v>
      </c>
      <c r="Q49" s="95">
        <f t="shared" si="26"/>
        <v>-2117.0521212094718</v>
      </c>
      <c r="R49" s="95">
        <f t="shared" si="27"/>
        <v>-2127.116459761256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1.1725049135635201E-2</v>
      </c>
      <c r="F50" s="185">
        <v>1.10321943405212E-2</v>
      </c>
      <c r="G50" s="186">
        <v>1.0628029903868801</v>
      </c>
      <c r="H50" s="42">
        <f t="shared" si="16"/>
        <v>0.88566915865573759</v>
      </c>
      <c r="I50" s="181">
        <f t="shared" ref="I50:J50" si="30">+I32</f>
        <v>0.16768444524359971</v>
      </c>
      <c r="J50" s="181">
        <f t="shared" si="30"/>
        <v>6.891558403859932E-2</v>
      </c>
      <c r="K50" s="48">
        <f>IF(+'Sismo UBC-94 y Dinamico'!O42=0,'Sismo UBC-94 y Dinamico'!M42,'Sismo UBC-94 y Dinamico'!O42)</f>
        <v>54.008458828685576</v>
      </c>
      <c r="L50" s="48">
        <f>IF(+'Sismo UBC-94 y Dinamico'!P42=0,'Sismo UBC-94 y Dinamico'!N42,'Sismo UBC-94 y Dinamico'!P42)</f>
        <v>13635.861177780876</v>
      </c>
      <c r="M50" s="52">
        <f t="shared" si="24"/>
        <v>-1802.4203934789061</v>
      </c>
      <c r="N50" s="172">
        <f t="shared" si="18"/>
        <v>31</v>
      </c>
      <c r="O50" s="172">
        <f t="shared" si="19"/>
        <v>23</v>
      </c>
      <c r="P50" s="95">
        <f t="shared" si="25"/>
        <v>-9.5709904332653934</v>
      </c>
      <c r="Q50" s="95">
        <f t="shared" si="26"/>
        <v>-1792.8494030456422</v>
      </c>
      <c r="R50" s="95">
        <f t="shared" si="27"/>
        <v>-1802.4203934789077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7.5890344013269497E-3</v>
      </c>
      <c r="F51" s="185">
        <v>7.10929696494517E-3</v>
      </c>
      <c r="G51" s="186">
        <v>1.0674802921790001</v>
      </c>
      <c r="H51" s="42">
        <f t="shared" si="16"/>
        <v>0.889566910149167</v>
      </c>
      <c r="I51" s="181">
        <f t="shared" ref="I51:J51" si="31">+I33</f>
        <v>-0.17156953249789986</v>
      </c>
      <c r="J51" s="181">
        <f t="shared" si="31"/>
        <v>6.003638102239961E-2</v>
      </c>
      <c r="K51" s="48">
        <f>IF(+'Sismo UBC-94 y Dinamico'!O43=0,'Sismo UBC-94 y Dinamico'!M43,'Sismo UBC-94 y Dinamico'!O43)</f>
        <v>53.520773214312349</v>
      </c>
      <c r="L51" s="48">
        <f>IF(+'Sismo UBC-94 y Dinamico'!P43=0,'Sismo UBC-94 y Dinamico'!N43,'Sismo UBC-94 y Dinamico'!P43)</f>
        <v>10557.290883977785</v>
      </c>
      <c r="M51" s="52">
        <f t="shared" si="24"/>
        <v>-1349.9166104412102</v>
      </c>
      <c r="N51" s="172">
        <f t="shared" si="18"/>
        <v>31</v>
      </c>
      <c r="O51" s="172">
        <f t="shared" si="19"/>
        <v>23</v>
      </c>
      <c r="P51" s="95">
        <f t="shared" si="25"/>
        <v>-9.1612197537564271</v>
      </c>
      <c r="Q51" s="95">
        <f t="shared" si="26"/>
        <v>-1340.7553906874546</v>
      </c>
      <c r="R51" s="95">
        <f t="shared" si="27"/>
        <v>-1349.9166104412111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3.4230562719754598E-3</v>
      </c>
      <c r="F52" s="188">
        <v>3.1717316942395301E-3</v>
      </c>
      <c r="G52" s="189">
        <v>1.0792389148780701</v>
      </c>
      <c r="H52" s="42">
        <f t="shared" si="16"/>
        <v>0.8993657623983935</v>
      </c>
      <c r="I52" s="181">
        <f t="shared" ref="I52:J52" si="32">+I34</f>
        <v>0.11684448833049998</v>
      </c>
      <c r="J52" s="181">
        <f t="shared" si="32"/>
        <v>0.11108656378059933</v>
      </c>
      <c r="K52" s="48">
        <f>IF(+'Sismo UBC-94 y Dinamico'!O44=0,'Sismo UBC-94 y Dinamico'!M44,'Sismo UBC-94 y Dinamico'!O44)</f>
        <v>37.203958132333739</v>
      </c>
      <c r="L52" s="48">
        <f>IF(+'Sismo UBC-94 y Dinamico'!P44=0,'Sismo UBC-94 y Dinamico'!N44,'Sismo UBC-94 y Dinamico'!P44)</f>
        <v>5870.9310544034479</v>
      </c>
      <c r="M52" s="52">
        <f t="shared" si="24"/>
        <v>-685.24235881394452</v>
      </c>
      <c r="N52" s="172">
        <f t="shared" si="18"/>
        <v>31</v>
      </c>
      <c r="O52" s="172">
        <f t="shared" si="19"/>
        <v>23</v>
      </c>
      <c r="P52" s="95">
        <f t="shared" si="25"/>
        <v>-5.8031875417347152</v>
      </c>
      <c r="Q52" s="95">
        <f t="shared" si="26"/>
        <v>-679.43917127220993</v>
      </c>
      <c r="R52" s="95">
        <f t="shared" si="27"/>
        <v>-685.24235881394463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2.9126791257902799E-2</v>
      </c>
      <c r="F60" s="185">
        <v>2.8677980524647699E-2</v>
      </c>
      <c r="G60" s="186">
        <v>1.01565001178759</v>
      </c>
      <c r="H60" s="42">
        <f>+E60/(1.2*F60)</f>
        <v>0.84637500982299418</v>
      </c>
      <c r="I60" s="181">
        <f>+I42</f>
        <v>-0.9550064338993991</v>
      </c>
      <c r="J60" s="181">
        <f>+J42</f>
        <v>-0.47441559405410061</v>
      </c>
      <c r="K60" s="48">
        <f>+K42</f>
        <v>64.307922194141298</v>
      </c>
      <c r="L60" s="48">
        <f>+L42</f>
        <v>1070.0195961999582</v>
      </c>
      <c r="M60" s="52">
        <f>-0.05*N60*K60*(H60-1)-0.05*O60*L60*(H60-1)</f>
        <v>204.35193351757252</v>
      </c>
      <c r="N60" s="172">
        <f>+$N$3</f>
        <v>31</v>
      </c>
      <c r="O60" s="172">
        <f>+$O$3</f>
        <v>23</v>
      </c>
      <c r="P60" s="95">
        <f>+K60*(J60-0.05*N60*H60)-K60*(J60-0.05*N60)</f>
        <v>15.312921068836829</v>
      </c>
      <c r="Q60" s="95">
        <f>+L60*(I60-0.05*O60*H60)-L60*(I60-0.05*O60)</f>
        <v>189.03901244873623</v>
      </c>
      <c r="R60" s="95">
        <f>+P60+Q60</f>
        <v>204.35193351757306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3.2635089389927499E-2</v>
      </c>
      <c r="F61" s="185">
        <v>3.0159254145357799E-2</v>
      </c>
      <c r="G61" s="186">
        <v>1.0820920581336999</v>
      </c>
      <c r="H61" s="42">
        <f t="shared" ref="H61:H70" si="33">+E61/(1.2*F61)</f>
        <v>0.90174338177808211</v>
      </c>
      <c r="I61" s="181">
        <f t="shared" ref="I61:J61" si="34">+I43</f>
        <v>0.27043268474230153</v>
      </c>
      <c r="J61" s="181">
        <f t="shared" si="34"/>
        <v>9.6670938697799969E-2</v>
      </c>
      <c r="K61" s="48">
        <f t="shared" ref="K61:L64" si="35">+K43</f>
        <v>98.586771627523561</v>
      </c>
      <c r="L61" s="48">
        <f t="shared" si="35"/>
        <v>31323.492171638729</v>
      </c>
      <c r="M61" s="52">
        <f>-0.05*N61*K61*(H61-1)-0.05*O61*L61*(H61-1)</f>
        <v>3554.4160177502145</v>
      </c>
      <c r="N61" s="172">
        <f t="shared" ref="N61:N70" si="36">+$N$3</f>
        <v>31</v>
      </c>
      <c r="O61" s="172">
        <f t="shared" ref="O61:O70" si="37">+$O$3</f>
        <v>23</v>
      </c>
      <c r="P61" s="95">
        <f>+K61*(J61-0.05*N61*H61)-K61*(J61-0.05*N61)</f>
        <v>15.014544311382309</v>
      </c>
      <c r="Q61" s="95">
        <f>+L61*(I61-0.05*O61*H61)-L61*(I61-0.05*O61)</f>
        <v>3539.4014734388329</v>
      </c>
      <c r="R61" s="95">
        <f>+P61+Q61</f>
        <v>3554.4160177502154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3.1503716721333501E-2</v>
      </c>
      <c r="F62" s="185">
        <v>2.91015700321978E-2</v>
      </c>
      <c r="G62" s="186">
        <v>1.08254354271876</v>
      </c>
      <c r="H62" s="42">
        <f t="shared" si="33"/>
        <v>0.90211961893229997</v>
      </c>
      <c r="I62" s="181">
        <f t="shared" ref="I62:J62" si="38">+I44</f>
        <v>0.26947368018429962</v>
      </c>
      <c r="J62" s="181">
        <f t="shared" si="38"/>
        <v>6.1561308293899941E-2</v>
      </c>
      <c r="K62" s="48">
        <f t="shared" si="35"/>
        <v>146.57592277403941</v>
      </c>
      <c r="L62" s="48">
        <f t="shared" si="35"/>
        <v>34436.575235528835</v>
      </c>
      <c r="M62" s="52">
        <f>-0.05*N62*K62*(H62-1)-0.05*O62*L62*(H62-1)</f>
        <v>3898.5025788516305</v>
      </c>
      <c r="N62" s="172">
        <f t="shared" si="36"/>
        <v>31</v>
      </c>
      <c r="O62" s="172">
        <f t="shared" si="37"/>
        <v>23</v>
      </c>
      <c r="P62" s="95">
        <f>+K62*(J62-0.05*N62*H62)-K62*(J62-0.05*N62)</f>
        <v>22.237706123532746</v>
      </c>
      <c r="Q62" s="95">
        <f>+L62*(I62-0.05*O62*H62)-L62*(I62-0.05*O62)</f>
        <v>3876.2648727280939</v>
      </c>
      <c r="R62" s="95">
        <f>+P62+Q62</f>
        <v>3898.5025788516268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2.9612364819576301E-2</v>
      </c>
      <c r="F63" s="185">
        <v>2.7351635088923701E-2</v>
      </c>
      <c r="G63" s="186">
        <v>1.08265428093431</v>
      </c>
      <c r="H63" s="42">
        <f t="shared" si="33"/>
        <v>0.90221190077859081</v>
      </c>
      <c r="I63" s="181">
        <f t="shared" ref="I63:J63" si="39">+I45</f>
        <v>0.26685903969119984</v>
      </c>
      <c r="J63" s="181">
        <f t="shared" si="39"/>
        <v>6.4661070019399247E-2</v>
      </c>
      <c r="K63" s="48">
        <f t="shared" si="35"/>
        <v>99.451895963457403</v>
      </c>
      <c r="L63" s="48">
        <f t="shared" si="35"/>
        <v>28618.172273694865</v>
      </c>
      <c r="M63" s="52">
        <f>-0.05*N63*K63*(H63-1)-0.05*O63*L63*(H63-1)</f>
        <v>3233.368248709633</v>
      </c>
      <c r="N63" s="172">
        <f t="shared" si="36"/>
        <v>31</v>
      </c>
      <c r="O63" s="172">
        <f t="shared" si="37"/>
        <v>23</v>
      </c>
      <c r="P63" s="95">
        <f>+K63*(J63-0.05*N63*H63)-K63*(J63-0.05*N63)</f>
        <v>15.074078398859342</v>
      </c>
      <c r="Q63" s="95">
        <f>+L63*(I63-0.05*O63*H63)-L63*(I63-0.05*O63)</f>
        <v>3218.2941703107754</v>
      </c>
      <c r="R63" s="95">
        <f>+P63+Q63</f>
        <v>3233.3682487096348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2.69912229643865E-2</v>
      </c>
      <c r="F64" s="185">
        <v>2.49399707525522E-2</v>
      </c>
      <c r="G64" s="186">
        <v>1.0822475788839601</v>
      </c>
      <c r="H64" s="42">
        <f t="shared" si="33"/>
        <v>0.9018729824033036</v>
      </c>
      <c r="I64" s="181">
        <f t="shared" ref="I64:J64" si="40">+I46</f>
        <v>0.25722361444680075</v>
      </c>
      <c r="J64" s="181">
        <f t="shared" si="40"/>
        <v>6.7072779878099453E-2</v>
      </c>
      <c r="K64" s="48">
        <f t="shared" si="35"/>
        <v>74.719681504336634</v>
      </c>
      <c r="L64" s="48">
        <f t="shared" si="35"/>
        <v>23925.697006033028</v>
      </c>
      <c r="M64" s="52">
        <f>-0.05*N64*K64*(H64-1)-0.05*O64*L64*(H64-1)</f>
        <v>2711.2855150206469</v>
      </c>
      <c r="N64" s="172">
        <f t="shared" si="36"/>
        <v>31</v>
      </c>
      <c r="O64" s="172">
        <f t="shared" si="37"/>
        <v>23</v>
      </c>
      <c r="P64" s="95">
        <f>+K64*(J64-0.05*N64*H64)-K64*(J64-0.05*N64)</f>
        <v>11.364630227783167</v>
      </c>
      <c r="Q64" s="95">
        <f>+L64*(I64-0.05*O64*H64)-L64*(I64-0.05*O64)</f>
        <v>2699.9208847928639</v>
      </c>
      <c r="R64" s="95">
        <f>+P64+Q64</f>
        <v>2711.2855150206469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2.3749538620642701E-2</v>
      </c>
      <c r="F65" s="185">
        <v>2.19658024926528E-2</v>
      </c>
      <c r="G65" s="186">
        <v>1.0812051427935101</v>
      </c>
      <c r="H65" s="42">
        <f t="shared" si="33"/>
        <v>0.90100428566125801</v>
      </c>
      <c r="I65" s="181">
        <f t="shared" ref="I65:J65" si="41">+I47</f>
        <v>0.2389292535763996</v>
      </c>
      <c r="J65" s="181">
        <f t="shared" si="41"/>
        <v>6.8443278868800306E-2</v>
      </c>
      <c r="K65" s="48">
        <f t="shared" ref="K65:L70" si="42">+K47</f>
        <v>59.639354494348012</v>
      </c>
      <c r="L65" s="48">
        <f t="shared" si="42"/>
        <v>20290.318776970715</v>
      </c>
      <c r="M65" s="52">
        <f t="shared" ref="M65:M70" si="43">-0.05*N65*K65*(H65-1)-0.05*O65*L65*(H65-1)</f>
        <v>2319.1040544864045</v>
      </c>
      <c r="N65" s="172">
        <f t="shared" si="36"/>
        <v>31</v>
      </c>
      <c r="O65" s="172">
        <f t="shared" si="37"/>
        <v>23</v>
      </c>
      <c r="P65" s="95">
        <f t="shared" ref="P65:P70" si="44">+K65*(J65-0.05*N65*H65)-K65*(J65-0.05*N65)</f>
        <v>9.151262776347636</v>
      </c>
      <c r="Q65" s="95">
        <f t="shared" ref="Q65:Q70" si="45">+L65*(I65-0.05*O65*H65)-L65*(I65-0.05*O65)</f>
        <v>2309.9527917100568</v>
      </c>
      <c r="R65" s="95">
        <f t="shared" ref="R65:R70" si="46">+P65+Q65</f>
        <v>2319.1040544864045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2.0024036474159901E-2</v>
      </c>
      <c r="F66" s="185">
        <v>1.8550122076330101E-2</v>
      </c>
      <c r="G66" s="186">
        <v>1.07945577887655</v>
      </c>
      <c r="H66" s="42">
        <f t="shared" si="33"/>
        <v>0.89954648239712087</v>
      </c>
      <c r="I66" s="181">
        <f t="shared" ref="I66:J66" si="47">+I48</f>
        <v>0.21296418195939992</v>
      </c>
      <c r="J66" s="181">
        <f t="shared" si="47"/>
        <v>6.8805085007200617E-2</v>
      </c>
      <c r="K66" s="48">
        <f t="shared" si="42"/>
        <v>52.917913981133658</v>
      </c>
      <c r="L66" s="48">
        <f t="shared" si="42"/>
        <v>17522.686605753082</v>
      </c>
      <c r="M66" s="52">
        <f t="shared" si="43"/>
        <v>2032.4873089464622</v>
      </c>
      <c r="N66" s="172">
        <f t="shared" si="36"/>
        <v>31</v>
      </c>
      <c r="O66" s="172">
        <f t="shared" si="37"/>
        <v>23</v>
      </c>
      <c r="P66" s="95">
        <f t="shared" si="44"/>
        <v>8.239475435597754</v>
      </c>
      <c r="Q66" s="95">
        <f t="shared" si="45"/>
        <v>2024.2478335108608</v>
      </c>
      <c r="R66" s="95">
        <f t="shared" si="46"/>
        <v>2032.4873089464586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1.6081852592754801E-2</v>
      </c>
      <c r="F67" s="185">
        <v>1.49202930071417E-2</v>
      </c>
      <c r="G67" s="186">
        <v>1.07785099026253</v>
      </c>
      <c r="H67" s="42">
        <f t="shared" si="33"/>
        <v>0.89820915855210925</v>
      </c>
      <c r="I67" s="181">
        <f t="shared" ref="I67:J67" si="48">+I49</f>
        <v>0.22462992761260026</v>
      </c>
      <c r="J67" s="181">
        <f t="shared" si="48"/>
        <v>6.9014901580798593E-2</v>
      </c>
      <c r="K67" s="48">
        <f t="shared" si="42"/>
        <v>55.650270649579042</v>
      </c>
      <c r="L67" s="48">
        <f t="shared" si="42"/>
        <v>15777.836507757565</v>
      </c>
      <c r="M67" s="52">
        <f t="shared" si="43"/>
        <v>1855.7254087128231</v>
      </c>
      <c r="N67" s="172">
        <f t="shared" si="36"/>
        <v>31</v>
      </c>
      <c r="O67" s="172">
        <f t="shared" si="37"/>
        <v>23</v>
      </c>
      <c r="P67" s="95">
        <f t="shared" si="44"/>
        <v>8.7802662081464433</v>
      </c>
      <c r="Q67" s="95">
        <f t="shared" si="45"/>
        <v>1846.9451425046791</v>
      </c>
      <c r="R67" s="95">
        <f t="shared" si="46"/>
        <v>1855.7254087128256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1.2008286186273601E-2</v>
      </c>
      <c r="F68" s="185">
        <v>1.1152750603054901E-2</v>
      </c>
      <c r="G68" s="186">
        <v>1.0767107248847101</v>
      </c>
      <c r="H68" s="42">
        <f t="shared" si="33"/>
        <v>0.89725893740392293</v>
      </c>
      <c r="I68" s="181">
        <f t="shared" ref="I68:J68" si="49">+I50</f>
        <v>0.16768444524359971</v>
      </c>
      <c r="J68" s="181">
        <f t="shared" si="49"/>
        <v>6.891558403859932E-2</v>
      </c>
      <c r="K68" s="48">
        <f t="shared" si="42"/>
        <v>54.008458828685576</v>
      </c>
      <c r="L68" s="48">
        <f t="shared" si="42"/>
        <v>13635.861177780876</v>
      </c>
      <c r="M68" s="52">
        <f t="shared" si="43"/>
        <v>1619.708070836788</v>
      </c>
      <c r="N68" s="172">
        <f t="shared" si="36"/>
        <v>31</v>
      </c>
      <c r="O68" s="172">
        <f t="shared" si="37"/>
        <v>23</v>
      </c>
      <c r="P68" s="95">
        <f t="shared" si="44"/>
        <v>8.6007739963152403</v>
      </c>
      <c r="Q68" s="95">
        <f t="shared" si="45"/>
        <v>1611.1072968404733</v>
      </c>
      <c r="R68" s="95">
        <f t="shared" si="46"/>
        <v>1619.7080708367885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7.7279267500616096E-3</v>
      </c>
      <c r="F69" s="185">
        <v>7.1841891157368304E-3</v>
      </c>
      <c r="G69" s="186">
        <v>1.07568531751673</v>
      </c>
      <c r="H69" s="42">
        <f t="shared" si="33"/>
        <v>0.89640443126394187</v>
      </c>
      <c r="I69" s="181">
        <f t="shared" ref="I69:J69" si="50">+I51</f>
        <v>-0.17156953249789986</v>
      </c>
      <c r="J69" s="181">
        <f t="shared" si="50"/>
        <v>6.003638102239961E-2</v>
      </c>
      <c r="K69" s="48">
        <f t="shared" si="42"/>
        <v>53.520773214312349</v>
      </c>
      <c r="L69" s="48">
        <f t="shared" si="42"/>
        <v>10557.290883977785</v>
      </c>
      <c r="M69" s="52">
        <f t="shared" si="43"/>
        <v>1266.3358346108446</v>
      </c>
      <c r="N69" s="172">
        <f t="shared" si="36"/>
        <v>31</v>
      </c>
      <c r="O69" s="172">
        <f t="shared" si="37"/>
        <v>23</v>
      </c>
      <c r="P69" s="95">
        <f t="shared" si="44"/>
        <v>8.5939981575119191</v>
      </c>
      <c r="Q69" s="95">
        <f t="shared" si="45"/>
        <v>1257.7418364533332</v>
      </c>
      <c r="R69" s="95">
        <f t="shared" si="46"/>
        <v>1266.3358346108453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3.4346213291623299E-3</v>
      </c>
      <c r="F70" s="188">
        <v>3.2019269517320299E-3</v>
      </c>
      <c r="G70" s="189">
        <v>1.0726732311317799</v>
      </c>
      <c r="H70" s="42">
        <f t="shared" si="33"/>
        <v>0.89389435927648409</v>
      </c>
      <c r="I70" s="181">
        <f t="shared" ref="I70:J70" si="51">+I52</f>
        <v>0.11684448833049998</v>
      </c>
      <c r="J70" s="181">
        <f t="shared" si="51"/>
        <v>0.11108656378059933</v>
      </c>
      <c r="K70" s="48">
        <f t="shared" si="42"/>
        <v>37.203958132333739</v>
      </c>
      <c r="L70" s="48">
        <f t="shared" si="42"/>
        <v>5870.9310544034479</v>
      </c>
      <c r="M70" s="52">
        <f t="shared" si="43"/>
        <v>722.49843856010182</v>
      </c>
      <c r="N70" s="172">
        <f t="shared" si="36"/>
        <v>31</v>
      </c>
      <c r="O70" s="172">
        <f t="shared" si="37"/>
        <v>23</v>
      </c>
      <c r="P70" s="95">
        <f t="shared" si="44"/>
        <v>6.1187022133773112</v>
      </c>
      <c r="Q70" s="95">
        <f t="shared" si="45"/>
        <v>716.37973634672471</v>
      </c>
      <c r="R70" s="95">
        <f t="shared" si="46"/>
        <v>722.49843856010204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1240073.99206884</v>
      </c>
      <c r="E6" s="53">
        <f>0.7*D6</f>
        <v>868051.79444818792</v>
      </c>
      <c r="F6" s="1" t="str">
        <f>+IF(D6&lt;E5,"piso suave","ok")</f>
        <v>ok</v>
      </c>
      <c r="G6" s="53">
        <f>0.9*D6</f>
        <v>1116066.592861956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26520967.925864901</v>
      </c>
      <c r="E7" s="53">
        <f>0.7*D7</f>
        <v>18564677.54810543</v>
      </c>
      <c r="F7" s="1" t="str">
        <f>+IF(D7&lt;E6,"piso suave","ok")</f>
        <v>ok</v>
      </c>
      <c r="G7" s="53">
        <f>0.9*D7</f>
        <v>23868871.133278411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37262867.900439501</v>
      </c>
      <c r="E8" s="53">
        <f>0.7*D8</f>
        <v>26084007.530307651</v>
      </c>
      <c r="F8" s="1" t="str">
        <f>+IF(D8&lt;E7,"piso suave","ok")</f>
        <v>ok</v>
      </c>
      <c r="G8" s="53">
        <f>0.9*D8</f>
        <v>33536581.110395551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41578556.413788997</v>
      </c>
      <c r="E9" s="53">
        <f>0.7*D9</f>
        <v>29104989.489652295</v>
      </c>
      <c r="F9" s="1" t="str">
        <f>+IF(D9&lt;E8,"piso suave","ok")</f>
        <v>ok</v>
      </c>
      <c r="G9" s="53">
        <f>0.9*D9</f>
        <v>37420700.772410095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43239516.823418401</v>
      </c>
      <c r="E10" s="53">
        <f>0.7*D10</f>
        <v>30267661.776392877</v>
      </c>
      <c r="F10" s="1" t="str">
        <f>+IF(D10&lt;E9,"piso suave","ok")</f>
        <v>ok</v>
      </c>
      <c r="G10" s="53">
        <f>0.9*D10</f>
        <v>38915565.141076565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44549789.624425396</v>
      </c>
      <c r="E11" s="53">
        <f t="shared" ref="E11:E16" si="0">0.7*D11</f>
        <v>31184852.737097774</v>
      </c>
      <c r="F11" s="1" t="str">
        <f t="shared" ref="F11:F16" si="1">+IF(D11&lt;E10,"piso suave","ok")</f>
        <v>ok</v>
      </c>
      <c r="G11" s="53">
        <f t="shared" ref="G11:G16" si="2">0.9*D11</f>
        <v>40094810.661982857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47438625.540071398</v>
      </c>
      <c r="E12" s="53">
        <f t="shared" si="0"/>
        <v>33207037.878049977</v>
      </c>
      <c r="F12" s="1" t="str">
        <f t="shared" si="1"/>
        <v>ok</v>
      </c>
      <c r="G12" s="53">
        <f t="shared" si="2"/>
        <v>42694762.986064263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50565143.503031299</v>
      </c>
      <c r="E13" s="53">
        <f t="shared" si="0"/>
        <v>35395600.452121906</v>
      </c>
      <c r="F13" s="1" t="str">
        <f t="shared" si="1"/>
        <v>ok</v>
      </c>
      <c r="G13" s="53">
        <f t="shared" si="2"/>
        <v>45508629.15272817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52291840.443689898</v>
      </c>
      <c r="E14" s="53">
        <f t="shared" si="0"/>
        <v>36604288.310582928</v>
      </c>
      <c r="F14" s="1" t="str">
        <f t="shared" si="1"/>
        <v>ok</v>
      </c>
      <c r="G14" s="53">
        <f t="shared" si="2"/>
        <v>47062656.399320908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55079067.752136298</v>
      </c>
      <c r="E15" s="53">
        <f t="shared" si="0"/>
        <v>38555347.426495403</v>
      </c>
      <c r="F15" s="1" t="str">
        <f t="shared" si="1"/>
        <v>ok</v>
      </c>
      <c r="G15" s="53">
        <f t="shared" si="2"/>
        <v>49571160.976922669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68015116.035336494</v>
      </c>
      <c r="E16" s="53">
        <f t="shared" si="0"/>
        <v>47610581.224735543</v>
      </c>
      <c r="F16" s="1" t="str">
        <f t="shared" si="1"/>
        <v>ok</v>
      </c>
      <c r="G16" s="53">
        <f t="shared" si="2"/>
        <v>61213604.431802846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1245225.9101382999</v>
      </c>
      <c r="E23" s="53">
        <f>0.7*D23</f>
        <v>871658.13709680992</v>
      </c>
      <c r="F23" s="1" t="str">
        <f>+IF(D23&lt;E22,"piso suave","ok")</f>
        <v>ok</v>
      </c>
      <c r="G23" s="53">
        <f>0.9*D23</f>
        <v>1120703.31912447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26359525.874175701</v>
      </c>
      <c r="E24" s="53">
        <f>0.7*D24</f>
        <v>18451668.111922991</v>
      </c>
      <c r="F24" s="1" t="str">
        <f>+IF(D24&lt;E23,"piso suave","ok")</f>
        <v>ok</v>
      </c>
      <c r="G24" s="53">
        <f>0.9*D24</f>
        <v>23723573.286758132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37039888.462732397</v>
      </c>
      <c r="E25" s="53">
        <f>0.7*D25</f>
        <v>25927921.923912678</v>
      </c>
      <c r="F25" s="1" t="str">
        <f>+IF(D25&lt;E24,"piso suave","ok")</f>
        <v>ok</v>
      </c>
      <c r="G25" s="53">
        <f>0.9*D25</f>
        <v>33335899.616459157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41370478.270737097</v>
      </c>
      <c r="E26" s="53">
        <f>0.7*D26</f>
        <v>28959334.789515965</v>
      </c>
      <c r="F26" s="1" t="str">
        <f>+IF(D26&lt;E25,"piso suave","ok")</f>
        <v>ok</v>
      </c>
      <c r="G26" s="53">
        <f>0.9*D26</f>
        <v>37233430.443663388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43197865.751096502</v>
      </c>
      <c r="E27" s="53">
        <f>0.7*D27</f>
        <v>30238506.02576755</v>
      </c>
      <c r="F27" s="1" t="str">
        <f>+IF(D27&lt;E26,"piso suave","ok")</f>
        <v>ok</v>
      </c>
      <c r="G27" s="53">
        <f>0.9*D27</f>
        <v>38878079.175986856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44503096.682825901</v>
      </c>
      <c r="E28" s="53">
        <f t="shared" ref="E28:E33" si="4">0.7*D28</f>
        <v>31152167.677978128</v>
      </c>
      <c r="F28" s="1" t="str">
        <f t="shared" ref="F28:F33" si="5">+IF(D28&lt;E27,"piso suave","ok")</f>
        <v>ok</v>
      </c>
      <c r="G28" s="53">
        <f t="shared" ref="G28:G33" si="6">0.9*D28</f>
        <v>40052787.01454331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47391291.637211703</v>
      </c>
      <c r="E29" s="53">
        <f t="shared" si="4"/>
        <v>33173904.146048188</v>
      </c>
      <c r="F29" s="1" t="str">
        <f t="shared" si="5"/>
        <v>ok</v>
      </c>
      <c r="G29" s="53">
        <f t="shared" si="6"/>
        <v>42652162.473490536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50517492.757564798</v>
      </c>
      <c r="E30" s="53">
        <f t="shared" si="4"/>
        <v>35362244.930295356</v>
      </c>
      <c r="F30" s="1" t="str">
        <f t="shared" si="5"/>
        <v>ok</v>
      </c>
      <c r="G30" s="53">
        <f t="shared" si="6"/>
        <v>45465743.48180832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52241266.018833801</v>
      </c>
      <c r="E31" s="53">
        <f t="shared" si="4"/>
        <v>36568886.213183656</v>
      </c>
      <c r="F31" s="1" t="str">
        <f t="shared" si="5"/>
        <v>ok</v>
      </c>
      <c r="G31" s="53">
        <f t="shared" si="6"/>
        <v>47017139.41695042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55022271.302624904</v>
      </c>
      <c r="E32" s="53">
        <f t="shared" si="4"/>
        <v>38515589.911837429</v>
      </c>
      <c r="F32" s="1" t="str">
        <f t="shared" si="5"/>
        <v>ok</v>
      </c>
      <c r="G32" s="53">
        <f t="shared" si="6"/>
        <v>49520044.172362417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67941239.928267196</v>
      </c>
      <c r="E33" s="53">
        <f t="shared" si="4"/>
        <v>47558867.949787036</v>
      </c>
      <c r="F33" s="1" t="str">
        <f t="shared" si="5"/>
        <v>ok</v>
      </c>
      <c r="G33" s="53">
        <f t="shared" si="6"/>
        <v>61147115.935440481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1467781.04162891</v>
      </c>
      <c r="E40" s="53">
        <f>0.7*D40</f>
        <v>1027446.729140237</v>
      </c>
      <c r="F40" s="1" t="str">
        <f>+IF(D40&lt;E39,"piso suave","ok")</f>
        <v>ok</v>
      </c>
      <c r="G40" s="53">
        <f>0.9*D40</f>
        <v>1321002.9374660191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25637745.510232799</v>
      </c>
      <c r="E41" s="53">
        <f>0.7*D41</f>
        <v>17946421.857162956</v>
      </c>
      <c r="F41" s="1" t="str">
        <f>+IF(D41&lt;E40,"piso suave","ok")</f>
        <v>ok</v>
      </c>
      <c r="G41" s="53">
        <f>0.9*D41</f>
        <v>23073970.95920952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34449376.502012096</v>
      </c>
      <c r="E42" s="53">
        <f>0.7*D42</f>
        <v>24114563.551408466</v>
      </c>
      <c r="F42" s="1" t="str">
        <f>+IF(D42&lt;E41,"piso suave","ok")</f>
        <v>ok</v>
      </c>
      <c r="G42" s="53">
        <f>0.9*D42</f>
        <v>31004438.851810887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37271107.821446702</v>
      </c>
      <c r="E43" s="53">
        <f>0.7*D43</f>
        <v>26089775.47501269</v>
      </c>
      <c r="F43" s="1" t="str">
        <f>+IF(D43&lt;E42,"piso suave","ok")</f>
        <v>ok</v>
      </c>
      <c r="G43" s="53">
        <f>0.9*D43</f>
        <v>33543997.039302032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38828235.442353301</v>
      </c>
      <c r="E44" s="53">
        <f>0.7*D44</f>
        <v>27179764.809647311</v>
      </c>
      <c r="F44" s="1" t="str">
        <f>+IF(D44&lt;E43,"piso suave","ok")</f>
        <v>ok</v>
      </c>
      <c r="G44" s="53">
        <f>0.9*D44</f>
        <v>34945411.898117974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40074819.223312102</v>
      </c>
      <c r="E45" s="53">
        <f t="shared" ref="E45:E50" si="8">0.7*D45</f>
        <v>28052373.456318472</v>
      </c>
      <c r="F45" s="1" t="str">
        <f t="shared" ref="F45:F50" si="9">+IF(D45&lt;E44,"piso suave","ok")</f>
        <v>ok</v>
      </c>
      <c r="G45" s="53">
        <f t="shared" ref="G45:G50" si="10">0.9*D45</f>
        <v>36067337.300980896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43742794.880051501</v>
      </c>
      <c r="E46" s="53">
        <f t="shared" si="8"/>
        <v>30619956.416036047</v>
      </c>
      <c r="F46" s="1" t="str">
        <f t="shared" si="9"/>
        <v>ok</v>
      </c>
      <c r="G46" s="53">
        <f t="shared" si="10"/>
        <v>39368515.392046355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45568254.441905797</v>
      </c>
      <c r="E47" s="53">
        <f t="shared" si="8"/>
        <v>31897778.109334055</v>
      </c>
      <c r="F47" s="1" t="str">
        <f t="shared" si="9"/>
        <v>ok</v>
      </c>
      <c r="G47" s="53">
        <f t="shared" si="10"/>
        <v>41011428.99771522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47217272.081589803</v>
      </c>
      <c r="E48" s="53">
        <f t="shared" si="8"/>
        <v>33052090.45711286</v>
      </c>
      <c r="F48" s="1" t="str">
        <f t="shared" si="9"/>
        <v>ok</v>
      </c>
      <c r="G48" s="53">
        <f t="shared" si="10"/>
        <v>42495544.873430826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51238010.479867801</v>
      </c>
      <c r="E49" s="53">
        <f t="shared" si="8"/>
        <v>35866607.335907459</v>
      </c>
      <c r="F49" s="1" t="str">
        <f t="shared" si="9"/>
        <v>ok</v>
      </c>
      <c r="G49" s="53">
        <f t="shared" si="10"/>
        <v>46114209.431881025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64011997.513480604</v>
      </c>
      <c r="E50" s="53">
        <f t="shared" si="8"/>
        <v>44808398.259436421</v>
      </c>
      <c r="F50" s="1" t="str">
        <f t="shared" si="9"/>
        <v>ok</v>
      </c>
      <c r="G50" s="53">
        <f t="shared" si="10"/>
        <v>57610797.762132548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1590100.505529</v>
      </c>
      <c r="E57" s="53">
        <f>0.7*D57</f>
        <v>1113070.3538702999</v>
      </c>
      <c r="F57" s="1" t="str">
        <f>+IF(D57&lt;E56,"piso suave","ok")</f>
        <v>ok</v>
      </c>
      <c r="G57" s="53">
        <f>0.9*D57</f>
        <v>1431090.4549761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27065354.3084644</v>
      </c>
      <c r="E58" s="53">
        <f>0.7*D58</f>
        <v>18945748.01592508</v>
      </c>
      <c r="F58" s="1" t="str">
        <f>+IF(D58&lt;E57,"piso suave","ok")</f>
        <v>ok</v>
      </c>
      <c r="G58" s="53">
        <f>0.9*D58</f>
        <v>24358818.877617963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36484465.697674297</v>
      </c>
      <c r="E59" s="53">
        <f>0.7*D59</f>
        <v>25539125.988372006</v>
      </c>
      <c r="F59" s="1" t="str">
        <f>+IF(D59&lt;E58,"piso suave","ok")</f>
        <v>ok</v>
      </c>
      <c r="G59" s="53">
        <f>0.9*D59</f>
        <v>32836019.127906866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39577754.590291403</v>
      </c>
      <c r="E60" s="53">
        <f>0.7*D60</f>
        <v>27704428.213203982</v>
      </c>
      <c r="F60" s="1" t="str">
        <f>+IF(D60&lt;E59,"piso suave","ok")</f>
        <v>ok</v>
      </c>
      <c r="G60" s="53">
        <f>0.9*D60</f>
        <v>35619979.131262265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40136920.923663601</v>
      </c>
      <c r="E61" s="53">
        <f>0.7*D61</f>
        <v>28095844.646564521</v>
      </c>
      <c r="F61" s="1" t="str">
        <f>+IF(D61&lt;E60,"piso suave","ok")</f>
        <v>ok</v>
      </c>
      <c r="G61" s="53">
        <f>0.9*D61</f>
        <v>36123228.831297241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40889151.805420801</v>
      </c>
      <c r="E62" s="53">
        <f t="shared" ref="E62:E67" si="12">0.7*D62</f>
        <v>28622406.26379456</v>
      </c>
      <c r="F62" s="1" t="str">
        <f t="shared" ref="F62:F67" si="13">+IF(D62&lt;E61,"piso suave","ok")</f>
        <v>ok</v>
      </c>
      <c r="G62" s="53">
        <f t="shared" ref="G62:G67" si="14">0.9*D62</f>
        <v>36800236.624878719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43375479.272561699</v>
      </c>
      <c r="E63" s="53">
        <f t="shared" si="12"/>
        <v>30362835.490793187</v>
      </c>
      <c r="F63" s="1" t="str">
        <f t="shared" si="13"/>
        <v>ok</v>
      </c>
      <c r="G63" s="53">
        <f t="shared" si="14"/>
        <v>39037931.345305532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45909184.196435697</v>
      </c>
      <c r="E64" s="53">
        <f t="shared" si="12"/>
        <v>32136428.937504984</v>
      </c>
      <c r="F64" s="1" t="str">
        <f t="shared" si="13"/>
        <v>ok</v>
      </c>
      <c r="G64" s="53">
        <f t="shared" si="14"/>
        <v>41318265.776792131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47019722.3814428</v>
      </c>
      <c r="E65" s="53">
        <f t="shared" si="12"/>
        <v>32913805.667009957</v>
      </c>
      <c r="F65" s="1" t="str">
        <f t="shared" si="13"/>
        <v>ok</v>
      </c>
      <c r="G65" s="53">
        <f t="shared" si="14"/>
        <v>42317750.143298522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53428431.561545096</v>
      </c>
      <c r="E66" s="53">
        <f t="shared" si="12"/>
        <v>37399902.093081564</v>
      </c>
      <c r="F66" s="1" t="str">
        <f t="shared" si="13"/>
        <v>ok</v>
      </c>
      <c r="G66" s="53">
        <f t="shared" si="14"/>
        <v>48085588.40539059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63408342.658834703</v>
      </c>
      <c r="E67" s="53">
        <f t="shared" si="12"/>
        <v>44385839.861184292</v>
      </c>
      <c r="F67" s="1" t="str">
        <f t="shared" si="13"/>
        <v>ok</v>
      </c>
      <c r="G67" s="53">
        <f t="shared" si="14"/>
        <v>57067508.392951235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848.73018227297905</v>
      </c>
      <c r="E7" s="171">
        <f>+'Centers of Mass and Rigidity'!E5</f>
        <v>848.73018227297905</v>
      </c>
      <c r="F7" s="68">
        <f>+E7*9.807</f>
        <v>8323.4968975511056</v>
      </c>
      <c r="G7">
        <f>1.5*F7</f>
        <v>12485.245346326657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16964.982633744599</v>
      </c>
      <c r="E8" s="171">
        <f>+'Centers of Mass and Rigidity'!E6</f>
        <v>16964.982633744599</v>
      </c>
      <c r="F8" s="68">
        <f t="shared" ref="F8:F17" si="0">+E8*9.807</f>
        <v>166375.58468913331</v>
      </c>
      <c r="G8" s="68">
        <f t="shared" ref="G8:G17" si="1">1.5*F8</f>
        <v>249563.37703369994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22130.926448071099</v>
      </c>
      <c r="E9" s="171">
        <f>+'Centers of Mass and Rigidity'!E7</f>
        <v>22130.926448071099</v>
      </c>
      <c r="F9" s="68">
        <f t="shared" si="0"/>
        <v>217037.99567623329</v>
      </c>
      <c r="G9" s="68">
        <f t="shared" si="1"/>
        <v>325556.99351434992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22130.926448071099</v>
      </c>
      <c r="E10" s="171">
        <f>+'Centers of Mass and Rigidity'!E8</f>
        <v>22130.926448071099</v>
      </c>
      <c r="F10" s="68">
        <f t="shared" si="0"/>
        <v>217037.99567623329</v>
      </c>
      <c r="G10" s="68">
        <f t="shared" si="1"/>
        <v>325556.99351434992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22130.926448071099</v>
      </c>
      <c r="E11" s="171">
        <f>+'Centers of Mass and Rigidity'!E9</f>
        <v>22130.926448071099</v>
      </c>
      <c r="F11" s="68">
        <f t="shared" si="0"/>
        <v>217037.99567623329</v>
      </c>
      <c r="G11" s="68">
        <f t="shared" si="1"/>
        <v>325556.99351434992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22130.926448071099</v>
      </c>
      <c r="E12" s="171">
        <f>+'Centers of Mass and Rigidity'!E10</f>
        <v>22130.926448071099</v>
      </c>
      <c r="F12" s="158">
        <f t="shared" si="0"/>
        <v>217037.99567623329</v>
      </c>
      <c r="G12" s="158">
        <f t="shared" si="1"/>
        <v>325556.99351434992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22130.926448071099</v>
      </c>
      <c r="E13" s="171">
        <f>+'Centers of Mass and Rigidity'!E11</f>
        <v>22130.926448071099</v>
      </c>
      <c r="F13" s="158">
        <f t="shared" si="0"/>
        <v>217037.99567623329</v>
      </c>
      <c r="G13" s="158">
        <f t="shared" si="1"/>
        <v>325556.99351434992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23564.076373268199</v>
      </c>
      <c r="E14" s="171">
        <f>+'Centers of Mass and Rigidity'!E12</f>
        <v>23564.076373268199</v>
      </c>
      <c r="F14" s="158">
        <f t="shared" si="0"/>
        <v>231092.89699264124</v>
      </c>
      <c r="G14" s="158">
        <f t="shared" si="1"/>
        <v>346639.34548896184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23564.076373268199</v>
      </c>
      <c r="E15" s="171">
        <f>+'Centers of Mass and Rigidity'!E13</f>
        <v>23564.076373268199</v>
      </c>
      <c r="F15" s="158">
        <f t="shared" si="0"/>
        <v>231092.89699264124</v>
      </c>
      <c r="G15" s="158">
        <f t="shared" si="1"/>
        <v>346639.34548896184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24294.431038135001</v>
      </c>
      <c r="E16" s="171">
        <f>+'Centers of Mass and Rigidity'!E14</f>
        <v>24294.431038135001</v>
      </c>
      <c r="F16" s="158">
        <f t="shared" si="0"/>
        <v>238255.48519098997</v>
      </c>
      <c r="G16" s="158">
        <f t="shared" si="1"/>
        <v>357383.22778648499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23483.314850844199</v>
      </c>
      <c r="E17" s="171">
        <f>+'Centers of Mass and Rigidity'!E15</f>
        <v>23483.314850844199</v>
      </c>
      <c r="F17" s="158">
        <f t="shared" si="0"/>
        <v>230300.86874222907</v>
      </c>
      <c r="G17" s="158">
        <f t="shared" si="1"/>
        <v>345451.3031133436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2190631.2078863522</v>
      </c>
      <c r="G18">
        <f>1.5*F18</f>
        <v>3285946.8118295283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tabSelected="1"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18781.199999996999</v>
      </c>
      <c r="F5" s="172">
        <v>4.3514205572137102E-9</v>
      </c>
      <c r="G5" s="172">
        <v>-4.2655869947338901E-9</v>
      </c>
      <c r="H5" s="172">
        <v>-1.4847751117485999E-7</v>
      </c>
      <c r="I5" s="172">
        <v>266691.95999997301</v>
      </c>
      <c r="J5" s="172">
        <v>-392881.04999992001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819497.44874986203</v>
      </c>
      <c r="F6" s="172">
        <v>5.7057718549913301E-8</v>
      </c>
      <c r="G6" s="172">
        <v>-1.0440476216899699E-7</v>
      </c>
      <c r="H6" s="172">
        <v>-2.7495079848449698E-6</v>
      </c>
      <c r="I6" s="172">
        <v>12685483.631490201</v>
      </c>
      <c r="J6" s="172">
        <v>-9730619.7878054809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1610117.59749884</v>
      </c>
      <c r="F7" s="172">
        <v>6.3579363995813804E-8</v>
      </c>
      <c r="G7" s="172">
        <v>-2.2029553292668401E-8</v>
      </c>
      <c r="H7" s="172">
        <v>5.9475348734849799E-7</v>
      </c>
      <c r="I7" s="172">
        <v>24939927.460462</v>
      </c>
      <c r="J7" s="172">
        <v>-18991372.890590701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2400737.7462476199</v>
      </c>
      <c r="F8" s="172">
        <v>1.53727228280331E-7</v>
      </c>
      <c r="G8" s="172">
        <v>-2.16061039282067E-7</v>
      </c>
      <c r="H8" s="172">
        <v>-3.5081620808341498E-6</v>
      </c>
      <c r="I8" s="172">
        <v>37194371.289433397</v>
      </c>
      <c r="J8" s="172">
        <v>-28252125.993372198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3191357.8949978901</v>
      </c>
      <c r="F9" s="172">
        <v>1.0594112609396701E-7</v>
      </c>
      <c r="G9" s="172">
        <v>-3.1966908409231099E-7</v>
      </c>
      <c r="H9" s="172">
        <v>-5.14282407948485E-6</v>
      </c>
      <c r="I9" s="172">
        <v>49448815.118423097</v>
      </c>
      <c r="J9" s="172">
        <v>-37512879.096186802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3981978.0437463601</v>
      </c>
      <c r="F10" s="172">
        <v>5.4477823141496602E-8</v>
      </c>
      <c r="G10" s="172">
        <v>-1.66927748068701E-7</v>
      </c>
      <c r="H10" s="172">
        <v>-1.2565141105369501E-7</v>
      </c>
      <c r="I10" s="172">
        <v>61703258.947388403</v>
      </c>
      <c r="J10" s="172">
        <v>-46773632.198960602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4772598.1924962802</v>
      </c>
      <c r="F11" s="172">
        <v>4.0166526105167597E-8</v>
      </c>
      <c r="G11" s="172">
        <v>-3.2491016099811499E-8</v>
      </c>
      <c r="H11" s="172">
        <v>3.3349915611324798E-6</v>
      </c>
      <c r="I11" s="172">
        <v>73957702.776372194</v>
      </c>
      <c r="J11" s="172">
        <v>-56034385.301768303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5577273.0292455303</v>
      </c>
      <c r="F12" s="172">
        <v>4.42221335106296E-8</v>
      </c>
      <c r="G12" s="172">
        <v>-6.9714133132947596E-8</v>
      </c>
      <c r="H12" s="172">
        <v>2.3832533315726302E-6</v>
      </c>
      <c r="I12" s="172">
        <v>86429908.2440373</v>
      </c>
      <c r="J12" s="172">
        <v>-65456108.228560701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6381947.8659953</v>
      </c>
      <c r="F13" s="172">
        <v>3.0571868592232898E-8</v>
      </c>
      <c r="G13" s="172">
        <v>-4.6150830712576902E-8</v>
      </c>
      <c r="H13" s="172">
        <v>3.1413062515639501E-6</v>
      </c>
      <c r="I13" s="172">
        <v>98902113.711706802</v>
      </c>
      <c r="J13" s="172">
        <v>-74877831.155364707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7185830.7027450399</v>
      </c>
      <c r="F14" s="172">
        <v>2.3294944639928902E-8</v>
      </c>
      <c r="G14" s="172">
        <v>-4.7130583880061703E-8</v>
      </c>
      <c r="H14" s="172">
        <v>3.19779860546987E-6</v>
      </c>
      <c r="I14" s="172">
        <v>111352143.179377</v>
      </c>
      <c r="J14" s="172">
        <v>-84281338.082168102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8220260.5394951198</v>
      </c>
      <c r="F15" s="172">
        <v>2.5123938485194201E-8</v>
      </c>
      <c r="G15" s="172">
        <v>-4.6298779921016797E-8</v>
      </c>
      <c r="H15" s="172">
        <v>3.1877771107247099E-6</v>
      </c>
      <c r="I15" s="172">
        <v>127392859.147053</v>
      </c>
      <c r="J15" s="172">
        <v>-96294227.308978602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5" t="s">
        <v>73</v>
      </c>
      <c r="F19" s="205"/>
      <c r="G19" s="205"/>
      <c r="H19" s="205"/>
      <c r="I19" s="205"/>
      <c r="J19" s="205"/>
      <c r="K19" s="205"/>
      <c r="L19" s="205"/>
      <c r="M19" s="205"/>
      <c r="N19" s="205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2.92269329699054E-2</v>
      </c>
      <c r="F22" s="83">
        <f t="shared" ref="F22:F32" si="0">+E5</f>
        <v>18781.199999996999</v>
      </c>
      <c r="G22" s="83">
        <v>0</v>
      </c>
      <c r="H22" s="83">
        <f t="shared" ref="H22:H32" si="1">+E22</f>
        <v>2.92269329699054E-2</v>
      </c>
      <c r="I22" s="83">
        <f t="shared" ref="I22:I31" si="2">+H22-H23</f>
        <v>-2.269975436954997E-3</v>
      </c>
      <c r="J22" s="83">
        <f>IF(+'Sismo UBC-94 y Dinamico'!O15=0,'Sismo UBC-94 y Dinamico'!M15,'Sismo UBC-94 y Dinamico'!O15)</f>
        <v>1174.5544594717567</v>
      </c>
      <c r="K22" s="83">
        <f t="shared" ref="K22:K32" si="3">+C22</f>
        <v>38.5</v>
      </c>
      <c r="L22" s="83">
        <f>+G22*I22</f>
        <v>0</v>
      </c>
      <c r="M22" s="83">
        <f>+J22*K22</f>
        <v>45220.346689662634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3.1496908406860397E-2</v>
      </c>
      <c r="F23" s="165">
        <f t="shared" si="0"/>
        <v>819497.44874986203</v>
      </c>
      <c r="G23" s="83">
        <f>+F23</f>
        <v>819497.44874986203</v>
      </c>
      <c r="H23" s="83">
        <f t="shared" si="1"/>
        <v>3.1496908406860397E-2</v>
      </c>
      <c r="I23" s="83">
        <f t="shared" si="2"/>
        <v>1.2229772348378957E-3</v>
      </c>
      <c r="J23" s="172">
        <f>IF(+'Sismo UBC-94 y Dinamico'!O16=0,'Sismo UBC-94 y Dinamico'!M16,'Sismo UBC-94 y Dinamico'!O16)</f>
        <v>31116.982117028481</v>
      </c>
      <c r="K23" s="172">
        <f t="shared" si="3"/>
        <v>35.5</v>
      </c>
      <c r="L23" s="83">
        <f t="shared" ref="L23:L32" si="4">+G23*I23</f>
        <v>1002.2267238288165</v>
      </c>
      <c r="M23" s="83">
        <f t="shared" ref="M23:M32" si="5">+J23*K23</f>
        <v>1104652.8651545111</v>
      </c>
      <c r="N23" s="83">
        <f t="shared" ref="N23:N32" si="6">+L23/M23</f>
        <v>9.0727753074594346E-4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3.0273931172022501E-2</v>
      </c>
      <c r="F24" s="165">
        <f t="shared" si="0"/>
        <v>1610117.59749884</v>
      </c>
      <c r="G24" s="83">
        <f>+F24-F23</f>
        <v>790620.14874897792</v>
      </c>
      <c r="H24" s="83">
        <f t="shared" si="1"/>
        <v>3.0273931172022501E-2</v>
      </c>
      <c r="I24" s="83">
        <f t="shared" si="2"/>
        <v>1.9277884407753014E-3</v>
      </c>
      <c r="J24" s="172">
        <f>IF(+'Sismo UBC-94 y Dinamico'!O17=0,'Sismo UBC-94 y Dinamico'!M17,'Sismo UBC-94 y Dinamico'!O17)</f>
        <v>34502.326094159624</v>
      </c>
      <c r="K24" s="172">
        <f t="shared" si="3"/>
        <v>32</v>
      </c>
      <c r="L24" s="83">
        <f t="shared" si="4"/>
        <v>1524.1483838023289</v>
      </c>
      <c r="M24" s="83">
        <f t="shared" si="5"/>
        <v>1104074.435013108</v>
      </c>
      <c r="N24" s="83">
        <f t="shared" si="6"/>
        <v>1.3804761123594295E-3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2.8346142731247199E-2</v>
      </c>
      <c r="F25" s="165">
        <f t="shared" si="0"/>
        <v>2400737.7462476199</v>
      </c>
      <c r="G25" s="83">
        <f>+F25-F24</f>
        <v>790620.1487487799</v>
      </c>
      <c r="H25" s="83">
        <f t="shared" si="1"/>
        <v>2.8346142731247199E-2</v>
      </c>
      <c r="I25" s="83">
        <f t="shared" si="2"/>
        <v>2.5858857208613979E-3</v>
      </c>
      <c r="J25" s="172">
        <f>IF(+'Sismo UBC-94 y Dinamico'!O18=0,'Sismo UBC-94 y Dinamico'!M18,'Sismo UBC-94 y Dinamico'!O18)</f>
        <v>28696.455105518275</v>
      </c>
      <c r="K25" s="172">
        <f t="shared" si="3"/>
        <v>28.5</v>
      </c>
      <c r="L25" s="83">
        <f t="shared" si="4"/>
        <v>2044.4533532747844</v>
      </c>
      <c r="M25" s="83">
        <f t="shared" si="5"/>
        <v>817848.97050727077</v>
      </c>
      <c r="N25" s="83">
        <f t="shared" si="6"/>
        <v>2.4997932711301359E-3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2.5760257010385802E-2</v>
      </c>
      <c r="F26" s="165">
        <f t="shared" si="0"/>
        <v>3191357.8949978901</v>
      </c>
      <c r="G26" s="83">
        <f>+F26-F25</f>
        <v>790620.14875027025</v>
      </c>
      <c r="H26" s="83">
        <f t="shared" si="1"/>
        <v>2.5760257010385802E-2</v>
      </c>
      <c r="I26" s="83">
        <f t="shared" si="2"/>
        <v>3.1377513537810021E-3</v>
      </c>
      <c r="J26" s="172">
        <f>IF(+'Sismo UBC-94 y Dinamico'!O19=0,'Sismo UBC-94 y Dinamico'!M19,'Sismo UBC-94 y Dinamico'!O19)</f>
        <v>23966.889569768944</v>
      </c>
      <c r="K26" s="172">
        <f t="shared" si="3"/>
        <v>25</v>
      </c>
      <c r="L26" s="83">
        <f t="shared" si="4"/>
        <v>2480.7694420676976</v>
      </c>
      <c r="M26" s="83">
        <f t="shared" si="5"/>
        <v>599172.23924422357</v>
      </c>
      <c r="N26" s="83">
        <f t="shared" si="6"/>
        <v>4.1403277381423069E-3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2.2622505656604799E-2</v>
      </c>
      <c r="F27" s="165">
        <f t="shared" si="0"/>
        <v>3981978.0437463601</v>
      </c>
      <c r="G27" s="165">
        <f t="shared" ref="G27:G32" si="8">+F27-F26</f>
        <v>790620.14874847</v>
      </c>
      <c r="H27" s="165">
        <f t="shared" si="1"/>
        <v>2.2622505656604799E-2</v>
      </c>
      <c r="I27" s="165">
        <f t="shared" si="2"/>
        <v>3.5657599805851009E-3</v>
      </c>
      <c r="J27" s="172">
        <f>IF(+'Sismo UBC-94 y Dinamico'!O20=0,'Sismo UBC-94 y Dinamico'!M20,'Sismo UBC-94 y Dinamico'!O20)</f>
        <v>20323.247205801199</v>
      </c>
      <c r="K27" s="172">
        <f t="shared" si="3"/>
        <v>21.5</v>
      </c>
      <c r="L27" s="165">
        <f t="shared" si="4"/>
        <v>2819.1616862515339</v>
      </c>
      <c r="M27" s="165">
        <f t="shared" si="5"/>
        <v>436949.8149247258</v>
      </c>
      <c r="N27" s="165">
        <f t="shared" si="6"/>
        <v>6.4519118442405024E-3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1.9056745676019698E-2</v>
      </c>
      <c r="F28" s="165">
        <f t="shared" si="0"/>
        <v>4772598.1924962802</v>
      </c>
      <c r="G28" s="165">
        <f t="shared" si="8"/>
        <v>790620.14874992007</v>
      </c>
      <c r="H28" s="165">
        <f t="shared" si="1"/>
        <v>1.9056745676019698E-2</v>
      </c>
      <c r="I28" s="165">
        <f t="shared" si="2"/>
        <v>3.7489602564915979E-3</v>
      </c>
      <c r="J28" s="172">
        <f>IF(+'Sismo UBC-94 y Dinamico'!O21=0,'Sismo UBC-94 y Dinamico'!M21,'Sismo UBC-94 y Dinamico'!O21)</f>
        <v>17534.472792077431</v>
      </c>
      <c r="K28" s="172">
        <f t="shared" si="3"/>
        <v>18</v>
      </c>
      <c r="L28" s="165">
        <f t="shared" si="4"/>
        <v>2964.0035156449258</v>
      </c>
      <c r="M28" s="165">
        <f t="shared" si="5"/>
        <v>315620.51025739376</v>
      </c>
      <c r="N28" s="165">
        <f t="shared" si="6"/>
        <v>9.391035814585471E-3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1.5307785419528101E-2</v>
      </c>
      <c r="F29" s="165">
        <f t="shared" si="0"/>
        <v>5577273.0292455303</v>
      </c>
      <c r="G29" s="165">
        <f t="shared" si="8"/>
        <v>804674.83674925007</v>
      </c>
      <c r="H29" s="165">
        <f t="shared" si="1"/>
        <v>1.5307785419528101E-2</v>
      </c>
      <c r="I29" s="165">
        <f t="shared" si="2"/>
        <v>3.8495204120573001E-3</v>
      </c>
      <c r="J29" s="172">
        <f>IF(+'Sismo UBC-94 y Dinamico'!O22=0,'Sismo UBC-94 y Dinamico'!M22,'Sismo UBC-94 y Dinamico'!O22)</f>
        <v>15736.585976005255</v>
      </c>
      <c r="K29" s="172">
        <f t="shared" si="3"/>
        <v>14.5</v>
      </c>
      <c r="L29" s="165">
        <f t="shared" si="4"/>
        <v>3097.612209135114</v>
      </c>
      <c r="M29" s="165">
        <f t="shared" si="5"/>
        <v>228180.4966520762</v>
      </c>
      <c r="N29" s="165">
        <f t="shared" si="6"/>
        <v>1.3575271570463246E-2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1.14582650074708E-2</v>
      </c>
      <c r="F30" s="165">
        <f t="shared" si="0"/>
        <v>6381947.8659953</v>
      </c>
      <c r="G30" s="165">
        <f t="shared" si="8"/>
        <v>804674.83674976975</v>
      </c>
      <c r="H30" s="165">
        <f t="shared" si="1"/>
        <v>1.14582650074708E-2</v>
      </c>
      <c r="I30" s="165">
        <f t="shared" si="2"/>
        <v>4.0186581446051304E-3</v>
      </c>
      <c r="J30" s="172">
        <f>IF(+'Sismo UBC-94 y Dinamico'!O23=0,'Sismo UBC-94 y Dinamico'!M23,'Sismo UBC-94 y Dinamico'!O23)</f>
        <v>13565.137092035999</v>
      </c>
      <c r="K30" s="172">
        <f t="shared" si="3"/>
        <v>11</v>
      </c>
      <c r="L30" s="165">
        <f t="shared" si="4"/>
        <v>3233.7130864632659</v>
      </c>
      <c r="M30" s="165">
        <f t="shared" si="5"/>
        <v>149216.50801239599</v>
      </c>
      <c r="N30" s="165">
        <f t="shared" si="6"/>
        <v>2.1671282417322277E-2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7.4396068628656701E-3</v>
      </c>
      <c r="F31" s="165">
        <f t="shared" si="0"/>
        <v>7185830.7027450399</v>
      </c>
      <c r="G31" s="165">
        <f t="shared" si="8"/>
        <v>803882.83674973994</v>
      </c>
      <c r="H31" s="165">
        <f t="shared" si="1"/>
        <v>7.4396068628656701E-3</v>
      </c>
      <c r="I31" s="165">
        <f t="shared" si="2"/>
        <v>4.04041414533094E-3</v>
      </c>
      <c r="J31" s="172">
        <f>IF(+'Sismo UBC-94 y Dinamico'!O24=0,'Sismo UBC-94 y Dinamico'!M24,'Sismo UBC-94 y Dinamico'!O24)</f>
        <v>10511.993169289171</v>
      </c>
      <c r="K31" s="172">
        <f t="shared" si="3"/>
        <v>7.5</v>
      </c>
      <c r="L31" s="165">
        <f t="shared" si="4"/>
        <v>3248.0195847924119</v>
      </c>
      <c r="M31" s="165">
        <f t="shared" si="5"/>
        <v>78839.948769668787</v>
      </c>
      <c r="N31" s="165">
        <f t="shared" si="6"/>
        <v>4.1197636927460639E-2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3.3991927175347301E-3</v>
      </c>
      <c r="F32" s="165">
        <f t="shared" si="0"/>
        <v>8220260.5394951198</v>
      </c>
      <c r="G32" s="165">
        <f t="shared" si="8"/>
        <v>1034429.8367500799</v>
      </c>
      <c r="H32" s="165">
        <f t="shared" si="1"/>
        <v>3.3991927175347301E-3</v>
      </c>
      <c r="I32" s="165">
        <f>+H32-I33</f>
        <v>3.3991927175347301E-3</v>
      </c>
      <c r="J32" s="172">
        <f>IF(+'Sismo UBC-94 y Dinamico'!O25=0,'Sismo UBC-94 y Dinamico'!M25,'Sismo UBC-94 y Dinamico'!O25)</f>
        <v>5900.2377085827802</v>
      </c>
      <c r="K32" s="172">
        <f t="shared" si="3"/>
        <v>4</v>
      </c>
      <c r="L32" s="165">
        <f t="shared" si="4"/>
        <v>3516.2263678815111</v>
      </c>
      <c r="M32" s="165">
        <f t="shared" si="5"/>
        <v>23600.950834331121</v>
      </c>
      <c r="N32" s="165">
        <f t="shared" si="6"/>
        <v>0.14898664009615378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5" t="s">
        <v>73</v>
      </c>
      <c r="F37" s="205"/>
      <c r="G37" s="205"/>
      <c r="H37" s="205"/>
      <c r="I37" s="205"/>
      <c r="J37" s="205"/>
      <c r="K37" s="205"/>
      <c r="L37" s="205"/>
      <c r="M37" s="205"/>
      <c r="N37" s="205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2.97083009290194E-2</v>
      </c>
      <c r="F40" s="165">
        <f t="shared" ref="F40:F50" si="9">+E5</f>
        <v>18781.199999996999</v>
      </c>
      <c r="G40" s="165">
        <v>0</v>
      </c>
      <c r="H40" s="165">
        <f t="shared" ref="H40:H50" si="10">+E40</f>
        <v>2.97083009290194E-2</v>
      </c>
      <c r="I40" s="165">
        <f t="shared" ref="I40:I49" si="11">+H40-H41</f>
        <v>-2.2369357914546993E-3</v>
      </c>
      <c r="J40" s="165">
        <f>+J22</f>
        <v>1174.5544594717567</v>
      </c>
      <c r="K40" s="165">
        <f t="shared" ref="K40:K50" si="12">+C40</f>
        <v>38.5</v>
      </c>
      <c r="L40" s="165">
        <f>+G40*I40</f>
        <v>0</v>
      </c>
      <c r="M40" s="165">
        <f>+J40*K40</f>
        <v>45220.346689662634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3.1945236720474099E-2</v>
      </c>
      <c r="F41" s="165">
        <f t="shared" si="9"/>
        <v>819497.44874986203</v>
      </c>
      <c r="G41" s="165">
        <f>+F41</f>
        <v>819497.44874986203</v>
      </c>
      <c r="H41" s="165">
        <f t="shared" si="10"/>
        <v>3.1945236720474099E-2</v>
      </c>
      <c r="I41" s="165">
        <f t="shared" si="11"/>
        <v>1.2391963446794982E-3</v>
      </c>
      <c r="J41" s="172">
        <f t="shared" ref="J41:J50" si="13">+J23</f>
        <v>31116.982117028481</v>
      </c>
      <c r="K41" s="172">
        <f t="shared" si="12"/>
        <v>35.5</v>
      </c>
      <c r="L41" s="165">
        <f t="shared" ref="L41:L50" si="14">+G41*I41</f>
        <v>1015.5182429650034</v>
      </c>
      <c r="M41" s="165">
        <f t="shared" ref="M41:M50" si="15">+J41*K41</f>
        <v>1104652.8651545111</v>
      </c>
      <c r="N41" s="165">
        <f t="shared" ref="N41:N50" si="16">+L41/M41</f>
        <v>9.1930983478955616E-4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3.0706040375794601E-2</v>
      </c>
      <c r="F42" s="165">
        <f t="shared" si="9"/>
        <v>1610117.59749884</v>
      </c>
      <c r="G42" s="165">
        <f>+F42-F41</f>
        <v>790620.14874897792</v>
      </c>
      <c r="H42" s="165">
        <f t="shared" si="10"/>
        <v>3.0706040375794601E-2</v>
      </c>
      <c r="I42" s="165">
        <f t="shared" si="11"/>
        <v>1.9538712199054994E-3</v>
      </c>
      <c r="J42" s="172">
        <f t="shared" si="13"/>
        <v>34502.326094159624</v>
      </c>
      <c r="K42" s="172">
        <f t="shared" si="12"/>
        <v>32</v>
      </c>
      <c r="L42" s="165">
        <f t="shared" si="14"/>
        <v>1544.7699545180328</v>
      </c>
      <c r="M42" s="165">
        <f t="shared" si="15"/>
        <v>1104074.435013108</v>
      </c>
      <c r="N42" s="165">
        <f t="shared" si="16"/>
        <v>1.399153812034143E-3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2.8752169155889101E-2</v>
      </c>
      <c r="F43" s="165">
        <f t="shared" si="9"/>
        <v>2400737.7462476199</v>
      </c>
      <c r="G43" s="165">
        <f t="shared" ref="G43:G50" si="18">+F43-F42</f>
        <v>790620.1487487799</v>
      </c>
      <c r="H43" s="165">
        <f t="shared" si="10"/>
        <v>2.8752169155889101E-2</v>
      </c>
      <c r="I43" s="165">
        <f t="shared" si="11"/>
        <v>2.6232300556480008E-3</v>
      </c>
      <c r="J43" s="172">
        <f t="shared" si="13"/>
        <v>28696.455105518275</v>
      </c>
      <c r="K43" s="172">
        <f t="shared" si="12"/>
        <v>28.5</v>
      </c>
      <c r="L43" s="165">
        <f t="shared" si="14"/>
        <v>2073.9785367986924</v>
      </c>
      <c r="M43" s="165">
        <f t="shared" si="15"/>
        <v>817848.97050727077</v>
      </c>
      <c r="N43" s="165">
        <f t="shared" si="16"/>
        <v>2.5358942929429957E-3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2.61289391002411E-2</v>
      </c>
      <c r="F44" s="165">
        <f t="shared" si="9"/>
        <v>3191357.8949978901</v>
      </c>
      <c r="G44" s="165">
        <f t="shared" si="18"/>
        <v>790620.14875027025</v>
      </c>
      <c r="H44" s="165">
        <f t="shared" si="10"/>
        <v>2.61289391002411E-2</v>
      </c>
      <c r="I44" s="165">
        <f t="shared" si="11"/>
        <v>3.1851484545005991E-3</v>
      </c>
      <c r="J44" s="172">
        <f t="shared" si="13"/>
        <v>23966.889569768944</v>
      </c>
      <c r="K44" s="172">
        <f t="shared" si="12"/>
        <v>25</v>
      </c>
      <c r="L44" s="165">
        <f t="shared" si="14"/>
        <v>2518.2425448889571</v>
      </c>
      <c r="M44" s="165">
        <f t="shared" si="15"/>
        <v>599172.23924422357</v>
      </c>
      <c r="N44" s="165">
        <f t="shared" si="16"/>
        <v>4.2028691917792901E-3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2.2943790645740501E-2</v>
      </c>
      <c r="F45" s="165">
        <f t="shared" si="9"/>
        <v>3981978.0437463601</v>
      </c>
      <c r="G45" s="165">
        <f t="shared" si="18"/>
        <v>790620.14874847</v>
      </c>
      <c r="H45" s="165">
        <f t="shared" si="10"/>
        <v>2.2943790645740501E-2</v>
      </c>
      <c r="I45" s="165">
        <f t="shared" si="11"/>
        <v>3.6206392317040016E-3</v>
      </c>
      <c r="J45" s="172">
        <f t="shared" si="13"/>
        <v>20323.247205801199</v>
      </c>
      <c r="K45" s="172">
        <f t="shared" si="12"/>
        <v>21.5</v>
      </c>
      <c r="L45" s="165">
        <f t="shared" si="14"/>
        <v>2862.5503279343638</v>
      </c>
      <c r="M45" s="165">
        <f t="shared" si="15"/>
        <v>436949.8149247258</v>
      </c>
      <c r="N45" s="165">
        <f t="shared" si="16"/>
        <v>6.5512107572982979E-3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1.93231514140365E-2</v>
      </c>
      <c r="F46" s="165">
        <f t="shared" si="9"/>
        <v>4772598.1924962802</v>
      </c>
      <c r="G46" s="165">
        <f t="shared" si="18"/>
        <v>790620.14874992007</v>
      </c>
      <c r="H46" s="165">
        <f t="shared" si="10"/>
        <v>1.93231514140365E-2</v>
      </c>
      <c r="I46" s="165">
        <f t="shared" si="11"/>
        <v>3.8025122097587998E-3</v>
      </c>
      <c r="J46" s="172">
        <f t="shared" si="13"/>
        <v>17534.472792077431</v>
      </c>
      <c r="K46" s="172">
        <f t="shared" si="12"/>
        <v>18</v>
      </c>
      <c r="L46" s="165">
        <f t="shared" si="14"/>
        <v>3006.3427689028895</v>
      </c>
      <c r="M46" s="165">
        <f t="shared" si="15"/>
        <v>315620.51025739376</v>
      </c>
      <c r="N46" s="165">
        <f t="shared" si="16"/>
        <v>9.5251818915417352E-3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1.55206392042777E-2</v>
      </c>
      <c r="F47" s="165">
        <f t="shared" si="9"/>
        <v>5577273.0292455303</v>
      </c>
      <c r="G47" s="165">
        <f t="shared" si="18"/>
        <v>804674.83674925007</v>
      </c>
      <c r="H47" s="165">
        <f t="shared" si="10"/>
        <v>1.55206392042777E-2</v>
      </c>
      <c r="I47" s="165">
        <f t="shared" si="11"/>
        <v>3.9004194457380997E-3</v>
      </c>
      <c r="J47" s="172">
        <f t="shared" si="13"/>
        <v>15736.585976005255</v>
      </c>
      <c r="K47" s="172">
        <f t="shared" si="12"/>
        <v>14.5</v>
      </c>
      <c r="L47" s="165">
        <f t="shared" si="14"/>
        <v>3138.569380752906</v>
      </c>
      <c r="M47" s="165">
        <f t="shared" si="15"/>
        <v>228180.4966520762</v>
      </c>
      <c r="N47" s="165">
        <f t="shared" si="16"/>
        <v>1.3754766190813041E-2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1.16202197585396E-2</v>
      </c>
      <c r="F48" s="165">
        <f t="shared" si="9"/>
        <v>6381947.8659953</v>
      </c>
      <c r="G48" s="165">
        <f t="shared" si="18"/>
        <v>804674.83674976975</v>
      </c>
      <c r="H48" s="165">
        <f t="shared" si="10"/>
        <v>1.16202197585396E-2</v>
      </c>
      <c r="I48" s="165">
        <f t="shared" si="11"/>
        <v>4.0724002584598198E-3</v>
      </c>
      <c r="J48" s="172">
        <f t="shared" si="13"/>
        <v>13565.137092035999</v>
      </c>
      <c r="K48" s="172">
        <f t="shared" si="12"/>
        <v>11</v>
      </c>
      <c r="L48" s="165">
        <f t="shared" si="14"/>
        <v>3276.9580131558755</v>
      </c>
      <c r="M48" s="165">
        <f t="shared" si="15"/>
        <v>149216.50801239599</v>
      </c>
      <c r="N48" s="165">
        <f t="shared" si="16"/>
        <v>2.1961095704529192E-2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7.5478195000797804E-3</v>
      </c>
      <c r="F49" s="165">
        <f t="shared" si="9"/>
        <v>7185830.7027450399</v>
      </c>
      <c r="G49" s="165">
        <f t="shared" si="18"/>
        <v>803882.83674973994</v>
      </c>
      <c r="H49" s="165">
        <f t="shared" si="10"/>
        <v>7.5478195000797804E-3</v>
      </c>
      <c r="I49" s="165">
        <f t="shared" si="11"/>
        <v>4.09760038481175E-3</v>
      </c>
      <c r="J49" s="172">
        <f t="shared" si="13"/>
        <v>10511.993169289171</v>
      </c>
      <c r="K49" s="172">
        <f t="shared" si="12"/>
        <v>7.5</v>
      </c>
      <c r="L49" s="165">
        <f t="shared" si="14"/>
        <v>3293.9906212092956</v>
      </c>
      <c r="M49" s="165">
        <f t="shared" si="15"/>
        <v>78839.948769668787</v>
      </c>
      <c r="N49" s="165">
        <f t="shared" si="16"/>
        <v>4.1780730107178303E-2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3.45021911526803E-3</v>
      </c>
      <c r="F50" s="165">
        <f t="shared" si="9"/>
        <v>8220260.5394951198</v>
      </c>
      <c r="G50" s="165">
        <f t="shared" si="18"/>
        <v>1034429.8367500799</v>
      </c>
      <c r="H50" s="165">
        <f t="shared" si="10"/>
        <v>3.45021911526803E-3</v>
      </c>
      <c r="I50" s="165">
        <f>+H50-I51</f>
        <v>3.45021911526803E-3</v>
      </c>
      <c r="J50" s="172">
        <f t="shared" si="13"/>
        <v>5900.2377085827802</v>
      </c>
      <c r="K50" s="172">
        <f t="shared" si="12"/>
        <v>4</v>
      </c>
      <c r="L50" s="165">
        <f t="shared" si="14"/>
        <v>3569.0095961587131</v>
      </c>
      <c r="M50" s="165">
        <f t="shared" si="15"/>
        <v>23600.950834331121</v>
      </c>
      <c r="N50" s="165">
        <f t="shared" si="16"/>
        <v>0.15122312745836722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5" t="s">
        <v>73</v>
      </c>
      <c r="F55" s="205"/>
      <c r="G55" s="205"/>
      <c r="H55" s="205"/>
      <c r="I55" s="205"/>
      <c r="J55" s="205"/>
      <c r="K55" s="205"/>
      <c r="L55" s="205"/>
      <c r="M55" s="205"/>
      <c r="N55" s="205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3.2166432107919599E-2</v>
      </c>
      <c r="F58" s="83">
        <f t="shared" ref="F58:F68" si="19">+E5</f>
        <v>18781.199999996999</v>
      </c>
      <c r="G58" s="83">
        <v>0</v>
      </c>
      <c r="H58" s="83">
        <f>+E58</f>
        <v>3.2166432107919599E-2</v>
      </c>
      <c r="I58" s="83">
        <f>+H58-H59</f>
        <v>5.9746280659269541E-4</v>
      </c>
      <c r="J58" s="83">
        <f>IF(+'Sismo UBC-94 y Dinamico'!P34=0,'Sismo UBC-94 y Dinamico'!N34,'Sismo UBC-94 y Dinamico'!P34)</f>
        <v>1070.0195961999582</v>
      </c>
      <c r="K58" s="83">
        <f t="shared" ref="K58:K68" si="20">+C58</f>
        <v>38.5</v>
      </c>
      <c r="L58" s="83">
        <f>+G58*I58</f>
        <v>0</v>
      </c>
      <c r="M58" s="83">
        <f>+J58*K58</f>
        <v>41195.754453698391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3.1568969301326903E-2</v>
      </c>
      <c r="F59" s="165">
        <f t="shared" si="19"/>
        <v>819497.44874986203</v>
      </c>
      <c r="G59" s="83">
        <f>+F59</f>
        <v>819497.44874986203</v>
      </c>
      <c r="H59" s="83">
        <f t="shared" ref="H59:H68" si="21">+E59</f>
        <v>3.1568969301326903E-2</v>
      </c>
      <c r="I59" s="83">
        <f>+H59-H60</f>
        <v>1.1207471419946019E-3</v>
      </c>
      <c r="J59" s="172">
        <f>IF(+'Sismo UBC-94 y Dinamico'!P35=0,'Sismo UBC-94 y Dinamico'!N35,'Sismo UBC-94 y Dinamico'!P35)</f>
        <v>31323.492171638729</v>
      </c>
      <c r="K59" s="172">
        <f t="shared" si="20"/>
        <v>35.5</v>
      </c>
      <c r="L59" s="83">
        <f>+G59*I59</f>
        <v>918.44942355827561</v>
      </c>
      <c r="M59" s="83">
        <f>+J59*K59</f>
        <v>1111983.9720931749</v>
      </c>
      <c r="N59" s="83">
        <f>+L59/M59</f>
        <v>8.2595563120339409E-4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3.0448222159332301E-2</v>
      </c>
      <c r="F60" s="165">
        <f t="shared" si="19"/>
        <v>1610117.59749884</v>
      </c>
      <c r="G60" s="83">
        <f>+F60-F59</f>
        <v>790620.14874897792</v>
      </c>
      <c r="H60" s="83">
        <f t="shared" si="21"/>
        <v>3.0448222159332301E-2</v>
      </c>
      <c r="I60" s="83">
        <f>+H60-H61</f>
        <v>1.8418182575389019E-3</v>
      </c>
      <c r="J60" s="172">
        <f>IF(+'Sismo UBC-94 y Dinamico'!P36=0,'Sismo UBC-94 y Dinamico'!N36,'Sismo UBC-94 y Dinamico'!P36)</f>
        <v>34436.575235528835</v>
      </c>
      <c r="K60" s="172">
        <f t="shared" si="20"/>
        <v>32</v>
      </c>
      <c r="L60" s="83">
        <f>+G60*I60</f>
        <v>1456.17862474399</v>
      </c>
      <c r="M60" s="83">
        <f>+J60*K60</f>
        <v>1101970.4075369227</v>
      </c>
      <c r="N60" s="83">
        <f>+L60/M60</f>
        <v>1.3214316961548708E-3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2.8606403901793399E-2</v>
      </c>
      <c r="F61" s="165">
        <f t="shared" si="19"/>
        <v>2400737.7462476199</v>
      </c>
      <c r="G61" s="83">
        <f t="shared" ref="G61:G68" si="22">+F61-F60</f>
        <v>790620.1487487799</v>
      </c>
      <c r="H61" s="83">
        <f t="shared" si="21"/>
        <v>2.8606403901793399E-2</v>
      </c>
      <c r="I61" s="83">
        <f>+H61-H62</f>
        <v>2.525298682160098E-3</v>
      </c>
      <c r="J61" s="172">
        <f>IF(+'Sismo UBC-94 y Dinamico'!P37=0,'Sismo UBC-94 y Dinamico'!N37,'Sismo UBC-94 y Dinamico'!P37)</f>
        <v>28618.172273694865</v>
      </c>
      <c r="K61" s="172">
        <f t="shared" si="20"/>
        <v>28.5</v>
      </c>
      <c r="L61" s="83">
        <f>+G61*I61</f>
        <v>1996.5520197245146</v>
      </c>
      <c r="M61" s="83">
        <f>+J61*K61</f>
        <v>815617.90980030363</v>
      </c>
      <c r="N61" s="83">
        <f>+L61/M61</f>
        <v>2.447901150445987E-3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2.6081105219633301E-2</v>
      </c>
      <c r="F62" s="165">
        <f t="shared" si="19"/>
        <v>3191357.8949978901</v>
      </c>
      <c r="G62" s="83">
        <f t="shared" si="22"/>
        <v>790620.14875027025</v>
      </c>
      <c r="H62" s="83">
        <f t="shared" si="21"/>
        <v>2.6081105219633301E-2</v>
      </c>
      <c r="I62" s="83">
        <f>+H62-H63</f>
        <v>3.1050134594427029E-3</v>
      </c>
      <c r="J62" s="172">
        <f>IF(+'Sismo UBC-94 y Dinamico'!P38=0,'Sismo UBC-94 y Dinamico'!N38,'Sismo UBC-94 y Dinamico'!P38)</f>
        <v>23925.697006033028</v>
      </c>
      <c r="K62" s="172">
        <f t="shared" si="20"/>
        <v>25</v>
      </c>
      <c r="L62" s="83">
        <f>+G62*I62</f>
        <v>2454.886203176181</v>
      </c>
      <c r="M62" s="83">
        <f>+J62*K62</f>
        <v>598142.42515082564</v>
      </c>
      <c r="N62" s="83">
        <f>+L62/M62</f>
        <v>4.1041833850143051E-3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2.2976091760190599E-2</v>
      </c>
      <c r="F63" s="165">
        <f t="shared" si="19"/>
        <v>3981978.0437463601</v>
      </c>
      <c r="G63" s="165">
        <f t="shared" si="22"/>
        <v>790620.14874847</v>
      </c>
      <c r="H63" s="165">
        <f t="shared" si="21"/>
        <v>2.2976091760190599E-2</v>
      </c>
      <c r="I63" s="165">
        <f t="shared" ref="I63:I68" si="23">+H63-H64</f>
        <v>3.5608172771897997E-3</v>
      </c>
      <c r="J63" s="172">
        <f>IF(+'Sismo UBC-94 y Dinamico'!P39=0,'Sismo UBC-94 y Dinamico'!N39,'Sismo UBC-94 y Dinamico'!P39)</f>
        <v>20290.318776970715</v>
      </c>
      <c r="K63" s="172">
        <f t="shared" si="20"/>
        <v>21.5</v>
      </c>
      <c r="L63" s="165">
        <f t="shared" ref="L63:L68" si="24">+G63*I63</f>
        <v>2815.2538853579213</v>
      </c>
      <c r="M63" s="165">
        <f t="shared" ref="M63:M68" si="25">+J63*K63</f>
        <v>436241.85370487039</v>
      </c>
      <c r="N63" s="165">
        <f t="shared" ref="N63:N68" si="26">+L63/M63</f>
        <v>6.4534245429429104E-3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1.9415274483000799E-2</v>
      </c>
      <c r="F64" s="165">
        <f t="shared" si="19"/>
        <v>4772598.1924962802</v>
      </c>
      <c r="G64" s="165">
        <f t="shared" si="22"/>
        <v>790620.14874992007</v>
      </c>
      <c r="H64" s="165">
        <f t="shared" si="21"/>
        <v>1.9415274483000799E-2</v>
      </c>
      <c r="I64" s="165">
        <f t="shared" si="23"/>
        <v>3.7763257703583991E-3</v>
      </c>
      <c r="J64" s="172">
        <f>IF(+'Sismo UBC-94 y Dinamico'!P40=0,'Sismo UBC-94 y Dinamico'!N40,'Sismo UBC-94 y Dinamico'!P40)</f>
        <v>17522.686605753082</v>
      </c>
      <c r="K64" s="172">
        <f t="shared" si="20"/>
        <v>18</v>
      </c>
      <c r="L64" s="165">
        <f t="shared" si="24"/>
        <v>2985.6392422889139</v>
      </c>
      <c r="M64" s="165">
        <f t="shared" si="25"/>
        <v>315408.35890355549</v>
      </c>
      <c r="N64" s="165">
        <f t="shared" si="26"/>
        <v>9.4659483745700365E-3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1.56389487126424E-2</v>
      </c>
      <c r="F65" s="165">
        <f t="shared" si="19"/>
        <v>5577273.0292455303</v>
      </c>
      <c r="G65" s="165">
        <f t="shared" si="22"/>
        <v>804674.83674925007</v>
      </c>
      <c r="H65" s="165">
        <f t="shared" si="21"/>
        <v>1.56389487126424E-2</v>
      </c>
      <c r="I65" s="165">
        <f t="shared" si="23"/>
        <v>3.9138995770071992E-3</v>
      </c>
      <c r="J65" s="172">
        <f>IF(+'Sismo UBC-94 y Dinamico'!P41=0,'Sismo UBC-94 y Dinamico'!N41,'Sismo UBC-94 y Dinamico'!P41)</f>
        <v>15777.836507757565</v>
      </c>
      <c r="K65" s="172">
        <f t="shared" si="20"/>
        <v>14.5</v>
      </c>
      <c r="L65" s="165">
        <f t="shared" si="24"/>
        <v>3149.4165031812267</v>
      </c>
      <c r="M65" s="165">
        <f t="shared" si="25"/>
        <v>228778.6293624847</v>
      </c>
      <c r="N65" s="165">
        <f t="shared" si="26"/>
        <v>1.3766218077087888E-2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1.1725049135635201E-2</v>
      </c>
      <c r="F66" s="165">
        <f t="shared" si="19"/>
        <v>6381947.8659953</v>
      </c>
      <c r="G66" s="165">
        <f t="shared" si="22"/>
        <v>804674.83674976975</v>
      </c>
      <c r="H66" s="165">
        <f t="shared" si="21"/>
        <v>1.1725049135635201E-2</v>
      </c>
      <c r="I66" s="165">
        <f t="shared" si="23"/>
        <v>4.1360147343082508E-3</v>
      </c>
      <c r="J66" s="172">
        <f>IF(+'Sismo UBC-94 y Dinamico'!P42=0,'Sismo UBC-94 y Dinamico'!N42,'Sismo UBC-94 y Dinamico'!P42)</f>
        <v>13635.861177780876</v>
      </c>
      <c r="K66" s="172">
        <f t="shared" si="20"/>
        <v>11</v>
      </c>
      <c r="L66" s="165">
        <f t="shared" si="24"/>
        <v>3328.1469811241341</v>
      </c>
      <c r="M66" s="165">
        <f t="shared" si="25"/>
        <v>149994.47295558965</v>
      </c>
      <c r="N66" s="165">
        <f t="shared" si="26"/>
        <v>2.2188464118338091E-2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7.5890344013269497E-3</v>
      </c>
      <c r="F67" s="165">
        <f t="shared" si="19"/>
        <v>7185830.7027450399</v>
      </c>
      <c r="G67" s="165">
        <f t="shared" si="22"/>
        <v>803882.83674973994</v>
      </c>
      <c r="H67" s="165">
        <f t="shared" si="21"/>
        <v>7.5890344013269497E-3</v>
      </c>
      <c r="I67" s="165">
        <f t="shared" si="23"/>
        <v>4.1659781293514903E-3</v>
      </c>
      <c r="J67" s="172">
        <f>IF(+'Sismo UBC-94 y Dinamico'!P43=0,'Sismo UBC-94 y Dinamico'!N43,'Sismo UBC-94 y Dinamico'!P43)</f>
        <v>10557.290883977785</v>
      </c>
      <c r="K67" s="172">
        <f t="shared" si="20"/>
        <v>7.5</v>
      </c>
      <c r="L67" s="165">
        <f t="shared" si="24"/>
        <v>3348.958316460451</v>
      </c>
      <c r="M67" s="165">
        <f t="shared" si="25"/>
        <v>79179.681629833387</v>
      </c>
      <c r="N67" s="165">
        <f t="shared" si="26"/>
        <v>4.2295677976035555E-2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3.4230562719754598E-3</v>
      </c>
      <c r="F68" s="165">
        <f t="shared" si="19"/>
        <v>8220260.5394951198</v>
      </c>
      <c r="G68" s="165">
        <f t="shared" si="22"/>
        <v>1034429.8367500799</v>
      </c>
      <c r="H68" s="165">
        <f t="shared" si="21"/>
        <v>3.4230562719754598E-3</v>
      </c>
      <c r="I68" s="165">
        <f t="shared" si="23"/>
        <v>3.4230562719754598E-3</v>
      </c>
      <c r="J68" s="172">
        <f>IF(+'Sismo UBC-94 y Dinamico'!P44=0,'Sismo UBC-94 y Dinamico'!N44,'Sismo UBC-94 y Dinamico'!P44)</f>
        <v>5870.9310544034479</v>
      </c>
      <c r="K68" s="172">
        <f t="shared" si="20"/>
        <v>4</v>
      </c>
      <c r="L68" s="165">
        <f t="shared" si="24"/>
        <v>3540.9115406059118</v>
      </c>
      <c r="M68" s="165">
        <f t="shared" si="25"/>
        <v>23483.724217613792</v>
      </c>
      <c r="N68" s="165">
        <f t="shared" si="26"/>
        <v>0.15078151607444265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5" t="s">
        <v>73</v>
      </c>
      <c r="F73" s="205"/>
      <c r="G73" s="205"/>
      <c r="H73" s="205"/>
      <c r="I73" s="205"/>
      <c r="J73" s="205"/>
      <c r="K73" s="205"/>
      <c r="L73" s="205"/>
      <c r="M73" s="205"/>
      <c r="N73" s="205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2.9126791257902799E-2</v>
      </c>
      <c r="F76" s="83">
        <f t="shared" ref="F76:F86" si="28">+E5</f>
        <v>18781.199999996999</v>
      </c>
      <c r="G76" s="83">
        <v>0</v>
      </c>
      <c r="H76" s="83">
        <f>+E76</f>
        <v>2.9126791257902799E-2</v>
      </c>
      <c r="I76" s="83">
        <f>+H76-H77</f>
        <v>-3.5082981320247002E-3</v>
      </c>
      <c r="J76" s="83">
        <f>+J58</f>
        <v>1070.0195961999582</v>
      </c>
      <c r="K76" s="83">
        <f t="shared" ref="K76:K86" si="29">+C76</f>
        <v>38.5</v>
      </c>
      <c r="L76" s="83">
        <f>+G76*I76</f>
        <v>0</v>
      </c>
      <c r="M76" s="83">
        <f>+J76*K76</f>
        <v>41195.754453698391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3.2635089389927499E-2</v>
      </c>
      <c r="F77" s="165">
        <f t="shared" si="28"/>
        <v>819497.44874986203</v>
      </c>
      <c r="G77" s="83">
        <f>+F77</f>
        <v>819497.44874986203</v>
      </c>
      <c r="H77" s="83">
        <f>+E77</f>
        <v>3.2635089389927499E-2</v>
      </c>
      <c r="I77" s="83">
        <f>+H77-H78</f>
        <v>1.1313726685939982E-3</v>
      </c>
      <c r="J77" s="172">
        <f t="shared" ref="J77:J86" si="30">+J59</f>
        <v>31323.492171638729</v>
      </c>
      <c r="K77" s="172">
        <f t="shared" si="29"/>
        <v>35.5</v>
      </c>
      <c r="L77" s="83">
        <f>+G77*I77</f>
        <v>927.15701549810467</v>
      </c>
      <c r="M77" s="83">
        <f>+J77*K77</f>
        <v>1111983.9720931749</v>
      </c>
      <c r="N77" s="83">
        <f>+L77/M77</f>
        <v>8.3378631236279783E-4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3.1503716721333501E-2</v>
      </c>
      <c r="F78" s="165">
        <f t="shared" si="28"/>
        <v>1610117.59749884</v>
      </c>
      <c r="G78" s="83">
        <f>+F78-F77</f>
        <v>790620.14874897792</v>
      </c>
      <c r="H78" s="83">
        <f>+E78</f>
        <v>3.1503716721333501E-2</v>
      </c>
      <c r="I78" s="83">
        <f>+H78-H79</f>
        <v>1.8913519017571996E-3</v>
      </c>
      <c r="J78" s="172">
        <f t="shared" si="30"/>
        <v>34436.575235528835</v>
      </c>
      <c r="K78" s="172">
        <f t="shared" si="29"/>
        <v>32</v>
      </c>
      <c r="L78" s="83">
        <f>+G78*I78</f>
        <v>1495.3409219039395</v>
      </c>
      <c r="M78" s="83">
        <f>+J78*K78</f>
        <v>1101970.4075369227</v>
      </c>
      <c r="N78" s="83">
        <f>+L78/M78</f>
        <v>1.3569701252198431E-3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2.9612364819576301E-2</v>
      </c>
      <c r="F79" s="165">
        <f t="shared" si="28"/>
        <v>2400737.7462476199</v>
      </c>
      <c r="G79" s="83">
        <f t="shared" ref="G79:G86" si="31">+F79-F78</f>
        <v>790620.1487487799</v>
      </c>
      <c r="H79" s="83">
        <f>+E79</f>
        <v>2.9612364819576301E-2</v>
      </c>
      <c r="I79" s="83">
        <f>+H79-H80</f>
        <v>2.6211418551898014E-3</v>
      </c>
      <c r="J79" s="172">
        <f t="shared" si="30"/>
        <v>28618.172273694865</v>
      </c>
      <c r="K79" s="172">
        <f t="shared" si="29"/>
        <v>28.5</v>
      </c>
      <c r="L79" s="83">
        <f>+G79*I79</f>
        <v>2072.3275634418137</v>
      </c>
      <c r="M79" s="83">
        <f>+J79*K79</f>
        <v>815617.90980030363</v>
      </c>
      <c r="N79" s="83">
        <f>+L79/M79</f>
        <v>2.5408068392578625E-3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2.69912229643865E-2</v>
      </c>
      <c r="F80" s="165">
        <f t="shared" si="28"/>
        <v>3191357.8949978901</v>
      </c>
      <c r="G80" s="83">
        <f t="shared" si="31"/>
        <v>790620.14875027025</v>
      </c>
      <c r="H80" s="83">
        <f>+E80</f>
        <v>2.69912229643865E-2</v>
      </c>
      <c r="I80" s="83">
        <f>+H80-H81</f>
        <v>3.2416843437437989E-3</v>
      </c>
      <c r="J80" s="172">
        <f t="shared" si="30"/>
        <v>23925.697006033028</v>
      </c>
      <c r="K80" s="172">
        <f t="shared" si="29"/>
        <v>25</v>
      </c>
      <c r="L80" s="83">
        <f>+G80*I80</f>
        <v>2562.9409580521447</v>
      </c>
      <c r="M80" s="83">
        <f>+J80*K80</f>
        <v>598142.42515082564</v>
      </c>
      <c r="N80" s="83">
        <f>+L80/M80</f>
        <v>4.2848339296545999E-3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2.3749538620642701E-2</v>
      </c>
      <c r="F81" s="165">
        <f t="shared" si="28"/>
        <v>3981978.0437463601</v>
      </c>
      <c r="G81" s="165">
        <f t="shared" si="31"/>
        <v>790620.14874847</v>
      </c>
      <c r="H81" s="165">
        <f t="shared" ref="H81:H86" si="32">+E81</f>
        <v>2.3749538620642701E-2</v>
      </c>
      <c r="I81" s="165">
        <f t="shared" ref="I81:I86" si="33">+H81-H82</f>
        <v>3.7255021464828002E-3</v>
      </c>
      <c r="J81" s="172">
        <f t="shared" si="30"/>
        <v>20290.318776970715</v>
      </c>
      <c r="K81" s="172">
        <f t="shared" si="29"/>
        <v>21.5</v>
      </c>
      <c r="L81" s="165">
        <f t="shared" ref="L81:L86" si="34">+G81*I81</f>
        <v>2945.457061214976</v>
      </c>
      <c r="M81" s="165">
        <f t="shared" ref="M81:M86" si="35">+J81*K81</f>
        <v>436241.85370487039</v>
      </c>
      <c r="N81" s="165">
        <f t="shared" ref="N81:N86" si="36">+L81/M81</f>
        <v>6.7518901182912604E-3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2.0024036474159901E-2</v>
      </c>
      <c r="F82" s="165">
        <f t="shared" si="28"/>
        <v>4772598.1924962802</v>
      </c>
      <c r="G82" s="165">
        <f t="shared" si="31"/>
        <v>790620.14874992007</v>
      </c>
      <c r="H82" s="165">
        <f t="shared" si="32"/>
        <v>2.0024036474159901E-2</v>
      </c>
      <c r="I82" s="165">
        <f t="shared" si="33"/>
        <v>3.9421838814051001E-3</v>
      </c>
      <c r="J82" s="172">
        <f t="shared" si="30"/>
        <v>17522.686605753082</v>
      </c>
      <c r="K82" s="172">
        <f t="shared" si="29"/>
        <v>18</v>
      </c>
      <c r="L82" s="165">
        <f t="shared" si="34"/>
        <v>3116.7700067160376</v>
      </c>
      <c r="M82" s="165">
        <f t="shared" si="35"/>
        <v>315408.35890355549</v>
      </c>
      <c r="N82" s="165">
        <f t="shared" si="36"/>
        <v>9.8816975477465808E-3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1.6081852592754801E-2</v>
      </c>
      <c r="F83" s="165">
        <f t="shared" si="28"/>
        <v>5577273.0292455303</v>
      </c>
      <c r="G83" s="165">
        <f t="shared" si="31"/>
        <v>804674.83674925007</v>
      </c>
      <c r="H83" s="165">
        <f t="shared" si="32"/>
        <v>1.6081852592754801E-2</v>
      </c>
      <c r="I83" s="165">
        <f t="shared" si="33"/>
        <v>4.0735664064812001E-3</v>
      </c>
      <c r="J83" s="172">
        <f t="shared" si="30"/>
        <v>15777.836507757565</v>
      </c>
      <c r="K83" s="172">
        <f t="shared" si="29"/>
        <v>14.5</v>
      </c>
      <c r="L83" s="165">
        <f t="shared" si="34"/>
        <v>3277.8963831224887</v>
      </c>
      <c r="M83" s="165">
        <f t="shared" si="35"/>
        <v>228778.6293624847</v>
      </c>
      <c r="N83" s="165">
        <f t="shared" si="36"/>
        <v>1.4327808468197777E-2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1.2008286186273601E-2</v>
      </c>
      <c r="F84" s="165">
        <f t="shared" si="28"/>
        <v>6381947.8659953</v>
      </c>
      <c r="G84" s="165">
        <f t="shared" si="31"/>
        <v>804674.83674976975</v>
      </c>
      <c r="H84" s="165">
        <f t="shared" si="32"/>
        <v>1.2008286186273601E-2</v>
      </c>
      <c r="I84" s="165">
        <f t="shared" si="33"/>
        <v>4.2803594362119911E-3</v>
      </c>
      <c r="J84" s="172">
        <f t="shared" si="30"/>
        <v>13635.861177780876</v>
      </c>
      <c r="K84" s="172">
        <f t="shared" si="29"/>
        <v>11</v>
      </c>
      <c r="L84" s="165">
        <f t="shared" si="34"/>
        <v>3444.2975305642203</v>
      </c>
      <c r="M84" s="165">
        <f t="shared" si="35"/>
        <v>149994.47295558965</v>
      </c>
      <c r="N84" s="165">
        <f t="shared" si="36"/>
        <v>2.2962829647623133E-2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7.7279267500616096E-3</v>
      </c>
      <c r="F85" s="165">
        <f t="shared" si="28"/>
        <v>7185830.7027450399</v>
      </c>
      <c r="G85" s="165">
        <f t="shared" si="31"/>
        <v>803882.83674973994</v>
      </c>
      <c r="H85" s="165">
        <f t="shared" si="32"/>
        <v>7.7279267500616096E-3</v>
      </c>
      <c r="I85" s="165">
        <f t="shared" si="33"/>
        <v>4.2933054208992797E-3</v>
      </c>
      <c r="J85" s="172">
        <f t="shared" si="30"/>
        <v>10557.290883977785</v>
      </c>
      <c r="K85" s="172">
        <f t="shared" si="29"/>
        <v>7.5</v>
      </c>
      <c r="L85" s="165">
        <f t="shared" si="34"/>
        <v>3451.3145407855491</v>
      </c>
      <c r="M85" s="165">
        <f t="shared" si="35"/>
        <v>79179.681629833387</v>
      </c>
      <c r="N85" s="165">
        <f t="shared" si="36"/>
        <v>4.3588386183724688E-2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3.4346213291623299E-3</v>
      </c>
      <c r="F86" s="165">
        <f t="shared" si="28"/>
        <v>8220260.5394951198</v>
      </c>
      <c r="G86" s="165">
        <f t="shared" si="31"/>
        <v>1034429.8367500799</v>
      </c>
      <c r="H86" s="165">
        <f t="shared" si="32"/>
        <v>3.4346213291623299E-3</v>
      </c>
      <c r="I86" s="165">
        <f t="shared" si="33"/>
        <v>3.4346213291623299E-3</v>
      </c>
      <c r="J86" s="172">
        <f t="shared" si="30"/>
        <v>5870.9310544034479</v>
      </c>
      <c r="K86" s="172">
        <f t="shared" si="29"/>
        <v>4</v>
      </c>
      <c r="L86" s="165">
        <f t="shared" si="34"/>
        <v>3552.8747808237313</v>
      </c>
      <c r="M86" s="165">
        <f t="shared" si="35"/>
        <v>23483.724217613792</v>
      </c>
      <c r="N86" s="165">
        <f t="shared" si="36"/>
        <v>0.15129094294843251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6"/>
      <c r="D104" s="206"/>
      <c r="E104" s="206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C104:E104"/>
    <mergeCell ref="E19:F19"/>
    <mergeCell ref="E37:F37"/>
    <mergeCell ref="E55:F55"/>
    <mergeCell ref="E73:F73"/>
    <mergeCell ref="G19:H19"/>
    <mergeCell ref="I19:J19"/>
    <mergeCell ref="K19:L19"/>
    <mergeCell ref="M19:N19"/>
    <mergeCell ref="G37:H37"/>
    <mergeCell ref="I37:J37"/>
    <mergeCell ref="K37:L37"/>
    <mergeCell ref="M37:N37"/>
    <mergeCell ref="G55:H55"/>
    <mergeCell ref="I55:J55"/>
    <mergeCell ref="K55:L55"/>
    <mergeCell ref="M55:N55"/>
    <mergeCell ref="G73:H73"/>
    <mergeCell ref="I73:J73"/>
    <mergeCell ref="K73:L73"/>
    <mergeCell ref="M73:N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2021-05-22T02:38:55Z</dcterms:modified>
</cp:coreProperties>
</file>