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<sst xmlns="http://schemas.openxmlformats.org/spreadsheetml/2006/main" count="3752" uniqueCount="262">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</sst>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581.94183486763905</v>
      </c>
      <c r="E5" s="172">
        <f t="shared" si="0"/>
        <v>581.94183486763905</v>
      </c>
      <c r="F5" s="172">
        <f t="shared" si="0"/>
        <v>22.111496612735099</v>
      </c>
      <c r="G5" s="172">
        <f t="shared" si="0"/>
        <v>8.7579246162163003</v>
      </c>
      <c r="H5" s="172">
        <f t="shared" si="0"/>
        <v>581.94183486763905</v>
      </c>
      <c r="I5" s="172">
        <f t="shared" si="0"/>
        <v>581.94183486763905</v>
      </c>
      <c r="J5" s="172">
        <f t="shared" si="0"/>
        <v>22.111496612735099</v>
      </c>
      <c r="K5" s="172">
        <f t="shared" si="0"/>
        <v>8.7579246162163003</v>
      </c>
      <c r="L5" s="172">
        <f t="shared" si="0"/>
        <v>19.165230302579399</v>
      </c>
      <c r="M5" s="172">
        <f t="shared" si="0"/>
        <v>7.9400864302591998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10554.5614938608</v>
      </c>
      <c r="E6" s="172">
        <f t="shared" si="1"/>
        <v>10554.5614938608</v>
      </c>
      <c r="F6" s="172">
        <f t="shared" si="1"/>
        <v>11.135365567667</v>
      </c>
      <c r="G6" s="172">
        <f t="shared" si="1"/>
        <v>9.3291969146238198</v>
      </c>
      <c r="H6" s="172">
        <f t="shared" si="1"/>
        <v>10554.5614938608</v>
      </c>
      <c r="I6" s="172">
        <f t="shared" si="1"/>
        <v>10554.5614938608</v>
      </c>
      <c r="J6" s="172">
        <f t="shared" si="1"/>
        <v>11.135365567667</v>
      </c>
      <c r="K6" s="172">
        <f t="shared" si="1"/>
        <v>9.3291969146238198</v>
      </c>
      <c r="L6" s="172">
        <f t="shared" si="1"/>
        <v>12.4797680521382</v>
      </c>
      <c r="M6" s="172">
        <f t="shared" si="1"/>
        <v>9.2111076017376892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13155.077997341999</v>
      </c>
      <c r="E7" s="172">
        <f t="shared" si="2"/>
        <v>13155.077997341999</v>
      </c>
      <c r="F7" s="172">
        <f t="shared" si="2"/>
        <v>11.012400957843001</v>
      </c>
      <c r="G7" s="172">
        <f t="shared" si="2"/>
        <v>9.3733004953444805</v>
      </c>
      <c r="H7" s="172">
        <f t="shared" si="2"/>
        <v>13155.077997341999</v>
      </c>
      <c r="I7" s="172">
        <f t="shared" si="2"/>
        <v>13155.077997341999</v>
      </c>
      <c r="J7" s="172">
        <f t="shared" si="2"/>
        <v>11.012400957843001</v>
      </c>
      <c r="K7" s="172">
        <f t="shared" si="2"/>
        <v>9.3733004953444805</v>
      </c>
      <c r="L7" s="172">
        <f t="shared" si="2"/>
        <v>12.6081386588769</v>
      </c>
      <c r="M7" s="172">
        <f t="shared" si="2"/>
        <v>9.19334969068783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13155.077997341999</v>
      </c>
      <c r="E8" s="172">
        <f t="shared" si="3"/>
        <v>13155.077997341999</v>
      </c>
      <c r="F8" s="172">
        <f t="shared" si="3"/>
        <v>11.012400957843001</v>
      </c>
      <c r="G8" s="172">
        <f t="shared" si="3"/>
        <v>9.3733004953444805</v>
      </c>
      <c r="H8" s="172">
        <f t="shared" si="3"/>
        <v>13155.077997341999</v>
      </c>
      <c r="I8" s="172">
        <f t="shared" si="3"/>
        <v>13155.077997341999</v>
      </c>
      <c r="J8" s="172">
        <f t="shared" si="3"/>
        <v>11.012400957843001</v>
      </c>
      <c r="K8" s="172">
        <f t="shared" si="3"/>
        <v>9.3733004953444805</v>
      </c>
      <c r="L8" s="172">
        <f t="shared" si="3"/>
        <v>12.745154959845999</v>
      </c>
      <c r="M8" s="172">
        <f t="shared" si="3"/>
        <v>9.1703181539601797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13155.077997341999</v>
      </c>
      <c r="E9" s="172">
        <f t="shared" si="4"/>
        <v>13155.077997341999</v>
      </c>
      <c r="F9" s="172">
        <f t="shared" si="4"/>
        <v>11.012400957843001</v>
      </c>
      <c r="G9" s="172">
        <f t="shared" si="4"/>
        <v>9.3733004953444805</v>
      </c>
      <c r="H9" s="172">
        <f t="shared" si="4"/>
        <v>13155.077997341999</v>
      </c>
      <c r="I9" s="172">
        <f t="shared" si="4"/>
        <v>13155.077997341999</v>
      </c>
      <c r="J9" s="172">
        <f t="shared" si="4"/>
        <v>11.012400957843001</v>
      </c>
      <c r="K9" s="172">
        <f t="shared" si="4"/>
        <v>9.3733004953444805</v>
      </c>
      <c r="L9" s="172">
        <f t="shared" si="4"/>
        <v>12.8680308058791</v>
      </c>
      <c r="M9" s="172">
        <f t="shared" si="4"/>
        <v>9.1495110874616703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13155.077997341999</v>
      </c>
      <c r="E10" s="172">
        <f t="shared" si="5"/>
        <v>13155.077997341999</v>
      </c>
      <c r="F10" s="172">
        <f t="shared" si="5"/>
        <v>11.012400957843001</v>
      </c>
      <c r="G10" s="172">
        <f t="shared" si="5"/>
        <v>9.3733004953444805</v>
      </c>
      <c r="H10" s="172">
        <f t="shared" si="5"/>
        <v>13155.077997341999</v>
      </c>
      <c r="I10" s="172">
        <f t="shared" si="5"/>
        <v>13155.077997341999</v>
      </c>
      <c r="J10" s="172">
        <f t="shared" si="5"/>
        <v>11.012400957843001</v>
      </c>
      <c r="K10" s="172">
        <f t="shared" si="5"/>
        <v>9.3733004953444805</v>
      </c>
      <c r="L10" s="172">
        <f t="shared" si="5"/>
        <v>12.980149901296601</v>
      </c>
      <c r="M10" s="172">
        <f t="shared" si="5"/>
        <v>9.1309617020592793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13155.077997341999</v>
      </c>
      <c r="E11" s="172">
        <f t="shared" si="6"/>
        <v>13155.077997341999</v>
      </c>
      <c r="F11" s="172">
        <f t="shared" si="6"/>
        <v>11.012400957843001</v>
      </c>
      <c r="G11" s="172">
        <f t="shared" si="6"/>
        <v>9.3733004953444805</v>
      </c>
      <c r="H11" s="172">
        <f t="shared" si="6"/>
        <v>13155.077997341999</v>
      </c>
      <c r="I11" s="172">
        <f t="shared" si="6"/>
        <v>13155.077997341999</v>
      </c>
      <c r="J11" s="172">
        <f t="shared" si="6"/>
        <v>11.012400957843001</v>
      </c>
      <c r="K11" s="172">
        <f t="shared" si="6"/>
        <v>9.3733004953444805</v>
      </c>
      <c r="L11" s="172">
        <f t="shared" si="6"/>
        <v>13.0799465796779</v>
      </c>
      <c r="M11" s="172">
        <f t="shared" si="6"/>
        <v>9.1148948263454201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13289.435802829201</v>
      </c>
      <c r="E12" s="172">
        <f t="shared" si="7"/>
        <v>13289.435802829201</v>
      </c>
      <c r="F12" s="172">
        <f t="shared" si="7"/>
        <v>11.118565136675899</v>
      </c>
      <c r="G12" s="172">
        <f t="shared" si="7"/>
        <v>9.3595267541392104</v>
      </c>
      <c r="H12" s="172">
        <f t="shared" si="7"/>
        <v>13289.435802829201</v>
      </c>
      <c r="I12" s="172">
        <f t="shared" si="7"/>
        <v>13289.435802829201</v>
      </c>
      <c r="J12" s="172">
        <f t="shared" si="7"/>
        <v>11.118565136675899</v>
      </c>
      <c r="K12" s="172">
        <f t="shared" si="7"/>
        <v>9.3595267541392104</v>
      </c>
      <c r="L12" s="172">
        <f t="shared" si="7"/>
        <v>13.145224212919</v>
      </c>
      <c r="M12" s="172">
        <f t="shared" si="7"/>
        <v>9.1080791114933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13289.435802829201</v>
      </c>
      <c r="E13" s="172">
        <f t="shared" si="8"/>
        <v>13289.435802829201</v>
      </c>
      <c r="F13" s="172">
        <f t="shared" si="8"/>
        <v>11.118565136675899</v>
      </c>
      <c r="G13" s="172">
        <f t="shared" si="8"/>
        <v>9.3595267541392104</v>
      </c>
      <c r="H13" s="172">
        <f t="shared" si="8"/>
        <v>13289.435802829201</v>
      </c>
      <c r="I13" s="172">
        <f t="shared" si="8"/>
        <v>13289.435802829201</v>
      </c>
      <c r="J13" s="172">
        <f t="shared" si="8"/>
        <v>11.118565136675899</v>
      </c>
      <c r="K13" s="172">
        <f t="shared" si="8"/>
        <v>9.3595267541392104</v>
      </c>
      <c r="L13" s="172">
        <f t="shared" si="8"/>
        <v>13.144811154074301</v>
      </c>
      <c r="M13" s="172">
        <f t="shared" si="8"/>
        <v>9.1186887646338803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13289.435802829201</v>
      </c>
      <c r="E14" s="172">
        <f t="shared" si="9"/>
        <v>13289.435802829201</v>
      </c>
      <c r="F14" s="172">
        <f t="shared" si="9"/>
        <v>11.118565136675899</v>
      </c>
      <c r="G14" s="172">
        <f t="shared" si="9"/>
        <v>9.3595267541392104</v>
      </c>
      <c r="H14" s="172">
        <f t="shared" si="9"/>
        <v>13289.435802829201</v>
      </c>
      <c r="I14" s="172">
        <f t="shared" si="9"/>
        <v>13289.435802829201</v>
      </c>
      <c r="J14" s="172">
        <f t="shared" si="9"/>
        <v>11.118565136675899</v>
      </c>
      <c r="K14" s="172">
        <f t="shared" si="9"/>
        <v>9.3595267541392104</v>
      </c>
      <c r="L14" s="172">
        <f t="shared" si="9"/>
        <v>13.0023465580992</v>
      </c>
      <c r="M14" s="172">
        <f t="shared" si="9"/>
        <v>9.1629571831874692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13745.280860414499</v>
      </c>
      <c r="E15" s="172">
        <f t="shared" si="10"/>
        <v>13745.280860414499</v>
      </c>
      <c r="F15" s="172">
        <f t="shared" si="10"/>
        <v>11.176367888678501</v>
      </c>
      <c r="G15" s="172">
        <f t="shared" si="10"/>
        <v>9.3587631108994298</v>
      </c>
      <c r="H15" s="172">
        <f t="shared" si="10"/>
        <v>13745.280860414499</v>
      </c>
      <c r="I15" s="172">
        <f t="shared" si="10"/>
        <v>13745.280860414499</v>
      </c>
      <c r="J15" s="172">
        <f t="shared" si="10"/>
        <v>11.176367888678501</v>
      </c>
      <c r="K15" s="172">
        <f t="shared" si="10"/>
        <v>9.3587631108994298</v>
      </c>
      <c r="L15" s="172">
        <f t="shared" si="10"/>
        <v>12.5039103598338</v>
      </c>
      <c r="M15" s="172">
        <f t="shared" si="10"/>
        <v>9.2943853692340497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13745.280860414499</v>
      </c>
      <c r="E23" s="172">
        <v>13745.280860414499</v>
      </c>
      <c r="F23" s="172">
        <v>11.176367888678501</v>
      </c>
      <c r="G23" s="172">
        <v>9.3587631108994298</v>
      </c>
      <c r="H23" s="172">
        <v>13745.280860414499</v>
      </c>
      <c r="I23" s="172">
        <v>13745.280860414499</v>
      </c>
      <c r="J23" s="172">
        <v>11.176367888678501</v>
      </c>
      <c r="K23" s="172">
        <v>9.3587631108994298</v>
      </c>
      <c r="L23" s="172">
        <v>12.5039103598338</v>
      </c>
      <c r="M23" s="172">
        <v>9.2943853692340497</v>
      </c>
    </row>
    <row r="24" spans="2:15" x14ac:dyDescent="0.3">
      <c r="B24" s="172" t="s">
        <v>24</v>
      </c>
      <c r="C24" s="172" t="s">
        <v>175</v>
      </c>
      <c r="D24" s="172">
        <v>13289.435802829201</v>
      </c>
      <c r="E24" s="172">
        <v>13289.435802829201</v>
      </c>
      <c r="F24" s="172">
        <v>11.118565136675899</v>
      </c>
      <c r="G24" s="172">
        <v>9.3595267541392104</v>
      </c>
      <c r="H24" s="172">
        <v>13289.435802829201</v>
      </c>
      <c r="I24" s="172">
        <v>13289.435802829201</v>
      </c>
      <c r="J24" s="172">
        <v>11.118565136675899</v>
      </c>
      <c r="K24" s="172">
        <v>9.3595267541392104</v>
      </c>
      <c r="L24" s="172">
        <v>13.0023465580992</v>
      </c>
      <c r="M24" s="172">
        <v>9.1629571831874692</v>
      </c>
    </row>
    <row r="25" spans="2:15" x14ac:dyDescent="0.3">
      <c r="B25" s="172" t="s">
        <v>25</v>
      </c>
      <c r="C25" s="172" t="s">
        <v>176</v>
      </c>
      <c r="D25" s="172">
        <v>13289.435802829201</v>
      </c>
      <c r="E25" s="172">
        <v>13289.435802829201</v>
      </c>
      <c r="F25" s="172">
        <v>11.118565136675899</v>
      </c>
      <c r="G25" s="172">
        <v>9.3595267541392104</v>
      </c>
      <c r="H25" s="172">
        <v>13289.435802829201</v>
      </c>
      <c r="I25" s="172">
        <v>13289.435802829201</v>
      </c>
      <c r="J25" s="172">
        <v>11.118565136675899</v>
      </c>
      <c r="K25" s="172">
        <v>9.3595267541392104</v>
      </c>
      <c r="L25" s="172">
        <v>13.144811154074301</v>
      </c>
      <c r="M25" s="172">
        <v>9.1186887646338803</v>
      </c>
    </row>
    <row r="26" spans="2:15" x14ac:dyDescent="0.3">
      <c r="B26" s="172" t="s">
        <v>26</v>
      </c>
      <c r="C26" s="172" t="s">
        <v>177</v>
      </c>
      <c r="D26" s="172">
        <v>13289.435802829201</v>
      </c>
      <c r="E26" s="172">
        <v>13289.435802829201</v>
      </c>
      <c r="F26" s="172">
        <v>11.118565136675899</v>
      </c>
      <c r="G26" s="172">
        <v>9.3595267541392104</v>
      </c>
      <c r="H26" s="172">
        <v>13289.435802829201</v>
      </c>
      <c r="I26" s="172">
        <v>13289.435802829201</v>
      </c>
      <c r="J26" s="172">
        <v>11.118565136675899</v>
      </c>
      <c r="K26" s="172">
        <v>9.3595267541392104</v>
      </c>
      <c r="L26" s="172">
        <v>13.145224212919</v>
      </c>
      <c r="M26" s="172">
        <v>9.1080791114933</v>
      </c>
    </row>
    <row r="27" spans="2:15" x14ac:dyDescent="0.3">
      <c r="B27" s="172" t="s">
        <v>39</v>
      </c>
      <c r="C27" s="172" t="s">
        <v>178</v>
      </c>
      <c r="D27" s="172">
        <v>13155.077997341999</v>
      </c>
      <c r="E27" s="172">
        <v>13155.077997341999</v>
      </c>
      <c r="F27" s="172">
        <v>11.012400957843001</v>
      </c>
      <c r="G27" s="172">
        <v>9.3733004953444805</v>
      </c>
      <c r="H27" s="172">
        <v>13155.077997341999</v>
      </c>
      <c r="I27" s="172">
        <v>13155.077997341999</v>
      </c>
      <c r="J27" s="172">
        <v>11.012400957843001</v>
      </c>
      <c r="K27" s="172">
        <v>9.3733004953444805</v>
      </c>
      <c r="L27" s="172">
        <v>13.0799465796779</v>
      </c>
      <c r="M27" s="172">
        <v>9.1148948263454201</v>
      </c>
    </row>
    <row r="28" spans="2:15" x14ac:dyDescent="0.3">
      <c r="B28" s="172" t="s">
        <v>179</v>
      </c>
      <c r="C28" s="172" t="s">
        <v>180</v>
      </c>
      <c r="D28" s="172">
        <v>13155.077997341999</v>
      </c>
      <c r="E28" s="172">
        <v>13155.077997341999</v>
      </c>
      <c r="F28" s="172">
        <v>11.012400957843001</v>
      </c>
      <c r="G28" s="172">
        <v>9.3733004953444805</v>
      </c>
      <c r="H28" s="172">
        <v>13155.077997341999</v>
      </c>
      <c r="I28" s="172">
        <v>13155.077997341999</v>
      </c>
      <c r="J28" s="172">
        <v>11.012400957843001</v>
      </c>
      <c r="K28" s="172">
        <v>9.3733004953444805</v>
      </c>
      <c r="L28" s="172">
        <v>12.980149901296601</v>
      </c>
      <c r="M28" s="172">
        <v>9.1309617020592793</v>
      </c>
    </row>
    <row r="29" spans="2:15" x14ac:dyDescent="0.3">
      <c r="B29" s="172" t="s">
        <v>181</v>
      </c>
      <c r="C29" s="172" t="s">
        <v>182</v>
      </c>
      <c r="D29" s="172">
        <v>13155.077997341999</v>
      </c>
      <c r="E29" s="172">
        <v>13155.077997341999</v>
      </c>
      <c r="F29" s="172">
        <v>11.012400957843001</v>
      </c>
      <c r="G29" s="172">
        <v>9.3733004953444805</v>
      </c>
      <c r="H29" s="172">
        <v>13155.077997341999</v>
      </c>
      <c r="I29" s="172">
        <v>13155.077997341999</v>
      </c>
      <c r="J29" s="172">
        <v>11.012400957843001</v>
      </c>
      <c r="K29" s="172">
        <v>9.3733004953444805</v>
      </c>
      <c r="L29" s="172">
        <v>12.8680308058791</v>
      </c>
      <c r="M29" s="172">
        <v>9.1495110874616703</v>
      </c>
    </row>
    <row r="30" spans="2:15" x14ac:dyDescent="0.3">
      <c r="B30" s="172" t="s">
        <v>183</v>
      </c>
      <c r="C30" s="172" t="s">
        <v>184</v>
      </c>
      <c r="D30" s="172">
        <v>13155.077997341999</v>
      </c>
      <c r="E30" s="172">
        <v>13155.077997341999</v>
      </c>
      <c r="F30" s="172">
        <v>11.012400957843001</v>
      </c>
      <c r="G30" s="172">
        <v>9.3733004953444805</v>
      </c>
      <c r="H30" s="172">
        <v>13155.077997341999</v>
      </c>
      <c r="I30" s="172">
        <v>13155.077997341999</v>
      </c>
      <c r="J30" s="172">
        <v>11.012400957843001</v>
      </c>
      <c r="K30" s="172">
        <v>9.3733004953444805</v>
      </c>
      <c r="L30" s="172">
        <v>12.745154959845999</v>
      </c>
      <c r="M30" s="172">
        <v>9.1703181539601797</v>
      </c>
    </row>
    <row r="31" spans="2:15" x14ac:dyDescent="0.3">
      <c r="B31" s="172" t="s">
        <v>185</v>
      </c>
      <c r="C31" s="172" t="s">
        <v>186</v>
      </c>
      <c r="D31" s="172">
        <v>13155.077997341999</v>
      </c>
      <c r="E31" s="172">
        <v>13155.077997341999</v>
      </c>
      <c r="F31" s="172">
        <v>11.012400957843001</v>
      </c>
      <c r="G31" s="172">
        <v>9.3733004953444805</v>
      </c>
      <c r="H31" s="172">
        <v>13155.077997341999</v>
      </c>
      <c r="I31" s="172">
        <v>13155.077997341999</v>
      </c>
      <c r="J31" s="172">
        <v>11.012400957843001</v>
      </c>
      <c r="K31" s="172">
        <v>9.3733004953444805</v>
      </c>
      <c r="L31" s="172">
        <v>12.6081386588769</v>
      </c>
      <c r="M31" s="172">
        <v>9.19334969068783</v>
      </c>
    </row>
    <row r="32" spans="2:15" x14ac:dyDescent="0.3">
      <c r="B32" s="172" t="s">
        <v>187</v>
      </c>
      <c r="C32" s="172" t="s">
        <v>188</v>
      </c>
      <c r="D32" s="172">
        <v>10554.5614938608</v>
      </c>
      <c r="E32" s="172">
        <v>10554.5614938608</v>
      </c>
      <c r="F32" s="172">
        <v>11.135365567667</v>
      </c>
      <c r="G32" s="172">
        <v>9.3291969146238198</v>
      </c>
      <c r="H32" s="172">
        <v>10554.5614938608</v>
      </c>
      <c r="I32" s="172">
        <v>10554.5614938608</v>
      </c>
      <c r="J32" s="172">
        <v>11.135365567667</v>
      </c>
      <c r="K32" s="172">
        <v>9.3291969146238198</v>
      </c>
      <c r="L32" s="172">
        <v>12.4797680521382</v>
      </c>
      <c r="M32" s="172">
        <v>9.2111076017376892</v>
      </c>
    </row>
    <row r="33" spans="2:13" x14ac:dyDescent="0.3">
      <c r="B33" s="172" t="s">
        <v>189</v>
      </c>
      <c r="C33" s="172" t="s">
        <v>190</v>
      </c>
      <c r="D33" s="172">
        <v>581.94183486763905</v>
      </c>
      <c r="E33" s="172">
        <v>581.94183486763905</v>
      </c>
      <c r="F33" s="172">
        <v>22.111496612735099</v>
      </c>
      <c r="G33" s="172">
        <v>8.7579246162163003</v>
      </c>
      <c r="H33" s="172">
        <v>581.94183486763905</v>
      </c>
      <c r="I33" s="172">
        <v>581.94183486763905</v>
      </c>
      <c r="J33" s="172">
        <v>22.111496612735099</v>
      </c>
      <c r="K33" s="172">
        <v>8.7579246162163003</v>
      </c>
      <c r="L33" s="172">
        <v>19.165230302579399</v>
      </c>
      <c r="M33" s="172">
        <v>7.9400864302591998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1.0051170739968899E-9</v>
      </c>
      <c r="G6" s="172">
        <v>1180.7507363740399</v>
      </c>
      <c r="H6" s="172">
        <v>159.02734238955</v>
      </c>
      <c r="I6" s="172">
        <v>11853.6154765355</v>
      </c>
      <c r="J6" s="172">
        <v>8.4909331511108795E-9</v>
      </c>
      <c r="K6" s="172">
        <v>2.3429608431296501E-8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2.6850532893533001E-10</v>
      </c>
      <c r="G7" s="172">
        <v>1180.7507363736299</v>
      </c>
      <c r="H7" s="172">
        <v>159.02734238954099</v>
      </c>
      <c r="I7" s="172">
        <v>11853.6154765315</v>
      </c>
      <c r="J7" s="172">
        <v>477.08202716793397</v>
      </c>
      <c r="K7" s="172">
        <v>3542.2522091249002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1.6565304045165601E-10</v>
      </c>
      <c r="G8" s="172">
        <v>121.641096340204</v>
      </c>
      <c r="H8" s="172">
        <v>763.139050112929</v>
      </c>
      <c r="I8" s="172">
        <v>16144.6332544053</v>
      </c>
      <c r="J8" s="172">
        <v>1.00608277072941E-9</v>
      </c>
      <c r="K8" s="172">
        <v>3.5706658527581601E-9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1.4432651632531399E-10</v>
      </c>
      <c r="G9" s="172">
        <v>121.641096340188</v>
      </c>
      <c r="H9" s="172">
        <v>763.13905011268503</v>
      </c>
      <c r="I9" s="172">
        <v>16144.633254399499</v>
      </c>
      <c r="J9" s="172">
        <v>2289.4171503388502</v>
      </c>
      <c r="K9" s="172">
        <v>364.92328901993898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1.7071998340379E-8</v>
      </c>
      <c r="G10" s="172">
        <v>18447.8671385741</v>
      </c>
      <c r="H10" s="172">
        <v>998.28384255741503</v>
      </c>
      <c r="I10" s="172">
        <v>184205.58419787901</v>
      </c>
      <c r="J10" s="172">
        <v>477.08202713409997</v>
      </c>
      <c r="K10" s="172">
        <v>3542.2522094011101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1.97730481817818E-8</v>
      </c>
      <c r="G11" s="172">
        <v>19060.8666626995</v>
      </c>
      <c r="H11" s="172">
        <v>1060.47685038743</v>
      </c>
      <c r="I11" s="172">
        <v>190145.69006569</v>
      </c>
      <c r="J11" s="172">
        <v>3938.1589433726399</v>
      </c>
      <c r="K11" s="172">
        <v>68917.457286927005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1.2968264594194601E-8</v>
      </c>
      <c r="G12" s="172">
        <v>1012.90072105261</v>
      </c>
      <c r="H12" s="172">
        <v>15019.046151771599</v>
      </c>
      <c r="I12" s="172">
        <v>139287.83250125399</v>
      </c>
      <c r="J12" s="172">
        <v>2289.4171504250198</v>
      </c>
      <c r="K12" s="172">
        <v>364.92328906981402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1.97697844698314E-8</v>
      </c>
      <c r="G13" s="172">
        <v>1045.4887347766901</v>
      </c>
      <c r="H13" s="172">
        <v>15350.7440102745</v>
      </c>
      <c r="I13" s="172">
        <v>148958.35232450301</v>
      </c>
      <c r="J13" s="172">
        <v>54903.803302618297</v>
      </c>
      <c r="K13" s="172">
        <v>3792.5827285135201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3.0376242242358802E-8</v>
      </c>
      <c r="G14" s="172">
        <v>38257.824223178999</v>
      </c>
      <c r="H14" s="172">
        <v>2026.33918285393</v>
      </c>
      <c r="I14" s="172">
        <v>382712.54256592499</v>
      </c>
      <c r="J14" s="172">
        <v>3938.1589434446601</v>
      </c>
      <c r="K14" s="172">
        <v>68917.457287114405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3.5581191246453299E-8</v>
      </c>
      <c r="G15" s="172">
        <v>38783.078000000802</v>
      </c>
      <c r="H15" s="172">
        <v>2078.7340164852899</v>
      </c>
      <c r="I15" s="172">
        <v>387831.71678378701</v>
      </c>
      <c r="J15" s="172">
        <v>11054.383600609101</v>
      </c>
      <c r="K15" s="172">
        <v>203226.29925010499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2.8065544929484201E-8</v>
      </c>
      <c r="G16" s="172">
        <v>2044.41884271405</v>
      </c>
      <c r="H16" s="172">
        <v>31157.872850183699</v>
      </c>
      <c r="I16" s="172">
        <v>287033.48250974802</v>
      </c>
      <c r="J16" s="172">
        <v>54903.803302624197</v>
      </c>
      <c r="K16" s="172">
        <v>3792.5827285647501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3.0223031595108003E-8</v>
      </c>
      <c r="G17" s="172">
        <v>2070.40601089344</v>
      </c>
      <c r="H17" s="172">
        <v>31443.599524789999</v>
      </c>
      <c r="I17" s="172">
        <v>295400.48762536899</v>
      </c>
      <c r="J17" s="172">
        <v>164105.43959101799</v>
      </c>
      <c r="K17" s="172">
        <v>10913.528091125499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3.1436330992611099E-7</v>
      </c>
      <c r="G18" s="172">
        <v>55028.209031289502</v>
      </c>
      <c r="H18" s="172">
        <v>2895.2422572678902</v>
      </c>
      <c r="I18" s="172">
        <v>551053.44033532101</v>
      </c>
      <c r="J18" s="172">
        <v>11054.3836023435</v>
      </c>
      <c r="K18" s="172">
        <v>203226.299243952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3.06031815162256E-7</v>
      </c>
      <c r="G19" s="172">
        <v>55472.399797993799</v>
      </c>
      <c r="H19" s="172">
        <v>2939.41096961013</v>
      </c>
      <c r="I19" s="172">
        <v>555403.57734354399</v>
      </c>
      <c r="J19" s="172">
        <v>21141.2961795634</v>
      </c>
      <c r="K19" s="172">
        <v>394913.83991394902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3.8039340125186999E-8</v>
      </c>
      <c r="G20" s="172">
        <v>2906.5773916733401</v>
      </c>
      <c r="H20" s="172">
        <v>44591.271370576302</v>
      </c>
      <c r="I20" s="172">
        <v>412573.22499722597</v>
      </c>
      <c r="J20" s="172">
        <v>164105.43959105801</v>
      </c>
      <c r="K20" s="172">
        <v>10913.5280908858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3.39583194906303E-8</v>
      </c>
      <c r="G21" s="172">
        <v>2928.6843631924799</v>
      </c>
      <c r="H21" s="172">
        <v>44829.392571353703</v>
      </c>
      <c r="I21" s="172">
        <v>419620.85551849299</v>
      </c>
      <c r="J21" s="172">
        <v>319154.15396599402</v>
      </c>
      <c r="K21" s="172">
        <v>20951.181914781399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5.9693279639291203E-7</v>
      </c>
      <c r="G22" s="172">
        <v>69249.594458736203</v>
      </c>
      <c r="H22" s="172">
        <v>3636.1087985611298</v>
      </c>
      <c r="I22" s="172">
        <v>694082.46965327405</v>
      </c>
      <c r="J22" s="172">
        <v>21141.296180824898</v>
      </c>
      <c r="K22" s="172">
        <v>394913.83990871802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5.9846276153502898E-7</v>
      </c>
      <c r="G23" s="172">
        <v>69629.041407030003</v>
      </c>
      <c r="H23" s="172">
        <v>3674.4766986886798</v>
      </c>
      <c r="I23" s="172">
        <v>697820.59067905205</v>
      </c>
      <c r="J23" s="172">
        <v>33681.490892816997</v>
      </c>
      <c r="K23" s="172">
        <v>634164.02331217995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5.6060377924826999E-8</v>
      </c>
      <c r="G24" s="172">
        <v>3644.8423226258701</v>
      </c>
      <c r="H24" s="172">
        <v>55791.609524913903</v>
      </c>
      <c r="I24" s="172">
        <v>518191.00012295099</v>
      </c>
      <c r="J24" s="172">
        <v>319154.153966073</v>
      </c>
      <c r="K24" s="172">
        <v>20951.181914601701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5.5633758524499698E-8</v>
      </c>
      <c r="G25" s="172">
        <v>3664.0219386375002</v>
      </c>
      <c r="H25" s="172">
        <v>55990.780069187</v>
      </c>
      <c r="I25" s="172">
        <v>524165.03098271799</v>
      </c>
      <c r="J25" s="172">
        <v>511303.46552125999</v>
      </c>
      <c r="K25" s="172">
        <v>33429.1545372006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4.7232260055398098E-7</v>
      </c>
      <c r="G26" s="172">
        <v>81471.295784453905</v>
      </c>
      <c r="H26" s="172">
        <v>4282.4322531017497</v>
      </c>
      <c r="I26" s="172">
        <v>817249.826300196</v>
      </c>
      <c r="J26" s="172">
        <v>33681.490892274203</v>
      </c>
      <c r="K26" s="172">
        <v>634164.02331450896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4.6243059261165702E-7</v>
      </c>
      <c r="G27" s="172">
        <v>81799.232340414805</v>
      </c>
      <c r="H27" s="172">
        <v>4316.3285196405304</v>
      </c>
      <c r="I27" s="172">
        <v>820497.33836870897</v>
      </c>
      <c r="J27" s="172">
        <v>48299.962111703702</v>
      </c>
      <c r="K27" s="172">
        <v>913233.83480713598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4.6314600629691797E-8</v>
      </c>
      <c r="G28" s="172">
        <v>4289.6839602904402</v>
      </c>
      <c r="H28" s="172">
        <v>65333.719402615898</v>
      </c>
      <c r="I28" s="172">
        <v>608524.35521110403</v>
      </c>
      <c r="J28" s="172">
        <v>511303.46552120103</v>
      </c>
      <c r="K28" s="172">
        <v>33429.154537290997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4.6526764178508502E-8</v>
      </c>
      <c r="G29" s="172">
        <v>4306.4164691185297</v>
      </c>
      <c r="H29" s="172">
        <v>65504.605952978804</v>
      </c>
      <c r="I29" s="172">
        <v>613683.732733201</v>
      </c>
      <c r="J29" s="172">
        <v>733927.52471702895</v>
      </c>
      <c r="K29" s="172">
        <v>47999.713712960896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6.1817393357699404E-7</v>
      </c>
      <c r="G30" s="172">
        <v>92061.530745222</v>
      </c>
      <c r="H30" s="172">
        <v>4846.5944796203203</v>
      </c>
      <c r="I30" s="172">
        <v>924096.65229486499</v>
      </c>
      <c r="J30" s="172">
        <v>48299.962112669898</v>
      </c>
      <c r="K30" s="172">
        <v>913233.83480424399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6.1948866599902795E-7</v>
      </c>
      <c r="G31" s="172">
        <v>92345.045819841194</v>
      </c>
      <c r="H31" s="172">
        <v>4876.2713297881501</v>
      </c>
      <c r="I31" s="172">
        <v>926914.14928349899</v>
      </c>
      <c r="J31" s="172">
        <v>64706.213862947399</v>
      </c>
      <c r="K31" s="172">
        <v>1225985.71667777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5.4786092535961098E-8</v>
      </c>
      <c r="G32" s="172">
        <v>4850.9579276467102</v>
      </c>
      <c r="H32" s="172">
        <v>73664.034054245407</v>
      </c>
      <c r="I32" s="172">
        <v>687262.74284441804</v>
      </c>
      <c r="J32" s="172">
        <v>733927.524717035</v>
      </c>
      <c r="K32" s="172">
        <v>47999.713712864599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5.5248376573209602E-8</v>
      </c>
      <c r="G33" s="172">
        <v>4865.3640817146097</v>
      </c>
      <c r="H33" s="172">
        <v>73812.973400876494</v>
      </c>
      <c r="I33" s="172">
        <v>691744.54434159095</v>
      </c>
      <c r="J33" s="172">
        <v>982227.697987905</v>
      </c>
      <c r="K33" s="172">
        <v>64377.520990332101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7.5817819519974995E-7</v>
      </c>
      <c r="G34" s="172">
        <v>101246.98351914001</v>
      </c>
      <c r="H34" s="172">
        <v>5337.7041711602596</v>
      </c>
      <c r="I34" s="172">
        <v>1016772.28732877</v>
      </c>
      <c r="J34" s="172">
        <v>64706.213863813697</v>
      </c>
      <c r="K34" s="172">
        <v>1225985.71667515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7.5376363467567701E-7</v>
      </c>
      <c r="G35" s="172">
        <v>101489.880150165</v>
      </c>
      <c r="H35" s="172">
        <v>5363.1832633370004</v>
      </c>
      <c r="I35" s="172">
        <v>1019186.91916113</v>
      </c>
      <c r="J35" s="172">
        <v>82651.341748091494</v>
      </c>
      <c r="K35" s="172">
        <v>1567384.9917905901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5.5125674712123802E-8</v>
      </c>
      <c r="G36" s="172">
        <v>5332.0706379240701</v>
      </c>
      <c r="H36" s="172">
        <v>81023.668958099894</v>
      </c>
      <c r="I36" s="172">
        <v>756481.74366789497</v>
      </c>
      <c r="J36" s="172">
        <v>982227.697987861</v>
      </c>
      <c r="K36" s="172">
        <v>64377.520990172103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5.3693522048441997E-8</v>
      </c>
      <c r="G37" s="172">
        <v>5344.4230197980696</v>
      </c>
      <c r="H37" s="172">
        <v>81152.255652558306</v>
      </c>
      <c r="I37" s="172">
        <v>760315.71754562401</v>
      </c>
      <c r="J37" s="172">
        <v>1252667.3786770499</v>
      </c>
      <c r="K37" s="172">
        <v>82295.276100909294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5.3650185383087899E-7</v>
      </c>
      <c r="G38" s="172">
        <v>108971.048040774</v>
      </c>
      <c r="H38" s="172">
        <v>5747.5491593512197</v>
      </c>
      <c r="I38" s="172">
        <v>1094660.5999682799</v>
      </c>
      <c r="J38" s="172">
        <v>82651.341746990307</v>
      </c>
      <c r="K38" s="172">
        <v>1567384.9917947899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5.3220366339678296E-7</v>
      </c>
      <c r="G39" s="172">
        <v>109167.470922404</v>
      </c>
      <c r="H39" s="172">
        <v>5768.3926443390501</v>
      </c>
      <c r="I39" s="172">
        <v>1096614.24054483</v>
      </c>
      <c r="J39" s="172">
        <v>101877.348024131</v>
      </c>
      <c r="K39" s="172">
        <v>1932710.8799068001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4.3559415902297999E-8</v>
      </c>
      <c r="G40" s="172">
        <v>5732.8898391704697</v>
      </c>
      <c r="H40" s="172">
        <v>87344.082538054805</v>
      </c>
      <c r="I40" s="172">
        <v>814983.71361181804</v>
      </c>
      <c r="J40" s="172">
        <v>1252667.3786770001</v>
      </c>
      <c r="K40" s="172">
        <v>82295.2761010658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4.3049057034941597E-8</v>
      </c>
      <c r="G41" s="172">
        <v>5743.2259800438096</v>
      </c>
      <c r="H41" s="172">
        <v>87448.8425250195</v>
      </c>
      <c r="I41" s="172">
        <v>818063.33147249999</v>
      </c>
      <c r="J41" s="172">
        <v>1542099.45469311</v>
      </c>
      <c r="K41" s="172">
        <v>101485.382755317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5.9197821077903203E-7</v>
      </c>
      <c r="G42" s="172">
        <v>114885.852533942</v>
      </c>
      <c r="H42" s="172">
        <v>6063.94553879047</v>
      </c>
      <c r="I42" s="172">
        <v>1154278.6399822601</v>
      </c>
      <c r="J42" s="172">
        <v>101877.348024519</v>
      </c>
      <c r="K42" s="172">
        <v>1932710.8799056299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5.9174176256271095E-7</v>
      </c>
      <c r="G43" s="172">
        <v>115018.999949884</v>
      </c>
      <c r="H43" s="172">
        <v>6078.9635566319803</v>
      </c>
      <c r="I43" s="172">
        <v>1155605.2792922701</v>
      </c>
      <c r="J43" s="172">
        <v>122102.619178216</v>
      </c>
      <c r="K43" s="172">
        <v>2316862.4342647698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4.7168399033395697E-8</v>
      </c>
      <c r="G44" s="172">
        <v>6048.4249221930704</v>
      </c>
      <c r="H44" s="172">
        <v>92274.044622000001</v>
      </c>
      <c r="I44" s="172">
        <v>860123.84413769597</v>
      </c>
      <c r="J44" s="172">
        <v>1542099.4546930999</v>
      </c>
      <c r="K44" s="172">
        <v>101485.382755281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4.6845062444309902E-8</v>
      </c>
      <c r="G45" s="172">
        <v>6056.6795787230703</v>
      </c>
      <c r="H45" s="172">
        <v>92346.975190563404</v>
      </c>
      <c r="I45" s="172">
        <v>862211.84862487996</v>
      </c>
      <c r="J45" s="172">
        <v>1846973.6850281099</v>
      </c>
      <c r="K45" s="172">
        <v>121672.885541358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5.9083160196375905E-7</v>
      </c>
      <c r="G46" s="172">
        <v>118249.447009985</v>
      </c>
      <c r="H46" s="172">
        <v>6242.7103647016402</v>
      </c>
      <c r="I46" s="172">
        <v>1187981.21806251</v>
      </c>
      <c r="J46" s="172">
        <v>122102.61917821399</v>
      </c>
      <c r="K46" s="172">
        <v>2316862.43426478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5.9187754725617704E-7</v>
      </c>
      <c r="G47" s="172">
        <v>118301.084538525</v>
      </c>
      <c r="H47" s="172">
        <v>6248.5334196921503</v>
      </c>
      <c r="I47" s="172">
        <v>1188484.2567070499</v>
      </c>
      <c r="J47" s="172">
        <v>145994.916219184</v>
      </c>
      <c r="K47" s="172">
        <v>2770602.2830644599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4.1236387451092101E-8</v>
      </c>
      <c r="G48" s="172">
        <v>6242.9731813749604</v>
      </c>
      <c r="H48" s="172">
        <v>95070.987074177494</v>
      </c>
      <c r="I48" s="172">
        <v>886265.53858457098</v>
      </c>
      <c r="J48" s="172">
        <v>1846973.6850280401</v>
      </c>
      <c r="K48" s="172">
        <v>121672.8855413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4.1297785334447503E-8</v>
      </c>
      <c r="G49" s="172">
        <v>6248.5334336812402</v>
      </c>
      <c r="H49" s="172">
        <v>95098.004211605105</v>
      </c>
      <c r="I49" s="172">
        <v>886967.15243574197</v>
      </c>
      <c r="J49" s="172">
        <v>2207992.2400951702</v>
      </c>
      <c r="K49" s="172">
        <v>145552.17995619899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1.3244500864167501</v>
      </c>
      <c r="N5" s="172">
        <v>1.55469144243952</v>
      </c>
      <c r="O5" s="172">
        <v>3561568.1257794802</v>
      </c>
      <c r="P5" s="172">
        <v>129199.92135901</v>
      </c>
      <c r="Q5" s="172">
        <v>11978.3192906285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1.5344829103936</v>
      </c>
      <c r="N6" s="172">
        <v>1.40937501454127</v>
      </c>
      <c r="O6" s="172">
        <v>3561568.1257794802</v>
      </c>
      <c r="P6" s="172">
        <v>117123.65301140401</v>
      </c>
      <c r="Q6" s="172">
        <v>12580.6970764209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114893.24894071466</v>
      </c>
      <c r="J10" s="9" t="s">
        <v>123</v>
      </c>
      <c r="K10" s="103" t="str">
        <f>+IF(I10&gt;N51,"USAR TA","USAR  TB")</f>
        <v>USAR  TB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114893.24894071466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1.0051170739968899E-9</v>
      </c>
      <c r="F15" s="172">
        <v>1180.7507363740399</v>
      </c>
      <c r="G15" s="172">
        <v>159.02734238955</v>
      </c>
      <c r="H15" s="172">
        <v>11853.6154765355</v>
      </c>
      <c r="I15" s="172">
        <v>8.4909331511108795E-9</v>
      </c>
      <c r="J15" s="172">
        <v>2.3429608431296501E-8</v>
      </c>
      <c r="K15" s="166"/>
      <c r="L15" s="166" t="s">
        <v>189</v>
      </c>
      <c r="M15">
        <f>+F15</f>
        <v>1180.7507363740399</v>
      </c>
      <c r="N15">
        <f>+G15</f>
        <v>159.02734238955</v>
      </c>
      <c r="O15" s="18">
        <f t="shared" ref="O15:P19" si="0">+M15*$O$55</f>
        <v>0</v>
      </c>
      <c r="P15" s="19">
        <f t="shared" si="0"/>
        <v>0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1.7071998340379E-8</v>
      </c>
      <c r="F16" s="172">
        <v>18447.8671385741</v>
      </c>
      <c r="G16" s="172">
        <v>998.28384255741503</v>
      </c>
      <c r="H16" s="172">
        <v>184205.58419787901</v>
      </c>
      <c r="I16" s="172">
        <v>477.08202713409997</v>
      </c>
      <c r="J16" s="172">
        <v>3542.2522094011101</v>
      </c>
      <c r="K16" s="166"/>
      <c r="L16" s="166" t="s">
        <v>187</v>
      </c>
      <c r="M16" s="13">
        <f>+F16-F15</f>
        <v>17267.116402200059</v>
      </c>
      <c r="N16">
        <f>+G16-G15</f>
        <v>839.25650016786506</v>
      </c>
      <c r="O16" s="18">
        <f t="shared" si="0"/>
        <v>0</v>
      </c>
      <c r="P16" s="19">
        <f t="shared" si="0"/>
        <v>0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3.0376242242358802E-8</v>
      </c>
      <c r="F17" s="172">
        <v>38257.824223178999</v>
      </c>
      <c r="G17" s="172">
        <v>2026.33918285393</v>
      </c>
      <c r="H17" s="172">
        <v>382712.54256592499</v>
      </c>
      <c r="I17" s="172">
        <v>3938.1589434446601</v>
      </c>
      <c r="J17" s="172">
        <v>68917.457287114405</v>
      </c>
      <c r="K17" s="166"/>
      <c r="L17" s="166" t="s">
        <v>185</v>
      </c>
      <c r="M17" s="13">
        <f t="shared" ref="M17:M25" si="1">+F17-F16</f>
        <v>19809.957084604899</v>
      </c>
      <c r="N17" s="13">
        <f t="shared" ref="N17:N25" si="2">+G17-G16</f>
        <v>1028.0553402965149</v>
      </c>
      <c r="O17" s="18">
        <f t="shared" si="0"/>
        <v>0</v>
      </c>
      <c r="P17" s="19">
        <f t="shared" si="0"/>
        <v>0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3.1436330992611099E-7</v>
      </c>
      <c r="F18" s="172">
        <v>55028.209031289502</v>
      </c>
      <c r="G18" s="172">
        <v>2895.2422572678902</v>
      </c>
      <c r="H18" s="172">
        <v>551053.44033532101</v>
      </c>
      <c r="I18" s="172">
        <v>11054.3836023435</v>
      </c>
      <c r="J18" s="172">
        <v>203226.299243952</v>
      </c>
      <c r="K18" s="166"/>
      <c r="L18" s="166" t="s">
        <v>183</v>
      </c>
      <c r="M18" s="13">
        <f t="shared" si="1"/>
        <v>16770.384808110502</v>
      </c>
      <c r="N18" s="13">
        <f t="shared" si="2"/>
        <v>868.90307441396021</v>
      </c>
      <c r="O18" s="18">
        <f t="shared" si="0"/>
        <v>0</v>
      </c>
      <c r="P18" s="19">
        <f t="shared" si="0"/>
        <v>0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5.9693279639291203E-7</v>
      </c>
      <c r="F19" s="172">
        <v>69249.594458736203</v>
      </c>
      <c r="G19" s="172">
        <v>3636.1087985611298</v>
      </c>
      <c r="H19" s="172">
        <v>694082.46965327405</v>
      </c>
      <c r="I19" s="172">
        <v>21141.296180824898</v>
      </c>
      <c r="J19" s="172">
        <v>394913.83990871802</v>
      </c>
      <c r="K19" s="166"/>
      <c r="L19" s="166" t="s">
        <v>181</v>
      </c>
      <c r="M19" s="13">
        <f t="shared" si="1"/>
        <v>14221.385427446701</v>
      </c>
      <c r="N19" s="13">
        <f t="shared" si="2"/>
        <v>740.86654129323961</v>
      </c>
      <c r="O19" s="18">
        <f t="shared" si="0"/>
        <v>0</v>
      </c>
      <c r="P19" s="19">
        <f t="shared" si="0"/>
        <v>0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4.7232260055398098E-7</v>
      </c>
      <c r="F20" s="172">
        <v>81471.295784453905</v>
      </c>
      <c r="G20" s="172">
        <v>4282.4322531017497</v>
      </c>
      <c r="H20" s="172">
        <v>817249.826300196</v>
      </c>
      <c r="I20" s="172">
        <v>33681.490892274203</v>
      </c>
      <c r="J20" s="172">
        <v>634164.02331450896</v>
      </c>
      <c r="K20" s="166"/>
      <c r="L20" s="166" t="s">
        <v>179</v>
      </c>
      <c r="M20" s="113">
        <f t="shared" si="1"/>
        <v>12221.701325717702</v>
      </c>
      <c r="N20" s="113">
        <f t="shared" si="2"/>
        <v>646.32345454061988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6.1817393357699404E-7</v>
      </c>
      <c r="F21" s="172">
        <v>92061.530745222</v>
      </c>
      <c r="G21" s="172">
        <v>4846.5944796203203</v>
      </c>
      <c r="H21" s="172">
        <v>924096.65229486499</v>
      </c>
      <c r="I21" s="172">
        <v>48299.962112669898</v>
      </c>
      <c r="J21" s="172">
        <v>913233.83480424399</v>
      </c>
      <c r="K21" s="166"/>
      <c r="L21" s="166" t="s">
        <v>39</v>
      </c>
      <c r="M21" s="113">
        <f t="shared" si="1"/>
        <v>10590.234960768095</v>
      </c>
      <c r="N21" s="113">
        <f t="shared" si="2"/>
        <v>564.16222651857061</v>
      </c>
      <c r="O21" s="18">
        <f t="shared" si="3"/>
        <v>0</v>
      </c>
      <c r="P21" s="19">
        <f t="shared" si="4"/>
        <v>0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7.5817819519974995E-7</v>
      </c>
      <c r="F22" s="172">
        <v>101246.98351914001</v>
      </c>
      <c r="G22" s="172">
        <v>5337.7041711602596</v>
      </c>
      <c r="H22" s="172">
        <v>1016772.28732877</v>
      </c>
      <c r="I22" s="172">
        <v>64706.213863813697</v>
      </c>
      <c r="J22" s="172">
        <v>1225985.71667515</v>
      </c>
      <c r="K22" s="166"/>
      <c r="L22" s="166" t="s">
        <v>26</v>
      </c>
      <c r="M22" s="113">
        <f t="shared" si="1"/>
        <v>9185.4527739180048</v>
      </c>
      <c r="N22" s="113">
        <f t="shared" si="2"/>
        <v>491.10969153993938</v>
      </c>
      <c r="O22" s="18">
        <f t="shared" si="3"/>
        <v>0</v>
      </c>
      <c r="P22" s="19">
        <f t="shared" si="4"/>
        <v>0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5.3650185383087899E-7</v>
      </c>
      <c r="F23" s="172">
        <v>108971.048040774</v>
      </c>
      <c r="G23" s="172">
        <v>5747.5491593512197</v>
      </c>
      <c r="H23" s="172">
        <v>1094660.5999682799</v>
      </c>
      <c r="I23" s="172">
        <v>82651.341746990307</v>
      </c>
      <c r="J23" s="172">
        <v>1567384.9917947899</v>
      </c>
      <c r="K23" s="166"/>
      <c r="L23" s="166" t="s">
        <v>25</v>
      </c>
      <c r="M23" s="113">
        <f t="shared" si="1"/>
        <v>7724.0645216339908</v>
      </c>
      <c r="N23" s="113">
        <f t="shared" si="2"/>
        <v>409.84498819096007</v>
      </c>
      <c r="O23" s="18">
        <f t="shared" si="3"/>
        <v>0</v>
      </c>
      <c r="P23" s="19">
        <f t="shared" si="4"/>
        <v>0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5.9197821077903203E-7</v>
      </c>
      <c r="F24" s="172">
        <v>114885.852533942</v>
      </c>
      <c r="G24" s="172">
        <v>6063.94553879047</v>
      </c>
      <c r="H24" s="172">
        <v>1154278.6399822601</v>
      </c>
      <c r="I24" s="172">
        <v>101877.348024519</v>
      </c>
      <c r="J24" s="172">
        <v>1932710.8799056299</v>
      </c>
      <c r="K24" s="166"/>
      <c r="L24" s="166" t="s">
        <v>24</v>
      </c>
      <c r="M24" s="113">
        <f t="shared" si="1"/>
        <v>5914.8044931680051</v>
      </c>
      <c r="N24" s="113">
        <f t="shared" si="2"/>
        <v>316.39637943925027</v>
      </c>
      <c r="O24" s="18">
        <f t="shared" si="3"/>
        <v>0</v>
      </c>
      <c r="P24" s="19">
        <f t="shared" si="4"/>
        <v>0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5.9083160196375905E-7</v>
      </c>
      <c r="F25" s="172">
        <v>118249.447009985</v>
      </c>
      <c r="G25" s="172">
        <v>6242.7103647016402</v>
      </c>
      <c r="H25" s="172">
        <v>1187981.21806251</v>
      </c>
      <c r="I25" s="172">
        <v>122102.61917821399</v>
      </c>
      <c r="J25" s="172">
        <v>2316862.43426478</v>
      </c>
      <c r="K25" s="166"/>
      <c r="L25" s="166" t="s">
        <v>22</v>
      </c>
      <c r="M25" s="113">
        <f t="shared" si="1"/>
        <v>3363.5944760429993</v>
      </c>
      <c r="N25" s="113">
        <f t="shared" si="2"/>
        <v>178.76482591117019</v>
      </c>
      <c r="O25" s="30">
        <f t="shared" si="3"/>
        <v>0</v>
      </c>
      <c r="P25" s="24">
        <f t="shared" si="4"/>
        <v>0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1.6565304045165601E-10</v>
      </c>
      <c r="F34" s="172">
        <v>121.641096340204</v>
      </c>
      <c r="G34" s="172">
        <v>763.139050112929</v>
      </c>
      <c r="H34" s="172">
        <v>16144.6332544053</v>
      </c>
      <c r="I34" s="172">
        <v>1.00608277072941E-9</v>
      </c>
      <c r="J34" s="172">
        <v>3.5706658527581601E-9</v>
      </c>
      <c r="L34" s="113" t="s">
        <v>189</v>
      </c>
      <c r="M34" s="13">
        <f>+F34</f>
        <v>121.641096340204</v>
      </c>
      <c r="N34" s="13">
        <f>+G34</f>
        <v>763.139050112929</v>
      </c>
      <c r="O34" s="18">
        <f>+M34*$O$56</f>
        <v>147.00321510633086</v>
      </c>
      <c r="P34" s="19">
        <f>+N34*$O$56</f>
        <v>922.25322950097109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1.2968264594194601E-8</v>
      </c>
      <c r="F35" s="172">
        <v>1012.90072105261</v>
      </c>
      <c r="G35" s="172">
        <v>15019.046151771599</v>
      </c>
      <c r="H35" s="172">
        <v>139287.83250125399</v>
      </c>
      <c r="I35" s="172">
        <v>2289.4171504250198</v>
      </c>
      <c r="J35" s="172">
        <v>364.92328906981402</v>
      </c>
      <c r="L35" s="113" t="s">
        <v>187</v>
      </c>
      <c r="M35" s="13">
        <f>+F35-F34</f>
        <v>891.25962471240609</v>
      </c>
      <c r="N35" s="13">
        <f>+G35-G34</f>
        <v>14255.907101658671</v>
      </c>
      <c r="O35" s="18">
        <f t="shared" ref="O35:P44" si="5">+M35*$O$56</f>
        <v>1077.0868914298196</v>
      </c>
      <c r="P35" s="19">
        <f t="shared" si="5"/>
        <v>17228.257893531943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2.8065544929484201E-8</v>
      </c>
      <c r="F36" s="172">
        <v>2044.41884271405</v>
      </c>
      <c r="G36" s="172">
        <v>31157.872850183699</v>
      </c>
      <c r="H36" s="172">
        <v>287033.48250974802</v>
      </c>
      <c r="I36" s="172">
        <v>54903.803302624197</v>
      </c>
      <c r="J36" s="172">
        <v>3792.5827285647501</v>
      </c>
      <c r="L36" s="113" t="s">
        <v>185</v>
      </c>
      <c r="M36" s="13">
        <f t="shared" ref="M36:M44" si="6">+F36-F35</f>
        <v>1031.5181216614401</v>
      </c>
      <c r="N36" s="13">
        <f t="shared" ref="N36:N44" si="7">+G36-G35</f>
        <v>16138.8266984121</v>
      </c>
      <c r="O36" s="18">
        <f t="shared" si="5"/>
        <v>1246.5892275467527</v>
      </c>
      <c r="P36" s="19">
        <f t="shared" si="5"/>
        <v>19503.76545501703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3.8039340125186999E-8</v>
      </c>
      <c r="F37" s="172">
        <v>2906.5773916733401</v>
      </c>
      <c r="G37" s="172">
        <v>44591.271370576302</v>
      </c>
      <c r="H37" s="172">
        <v>412573.22499722597</v>
      </c>
      <c r="I37" s="172">
        <v>164105.43959105801</v>
      </c>
      <c r="J37" s="172">
        <v>10913.5280908858</v>
      </c>
      <c r="L37" s="113" t="s">
        <v>183</v>
      </c>
      <c r="M37" s="13">
        <f t="shared" si="6"/>
        <v>862.1585489592901</v>
      </c>
      <c r="N37" s="13">
        <f t="shared" si="7"/>
        <v>13433.398520392602</v>
      </c>
      <c r="O37" s="18">
        <f t="shared" si="5"/>
        <v>1041.9182533011692</v>
      </c>
      <c r="P37" s="19">
        <f t="shared" si="5"/>
        <v>16234.256609948508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5.6060377924826999E-8</v>
      </c>
      <c r="F38" s="172">
        <v>3644.8423226258701</v>
      </c>
      <c r="G38" s="172">
        <v>55791.609524913903</v>
      </c>
      <c r="H38" s="172">
        <v>518191.00012295099</v>
      </c>
      <c r="I38" s="172">
        <v>319154.153966073</v>
      </c>
      <c r="J38" s="172">
        <v>20951.181914601701</v>
      </c>
      <c r="L38" s="113" t="s">
        <v>181</v>
      </c>
      <c r="M38" s="13">
        <f t="shared" si="6"/>
        <v>738.26493095252999</v>
      </c>
      <c r="N38" s="13">
        <f t="shared" si="7"/>
        <v>11200.338154337602</v>
      </c>
      <c r="O38" s="18">
        <f t="shared" si="5"/>
        <v>892.19286668337543</v>
      </c>
      <c r="P38" s="19">
        <f t="shared" si="5"/>
        <v>13535.604072170383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4.6314600629691797E-8</v>
      </c>
      <c r="F39" s="172">
        <v>4289.6839602904402</v>
      </c>
      <c r="G39" s="172">
        <v>65333.719402615898</v>
      </c>
      <c r="H39" s="172">
        <v>608524.35521110403</v>
      </c>
      <c r="I39" s="172">
        <v>511303.46552120103</v>
      </c>
      <c r="J39" s="172">
        <v>33429.154537290997</v>
      </c>
      <c r="L39" s="113" t="s">
        <v>179</v>
      </c>
      <c r="M39" s="113">
        <f t="shared" si="6"/>
        <v>644.84163766457004</v>
      </c>
      <c r="N39" s="113">
        <f t="shared" si="7"/>
        <v>9542.1098777019943</v>
      </c>
      <c r="O39" s="18">
        <f t="shared" si="5"/>
        <v>779.2908550084552</v>
      </c>
      <c r="P39" s="19">
        <f t="shared" si="5"/>
        <v>11531.635879020376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5.4786092535961098E-8</v>
      </c>
      <c r="F40" s="172">
        <v>4850.9579276467102</v>
      </c>
      <c r="G40" s="172">
        <v>73664.034054245407</v>
      </c>
      <c r="H40" s="172">
        <v>687262.74284441804</v>
      </c>
      <c r="I40" s="172">
        <v>733927.524717035</v>
      </c>
      <c r="J40" s="172">
        <v>47999.713712864599</v>
      </c>
      <c r="L40" s="13" t="s">
        <v>39</v>
      </c>
      <c r="M40" s="113">
        <f t="shared" si="6"/>
        <v>561.27396735627008</v>
      </c>
      <c r="N40" s="113">
        <f t="shared" si="7"/>
        <v>8330.3146516295092</v>
      </c>
      <c r="O40" s="18">
        <f t="shared" si="5"/>
        <v>678.29935966786536</v>
      </c>
      <c r="P40" s="19">
        <f t="shared" si="5"/>
        <v>10067.181844629356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5.5125674712123802E-8</v>
      </c>
      <c r="F41" s="172">
        <v>5332.0706379240701</v>
      </c>
      <c r="G41" s="172">
        <v>81023.668958099894</v>
      </c>
      <c r="H41" s="172">
        <v>756481.74366789497</v>
      </c>
      <c r="I41" s="172">
        <v>982227.697987861</v>
      </c>
      <c r="J41" s="172">
        <v>64377.520990172103</v>
      </c>
      <c r="L41" s="13" t="s">
        <v>26</v>
      </c>
      <c r="M41" s="113">
        <f t="shared" si="6"/>
        <v>481.11271027735984</v>
      </c>
      <c r="N41" s="113">
        <f t="shared" si="7"/>
        <v>7359.6349038544868</v>
      </c>
      <c r="O41" s="18">
        <f t="shared" si="5"/>
        <v>581.4245133198209</v>
      </c>
      <c r="P41" s="19">
        <f t="shared" si="5"/>
        <v>8894.1157670066368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4.3559415902297999E-8</v>
      </c>
      <c r="F42" s="172">
        <v>5732.8898391704697</v>
      </c>
      <c r="G42" s="172">
        <v>87344.082538054805</v>
      </c>
      <c r="H42" s="172">
        <v>814983.71361181804</v>
      </c>
      <c r="I42" s="172">
        <v>1252667.3786770001</v>
      </c>
      <c r="J42" s="172">
        <v>82295.2761010658</v>
      </c>
      <c r="L42" s="13" t="s">
        <v>25</v>
      </c>
      <c r="M42" s="113">
        <f t="shared" si="6"/>
        <v>400.81920124639964</v>
      </c>
      <c r="N42" s="113">
        <f t="shared" si="7"/>
        <v>6320.4135799549113</v>
      </c>
      <c r="O42" s="18">
        <f t="shared" si="5"/>
        <v>484.38984054189086</v>
      </c>
      <c r="P42" s="19">
        <f t="shared" si="5"/>
        <v>7638.2172227101146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4.7168399033395697E-8</v>
      </c>
      <c r="F43" s="172">
        <v>6048.4249221930704</v>
      </c>
      <c r="G43" s="172">
        <v>92274.044622000001</v>
      </c>
      <c r="H43" s="172">
        <v>860123.84413769597</v>
      </c>
      <c r="I43" s="172">
        <v>1542099.4546930999</v>
      </c>
      <c r="J43" s="172">
        <v>101485.382755281</v>
      </c>
      <c r="L43" s="13" t="s">
        <v>24</v>
      </c>
      <c r="M43" s="113">
        <f t="shared" si="6"/>
        <v>315.5350830226007</v>
      </c>
      <c r="N43" s="113">
        <f t="shared" si="7"/>
        <v>4929.9620839451964</v>
      </c>
      <c r="O43" s="18">
        <f t="shared" si="5"/>
        <v>381.32401859842975</v>
      </c>
      <c r="P43" s="19">
        <f t="shared" si="5"/>
        <v>5957.8571592725866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4.1236387451092101E-8</v>
      </c>
      <c r="F44" s="172">
        <v>6242.9731813749604</v>
      </c>
      <c r="G44" s="172">
        <v>95070.987074177494</v>
      </c>
      <c r="H44" s="172">
        <v>886265.53858457098</v>
      </c>
      <c r="I44" s="172">
        <v>1846973.6850280401</v>
      </c>
      <c r="J44" s="172">
        <v>121672.8855413</v>
      </c>
      <c r="L44" s="13" t="s">
        <v>22</v>
      </c>
      <c r="M44" s="113">
        <f t="shared" si="6"/>
        <v>194.54825918188999</v>
      </c>
      <c r="N44" s="113">
        <f t="shared" si="7"/>
        <v>2796.9424521774927</v>
      </c>
      <c r="O44" s="30">
        <f t="shared" si="5"/>
        <v>235.11149153976473</v>
      </c>
      <c r="P44" s="24">
        <f t="shared" si="5"/>
        <v>3380.1038079067589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116279.92922310899</v>
      </c>
      <c r="O51" s="14" t="str">
        <f>+K10</f>
        <v>USAR  TB</v>
      </c>
      <c r="P51" s="107">
        <f>+IF(O51="USAR TA",(I10),N51)</f>
        <v>116279.92922310899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105411.28771026361</v>
      </c>
      <c r="O52" s="14" t="str">
        <f>+K11</f>
        <v>USAR TA</v>
      </c>
      <c r="P52" s="107">
        <f>+IF(O52="USAR TB",(N52),I11)</f>
        <v>114893.24894071466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118249.447009985</v>
      </c>
      <c r="N55" s="16">
        <f>+IF(M55&lt;P51,"ESCALAR",N51)</f>
        <v>116279.92922310899</v>
      </c>
      <c r="O55" s="14" t="b">
        <f>+IF(N55="ESCALAR",(P51/M55))</f>
        <v>0</v>
      </c>
      <c r="P55" s="19">
        <f>+M55*O55</f>
        <v>0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95070.987074177494</v>
      </c>
      <c r="N56" s="112" t="str">
        <f>+IF(M56&lt;P52,"ESCALAR",M56)</f>
        <v>ESCALAR</v>
      </c>
      <c r="O56" s="23">
        <f>+IF(N56="ESCALAR",(P52/M56))</f>
        <v>1.2084995904278473</v>
      </c>
      <c r="P56" s="24">
        <f>+M56*O56</f>
        <v>114893.24894071466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1.5344829103936</v>
      </c>
      <c r="E62" s="172">
        <v>1.2763018454238701E-3</v>
      </c>
      <c r="F62" s="172">
        <v>0.73457663783482496</v>
      </c>
      <c r="G62" s="172">
        <v>0</v>
      </c>
      <c r="H62" s="172">
        <v>1.2763018454238701E-3</v>
      </c>
      <c r="I62" s="172">
        <v>0.73457663783482496</v>
      </c>
      <c r="J62" s="172">
        <v>0</v>
      </c>
      <c r="K62" s="172">
        <v>0.169625530250611</v>
      </c>
      <c r="L62" s="172">
        <v>2.5538234563663402E-4</v>
      </c>
      <c r="M62" s="172">
        <v>8.4343815546948003E-2</v>
      </c>
      <c r="N62" s="172">
        <v>0.169625530250611</v>
      </c>
      <c r="O62" s="172">
        <v>2.5538234563663402E-4</v>
      </c>
      <c r="P62" s="172">
        <v>8.4343815546948003E-2</v>
      </c>
    </row>
    <row r="63" spans="2:16" x14ac:dyDescent="0.3">
      <c r="B63" s="172" t="s">
        <v>238</v>
      </c>
      <c r="C63" s="172">
        <v>2</v>
      </c>
      <c r="D63" s="172">
        <v>1.3244500864167501</v>
      </c>
      <c r="E63" s="172">
        <v>0.81222388840335102</v>
      </c>
      <c r="F63" s="172">
        <v>2.3200418167563502E-3</v>
      </c>
      <c r="G63" s="172">
        <v>0</v>
      </c>
      <c r="H63" s="172">
        <v>0.81350019024877496</v>
      </c>
      <c r="I63" s="172">
        <v>0.73689667965158101</v>
      </c>
      <c r="J63" s="172">
        <v>0</v>
      </c>
      <c r="K63" s="172">
        <v>5.3881801412325599E-4</v>
      </c>
      <c r="L63" s="172">
        <v>0.19251699257802701</v>
      </c>
      <c r="M63" s="172">
        <v>1.09382686932259E-3</v>
      </c>
      <c r="N63" s="172">
        <v>0.170164348264735</v>
      </c>
      <c r="O63" s="172">
        <v>0.192772374923663</v>
      </c>
      <c r="P63" s="172">
        <v>8.5437642416270596E-2</v>
      </c>
    </row>
    <row r="64" spans="2:16" x14ac:dyDescent="0.3">
      <c r="B64" s="172" t="s">
        <v>238</v>
      </c>
      <c r="C64" s="172">
        <v>3</v>
      </c>
      <c r="D64" s="172">
        <v>1.11257136585946</v>
      </c>
      <c r="E64" s="172">
        <v>2.1072095925574299E-3</v>
      </c>
      <c r="F64" s="172">
        <v>7.49576965558027E-2</v>
      </c>
      <c r="G64" s="172">
        <v>0</v>
      </c>
      <c r="H64" s="172">
        <v>0.81560739984133201</v>
      </c>
      <c r="I64" s="172">
        <v>0.81185437620738399</v>
      </c>
      <c r="J64" s="172">
        <v>0</v>
      </c>
      <c r="K64" s="172">
        <v>2.7236030335036299E-2</v>
      </c>
      <c r="L64" s="172">
        <v>5.68953255149962E-4</v>
      </c>
      <c r="M64" s="172">
        <v>0.73790491260471303</v>
      </c>
      <c r="N64" s="172">
        <v>0.197400378599771</v>
      </c>
      <c r="O64" s="172">
        <v>0.193341328178813</v>
      </c>
      <c r="P64" s="172">
        <v>0.82334255502098397</v>
      </c>
    </row>
    <row r="65" spans="2:16" x14ac:dyDescent="0.3">
      <c r="B65" s="172" t="s">
        <v>238</v>
      </c>
      <c r="C65" s="172">
        <v>4</v>
      </c>
      <c r="D65" s="172">
        <v>0.497576331372381</v>
      </c>
      <c r="E65" s="172">
        <v>1.7266158213460599E-4</v>
      </c>
      <c r="F65" s="172">
        <v>9.58624541007079E-2</v>
      </c>
      <c r="G65" s="172">
        <v>0</v>
      </c>
      <c r="H65" s="172">
        <v>0.81578006142346704</v>
      </c>
      <c r="I65" s="172">
        <v>0.90771683030809203</v>
      </c>
      <c r="J65" s="172">
        <v>0</v>
      </c>
      <c r="K65" s="172">
        <v>0.51573336959441196</v>
      </c>
      <c r="L65" s="172">
        <v>7.5796271117772797E-4</v>
      </c>
      <c r="M65" s="172">
        <v>7.3942552392923999E-3</v>
      </c>
      <c r="N65" s="172">
        <v>0.71313374819418296</v>
      </c>
      <c r="O65" s="172">
        <v>0.19409929088999101</v>
      </c>
      <c r="P65" s="172">
        <v>0.83073681026027602</v>
      </c>
    </row>
    <row r="66" spans="2:16" x14ac:dyDescent="0.3">
      <c r="B66" s="172" t="s">
        <v>238</v>
      </c>
      <c r="C66" s="172">
        <v>5</v>
      </c>
      <c r="D66" s="172">
        <v>0.43104888915656298</v>
      </c>
      <c r="E66" s="172">
        <v>0.111578011602672</v>
      </c>
      <c r="F66" s="172">
        <v>3.3377407655521102E-4</v>
      </c>
      <c r="G66" s="172">
        <v>0</v>
      </c>
      <c r="H66" s="172">
        <v>0.92735807302613804</v>
      </c>
      <c r="I66" s="172">
        <v>0.90805060438464702</v>
      </c>
      <c r="J66" s="172">
        <v>0</v>
      </c>
      <c r="K66" s="172">
        <v>1.5747940281580399E-3</v>
      </c>
      <c r="L66" s="172">
        <v>0.592294279498222</v>
      </c>
      <c r="M66" s="172">
        <v>1.6444056387052101E-4</v>
      </c>
      <c r="N66" s="172">
        <v>0.71470854222234104</v>
      </c>
      <c r="O66" s="172">
        <v>0.786393570388213</v>
      </c>
      <c r="P66" s="172">
        <v>0.83090125082414601</v>
      </c>
    </row>
    <row r="67" spans="2:16" x14ac:dyDescent="0.3">
      <c r="B67" s="172" t="s">
        <v>238</v>
      </c>
      <c r="C67" s="172">
        <v>6</v>
      </c>
      <c r="D67" s="172">
        <v>0.36400806377776701</v>
      </c>
      <c r="E67" s="172">
        <v>5.4757638554103695E-4</v>
      </c>
      <c r="F67" s="172">
        <v>1.2481790845433299E-2</v>
      </c>
      <c r="G67" s="172">
        <v>0</v>
      </c>
      <c r="H67" s="172">
        <v>0.92790564941167897</v>
      </c>
      <c r="I67" s="172">
        <v>0.92053239523008101</v>
      </c>
      <c r="J67" s="172">
        <v>0</v>
      </c>
      <c r="K67" s="172">
        <v>5.9435163807482302E-2</v>
      </c>
      <c r="L67" s="172">
        <v>2.0546960909064199E-3</v>
      </c>
      <c r="M67" s="172">
        <v>9.7792749268118595E-2</v>
      </c>
      <c r="N67" s="172">
        <v>0.77414370602982296</v>
      </c>
      <c r="O67" s="172">
        <v>0.78844826647911903</v>
      </c>
      <c r="P67" s="172">
        <v>0.92869400009226499</v>
      </c>
    </row>
    <row r="68" spans="2:16" x14ac:dyDescent="0.3">
      <c r="B68" s="172" t="s">
        <v>238</v>
      </c>
      <c r="C68" s="172">
        <v>7</v>
      </c>
      <c r="D68" s="172">
        <v>0.28299611400849201</v>
      </c>
      <c r="E68" s="172">
        <v>6.8953331755382702E-5</v>
      </c>
      <c r="F68" s="172">
        <v>3.2230398766482801E-2</v>
      </c>
      <c r="G68" s="172">
        <v>0</v>
      </c>
      <c r="H68" s="172">
        <v>0.92797460274343502</v>
      </c>
      <c r="I68" s="172">
        <v>0.95276279399656305</v>
      </c>
      <c r="J68" s="172">
        <v>0</v>
      </c>
      <c r="K68" s="172">
        <v>6.5207408754838395E-2</v>
      </c>
      <c r="L68" s="172">
        <v>1.65065811125356E-4</v>
      </c>
      <c r="M68" s="172">
        <v>3.2605555568656799E-3</v>
      </c>
      <c r="N68" s="172">
        <v>0.83935111478466196</v>
      </c>
      <c r="O68" s="172">
        <v>0.78861333229024499</v>
      </c>
      <c r="P68" s="172">
        <v>0.93195455564913099</v>
      </c>
    </row>
    <row r="69" spans="2:16" x14ac:dyDescent="0.3">
      <c r="B69" s="172" t="s">
        <v>238</v>
      </c>
      <c r="C69" s="172">
        <v>8</v>
      </c>
      <c r="D69" s="172">
        <v>0.24427029170015599</v>
      </c>
      <c r="E69" s="172">
        <v>3.4393239827806801E-2</v>
      </c>
      <c r="F69" s="172">
        <v>1.87735788052664E-4</v>
      </c>
      <c r="G69" s="172">
        <v>0</v>
      </c>
      <c r="H69" s="172">
        <v>0.96236784257124197</v>
      </c>
      <c r="I69" s="172">
        <v>0.95295052978461603</v>
      </c>
      <c r="J69" s="172">
        <v>0</v>
      </c>
      <c r="K69" s="172">
        <v>4.0873403962865301E-4</v>
      </c>
      <c r="L69" s="172">
        <v>7.2390301580324404E-2</v>
      </c>
      <c r="M69" s="172">
        <v>1.8907235699644999E-4</v>
      </c>
      <c r="N69" s="172">
        <v>0.83975984882429</v>
      </c>
      <c r="O69" s="172">
        <v>0.861003633870569</v>
      </c>
      <c r="P69" s="172">
        <v>0.93214362800612705</v>
      </c>
    </row>
    <row r="70" spans="2:16" x14ac:dyDescent="0.3">
      <c r="B70" s="172" t="s">
        <v>238</v>
      </c>
      <c r="C70" s="172">
        <v>9</v>
      </c>
      <c r="D70" s="172">
        <v>0.20812232986867299</v>
      </c>
      <c r="E70" s="172">
        <v>2.8543728554595498E-4</v>
      </c>
      <c r="F70" s="172">
        <v>3.1354078521589799E-3</v>
      </c>
      <c r="G70" s="172">
        <v>0</v>
      </c>
      <c r="H70" s="172">
        <v>0.96265327985678795</v>
      </c>
      <c r="I70" s="172">
        <v>0.95608593763677496</v>
      </c>
      <c r="J70" s="172">
        <v>0</v>
      </c>
      <c r="K70" s="172">
        <v>5.4390569422545004E-3</v>
      </c>
      <c r="L70" s="172">
        <v>7.9852119080685996E-4</v>
      </c>
      <c r="M70" s="172">
        <v>3.1289045472182302E-2</v>
      </c>
      <c r="N70" s="172">
        <v>0.84519890576654499</v>
      </c>
      <c r="O70" s="172">
        <v>0.86180215506137603</v>
      </c>
      <c r="P70" s="172">
        <v>0.96343267347830897</v>
      </c>
    </row>
    <row r="71" spans="2:16" x14ac:dyDescent="0.3">
      <c r="B71" s="172" t="s">
        <v>238</v>
      </c>
      <c r="C71" s="172">
        <v>10</v>
      </c>
      <c r="D71" s="172">
        <v>0.19262696920640399</v>
      </c>
      <c r="E71" s="172">
        <v>5.1666573692355899E-5</v>
      </c>
      <c r="F71" s="172">
        <v>1.7369457740983099E-2</v>
      </c>
      <c r="G71" s="172">
        <v>0</v>
      </c>
      <c r="H71" s="172">
        <v>0.96270494643047999</v>
      </c>
      <c r="I71" s="172">
        <v>0.97345539537775805</v>
      </c>
      <c r="J71" s="172">
        <v>0</v>
      </c>
      <c r="K71" s="172">
        <v>6.9724636936384601E-2</v>
      </c>
      <c r="L71" s="172">
        <v>1.8308274345940601E-4</v>
      </c>
      <c r="M71" s="172">
        <v>8.3388150405963504E-4</v>
      </c>
      <c r="N71" s="172">
        <v>0.91492354270292897</v>
      </c>
      <c r="O71" s="172">
        <v>0.86198523780483505</v>
      </c>
      <c r="P71" s="172">
        <v>0.96426655498236902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1180.7507360152299</v>
      </c>
      <c r="E6" s="172">
        <v>1.00973651363276E-3</v>
      </c>
      <c r="F6" s="172">
        <v>1169365.19584422</v>
      </c>
      <c r="G6" s="172">
        <v>159.02734241632101</v>
      </c>
      <c r="H6" s="172">
        <v>3.9653619507129598E-5</v>
      </c>
      <c r="I6" s="172">
        <v>4010411.7705504401</v>
      </c>
    </row>
    <row r="7" spans="2:9" hidden="1" x14ac:dyDescent="0.3">
      <c r="B7" s="172" t="s">
        <v>187</v>
      </c>
      <c r="C7" s="172" t="s">
        <v>79</v>
      </c>
      <c r="D7" s="172">
        <v>18447.867133130901</v>
      </c>
      <c r="E7" s="172">
        <v>1.14072540023718E-3</v>
      </c>
      <c r="F7" s="172">
        <v>16172049.056938</v>
      </c>
      <c r="G7" s="172">
        <v>998.28384222201396</v>
      </c>
      <c r="H7" s="172">
        <v>6.2224235898129406E-5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38257.824211371197</v>
      </c>
      <c r="E8" s="172">
        <v>1.5818088790819E-3</v>
      </c>
      <c r="F8" s="172">
        <v>24186123.062842101</v>
      </c>
      <c r="G8" s="172">
        <v>2026.3391819204101</v>
      </c>
      <c r="H8" s="172">
        <v>1.1459319328100199E-4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55028.209019149697</v>
      </c>
      <c r="E9" s="172">
        <v>1.9578766815373399E-3</v>
      </c>
      <c r="F9" s="172">
        <v>28106064.870204799</v>
      </c>
      <c r="G9" s="172">
        <v>2895.24225610248</v>
      </c>
      <c r="H9" s="172">
        <v>1.6725126601578101E-4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69249.5944463302</v>
      </c>
      <c r="E10" s="172">
        <v>2.2697389436830101E-3</v>
      </c>
      <c r="F10" s="172">
        <v>30509937.999284498</v>
      </c>
      <c r="G10" s="172">
        <v>3636.1087971751599</v>
      </c>
      <c r="H10" s="172">
        <v>2.1343811302607801E-4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81471.295775867897</v>
      </c>
      <c r="E11" s="172">
        <v>2.5508145141633098E-3</v>
      </c>
      <c r="F11" s="172">
        <v>31939325.781432301</v>
      </c>
      <c r="G11" s="172">
        <v>4282.43225153608</v>
      </c>
      <c r="H11" s="172">
        <v>2.5920857834924098E-4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92061.530736293906</v>
      </c>
      <c r="E12" s="172">
        <v>2.7647149783333702E-3</v>
      </c>
      <c r="F12" s="172">
        <v>33298741.988872401</v>
      </c>
      <c r="G12" s="172">
        <v>4846.5944778629</v>
      </c>
      <c r="H12" s="172">
        <v>2.8987914619380299E-4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101246.98350988</v>
      </c>
      <c r="E13" s="172">
        <v>2.9128461627515E-3</v>
      </c>
      <c r="F13" s="172">
        <v>34758781.567180701</v>
      </c>
      <c r="G13" s="172">
        <v>5337.7041690899296</v>
      </c>
      <c r="H13" s="172">
        <v>3.2599883109647498E-4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108971.048031042</v>
      </c>
      <c r="E14" s="172">
        <v>3.0092169190163698E-3</v>
      </c>
      <c r="F14" s="172">
        <v>36212427.007974297</v>
      </c>
      <c r="G14" s="172">
        <v>5747.5491571973898</v>
      </c>
      <c r="H14" s="172">
        <v>3.5680640758558398E-4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114885.852523651</v>
      </c>
      <c r="E15" s="172">
        <v>2.9781448380248399E-3</v>
      </c>
      <c r="F15" s="172">
        <v>38576314.7100145</v>
      </c>
      <c r="G15" s="172">
        <v>6063.9455365375698</v>
      </c>
      <c r="H15" s="172">
        <v>3.52749294983699E-4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118249.446999597</v>
      </c>
      <c r="E16" s="172">
        <v>2.67326764788652E-3</v>
      </c>
      <c r="F16" s="172">
        <v>44234047.082073703</v>
      </c>
      <c r="G16" s="172">
        <v>6242.7103624011197</v>
      </c>
      <c r="H16" s="172">
        <v>2.9457582070305298E-4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1180.75073601753</v>
      </c>
      <c r="E17" s="172">
        <v>9.8789030440875293E-4</v>
      </c>
      <c r="F17" s="172">
        <v>1195224.54137679</v>
      </c>
      <c r="G17" s="172">
        <v>159.02734240444499</v>
      </c>
      <c r="H17" s="172">
        <v>1.54632240017727E-4</v>
      </c>
      <c r="I17" s="172">
        <v>1028422.93680939</v>
      </c>
    </row>
    <row r="18" spans="2:9" hidden="1" x14ac:dyDescent="0.3">
      <c r="B18" s="172" t="s">
        <v>187</v>
      </c>
      <c r="C18" s="172" t="s">
        <v>80</v>
      </c>
      <c r="D18" s="172">
        <v>18447.867133154301</v>
      </c>
      <c r="E18" s="172">
        <v>1.1042440916328501E-3</v>
      </c>
      <c r="F18" s="172">
        <v>16706330.8492558</v>
      </c>
      <c r="G18" s="172">
        <v>998.28384230030497</v>
      </c>
      <c r="H18" s="172">
        <v>1.5449885653585099E-4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38257.824211422601</v>
      </c>
      <c r="E19" s="172">
        <v>1.57060030500444E-3</v>
      </c>
      <c r="F19" s="172">
        <v>24358727.099135801</v>
      </c>
      <c r="G19" s="172">
        <v>2026.33918203794</v>
      </c>
      <c r="H19" s="172">
        <v>1.7507552594085899E-4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55028.209019237802</v>
      </c>
      <c r="E20" s="172">
        <v>1.9758174120585999E-3</v>
      </c>
      <c r="F20" s="172">
        <v>27850857.413947102</v>
      </c>
      <c r="G20" s="172">
        <v>2895.2422562566799</v>
      </c>
      <c r="H20" s="172">
        <v>1.9048779176489099E-4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69249.5944464247</v>
      </c>
      <c r="E21" s="172">
        <v>2.3164276642703599E-3</v>
      </c>
      <c r="F21" s="172">
        <v>29894995.4339443</v>
      </c>
      <c r="G21" s="172">
        <v>3636.1087973520598</v>
      </c>
      <c r="H21" s="172">
        <v>2.0089519560202401E-4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81471.295775987703</v>
      </c>
      <c r="E22" s="172">
        <v>2.58724369887598E-3</v>
      </c>
      <c r="F22" s="172">
        <v>31489610.2796124</v>
      </c>
      <c r="G22" s="172">
        <v>4282.4322517419796</v>
      </c>
      <c r="H22" s="172">
        <v>2.11793527794475E-4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92061.530736423898</v>
      </c>
      <c r="E23" s="172">
        <v>2.7804887602616199E-3</v>
      </c>
      <c r="F23" s="172">
        <v>33109837.396991301</v>
      </c>
      <c r="G23" s="172">
        <v>4846.5944781077997</v>
      </c>
      <c r="H23" s="172">
        <v>2.0394228356309901E-4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101246.983510055</v>
      </c>
      <c r="E24" s="172">
        <v>2.91470565181022E-3</v>
      </c>
      <c r="F24" s="172">
        <v>34736606.5754098</v>
      </c>
      <c r="G24" s="172">
        <v>5337.7041694782101</v>
      </c>
      <c r="H24" s="172">
        <v>1.9535740662714299E-4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108971.048031201</v>
      </c>
      <c r="E25" s="172">
        <v>2.9907972248723802E-3</v>
      </c>
      <c r="F25" s="172">
        <v>36435451.766828202</v>
      </c>
      <c r="G25" s="172">
        <v>5747.5491575981296</v>
      </c>
      <c r="H25" s="172">
        <v>1.9109329153623901E-4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114885.852523818</v>
      </c>
      <c r="E26" s="172">
        <v>2.8873697144388799E-3</v>
      </c>
      <c r="F26" s="172">
        <v>39789103.539220303</v>
      </c>
      <c r="G26" s="172">
        <v>6063.9455369450297</v>
      </c>
      <c r="H26" s="172">
        <v>1.8773670536356501E-4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118249.446999762</v>
      </c>
      <c r="E27" s="172">
        <v>2.66228788184123E-3</v>
      </c>
      <c r="F27" s="172">
        <v>44416476.447310902</v>
      </c>
      <c r="G27" s="172">
        <v>6242.7103628104696</v>
      </c>
      <c r="H27" s="172">
        <v>1.90068962227654E-4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147.00321511970699</v>
      </c>
      <c r="E28" s="172">
        <v>9.8902188352051305E-5</v>
      </c>
      <c r="F28" s="172">
        <v>1486349.46879472</v>
      </c>
      <c r="G28" s="172">
        <v>922.25322938475904</v>
      </c>
      <c r="H28" s="172">
        <v>1.1197376135503401E-3</v>
      </c>
      <c r="I28" s="172">
        <v>823633.33893963101</v>
      </c>
    </row>
    <row r="29" spans="2:9" hidden="1" x14ac:dyDescent="0.3">
      <c r="B29" s="172" t="s">
        <v>187</v>
      </c>
      <c r="C29" s="172" t="s">
        <v>81</v>
      </c>
      <c r="D29" s="172">
        <v>1224.09010579082</v>
      </c>
      <c r="E29" s="172">
        <v>1.1290327346583501E-4</v>
      </c>
      <c r="F29" s="172">
        <v>0</v>
      </c>
      <c r="G29" s="172">
        <v>18150.511115494101</v>
      </c>
      <c r="H29" s="172">
        <v>1.35062190630824E-3</v>
      </c>
      <c r="I29" s="172">
        <v>13438632.255792599</v>
      </c>
    </row>
    <row r="30" spans="2:9" hidden="1" x14ac:dyDescent="0.3">
      <c r="B30" s="172" t="s">
        <v>185</v>
      </c>
      <c r="C30" s="172" t="s">
        <v>81</v>
      </c>
      <c r="D30" s="172">
        <v>2470.6793335451898</v>
      </c>
      <c r="E30" s="172">
        <v>1.10653087845122E-4</v>
      </c>
      <c r="F30" s="172">
        <v>0</v>
      </c>
      <c r="G30" s="172">
        <v>37654.276572422197</v>
      </c>
      <c r="H30" s="172">
        <v>1.91049594373304E-3</v>
      </c>
      <c r="I30" s="172">
        <v>19709163.317482401</v>
      </c>
    </row>
    <row r="31" spans="2:9" hidden="1" x14ac:dyDescent="0.3">
      <c r="B31" s="172" t="s">
        <v>183</v>
      </c>
      <c r="C31" s="172" t="s">
        <v>81</v>
      </c>
      <c r="D31" s="172">
        <v>3512.5975863124099</v>
      </c>
      <c r="E31" s="172">
        <v>1.2581382849622099E-4</v>
      </c>
      <c r="F31" s="172">
        <v>0</v>
      </c>
      <c r="G31" s="172">
        <v>53888.533180163198</v>
      </c>
      <c r="H31" s="172">
        <v>2.4073247809899799E-3</v>
      </c>
      <c r="I31" s="172">
        <v>22385235.928989299</v>
      </c>
    </row>
    <row r="32" spans="2:9" hidden="1" x14ac:dyDescent="0.3">
      <c r="B32" s="172" t="s">
        <v>181</v>
      </c>
      <c r="C32" s="172" t="s">
        <v>81</v>
      </c>
      <c r="D32" s="172">
        <v>4404.7904527501296</v>
      </c>
      <c r="E32" s="172">
        <v>1.3559173623374E-4</v>
      </c>
      <c r="F32" s="172">
        <v>0</v>
      </c>
      <c r="G32" s="172">
        <v>67424.137247609397</v>
      </c>
      <c r="H32" s="172">
        <v>2.8222167887512902E-3</v>
      </c>
      <c r="I32" s="172">
        <v>23890488.326887801</v>
      </c>
    </row>
    <row r="33" spans="2:9" hidden="1" x14ac:dyDescent="0.3">
      <c r="B33" s="172" t="s">
        <v>179</v>
      </c>
      <c r="C33" s="172" t="s">
        <v>81</v>
      </c>
      <c r="D33" s="172">
        <v>5184.08130760926</v>
      </c>
      <c r="E33" s="172">
        <v>1.5599841524887301E-4</v>
      </c>
      <c r="F33" s="172">
        <v>0</v>
      </c>
      <c r="G33" s="172">
        <v>78955.773126895307</v>
      </c>
      <c r="H33" s="172">
        <v>3.1149195423463899E-3</v>
      </c>
      <c r="I33" s="172">
        <v>25347612.371207401</v>
      </c>
    </row>
    <row r="34" spans="2:9" hidden="1" x14ac:dyDescent="0.3">
      <c r="B34" s="172" t="s">
        <v>39</v>
      </c>
      <c r="C34" s="172" t="s">
        <v>81</v>
      </c>
      <c r="D34" s="172">
        <v>5862.38066727142</v>
      </c>
      <c r="E34" s="172">
        <v>1.7472448215320301E-4</v>
      </c>
      <c r="F34" s="172">
        <v>0</v>
      </c>
      <c r="G34" s="172">
        <v>89022.954965080498</v>
      </c>
      <c r="H34" s="172">
        <v>3.3428094555201099E-3</v>
      </c>
      <c r="I34" s="172">
        <v>26631178.3993771</v>
      </c>
    </row>
    <row r="35" spans="2:9" hidden="1" x14ac:dyDescent="0.3">
      <c r="B35" s="172" t="s">
        <v>26</v>
      </c>
      <c r="C35" s="172" t="s">
        <v>81</v>
      </c>
      <c r="D35" s="172">
        <v>6443.80518044972</v>
      </c>
      <c r="E35" s="172">
        <v>1.8346771698241399E-4</v>
      </c>
      <c r="F35" s="172">
        <v>0</v>
      </c>
      <c r="G35" s="172">
        <v>97917.070729913205</v>
      </c>
      <c r="H35" s="172">
        <v>3.5571896081813699E-3</v>
      </c>
      <c r="I35" s="172">
        <v>27526525.5764574</v>
      </c>
    </row>
    <row r="36" spans="2:9" hidden="1" x14ac:dyDescent="0.3">
      <c r="B36" s="172" t="s">
        <v>25</v>
      </c>
      <c r="C36" s="172" t="s">
        <v>81</v>
      </c>
      <c r="D36" s="172">
        <v>6928.1950208537701</v>
      </c>
      <c r="E36" s="172">
        <v>2.29011345627838E-4</v>
      </c>
      <c r="F36" s="172">
        <v>0</v>
      </c>
      <c r="G36" s="172">
        <v>105555.28795193099</v>
      </c>
      <c r="H36" s="172">
        <v>3.6714844365244698E-3</v>
      </c>
      <c r="I36" s="172">
        <v>28750030.070085902</v>
      </c>
    </row>
    <row r="37" spans="2:9" hidden="1" x14ac:dyDescent="0.3">
      <c r="B37" s="172" t="s">
        <v>24</v>
      </c>
      <c r="C37" s="172" t="s">
        <v>81</v>
      </c>
      <c r="D37" s="172">
        <v>7309.5190393953999</v>
      </c>
      <c r="E37" s="172">
        <v>2.3728297606066099E-4</v>
      </c>
      <c r="F37" s="172">
        <v>0</v>
      </c>
      <c r="G37" s="172">
        <v>111513.145110264</v>
      </c>
      <c r="H37" s="172">
        <v>3.40981309924449E-3</v>
      </c>
      <c r="I37" s="172">
        <v>32703594.556244899</v>
      </c>
    </row>
    <row r="38" spans="2:9" hidden="1" x14ac:dyDescent="0.3">
      <c r="B38" s="172" t="s">
        <v>22</v>
      </c>
      <c r="C38" s="172" t="s">
        <v>81</v>
      </c>
      <c r="D38" s="172">
        <v>7544.6305308762703</v>
      </c>
      <c r="E38" s="172">
        <v>2.03374165572491E-4</v>
      </c>
      <c r="F38" s="172">
        <v>0</v>
      </c>
      <c r="G38" s="172">
        <v>114893.24891780601</v>
      </c>
      <c r="H38" s="172">
        <v>2.9515805405641101E-3</v>
      </c>
      <c r="I38" s="172">
        <v>38926008.400857396</v>
      </c>
    </row>
    <row r="39" spans="2:9" x14ac:dyDescent="0.3">
      <c r="B39" s="172" t="s">
        <v>189</v>
      </c>
      <c r="C39" s="172" t="s">
        <v>82</v>
      </c>
      <c r="D39" s="172">
        <v>147.00321511743701</v>
      </c>
      <c r="E39" s="172">
        <v>6.6953983078870595E-5</v>
      </c>
      <c r="F39" s="172">
        <v>2195585.8092007702</v>
      </c>
      <c r="G39" s="172">
        <v>922.25322940022397</v>
      </c>
      <c r="H39" s="172">
        <v>9.6943040761695296E-4</v>
      </c>
      <c r="I39" s="172">
        <v>951335.15738102398</v>
      </c>
    </row>
    <row r="40" spans="2:9" x14ac:dyDescent="0.3">
      <c r="B40" s="172" t="s">
        <v>187</v>
      </c>
      <c r="C40" s="172" t="s">
        <v>82</v>
      </c>
      <c r="D40" s="172">
        <v>1224.09010576432</v>
      </c>
      <c r="E40" s="172">
        <v>6.0630387193435199E-5</v>
      </c>
      <c r="F40" s="172">
        <v>0</v>
      </c>
      <c r="G40" s="172">
        <v>18150.5111153937</v>
      </c>
      <c r="H40" s="172">
        <v>1.29120215039021E-3</v>
      </c>
      <c r="I40" s="172">
        <v>14057063.8841551</v>
      </c>
    </row>
    <row r="41" spans="2:9" x14ac:dyDescent="0.3">
      <c r="B41" s="172" t="s">
        <v>185</v>
      </c>
      <c r="C41" s="172" t="s">
        <v>82</v>
      </c>
      <c r="D41" s="172">
        <v>2470.67933347905</v>
      </c>
      <c r="E41" s="172">
        <v>1.3837901068326601E-4</v>
      </c>
      <c r="F41" s="172">
        <v>0</v>
      </c>
      <c r="G41" s="172">
        <v>37654.276572276402</v>
      </c>
      <c r="H41" s="172">
        <v>1.7309286891817801E-3</v>
      </c>
      <c r="I41" s="172">
        <v>21753800.0309393</v>
      </c>
    </row>
    <row r="42" spans="2:9" x14ac:dyDescent="0.3">
      <c r="B42" s="172" t="s">
        <v>183</v>
      </c>
      <c r="C42" s="172" t="s">
        <v>82</v>
      </c>
      <c r="D42" s="172">
        <v>3512.5975861951702</v>
      </c>
      <c r="E42" s="172">
        <v>2.2982910106057701E-4</v>
      </c>
      <c r="F42" s="172">
        <v>0</v>
      </c>
      <c r="G42" s="172">
        <v>53888.533179963801</v>
      </c>
      <c r="H42" s="172">
        <v>2.2677061570239602E-3</v>
      </c>
      <c r="I42" s="172">
        <v>23763454.9842581</v>
      </c>
    </row>
    <row r="43" spans="2:9" x14ac:dyDescent="0.3">
      <c r="B43" s="172" t="s">
        <v>181</v>
      </c>
      <c r="C43" s="172" t="s">
        <v>82</v>
      </c>
      <c r="D43" s="172">
        <v>4404.7904526316597</v>
      </c>
      <c r="E43" s="172">
        <v>3.0177025898112998E-4</v>
      </c>
      <c r="F43" s="172">
        <v>0</v>
      </c>
      <c r="G43" s="172">
        <v>67424.137247392006</v>
      </c>
      <c r="H43" s="172">
        <v>2.7192875582502099E-3</v>
      </c>
      <c r="I43" s="172">
        <v>24794780.177929301</v>
      </c>
    </row>
    <row r="44" spans="2:9" x14ac:dyDescent="0.3">
      <c r="B44" s="172" t="s">
        <v>179</v>
      </c>
      <c r="C44" s="172" t="s">
        <v>82</v>
      </c>
      <c r="D44" s="172">
        <v>5184.0813074605203</v>
      </c>
      <c r="E44" s="172">
        <v>3.7735006430534098E-4</v>
      </c>
      <c r="F44" s="172">
        <v>0</v>
      </c>
      <c r="G44" s="172">
        <v>78955.773126639004</v>
      </c>
      <c r="H44" s="172">
        <v>3.0919178419876701E-3</v>
      </c>
      <c r="I44" s="172">
        <v>25536180.830691598</v>
      </c>
    </row>
    <row r="45" spans="2:9" x14ac:dyDescent="0.3">
      <c r="B45" s="172" t="s">
        <v>39</v>
      </c>
      <c r="C45" s="172" t="s">
        <v>82</v>
      </c>
      <c r="D45" s="172">
        <v>5862.3806671065304</v>
      </c>
      <c r="E45" s="172">
        <v>4.5103072606600999E-4</v>
      </c>
      <c r="F45" s="172">
        <v>0</v>
      </c>
      <c r="G45" s="172">
        <v>89022.954964773598</v>
      </c>
      <c r="H45" s="172">
        <v>3.3903451691469199E-3</v>
      </c>
      <c r="I45" s="172">
        <v>26257785.1290503</v>
      </c>
    </row>
    <row r="46" spans="2:9" x14ac:dyDescent="0.3">
      <c r="B46" s="172" t="s">
        <v>26</v>
      </c>
      <c r="C46" s="172" t="s">
        <v>82</v>
      </c>
      <c r="D46" s="172">
        <v>6443.8051802340497</v>
      </c>
      <c r="E46" s="172">
        <v>5.1473548908774795E-4</v>
      </c>
      <c r="F46" s="172">
        <v>0</v>
      </c>
      <c r="G46" s="172">
        <v>97917.070729435902</v>
      </c>
      <c r="H46" s="172">
        <v>3.6212743798182201E-3</v>
      </c>
      <c r="I46" s="172">
        <v>27039395.654507399</v>
      </c>
    </row>
    <row r="47" spans="2:9" x14ac:dyDescent="0.3">
      <c r="B47" s="172" t="s">
        <v>25</v>
      </c>
      <c r="C47" s="172" t="s">
        <v>82</v>
      </c>
      <c r="D47" s="172">
        <v>6928.1950206540296</v>
      </c>
      <c r="E47" s="172">
        <v>5.6470631102254799E-4</v>
      </c>
      <c r="F47" s="172">
        <v>0</v>
      </c>
      <c r="G47" s="172">
        <v>105555.287951431</v>
      </c>
      <c r="H47" s="172">
        <v>3.7426255515759202E-3</v>
      </c>
      <c r="I47" s="172">
        <v>28203539.599889699</v>
      </c>
    </row>
    <row r="48" spans="2:9" x14ac:dyDescent="0.3">
      <c r="B48" s="172" t="s">
        <v>24</v>
      </c>
      <c r="C48" s="172" t="s">
        <v>82</v>
      </c>
      <c r="D48" s="172">
        <v>7309.5190391879296</v>
      </c>
      <c r="E48" s="172">
        <v>5.8341531599566399E-4</v>
      </c>
      <c r="F48" s="172">
        <v>0</v>
      </c>
      <c r="G48" s="172">
        <v>111513.145109757</v>
      </c>
      <c r="H48" s="172">
        <v>3.5885133329716899E-3</v>
      </c>
      <c r="I48" s="172">
        <v>31075025.996186499</v>
      </c>
    </row>
    <row r="49" spans="2:9" x14ac:dyDescent="0.3">
      <c r="B49" s="172" t="s">
        <v>22</v>
      </c>
      <c r="C49" s="172" t="s">
        <v>82</v>
      </c>
      <c r="D49" s="172">
        <v>7544.6305306706299</v>
      </c>
      <c r="E49" s="172">
        <v>5.0274884197158405E-4</v>
      </c>
      <c r="F49" s="172">
        <v>0</v>
      </c>
      <c r="G49" s="172">
        <v>114893.248917296</v>
      </c>
      <c r="H49" s="172">
        <v>3.00491754190407E-3</v>
      </c>
      <c r="I49" s="172">
        <v>38235075.443865202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-1.01499608717859E-9</v>
      </c>
      <c r="H6" s="172">
        <v>-1180.7507360157599</v>
      </c>
      <c r="I6" s="172">
        <v>-159.02734241626899</v>
      </c>
      <c r="J6" s="172">
        <v>7020.9867050508901</v>
      </c>
      <c r="K6" s="172">
        <v>-8.5069586930330793E-9</v>
      </c>
      <c r="L6" s="172">
        <v>2.3575921659357799E-8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-4.32919478043914E-10</v>
      </c>
      <c r="H7" s="172">
        <v>-1180.7507360152299</v>
      </c>
      <c r="I7" s="172">
        <v>-159.02734241632101</v>
      </c>
      <c r="J7" s="172">
        <v>7020.9867050461398</v>
      </c>
      <c r="K7" s="172">
        <v>477.08202724526802</v>
      </c>
      <c r="L7" s="172">
        <v>-3542.25220803723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-9.8225427791476208E-10</v>
      </c>
      <c r="H8" s="172">
        <v>-1180.75073601741</v>
      </c>
      <c r="I8" s="172">
        <v>-159.027342404564</v>
      </c>
      <c r="J8" s="172">
        <v>6628.2000820912799</v>
      </c>
      <c r="K8" s="172">
        <v>-8.3812210505129803E-9</v>
      </c>
      <c r="L8" s="172">
        <v>2.2813765099272099E-8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-4.0017766878008801E-10</v>
      </c>
      <c r="H9" s="172">
        <v>-1180.75073601753</v>
      </c>
      <c r="I9" s="172">
        <v>-159.02734240444499</v>
      </c>
      <c r="J9" s="172">
        <v>6628.2000820950097</v>
      </c>
      <c r="K9" s="172">
        <v>477.082027210273</v>
      </c>
      <c r="L9" s="172">
        <v>-3542.25220804333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-7.2759576141834308E-12</v>
      </c>
      <c r="H10" s="172">
        <v>-147.003215119722</v>
      </c>
      <c r="I10" s="172">
        <v>-922.25322938566399</v>
      </c>
      <c r="J10" s="172">
        <v>-19306.1187459051</v>
      </c>
      <c r="K10" s="172">
        <v>-5.9117155615240304E-10</v>
      </c>
      <c r="L10" s="172">
        <v>-2.18278728425503E-11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-7.2759576141834308E-12</v>
      </c>
      <c r="H11" s="172">
        <v>-147.00321511970699</v>
      </c>
      <c r="I11" s="172">
        <v>-922.25322938475904</v>
      </c>
      <c r="J11" s="172">
        <v>-19306.118745883599</v>
      </c>
      <c r="K11" s="172">
        <v>2766.7596881560098</v>
      </c>
      <c r="L11" s="172">
        <v>-441.00964535916103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-2.18278728425503E-11</v>
      </c>
      <c r="H12" s="172">
        <v>-147.003215117438</v>
      </c>
      <c r="I12" s="172">
        <v>-922.25322940015099</v>
      </c>
      <c r="J12" s="172">
        <v>-18903.7934174945</v>
      </c>
      <c r="K12" s="172">
        <v>-3.8744474295526702E-10</v>
      </c>
      <c r="L12" s="172">
        <v>2.0190782379358999E-10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-8.0035533756017698E-11</v>
      </c>
      <c r="H13" s="172">
        <v>-147.00321511743701</v>
      </c>
      <c r="I13" s="172">
        <v>-922.25322940022397</v>
      </c>
      <c r="J13" s="172">
        <v>-18903.793417496301</v>
      </c>
      <c r="K13" s="172">
        <v>2766.7596881997501</v>
      </c>
      <c r="L13" s="172">
        <v>-441.00964535071898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12661.199999996899</v>
      </c>
      <c r="H14" s="172">
        <v>1.1044960501749299E-9</v>
      </c>
      <c r="I14" s="172">
        <v>-1.0499547897779801E-9</v>
      </c>
      <c r="J14" s="172">
        <v>-3.1143599699134899E-8</v>
      </c>
      <c r="K14" s="172">
        <v>101363.129999975</v>
      </c>
      <c r="L14" s="172">
        <v>-270367.559999922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17917.199999998898</v>
      </c>
      <c r="H15" s="172">
        <v>1.0946621387120099E-9</v>
      </c>
      <c r="I15" s="172">
        <v>-1.0642224879120499E-9</v>
      </c>
      <c r="J15" s="172">
        <v>-3.1396893973578699E-8</v>
      </c>
      <c r="K15" s="172">
        <v>142115.12999999299</v>
      </c>
      <c r="L15" s="172">
        <v>-381751.559999966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1.5808410580575599E-8</v>
      </c>
      <c r="H16" s="172">
        <v>-18447.8671332099</v>
      </c>
      <c r="I16" s="172">
        <v>-998.28384222456395</v>
      </c>
      <c r="J16" s="172">
        <v>174160.54056759601</v>
      </c>
      <c r="K16" s="172">
        <v>477.08202736058399</v>
      </c>
      <c r="L16" s="172">
        <v>-3542.2522084101302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2.0990700733136701E-8</v>
      </c>
      <c r="H17" s="172">
        <v>-18447.867133130901</v>
      </c>
      <c r="I17" s="172">
        <v>-998.28384222201396</v>
      </c>
      <c r="J17" s="172">
        <v>174160.540567035</v>
      </c>
      <c r="K17" s="172">
        <v>3971.0754751957202</v>
      </c>
      <c r="L17" s="172">
        <v>-68109.787174630706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1.8262340972796701E-8</v>
      </c>
      <c r="H18" s="172">
        <v>-18447.8671332339</v>
      </c>
      <c r="I18" s="172">
        <v>-998.28384230387996</v>
      </c>
      <c r="J18" s="172">
        <v>142974.44838942401</v>
      </c>
      <c r="K18" s="172">
        <v>477.08202734205003</v>
      </c>
      <c r="L18" s="172">
        <v>-3542.2522084613702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2.5262963276873101E-8</v>
      </c>
      <c r="H19" s="172">
        <v>-18447.867133154301</v>
      </c>
      <c r="I19" s="172">
        <v>-998.28384230030497</v>
      </c>
      <c r="J19" s="172">
        <v>142974.44838887901</v>
      </c>
      <c r="K19" s="172">
        <v>3971.0754754653999</v>
      </c>
      <c r="L19" s="172">
        <v>-68109.787174806799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2.2682172584609401E-8</v>
      </c>
      <c r="H20" s="172">
        <v>-1224.09010580114</v>
      </c>
      <c r="I20" s="172">
        <v>-18150.5111155007</v>
      </c>
      <c r="J20" s="172">
        <v>-220751.38962771001</v>
      </c>
      <c r="K20" s="172">
        <v>2766.75968832132</v>
      </c>
      <c r="L20" s="172">
        <v>-441.00964580892401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3.2729190024838297E-8</v>
      </c>
      <c r="H21" s="172">
        <v>-1224.09010579082</v>
      </c>
      <c r="I21" s="172">
        <v>-18150.511115494101</v>
      </c>
      <c r="J21" s="172">
        <v>-220751.38962765699</v>
      </c>
      <c r="K21" s="172">
        <v>66293.548592637599</v>
      </c>
      <c r="L21" s="172">
        <v>-4725.3250163255998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1.8473883756087201E-8</v>
      </c>
      <c r="H22" s="172">
        <v>-1224.09010577091</v>
      </c>
      <c r="I22" s="172">
        <v>-18150.5111153978</v>
      </c>
      <c r="J22" s="172">
        <v>-181047.71046149201</v>
      </c>
      <c r="K22" s="172">
        <v>2766.7596883376</v>
      </c>
      <c r="L22" s="172">
        <v>-441.00964571956098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2.72756892627513E-8</v>
      </c>
      <c r="H23" s="172">
        <v>-1224.09010576432</v>
      </c>
      <c r="I23" s="172">
        <v>-18150.5111153937</v>
      </c>
      <c r="J23" s="172">
        <v>-181047.710461468</v>
      </c>
      <c r="K23" s="172">
        <v>66293.548592299805</v>
      </c>
      <c r="L23" s="172">
        <v>-4725.3250161072101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399162.65624979301</v>
      </c>
      <c r="H24" s="172">
        <v>-1.03788408978289E-7</v>
      </c>
      <c r="I24" s="172">
        <v>-4.8238945282719201E-8</v>
      </c>
      <c r="J24" s="172">
        <v>3.3381911634933198E-7</v>
      </c>
      <c r="K24" s="172">
        <v>3746092.4760926599</v>
      </c>
      <c r="L24" s="172">
        <v>-4142748.77957334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473431.54764760699</v>
      </c>
      <c r="H25" s="172">
        <v>-1.07971686702513E-7</v>
      </c>
      <c r="I25" s="172">
        <v>-5.0660787564993397E-8</v>
      </c>
      <c r="J25" s="172">
        <v>3.1358513297163903E-7</v>
      </c>
      <c r="K25" s="172">
        <v>4415639.0226496598</v>
      </c>
      <c r="L25" s="172">
        <v>-5206438.5918305404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3.0529760053354902E-8</v>
      </c>
      <c r="H26" s="172">
        <v>-38257.824211409898</v>
      </c>
      <c r="I26" s="172">
        <v>-2026.33918192702</v>
      </c>
      <c r="J26" s="172">
        <v>366109.65627068101</v>
      </c>
      <c r="K26" s="172">
        <v>3971.0754750658298</v>
      </c>
      <c r="L26" s="172">
        <v>-68109.787174823607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3.5072076798314797E-8</v>
      </c>
      <c r="H27" s="172">
        <v>-38257.824211371197</v>
      </c>
      <c r="I27" s="172">
        <v>-2026.3391819204101</v>
      </c>
      <c r="J27" s="172">
        <v>366109.656270504</v>
      </c>
      <c r="K27" s="172">
        <v>11063.2626118218</v>
      </c>
      <c r="L27" s="172">
        <v>-202012.17191479201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4.2624122897905201E-8</v>
      </c>
      <c r="H28" s="172">
        <v>-38257.824211462801</v>
      </c>
      <c r="I28" s="172">
        <v>-2026.33918204106</v>
      </c>
      <c r="J28" s="172">
        <v>299751.97845636198</v>
      </c>
      <c r="K28" s="172">
        <v>3971.0754753882302</v>
      </c>
      <c r="L28" s="172">
        <v>-68109.787175156205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4.7912322997944998E-8</v>
      </c>
      <c r="H29" s="172">
        <v>-38257.824211422601</v>
      </c>
      <c r="I29" s="172">
        <v>-2026.33918203794</v>
      </c>
      <c r="J29" s="172">
        <v>299751.97845608799</v>
      </c>
      <c r="K29" s="172">
        <v>11063.262612557801</v>
      </c>
      <c r="L29" s="172">
        <v>-202012.17191532601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4.9038362703868201E-8</v>
      </c>
      <c r="H30" s="172">
        <v>-2470.6793335555299</v>
      </c>
      <c r="I30" s="172">
        <v>-37654.2765724122</v>
      </c>
      <c r="J30" s="172">
        <v>-446070.27838375501</v>
      </c>
      <c r="K30" s="172">
        <v>66293.548592726205</v>
      </c>
      <c r="L30" s="172">
        <v>-4725.32501664137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5.2495124691631599E-8</v>
      </c>
      <c r="H31" s="172">
        <v>-2470.6793335451898</v>
      </c>
      <c r="I31" s="172">
        <v>-37654.276572422197</v>
      </c>
      <c r="J31" s="172">
        <v>-446070.278384123</v>
      </c>
      <c r="K31" s="172">
        <v>198083.51659622099</v>
      </c>
      <c r="L31" s="172">
        <v>-13372.7026841389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3.5110815588268498E-8</v>
      </c>
      <c r="H32" s="172">
        <v>-2470.6793334876802</v>
      </c>
      <c r="I32" s="172">
        <v>-37654.276572269802</v>
      </c>
      <c r="J32" s="172">
        <v>-361926.08164662297</v>
      </c>
      <c r="K32" s="172">
        <v>66293.548592333405</v>
      </c>
      <c r="L32" s="172">
        <v>-4725.3250162533704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3.7770405469927897E-8</v>
      </c>
      <c r="H33" s="172">
        <v>-2470.67933347905</v>
      </c>
      <c r="I33" s="172">
        <v>-37654.276572276402</v>
      </c>
      <c r="J33" s="172">
        <v>-361926.08164689102</v>
      </c>
      <c r="K33" s="172">
        <v>198083.51659531801</v>
      </c>
      <c r="L33" s="172">
        <v>-13372.702683499099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847072.00389736495</v>
      </c>
      <c r="H34" s="172">
        <v>-1.6512672118551601E-7</v>
      </c>
      <c r="I34" s="172">
        <v>-8.5660445847679498E-8</v>
      </c>
      <c r="J34" s="172">
        <v>4.03814283345127E-7</v>
      </c>
      <c r="K34" s="172">
        <v>7947368.8687418699</v>
      </c>
      <c r="L34" s="172">
        <v>-8895188.3114036508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921340.895295177</v>
      </c>
      <c r="H35" s="172">
        <v>-1.68001264455597E-7</v>
      </c>
      <c r="I35" s="172">
        <v>-8.6898722884143406E-8</v>
      </c>
      <c r="J35" s="172">
        <v>3.97996700485237E-7</v>
      </c>
      <c r="K35" s="172">
        <v>8616915.4152989797</v>
      </c>
      <c r="L35" s="172">
        <v>-9958878.1236610096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-3.1771823216786299E-7</v>
      </c>
      <c r="H36" s="172">
        <v>-55028.209019133603</v>
      </c>
      <c r="I36" s="172">
        <v>-2895.24225610557</v>
      </c>
      <c r="J36" s="172">
        <v>528623.98532770004</v>
      </c>
      <c r="K36" s="172">
        <v>11063.262608921201</v>
      </c>
      <c r="L36" s="172">
        <v>-202012.171907613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-3.1657529575568301E-7</v>
      </c>
      <c r="H37" s="172">
        <v>-55028.209019149697</v>
      </c>
      <c r="I37" s="172">
        <v>-2895.24225610248</v>
      </c>
      <c r="J37" s="172">
        <v>528623.98532791401</v>
      </c>
      <c r="K37" s="172">
        <v>21196.610505285302</v>
      </c>
      <c r="L37" s="172">
        <v>-394610.90347460599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-3.0915708748580099E-7</v>
      </c>
      <c r="H38" s="172">
        <v>-55028.209019228299</v>
      </c>
      <c r="I38" s="172">
        <v>-2895.2422562615802</v>
      </c>
      <c r="J38" s="172">
        <v>432487.94375361101</v>
      </c>
      <c r="K38" s="172">
        <v>11063.262609630199</v>
      </c>
      <c r="L38" s="172">
        <v>-202012.17190805799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-3.06097319935361E-7</v>
      </c>
      <c r="H39" s="172">
        <v>-55028.209019237802</v>
      </c>
      <c r="I39" s="172">
        <v>-2895.2422562566799</v>
      </c>
      <c r="J39" s="172">
        <v>432487.94375380198</v>
      </c>
      <c r="K39" s="172">
        <v>21196.610506561599</v>
      </c>
      <c r="L39" s="172">
        <v>-394610.90347541298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4.2222382035106401E-8</v>
      </c>
      <c r="H40" s="172">
        <v>-3512.59758631453</v>
      </c>
      <c r="I40" s="172">
        <v>-53888.533180176302</v>
      </c>
      <c r="J40" s="172">
        <v>-633573.49411726696</v>
      </c>
      <c r="K40" s="172">
        <v>198083.51659609901</v>
      </c>
      <c r="L40" s="172">
        <v>-13372.702683928501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3.6657638702308799E-8</v>
      </c>
      <c r="H41" s="172">
        <v>-3512.5975863124099</v>
      </c>
      <c r="I41" s="172">
        <v>-53888.533180163198</v>
      </c>
      <c r="J41" s="172">
        <v>-633573.49411703798</v>
      </c>
      <c r="K41" s="172">
        <v>386693.38272664801</v>
      </c>
      <c r="L41" s="172">
        <v>-25666.7942358867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3.25389919453301E-8</v>
      </c>
      <c r="H42" s="172">
        <v>-3512.59758619696</v>
      </c>
      <c r="I42" s="172">
        <v>-53888.5331799778</v>
      </c>
      <c r="J42" s="172">
        <v>-512446.72619762499</v>
      </c>
      <c r="K42" s="172">
        <v>198083.51659522601</v>
      </c>
      <c r="L42" s="172">
        <v>-13372.7026833944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2.8390786610543701E-8</v>
      </c>
      <c r="H43" s="172">
        <v>-3512.5975861951702</v>
      </c>
      <c r="I43" s="172">
        <v>-53888.533179963801</v>
      </c>
      <c r="J43" s="172">
        <v>-512446.72619736899</v>
      </c>
      <c r="K43" s="172">
        <v>386693.38272509899</v>
      </c>
      <c r="L43" s="172">
        <v>-25666.794234977799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1294981.35154485</v>
      </c>
      <c r="H44" s="172">
        <v>-1.14716485200006E-7</v>
      </c>
      <c r="I44" s="172">
        <v>-1.10059037439214E-7</v>
      </c>
      <c r="J44" s="172">
        <v>-2.2058338799979501E-7</v>
      </c>
      <c r="K44" s="172">
        <v>12148645.2613903</v>
      </c>
      <c r="L44" s="172">
        <v>-13647627.8432326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1369250.2429426601</v>
      </c>
      <c r="H45" s="172">
        <v>-1.1561644441826501E-7</v>
      </c>
      <c r="I45" s="172">
        <v>-1.08627261852234E-7</v>
      </c>
      <c r="J45" s="172">
        <v>-1.8239825294585901E-7</v>
      </c>
      <c r="K45" s="172">
        <v>12818191.8079475</v>
      </c>
      <c r="L45" s="172">
        <v>-14711317.6554898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-6.0421399439292103E-7</v>
      </c>
      <c r="H46" s="172">
        <v>-69249.594446415605</v>
      </c>
      <c r="I46" s="172">
        <v>-3636.1087971760398</v>
      </c>
      <c r="J46" s="172">
        <v>666387.86130145204</v>
      </c>
      <c r="K46" s="172">
        <v>21196.610503292501</v>
      </c>
      <c r="L46" s="172">
        <v>-394610.90346874698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-6.0628531173279001E-7</v>
      </c>
      <c r="H47" s="172">
        <v>-69249.5944463302</v>
      </c>
      <c r="I47" s="172">
        <v>-3636.1087971751599</v>
      </c>
      <c r="J47" s="172">
        <v>666387.86130078498</v>
      </c>
      <c r="K47" s="172">
        <v>33922.991293389503</v>
      </c>
      <c r="L47" s="172">
        <v>-636984.48403102695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-6.0909906096640001E-7</v>
      </c>
      <c r="H48" s="172">
        <v>-69249.594446514006</v>
      </c>
      <c r="I48" s="172">
        <v>-3636.1087973475301</v>
      </c>
      <c r="J48" s="172">
        <v>545009.26710860606</v>
      </c>
      <c r="K48" s="172">
        <v>21196.610504456701</v>
      </c>
      <c r="L48" s="172">
        <v>-394610.90346924198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-6.0921530575797099E-7</v>
      </c>
      <c r="H49" s="172">
        <v>-69249.5944464247</v>
      </c>
      <c r="I49" s="172">
        <v>-3636.1087973520598</v>
      </c>
      <c r="J49" s="172">
        <v>545009.26710779103</v>
      </c>
      <c r="K49" s="172">
        <v>33922.991295182001</v>
      </c>
      <c r="L49" s="172">
        <v>-636984.48403190298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2.3444499674951701E-8</v>
      </c>
      <c r="H50" s="172">
        <v>-4404.7904527562796</v>
      </c>
      <c r="I50" s="172">
        <v>-67424.137247571503</v>
      </c>
      <c r="J50" s="172">
        <v>-789665.34313378297</v>
      </c>
      <c r="K50" s="172">
        <v>386693.38272651401</v>
      </c>
      <c r="L50" s="172">
        <v>-25666.794235619502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2.20925358007662E-8</v>
      </c>
      <c r="H51" s="172">
        <v>-4404.7904527501296</v>
      </c>
      <c r="I51" s="172">
        <v>-67424.137247609397</v>
      </c>
      <c r="J51" s="172">
        <v>-789665.34313467494</v>
      </c>
      <c r="K51" s="172">
        <v>622677.86309307301</v>
      </c>
      <c r="L51" s="172">
        <v>-41083.560820217499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2.84380803350359E-8</v>
      </c>
      <c r="H52" s="172">
        <v>-4404.7904526349903</v>
      </c>
      <c r="I52" s="172">
        <v>-67424.137247361607</v>
      </c>
      <c r="J52" s="172">
        <v>-637748.29189187998</v>
      </c>
      <c r="K52" s="172">
        <v>386693.382725053</v>
      </c>
      <c r="L52" s="172">
        <v>-25666.7942349808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2.797332854243E-8</v>
      </c>
      <c r="H53" s="172">
        <v>-4404.7904526316597</v>
      </c>
      <c r="I53" s="172">
        <v>-67424.137247392006</v>
      </c>
      <c r="J53" s="172">
        <v>-637748.29189258895</v>
      </c>
      <c r="K53" s="172">
        <v>622677.86309086205</v>
      </c>
      <c r="L53" s="172">
        <v>-41083.560819180799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1742890.6991924201</v>
      </c>
      <c r="H54" s="172">
        <v>-7.2051726363042703E-8</v>
      </c>
      <c r="I54" s="172">
        <v>-1.3306075175023601E-7</v>
      </c>
      <c r="J54" s="172">
        <v>-6.6407523036104997E-7</v>
      </c>
      <c r="K54" s="172">
        <v>16349921.654039299</v>
      </c>
      <c r="L54" s="172">
        <v>-18400067.375062998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1817159.59059023</v>
      </c>
      <c r="H55" s="172">
        <v>-7.0922055783739806E-8</v>
      </c>
      <c r="I55" s="172">
        <v>-1.32209493131086E-7</v>
      </c>
      <c r="J55" s="172">
        <v>-6.5303356677759396E-7</v>
      </c>
      <c r="K55" s="172">
        <v>17019468.200596601</v>
      </c>
      <c r="L55" s="172">
        <v>-19463757.187320098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-4.7821291104810402E-7</v>
      </c>
      <c r="H56" s="172">
        <v>-81471.295775899096</v>
      </c>
      <c r="I56" s="172">
        <v>-4282.4322515434396</v>
      </c>
      <c r="J56" s="172">
        <v>784662.99551567098</v>
      </c>
      <c r="K56" s="172">
        <v>33922.991294251799</v>
      </c>
      <c r="L56" s="172">
        <v>-636984.48403364699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-4.6517811824742202E-7</v>
      </c>
      <c r="H57" s="172">
        <v>-81471.295775867897</v>
      </c>
      <c r="I57" s="172">
        <v>-4282.43225153608</v>
      </c>
      <c r="J57" s="172">
        <v>784662.99551553896</v>
      </c>
      <c r="K57" s="172">
        <v>48911.504174752401</v>
      </c>
      <c r="L57" s="172">
        <v>-922134.01924953796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-4.7739706587890396E-7</v>
      </c>
      <c r="H58" s="172">
        <v>-81471.295776018102</v>
      </c>
      <c r="I58" s="172">
        <v>-4282.4322517502496</v>
      </c>
      <c r="J58" s="172">
        <v>641614.34508686105</v>
      </c>
      <c r="K58" s="172">
        <v>33922.991296054999</v>
      </c>
      <c r="L58" s="172">
        <v>-636984.48403459601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-4.6330950453921099E-7</v>
      </c>
      <c r="H59" s="172">
        <v>-81471.295775987703</v>
      </c>
      <c r="I59" s="172">
        <v>-4282.4322517419796</v>
      </c>
      <c r="J59" s="172">
        <v>641614.34508675197</v>
      </c>
      <c r="K59" s="172">
        <v>48911.504177283299</v>
      </c>
      <c r="L59" s="172">
        <v>-922134.01925092703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3.3173819247167597E-8</v>
      </c>
      <c r="H60" s="172">
        <v>-5184.0813076207696</v>
      </c>
      <c r="I60" s="172">
        <v>-78955.773126901506</v>
      </c>
      <c r="J60" s="172">
        <v>-922449.45052595797</v>
      </c>
      <c r="K60" s="172">
        <v>622677.86309310398</v>
      </c>
      <c r="L60" s="172">
        <v>-41083.5608204241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3.4794084058376003E-8</v>
      </c>
      <c r="H61" s="172">
        <v>-5184.08130760926</v>
      </c>
      <c r="I61" s="172">
        <v>-78955.773126895307</v>
      </c>
      <c r="J61" s="172">
        <v>-922449.45052595902</v>
      </c>
      <c r="K61" s="172">
        <v>899023.06903724803</v>
      </c>
      <c r="L61" s="172">
        <v>-59227.845397112302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3.1193394534057E-8</v>
      </c>
      <c r="H62" s="172">
        <v>-5184.0813074709504</v>
      </c>
      <c r="I62" s="172">
        <v>-78955.773126642307</v>
      </c>
      <c r="J62" s="172">
        <v>-744337.12579679</v>
      </c>
      <c r="K62" s="172">
        <v>622677.86309084797</v>
      </c>
      <c r="L62" s="172">
        <v>-41083.560819222301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3.2553543860558401E-8</v>
      </c>
      <c r="H63" s="172">
        <v>-5184.0813074605203</v>
      </c>
      <c r="I63" s="172">
        <v>-78955.773126639004</v>
      </c>
      <c r="J63" s="172">
        <v>-744337.12579683599</v>
      </c>
      <c r="K63" s="172">
        <v>899023.06903409702</v>
      </c>
      <c r="L63" s="172">
        <v>-59227.845395381599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2190800.0468399599</v>
      </c>
      <c r="H64" s="172">
        <v>-1.18991822617431E-7</v>
      </c>
      <c r="I64" s="172">
        <v>-1.38149019335287E-7</v>
      </c>
      <c r="J64" s="172">
        <v>-3.8012905179129998E-7</v>
      </c>
      <c r="K64" s="172">
        <v>20551198.0466884</v>
      </c>
      <c r="L64" s="172">
        <v>-23152506.906892799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2265068.9382377798</v>
      </c>
      <c r="H65" s="172">
        <v>-1.2355559420029699E-7</v>
      </c>
      <c r="I65" s="172">
        <v>-1.38606509381134E-7</v>
      </c>
      <c r="J65" s="172">
        <v>-3.4953018257510801E-7</v>
      </c>
      <c r="K65" s="172">
        <v>21220744.5932457</v>
      </c>
      <c r="L65" s="172">
        <v>-24216196.7191501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-6.2877370510250298E-7</v>
      </c>
      <c r="H66" s="172">
        <v>-92061.530736311499</v>
      </c>
      <c r="I66" s="172">
        <v>-4846.5944778668099</v>
      </c>
      <c r="J66" s="172">
        <v>887099.39801445999</v>
      </c>
      <c r="K66" s="172">
        <v>48911.504173228401</v>
      </c>
      <c r="L66" s="172">
        <v>-922134.01924621698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-6.2968786096462303E-7</v>
      </c>
      <c r="H67" s="172">
        <v>-92061.530736293906</v>
      </c>
      <c r="I67" s="172">
        <v>-4846.5944778629</v>
      </c>
      <c r="J67" s="172">
        <v>887099.39801441506</v>
      </c>
      <c r="K67" s="172">
        <v>65874.584845748905</v>
      </c>
      <c r="L67" s="172">
        <v>-1244349.37682327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-6.2426306612906004E-7</v>
      </c>
      <c r="H68" s="172">
        <v>-92061.530736443805</v>
      </c>
      <c r="I68" s="172">
        <v>-4846.5944781088401</v>
      </c>
      <c r="J68" s="172">
        <v>725283.290504148</v>
      </c>
      <c r="K68" s="172">
        <v>48911.504175772803</v>
      </c>
      <c r="L68" s="172">
        <v>-922134.01924765902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-6.24350573019683E-7</v>
      </c>
      <c r="H69" s="172">
        <v>-92061.530736423898</v>
      </c>
      <c r="I69" s="172">
        <v>-4846.5944781077997</v>
      </c>
      <c r="J69" s="172">
        <v>725283.29050402006</v>
      </c>
      <c r="K69" s="172">
        <v>65874.584849151201</v>
      </c>
      <c r="L69" s="172">
        <v>-1244349.3768251899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3.9492078940384103E-8</v>
      </c>
      <c r="H70" s="172">
        <v>-5862.3806672754499</v>
      </c>
      <c r="I70" s="172">
        <v>-89022.954965050507</v>
      </c>
      <c r="J70" s="172">
        <v>-1038391.6235341399</v>
      </c>
      <c r="K70" s="172">
        <v>899023.06903722801</v>
      </c>
      <c r="L70" s="172">
        <v>-59227.845397200603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4.0069608076009899E-8</v>
      </c>
      <c r="H71" s="172">
        <v>-5862.38066727142</v>
      </c>
      <c r="I71" s="172">
        <v>-89022.954965080498</v>
      </c>
      <c r="J71" s="172">
        <v>-1038391.6235348399</v>
      </c>
      <c r="K71" s="172">
        <v>1210603.4114149699</v>
      </c>
      <c r="L71" s="172">
        <v>-79746.177732666896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3.3704964153002901E-8</v>
      </c>
      <c r="H72" s="172">
        <v>-5862.3806671095499</v>
      </c>
      <c r="I72" s="172">
        <v>-89022.954964753095</v>
      </c>
      <c r="J72" s="172">
        <v>-837406.83117116499</v>
      </c>
      <c r="K72" s="172">
        <v>899023.06903405499</v>
      </c>
      <c r="L72" s="172">
        <v>-59227.845395400902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3.3564901968929897E-8</v>
      </c>
      <c r="H73" s="172">
        <v>-5862.3806671065304</v>
      </c>
      <c r="I73" s="172">
        <v>-89022.954964773598</v>
      </c>
      <c r="J73" s="172">
        <v>-837406.83117164799</v>
      </c>
      <c r="K73" s="172">
        <v>1210603.4114107301</v>
      </c>
      <c r="L73" s="172">
        <v>-79746.177730273703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2638709.39448755</v>
      </c>
      <c r="H74" s="172">
        <v>-6.3247327375393096E-8</v>
      </c>
      <c r="I74" s="172">
        <v>-1.52299428179958E-7</v>
      </c>
      <c r="J74" s="172">
        <v>-1.04943092082976E-6</v>
      </c>
      <c r="K74" s="172">
        <v>24752474.439337902</v>
      </c>
      <c r="L74" s="172">
        <v>-27904946.4387234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2712978.2858853601</v>
      </c>
      <c r="H75" s="172">
        <v>-6.27643998996064E-8</v>
      </c>
      <c r="I75" s="172">
        <v>-1.52479515236337E-7</v>
      </c>
      <c r="J75" s="172">
        <v>-1.05611070466693E-6</v>
      </c>
      <c r="K75" s="172">
        <v>25422020.985895202</v>
      </c>
      <c r="L75" s="172">
        <v>-28968636.2509804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-7.6705356377715404E-7</v>
      </c>
      <c r="H76" s="172">
        <v>-101246.983509875</v>
      </c>
      <c r="I76" s="172">
        <v>-5337.70416909703</v>
      </c>
      <c r="J76" s="172">
        <v>975747.30240886798</v>
      </c>
      <c r="K76" s="172">
        <v>65874.584844472003</v>
      </c>
      <c r="L76" s="172">
        <v>-1244349.37682049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-7.6303956575429797E-7</v>
      </c>
      <c r="H77" s="172">
        <v>-101246.98350988</v>
      </c>
      <c r="I77" s="172">
        <v>-5337.7041690899296</v>
      </c>
      <c r="J77" s="172">
        <v>975747.30240904901</v>
      </c>
      <c r="K77" s="172">
        <v>84556.549436330795</v>
      </c>
      <c r="L77" s="172">
        <v>-1598713.81910516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-7.6299625106912604E-7</v>
      </c>
      <c r="H78" s="172">
        <v>-101246.983510051</v>
      </c>
      <c r="I78" s="172">
        <v>-5337.7041694890204</v>
      </c>
      <c r="J78" s="172">
        <v>797657.49788694701</v>
      </c>
      <c r="K78" s="172">
        <v>65874.584847869002</v>
      </c>
      <c r="L78" s="172">
        <v>-1244349.3768223701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-7.5821323264335703E-7</v>
      </c>
      <c r="H79" s="172">
        <v>-101246.983510055</v>
      </c>
      <c r="I79" s="172">
        <v>-5337.7041694782101</v>
      </c>
      <c r="J79" s="172">
        <v>797657.49788720196</v>
      </c>
      <c r="K79" s="172">
        <v>84556.549441102004</v>
      </c>
      <c r="L79" s="172">
        <v>-1598713.8191076701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2.5282133719883899E-8</v>
      </c>
      <c r="H80" s="172">
        <v>-6443.8051804572297</v>
      </c>
      <c r="I80" s="172">
        <v>-97917.070729936997</v>
      </c>
      <c r="J80" s="172">
        <v>-1141960.15635195</v>
      </c>
      <c r="K80" s="172">
        <v>1210603.41141485</v>
      </c>
      <c r="L80" s="172">
        <v>-79746.177732361903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2.3354914446827001E-8</v>
      </c>
      <c r="H81" s="172">
        <v>-6443.80518044972</v>
      </c>
      <c r="I81" s="172">
        <v>-97917.070729913205</v>
      </c>
      <c r="J81" s="172">
        <v>-1141960.1563514699</v>
      </c>
      <c r="K81" s="172">
        <v>1553313.1589696</v>
      </c>
      <c r="L81" s="172">
        <v>-102299.495863904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2.0839252101723101E-8</v>
      </c>
      <c r="H82" s="172">
        <v>-6443.8051802408099</v>
      </c>
      <c r="I82" s="172">
        <v>-97917.0707294475</v>
      </c>
      <c r="J82" s="172">
        <v>-920734.19272249995</v>
      </c>
      <c r="K82" s="172">
        <v>1210603.41141062</v>
      </c>
      <c r="L82" s="172">
        <v>-79746.177730015697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1.8816535884980099E-8</v>
      </c>
      <c r="H83" s="172">
        <v>-6443.8051802340497</v>
      </c>
      <c r="I83" s="172">
        <v>-97917.070729435902</v>
      </c>
      <c r="J83" s="172">
        <v>-920734.19272227399</v>
      </c>
      <c r="K83" s="172">
        <v>1553313.15896367</v>
      </c>
      <c r="L83" s="172">
        <v>-102299.4958608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3087936.7021353701</v>
      </c>
      <c r="H84" s="172">
        <v>-1.01078114767006E-8</v>
      </c>
      <c r="I84" s="172">
        <v>-1.6428336380158699E-7</v>
      </c>
      <c r="J84" s="172">
        <v>-1.64765742738382E-6</v>
      </c>
      <c r="K84" s="172">
        <v>28964308.191989101</v>
      </c>
      <c r="L84" s="172">
        <v>-32685737.680108599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3162205.5935331802</v>
      </c>
      <c r="H85" s="172">
        <v>-1.13492433229112E-8</v>
      </c>
      <c r="I85" s="172">
        <v>-1.6431533822469601E-7</v>
      </c>
      <c r="J85" s="172">
        <v>-1.6375670384150001E-6</v>
      </c>
      <c r="K85" s="172">
        <v>29633854.738546401</v>
      </c>
      <c r="L85" s="172">
        <v>-33749427.492365502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-5.4400430826717596E-7</v>
      </c>
      <c r="H86" s="172">
        <v>-108971.048031058</v>
      </c>
      <c r="I86" s="172">
        <v>-5747.5491572003402</v>
      </c>
      <c r="J86" s="172">
        <v>1050330.0500590701</v>
      </c>
      <c r="K86" s="172">
        <v>84556.549437953305</v>
      </c>
      <c r="L86" s="172">
        <v>-1598713.8191096301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-5.4236522828432498E-7</v>
      </c>
      <c r="H87" s="172">
        <v>-108971.048031042</v>
      </c>
      <c r="I87" s="172">
        <v>-5747.5491571973898</v>
      </c>
      <c r="J87" s="172">
        <v>1050330.05005899</v>
      </c>
      <c r="K87" s="172">
        <v>104672.97148815999</v>
      </c>
      <c r="L87" s="172">
        <v>-1980112.4872183399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-5.3377470976556704E-7</v>
      </c>
      <c r="H88" s="172">
        <v>-108971.048031218</v>
      </c>
      <c r="I88" s="172">
        <v>-5747.5491575999004</v>
      </c>
      <c r="J88" s="172">
        <v>858548.15091886104</v>
      </c>
      <c r="K88" s="172">
        <v>84556.549442755204</v>
      </c>
      <c r="L88" s="172">
        <v>-1598713.8191122501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-5.31378333334942E-7</v>
      </c>
      <c r="H89" s="172">
        <v>-108971.048031201</v>
      </c>
      <c r="I89" s="172">
        <v>-5747.5491575981296</v>
      </c>
      <c r="J89" s="172">
        <v>858548.15091875405</v>
      </c>
      <c r="K89" s="172">
        <v>104672.97149436599</v>
      </c>
      <c r="L89" s="172">
        <v>-1980112.48722154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3.5716766433324698E-8</v>
      </c>
      <c r="H90" s="172">
        <v>-6928.1950208585804</v>
      </c>
      <c r="I90" s="172">
        <v>-105555.287951921</v>
      </c>
      <c r="J90" s="172">
        <v>-1231058.2027104399</v>
      </c>
      <c r="K90" s="172">
        <v>1553313.1589696901</v>
      </c>
      <c r="L90" s="172">
        <v>-102299.49586415201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3.4589902497828E-8</v>
      </c>
      <c r="H91" s="172">
        <v>-6928.1950208537701</v>
      </c>
      <c r="I91" s="172">
        <v>-105555.28795193099</v>
      </c>
      <c r="J91" s="172">
        <v>-1231058.20271073</v>
      </c>
      <c r="K91" s="172">
        <v>1922756.66680142</v>
      </c>
      <c r="L91" s="172">
        <v>-126548.178437123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2.19279172597453E-8</v>
      </c>
      <c r="H92" s="172">
        <v>-6928.1950206580595</v>
      </c>
      <c r="I92" s="172">
        <v>-105555.287951423</v>
      </c>
      <c r="J92" s="172">
        <v>-992420.85844511294</v>
      </c>
      <c r="K92" s="172">
        <v>1553313.1589637001</v>
      </c>
      <c r="L92" s="172">
        <v>-102299.495860859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2.0765583030879501E-8</v>
      </c>
      <c r="H93" s="172">
        <v>-6928.1950206540296</v>
      </c>
      <c r="I93" s="172">
        <v>-105555.287951431</v>
      </c>
      <c r="J93" s="172">
        <v>-992420.85844533099</v>
      </c>
      <c r="K93" s="172">
        <v>1922756.6667936801</v>
      </c>
      <c r="L93" s="172">
        <v>-126548.178433129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3537164.0097832102</v>
      </c>
      <c r="H94" s="172">
        <v>-9.15779025945085E-8</v>
      </c>
      <c r="I94" s="172">
        <v>-1.7035492483330501E-7</v>
      </c>
      <c r="J94" s="172">
        <v>-1.1779561646107999E-6</v>
      </c>
      <c r="K94" s="172">
        <v>33176141.944640499</v>
      </c>
      <c r="L94" s="172">
        <v>-37466528.921493702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3611432.9011810198</v>
      </c>
      <c r="H95" s="172">
        <v>-9.2362483883334803E-8</v>
      </c>
      <c r="I95" s="172">
        <v>-1.70093983342667E-7</v>
      </c>
      <c r="J95" s="172">
        <v>-1.1665561032714301E-6</v>
      </c>
      <c r="K95" s="172">
        <v>33845688.491197802</v>
      </c>
      <c r="L95" s="172">
        <v>-38530218.733750701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-6.0251068134675702E-7</v>
      </c>
      <c r="H96" s="172">
        <v>-114885.85252365201</v>
      </c>
      <c r="I96" s="172">
        <v>-6063.9455365374597</v>
      </c>
      <c r="J96" s="172">
        <v>1107411.3358127</v>
      </c>
      <c r="K96" s="172">
        <v>104672.97148760399</v>
      </c>
      <c r="L96" s="172">
        <v>-1980112.4872171199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-6.01946567257983E-7</v>
      </c>
      <c r="H97" s="172">
        <v>-114885.852523651</v>
      </c>
      <c r="I97" s="172">
        <v>-6063.9455365375698</v>
      </c>
      <c r="J97" s="172">
        <v>1107411.33581271</v>
      </c>
      <c r="K97" s="172">
        <v>125896.780865489</v>
      </c>
      <c r="L97" s="172">
        <v>-2382212.9710499202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-5.9091871662530995E-7</v>
      </c>
      <c r="H98" s="172">
        <v>-114885.85252381901</v>
      </c>
      <c r="I98" s="172">
        <v>-6063.9455369463603</v>
      </c>
      <c r="J98" s="172">
        <v>905150.65944703296</v>
      </c>
      <c r="K98" s="172">
        <v>104672.971493808</v>
      </c>
      <c r="L98" s="172">
        <v>-1980112.4872203299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-5.9012904785049603E-7</v>
      </c>
      <c r="H99" s="172">
        <v>-114885.852523818</v>
      </c>
      <c r="I99" s="172">
        <v>-6063.9455369450297</v>
      </c>
      <c r="J99" s="172">
        <v>905150.65944706404</v>
      </c>
      <c r="K99" s="172">
        <v>125896.780873122</v>
      </c>
      <c r="L99" s="172">
        <v>-2382212.9710537102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3.7633071769960198E-8</v>
      </c>
      <c r="H100" s="172">
        <v>-7309.5190393962803</v>
      </c>
      <c r="I100" s="172">
        <v>-111513.14511026999</v>
      </c>
      <c r="J100" s="172">
        <v>-1300519.1840198601</v>
      </c>
      <c r="K100" s="172">
        <v>1922756.66680138</v>
      </c>
      <c r="L100" s="172">
        <v>-126548.178437176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3.6624442145694001E-8</v>
      </c>
      <c r="H101" s="172">
        <v>-7309.5190393953999</v>
      </c>
      <c r="I101" s="172">
        <v>-111513.145110264</v>
      </c>
      <c r="J101" s="172">
        <v>-1300519.18401973</v>
      </c>
      <c r="K101" s="172">
        <v>2313052.6746873101</v>
      </c>
      <c r="L101" s="172">
        <v>-152131.49507503901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2.2752828954253299E-8</v>
      </c>
      <c r="H102" s="172">
        <v>-7309.5190391883398</v>
      </c>
      <c r="I102" s="172">
        <v>-111513.145109762</v>
      </c>
      <c r="J102" s="172">
        <v>-1048307.49820911</v>
      </c>
      <c r="K102" s="172">
        <v>1922756.66679364</v>
      </c>
      <c r="L102" s="172">
        <v>-126548.178433163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2.2045242076274001E-8</v>
      </c>
      <c r="H103" s="172">
        <v>-7309.5190391879296</v>
      </c>
      <c r="I103" s="172">
        <v>-111513.145109757</v>
      </c>
      <c r="J103" s="172">
        <v>-1048307.49820901</v>
      </c>
      <c r="K103" s="172">
        <v>2313052.6746777999</v>
      </c>
      <c r="L103" s="172">
        <v>-152131.495070306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3986391.3174308501</v>
      </c>
      <c r="H104" s="172">
        <v>-4.8923311624093899E-8</v>
      </c>
      <c r="I104" s="172">
        <v>-1.7418189202089699E-7</v>
      </c>
      <c r="J104" s="172">
        <v>-1.64336142916E-6</v>
      </c>
      <c r="K104" s="172">
        <v>37387975.697290502</v>
      </c>
      <c r="L104" s="172">
        <v>-42247320.162875302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4060660.2088286602</v>
      </c>
      <c r="H105" s="172">
        <v>-4.86776343677775E-8</v>
      </c>
      <c r="I105" s="172">
        <v>-1.7420143194612999E-7</v>
      </c>
      <c r="J105" s="172">
        <v>-1.6455433069495499E-6</v>
      </c>
      <c r="K105" s="172">
        <v>38057522.243847802</v>
      </c>
      <c r="L105" s="172">
        <v>-43311009.975132197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-6.0163810644553503E-7</v>
      </c>
      <c r="H106" s="172">
        <v>-118249.4469996</v>
      </c>
      <c r="I106" s="172">
        <v>-6242.7103624008396</v>
      </c>
      <c r="J106" s="172">
        <v>1139873.3752162701</v>
      </c>
      <c r="K106" s="172">
        <v>125896.780865479</v>
      </c>
      <c r="L106" s="172">
        <v>-2382212.9710499099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-6.0274396673776199E-7</v>
      </c>
      <c r="H107" s="172">
        <v>-118249.446999597</v>
      </c>
      <c r="I107" s="172">
        <v>-6242.7103624011197</v>
      </c>
      <c r="J107" s="172">
        <v>1139873.3752162401</v>
      </c>
      <c r="K107" s="172">
        <v>150867.62231507301</v>
      </c>
      <c r="L107" s="172">
        <v>-2855210.7590482798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-5.9191233958699698E-7</v>
      </c>
      <c r="H108" s="172">
        <v>-118249.446999765</v>
      </c>
      <c r="I108" s="172">
        <v>-6242.7103628099503</v>
      </c>
      <c r="J108" s="172">
        <v>931650.90492801997</v>
      </c>
      <c r="K108" s="172">
        <v>125896.780873093</v>
      </c>
      <c r="L108" s="172">
        <v>-2382212.9710536702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-5.92863216297701E-7</v>
      </c>
      <c r="H109" s="172">
        <v>-118249.446999762</v>
      </c>
      <c r="I109" s="172">
        <v>-6242.7103628104696</v>
      </c>
      <c r="J109" s="172">
        <v>931650.90492798504</v>
      </c>
      <c r="K109" s="172">
        <v>150867.622324325</v>
      </c>
      <c r="L109" s="172">
        <v>-2855210.7590526999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2.3187567421700799E-8</v>
      </c>
      <c r="H110" s="172">
        <v>-7544.6305308776</v>
      </c>
      <c r="I110" s="172">
        <v>-114893.248917804</v>
      </c>
      <c r="J110" s="172">
        <v>-1339928.88357314</v>
      </c>
      <c r="K110" s="172">
        <v>2313052.6746871802</v>
      </c>
      <c r="L110" s="172">
        <v>-152131.495074762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2.3211214283946902E-8</v>
      </c>
      <c r="H111" s="172">
        <v>-7544.6305308762703</v>
      </c>
      <c r="I111" s="172">
        <v>-114893.24891780601</v>
      </c>
      <c r="J111" s="172">
        <v>-1339928.8835731901</v>
      </c>
      <c r="K111" s="172">
        <v>2772625.6703583999</v>
      </c>
      <c r="L111" s="172">
        <v>-182310.017198271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1.09412212623283E-8</v>
      </c>
      <c r="H112" s="172">
        <v>-7544.6305306715903</v>
      </c>
      <c r="I112" s="172">
        <v>-114893.248917295</v>
      </c>
      <c r="J112" s="172">
        <v>-1080051.6604566199</v>
      </c>
      <c r="K112" s="172">
        <v>2313052.67467769</v>
      </c>
      <c r="L112" s="172">
        <v>-152131.495070078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1.0858457244467E-8</v>
      </c>
      <c r="H113" s="172">
        <v>-7544.6305306706299</v>
      </c>
      <c r="I113" s="172">
        <v>-114893.248917296</v>
      </c>
      <c r="J113" s="172">
        <v>-1080051.66045665</v>
      </c>
      <c r="K113" s="172">
        <v>2772625.6703468701</v>
      </c>
      <c r="L113" s="172">
        <v>-182310.01719276101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4549371.5938286502</v>
      </c>
      <c r="H114" s="172">
        <v>-4.3826617002196098E-8</v>
      </c>
      <c r="I114" s="172">
        <v>-1.7814346620070899E-7</v>
      </c>
      <c r="J114" s="172">
        <v>-1.7355469026369999E-6</v>
      </c>
      <c r="K114" s="172">
        <v>42681630.016347699</v>
      </c>
      <c r="L114" s="172">
        <v>-48105443.660119303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4631604.0094368299</v>
      </c>
      <c r="H115" s="172">
        <v>-4.2603005567798398E-8</v>
      </c>
      <c r="I115" s="172">
        <v>-1.7821770370574099E-7</v>
      </c>
      <c r="J115" s="172">
        <v>-1.74638989847153E-6</v>
      </c>
      <c r="K115" s="172">
        <v>43426141.609430097</v>
      </c>
      <c r="L115" s="172">
        <v>-49261476.578583203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6" workbookViewId="0">
      <selection activeCell="K444" sqref="K444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2.48155272142669E-2</v>
      </c>
      <c r="F6" s="172">
        <v>2.4289482787527499E-2</v>
      </c>
      <c r="G6" s="172">
        <v>1.0216572922256499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2.5866461140744802E-2</v>
      </c>
      <c r="F7" s="172">
        <v>2.35442973135063E-2</v>
      </c>
      <c r="G7" s="172">
        <v>1.0986295660608401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2.48415752809324E-2</v>
      </c>
      <c r="F8" s="172">
        <v>2.25540520713787E-2</v>
      </c>
      <c r="G8" s="172">
        <v>1.10142404576855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2.32795184833904E-2</v>
      </c>
      <c r="F9" s="172">
        <v>2.1081164615085999E-2</v>
      </c>
      <c r="G9" s="172">
        <v>1.10428047541222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2.1234265200989599E-2</v>
      </c>
      <c r="F10" s="172">
        <v>1.9182219234605301E-2</v>
      </c>
      <c r="G10" s="172">
        <v>1.1069764630091501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1.87802704903774E-2</v>
      </c>
      <c r="F11" s="172">
        <v>1.6924440107436701E-2</v>
      </c>
      <c r="G11" s="172">
        <v>1.10965387162942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1.5989316063427701E-2</v>
      </c>
      <c r="F12" s="172">
        <v>1.4373625500517399E-2</v>
      </c>
      <c r="G12" s="172">
        <v>1.11240661326902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1.29422811342429E-2</v>
      </c>
      <c r="F13" s="172">
        <v>1.1608910469317699E-2</v>
      </c>
      <c r="G13" s="172">
        <v>1.1148575198722701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9.7076698658959196E-3</v>
      </c>
      <c r="F14" s="172">
        <v>8.6960642648131106E-3</v>
      </c>
      <c r="G14" s="172">
        <v>1.11632913123424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6.3462803154746596E-3</v>
      </c>
      <c r="F15" s="172">
        <v>5.68684726442612E-3</v>
      </c>
      <c r="G15" s="172">
        <v>1.1159575807800599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2.9678434685895799E-3</v>
      </c>
      <c r="F16" s="172">
        <v>2.67326764788652E-3</v>
      </c>
      <c r="G16" s="172">
        <v>1.1101931641360101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2.5052595736858502E-2</v>
      </c>
      <c r="F17" s="172">
        <v>2.4760559586230801E-2</v>
      </c>
      <c r="G17" s="172">
        <v>1.01179440834568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3.4888995550033902E-3</v>
      </c>
      <c r="F18" s="172">
        <v>3.1238543667188499E-3</v>
      </c>
      <c r="G18" s="172">
        <v>1.1168573004470601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2.4841488573768E-2</v>
      </c>
      <c r="F19" s="172">
        <v>2.3419376593032601E-2</v>
      </c>
      <c r="G19" s="172">
        <v>1.0607237334045201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2.3761927177914099E-2</v>
      </c>
      <c r="F20" s="172">
        <v>2.2430716904766099E-2</v>
      </c>
      <c r="G20" s="172">
        <v>1.05934764719291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2.21749278839821E-2</v>
      </c>
      <c r="F21" s="172">
        <v>2.0961827997040199E-2</v>
      </c>
      <c r="G21" s="172">
        <v>1.0578718557901201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2.0147924204854201E-2</v>
      </c>
      <c r="F22" s="172">
        <v>1.9070215214485101E-2</v>
      </c>
      <c r="G22" s="172">
        <v>1.05651268107087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1.7751460790609699E-2</v>
      </c>
      <c r="F23" s="172">
        <v>1.6822818397098802E-2</v>
      </c>
      <c r="G23" s="172">
        <v>1.0552013563714799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1.50550366573138E-2</v>
      </c>
      <c r="F24" s="172">
        <v>1.42850801765202E-2</v>
      </c>
      <c r="G24" s="172">
        <v>1.0538993461205199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1.21468675499923E-2</v>
      </c>
      <c r="F25" s="172">
        <v>1.1536203734469201E-2</v>
      </c>
      <c r="G25" s="172">
        <v>1.0529345553857199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9.0999424158102402E-3</v>
      </c>
      <c r="F26" s="172">
        <v>8.6425080699668796E-3</v>
      </c>
      <c r="G26" s="172">
        <v>1.0529284256537701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5.9643608972744103E-3</v>
      </c>
      <c r="F27" s="172">
        <v>5.65461789562882E-3</v>
      </c>
      <c r="G27" s="172">
        <v>1.0547769995007199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2.82849762163691E-3</v>
      </c>
      <c r="F28" s="172">
        <v>2.66228788184123E-3</v>
      </c>
      <c r="G28" s="172">
        <v>1.0624311671661599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2.8612885421225202E-2</v>
      </c>
      <c r="F29" s="172">
        <v>2.8602646054074199E-2</v>
      </c>
      <c r="G29" s="172">
        <v>1.0003579867097501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2.8932804074072799E-2</v>
      </c>
      <c r="F30" s="172">
        <v>2.8123019428606202E-2</v>
      </c>
      <c r="G30" s="172">
        <v>1.02879437065861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2.7953577197345099E-2</v>
      </c>
      <c r="F31" s="172">
        <v>2.69563863261915E-2</v>
      </c>
      <c r="G31" s="172">
        <v>1.0369927504038099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2.6349079665613898E-2</v>
      </c>
      <c r="F32" s="172">
        <v>2.5213931802527598E-2</v>
      </c>
      <c r="G32" s="172">
        <v>1.04502066048154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2.4154114038668802E-2</v>
      </c>
      <c r="F33" s="172">
        <v>2.2950698458279201E-2</v>
      </c>
      <c r="G33" s="172">
        <v>1.05243481293509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2.1459087725333399E-2</v>
      </c>
      <c r="F34" s="172">
        <v>2.0250562084989199E-2</v>
      </c>
      <c r="G34" s="172">
        <v>1.0596786220190899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1.8344420570971898E-2</v>
      </c>
      <c r="F35" s="172">
        <v>1.71917226263077E-2</v>
      </c>
      <c r="G35" s="172">
        <v>1.06704958948676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1.48727772085452E-2</v>
      </c>
      <c r="F36" s="172">
        <v>1.38502693397089E-2</v>
      </c>
      <c r="G36" s="172">
        <v>1.07382584726383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1.1105002998482501E-2</v>
      </c>
      <c r="F37" s="172">
        <v>1.0295296412490801E-2</v>
      </c>
      <c r="G37" s="172">
        <v>1.0786482053114399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7.1292790871252997E-3</v>
      </c>
      <c r="F38" s="172">
        <v>6.6050931290516498E-3</v>
      </c>
      <c r="G38" s="172">
        <v>1.07936087316742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3.15345559949739E-3</v>
      </c>
      <c r="F39" s="172">
        <v>2.9515805405641101E-3</v>
      </c>
      <c r="G39" s="172">
        <v>1.0683955786260499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2.5346177239040001E-2</v>
      </c>
      <c r="F40" s="172">
        <v>2.4082930138870199E-2</v>
      </c>
      <c r="G40" s="172">
        <v>1.05245404495572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3.5141495110815602E-2</v>
      </c>
      <c r="F41" s="172">
        <v>2.84276406442086E-2</v>
      </c>
      <c r="G41" s="172">
        <v>1.23617346759921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3.3984563133673498E-2</v>
      </c>
      <c r="F42" s="172">
        <v>2.7283761037995E-2</v>
      </c>
      <c r="G42" s="172">
        <v>1.24559671543623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3.2062929476387898E-2</v>
      </c>
      <c r="F43" s="172">
        <v>2.5554839777002299E-2</v>
      </c>
      <c r="G43" s="172">
        <v>1.2546715125657899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2.9419957932327601E-2</v>
      </c>
      <c r="F44" s="172">
        <v>2.3291083783734901E-2</v>
      </c>
      <c r="G44" s="172">
        <v>1.2631425057546199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2.6165715817189499E-2</v>
      </c>
      <c r="F45" s="172">
        <v>2.0577427327258799E-2</v>
      </c>
      <c r="G45" s="172">
        <v>1.2715737201281601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2.2397415792783301E-2</v>
      </c>
      <c r="F46" s="172">
        <v>1.7492629298012801E-2</v>
      </c>
      <c r="G46" s="172">
        <v>1.28039161015821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1.8191965720549499E-2</v>
      </c>
      <c r="F47" s="172">
        <v>1.41108641994408E-2</v>
      </c>
      <c r="G47" s="172">
        <v>1.2892169794441399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1.36220404762651E-2</v>
      </c>
      <c r="F48" s="172">
        <v>1.04995756186452E-2</v>
      </c>
      <c r="G48" s="172">
        <v>1.2973896251649399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8.7893190365742196E-3</v>
      </c>
      <c r="F49" s="172">
        <v>6.7382531433792803E-3</v>
      </c>
      <c r="G49" s="172">
        <v>1.30439133845991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3.9330692501593004E-3</v>
      </c>
      <c r="F50" s="172">
        <v>3.00491754190407E-3</v>
      </c>
      <c r="G50" s="172">
        <v>1.3088775965769499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1.2597169005468399E-3</v>
      </c>
      <c r="F51" s="172">
        <v>1.24513664590905E-3</v>
      </c>
      <c r="G51" s="172">
        <v>1.01170976268805</v>
      </c>
    </row>
    <row r="52" spans="2:7" hidden="1" x14ac:dyDescent="0.3">
      <c r="B52" s="172" t="s">
        <v>189</v>
      </c>
      <c r="C52" s="172" t="s">
        <v>246</v>
      </c>
      <c r="D52" s="172" t="s">
        <v>221</v>
      </c>
      <c r="E52" s="172">
        <v>4.7509392811553598E-4</v>
      </c>
      <c r="F52" s="172">
        <v>4.5686860981830499E-4</v>
      </c>
      <c r="G52" s="172">
        <v>1.0398918155144901</v>
      </c>
    </row>
    <row r="53" spans="2:7" hidden="1" x14ac:dyDescent="0.3">
      <c r="B53" s="172" t="s">
        <v>187</v>
      </c>
      <c r="C53" s="172" t="s">
        <v>246</v>
      </c>
      <c r="D53" s="172" t="s">
        <v>218</v>
      </c>
      <c r="E53" s="172">
        <v>8.8620325264278496E-4</v>
      </c>
      <c r="F53" s="172">
        <v>8.1118211079369E-4</v>
      </c>
      <c r="G53" s="172">
        <v>1.0924837232612199</v>
      </c>
    </row>
    <row r="54" spans="2:7" hidden="1" x14ac:dyDescent="0.3">
      <c r="B54" s="172" t="s">
        <v>187</v>
      </c>
      <c r="C54" s="172" t="s">
        <v>246</v>
      </c>
      <c r="D54" s="172" t="s">
        <v>221</v>
      </c>
      <c r="E54" s="172">
        <v>4.1945724975633099E-4</v>
      </c>
      <c r="F54" s="172">
        <v>3.2469370215747401E-4</v>
      </c>
      <c r="G54" s="172">
        <v>1.29185520682781</v>
      </c>
    </row>
    <row r="55" spans="2:7" hidden="1" x14ac:dyDescent="0.3">
      <c r="B55" s="172" t="s">
        <v>185</v>
      </c>
      <c r="C55" s="172" t="s">
        <v>246</v>
      </c>
      <c r="D55" s="172" t="s">
        <v>218</v>
      </c>
      <c r="E55" s="172">
        <v>7.3007355597481103E-4</v>
      </c>
      <c r="F55" s="172">
        <v>6.5364025335363097E-4</v>
      </c>
      <c r="G55" s="172">
        <v>1.1169348157935901</v>
      </c>
    </row>
    <row r="56" spans="2:7" hidden="1" x14ac:dyDescent="0.3">
      <c r="B56" s="172" t="s">
        <v>185</v>
      </c>
      <c r="C56" s="172" t="s">
        <v>246</v>
      </c>
      <c r="D56" s="172" t="s">
        <v>221</v>
      </c>
      <c r="E56" s="172">
        <v>3.8361807593114599E-4</v>
      </c>
      <c r="F56" s="172">
        <v>2.8707074630439101E-4</v>
      </c>
      <c r="G56" s="172">
        <v>1.33631894182761</v>
      </c>
    </row>
    <row r="57" spans="2:7" hidden="1" x14ac:dyDescent="0.3">
      <c r="B57" s="172" t="s">
        <v>183</v>
      </c>
      <c r="C57" s="172" t="s">
        <v>246</v>
      </c>
      <c r="D57" s="172" t="s">
        <v>218</v>
      </c>
      <c r="E57" s="172">
        <v>5.5598226346784401E-4</v>
      </c>
      <c r="F57" s="172">
        <v>4.85222324758524E-4</v>
      </c>
      <c r="G57" s="172">
        <v>1.1458299321749801</v>
      </c>
    </row>
    <row r="58" spans="2:7" hidden="1" x14ac:dyDescent="0.3">
      <c r="B58" s="172" t="s">
        <v>183</v>
      </c>
      <c r="C58" s="172" t="s">
        <v>246</v>
      </c>
      <c r="D58" s="172" t="s">
        <v>221</v>
      </c>
      <c r="E58" s="172">
        <v>3.3333442472584099E-4</v>
      </c>
      <c r="F58" s="172">
        <v>2.4395344951406799E-4</v>
      </c>
      <c r="G58" s="172">
        <v>1.3663853714297201</v>
      </c>
    </row>
    <row r="59" spans="2:7" hidden="1" x14ac:dyDescent="0.3">
      <c r="B59" s="172" t="s">
        <v>181</v>
      </c>
      <c r="C59" s="172" t="s">
        <v>246</v>
      </c>
      <c r="D59" s="172" t="s">
        <v>218</v>
      </c>
      <c r="E59" s="172">
        <v>3.92751763935629E-4</v>
      </c>
      <c r="F59" s="172">
        <v>3.2786103132423101E-4</v>
      </c>
      <c r="G59" s="172">
        <v>1.19792145577443</v>
      </c>
    </row>
    <row r="60" spans="2:7" hidden="1" x14ac:dyDescent="0.3">
      <c r="B60" s="172" t="s">
        <v>181</v>
      </c>
      <c r="C60" s="172" t="s">
        <v>246</v>
      </c>
      <c r="D60" s="172" t="s">
        <v>221</v>
      </c>
      <c r="E60" s="172">
        <v>2.8479192726179399E-4</v>
      </c>
      <c r="F60" s="172">
        <v>2.0282468606844901E-4</v>
      </c>
      <c r="G60" s="172">
        <v>1.40412852489604</v>
      </c>
    </row>
    <row r="61" spans="2:7" hidden="1" x14ac:dyDescent="0.3">
      <c r="B61" s="172" t="s">
        <v>179</v>
      </c>
      <c r="C61" s="172" t="s">
        <v>246</v>
      </c>
      <c r="D61" s="172" t="s">
        <v>218</v>
      </c>
      <c r="E61" s="172">
        <v>2.4286938038410301E-4</v>
      </c>
      <c r="F61" s="172">
        <v>1.8443849617489201E-4</v>
      </c>
      <c r="G61" s="172">
        <v>1.3168041673567199</v>
      </c>
    </row>
    <row r="62" spans="2:7" hidden="1" x14ac:dyDescent="0.3">
      <c r="B62" s="172" t="s">
        <v>179</v>
      </c>
      <c r="C62" s="172" t="s">
        <v>246</v>
      </c>
      <c r="D62" s="172" t="s">
        <v>221</v>
      </c>
      <c r="E62" s="172">
        <v>2.38063826312527E-4</v>
      </c>
      <c r="F62" s="172">
        <v>1.64256393627207E-4</v>
      </c>
      <c r="G62" s="172">
        <v>1.4493428295572599</v>
      </c>
    </row>
    <row r="63" spans="2:7" hidden="1" x14ac:dyDescent="0.3">
      <c r="B63" s="172" t="s">
        <v>39</v>
      </c>
      <c r="C63" s="172" t="s">
        <v>246</v>
      </c>
      <c r="D63" s="172" t="s">
        <v>218</v>
      </c>
      <c r="E63" s="172">
        <v>1.10768226439408E-4</v>
      </c>
      <c r="F63" s="172">
        <v>5.9441546973859301E-5</v>
      </c>
      <c r="G63" s="172">
        <v>1.8634815558908699</v>
      </c>
    </row>
    <row r="64" spans="2:7" hidden="1" x14ac:dyDescent="0.3">
      <c r="B64" s="172" t="s">
        <v>39</v>
      </c>
      <c r="C64" s="172" t="s">
        <v>246</v>
      </c>
      <c r="D64" s="172" t="s">
        <v>221</v>
      </c>
      <c r="E64" s="172">
        <v>1.9350344937163201E-4</v>
      </c>
      <c r="F64" s="172">
        <v>1.2866974899409801E-4</v>
      </c>
      <c r="G64" s="172">
        <v>1.5038767922094001</v>
      </c>
    </row>
    <row r="65" spans="2:7" hidden="1" x14ac:dyDescent="0.3">
      <c r="B65" s="172" t="s">
        <v>26</v>
      </c>
      <c r="C65" s="172" t="s">
        <v>246</v>
      </c>
      <c r="D65" s="172" t="s">
        <v>218</v>
      </c>
      <c r="E65" s="172">
        <v>7.9864248138921499E-5</v>
      </c>
      <c r="F65" s="172">
        <v>3.8695863989447499E-5</v>
      </c>
      <c r="G65" s="172">
        <v>2.0638962386445399</v>
      </c>
    </row>
    <row r="66" spans="2:7" hidden="1" x14ac:dyDescent="0.3">
      <c r="B66" s="172" t="s">
        <v>26</v>
      </c>
      <c r="C66" s="172" t="s">
        <v>246</v>
      </c>
      <c r="D66" s="172" t="s">
        <v>221</v>
      </c>
      <c r="E66" s="172">
        <v>1.46291223189519E-4</v>
      </c>
      <c r="F66" s="172">
        <v>9.4289053737551902E-5</v>
      </c>
      <c r="G66" s="172">
        <v>1.5515186269311001</v>
      </c>
    </row>
    <row r="67" spans="2:7" hidden="1" x14ac:dyDescent="0.3">
      <c r="B67" s="172" t="s">
        <v>25</v>
      </c>
      <c r="C67" s="172" t="s">
        <v>246</v>
      </c>
      <c r="D67" s="172" t="s">
        <v>218</v>
      </c>
      <c r="E67" s="172">
        <v>1.37897030046564E-4</v>
      </c>
      <c r="F67" s="172">
        <v>1.04067671467761E-4</v>
      </c>
      <c r="G67" s="172">
        <v>1.3250707746380399</v>
      </c>
    </row>
    <row r="68" spans="2:7" hidden="1" x14ac:dyDescent="0.3">
      <c r="B68" s="172" t="s">
        <v>25</v>
      </c>
      <c r="C68" s="172" t="s">
        <v>246</v>
      </c>
      <c r="D68" s="172" t="s">
        <v>221</v>
      </c>
      <c r="E68" s="172">
        <v>1.0923190104059799E-4</v>
      </c>
      <c r="F68" s="172">
        <v>6.65000796779002E-5</v>
      </c>
      <c r="G68" s="172">
        <v>1.6425830099704199</v>
      </c>
    </row>
    <row r="69" spans="2:7" hidden="1" x14ac:dyDescent="0.3">
      <c r="B69" s="172" t="s">
        <v>24</v>
      </c>
      <c r="C69" s="172" t="s">
        <v>246</v>
      </c>
      <c r="D69" s="172" t="s">
        <v>218</v>
      </c>
      <c r="E69" s="172">
        <v>1.5997840528238699E-4</v>
      </c>
      <c r="F69" s="172">
        <v>1.3299981464048001E-4</v>
      </c>
      <c r="G69" s="172">
        <v>1.20284682888344</v>
      </c>
    </row>
    <row r="70" spans="2:7" hidden="1" x14ac:dyDescent="0.3">
      <c r="B70" s="172" t="s">
        <v>24</v>
      </c>
      <c r="C70" s="172" t="s">
        <v>246</v>
      </c>
      <c r="D70" s="172" t="s">
        <v>221</v>
      </c>
      <c r="E70" s="172">
        <v>7.8715364632183396E-5</v>
      </c>
      <c r="F70" s="172">
        <v>4.46371448739858E-5</v>
      </c>
      <c r="G70" s="172">
        <v>1.7634498096686799</v>
      </c>
    </row>
    <row r="71" spans="2:7" hidden="1" x14ac:dyDescent="0.3">
      <c r="B71" s="172" t="s">
        <v>22</v>
      </c>
      <c r="C71" s="172" t="s">
        <v>246</v>
      </c>
      <c r="D71" s="172" t="s">
        <v>218</v>
      </c>
      <c r="E71" s="172">
        <v>1.2340677280782999E-4</v>
      </c>
      <c r="F71" s="172">
        <v>1.0413847629858E-4</v>
      </c>
      <c r="G71" s="172">
        <v>1.1850257195429399</v>
      </c>
    </row>
    <row r="72" spans="2:7" hidden="1" x14ac:dyDescent="0.3">
      <c r="B72" s="172" t="s">
        <v>22</v>
      </c>
      <c r="C72" s="172" t="s">
        <v>246</v>
      </c>
      <c r="D72" s="172" t="s">
        <v>221</v>
      </c>
      <c r="E72" s="172">
        <v>5.0841200406222999E-5</v>
      </c>
      <c r="F72" s="172">
        <v>2.65022995524334E-5</v>
      </c>
      <c r="G72" s="172">
        <v>1.9183693968003199</v>
      </c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2.48155272142669E-2</v>
      </c>
      <c r="F138" s="172">
        <v>2.4289482787527499E-2</v>
      </c>
      <c r="G138" s="172">
        <v>1.0216572922256499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2.5866461140744802E-2</v>
      </c>
      <c r="F139" s="172">
        <v>2.35442973135063E-2</v>
      </c>
      <c r="G139" s="172">
        <v>1.0986295660608401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2.48415752809324E-2</v>
      </c>
      <c r="F140" s="172">
        <v>2.25540520713787E-2</v>
      </c>
      <c r="G140" s="172">
        <v>1.10142404576855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2.32795184833904E-2</v>
      </c>
      <c r="F141" s="172">
        <v>2.1081164615085999E-2</v>
      </c>
      <c r="G141" s="172">
        <v>1.10428047541222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2.1234265200989599E-2</v>
      </c>
      <c r="F142" s="172">
        <v>1.9182219234605301E-2</v>
      </c>
      <c r="G142" s="172">
        <v>1.1069764630091501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1.87802704903774E-2</v>
      </c>
      <c r="F143" s="172">
        <v>1.6924440107436701E-2</v>
      </c>
      <c r="G143" s="172">
        <v>1.10965387162942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1.5989316063427701E-2</v>
      </c>
      <c r="F144" s="172">
        <v>1.4373625500517399E-2</v>
      </c>
      <c r="G144" s="172">
        <v>1.11240661326902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1.29422811342429E-2</v>
      </c>
      <c r="F145" s="172">
        <v>1.1608910469317699E-2</v>
      </c>
      <c r="G145" s="172">
        <v>1.1148575198722701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9.7076698658959196E-3</v>
      </c>
      <c r="F146" s="172">
        <v>8.6960642648131106E-3</v>
      </c>
      <c r="G146" s="172">
        <v>1.11632913123424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6.3462803154746596E-3</v>
      </c>
      <c r="F147" s="172">
        <v>5.68684726442612E-3</v>
      </c>
      <c r="G147" s="172">
        <v>1.1159575807800599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2.9678434685895799E-3</v>
      </c>
      <c r="F148" s="172">
        <v>2.67326764788652E-3</v>
      </c>
      <c r="G148" s="172">
        <v>1.1101931641360101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2.5052595736858502E-2</v>
      </c>
      <c r="F149" s="172">
        <v>2.4760559586230801E-2</v>
      </c>
      <c r="G149" s="172">
        <v>1.01179440834568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3.4888995550033902E-3</v>
      </c>
      <c r="F150" s="172">
        <v>3.1238543667188499E-3</v>
      </c>
      <c r="G150" s="172">
        <v>1.1168573004470601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2.4841488573768E-2</v>
      </c>
      <c r="F151" s="172">
        <v>2.3419376593032601E-2</v>
      </c>
      <c r="G151" s="172">
        <v>1.0607237334045201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2.3761927177914099E-2</v>
      </c>
      <c r="F152" s="172">
        <v>2.2430716904766099E-2</v>
      </c>
      <c r="G152" s="172">
        <v>1.05934764719291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2.21749278839821E-2</v>
      </c>
      <c r="F153" s="172">
        <v>2.0961827997040199E-2</v>
      </c>
      <c r="G153" s="172">
        <v>1.0578718557901201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2.0147924204854201E-2</v>
      </c>
      <c r="F154" s="172">
        <v>1.9070215214485101E-2</v>
      </c>
      <c r="G154" s="172">
        <v>1.05651268107087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1.7751460790609699E-2</v>
      </c>
      <c r="F155" s="172">
        <v>1.6822818397098802E-2</v>
      </c>
      <c r="G155" s="172">
        <v>1.0552013563714799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1.50550366573138E-2</v>
      </c>
      <c r="F156" s="172">
        <v>1.42850801765202E-2</v>
      </c>
      <c r="G156" s="172">
        <v>1.0538993461205199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1.21468675499923E-2</v>
      </c>
      <c r="F157" s="172">
        <v>1.1536203734469201E-2</v>
      </c>
      <c r="G157" s="172">
        <v>1.0529345553857199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9.0999424158102402E-3</v>
      </c>
      <c r="F158" s="172">
        <v>8.6425080699668796E-3</v>
      </c>
      <c r="G158" s="172">
        <v>1.0529284256537701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5.9643608972744103E-3</v>
      </c>
      <c r="F159" s="172">
        <v>5.65461789562882E-3</v>
      </c>
      <c r="G159" s="172">
        <v>1.0547769995007199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2.82849762163691E-3</v>
      </c>
      <c r="F160" s="172">
        <v>2.66228788184123E-3</v>
      </c>
      <c r="G160" s="172">
        <v>1.0624311671661599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2.8612885421225202E-2</v>
      </c>
      <c r="F161" s="172">
        <v>2.8602646054074199E-2</v>
      </c>
      <c r="G161" s="172">
        <v>1.0003579867097501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2.8932804074072799E-2</v>
      </c>
      <c r="F162" s="172">
        <v>2.8123019428606202E-2</v>
      </c>
      <c r="G162" s="172">
        <v>1.02879437065861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2.7953577197345099E-2</v>
      </c>
      <c r="F163" s="172">
        <v>2.69563863261915E-2</v>
      </c>
      <c r="G163" s="172">
        <v>1.0369927504038099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2.6349079665613898E-2</v>
      </c>
      <c r="F164" s="172">
        <v>2.5213931802527598E-2</v>
      </c>
      <c r="G164" s="172">
        <v>1.04502066048154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2.4154114038668802E-2</v>
      </c>
      <c r="F165" s="172">
        <v>2.2950698458279201E-2</v>
      </c>
      <c r="G165" s="172">
        <v>1.05243481293509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2.1459087725333399E-2</v>
      </c>
      <c r="F166" s="172">
        <v>2.0250562084989199E-2</v>
      </c>
      <c r="G166" s="172">
        <v>1.0596786220190899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1.8344420570971898E-2</v>
      </c>
      <c r="F167" s="172">
        <v>1.71917226263077E-2</v>
      </c>
      <c r="G167" s="172">
        <v>1.06704958948676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1.48727772085452E-2</v>
      </c>
      <c r="F168" s="172">
        <v>1.38502693397089E-2</v>
      </c>
      <c r="G168" s="172">
        <v>1.07382584726383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1.1105002998482501E-2</v>
      </c>
      <c r="F169" s="172">
        <v>1.0295296412490801E-2</v>
      </c>
      <c r="G169" s="172">
        <v>1.0786482053114399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7.1292790871252997E-3</v>
      </c>
      <c r="F170" s="172">
        <v>6.6050931290516498E-3</v>
      </c>
      <c r="G170" s="172">
        <v>1.07936087316742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3.15345559949739E-3</v>
      </c>
      <c r="F171" s="172">
        <v>2.9515805405641101E-3</v>
      </c>
      <c r="G171" s="172">
        <v>1.0683955786260499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2.5346177239040001E-2</v>
      </c>
      <c r="F172" s="172">
        <v>2.4082930138870199E-2</v>
      </c>
      <c r="G172" s="172">
        <v>1.05245404495572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3.5141495110815602E-2</v>
      </c>
      <c r="F173" s="172">
        <v>2.84276406442086E-2</v>
      </c>
      <c r="G173" s="172">
        <v>1.23617346759921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3.3984563133673498E-2</v>
      </c>
      <c r="F174" s="172">
        <v>2.7283761037995E-2</v>
      </c>
      <c r="G174" s="172">
        <v>1.24559671543623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3.2062929476387898E-2</v>
      </c>
      <c r="F175" s="172">
        <v>2.5554839777002299E-2</v>
      </c>
      <c r="G175" s="172">
        <v>1.2546715125657899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2.9419957932327601E-2</v>
      </c>
      <c r="F176" s="172">
        <v>2.3291083783734901E-2</v>
      </c>
      <c r="G176" s="172">
        <v>1.2631425057546199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2.6165715817189499E-2</v>
      </c>
      <c r="F177" s="172">
        <v>2.0577427327258799E-2</v>
      </c>
      <c r="G177" s="172">
        <v>1.2715737201281601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2.2397415792783301E-2</v>
      </c>
      <c r="F178" s="172">
        <v>1.7492629298012801E-2</v>
      </c>
      <c r="G178" s="172">
        <v>1.28039161015821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1.8191965720549499E-2</v>
      </c>
      <c r="F179" s="172">
        <v>1.41108641994408E-2</v>
      </c>
      <c r="G179" s="172">
        <v>1.2892169794441399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1.36220404762651E-2</v>
      </c>
      <c r="F180" s="172">
        <v>1.04995756186452E-2</v>
      </c>
      <c r="G180" s="172">
        <v>1.2973896251649399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8.7893190365742196E-3</v>
      </c>
      <c r="F181" s="172">
        <v>6.7382531433792803E-3</v>
      </c>
      <c r="G181" s="172">
        <v>1.30439133845991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3.9330692501593004E-3</v>
      </c>
      <c r="F182" s="172">
        <v>3.00491754190407E-3</v>
      </c>
      <c r="G182" s="172">
        <v>1.3088775965769499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1.2597169005468399E-3</v>
      </c>
      <c r="F183" s="172">
        <v>1.24513664590905E-3</v>
      </c>
      <c r="G183" s="172">
        <v>1.01170976268805</v>
      </c>
    </row>
    <row r="184" spans="2:7" hidden="1" x14ac:dyDescent="0.3">
      <c r="B184" s="172" t="s">
        <v>189</v>
      </c>
      <c r="C184" s="172" t="s">
        <v>246</v>
      </c>
      <c r="D184" s="172" t="s">
        <v>221</v>
      </c>
      <c r="E184" s="172">
        <v>4.7509392811553598E-4</v>
      </c>
      <c r="F184" s="172">
        <v>4.5686860981830499E-4</v>
      </c>
      <c r="G184" s="172">
        <v>1.0398918155144901</v>
      </c>
    </row>
    <row r="185" spans="2:7" hidden="1" x14ac:dyDescent="0.3">
      <c r="B185" s="172" t="s">
        <v>187</v>
      </c>
      <c r="C185" s="172" t="s">
        <v>246</v>
      </c>
      <c r="D185" s="172" t="s">
        <v>218</v>
      </c>
      <c r="E185" s="172">
        <v>8.8620325264278496E-4</v>
      </c>
      <c r="F185" s="172">
        <v>8.1118211079369E-4</v>
      </c>
      <c r="G185" s="172">
        <v>1.0924837232612199</v>
      </c>
    </row>
    <row r="186" spans="2:7" hidden="1" x14ac:dyDescent="0.3">
      <c r="B186" s="172" t="s">
        <v>187</v>
      </c>
      <c r="C186" s="172" t="s">
        <v>246</v>
      </c>
      <c r="D186" s="172" t="s">
        <v>221</v>
      </c>
      <c r="E186" s="172">
        <v>4.1945724975633099E-4</v>
      </c>
      <c r="F186" s="172">
        <v>3.2469370215747401E-4</v>
      </c>
      <c r="G186" s="172">
        <v>1.29185520682781</v>
      </c>
    </row>
    <row r="187" spans="2:7" hidden="1" x14ac:dyDescent="0.3">
      <c r="B187" s="172" t="s">
        <v>185</v>
      </c>
      <c r="C187" s="172" t="s">
        <v>246</v>
      </c>
      <c r="D187" s="172" t="s">
        <v>218</v>
      </c>
      <c r="E187" s="172">
        <v>7.3007355597481103E-4</v>
      </c>
      <c r="F187" s="172">
        <v>6.5364025335363097E-4</v>
      </c>
      <c r="G187" s="172">
        <v>1.1169348157935901</v>
      </c>
    </row>
    <row r="188" spans="2:7" hidden="1" x14ac:dyDescent="0.3">
      <c r="B188" s="172" t="s">
        <v>185</v>
      </c>
      <c r="C188" s="172" t="s">
        <v>246</v>
      </c>
      <c r="D188" s="172" t="s">
        <v>221</v>
      </c>
      <c r="E188" s="172">
        <v>3.8361807593114599E-4</v>
      </c>
      <c r="F188" s="172">
        <v>2.8707074630439101E-4</v>
      </c>
      <c r="G188" s="172">
        <v>1.33631894182761</v>
      </c>
    </row>
    <row r="189" spans="2:7" hidden="1" x14ac:dyDescent="0.3">
      <c r="B189" s="172" t="s">
        <v>183</v>
      </c>
      <c r="C189" s="172" t="s">
        <v>246</v>
      </c>
      <c r="D189" s="172" t="s">
        <v>218</v>
      </c>
      <c r="E189" s="172">
        <v>5.5598226346784401E-4</v>
      </c>
      <c r="F189" s="172">
        <v>4.85222324758524E-4</v>
      </c>
      <c r="G189" s="172">
        <v>1.1458299321749801</v>
      </c>
    </row>
    <row r="190" spans="2:7" hidden="1" x14ac:dyDescent="0.3">
      <c r="B190" s="172" t="s">
        <v>183</v>
      </c>
      <c r="C190" s="172" t="s">
        <v>246</v>
      </c>
      <c r="D190" s="172" t="s">
        <v>221</v>
      </c>
      <c r="E190" s="172">
        <v>3.3333442472584099E-4</v>
      </c>
      <c r="F190" s="172">
        <v>2.4395344951406799E-4</v>
      </c>
      <c r="G190" s="172">
        <v>1.3663853714297201</v>
      </c>
    </row>
    <row r="191" spans="2:7" hidden="1" x14ac:dyDescent="0.3">
      <c r="B191" s="172" t="s">
        <v>181</v>
      </c>
      <c r="C191" s="172" t="s">
        <v>246</v>
      </c>
      <c r="D191" s="172" t="s">
        <v>218</v>
      </c>
      <c r="E191" s="172">
        <v>3.92751763935629E-4</v>
      </c>
      <c r="F191" s="172">
        <v>3.2786103132423101E-4</v>
      </c>
      <c r="G191" s="172">
        <v>1.19792145577443</v>
      </c>
    </row>
    <row r="192" spans="2:7" hidden="1" x14ac:dyDescent="0.3">
      <c r="B192" s="172" t="s">
        <v>181</v>
      </c>
      <c r="C192" s="172" t="s">
        <v>246</v>
      </c>
      <c r="D192" s="172" t="s">
        <v>221</v>
      </c>
      <c r="E192" s="172">
        <v>2.8479192726179399E-4</v>
      </c>
      <c r="F192" s="172">
        <v>2.0282468606844901E-4</v>
      </c>
      <c r="G192" s="172">
        <v>1.40412852489604</v>
      </c>
    </row>
    <row r="193" spans="2:7" hidden="1" x14ac:dyDescent="0.3">
      <c r="B193" s="172" t="s">
        <v>179</v>
      </c>
      <c r="C193" s="172" t="s">
        <v>246</v>
      </c>
      <c r="D193" s="172" t="s">
        <v>218</v>
      </c>
      <c r="E193" s="172">
        <v>2.4286938038410301E-4</v>
      </c>
      <c r="F193" s="172">
        <v>1.8443849617489201E-4</v>
      </c>
      <c r="G193" s="172">
        <v>1.3168041673567199</v>
      </c>
    </row>
    <row r="194" spans="2:7" hidden="1" x14ac:dyDescent="0.3">
      <c r="B194" s="172" t="s">
        <v>179</v>
      </c>
      <c r="C194" s="172" t="s">
        <v>246</v>
      </c>
      <c r="D194" s="172" t="s">
        <v>221</v>
      </c>
      <c r="E194" s="172">
        <v>2.38063826312527E-4</v>
      </c>
      <c r="F194" s="172">
        <v>1.64256393627207E-4</v>
      </c>
      <c r="G194" s="172">
        <v>1.4493428295572599</v>
      </c>
    </row>
    <row r="195" spans="2:7" hidden="1" x14ac:dyDescent="0.3">
      <c r="B195" s="172" t="s">
        <v>39</v>
      </c>
      <c r="C195" s="172" t="s">
        <v>246</v>
      </c>
      <c r="D195" s="172" t="s">
        <v>218</v>
      </c>
      <c r="E195" s="172">
        <v>1.10768226439408E-4</v>
      </c>
      <c r="F195" s="172">
        <v>5.9441546973859301E-5</v>
      </c>
      <c r="G195" s="172">
        <v>1.8634815558908699</v>
      </c>
    </row>
    <row r="196" spans="2:7" hidden="1" x14ac:dyDescent="0.3">
      <c r="B196" s="172" t="s">
        <v>39</v>
      </c>
      <c r="C196" s="172" t="s">
        <v>246</v>
      </c>
      <c r="D196" s="172" t="s">
        <v>221</v>
      </c>
      <c r="E196" s="172">
        <v>1.9350344937163201E-4</v>
      </c>
      <c r="F196" s="172">
        <v>1.2866974899409801E-4</v>
      </c>
      <c r="G196" s="172">
        <v>1.5038767922094001</v>
      </c>
    </row>
    <row r="197" spans="2:7" hidden="1" x14ac:dyDescent="0.3">
      <c r="B197" s="172" t="s">
        <v>26</v>
      </c>
      <c r="C197" s="172" t="s">
        <v>246</v>
      </c>
      <c r="D197" s="172" t="s">
        <v>218</v>
      </c>
      <c r="E197" s="172">
        <v>7.9864248138921499E-5</v>
      </c>
      <c r="F197" s="172">
        <v>3.8695863989447499E-5</v>
      </c>
      <c r="G197" s="172">
        <v>2.0638962386445399</v>
      </c>
    </row>
    <row r="198" spans="2:7" hidden="1" x14ac:dyDescent="0.3">
      <c r="B198" s="172" t="s">
        <v>26</v>
      </c>
      <c r="C198" s="172" t="s">
        <v>246</v>
      </c>
      <c r="D198" s="172" t="s">
        <v>221</v>
      </c>
      <c r="E198" s="172">
        <v>1.46291223189519E-4</v>
      </c>
      <c r="F198" s="172">
        <v>9.4289053737551902E-5</v>
      </c>
      <c r="G198" s="172">
        <v>1.5515186269311001</v>
      </c>
    </row>
    <row r="199" spans="2:7" hidden="1" x14ac:dyDescent="0.3">
      <c r="B199" s="172" t="s">
        <v>25</v>
      </c>
      <c r="C199" s="172" t="s">
        <v>246</v>
      </c>
      <c r="D199" s="172" t="s">
        <v>218</v>
      </c>
      <c r="E199" s="172">
        <v>1.37897030046564E-4</v>
      </c>
      <c r="F199" s="172">
        <v>1.04067671467761E-4</v>
      </c>
      <c r="G199" s="172">
        <v>1.3250707746380399</v>
      </c>
    </row>
    <row r="200" spans="2:7" hidden="1" x14ac:dyDescent="0.3">
      <c r="B200" s="172" t="s">
        <v>25</v>
      </c>
      <c r="C200" s="172" t="s">
        <v>246</v>
      </c>
      <c r="D200" s="172" t="s">
        <v>221</v>
      </c>
      <c r="E200" s="172">
        <v>1.0923190104059799E-4</v>
      </c>
      <c r="F200" s="172">
        <v>6.65000796779002E-5</v>
      </c>
      <c r="G200" s="172">
        <v>1.6425830099704199</v>
      </c>
    </row>
    <row r="201" spans="2:7" hidden="1" x14ac:dyDescent="0.3">
      <c r="B201" s="172" t="s">
        <v>24</v>
      </c>
      <c r="C201" s="172" t="s">
        <v>246</v>
      </c>
      <c r="D201" s="172" t="s">
        <v>218</v>
      </c>
      <c r="E201" s="172">
        <v>1.5997840528238699E-4</v>
      </c>
      <c r="F201" s="172">
        <v>1.3299981464048001E-4</v>
      </c>
      <c r="G201" s="172">
        <v>1.20284682888344</v>
      </c>
    </row>
    <row r="202" spans="2:7" hidden="1" x14ac:dyDescent="0.3">
      <c r="B202" s="172" t="s">
        <v>24</v>
      </c>
      <c r="C202" s="172" t="s">
        <v>246</v>
      </c>
      <c r="D202" s="172" t="s">
        <v>221</v>
      </c>
      <c r="E202" s="172">
        <v>7.8715364632183396E-5</v>
      </c>
      <c r="F202" s="172">
        <v>4.46371448739858E-5</v>
      </c>
      <c r="G202" s="172">
        <v>1.7634498096686799</v>
      </c>
    </row>
    <row r="203" spans="2:7" hidden="1" x14ac:dyDescent="0.3">
      <c r="B203" s="172" t="s">
        <v>22</v>
      </c>
      <c r="C203" s="172" t="s">
        <v>246</v>
      </c>
      <c r="D203" s="172" t="s">
        <v>218</v>
      </c>
      <c r="E203" s="172">
        <v>1.2340677280782999E-4</v>
      </c>
      <c r="F203" s="172">
        <v>1.0413847629858E-4</v>
      </c>
      <c r="G203" s="172">
        <v>1.1850257195429399</v>
      </c>
    </row>
    <row r="204" spans="2:7" hidden="1" x14ac:dyDescent="0.3">
      <c r="B204" s="172" t="s">
        <v>22</v>
      </c>
      <c r="C204" s="172" t="s">
        <v>246</v>
      </c>
      <c r="D204" s="172" t="s">
        <v>221</v>
      </c>
      <c r="E204" s="172">
        <v>5.0841200406222999E-5</v>
      </c>
      <c r="F204" s="172">
        <v>2.65022995524334E-5</v>
      </c>
      <c r="G204" s="172">
        <v>1.9183693968003199</v>
      </c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2.48155272142669E-2</v>
      </c>
      <c r="F270" s="172">
        <v>2.4289482787527499E-2</v>
      </c>
      <c r="G270" s="172">
        <v>1.0216572922256499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2.5866461140744802E-2</v>
      </c>
      <c r="F271" s="172">
        <v>2.35442973135063E-2</v>
      </c>
      <c r="G271" s="172">
        <v>1.0986295660608401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2.48415752809324E-2</v>
      </c>
      <c r="F272" s="172">
        <v>2.25540520713787E-2</v>
      </c>
      <c r="G272" s="172">
        <v>1.10142404576855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2.32795184833904E-2</v>
      </c>
      <c r="F273" s="172">
        <v>2.1081164615085999E-2</v>
      </c>
      <c r="G273" s="172">
        <v>1.10428047541222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2.1234265200989599E-2</v>
      </c>
      <c r="F274" s="172">
        <v>1.9182219234605301E-2</v>
      </c>
      <c r="G274" s="172">
        <v>1.1069764630091501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1.87802704903774E-2</v>
      </c>
      <c r="F275" s="172">
        <v>1.6924440107436701E-2</v>
      </c>
      <c r="G275" s="172">
        <v>1.10965387162942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1.5989316063427701E-2</v>
      </c>
      <c r="F276" s="172">
        <v>1.4373625500517399E-2</v>
      </c>
      <c r="G276" s="172">
        <v>1.11240661326902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1.29422811342429E-2</v>
      </c>
      <c r="F277" s="172">
        <v>1.1608910469317699E-2</v>
      </c>
      <c r="G277" s="172">
        <v>1.1148575198722701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9.7076698658959196E-3</v>
      </c>
      <c r="F278" s="172">
        <v>8.6960642648131106E-3</v>
      </c>
      <c r="G278" s="172">
        <v>1.11632913123424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6.3462803154746596E-3</v>
      </c>
      <c r="F279" s="172">
        <v>5.68684726442612E-3</v>
      </c>
      <c r="G279" s="172">
        <v>1.1159575807800599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2.9678434685895799E-3</v>
      </c>
      <c r="F280" s="172">
        <v>2.67326764788652E-3</v>
      </c>
      <c r="G280" s="172">
        <v>1.1101931641360101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2.5052595736858502E-2</v>
      </c>
      <c r="F281" s="172">
        <v>2.4760559586230801E-2</v>
      </c>
      <c r="G281" s="172">
        <v>1.01179440834568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3.4888995550033902E-3</v>
      </c>
      <c r="F282" s="172">
        <v>3.1238543667188499E-3</v>
      </c>
      <c r="G282" s="172">
        <v>1.1168573004470601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2.4841488573768E-2</v>
      </c>
      <c r="F283" s="172">
        <v>2.3419376593032601E-2</v>
      </c>
      <c r="G283" s="172">
        <v>1.0607237334045201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2.3761927177914099E-2</v>
      </c>
      <c r="F284" s="172">
        <v>2.2430716904766099E-2</v>
      </c>
      <c r="G284" s="172">
        <v>1.05934764719291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2.21749278839821E-2</v>
      </c>
      <c r="F285" s="172">
        <v>2.0961827997040199E-2</v>
      </c>
      <c r="G285" s="172">
        <v>1.0578718557901201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2.0147924204854201E-2</v>
      </c>
      <c r="F286" s="172">
        <v>1.9070215214485101E-2</v>
      </c>
      <c r="G286" s="172">
        <v>1.05651268107087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1.7751460790609699E-2</v>
      </c>
      <c r="F287" s="172">
        <v>1.6822818397098802E-2</v>
      </c>
      <c r="G287" s="172">
        <v>1.0552013563714799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1.50550366573138E-2</v>
      </c>
      <c r="F288" s="172">
        <v>1.42850801765202E-2</v>
      </c>
      <c r="G288" s="172">
        <v>1.0538993461205199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1.21468675499923E-2</v>
      </c>
      <c r="F289" s="172">
        <v>1.1536203734469201E-2</v>
      </c>
      <c r="G289" s="172">
        <v>1.0529345553857199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9.0999424158102402E-3</v>
      </c>
      <c r="F290" s="172">
        <v>8.6425080699668796E-3</v>
      </c>
      <c r="G290" s="172">
        <v>1.0529284256537701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5.9643608972744103E-3</v>
      </c>
      <c r="F291" s="172">
        <v>5.65461789562882E-3</v>
      </c>
      <c r="G291" s="172">
        <v>1.0547769995007199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2.82849762163691E-3</v>
      </c>
      <c r="F292" s="172">
        <v>2.66228788184123E-3</v>
      </c>
      <c r="G292" s="172">
        <v>1.0624311671661599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2.8612885421225202E-2</v>
      </c>
      <c r="F293" s="172">
        <v>2.8602646054074199E-2</v>
      </c>
      <c r="G293" s="172">
        <v>1.0003579867097501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2.8932804074072799E-2</v>
      </c>
      <c r="F294" s="172">
        <v>2.8123019428606202E-2</v>
      </c>
      <c r="G294" s="172">
        <v>1.02879437065861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2.7953577197345099E-2</v>
      </c>
      <c r="F295" s="172">
        <v>2.69563863261915E-2</v>
      </c>
      <c r="G295" s="172">
        <v>1.0369927504038099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2.6349079665613898E-2</v>
      </c>
      <c r="F296" s="172">
        <v>2.5213931802527598E-2</v>
      </c>
      <c r="G296" s="172">
        <v>1.04502066048154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2.4154114038668802E-2</v>
      </c>
      <c r="F297" s="172">
        <v>2.2950698458279201E-2</v>
      </c>
      <c r="G297" s="172">
        <v>1.05243481293509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2.1459087725333399E-2</v>
      </c>
      <c r="F298" s="172">
        <v>2.0250562084989199E-2</v>
      </c>
      <c r="G298" s="172">
        <v>1.0596786220190899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1.8344420570971898E-2</v>
      </c>
      <c r="F299" s="172">
        <v>1.71917226263077E-2</v>
      </c>
      <c r="G299" s="172">
        <v>1.06704958948676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1.48727772085452E-2</v>
      </c>
      <c r="F300" s="172">
        <v>1.38502693397089E-2</v>
      </c>
      <c r="G300" s="172">
        <v>1.07382584726383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1.1105002998482501E-2</v>
      </c>
      <c r="F301" s="172">
        <v>1.0295296412490801E-2</v>
      </c>
      <c r="G301" s="172">
        <v>1.0786482053114399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7.1292790871252997E-3</v>
      </c>
      <c r="F302" s="172">
        <v>6.6050931290516498E-3</v>
      </c>
      <c r="G302" s="172">
        <v>1.07936087316742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3.15345559949739E-3</v>
      </c>
      <c r="F303" s="172">
        <v>2.9515805405641101E-3</v>
      </c>
      <c r="G303" s="172">
        <v>1.0683955786260499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2.5346177239040001E-2</v>
      </c>
      <c r="F304" s="172">
        <v>2.4082930138870199E-2</v>
      </c>
      <c r="G304" s="172">
        <v>1.05245404495572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3.5141495110815602E-2</v>
      </c>
      <c r="F305" s="172">
        <v>2.84276406442086E-2</v>
      </c>
      <c r="G305" s="172">
        <v>1.23617346759921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3.3984563133673498E-2</v>
      </c>
      <c r="F306" s="172">
        <v>2.7283761037995E-2</v>
      </c>
      <c r="G306" s="172">
        <v>1.24559671543623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3.2062929476387898E-2</v>
      </c>
      <c r="F307" s="172">
        <v>2.5554839777002299E-2</v>
      </c>
      <c r="G307" s="172">
        <v>1.2546715125657899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2.9419957932327601E-2</v>
      </c>
      <c r="F308" s="172">
        <v>2.3291083783734901E-2</v>
      </c>
      <c r="G308" s="172">
        <v>1.2631425057546199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2.6165715817189499E-2</v>
      </c>
      <c r="F309" s="172">
        <v>2.0577427327258799E-2</v>
      </c>
      <c r="G309" s="172">
        <v>1.2715737201281601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2.2397415792783301E-2</v>
      </c>
      <c r="F310" s="172">
        <v>1.7492629298012801E-2</v>
      </c>
      <c r="G310" s="172">
        <v>1.28039161015821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1.8191965720549499E-2</v>
      </c>
      <c r="F311" s="172">
        <v>1.41108641994408E-2</v>
      </c>
      <c r="G311" s="172">
        <v>1.2892169794441399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1.36220404762651E-2</v>
      </c>
      <c r="F312" s="172">
        <v>1.04995756186452E-2</v>
      </c>
      <c r="G312" s="172">
        <v>1.2973896251649399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8.7893190365742196E-3</v>
      </c>
      <c r="F313" s="172">
        <v>6.7382531433792803E-3</v>
      </c>
      <c r="G313" s="172">
        <v>1.30439133845991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3.9330692501593004E-3</v>
      </c>
      <c r="F314" s="172">
        <v>3.00491754190407E-3</v>
      </c>
      <c r="G314" s="172">
        <v>1.3088775965769499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1.2597169005468399E-3</v>
      </c>
      <c r="F315" s="172">
        <v>1.24513664590905E-3</v>
      </c>
      <c r="G315" s="172">
        <v>1.01170976268805</v>
      </c>
    </row>
    <row r="316" spans="2:7" hidden="1" x14ac:dyDescent="0.3">
      <c r="B316" s="172" t="s">
        <v>189</v>
      </c>
      <c r="C316" s="172" t="s">
        <v>246</v>
      </c>
      <c r="D316" s="172" t="s">
        <v>221</v>
      </c>
      <c r="E316" s="172">
        <v>4.7509392811553598E-4</v>
      </c>
      <c r="F316" s="172">
        <v>4.5686860981830499E-4</v>
      </c>
      <c r="G316" s="172">
        <v>1.0398918155144901</v>
      </c>
    </row>
    <row r="317" spans="2:7" hidden="1" x14ac:dyDescent="0.3">
      <c r="B317" s="172" t="s">
        <v>187</v>
      </c>
      <c r="C317" s="172" t="s">
        <v>246</v>
      </c>
      <c r="D317" s="172" t="s">
        <v>218</v>
      </c>
      <c r="E317" s="172">
        <v>8.8620325264278496E-4</v>
      </c>
      <c r="F317" s="172">
        <v>8.1118211079369E-4</v>
      </c>
      <c r="G317" s="172">
        <v>1.0924837232612199</v>
      </c>
    </row>
    <row r="318" spans="2:7" hidden="1" x14ac:dyDescent="0.3">
      <c r="B318" s="172" t="s">
        <v>187</v>
      </c>
      <c r="C318" s="172" t="s">
        <v>246</v>
      </c>
      <c r="D318" s="172" t="s">
        <v>221</v>
      </c>
      <c r="E318" s="172">
        <v>4.1945724975633099E-4</v>
      </c>
      <c r="F318" s="172">
        <v>3.2469370215747401E-4</v>
      </c>
      <c r="G318" s="172">
        <v>1.29185520682781</v>
      </c>
    </row>
    <row r="319" spans="2:7" hidden="1" x14ac:dyDescent="0.3">
      <c r="B319" s="172" t="s">
        <v>185</v>
      </c>
      <c r="C319" s="172" t="s">
        <v>246</v>
      </c>
      <c r="D319" s="172" t="s">
        <v>218</v>
      </c>
      <c r="E319" s="172">
        <v>7.3007355597481103E-4</v>
      </c>
      <c r="F319" s="172">
        <v>6.5364025335363097E-4</v>
      </c>
      <c r="G319" s="172">
        <v>1.1169348157935901</v>
      </c>
    </row>
    <row r="320" spans="2:7" hidden="1" x14ac:dyDescent="0.3">
      <c r="B320" s="172" t="s">
        <v>185</v>
      </c>
      <c r="C320" s="172" t="s">
        <v>246</v>
      </c>
      <c r="D320" s="172" t="s">
        <v>221</v>
      </c>
      <c r="E320" s="172">
        <v>3.8361807593114599E-4</v>
      </c>
      <c r="F320" s="172">
        <v>2.8707074630439101E-4</v>
      </c>
      <c r="G320" s="172">
        <v>1.33631894182761</v>
      </c>
    </row>
    <row r="321" spans="2:7" hidden="1" x14ac:dyDescent="0.3">
      <c r="B321" s="172" t="s">
        <v>183</v>
      </c>
      <c r="C321" s="172" t="s">
        <v>246</v>
      </c>
      <c r="D321" s="172" t="s">
        <v>218</v>
      </c>
      <c r="E321" s="172">
        <v>5.5598226346784401E-4</v>
      </c>
      <c r="F321" s="172">
        <v>4.85222324758524E-4</v>
      </c>
      <c r="G321" s="172">
        <v>1.1458299321749801</v>
      </c>
    </row>
    <row r="322" spans="2:7" hidden="1" x14ac:dyDescent="0.3">
      <c r="B322" s="172" t="s">
        <v>183</v>
      </c>
      <c r="C322" s="172" t="s">
        <v>246</v>
      </c>
      <c r="D322" s="172" t="s">
        <v>221</v>
      </c>
      <c r="E322" s="172">
        <v>3.3333442472584099E-4</v>
      </c>
      <c r="F322" s="172">
        <v>2.4395344951406799E-4</v>
      </c>
      <c r="G322" s="172">
        <v>1.3663853714297201</v>
      </c>
    </row>
    <row r="323" spans="2:7" hidden="1" x14ac:dyDescent="0.3">
      <c r="B323" s="172" t="s">
        <v>181</v>
      </c>
      <c r="C323" s="172" t="s">
        <v>246</v>
      </c>
      <c r="D323" s="172" t="s">
        <v>218</v>
      </c>
      <c r="E323" s="172">
        <v>3.92751763935629E-4</v>
      </c>
      <c r="F323" s="172">
        <v>3.2786103132423101E-4</v>
      </c>
      <c r="G323" s="172">
        <v>1.19792145577443</v>
      </c>
    </row>
    <row r="324" spans="2:7" hidden="1" x14ac:dyDescent="0.3">
      <c r="B324" s="172" t="s">
        <v>181</v>
      </c>
      <c r="C324" s="172" t="s">
        <v>246</v>
      </c>
      <c r="D324" s="172" t="s">
        <v>221</v>
      </c>
      <c r="E324" s="172">
        <v>2.8479192726179399E-4</v>
      </c>
      <c r="F324" s="172">
        <v>2.0282468606844901E-4</v>
      </c>
      <c r="G324" s="172">
        <v>1.40412852489604</v>
      </c>
    </row>
    <row r="325" spans="2:7" hidden="1" x14ac:dyDescent="0.3">
      <c r="B325" s="172" t="s">
        <v>179</v>
      </c>
      <c r="C325" s="172" t="s">
        <v>246</v>
      </c>
      <c r="D325" s="172" t="s">
        <v>218</v>
      </c>
      <c r="E325" s="172">
        <v>2.4286938038410301E-4</v>
      </c>
      <c r="F325" s="172">
        <v>1.8443849617489201E-4</v>
      </c>
      <c r="G325" s="172">
        <v>1.3168041673567199</v>
      </c>
    </row>
    <row r="326" spans="2:7" hidden="1" x14ac:dyDescent="0.3">
      <c r="B326" s="172" t="s">
        <v>179</v>
      </c>
      <c r="C326" s="172" t="s">
        <v>246</v>
      </c>
      <c r="D326" s="172" t="s">
        <v>221</v>
      </c>
      <c r="E326" s="172">
        <v>2.38063826312527E-4</v>
      </c>
      <c r="F326" s="172">
        <v>1.64256393627207E-4</v>
      </c>
      <c r="G326" s="172">
        <v>1.4493428295572599</v>
      </c>
    </row>
    <row r="327" spans="2:7" hidden="1" x14ac:dyDescent="0.3">
      <c r="B327" s="172" t="s">
        <v>39</v>
      </c>
      <c r="C327" s="172" t="s">
        <v>246</v>
      </c>
      <c r="D327" s="172" t="s">
        <v>218</v>
      </c>
      <c r="E327" s="172">
        <v>1.10768226439408E-4</v>
      </c>
      <c r="F327" s="172">
        <v>5.9441546973859301E-5</v>
      </c>
      <c r="G327" s="172">
        <v>1.8634815558908699</v>
      </c>
    </row>
    <row r="328" spans="2:7" hidden="1" x14ac:dyDescent="0.3">
      <c r="B328" s="172" t="s">
        <v>39</v>
      </c>
      <c r="C328" s="172" t="s">
        <v>246</v>
      </c>
      <c r="D328" s="172" t="s">
        <v>221</v>
      </c>
      <c r="E328" s="172">
        <v>1.9350344937163201E-4</v>
      </c>
      <c r="F328" s="172">
        <v>1.2866974899409801E-4</v>
      </c>
      <c r="G328" s="172">
        <v>1.5038767922094001</v>
      </c>
    </row>
    <row r="329" spans="2:7" hidden="1" x14ac:dyDescent="0.3">
      <c r="B329" s="172" t="s">
        <v>26</v>
      </c>
      <c r="C329" s="172" t="s">
        <v>246</v>
      </c>
      <c r="D329" s="172" t="s">
        <v>218</v>
      </c>
      <c r="E329" s="172">
        <v>7.9864248138921499E-5</v>
      </c>
      <c r="F329" s="172">
        <v>3.8695863989447499E-5</v>
      </c>
      <c r="G329" s="172">
        <v>2.0638962386445399</v>
      </c>
    </row>
    <row r="330" spans="2:7" hidden="1" x14ac:dyDescent="0.3">
      <c r="B330" s="172" t="s">
        <v>26</v>
      </c>
      <c r="C330" s="172" t="s">
        <v>246</v>
      </c>
      <c r="D330" s="172" t="s">
        <v>221</v>
      </c>
      <c r="E330" s="172">
        <v>1.46291223189519E-4</v>
      </c>
      <c r="F330" s="172">
        <v>9.4289053737551902E-5</v>
      </c>
      <c r="G330" s="172">
        <v>1.5515186269311001</v>
      </c>
    </row>
    <row r="331" spans="2:7" hidden="1" x14ac:dyDescent="0.3">
      <c r="B331" s="172" t="s">
        <v>25</v>
      </c>
      <c r="C331" s="172" t="s">
        <v>246</v>
      </c>
      <c r="D331" s="172" t="s">
        <v>218</v>
      </c>
      <c r="E331" s="172">
        <v>1.37897030046564E-4</v>
      </c>
      <c r="F331" s="172">
        <v>1.04067671467761E-4</v>
      </c>
      <c r="G331" s="172">
        <v>1.3250707746380399</v>
      </c>
    </row>
    <row r="332" spans="2:7" hidden="1" x14ac:dyDescent="0.3">
      <c r="B332" s="172" t="s">
        <v>25</v>
      </c>
      <c r="C332" s="172" t="s">
        <v>246</v>
      </c>
      <c r="D332" s="172" t="s">
        <v>221</v>
      </c>
      <c r="E332" s="172">
        <v>1.0923190104059799E-4</v>
      </c>
      <c r="F332" s="172">
        <v>6.65000796779002E-5</v>
      </c>
      <c r="G332" s="172">
        <v>1.6425830099704199</v>
      </c>
    </row>
    <row r="333" spans="2:7" hidden="1" x14ac:dyDescent="0.3">
      <c r="B333" s="172" t="s">
        <v>24</v>
      </c>
      <c r="C333" s="172" t="s">
        <v>246</v>
      </c>
      <c r="D333" s="172" t="s">
        <v>218</v>
      </c>
      <c r="E333" s="172">
        <v>1.5997840528238699E-4</v>
      </c>
      <c r="F333" s="172">
        <v>1.3299981464048001E-4</v>
      </c>
      <c r="G333" s="172">
        <v>1.20284682888344</v>
      </c>
    </row>
    <row r="334" spans="2:7" hidden="1" x14ac:dyDescent="0.3">
      <c r="B334" s="172" t="s">
        <v>24</v>
      </c>
      <c r="C334" s="172" t="s">
        <v>246</v>
      </c>
      <c r="D334" s="172" t="s">
        <v>221</v>
      </c>
      <c r="E334" s="172">
        <v>7.8715364632183396E-5</v>
      </c>
      <c r="F334" s="172">
        <v>4.46371448739858E-5</v>
      </c>
      <c r="G334" s="172">
        <v>1.7634498096686799</v>
      </c>
    </row>
    <row r="335" spans="2:7" hidden="1" x14ac:dyDescent="0.3">
      <c r="B335" s="172" t="s">
        <v>22</v>
      </c>
      <c r="C335" s="172" t="s">
        <v>246</v>
      </c>
      <c r="D335" s="172" t="s">
        <v>218</v>
      </c>
      <c r="E335" s="172">
        <v>1.2340677280782999E-4</v>
      </c>
      <c r="F335" s="172">
        <v>1.0413847629858E-4</v>
      </c>
      <c r="G335" s="172">
        <v>1.1850257195429399</v>
      </c>
    </row>
    <row r="336" spans="2:7" hidden="1" x14ac:dyDescent="0.3">
      <c r="B336" s="172" t="s">
        <v>22</v>
      </c>
      <c r="C336" s="172" t="s">
        <v>246</v>
      </c>
      <c r="D336" s="172" t="s">
        <v>221</v>
      </c>
      <c r="E336" s="172">
        <v>5.0841200406222999E-5</v>
      </c>
      <c r="F336" s="172">
        <v>2.65022995524334E-5</v>
      </c>
      <c r="G336" s="172">
        <v>1.9183693968003199</v>
      </c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2.48155272142669E-2</v>
      </c>
      <c r="F402" s="172">
        <v>2.4289482787527499E-2</v>
      </c>
      <c r="G402" s="172">
        <v>1.0216572922256499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2.5866461140744802E-2</v>
      </c>
      <c r="F403" s="172">
        <v>2.35442973135063E-2</v>
      </c>
      <c r="G403" s="172">
        <v>1.0986295660608401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2.48415752809324E-2</v>
      </c>
      <c r="F404" s="172">
        <v>2.25540520713787E-2</v>
      </c>
      <c r="G404" s="172">
        <v>1.10142404576855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2.32795184833904E-2</v>
      </c>
      <c r="F405" s="172">
        <v>2.1081164615085999E-2</v>
      </c>
      <c r="G405" s="172">
        <v>1.10428047541222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2.1234265200989599E-2</v>
      </c>
      <c r="F406" s="172">
        <v>1.9182219234605301E-2</v>
      </c>
      <c r="G406" s="172">
        <v>1.1069764630091501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1.87802704903774E-2</v>
      </c>
      <c r="F407" s="172">
        <v>1.6924440107436701E-2</v>
      </c>
      <c r="G407" s="172">
        <v>1.10965387162942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1.5989316063427701E-2</v>
      </c>
      <c r="F408" s="172">
        <v>1.4373625500517399E-2</v>
      </c>
      <c r="G408" s="172">
        <v>1.11240661326902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1.29422811342429E-2</v>
      </c>
      <c r="F409" s="172">
        <v>1.1608910469317699E-2</v>
      </c>
      <c r="G409" s="172">
        <v>1.1148575198722701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9.7076698658959196E-3</v>
      </c>
      <c r="F410" s="172">
        <v>8.6960642648131106E-3</v>
      </c>
      <c r="G410" s="172">
        <v>1.11632913123424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6.3462803154746596E-3</v>
      </c>
      <c r="F411" s="172">
        <v>5.68684726442612E-3</v>
      </c>
      <c r="G411" s="172">
        <v>1.1159575807800599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2.9678434685895799E-3</v>
      </c>
      <c r="F412" s="172">
        <v>2.67326764788652E-3</v>
      </c>
      <c r="G412" s="172">
        <v>1.1101931641360101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2.5052595736858502E-2</v>
      </c>
      <c r="F413" s="172">
        <v>2.4760559586230801E-2</v>
      </c>
      <c r="G413" s="172">
        <v>1.01179440834568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3.4888995550033902E-3</v>
      </c>
      <c r="F414" s="172">
        <v>3.1238543667188499E-3</v>
      </c>
      <c r="G414" s="172">
        <v>1.1168573004470601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2.4841488573768E-2</v>
      </c>
      <c r="F415" s="172">
        <v>2.3419376593032601E-2</v>
      </c>
      <c r="G415" s="172">
        <v>1.0607237334045201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2.3761927177914099E-2</v>
      </c>
      <c r="F416" s="172">
        <v>2.2430716904766099E-2</v>
      </c>
      <c r="G416" s="172">
        <v>1.05934764719291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2.21749278839821E-2</v>
      </c>
      <c r="F417" s="172">
        <v>2.0961827997040199E-2</v>
      </c>
      <c r="G417" s="172">
        <v>1.0578718557901201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2.0147924204854201E-2</v>
      </c>
      <c r="F418" s="172">
        <v>1.9070215214485101E-2</v>
      </c>
      <c r="G418" s="172">
        <v>1.05651268107087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1.7751460790609699E-2</v>
      </c>
      <c r="F419" s="172">
        <v>1.6822818397098802E-2</v>
      </c>
      <c r="G419" s="172">
        <v>1.0552013563714799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1.50550366573138E-2</v>
      </c>
      <c r="F420" s="172">
        <v>1.42850801765202E-2</v>
      </c>
      <c r="G420" s="172">
        <v>1.0538993461205199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1.21468675499923E-2</v>
      </c>
      <c r="F421" s="172">
        <v>1.1536203734469201E-2</v>
      </c>
      <c r="G421" s="172">
        <v>1.0529345553857199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9.0999424158102402E-3</v>
      </c>
      <c r="F422" s="172">
        <v>8.6425080699668796E-3</v>
      </c>
      <c r="G422" s="172">
        <v>1.0529284256537701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5.9643608972744103E-3</v>
      </c>
      <c r="F423" s="172">
        <v>5.65461789562882E-3</v>
      </c>
      <c r="G423" s="172">
        <v>1.0547769995007199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2.82849762163691E-3</v>
      </c>
      <c r="F424" s="172">
        <v>2.66228788184123E-3</v>
      </c>
      <c r="G424" s="172">
        <v>1.0624311671661599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2.8612885421225202E-2</v>
      </c>
      <c r="F425" s="172">
        <v>2.8602646054074199E-2</v>
      </c>
      <c r="G425" s="172">
        <v>1.0003579867097501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2.8932804074072799E-2</v>
      </c>
      <c r="F426" s="172">
        <v>2.8123019428606202E-2</v>
      </c>
      <c r="G426" s="172">
        <v>1.02879437065861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2.7953577197345099E-2</v>
      </c>
      <c r="F427" s="172">
        <v>2.69563863261915E-2</v>
      </c>
      <c r="G427" s="172">
        <v>1.0369927504038099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2.6349079665613898E-2</v>
      </c>
      <c r="F428" s="172">
        <v>2.5213931802527598E-2</v>
      </c>
      <c r="G428" s="172">
        <v>1.04502066048154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2.4154114038668802E-2</v>
      </c>
      <c r="F429" s="172">
        <v>2.2950698458279201E-2</v>
      </c>
      <c r="G429" s="172">
        <v>1.05243481293509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2.1459087725333399E-2</v>
      </c>
      <c r="F430" s="172">
        <v>2.0250562084989199E-2</v>
      </c>
      <c r="G430" s="172">
        <v>1.0596786220190899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1.8344420570971898E-2</v>
      </c>
      <c r="F431" s="172">
        <v>1.71917226263077E-2</v>
      </c>
      <c r="G431" s="172">
        <v>1.06704958948676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1.48727772085452E-2</v>
      </c>
      <c r="F432" s="172">
        <v>1.38502693397089E-2</v>
      </c>
      <c r="G432" s="172">
        <v>1.07382584726383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1.1105002998482501E-2</v>
      </c>
      <c r="F433" s="172">
        <v>1.0295296412490801E-2</v>
      </c>
      <c r="G433" s="172">
        <v>1.0786482053114399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7.1292790871252997E-3</v>
      </c>
      <c r="F434" s="172">
        <v>6.6050931290516498E-3</v>
      </c>
      <c r="G434" s="172">
        <v>1.07936087316742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3.15345559949739E-3</v>
      </c>
      <c r="F435" s="172">
        <v>2.9515805405641101E-3</v>
      </c>
      <c r="G435" s="172">
        <v>1.0683955786260499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2.5346177239040001E-2</v>
      </c>
      <c r="F436" s="172">
        <v>2.4082930138870199E-2</v>
      </c>
      <c r="G436" s="172">
        <v>1.05245404495572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3.5141495110815602E-2</v>
      </c>
      <c r="F437" s="172">
        <v>2.84276406442086E-2</v>
      </c>
      <c r="G437" s="172">
        <v>1.23617346759921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3.3984563133673498E-2</v>
      </c>
      <c r="F438" s="172">
        <v>2.7283761037995E-2</v>
      </c>
      <c r="G438" s="172">
        <v>1.24559671543623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3.2062929476387898E-2</v>
      </c>
      <c r="F439" s="172">
        <v>2.5554839777002299E-2</v>
      </c>
      <c r="G439" s="172">
        <v>1.2546715125657899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2.9419957932327601E-2</v>
      </c>
      <c r="F440" s="172">
        <v>2.3291083783734901E-2</v>
      </c>
      <c r="G440" s="172">
        <v>1.2631425057546199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2.6165715817189499E-2</v>
      </c>
      <c r="F441" s="172">
        <v>2.0577427327258799E-2</v>
      </c>
      <c r="G441" s="172">
        <v>1.2715737201281601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2.2397415792783301E-2</v>
      </c>
      <c r="F442" s="172">
        <v>1.7492629298012801E-2</v>
      </c>
      <c r="G442" s="172">
        <v>1.28039161015821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1.8191965720549499E-2</v>
      </c>
      <c r="F443" s="172">
        <v>1.41108641994408E-2</v>
      </c>
      <c r="G443" s="172">
        <v>1.2892169794441399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1.36220404762651E-2</v>
      </c>
      <c r="F444" s="172">
        <v>1.04995756186452E-2</v>
      </c>
      <c r="G444" s="172">
        <v>1.2973896251649399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8.7893190365742196E-3</v>
      </c>
      <c r="F445" s="172">
        <v>6.7382531433792803E-3</v>
      </c>
      <c r="G445" s="172">
        <v>1.30439133845991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3.9330692501593004E-3</v>
      </c>
      <c r="F446" s="172">
        <v>3.00491754190407E-3</v>
      </c>
      <c r="G446" s="172">
        <v>1.3088775965769499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1.2597169005468399E-3</v>
      </c>
      <c r="F447" s="172">
        <v>1.24513664590905E-3</v>
      </c>
      <c r="G447" s="172">
        <v>1.01170976268805</v>
      </c>
    </row>
    <row r="448" spans="2:7" hidden="1" x14ac:dyDescent="0.3">
      <c r="B448" s="172" t="s">
        <v>189</v>
      </c>
      <c r="C448" s="172" t="s">
        <v>246</v>
      </c>
      <c r="D448" s="172" t="s">
        <v>221</v>
      </c>
      <c r="E448" s="172">
        <v>4.7509392811553598E-4</v>
      </c>
      <c r="F448" s="172">
        <v>4.5686860981830499E-4</v>
      </c>
      <c r="G448" s="172">
        <v>1.0398918155144901</v>
      </c>
    </row>
    <row r="449" spans="2:7" hidden="1" x14ac:dyDescent="0.3">
      <c r="B449" s="172" t="s">
        <v>187</v>
      </c>
      <c r="C449" s="172" t="s">
        <v>246</v>
      </c>
      <c r="D449" s="172" t="s">
        <v>218</v>
      </c>
      <c r="E449" s="172">
        <v>8.8620325264278496E-4</v>
      </c>
      <c r="F449" s="172">
        <v>8.1118211079369E-4</v>
      </c>
      <c r="G449" s="172">
        <v>1.0924837232612199</v>
      </c>
    </row>
    <row r="450" spans="2:7" hidden="1" x14ac:dyDescent="0.3">
      <c r="B450" s="172" t="s">
        <v>187</v>
      </c>
      <c r="C450" s="172" t="s">
        <v>246</v>
      </c>
      <c r="D450" s="172" t="s">
        <v>221</v>
      </c>
      <c r="E450" s="172">
        <v>4.1945724975633099E-4</v>
      </c>
      <c r="F450" s="172">
        <v>3.2469370215747401E-4</v>
      </c>
      <c r="G450" s="172">
        <v>1.29185520682781</v>
      </c>
    </row>
    <row r="451" spans="2:7" hidden="1" x14ac:dyDescent="0.3">
      <c r="B451" s="172" t="s">
        <v>185</v>
      </c>
      <c r="C451" s="172" t="s">
        <v>246</v>
      </c>
      <c r="D451" s="172" t="s">
        <v>218</v>
      </c>
      <c r="E451" s="172">
        <v>7.3007355597481103E-4</v>
      </c>
      <c r="F451" s="172">
        <v>6.5364025335363097E-4</v>
      </c>
      <c r="G451" s="172">
        <v>1.1169348157935901</v>
      </c>
    </row>
    <row r="452" spans="2:7" hidden="1" x14ac:dyDescent="0.3">
      <c r="B452" s="172" t="s">
        <v>185</v>
      </c>
      <c r="C452" s="172" t="s">
        <v>246</v>
      </c>
      <c r="D452" s="172" t="s">
        <v>221</v>
      </c>
      <c r="E452" s="172">
        <v>3.8361807593114599E-4</v>
      </c>
      <c r="F452" s="172">
        <v>2.8707074630439101E-4</v>
      </c>
      <c r="G452" s="172">
        <v>1.33631894182761</v>
      </c>
    </row>
    <row r="453" spans="2:7" hidden="1" x14ac:dyDescent="0.3">
      <c r="B453" s="172" t="s">
        <v>183</v>
      </c>
      <c r="C453" s="172" t="s">
        <v>246</v>
      </c>
      <c r="D453" s="172" t="s">
        <v>218</v>
      </c>
      <c r="E453" s="172">
        <v>5.5598226346784401E-4</v>
      </c>
      <c r="F453" s="172">
        <v>4.85222324758524E-4</v>
      </c>
      <c r="G453" s="172">
        <v>1.1458299321749801</v>
      </c>
    </row>
    <row r="454" spans="2:7" hidden="1" x14ac:dyDescent="0.3">
      <c r="B454" s="172" t="s">
        <v>183</v>
      </c>
      <c r="C454" s="172" t="s">
        <v>246</v>
      </c>
      <c r="D454" s="172" t="s">
        <v>221</v>
      </c>
      <c r="E454" s="172">
        <v>3.3333442472584099E-4</v>
      </c>
      <c r="F454" s="172">
        <v>2.4395344951406799E-4</v>
      </c>
      <c r="G454" s="172">
        <v>1.3663853714297201</v>
      </c>
    </row>
    <row r="455" spans="2:7" hidden="1" x14ac:dyDescent="0.3">
      <c r="B455" s="172" t="s">
        <v>181</v>
      </c>
      <c r="C455" s="172" t="s">
        <v>246</v>
      </c>
      <c r="D455" s="172" t="s">
        <v>218</v>
      </c>
      <c r="E455" s="172">
        <v>3.92751763935629E-4</v>
      </c>
      <c r="F455" s="172">
        <v>3.2786103132423101E-4</v>
      </c>
      <c r="G455" s="172">
        <v>1.19792145577443</v>
      </c>
    </row>
    <row r="456" spans="2:7" hidden="1" x14ac:dyDescent="0.3">
      <c r="B456" s="172" t="s">
        <v>181</v>
      </c>
      <c r="C456" s="172" t="s">
        <v>246</v>
      </c>
      <c r="D456" s="172" t="s">
        <v>221</v>
      </c>
      <c r="E456" s="172">
        <v>2.8479192726179399E-4</v>
      </c>
      <c r="F456" s="172">
        <v>2.0282468606844901E-4</v>
      </c>
      <c r="G456" s="172">
        <v>1.40412852489604</v>
      </c>
    </row>
    <row r="457" spans="2:7" hidden="1" x14ac:dyDescent="0.3">
      <c r="B457" s="172" t="s">
        <v>179</v>
      </c>
      <c r="C457" s="172" t="s">
        <v>246</v>
      </c>
      <c r="D457" s="172" t="s">
        <v>218</v>
      </c>
      <c r="E457" s="172">
        <v>2.4286938038410301E-4</v>
      </c>
      <c r="F457" s="172">
        <v>1.8443849617489201E-4</v>
      </c>
      <c r="G457" s="172">
        <v>1.3168041673567199</v>
      </c>
    </row>
    <row r="458" spans="2:7" hidden="1" x14ac:dyDescent="0.3">
      <c r="B458" s="172" t="s">
        <v>179</v>
      </c>
      <c r="C458" s="172" t="s">
        <v>246</v>
      </c>
      <c r="D458" s="172" t="s">
        <v>221</v>
      </c>
      <c r="E458" s="172">
        <v>2.38063826312527E-4</v>
      </c>
      <c r="F458" s="172">
        <v>1.64256393627207E-4</v>
      </c>
      <c r="G458" s="172">
        <v>1.4493428295572599</v>
      </c>
    </row>
    <row r="459" spans="2:7" hidden="1" x14ac:dyDescent="0.3">
      <c r="B459" s="172" t="s">
        <v>39</v>
      </c>
      <c r="C459" s="172" t="s">
        <v>246</v>
      </c>
      <c r="D459" s="172" t="s">
        <v>218</v>
      </c>
      <c r="E459" s="172">
        <v>1.10768226439408E-4</v>
      </c>
      <c r="F459" s="172">
        <v>5.9441546973859301E-5</v>
      </c>
      <c r="G459" s="172">
        <v>1.8634815558908699</v>
      </c>
    </row>
    <row r="460" spans="2:7" hidden="1" x14ac:dyDescent="0.3">
      <c r="B460" s="172" t="s">
        <v>39</v>
      </c>
      <c r="C460" s="172" t="s">
        <v>246</v>
      </c>
      <c r="D460" s="172" t="s">
        <v>221</v>
      </c>
      <c r="E460" s="172">
        <v>1.9350344937163201E-4</v>
      </c>
      <c r="F460" s="172">
        <v>1.2866974899409801E-4</v>
      </c>
      <c r="G460" s="172">
        <v>1.5038767922094001</v>
      </c>
    </row>
    <row r="461" spans="2:7" hidden="1" x14ac:dyDescent="0.3">
      <c r="B461" s="172" t="s">
        <v>26</v>
      </c>
      <c r="C461" s="172" t="s">
        <v>246</v>
      </c>
      <c r="D461" s="172" t="s">
        <v>218</v>
      </c>
      <c r="E461" s="172">
        <v>7.9864248138921499E-5</v>
      </c>
      <c r="F461" s="172">
        <v>3.8695863989447499E-5</v>
      </c>
      <c r="G461" s="172">
        <v>2.0638962386445399</v>
      </c>
    </row>
    <row r="462" spans="2:7" hidden="1" x14ac:dyDescent="0.3">
      <c r="B462" s="172" t="s">
        <v>26</v>
      </c>
      <c r="C462" s="172" t="s">
        <v>246</v>
      </c>
      <c r="D462" s="172" t="s">
        <v>221</v>
      </c>
      <c r="E462" s="172">
        <v>1.46291223189519E-4</v>
      </c>
      <c r="F462" s="172">
        <v>9.4289053737551902E-5</v>
      </c>
      <c r="G462" s="172">
        <v>1.5515186269311001</v>
      </c>
    </row>
    <row r="463" spans="2:7" hidden="1" x14ac:dyDescent="0.3">
      <c r="B463" s="172" t="s">
        <v>25</v>
      </c>
      <c r="C463" s="172" t="s">
        <v>246</v>
      </c>
      <c r="D463" s="172" t="s">
        <v>218</v>
      </c>
      <c r="E463" s="172">
        <v>1.37897030046564E-4</v>
      </c>
      <c r="F463" s="172">
        <v>1.04067671467761E-4</v>
      </c>
      <c r="G463" s="172">
        <v>1.3250707746380399</v>
      </c>
    </row>
    <row r="464" spans="2:7" hidden="1" x14ac:dyDescent="0.3">
      <c r="B464" s="172" t="s">
        <v>25</v>
      </c>
      <c r="C464" s="172" t="s">
        <v>246</v>
      </c>
      <c r="D464" s="172" t="s">
        <v>221</v>
      </c>
      <c r="E464" s="172">
        <v>1.0923190104059799E-4</v>
      </c>
      <c r="F464" s="172">
        <v>6.65000796779002E-5</v>
      </c>
      <c r="G464" s="172">
        <v>1.6425830099704199</v>
      </c>
    </row>
    <row r="465" spans="2:7" hidden="1" x14ac:dyDescent="0.3">
      <c r="B465" s="172" t="s">
        <v>24</v>
      </c>
      <c r="C465" s="172" t="s">
        <v>246</v>
      </c>
      <c r="D465" s="172" t="s">
        <v>218</v>
      </c>
      <c r="E465" s="172">
        <v>1.5997840528238699E-4</v>
      </c>
      <c r="F465" s="172">
        <v>1.3299981464048001E-4</v>
      </c>
      <c r="G465" s="172">
        <v>1.20284682888344</v>
      </c>
    </row>
    <row r="466" spans="2:7" hidden="1" x14ac:dyDescent="0.3">
      <c r="B466" s="172" t="s">
        <v>24</v>
      </c>
      <c r="C466" s="172" t="s">
        <v>246</v>
      </c>
      <c r="D466" s="172" t="s">
        <v>221</v>
      </c>
      <c r="E466" s="172">
        <v>7.8715364632183396E-5</v>
      </c>
      <c r="F466" s="172">
        <v>4.46371448739858E-5</v>
      </c>
      <c r="G466" s="172">
        <v>1.7634498096686799</v>
      </c>
    </row>
    <row r="467" spans="2:7" hidden="1" x14ac:dyDescent="0.3">
      <c r="B467" s="172" t="s">
        <v>22</v>
      </c>
      <c r="C467" s="172" t="s">
        <v>246</v>
      </c>
      <c r="D467" s="172" t="s">
        <v>218</v>
      </c>
      <c r="E467" s="172">
        <v>1.2340677280782999E-4</v>
      </c>
      <c r="F467" s="172">
        <v>1.0413847629858E-4</v>
      </c>
      <c r="G467" s="172">
        <v>1.1850257195429399</v>
      </c>
    </row>
    <row r="468" spans="2:7" hidden="1" x14ac:dyDescent="0.3">
      <c r="B468" s="172" t="s">
        <v>22</v>
      </c>
      <c r="C468" s="172" t="s">
        <v>246</v>
      </c>
      <c r="D468" s="172" t="s">
        <v>221</v>
      </c>
      <c r="E468" s="172">
        <v>5.0841200406222999E-5</v>
      </c>
      <c r="F468" s="172">
        <v>2.65022995524334E-5</v>
      </c>
      <c r="G468" s="172">
        <v>1.9183693968003199</v>
      </c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9" workbookViewId="0">
      <selection activeCell="E406" sqref="E406:E466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3.8300358398619499E-4</v>
      </c>
      <c r="F6" s="172">
        <v>19</v>
      </c>
      <c r="G6" s="172">
        <v>24</v>
      </c>
      <c r="H6" s="172">
        <v>10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3.7466494718556601E-4</v>
      </c>
      <c r="F7" s="172">
        <v>19</v>
      </c>
      <c r="G7" s="172">
        <v>24</v>
      </c>
      <c r="H7" s="172">
        <v>10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221</v>
      </c>
      <c r="E8" s="172">
        <v>4.9294495859436098E-5</v>
      </c>
      <c r="F8" s="172">
        <v>16</v>
      </c>
      <c r="G8" s="172">
        <v>19</v>
      </c>
      <c r="H8" s="172">
        <v>10</v>
      </c>
      <c r="I8" s="172">
        <v>38.5</v>
      </c>
    </row>
    <row r="9" spans="2:9" s="172" customFormat="1" hidden="1" x14ac:dyDescent="0.3">
      <c r="B9" s="172" t="s">
        <v>189</v>
      </c>
      <c r="C9" s="172" t="s">
        <v>81</v>
      </c>
      <c r="D9" s="172" t="s">
        <v>221</v>
      </c>
      <c r="E9" s="172">
        <v>4.33216879361883E-4</v>
      </c>
      <c r="F9" s="172">
        <v>25</v>
      </c>
      <c r="G9" s="172">
        <v>24</v>
      </c>
      <c r="H9" s="172">
        <v>6</v>
      </c>
      <c r="I9" s="172">
        <v>38.5</v>
      </c>
    </row>
    <row r="10" spans="2:9" s="172" customFormat="1" hidden="1" x14ac:dyDescent="0.3">
      <c r="B10" s="172" t="s">
        <v>189</v>
      </c>
      <c r="C10" s="172" t="s">
        <v>82</v>
      </c>
      <c r="D10" s="172" t="s">
        <v>221</v>
      </c>
      <c r="E10" s="172">
        <v>3.6863228703291998E-4</v>
      </c>
      <c r="F10" s="172">
        <v>25</v>
      </c>
      <c r="G10" s="172">
        <v>24</v>
      </c>
      <c r="H10" s="172">
        <v>6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218</v>
      </c>
      <c r="E11" s="172">
        <v>1.50827756967699E-4</v>
      </c>
      <c r="F11" s="172">
        <v>19</v>
      </c>
      <c r="G11" s="172">
        <v>24</v>
      </c>
      <c r="H11" s="172">
        <v>10</v>
      </c>
      <c r="I11" s="172">
        <v>38.5</v>
      </c>
    </row>
    <row r="12" spans="2:9" s="172" customFormat="1" hidden="1" x14ac:dyDescent="0.3">
      <c r="B12" s="172" t="s">
        <v>189</v>
      </c>
      <c r="C12" s="172" t="s">
        <v>246</v>
      </c>
      <c r="D12" s="172" t="s">
        <v>221</v>
      </c>
      <c r="E12" s="172">
        <v>3.1707163286243101E-5</v>
      </c>
      <c r="F12" s="172">
        <v>16</v>
      </c>
      <c r="G12" s="172">
        <v>19</v>
      </c>
      <c r="H12" s="172">
        <v>10</v>
      </c>
      <c r="I12" s="172">
        <v>38.5</v>
      </c>
    </row>
    <row r="13" spans="2:9" s="172" customFormat="1" x14ac:dyDescent="0.3">
      <c r="B13" s="172" t="s">
        <v>187</v>
      </c>
      <c r="C13" s="172" t="s">
        <v>79</v>
      </c>
      <c r="D13" s="172" t="s">
        <v>218</v>
      </c>
      <c r="E13" s="172">
        <v>2.9308493871906601E-4</v>
      </c>
      <c r="F13" s="172">
        <v>85</v>
      </c>
      <c r="G13" s="172">
        <v>19.25</v>
      </c>
      <c r="H13" s="172">
        <v>19.25</v>
      </c>
      <c r="I13" s="172">
        <v>35.5</v>
      </c>
    </row>
    <row r="14" spans="2:9" hidden="1" x14ac:dyDescent="0.3">
      <c r="B14" s="172" t="s">
        <v>187</v>
      </c>
      <c r="C14" s="172" t="s">
        <v>80</v>
      </c>
      <c r="D14" s="172" t="s">
        <v>218</v>
      </c>
      <c r="E14" s="172">
        <v>3.0844611310113098E-4</v>
      </c>
      <c r="F14" s="172">
        <v>76</v>
      </c>
      <c r="G14" s="172">
        <v>19</v>
      </c>
      <c r="H14" s="172">
        <v>0</v>
      </c>
      <c r="I14" s="172">
        <v>35.5</v>
      </c>
    </row>
    <row r="15" spans="2:9" hidden="1" x14ac:dyDescent="0.3">
      <c r="B15" s="172" t="s">
        <v>187</v>
      </c>
      <c r="C15" s="172" t="s">
        <v>81</v>
      </c>
      <c r="D15" s="172" t="s">
        <v>221</v>
      </c>
      <c r="E15" s="172">
        <v>3.8686837945759199E-4</v>
      </c>
      <c r="F15" s="172">
        <v>25</v>
      </c>
      <c r="G15" s="172">
        <v>24</v>
      </c>
      <c r="H15" s="172">
        <v>6</v>
      </c>
      <c r="I15" s="172">
        <v>35.5</v>
      </c>
    </row>
    <row r="16" spans="2:9" hidden="1" x14ac:dyDescent="0.3">
      <c r="B16" s="172" t="s">
        <v>187</v>
      </c>
      <c r="C16" s="172" t="s">
        <v>82</v>
      </c>
      <c r="D16" s="172" t="s">
        <v>221</v>
      </c>
      <c r="E16" s="172">
        <v>3.3055199346917601E-4</v>
      </c>
      <c r="F16" s="172">
        <v>64</v>
      </c>
      <c r="G16" s="172">
        <v>0</v>
      </c>
      <c r="H16" s="172">
        <v>19</v>
      </c>
      <c r="I16" s="172">
        <v>35.5</v>
      </c>
    </row>
    <row r="17" spans="2:9" hidden="1" x14ac:dyDescent="0.3">
      <c r="B17" s="172" t="s">
        <v>187</v>
      </c>
      <c r="C17" s="172" t="s">
        <v>246</v>
      </c>
      <c r="D17" s="172" t="s">
        <v>218</v>
      </c>
      <c r="E17" s="172">
        <v>4.5425963491479701E-5</v>
      </c>
      <c r="F17" s="172">
        <v>85</v>
      </c>
      <c r="G17" s="172">
        <v>19.25</v>
      </c>
      <c r="H17" s="172">
        <v>19.25</v>
      </c>
      <c r="I17" s="172">
        <v>35.5</v>
      </c>
    </row>
    <row r="18" spans="2:9" hidden="1" x14ac:dyDescent="0.3">
      <c r="B18" s="172" t="s">
        <v>187</v>
      </c>
      <c r="C18" s="172" t="s">
        <v>246</v>
      </c>
      <c r="D18" s="172" t="s">
        <v>221</v>
      </c>
      <c r="E18" s="172">
        <v>1.12590679659941E-5</v>
      </c>
      <c r="F18" s="172">
        <v>62</v>
      </c>
      <c r="G18" s="172">
        <v>0</v>
      </c>
      <c r="H18" s="172">
        <v>6</v>
      </c>
      <c r="I18" s="172">
        <v>35.5</v>
      </c>
    </row>
    <row r="19" spans="2:9" x14ac:dyDescent="0.3">
      <c r="B19" s="172" t="s">
        <v>185</v>
      </c>
      <c r="C19" s="172" t="s">
        <v>79</v>
      </c>
      <c r="D19" s="172" t="s">
        <v>218</v>
      </c>
      <c r="E19" s="172">
        <v>4.4697240977473402E-4</v>
      </c>
      <c r="F19" s="172">
        <v>85</v>
      </c>
      <c r="G19" s="172">
        <v>19.25</v>
      </c>
      <c r="H19" s="172">
        <v>19.25</v>
      </c>
      <c r="I19" s="172">
        <v>32</v>
      </c>
    </row>
    <row r="20" spans="2:9" hidden="1" x14ac:dyDescent="0.3">
      <c r="B20" s="172" t="s">
        <v>185</v>
      </c>
      <c r="C20" s="172" t="s">
        <v>80</v>
      </c>
      <c r="D20" s="172" t="s">
        <v>218</v>
      </c>
      <c r="E20" s="172">
        <v>4.5342836969485499E-4</v>
      </c>
      <c r="F20" s="172">
        <v>76</v>
      </c>
      <c r="G20" s="172">
        <v>19</v>
      </c>
      <c r="H20" s="172">
        <v>0</v>
      </c>
      <c r="I20" s="172">
        <v>32</v>
      </c>
    </row>
    <row r="21" spans="2:9" hidden="1" x14ac:dyDescent="0.3">
      <c r="B21" s="172" t="s">
        <v>185</v>
      </c>
      <c r="C21" s="172" t="s">
        <v>81</v>
      </c>
      <c r="D21" s="172" t="s">
        <v>221</v>
      </c>
      <c r="E21" s="172">
        <v>5.3726043302760099E-4</v>
      </c>
      <c r="F21" s="172">
        <v>25</v>
      </c>
      <c r="G21" s="172">
        <v>24</v>
      </c>
      <c r="H21" s="172">
        <v>6</v>
      </c>
      <c r="I21" s="172">
        <v>32</v>
      </c>
    </row>
    <row r="22" spans="2:9" hidden="1" x14ac:dyDescent="0.3">
      <c r="B22" s="172" t="s">
        <v>185</v>
      </c>
      <c r="C22" s="172" t="s">
        <v>82</v>
      </c>
      <c r="D22" s="172" t="s">
        <v>221</v>
      </c>
      <c r="E22" s="172">
        <v>5.4903818779589403E-4</v>
      </c>
      <c r="F22" s="172">
        <v>64</v>
      </c>
      <c r="G22" s="172">
        <v>0</v>
      </c>
      <c r="H22" s="172">
        <v>19</v>
      </c>
      <c r="I22" s="172">
        <v>32</v>
      </c>
    </row>
    <row r="23" spans="2:9" hidden="1" x14ac:dyDescent="0.3">
      <c r="B23" s="172" t="s">
        <v>185</v>
      </c>
      <c r="C23" s="172" t="s">
        <v>246</v>
      </c>
      <c r="D23" s="172" t="s">
        <v>218</v>
      </c>
      <c r="E23" s="172">
        <v>4.9740369287704997E-5</v>
      </c>
      <c r="F23" s="172">
        <v>76</v>
      </c>
      <c r="G23" s="172">
        <v>19</v>
      </c>
      <c r="H23" s="172">
        <v>0</v>
      </c>
      <c r="I23" s="172">
        <v>32</v>
      </c>
    </row>
    <row r="24" spans="2:9" hidden="1" x14ac:dyDescent="0.3">
      <c r="B24" s="172" t="s">
        <v>185</v>
      </c>
      <c r="C24" s="172" t="s">
        <v>246</v>
      </c>
      <c r="D24" s="172" t="s">
        <v>221</v>
      </c>
      <c r="E24" s="172">
        <v>1.4366757487230001E-5</v>
      </c>
      <c r="F24" s="172">
        <v>25</v>
      </c>
      <c r="G24" s="172">
        <v>24</v>
      </c>
      <c r="H24" s="172">
        <v>6</v>
      </c>
      <c r="I24" s="172">
        <v>32</v>
      </c>
    </row>
    <row r="25" spans="2:9" x14ac:dyDescent="0.3">
      <c r="B25" s="172" t="s">
        <v>183</v>
      </c>
      <c r="C25" s="172" t="s">
        <v>79</v>
      </c>
      <c r="D25" s="172" t="s">
        <v>218</v>
      </c>
      <c r="E25" s="172">
        <v>5.8545815418583995E-4</v>
      </c>
      <c r="F25" s="172">
        <v>85</v>
      </c>
      <c r="G25" s="172">
        <v>19.25</v>
      </c>
      <c r="H25" s="172">
        <v>19.25</v>
      </c>
      <c r="I25" s="172">
        <v>28.5</v>
      </c>
    </row>
    <row r="26" spans="2:9" hidden="1" x14ac:dyDescent="0.3">
      <c r="B26" s="172" t="s">
        <v>183</v>
      </c>
      <c r="C26" s="172" t="s">
        <v>80</v>
      </c>
      <c r="D26" s="172" t="s">
        <v>218</v>
      </c>
      <c r="E26" s="172">
        <v>5.7914390832226198E-4</v>
      </c>
      <c r="F26" s="172">
        <v>76</v>
      </c>
      <c r="G26" s="172">
        <v>19</v>
      </c>
      <c r="H26" s="172">
        <v>0</v>
      </c>
      <c r="I26" s="172">
        <v>28.5</v>
      </c>
    </row>
    <row r="27" spans="2:9" hidden="1" x14ac:dyDescent="0.3">
      <c r="B27" s="172" t="s">
        <v>183</v>
      </c>
      <c r="C27" s="172" t="s">
        <v>81</v>
      </c>
      <c r="D27" s="172" t="s">
        <v>221</v>
      </c>
      <c r="E27" s="172">
        <v>6.6614316044335598E-4</v>
      </c>
      <c r="F27" s="172">
        <v>25</v>
      </c>
      <c r="G27" s="172">
        <v>24</v>
      </c>
      <c r="H27" s="172">
        <v>6</v>
      </c>
      <c r="I27" s="172">
        <v>28.5</v>
      </c>
    </row>
    <row r="28" spans="2:9" hidden="1" x14ac:dyDescent="0.3">
      <c r="B28" s="172" t="s">
        <v>183</v>
      </c>
      <c r="C28" s="172" t="s">
        <v>82</v>
      </c>
      <c r="D28" s="172" t="s">
        <v>221</v>
      </c>
      <c r="E28" s="172">
        <v>7.5513472687436102E-4</v>
      </c>
      <c r="F28" s="172">
        <v>64</v>
      </c>
      <c r="G28" s="172">
        <v>0</v>
      </c>
      <c r="H28" s="172">
        <v>19</v>
      </c>
      <c r="I28" s="172">
        <v>28.5</v>
      </c>
    </row>
    <row r="29" spans="2:9" hidden="1" x14ac:dyDescent="0.3">
      <c r="B29" s="172" t="s">
        <v>183</v>
      </c>
      <c r="C29" s="172" t="s">
        <v>246</v>
      </c>
      <c r="D29" s="172" t="s">
        <v>218</v>
      </c>
      <c r="E29" s="172">
        <v>4.66372855806329E-5</v>
      </c>
      <c r="F29" s="172">
        <v>76</v>
      </c>
      <c r="G29" s="172">
        <v>19</v>
      </c>
      <c r="H29" s="172">
        <v>0</v>
      </c>
      <c r="I29" s="172">
        <v>28.5</v>
      </c>
    </row>
    <row r="30" spans="2:9" hidden="1" x14ac:dyDescent="0.3">
      <c r="B30" s="172" t="s">
        <v>183</v>
      </c>
      <c r="C30" s="172" t="s">
        <v>246</v>
      </c>
      <c r="D30" s="172" t="s">
        <v>221</v>
      </c>
      <c r="E30" s="172">
        <v>1.38692849897275E-5</v>
      </c>
      <c r="F30" s="172">
        <v>25</v>
      </c>
      <c r="G30" s="172">
        <v>24</v>
      </c>
      <c r="H30" s="172">
        <v>6</v>
      </c>
      <c r="I30" s="172">
        <v>28.5</v>
      </c>
    </row>
    <row r="31" spans="2:9" x14ac:dyDescent="0.3">
      <c r="B31" s="172" t="s">
        <v>181</v>
      </c>
      <c r="C31" s="172" t="s">
        <v>79</v>
      </c>
      <c r="D31" s="172" t="s">
        <v>218</v>
      </c>
      <c r="E31" s="172">
        <v>7.0261666268476696E-4</v>
      </c>
      <c r="F31" s="172">
        <v>85</v>
      </c>
      <c r="G31" s="172">
        <v>19.25</v>
      </c>
      <c r="H31" s="172">
        <v>19.25</v>
      </c>
      <c r="I31" s="172">
        <v>25</v>
      </c>
    </row>
    <row r="32" spans="2:9" hidden="1" x14ac:dyDescent="0.3">
      <c r="B32" s="172" t="s">
        <v>181</v>
      </c>
      <c r="C32" s="172" t="s">
        <v>80</v>
      </c>
      <c r="D32" s="172" t="s">
        <v>218</v>
      </c>
      <c r="E32" s="172">
        <v>6.8470383264126501E-4</v>
      </c>
      <c r="F32" s="172">
        <v>76</v>
      </c>
      <c r="G32" s="172">
        <v>19</v>
      </c>
      <c r="H32" s="172">
        <v>0</v>
      </c>
      <c r="I32" s="172">
        <v>25</v>
      </c>
    </row>
    <row r="33" spans="2:9" hidden="1" x14ac:dyDescent="0.3">
      <c r="B33" s="172" t="s">
        <v>181</v>
      </c>
      <c r="C33" s="172" t="s">
        <v>81</v>
      </c>
      <c r="D33" s="172" t="s">
        <v>221</v>
      </c>
      <c r="E33" s="172">
        <v>7.7292755235561803E-4</v>
      </c>
      <c r="F33" s="172">
        <v>25</v>
      </c>
      <c r="G33" s="172">
        <v>24</v>
      </c>
      <c r="H33" s="172">
        <v>6</v>
      </c>
      <c r="I33" s="172">
        <v>25</v>
      </c>
    </row>
    <row r="34" spans="2:9" hidden="1" x14ac:dyDescent="0.3">
      <c r="B34" s="172" t="s">
        <v>181</v>
      </c>
      <c r="C34" s="172" t="s">
        <v>82</v>
      </c>
      <c r="D34" s="172" t="s">
        <v>221</v>
      </c>
      <c r="E34" s="172">
        <v>9.2978346146804596E-4</v>
      </c>
      <c r="F34" s="172">
        <v>64</v>
      </c>
      <c r="G34" s="172">
        <v>0</v>
      </c>
      <c r="H34" s="172">
        <v>19</v>
      </c>
      <c r="I34" s="172">
        <v>25</v>
      </c>
    </row>
    <row r="35" spans="2:9" hidden="1" x14ac:dyDescent="0.3">
      <c r="B35" s="172" t="s">
        <v>181</v>
      </c>
      <c r="C35" s="172" t="s">
        <v>246</v>
      </c>
      <c r="D35" s="172" t="s">
        <v>218</v>
      </c>
      <c r="E35" s="172">
        <v>4.2823538157578599E-5</v>
      </c>
      <c r="F35" s="172">
        <v>76</v>
      </c>
      <c r="G35" s="172">
        <v>19</v>
      </c>
      <c r="H35" s="172">
        <v>0</v>
      </c>
      <c r="I35" s="172">
        <v>25</v>
      </c>
    </row>
    <row r="36" spans="2:9" hidden="1" x14ac:dyDescent="0.3">
      <c r="B36" s="172" t="s">
        <v>181</v>
      </c>
      <c r="C36" s="172" t="s">
        <v>246</v>
      </c>
      <c r="D36" s="172" t="s">
        <v>221</v>
      </c>
      <c r="E36" s="172">
        <v>1.3350885985504899E-5</v>
      </c>
      <c r="F36" s="172">
        <v>19</v>
      </c>
      <c r="G36" s="172">
        <v>24</v>
      </c>
      <c r="H36" s="172">
        <v>10</v>
      </c>
      <c r="I36" s="172">
        <v>25</v>
      </c>
    </row>
    <row r="37" spans="2:9" x14ac:dyDescent="0.3">
      <c r="B37" s="172" t="s">
        <v>179</v>
      </c>
      <c r="C37" s="172" t="s">
        <v>79</v>
      </c>
      <c r="D37" s="172" t="s">
        <v>218</v>
      </c>
      <c r="E37" s="172">
        <v>7.9922112071589596E-4</v>
      </c>
      <c r="F37" s="172">
        <v>85</v>
      </c>
      <c r="G37" s="172">
        <v>19.25</v>
      </c>
      <c r="H37" s="172">
        <v>19.25</v>
      </c>
      <c r="I37" s="172">
        <v>21.5</v>
      </c>
    </row>
    <row r="38" spans="2:9" hidden="1" x14ac:dyDescent="0.3">
      <c r="B38" s="172" t="s">
        <v>179</v>
      </c>
      <c r="C38" s="172" t="s">
        <v>80</v>
      </c>
      <c r="D38" s="172" t="s">
        <v>218</v>
      </c>
      <c r="E38" s="172">
        <v>7.7040689522739304E-4</v>
      </c>
      <c r="F38" s="172">
        <v>76</v>
      </c>
      <c r="G38" s="172">
        <v>19</v>
      </c>
      <c r="H38" s="172">
        <v>0</v>
      </c>
      <c r="I38" s="172">
        <v>21.5</v>
      </c>
    </row>
    <row r="39" spans="2:9" hidden="1" x14ac:dyDescent="0.3">
      <c r="B39" s="172" t="s">
        <v>179</v>
      </c>
      <c r="C39" s="172" t="s">
        <v>81</v>
      </c>
      <c r="D39" s="172" t="s">
        <v>221</v>
      </c>
      <c r="E39" s="172">
        <v>8.8990490124612901E-4</v>
      </c>
      <c r="F39" s="172">
        <v>64</v>
      </c>
      <c r="G39" s="172">
        <v>0</v>
      </c>
      <c r="H39" s="172">
        <v>19</v>
      </c>
      <c r="I39" s="172">
        <v>21.5</v>
      </c>
    </row>
    <row r="40" spans="2:9" hidden="1" x14ac:dyDescent="0.3">
      <c r="B40" s="172" t="s">
        <v>179</v>
      </c>
      <c r="C40" s="172" t="s">
        <v>82</v>
      </c>
      <c r="D40" s="172" t="s">
        <v>221</v>
      </c>
      <c r="E40" s="172">
        <v>1.07665714983033E-3</v>
      </c>
      <c r="F40" s="172">
        <v>64</v>
      </c>
      <c r="G40" s="172">
        <v>0</v>
      </c>
      <c r="H40" s="172">
        <v>19</v>
      </c>
      <c r="I40" s="172">
        <v>21.5</v>
      </c>
    </row>
    <row r="41" spans="2:9" hidden="1" x14ac:dyDescent="0.3">
      <c r="B41" s="172" t="s">
        <v>179</v>
      </c>
      <c r="C41" s="172" t="s">
        <v>246</v>
      </c>
      <c r="D41" s="172" t="s">
        <v>218</v>
      </c>
      <c r="E41" s="172">
        <v>3.7743186841341702E-5</v>
      </c>
      <c r="F41" s="172">
        <v>76</v>
      </c>
      <c r="G41" s="172">
        <v>19</v>
      </c>
      <c r="H41" s="172">
        <v>0</v>
      </c>
      <c r="I41" s="172">
        <v>21.5</v>
      </c>
    </row>
    <row r="42" spans="2:9" hidden="1" x14ac:dyDescent="0.3">
      <c r="B42" s="172" t="s">
        <v>179</v>
      </c>
      <c r="C42" s="172" t="s">
        <v>246</v>
      </c>
      <c r="D42" s="172" t="s">
        <v>221</v>
      </c>
      <c r="E42" s="172">
        <v>1.2731536268827E-5</v>
      </c>
      <c r="F42" s="172">
        <v>25</v>
      </c>
      <c r="G42" s="172">
        <v>24</v>
      </c>
      <c r="H42" s="172">
        <v>6</v>
      </c>
      <c r="I42" s="172">
        <v>21.5</v>
      </c>
    </row>
    <row r="43" spans="2:9" x14ac:dyDescent="0.3">
      <c r="B43" s="172" t="s">
        <v>39</v>
      </c>
      <c r="C43" s="172" t="s">
        <v>79</v>
      </c>
      <c r="D43" s="172" t="s">
        <v>218</v>
      </c>
      <c r="E43" s="172">
        <v>8.7270411009491297E-4</v>
      </c>
      <c r="F43" s="172">
        <v>85</v>
      </c>
      <c r="G43" s="172">
        <v>19.25</v>
      </c>
      <c r="H43" s="172">
        <v>19.25</v>
      </c>
      <c r="I43" s="172">
        <v>18</v>
      </c>
    </row>
    <row r="44" spans="2:9" hidden="1" x14ac:dyDescent="0.3">
      <c r="B44" s="172" t="s">
        <v>39</v>
      </c>
      <c r="C44" s="172" t="s">
        <v>80</v>
      </c>
      <c r="D44" s="172" t="s">
        <v>218</v>
      </c>
      <c r="E44" s="172">
        <v>8.3090545923471899E-4</v>
      </c>
      <c r="F44" s="172">
        <v>76</v>
      </c>
      <c r="G44" s="172">
        <v>19</v>
      </c>
      <c r="H44" s="172">
        <v>0</v>
      </c>
      <c r="I44" s="172">
        <v>18</v>
      </c>
    </row>
    <row r="45" spans="2:9" hidden="1" x14ac:dyDescent="0.3">
      <c r="B45" s="172" t="s">
        <v>39</v>
      </c>
      <c r="C45" s="172" t="s">
        <v>81</v>
      </c>
      <c r="D45" s="172" t="s">
        <v>221</v>
      </c>
      <c r="E45" s="172">
        <v>9.9189810355048108E-4</v>
      </c>
      <c r="F45" s="172">
        <v>64</v>
      </c>
      <c r="G45" s="172">
        <v>0</v>
      </c>
      <c r="H45" s="172">
        <v>19</v>
      </c>
      <c r="I45" s="172">
        <v>18</v>
      </c>
    </row>
    <row r="46" spans="2:9" hidden="1" x14ac:dyDescent="0.3">
      <c r="B46" s="172" t="s">
        <v>39</v>
      </c>
      <c r="C46" s="172" t="s">
        <v>82</v>
      </c>
      <c r="D46" s="172" t="s">
        <v>221</v>
      </c>
      <c r="E46" s="172">
        <v>1.20155716349539E-3</v>
      </c>
      <c r="F46" s="172">
        <v>64</v>
      </c>
      <c r="G46" s="172">
        <v>0</v>
      </c>
      <c r="H46" s="172">
        <v>19</v>
      </c>
      <c r="I46" s="172">
        <v>18</v>
      </c>
    </row>
    <row r="47" spans="2:9" hidden="1" x14ac:dyDescent="0.3">
      <c r="B47" s="172" t="s">
        <v>39</v>
      </c>
      <c r="C47" s="172" t="s">
        <v>246</v>
      </c>
      <c r="D47" s="172" t="s">
        <v>218</v>
      </c>
      <c r="E47" s="172">
        <v>3.0941630365537499E-5</v>
      </c>
      <c r="F47" s="172">
        <v>76</v>
      </c>
      <c r="G47" s="172">
        <v>19</v>
      </c>
      <c r="H47" s="172">
        <v>0</v>
      </c>
      <c r="I47" s="172">
        <v>18</v>
      </c>
    </row>
    <row r="48" spans="2:9" hidden="1" x14ac:dyDescent="0.3">
      <c r="B48" s="172" t="s">
        <v>39</v>
      </c>
      <c r="C48" s="172" t="s">
        <v>246</v>
      </c>
      <c r="D48" s="172" t="s">
        <v>221</v>
      </c>
      <c r="E48" s="172">
        <v>1.3489207480603799E-5</v>
      </c>
      <c r="F48" s="172">
        <v>25</v>
      </c>
      <c r="G48" s="172">
        <v>24</v>
      </c>
      <c r="H48" s="172">
        <v>6</v>
      </c>
      <c r="I48" s="172">
        <v>18</v>
      </c>
    </row>
    <row r="49" spans="2:9" x14ac:dyDescent="0.3">
      <c r="B49" s="172" t="s">
        <v>26</v>
      </c>
      <c r="C49" s="172" t="s">
        <v>79</v>
      </c>
      <c r="D49" s="172" t="s">
        <v>218</v>
      </c>
      <c r="E49" s="172">
        <v>9.2659394544483502E-4</v>
      </c>
      <c r="F49" s="172">
        <v>85</v>
      </c>
      <c r="G49" s="172">
        <v>19.25</v>
      </c>
      <c r="H49" s="172">
        <v>19.25</v>
      </c>
      <c r="I49" s="172">
        <v>14.5</v>
      </c>
    </row>
    <row r="50" spans="2:9" hidden="1" x14ac:dyDescent="0.3">
      <c r="B50" s="172" t="s">
        <v>26</v>
      </c>
      <c r="C50" s="172" t="s">
        <v>80</v>
      </c>
      <c r="D50" s="172" t="s">
        <v>218</v>
      </c>
      <c r="E50" s="172">
        <v>8.7055003833774204E-4</v>
      </c>
      <c r="F50" s="172">
        <v>76</v>
      </c>
      <c r="G50" s="172">
        <v>19</v>
      </c>
      <c r="H50" s="172">
        <v>0</v>
      </c>
      <c r="I50" s="172">
        <v>14.5</v>
      </c>
    </row>
    <row r="51" spans="2:9" hidden="1" x14ac:dyDescent="0.3">
      <c r="B51" s="172" t="s">
        <v>26</v>
      </c>
      <c r="C51" s="172" t="s">
        <v>81</v>
      </c>
      <c r="D51" s="172" t="s">
        <v>221</v>
      </c>
      <c r="E51" s="172">
        <v>1.0765069171607799E-3</v>
      </c>
      <c r="F51" s="172">
        <v>64</v>
      </c>
      <c r="G51" s="172">
        <v>0</v>
      </c>
      <c r="H51" s="172">
        <v>19</v>
      </c>
      <c r="I51" s="172">
        <v>14.5</v>
      </c>
    </row>
    <row r="52" spans="2:9" hidden="1" x14ac:dyDescent="0.3">
      <c r="B52" s="172" t="s">
        <v>26</v>
      </c>
      <c r="C52" s="172" t="s">
        <v>82</v>
      </c>
      <c r="D52" s="172" t="s">
        <v>221</v>
      </c>
      <c r="E52" s="172">
        <v>1.3056929269384E-3</v>
      </c>
      <c r="F52" s="172">
        <v>64</v>
      </c>
      <c r="G52" s="172">
        <v>0</v>
      </c>
      <c r="H52" s="172">
        <v>19</v>
      </c>
      <c r="I52" s="172">
        <v>14.5</v>
      </c>
    </row>
    <row r="53" spans="2:9" hidden="1" x14ac:dyDescent="0.3">
      <c r="B53" s="172" t="s">
        <v>26</v>
      </c>
      <c r="C53" s="172" t="s">
        <v>246</v>
      </c>
      <c r="D53" s="172" t="s">
        <v>218</v>
      </c>
      <c r="E53" s="172">
        <v>2.07745237282814E-5</v>
      </c>
      <c r="F53" s="172">
        <v>76</v>
      </c>
      <c r="G53" s="172">
        <v>19</v>
      </c>
      <c r="H53" s="172">
        <v>0</v>
      </c>
      <c r="I53" s="172">
        <v>14.5</v>
      </c>
    </row>
    <row r="54" spans="2:9" hidden="1" x14ac:dyDescent="0.3">
      <c r="B54" s="172" t="s">
        <v>26</v>
      </c>
      <c r="C54" s="172" t="s">
        <v>246</v>
      </c>
      <c r="D54" s="172" t="s">
        <v>221</v>
      </c>
      <c r="E54" s="172">
        <v>1.05883777568345E-5</v>
      </c>
      <c r="F54" s="172">
        <v>25</v>
      </c>
      <c r="G54" s="172">
        <v>24</v>
      </c>
      <c r="H54" s="172">
        <v>6</v>
      </c>
      <c r="I54" s="172">
        <v>14.5</v>
      </c>
    </row>
    <row r="55" spans="2:9" x14ac:dyDescent="0.3">
      <c r="B55" s="172" t="s">
        <v>25</v>
      </c>
      <c r="C55" s="172" t="s">
        <v>79</v>
      </c>
      <c r="D55" s="172" t="s">
        <v>218</v>
      </c>
      <c r="E55" s="172">
        <v>9.6304493569586696E-4</v>
      </c>
      <c r="F55" s="172">
        <v>85</v>
      </c>
      <c r="G55" s="172">
        <v>19.25</v>
      </c>
      <c r="H55" s="172">
        <v>19.25</v>
      </c>
      <c r="I55" s="172">
        <v>11</v>
      </c>
    </row>
    <row r="56" spans="2:9" hidden="1" x14ac:dyDescent="0.3">
      <c r="B56" s="172" t="s">
        <v>25</v>
      </c>
      <c r="C56" s="172" t="s">
        <v>80</v>
      </c>
      <c r="D56" s="172" t="s">
        <v>218</v>
      </c>
      <c r="E56" s="172">
        <v>8.9588043386737795E-4</v>
      </c>
      <c r="F56" s="172">
        <v>76</v>
      </c>
      <c r="G56" s="172">
        <v>19</v>
      </c>
      <c r="H56" s="172">
        <v>0</v>
      </c>
      <c r="I56" s="172">
        <v>11</v>
      </c>
    </row>
    <row r="57" spans="2:9" hidden="1" x14ac:dyDescent="0.3">
      <c r="B57" s="172" t="s">
        <v>25</v>
      </c>
      <c r="C57" s="172" t="s">
        <v>81</v>
      </c>
      <c r="D57" s="172" t="s">
        <v>221</v>
      </c>
      <c r="E57" s="172">
        <v>1.13592111753064E-3</v>
      </c>
      <c r="F57" s="172">
        <v>64</v>
      </c>
      <c r="G57" s="172">
        <v>0</v>
      </c>
      <c r="H57" s="172">
        <v>19</v>
      </c>
      <c r="I57" s="172">
        <v>11</v>
      </c>
    </row>
    <row r="58" spans="2:9" hidden="1" x14ac:dyDescent="0.3">
      <c r="B58" s="172" t="s">
        <v>25</v>
      </c>
      <c r="C58" s="172" t="s">
        <v>82</v>
      </c>
      <c r="D58" s="172" t="s">
        <v>221</v>
      </c>
      <c r="E58" s="172">
        <v>1.3807775541973899E-3</v>
      </c>
      <c r="F58" s="172">
        <v>64</v>
      </c>
      <c r="G58" s="172">
        <v>0</v>
      </c>
      <c r="H58" s="172">
        <v>19</v>
      </c>
      <c r="I58" s="172">
        <v>11</v>
      </c>
    </row>
    <row r="59" spans="2:9" hidden="1" x14ac:dyDescent="0.3">
      <c r="B59" s="172" t="s">
        <v>25</v>
      </c>
      <c r="C59" s="172" t="s">
        <v>246</v>
      </c>
      <c r="D59" s="172" t="s">
        <v>218</v>
      </c>
      <c r="E59" s="172">
        <v>1.02236888884615E-5</v>
      </c>
      <c r="F59" s="172">
        <v>76</v>
      </c>
      <c r="G59" s="172">
        <v>19</v>
      </c>
      <c r="H59" s="172">
        <v>0</v>
      </c>
      <c r="I59" s="172">
        <v>11</v>
      </c>
    </row>
    <row r="60" spans="2:9" hidden="1" x14ac:dyDescent="0.3">
      <c r="B60" s="172" t="s">
        <v>25</v>
      </c>
      <c r="C60" s="172" t="s">
        <v>246</v>
      </c>
      <c r="D60" s="172" t="s">
        <v>221</v>
      </c>
      <c r="E60" s="172">
        <v>8.7190104024041992E-6</v>
      </c>
      <c r="F60" s="172">
        <v>19</v>
      </c>
      <c r="G60" s="172">
        <v>24</v>
      </c>
      <c r="H60" s="172">
        <v>10</v>
      </c>
      <c r="I60" s="172">
        <v>11</v>
      </c>
    </row>
    <row r="61" spans="2:9" x14ac:dyDescent="0.3">
      <c r="B61" s="172" t="s">
        <v>24</v>
      </c>
      <c r="C61" s="172" t="s">
        <v>79</v>
      </c>
      <c r="D61" s="172" t="s">
        <v>218</v>
      </c>
      <c r="E61" s="172">
        <v>9.6801099393643505E-4</v>
      </c>
      <c r="F61" s="172">
        <v>85</v>
      </c>
      <c r="G61" s="172">
        <v>19.25</v>
      </c>
      <c r="H61" s="172">
        <v>19.25</v>
      </c>
      <c r="I61" s="172">
        <v>7.5</v>
      </c>
    </row>
    <row r="62" spans="2:9" hidden="1" x14ac:dyDescent="0.3">
      <c r="B62" s="172" t="s">
        <v>24</v>
      </c>
      <c r="C62" s="172" t="s">
        <v>80</v>
      </c>
      <c r="D62" s="172" t="s">
        <v>218</v>
      </c>
      <c r="E62" s="172">
        <v>8.9596093589643002E-4</v>
      </c>
      <c r="F62" s="172">
        <v>76</v>
      </c>
      <c r="G62" s="172">
        <v>19</v>
      </c>
      <c r="H62" s="172">
        <v>0</v>
      </c>
      <c r="I62" s="172">
        <v>7.5</v>
      </c>
    </row>
    <row r="63" spans="2:9" hidden="1" x14ac:dyDescent="0.3">
      <c r="B63" s="172" t="s">
        <v>24</v>
      </c>
      <c r="C63" s="172" t="s">
        <v>81</v>
      </c>
      <c r="D63" s="172" t="s">
        <v>221</v>
      </c>
      <c r="E63" s="172">
        <v>1.13594956789369E-3</v>
      </c>
      <c r="F63" s="172">
        <v>64</v>
      </c>
      <c r="G63" s="172">
        <v>0</v>
      </c>
      <c r="H63" s="172">
        <v>19</v>
      </c>
      <c r="I63" s="172">
        <v>7.5</v>
      </c>
    </row>
    <row r="64" spans="2:9" hidden="1" x14ac:dyDescent="0.3">
      <c r="B64" s="172" t="s">
        <v>24</v>
      </c>
      <c r="C64" s="172" t="s">
        <v>82</v>
      </c>
      <c r="D64" s="172" t="s">
        <v>221</v>
      </c>
      <c r="E64" s="172">
        <v>1.3874999389756901E-3</v>
      </c>
      <c r="F64" s="172">
        <v>64</v>
      </c>
      <c r="G64" s="172">
        <v>0</v>
      </c>
      <c r="H64" s="172">
        <v>19</v>
      </c>
      <c r="I64" s="172">
        <v>7.5</v>
      </c>
    </row>
    <row r="65" spans="2:9" hidden="1" x14ac:dyDescent="0.3">
      <c r="B65" s="172" t="s">
        <v>24</v>
      </c>
      <c r="C65" s="172" t="s">
        <v>246</v>
      </c>
      <c r="D65" s="172" t="s">
        <v>218</v>
      </c>
      <c r="E65" s="172">
        <v>1.0506991222012001E-5</v>
      </c>
      <c r="F65" s="172">
        <v>85</v>
      </c>
      <c r="G65" s="172">
        <v>19.25</v>
      </c>
      <c r="H65" s="172">
        <v>19.25</v>
      </c>
      <c r="I65" s="172">
        <v>7.5</v>
      </c>
    </row>
    <row r="66" spans="2:9" hidden="1" x14ac:dyDescent="0.3">
      <c r="B66" s="172" t="s">
        <v>24</v>
      </c>
      <c r="C66" s="172" t="s">
        <v>246</v>
      </c>
      <c r="D66" s="172" t="s">
        <v>221</v>
      </c>
      <c r="E66" s="172">
        <v>7.9640469217029905E-6</v>
      </c>
      <c r="F66" s="172">
        <v>25</v>
      </c>
      <c r="G66" s="172">
        <v>24</v>
      </c>
      <c r="H66" s="172">
        <v>6</v>
      </c>
      <c r="I66" s="172">
        <v>7.5</v>
      </c>
    </row>
    <row r="67" spans="2:9" x14ac:dyDescent="0.3">
      <c r="B67" s="172" t="s">
        <v>22</v>
      </c>
      <c r="C67" s="172" t="s">
        <v>79</v>
      </c>
      <c r="D67" s="172" t="s">
        <v>218</v>
      </c>
      <c r="E67" s="172">
        <v>7.4196086714739399E-4</v>
      </c>
      <c r="F67" s="172">
        <v>14</v>
      </c>
      <c r="G67" s="172">
        <v>19</v>
      </c>
      <c r="H67" s="172">
        <v>19</v>
      </c>
      <c r="I67" s="172">
        <v>4</v>
      </c>
    </row>
    <row r="68" spans="2:9" hidden="1" x14ac:dyDescent="0.3">
      <c r="B68" s="172" t="s">
        <v>22</v>
      </c>
      <c r="C68" s="172" t="s">
        <v>80</v>
      </c>
      <c r="D68" s="172" t="s">
        <v>218</v>
      </c>
      <c r="E68" s="172">
        <v>7.0712440540922697E-4</v>
      </c>
      <c r="F68" s="172">
        <v>76</v>
      </c>
      <c r="G68" s="172">
        <v>19</v>
      </c>
      <c r="H68" s="172">
        <v>0</v>
      </c>
      <c r="I68" s="172">
        <v>4</v>
      </c>
    </row>
    <row r="69" spans="2:9" hidden="1" x14ac:dyDescent="0.3">
      <c r="B69" s="172" t="s">
        <v>22</v>
      </c>
      <c r="C69" s="172" t="s">
        <v>81</v>
      </c>
      <c r="D69" s="172" t="s">
        <v>221</v>
      </c>
      <c r="E69" s="172">
        <v>7.8836389987434598E-4</v>
      </c>
      <c r="F69" s="172">
        <v>64</v>
      </c>
      <c r="G69" s="172">
        <v>0</v>
      </c>
      <c r="H69" s="172">
        <v>19</v>
      </c>
      <c r="I69" s="172">
        <v>4</v>
      </c>
    </row>
    <row r="70" spans="2:9" hidden="1" x14ac:dyDescent="0.3">
      <c r="B70" s="172" t="s">
        <v>22</v>
      </c>
      <c r="C70" s="172" t="s">
        <v>82</v>
      </c>
      <c r="D70" s="172" t="s">
        <v>221</v>
      </c>
      <c r="E70" s="172">
        <v>9.8326731253982509E-4</v>
      </c>
      <c r="F70" s="172">
        <v>64</v>
      </c>
      <c r="G70" s="172">
        <v>0</v>
      </c>
      <c r="H70" s="172">
        <v>19</v>
      </c>
      <c r="I70" s="172">
        <v>4</v>
      </c>
    </row>
    <row r="71" spans="2:9" hidden="1" x14ac:dyDescent="0.3">
      <c r="B71" s="172" t="s">
        <v>22</v>
      </c>
      <c r="C71" s="172" t="s">
        <v>246</v>
      </c>
      <c r="D71" s="172" t="s">
        <v>218</v>
      </c>
      <c r="E71" s="172">
        <v>3.0851693201957499E-5</v>
      </c>
      <c r="F71" s="172">
        <v>14</v>
      </c>
      <c r="G71" s="172">
        <v>19</v>
      </c>
      <c r="H71" s="172">
        <v>19</v>
      </c>
      <c r="I71" s="172">
        <v>4</v>
      </c>
    </row>
    <row r="72" spans="2:9" hidden="1" x14ac:dyDescent="0.3">
      <c r="B72" s="172" t="s">
        <v>22</v>
      </c>
      <c r="C72" s="172" t="s">
        <v>246</v>
      </c>
      <c r="D72" s="172" t="s">
        <v>221</v>
      </c>
      <c r="E72" s="172">
        <v>1.2710300101555701E-5</v>
      </c>
      <c r="F72" s="172">
        <v>25</v>
      </c>
      <c r="G72" s="172">
        <v>24</v>
      </c>
      <c r="H72" s="172">
        <v>6</v>
      </c>
      <c r="I72" s="172">
        <v>4</v>
      </c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3.8300358398619499E-4</v>
      </c>
      <c r="F138" s="172">
        <v>19</v>
      </c>
      <c r="G138" s="172">
        <v>24</v>
      </c>
      <c r="H138" s="172">
        <v>10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3.7466494718556601E-4</v>
      </c>
      <c r="F139" s="172">
        <v>19</v>
      </c>
      <c r="G139" s="172">
        <v>24</v>
      </c>
      <c r="H139" s="172">
        <v>10</v>
      </c>
      <c r="I139" s="172">
        <v>38.5</v>
      </c>
    </row>
    <row r="140" spans="2:9" hidden="1" x14ac:dyDescent="0.3">
      <c r="B140" s="172" t="s">
        <v>189</v>
      </c>
      <c r="C140" s="172" t="s">
        <v>80</v>
      </c>
      <c r="D140" s="172" t="s">
        <v>221</v>
      </c>
      <c r="E140" s="172">
        <v>4.9294495859436098E-5</v>
      </c>
      <c r="F140" s="172">
        <v>16</v>
      </c>
      <c r="G140" s="172">
        <v>19</v>
      </c>
      <c r="H140" s="172">
        <v>10</v>
      </c>
      <c r="I140" s="172">
        <v>38.5</v>
      </c>
    </row>
    <row r="141" spans="2:9" hidden="1" x14ac:dyDescent="0.3">
      <c r="B141" s="172" t="s">
        <v>189</v>
      </c>
      <c r="C141" s="172" t="s">
        <v>81</v>
      </c>
      <c r="D141" s="172" t="s">
        <v>221</v>
      </c>
      <c r="E141" s="172">
        <v>4.33216879361883E-4</v>
      </c>
      <c r="F141" s="172">
        <v>25</v>
      </c>
      <c r="G141" s="172">
        <v>24</v>
      </c>
      <c r="H141" s="172">
        <v>6</v>
      </c>
      <c r="I141" s="172">
        <v>38.5</v>
      </c>
    </row>
    <row r="142" spans="2:9" hidden="1" x14ac:dyDescent="0.3">
      <c r="B142" s="172" t="s">
        <v>189</v>
      </c>
      <c r="C142" s="172" t="s">
        <v>82</v>
      </c>
      <c r="D142" s="172" t="s">
        <v>221</v>
      </c>
      <c r="E142" s="172">
        <v>3.6863228703291998E-4</v>
      </c>
      <c r="F142" s="172">
        <v>25</v>
      </c>
      <c r="G142" s="172">
        <v>24</v>
      </c>
      <c r="H142" s="172">
        <v>6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218</v>
      </c>
      <c r="E143" s="172">
        <v>1.50827756967699E-4</v>
      </c>
      <c r="F143" s="172">
        <v>19</v>
      </c>
      <c r="G143" s="172">
        <v>24</v>
      </c>
      <c r="H143" s="172">
        <v>10</v>
      </c>
      <c r="I143" s="172">
        <v>38.5</v>
      </c>
    </row>
    <row r="144" spans="2:9" hidden="1" x14ac:dyDescent="0.3">
      <c r="B144" s="172" t="s">
        <v>189</v>
      </c>
      <c r="C144" s="172" t="s">
        <v>246</v>
      </c>
      <c r="D144" s="172" t="s">
        <v>221</v>
      </c>
      <c r="E144" s="172">
        <v>3.1707163286243101E-5</v>
      </c>
      <c r="F144" s="172">
        <v>16</v>
      </c>
      <c r="G144" s="172">
        <v>19</v>
      </c>
      <c r="H144" s="172">
        <v>10</v>
      </c>
      <c r="I144" s="172">
        <v>38.5</v>
      </c>
    </row>
    <row r="145" spans="2:9" hidden="1" x14ac:dyDescent="0.3">
      <c r="B145" s="172" t="s">
        <v>187</v>
      </c>
      <c r="C145" s="172" t="s">
        <v>79</v>
      </c>
      <c r="D145" s="172" t="s">
        <v>218</v>
      </c>
      <c r="E145" s="172">
        <v>2.9308493871906601E-4</v>
      </c>
      <c r="F145" s="172">
        <v>85</v>
      </c>
      <c r="G145" s="172">
        <v>19.25</v>
      </c>
      <c r="H145" s="172">
        <v>19.25</v>
      </c>
      <c r="I145" s="172">
        <v>35.5</v>
      </c>
    </row>
    <row r="146" spans="2:9" x14ac:dyDescent="0.3">
      <c r="B146" s="172" t="s">
        <v>187</v>
      </c>
      <c r="C146" s="172" t="s">
        <v>80</v>
      </c>
      <c r="D146" s="172" t="s">
        <v>218</v>
      </c>
      <c r="E146" s="172">
        <v>3.0844611310113098E-4</v>
      </c>
      <c r="F146" s="172">
        <v>76</v>
      </c>
      <c r="G146" s="172">
        <v>19</v>
      </c>
      <c r="H146" s="172">
        <v>0</v>
      </c>
      <c r="I146" s="172">
        <v>35.5</v>
      </c>
    </row>
    <row r="147" spans="2:9" hidden="1" x14ac:dyDescent="0.3">
      <c r="B147" s="172" t="s">
        <v>187</v>
      </c>
      <c r="C147" s="172" t="s">
        <v>81</v>
      </c>
      <c r="D147" s="172" t="s">
        <v>221</v>
      </c>
      <c r="E147" s="172">
        <v>3.8686837945759199E-4</v>
      </c>
      <c r="F147" s="172">
        <v>25</v>
      </c>
      <c r="G147" s="172">
        <v>24</v>
      </c>
      <c r="H147" s="172">
        <v>6</v>
      </c>
      <c r="I147" s="172">
        <v>35.5</v>
      </c>
    </row>
    <row r="148" spans="2:9" hidden="1" x14ac:dyDescent="0.3">
      <c r="B148" s="172" t="s">
        <v>187</v>
      </c>
      <c r="C148" s="172" t="s">
        <v>82</v>
      </c>
      <c r="D148" s="172" t="s">
        <v>221</v>
      </c>
      <c r="E148" s="172">
        <v>3.3055199346917601E-4</v>
      </c>
      <c r="F148" s="172">
        <v>64</v>
      </c>
      <c r="G148" s="172">
        <v>0</v>
      </c>
      <c r="H148" s="172">
        <v>19</v>
      </c>
      <c r="I148" s="172">
        <v>35.5</v>
      </c>
    </row>
    <row r="149" spans="2:9" hidden="1" x14ac:dyDescent="0.3">
      <c r="B149" s="172" t="s">
        <v>187</v>
      </c>
      <c r="C149" s="172" t="s">
        <v>246</v>
      </c>
      <c r="D149" s="172" t="s">
        <v>218</v>
      </c>
      <c r="E149" s="172">
        <v>4.5425963491479701E-5</v>
      </c>
      <c r="F149" s="172">
        <v>85</v>
      </c>
      <c r="G149" s="172">
        <v>19.25</v>
      </c>
      <c r="H149" s="172">
        <v>19.25</v>
      </c>
      <c r="I149" s="172">
        <v>35.5</v>
      </c>
    </row>
    <row r="150" spans="2:9" hidden="1" x14ac:dyDescent="0.3">
      <c r="B150" s="172" t="s">
        <v>187</v>
      </c>
      <c r="C150" s="172" t="s">
        <v>246</v>
      </c>
      <c r="D150" s="172" t="s">
        <v>221</v>
      </c>
      <c r="E150" s="172">
        <v>1.12590679659941E-5</v>
      </c>
      <c r="F150" s="172">
        <v>62</v>
      </c>
      <c r="G150" s="172">
        <v>0</v>
      </c>
      <c r="H150" s="172">
        <v>6</v>
      </c>
      <c r="I150" s="172">
        <v>35.5</v>
      </c>
    </row>
    <row r="151" spans="2:9" hidden="1" x14ac:dyDescent="0.3">
      <c r="B151" s="172" t="s">
        <v>185</v>
      </c>
      <c r="C151" s="172" t="s">
        <v>79</v>
      </c>
      <c r="D151" s="172" t="s">
        <v>218</v>
      </c>
      <c r="E151" s="172">
        <v>4.4697240977473402E-4</v>
      </c>
      <c r="F151" s="172">
        <v>85</v>
      </c>
      <c r="G151" s="172">
        <v>19.25</v>
      </c>
      <c r="H151" s="172">
        <v>19.25</v>
      </c>
      <c r="I151" s="172">
        <v>32</v>
      </c>
    </row>
    <row r="152" spans="2:9" x14ac:dyDescent="0.3">
      <c r="B152" s="172" t="s">
        <v>185</v>
      </c>
      <c r="C152" s="172" t="s">
        <v>80</v>
      </c>
      <c r="D152" s="172" t="s">
        <v>218</v>
      </c>
      <c r="E152" s="172">
        <v>4.5342836969485499E-4</v>
      </c>
      <c r="F152" s="172">
        <v>76</v>
      </c>
      <c r="G152" s="172">
        <v>19</v>
      </c>
      <c r="H152" s="172">
        <v>0</v>
      </c>
      <c r="I152" s="172">
        <v>32</v>
      </c>
    </row>
    <row r="153" spans="2:9" hidden="1" x14ac:dyDescent="0.3">
      <c r="B153" s="172" t="s">
        <v>185</v>
      </c>
      <c r="C153" s="172" t="s">
        <v>81</v>
      </c>
      <c r="D153" s="172" t="s">
        <v>221</v>
      </c>
      <c r="E153" s="172">
        <v>5.3726043302760099E-4</v>
      </c>
      <c r="F153" s="172">
        <v>25</v>
      </c>
      <c r="G153" s="172">
        <v>24</v>
      </c>
      <c r="H153" s="172">
        <v>6</v>
      </c>
      <c r="I153" s="172">
        <v>32</v>
      </c>
    </row>
    <row r="154" spans="2:9" hidden="1" x14ac:dyDescent="0.3">
      <c r="B154" s="172" t="s">
        <v>185</v>
      </c>
      <c r="C154" s="172" t="s">
        <v>82</v>
      </c>
      <c r="D154" s="172" t="s">
        <v>221</v>
      </c>
      <c r="E154" s="172">
        <v>5.4903818779589403E-4</v>
      </c>
      <c r="F154" s="172">
        <v>64</v>
      </c>
      <c r="G154" s="172">
        <v>0</v>
      </c>
      <c r="H154" s="172">
        <v>19</v>
      </c>
      <c r="I154" s="172">
        <v>32</v>
      </c>
    </row>
    <row r="155" spans="2:9" hidden="1" x14ac:dyDescent="0.3">
      <c r="B155" s="172" t="s">
        <v>185</v>
      </c>
      <c r="C155" s="172" t="s">
        <v>246</v>
      </c>
      <c r="D155" s="172" t="s">
        <v>218</v>
      </c>
      <c r="E155" s="172">
        <v>4.9740369287704997E-5</v>
      </c>
      <c r="F155" s="172">
        <v>76</v>
      </c>
      <c r="G155" s="172">
        <v>19</v>
      </c>
      <c r="H155" s="172">
        <v>0</v>
      </c>
      <c r="I155" s="172">
        <v>32</v>
      </c>
    </row>
    <row r="156" spans="2:9" hidden="1" x14ac:dyDescent="0.3">
      <c r="B156" s="172" t="s">
        <v>185</v>
      </c>
      <c r="C156" s="172" t="s">
        <v>246</v>
      </c>
      <c r="D156" s="172" t="s">
        <v>221</v>
      </c>
      <c r="E156" s="172">
        <v>1.4366757487230001E-5</v>
      </c>
      <c r="F156" s="172">
        <v>25</v>
      </c>
      <c r="G156" s="172">
        <v>24</v>
      </c>
      <c r="H156" s="172">
        <v>6</v>
      </c>
      <c r="I156" s="172">
        <v>32</v>
      </c>
    </row>
    <row r="157" spans="2:9" hidden="1" x14ac:dyDescent="0.3">
      <c r="B157" s="172" t="s">
        <v>183</v>
      </c>
      <c r="C157" s="172" t="s">
        <v>79</v>
      </c>
      <c r="D157" s="172" t="s">
        <v>218</v>
      </c>
      <c r="E157" s="172">
        <v>5.8545815418583995E-4</v>
      </c>
      <c r="F157" s="172">
        <v>85</v>
      </c>
      <c r="G157" s="172">
        <v>19.25</v>
      </c>
      <c r="H157" s="172">
        <v>19.25</v>
      </c>
      <c r="I157" s="172">
        <v>28.5</v>
      </c>
    </row>
    <row r="158" spans="2:9" x14ac:dyDescent="0.3">
      <c r="B158" s="172" t="s">
        <v>183</v>
      </c>
      <c r="C158" s="172" t="s">
        <v>80</v>
      </c>
      <c r="D158" s="172" t="s">
        <v>218</v>
      </c>
      <c r="E158" s="172">
        <v>5.7914390832226198E-4</v>
      </c>
      <c r="F158" s="172">
        <v>76</v>
      </c>
      <c r="G158" s="172">
        <v>19</v>
      </c>
      <c r="H158" s="172">
        <v>0</v>
      </c>
      <c r="I158" s="172">
        <v>28.5</v>
      </c>
    </row>
    <row r="159" spans="2:9" hidden="1" x14ac:dyDescent="0.3">
      <c r="B159" s="172" t="s">
        <v>183</v>
      </c>
      <c r="C159" s="172" t="s">
        <v>81</v>
      </c>
      <c r="D159" s="172" t="s">
        <v>221</v>
      </c>
      <c r="E159" s="172">
        <v>6.6614316044335598E-4</v>
      </c>
      <c r="F159" s="172">
        <v>25</v>
      </c>
      <c r="G159" s="172">
        <v>24</v>
      </c>
      <c r="H159" s="172">
        <v>6</v>
      </c>
      <c r="I159" s="172">
        <v>28.5</v>
      </c>
    </row>
    <row r="160" spans="2:9" hidden="1" x14ac:dyDescent="0.3">
      <c r="B160" s="172" t="s">
        <v>183</v>
      </c>
      <c r="C160" s="172" t="s">
        <v>82</v>
      </c>
      <c r="D160" s="172" t="s">
        <v>221</v>
      </c>
      <c r="E160" s="172">
        <v>7.5513472687436102E-4</v>
      </c>
      <c r="F160" s="172">
        <v>64</v>
      </c>
      <c r="G160" s="172">
        <v>0</v>
      </c>
      <c r="H160" s="172">
        <v>19</v>
      </c>
      <c r="I160" s="172">
        <v>28.5</v>
      </c>
    </row>
    <row r="161" spans="2:9" hidden="1" x14ac:dyDescent="0.3">
      <c r="B161" s="172" t="s">
        <v>183</v>
      </c>
      <c r="C161" s="172" t="s">
        <v>246</v>
      </c>
      <c r="D161" s="172" t="s">
        <v>218</v>
      </c>
      <c r="E161" s="172">
        <v>4.66372855806329E-5</v>
      </c>
      <c r="F161" s="172">
        <v>76</v>
      </c>
      <c r="G161" s="172">
        <v>19</v>
      </c>
      <c r="H161" s="172">
        <v>0</v>
      </c>
      <c r="I161" s="172">
        <v>28.5</v>
      </c>
    </row>
    <row r="162" spans="2:9" hidden="1" x14ac:dyDescent="0.3">
      <c r="B162" s="172" t="s">
        <v>183</v>
      </c>
      <c r="C162" s="172" t="s">
        <v>246</v>
      </c>
      <c r="D162" s="172" t="s">
        <v>221</v>
      </c>
      <c r="E162" s="172">
        <v>1.38692849897275E-5</v>
      </c>
      <c r="F162" s="172">
        <v>25</v>
      </c>
      <c r="G162" s="172">
        <v>24</v>
      </c>
      <c r="H162" s="172">
        <v>6</v>
      </c>
      <c r="I162" s="172">
        <v>28.5</v>
      </c>
    </row>
    <row r="163" spans="2:9" hidden="1" x14ac:dyDescent="0.3">
      <c r="B163" s="172" t="s">
        <v>181</v>
      </c>
      <c r="C163" s="172" t="s">
        <v>79</v>
      </c>
      <c r="D163" s="172" t="s">
        <v>218</v>
      </c>
      <c r="E163" s="172">
        <v>7.0261666268476696E-4</v>
      </c>
      <c r="F163" s="172">
        <v>85</v>
      </c>
      <c r="G163" s="172">
        <v>19.25</v>
      </c>
      <c r="H163" s="172">
        <v>19.25</v>
      </c>
      <c r="I163" s="172">
        <v>25</v>
      </c>
    </row>
    <row r="164" spans="2:9" x14ac:dyDescent="0.3">
      <c r="B164" s="172" t="s">
        <v>181</v>
      </c>
      <c r="C164" s="172" t="s">
        <v>80</v>
      </c>
      <c r="D164" s="172" t="s">
        <v>218</v>
      </c>
      <c r="E164" s="172">
        <v>6.8470383264126501E-4</v>
      </c>
      <c r="F164" s="172">
        <v>76</v>
      </c>
      <c r="G164" s="172">
        <v>19</v>
      </c>
      <c r="H164" s="172">
        <v>0</v>
      </c>
      <c r="I164" s="172">
        <v>25</v>
      </c>
    </row>
    <row r="165" spans="2:9" hidden="1" x14ac:dyDescent="0.3">
      <c r="B165" s="172" t="s">
        <v>181</v>
      </c>
      <c r="C165" s="172" t="s">
        <v>81</v>
      </c>
      <c r="D165" s="172" t="s">
        <v>221</v>
      </c>
      <c r="E165" s="172">
        <v>7.7292755235561803E-4</v>
      </c>
      <c r="F165" s="172">
        <v>25</v>
      </c>
      <c r="G165" s="172">
        <v>24</v>
      </c>
      <c r="H165" s="172">
        <v>6</v>
      </c>
      <c r="I165" s="172">
        <v>25</v>
      </c>
    </row>
    <row r="166" spans="2:9" hidden="1" x14ac:dyDescent="0.3">
      <c r="B166" s="172" t="s">
        <v>181</v>
      </c>
      <c r="C166" s="172" t="s">
        <v>82</v>
      </c>
      <c r="D166" s="172" t="s">
        <v>221</v>
      </c>
      <c r="E166" s="172">
        <v>9.2978346146804596E-4</v>
      </c>
      <c r="F166" s="172">
        <v>64</v>
      </c>
      <c r="G166" s="172">
        <v>0</v>
      </c>
      <c r="H166" s="172">
        <v>19</v>
      </c>
      <c r="I166" s="172">
        <v>25</v>
      </c>
    </row>
    <row r="167" spans="2:9" hidden="1" x14ac:dyDescent="0.3">
      <c r="B167" s="172" t="s">
        <v>181</v>
      </c>
      <c r="C167" s="172" t="s">
        <v>246</v>
      </c>
      <c r="D167" s="172" t="s">
        <v>218</v>
      </c>
      <c r="E167" s="172">
        <v>4.2823538157578599E-5</v>
      </c>
      <c r="F167" s="172">
        <v>76</v>
      </c>
      <c r="G167" s="172">
        <v>19</v>
      </c>
      <c r="H167" s="172">
        <v>0</v>
      </c>
      <c r="I167" s="172">
        <v>25</v>
      </c>
    </row>
    <row r="168" spans="2:9" hidden="1" x14ac:dyDescent="0.3">
      <c r="B168" s="172" t="s">
        <v>181</v>
      </c>
      <c r="C168" s="172" t="s">
        <v>246</v>
      </c>
      <c r="D168" s="172" t="s">
        <v>221</v>
      </c>
      <c r="E168" s="172">
        <v>1.3350885985504899E-5</v>
      </c>
      <c r="F168" s="172">
        <v>19</v>
      </c>
      <c r="G168" s="172">
        <v>24</v>
      </c>
      <c r="H168" s="172">
        <v>10</v>
      </c>
      <c r="I168" s="172">
        <v>25</v>
      </c>
    </row>
    <row r="169" spans="2:9" hidden="1" x14ac:dyDescent="0.3">
      <c r="B169" s="172" t="s">
        <v>179</v>
      </c>
      <c r="C169" s="172" t="s">
        <v>79</v>
      </c>
      <c r="D169" s="172" t="s">
        <v>218</v>
      </c>
      <c r="E169" s="172">
        <v>7.9922112071589596E-4</v>
      </c>
      <c r="F169" s="172">
        <v>85</v>
      </c>
      <c r="G169" s="172">
        <v>19.25</v>
      </c>
      <c r="H169" s="172">
        <v>19.25</v>
      </c>
      <c r="I169" s="172">
        <v>21.5</v>
      </c>
    </row>
    <row r="170" spans="2:9" x14ac:dyDescent="0.3">
      <c r="B170" s="172" t="s">
        <v>179</v>
      </c>
      <c r="C170" s="172" t="s">
        <v>80</v>
      </c>
      <c r="D170" s="172" t="s">
        <v>218</v>
      </c>
      <c r="E170" s="172">
        <v>7.7040689522739304E-4</v>
      </c>
      <c r="F170" s="172">
        <v>76</v>
      </c>
      <c r="G170" s="172">
        <v>19</v>
      </c>
      <c r="H170" s="172">
        <v>0</v>
      </c>
      <c r="I170" s="172">
        <v>21.5</v>
      </c>
    </row>
    <row r="171" spans="2:9" hidden="1" x14ac:dyDescent="0.3">
      <c r="B171" s="172" t="s">
        <v>179</v>
      </c>
      <c r="C171" s="172" t="s">
        <v>81</v>
      </c>
      <c r="D171" s="172" t="s">
        <v>221</v>
      </c>
      <c r="E171" s="172">
        <v>8.8990490124612901E-4</v>
      </c>
      <c r="F171" s="172">
        <v>64</v>
      </c>
      <c r="G171" s="172">
        <v>0</v>
      </c>
      <c r="H171" s="172">
        <v>19</v>
      </c>
      <c r="I171" s="172">
        <v>21.5</v>
      </c>
    </row>
    <row r="172" spans="2:9" hidden="1" x14ac:dyDescent="0.3">
      <c r="B172" s="172" t="s">
        <v>179</v>
      </c>
      <c r="C172" s="172" t="s">
        <v>82</v>
      </c>
      <c r="D172" s="172" t="s">
        <v>221</v>
      </c>
      <c r="E172" s="172">
        <v>1.07665714983033E-3</v>
      </c>
      <c r="F172" s="172">
        <v>64</v>
      </c>
      <c r="G172" s="172">
        <v>0</v>
      </c>
      <c r="H172" s="172">
        <v>19</v>
      </c>
      <c r="I172" s="172">
        <v>21.5</v>
      </c>
    </row>
    <row r="173" spans="2:9" hidden="1" x14ac:dyDescent="0.3">
      <c r="B173" s="172" t="s">
        <v>179</v>
      </c>
      <c r="C173" s="172" t="s">
        <v>246</v>
      </c>
      <c r="D173" s="172" t="s">
        <v>218</v>
      </c>
      <c r="E173" s="172">
        <v>3.7743186841341702E-5</v>
      </c>
      <c r="F173" s="172">
        <v>76</v>
      </c>
      <c r="G173" s="172">
        <v>19</v>
      </c>
      <c r="H173" s="172">
        <v>0</v>
      </c>
      <c r="I173" s="172">
        <v>21.5</v>
      </c>
    </row>
    <row r="174" spans="2:9" hidden="1" x14ac:dyDescent="0.3">
      <c r="B174" s="172" t="s">
        <v>179</v>
      </c>
      <c r="C174" s="172" t="s">
        <v>246</v>
      </c>
      <c r="D174" s="172" t="s">
        <v>221</v>
      </c>
      <c r="E174" s="172">
        <v>1.2731536268827E-5</v>
      </c>
      <c r="F174" s="172">
        <v>25</v>
      </c>
      <c r="G174" s="172">
        <v>24</v>
      </c>
      <c r="H174" s="172">
        <v>6</v>
      </c>
      <c r="I174" s="172">
        <v>21.5</v>
      </c>
    </row>
    <row r="175" spans="2:9" hidden="1" x14ac:dyDescent="0.3">
      <c r="B175" s="172" t="s">
        <v>39</v>
      </c>
      <c r="C175" s="172" t="s">
        <v>79</v>
      </c>
      <c r="D175" s="172" t="s">
        <v>218</v>
      </c>
      <c r="E175" s="172">
        <v>8.7270411009491297E-4</v>
      </c>
      <c r="F175" s="172">
        <v>85</v>
      </c>
      <c r="G175" s="172">
        <v>19.25</v>
      </c>
      <c r="H175" s="172">
        <v>19.25</v>
      </c>
      <c r="I175" s="172">
        <v>18</v>
      </c>
    </row>
    <row r="176" spans="2:9" x14ac:dyDescent="0.3">
      <c r="B176" s="172" t="s">
        <v>39</v>
      </c>
      <c r="C176" s="172" t="s">
        <v>80</v>
      </c>
      <c r="D176" s="172" t="s">
        <v>218</v>
      </c>
      <c r="E176" s="172">
        <v>8.3090545923471899E-4</v>
      </c>
      <c r="F176" s="172">
        <v>76</v>
      </c>
      <c r="G176" s="172">
        <v>19</v>
      </c>
      <c r="H176" s="172">
        <v>0</v>
      </c>
      <c r="I176" s="172">
        <v>18</v>
      </c>
    </row>
    <row r="177" spans="2:9" hidden="1" x14ac:dyDescent="0.3">
      <c r="B177" s="172" t="s">
        <v>39</v>
      </c>
      <c r="C177" s="172" t="s">
        <v>81</v>
      </c>
      <c r="D177" s="172" t="s">
        <v>221</v>
      </c>
      <c r="E177" s="172">
        <v>9.9189810355048108E-4</v>
      </c>
      <c r="F177" s="172">
        <v>64</v>
      </c>
      <c r="G177" s="172">
        <v>0</v>
      </c>
      <c r="H177" s="172">
        <v>19</v>
      </c>
      <c r="I177" s="172">
        <v>18</v>
      </c>
    </row>
    <row r="178" spans="2:9" hidden="1" x14ac:dyDescent="0.3">
      <c r="B178" s="172" t="s">
        <v>39</v>
      </c>
      <c r="C178" s="172" t="s">
        <v>82</v>
      </c>
      <c r="D178" s="172" t="s">
        <v>221</v>
      </c>
      <c r="E178" s="172">
        <v>1.20155716349539E-3</v>
      </c>
      <c r="F178" s="172">
        <v>64</v>
      </c>
      <c r="G178" s="172">
        <v>0</v>
      </c>
      <c r="H178" s="172">
        <v>19</v>
      </c>
      <c r="I178" s="172">
        <v>18</v>
      </c>
    </row>
    <row r="179" spans="2:9" hidden="1" x14ac:dyDescent="0.3">
      <c r="B179" s="172" t="s">
        <v>39</v>
      </c>
      <c r="C179" s="172" t="s">
        <v>246</v>
      </c>
      <c r="D179" s="172" t="s">
        <v>218</v>
      </c>
      <c r="E179" s="172">
        <v>3.0941630365537499E-5</v>
      </c>
      <c r="F179" s="172">
        <v>76</v>
      </c>
      <c r="G179" s="172">
        <v>19</v>
      </c>
      <c r="H179" s="172">
        <v>0</v>
      </c>
      <c r="I179" s="172">
        <v>18</v>
      </c>
    </row>
    <row r="180" spans="2:9" hidden="1" x14ac:dyDescent="0.3">
      <c r="B180" s="172" t="s">
        <v>39</v>
      </c>
      <c r="C180" s="172" t="s">
        <v>246</v>
      </c>
      <c r="D180" s="172" t="s">
        <v>221</v>
      </c>
      <c r="E180" s="172">
        <v>1.3489207480603799E-5</v>
      </c>
      <c r="F180" s="172">
        <v>25</v>
      </c>
      <c r="G180" s="172">
        <v>24</v>
      </c>
      <c r="H180" s="172">
        <v>6</v>
      </c>
      <c r="I180" s="172">
        <v>18</v>
      </c>
    </row>
    <row r="181" spans="2:9" hidden="1" x14ac:dyDescent="0.3">
      <c r="B181" s="172" t="s">
        <v>26</v>
      </c>
      <c r="C181" s="172" t="s">
        <v>79</v>
      </c>
      <c r="D181" s="172" t="s">
        <v>218</v>
      </c>
      <c r="E181" s="172">
        <v>9.2659394544483502E-4</v>
      </c>
      <c r="F181" s="172">
        <v>85</v>
      </c>
      <c r="G181" s="172">
        <v>19.25</v>
      </c>
      <c r="H181" s="172">
        <v>19.25</v>
      </c>
      <c r="I181" s="172">
        <v>14.5</v>
      </c>
    </row>
    <row r="182" spans="2:9" x14ac:dyDescent="0.3">
      <c r="B182" s="172" t="s">
        <v>26</v>
      </c>
      <c r="C182" s="172" t="s">
        <v>80</v>
      </c>
      <c r="D182" s="172" t="s">
        <v>218</v>
      </c>
      <c r="E182" s="172">
        <v>8.7055003833774204E-4</v>
      </c>
      <c r="F182" s="172">
        <v>76</v>
      </c>
      <c r="G182" s="172">
        <v>19</v>
      </c>
      <c r="H182" s="172">
        <v>0</v>
      </c>
      <c r="I182" s="172">
        <v>14.5</v>
      </c>
    </row>
    <row r="183" spans="2:9" hidden="1" x14ac:dyDescent="0.3">
      <c r="B183" s="172" t="s">
        <v>26</v>
      </c>
      <c r="C183" s="172" t="s">
        <v>81</v>
      </c>
      <c r="D183" s="172" t="s">
        <v>221</v>
      </c>
      <c r="E183" s="172">
        <v>1.0765069171607799E-3</v>
      </c>
      <c r="F183" s="172">
        <v>64</v>
      </c>
      <c r="G183" s="172">
        <v>0</v>
      </c>
      <c r="H183" s="172">
        <v>19</v>
      </c>
      <c r="I183" s="172">
        <v>14.5</v>
      </c>
    </row>
    <row r="184" spans="2:9" hidden="1" x14ac:dyDescent="0.3">
      <c r="B184" s="172" t="s">
        <v>26</v>
      </c>
      <c r="C184" s="172" t="s">
        <v>82</v>
      </c>
      <c r="D184" s="172" t="s">
        <v>221</v>
      </c>
      <c r="E184" s="172">
        <v>1.3056929269384E-3</v>
      </c>
      <c r="F184" s="172">
        <v>64</v>
      </c>
      <c r="G184" s="172">
        <v>0</v>
      </c>
      <c r="H184" s="172">
        <v>19</v>
      </c>
      <c r="I184" s="172">
        <v>14.5</v>
      </c>
    </row>
    <row r="185" spans="2:9" hidden="1" x14ac:dyDescent="0.3">
      <c r="B185" s="172" t="s">
        <v>26</v>
      </c>
      <c r="C185" s="172" t="s">
        <v>246</v>
      </c>
      <c r="D185" s="172" t="s">
        <v>218</v>
      </c>
      <c r="E185" s="172">
        <v>2.07745237282814E-5</v>
      </c>
      <c r="F185" s="172">
        <v>76</v>
      </c>
      <c r="G185" s="172">
        <v>19</v>
      </c>
      <c r="H185" s="172">
        <v>0</v>
      </c>
      <c r="I185" s="172">
        <v>14.5</v>
      </c>
    </row>
    <row r="186" spans="2:9" hidden="1" x14ac:dyDescent="0.3">
      <c r="B186" s="172" t="s">
        <v>26</v>
      </c>
      <c r="C186" s="172" t="s">
        <v>246</v>
      </c>
      <c r="D186" s="172" t="s">
        <v>221</v>
      </c>
      <c r="E186" s="172">
        <v>1.05883777568345E-5</v>
      </c>
      <c r="F186" s="172">
        <v>25</v>
      </c>
      <c r="G186" s="172">
        <v>24</v>
      </c>
      <c r="H186" s="172">
        <v>6</v>
      </c>
      <c r="I186" s="172">
        <v>14.5</v>
      </c>
    </row>
    <row r="187" spans="2:9" hidden="1" x14ac:dyDescent="0.3">
      <c r="B187" s="172" t="s">
        <v>25</v>
      </c>
      <c r="C187" s="172" t="s">
        <v>79</v>
      </c>
      <c r="D187" s="172" t="s">
        <v>218</v>
      </c>
      <c r="E187" s="172">
        <v>9.6304493569586696E-4</v>
      </c>
      <c r="F187" s="172">
        <v>85</v>
      </c>
      <c r="G187" s="172">
        <v>19.25</v>
      </c>
      <c r="H187" s="172">
        <v>19.25</v>
      </c>
      <c r="I187" s="172">
        <v>11</v>
      </c>
    </row>
    <row r="188" spans="2:9" x14ac:dyDescent="0.3">
      <c r="B188" s="172" t="s">
        <v>25</v>
      </c>
      <c r="C188" s="172" t="s">
        <v>80</v>
      </c>
      <c r="D188" s="172" t="s">
        <v>218</v>
      </c>
      <c r="E188" s="172">
        <v>8.9588043386737795E-4</v>
      </c>
      <c r="F188" s="172">
        <v>76</v>
      </c>
      <c r="G188" s="172">
        <v>19</v>
      </c>
      <c r="H188" s="172">
        <v>0</v>
      </c>
      <c r="I188" s="172">
        <v>11</v>
      </c>
    </row>
    <row r="189" spans="2:9" hidden="1" x14ac:dyDescent="0.3">
      <c r="B189" s="172" t="s">
        <v>25</v>
      </c>
      <c r="C189" s="172" t="s">
        <v>81</v>
      </c>
      <c r="D189" s="172" t="s">
        <v>221</v>
      </c>
      <c r="E189" s="172">
        <v>1.13592111753064E-3</v>
      </c>
      <c r="F189" s="172">
        <v>64</v>
      </c>
      <c r="G189" s="172">
        <v>0</v>
      </c>
      <c r="H189" s="172">
        <v>19</v>
      </c>
      <c r="I189" s="172">
        <v>11</v>
      </c>
    </row>
    <row r="190" spans="2:9" hidden="1" x14ac:dyDescent="0.3">
      <c r="B190" s="172" t="s">
        <v>25</v>
      </c>
      <c r="C190" s="172" t="s">
        <v>82</v>
      </c>
      <c r="D190" s="172" t="s">
        <v>221</v>
      </c>
      <c r="E190" s="172">
        <v>1.3807775541973899E-3</v>
      </c>
      <c r="F190" s="172">
        <v>64</v>
      </c>
      <c r="G190" s="172">
        <v>0</v>
      </c>
      <c r="H190" s="172">
        <v>19</v>
      </c>
      <c r="I190" s="172">
        <v>11</v>
      </c>
    </row>
    <row r="191" spans="2:9" hidden="1" x14ac:dyDescent="0.3">
      <c r="B191" s="172" t="s">
        <v>25</v>
      </c>
      <c r="C191" s="172" t="s">
        <v>246</v>
      </c>
      <c r="D191" s="172" t="s">
        <v>218</v>
      </c>
      <c r="E191" s="172">
        <v>1.02236888884615E-5</v>
      </c>
      <c r="F191" s="172">
        <v>76</v>
      </c>
      <c r="G191" s="172">
        <v>19</v>
      </c>
      <c r="H191" s="172">
        <v>0</v>
      </c>
      <c r="I191" s="172">
        <v>11</v>
      </c>
    </row>
    <row r="192" spans="2:9" hidden="1" x14ac:dyDescent="0.3">
      <c r="B192" s="172" t="s">
        <v>25</v>
      </c>
      <c r="C192" s="172" t="s">
        <v>246</v>
      </c>
      <c r="D192" s="172" t="s">
        <v>221</v>
      </c>
      <c r="E192" s="172">
        <v>8.7190104024041992E-6</v>
      </c>
      <c r="F192" s="172">
        <v>19</v>
      </c>
      <c r="G192" s="172">
        <v>24</v>
      </c>
      <c r="H192" s="172">
        <v>10</v>
      </c>
      <c r="I192" s="172">
        <v>11</v>
      </c>
    </row>
    <row r="193" spans="2:9" hidden="1" x14ac:dyDescent="0.3">
      <c r="B193" s="172" t="s">
        <v>24</v>
      </c>
      <c r="C193" s="172" t="s">
        <v>79</v>
      </c>
      <c r="D193" s="172" t="s">
        <v>218</v>
      </c>
      <c r="E193" s="172">
        <v>9.6801099393643505E-4</v>
      </c>
      <c r="F193" s="172">
        <v>85</v>
      </c>
      <c r="G193" s="172">
        <v>19.25</v>
      </c>
      <c r="H193" s="172">
        <v>19.25</v>
      </c>
      <c r="I193" s="172">
        <v>7.5</v>
      </c>
    </row>
    <row r="194" spans="2:9" x14ac:dyDescent="0.3">
      <c r="B194" s="172" t="s">
        <v>24</v>
      </c>
      <c r="C194" s="172" t="s">
        <v>80</v>
      </c>
      <c r="D194" s="172" t="s">
        <v>218</v>
      </c>
      <c r="E194" s="172">
        <v>8.9596093589643002E-4</v>
      </c>
      <c r="F194" s="172">
        <v>76</v>
      </c>
      <c r="G194" s="172">
        <v>19</v>
      </c>
      <c r="H194" s="172">
        <v>0</v>
      </c>
      <c r="I194" s="172">
        <v>7.5</v>
      </c>
    </row>
    <row r="195" spans="2:9" hidden="1" x14ac:dyDescent="0.3">
      <c r="B195" s="172" t="s">
        <v>24</v>
      </c>
      <c r="C195" s="172" t="s">
        <v>81</v>
      </c>
      <c r="D195" s="172" t="s">
        <v>221</v>
      </c>
      <c r="E195" s="172">
        <v>1.13594956789369E-3</v>
      </c>
      <c r="F195" s="172">
        <v>64</v>
      </c>
      <c r="G195" s="172">
        <v>0</v>
      </c>
      <c r="H195" s="172">
        <v>19</v>
      </c>
      <c r="I195" s="172">
        <v>7.5</v>
      </c>
    </row>
    <row r="196" spans="2:9" hidden="1" x14ac:dyDescent="0.3">
      <c r="B196" s="172" t="s">
        <v>24</v>
      </c>
      <c r="C196" s="172" t="s">
        <v>82</v>
      </c>
      <c r="D196" s="172" t="s">
        <v>221</v>
      </c>
      <c r="E196" s="172">
        <v>1.3874999389756901E-3</v>
      </c>
      <c r="F196" s="172">
        <v>64</v>
      </c>
      <c r="G196" s="172">
        <v>0</v>
      </c>
      <c r="H196" s="172">
        <v>19</v>
      </c>
      <c r="I196" s="172">
        <v>7.5</v>
      </c>
    </row>
    <row r="197" spans="2:9" hidden="1" x14ac:dyDescent="0.3">
      <c r="B197" s="172" t="s">
        <v>24</v>
      </c>
      <c r="C197" s="172" t="s">
        <v>246</v>
      </c>
      <c r="D197" s="172" t="s">
        <v>218</v>
      </c>
      <c r="E197" s="172">
        <v>1.0506991222012001E-5</v>
      </c>
      <c r="F197" s="172">
        <v>85</v>
      </c>
      <c r="G197" s="172">
        <v>19.25</v>
      </c>
      <c r="H197" s="172">
        <v>19.25</v>
      </c>
      <c r="I197" s="172">
        <v>7.5</v>
      </c>
    </row>
    <row r="198" spans="2:9" hidden="1" x14ac:dyDescent="0.3">
      <c r="B198" s="172" t="s">
        <v>24</v>
      </c>
      <c r="C198" s="172" t="s">
        <v>246</v>
      </c>
      <c r="D198" s="172" t="s">
        <v>221</v>
      </c>
      <c r="E198" s="172">
        <v>7.9640469217029905E-6</v>
      </c>
      <c r="F198" s="172">
        <v>25</v>
      </c>
      <c r="G198" s="172">
        <v>24</v>
      </c>
      <c r="H198" s="172">
        <v>6</v>
      </c>
      <c r="I198" s="172">
        <v>7.5</v>
      </c>
    </row>
    <row r="199" spans="2:9" hidden="1" x14ac:dyDescent="0.3">
      <c r="B199" s="172" t="s">
        <v>22</v>
      </c>
      <c r="C199" s="172" t="s">
        <v>79</v>
      </c>
      <c r="D199" s="172" t="s">
        <v>218</v>
      </c>
      <c r="E199" s="172">
        <v>7.4196086714739399E-4</v>
      </c>
      <c r="F199" s="172">
        <v>14</v>
      </c>
      <c r="G199" s="172">
        <v>19</v>
      </c>
      <c r="H199" s="172">
        <v>19</v>
      </c>
      <c r="I199" s="172">
        <v>4</v>
      </c>
    </row>
    <row r="200" spans="2:9" x14ac:dyDescent="0.3">
      <c r="B200" s="172" t="s">
        <v>22</v>
      </c>
      <c r="C200" s="172" t="s">
        <v>80</v>
      </c>
      <c r="D200" s="172" t="s">
        <v>218</v>
      </c>
      <c r="E200" s="172">
        <v>7.0712440540922697E-4</v>
      </c>
      <c r="F200" s="172">
        <v>76</v>
      </c>
      <c r="G200" s="172">
        <v>19</v>
      </c>
      <c r="H200" s="172">
        <v>0</v>
      </c>
      <c r="I200" s="172">
        <v>4</v>
      </c>
    </row>
    <row r="201" spans="2:9" hidden="1" x14ac:dyDescent="0.3">
      <c r="B201" s="172" t="s">
        <v>22</v>
      </c>
      <c r="C201" s="172" t="s">
        <v>81</v>
      </c>
      <c r="D201" s="172" t="s">
        <v>221</v>
      </c>
      <c r="E201" s="172">
        <v>7.8836389987434598E-4</v>
      </c>
      <c r="F201" s="172">
        <v>64</v>
      </c>
      <c r="G201" s="172">
        <v>0</v>
      </c>
      <c r="H201" s="172">
        <v>19</v>
      </c>
      <c r="I201" s="172">
        <v>4</v>
      </c>
    </row>
    <row r="202" spans="2:9" hidden="1" x14ac:dyDescent="0.3">
      <c r="B202" s="172" t="s">
        <v>22</v>
      </c>
      <c r="C202" s="172" t="s">
        <v>82</v>
      </c>
      <c r="D202" s="172" t="s">
        <v>221</v>
      </c>
      <c r="E202" s="172">
        <v>9.8326731253982509E-4</v>
      </c>
      <c r="F202" s="172">
        <v>64</v>
      </c>
      <c r="G202" s="172">
        <v>0</v>
      </c>
      <c r="H202" s="172">
        <v>19</v>
      </c>
      <c r="I202" s="172">
        <v>4</v>
      </c>
    </row>
    <row r="203" spans="2:9" hidden="1" x14ac:dyDescent="0.3">
      <c r="B203" s="172" t="s">
        <v>22</v>
      </c>
      <c r="C203" s="172" t="s">
        <v>246</v>
      </c>
      <c r="D203" s="172" t="s">
        <v>218</v>
      </c>
      <c r="E203" s="172">
        <v>3.0851693201957499E-5</v>
      </c>
      <c r="F203" s="172">
        <v>14</v>
      </c>
      <c r="G203" s="172">
        <v>19</v>
      </c>
      <c r="H203" s="172">
        <v>19</v>
      </c>
      <c r="I203" s="172">
        <v>4</v>
      </c>
    </row>
    <row r="204" spans="2:9" hidden="1" x14ac:dyDescent="0.3">
      <c r="B204" s="172" t="s">
        <v>22</v>
      </c>
      <c r="C204" s="172" t="s">
        <v>246</v>
      </c>
      <c r="D204" s="172" t="s">
        <v>221</v>
      </c>
      <c r="E204" s="172">
        <v>1.2710300101555701E-5</v>
      </c>
      <c r="F204" s="172">
        <v>25</v>
      </c>
      <c r="G204" s="172">
        <v>24</v>
      </c>
      <c r="H204" s="172">
        <v>6</v>
      </c>
      <c r="I204" s="172">
        <v>4</v>
      </c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3.8300358398619499E-4</v>
      </c>
      <c r="F270" s="172">
        <v>19</v>
      </c>
      <c r="G270" s="172">
        <v>24</v>
      </c>
      <c r="H270" s="172">
        <v>10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3.7466494718556601E-4</v>
      </c>
      <c r="F271" s="172">
        <v>19</v>
      </c>
      <c r="G271" s="172">
        <v>24</v>
      </c>
      <c r="H271" s="172">
        <v>10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221</v>
      </c>
      <c r="E272" s="172">
        <v>4.9294495859436098E-5</v>
      </c>
      <c r="F272" s="172">
        <v>16</v>
      </c>
      <c r="G272" s="172">
        <v>19</v>
      </c>
      <c r="H272" s="172">
        <v>10</v>
      </c>
      <c r="I272" s="172">
        <v>38.5</v>
      </c>
    </row>
    <row r="273" spans="2:9" x14ac:dyDescent="0.3">
      <c r="B273" s="172" t="s">
        <v>189</v>
      </c>
      <c r="C273" s="172" t="s">
        <v>81</v>
      </c>
      <c r="D273" s="172" t="s">
        <v>221</v>
      </c>
      <c r="E273" s="172">
        <v>4.33216879361883E-4</v>
      </c>
      <c r="F273" s="172">
        <v>25</v>
      </c>
      <c r="G273" s="172">
        <v>24</v>
      </c>
      <c r="H273" s="172">
        <v>6</v>
      </c>
      <c r="I273" s="172">
        <v>38.5</v>
      </c>
    </row>
    <row r="274" spans="2:9" hidden="1" x14ac:dyDescent="0.3">
      <c r="B274" s="172" t="s">
        <v>189</v>
      </c>
      <c r="C274" s="172" t="s">
        <v>82</v>
      </c>
      <c r="D274" s="172" t="s">
        <v>221</v>
      </c>
      <c r="E274" s="172">
        <v>3.6863228703291998E-4</v>
      </c>
      <c r="F274" s="172">
        <v>25</v>
      </c>
      <c r="G274" s="172">
        <v>24</v>
      </c>
      <c r="H274" s="172">
        <v>6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218</v>
      </c>
      <c r="E275" s="172">
        <v>1.50827756967699E-4</v>
      </c>
      <c r="F275" s="172">
        <v>19</v>
      </c>
      <c r="G275" s="172">
        <v>24</v>
      </c>
      <c r="H275" s="172">
        <v>10</v>
      </c>
      <c r="I275" s="172">
        <v>38.5</v>
      </c>
    </row>
    <row r="276" spans="2:9" hidden="1" x14ac:dyDescent="0.3">
      <c r="B276" s="172" t="s">
        <v>189</v>
      </c>
      <c r="C276" s="172" t="s">
        <v>246</v>
      </c>
      <c r="D276" s="172" t="s">
        <v>221</v>
      </c>
      <c r="E276" s="172">
        <v>3.1707163286243101E-5</v>
      </c>
      <c r="F276" s="172">
        <v>16</v>
      </c>
      <c r="G276" s="172">
        <v>19</v>
      </c>
      <c r="H276" s="172">
        <v>10</v>
      </c>
      <c r="I276" s="172">
        <v>38.5</v>
      </c>
    </row>
    <row r="277" spans="2:9" hidden="1" x14ac:dyDescent="0.3">
      <c r="B277" s="172" t="s">
        <v>187</v>
      </c>
      <c r="C277" s="172" t="s">
        <v>79</v>
      </c>
      <c r="D277" s="172" t="s">
        <v>218</v>
      </c>
      <c r="E277" s="172">
        <v>2.9308493871906601E-4</v>
      </c>
      <c r="F277" s="172">
        <v>85</v>
      </c>
      <c r="G277" s="172">
        <v>19.25</v>
      </c>
      <c r="H277" s="172">
        <v>19.25</v>
      </c>
      <c r="I277" s="172">
        <v>35.5</v>
      </c>
    </row>
    <row r="278" spans="2:9" hidden="1" x14ac:dyDescent="0.3">
      <c r="B278" s="172" t="s">
        <v>187</v>
      </c>
      <c r="C278" s="172" t="s">
        <v>80</v>
      </c>
      <c r="D278" s="172" t="s">
        <v>218</v>
      </c>
      <c r="E278" s="172">
        <v>3.0844611310113098E-4</v>
      </c>
      <c r="F278" s="172">
        <v>76</v>
      </c>
      <c r="G278" s="172">
        <v>19</v>
      </c>
      <c r="H278" s="172">
        <v>0</v>
      </c>
      <c r="I278" s="172">
        <v>35.5</v>
      </c>
    </row>
    <row r="279" spans="2:9" x14ac:dyDescent="0.3">
      <c r="B279" s="172" t="s">
        <v>187</v>
      </c>
      <c r="C279" s="172" t="s">
        <v>81</v>
      </c>
      <c r="D279" s="172" t="s">
        <v>221</v>
      </c>
      <c r="E279" s="172">
        <v>3.8686837945759199E-4</v>
      </c>
      <c r="F279" s="172">
        <v>25</v>
      </c>
      <c r="G279" s="172">
        <v>24</v>
      </c>
      <c r="H279" s="172">
        <v>6</v>
      </c>
      <c r="I279" s="172">
        <v>35.5</v>
      </c>
    </row>
    <row r="280" spans="2:9" hidden="1" x14ac:dyDescent="0.3">
      <c r="B280" s="172" t="s">
        <v>187</v>
      </c>
      <c r="C280" s="172" t="s">
        <v>82</v>
      </c>
      <c r="D280" s="172" t="s">
        <v>221</v>
      </c>
      <c r="E280" s="172">
        <v>3.3055199346917601E-4</v>
      </c>
      <c r="F280" s="172">
        <v>64</v>
      </c>
      <c r="G280" s="172">
        <v>0</v>
      </c>
      <c r="H280" s="172">
        <v>19</v>
      </c>
      <c r="I280" s="172">
        <v>35.5</v>
      </c>
    </row>
    <row r="281" spans="2:9" hidden="1" x14ac:dyDescent="0.3">
      <c r="B281" s="172" t="s">
        <v>187</v>
      </c>
      <c r="C281" s="172" t="s">
        <v>246</v>
      </c>
      <c r="D281" s="172" t="s">
        <v>218</v>
      </c>
      <c r="E281" s="172">
        <v>4.5425963491479701E-5</v>
      </c>
      <c r="F281" s="172">
        <v>85</v>
      </c>
      <c r="G281" s="172">
        <v>19.25</v>
      </c>
      <c r="H281" s="172">
        <v>19.25</v>
      </c>
      <c r="I281" s="172">
        <v>35.5</v>
      </c>
    </row>
    <row r="282" spans="2:9" hidden="1" x14ac:dyDescent="0.3">
      <c r="B282" s="172" t="s">
        <v>187</v>
      </c>
      <c r="C282" s="172" t="s">
        <v>246</v>
      </c>
      <c r="D282" s="172" t="s">
        <v>221</v>
      </c>
      <c r="E282" s="172">
        <v>1.12590679659941E-5</v>
      </c>
      <c r="F282" s="172">
        <v>62</v>
      </c>
      <c r="G282" s="172">
        <v>0</v>
      </c>
      <c r="H282" s="172">
        <v>6</v>
      </c>
      <c r="I282" s="172">
        <v>35.5</v>
      </c>
    </row>
    <row r="283" spans="2:9" hidden="1" x14ac:dyDescent="0.3">
      <c r="B283" s="172" t="s">
        <v>185</v>
      </c>
      <c r="C283" s="172" t="s">
        <v>79</v>
      </c>
      <c r="D283" s="172" t="s">
        <v>218</v>
      </c>
      <c r="E283" s="172">
        <v>4.4697240977473402E-4</v>
      </c>
      <c r="F283" s="172">
        <v>85</v>
      </c>
      <c r="G283" s="172">
        <v>19.25</v>
      </c>
      <c r="H283" s="172">
        <v>19.25</v>
      </c>
      <c r="I283" s="172">
        <v>32</v>
      </c>
    </row>
    <row r="284" spans="2:9" hidden="1" x14ac:dyDescent="0.3">
      <c r="B284" s="172" t="s">
        <v>185</v>
      </c>
      <c r="C284" s="172" t="s">
        <v>80</v>
      </c>
      <c r="D284" s="172" t="s">
        <v>218</v>
      </c>
      <c r="E284" s="172">
        <v>4.5342836969485499E-4</v>
      </c>
      <c r="F284" s="172">
        <v>76</v>
      </c>
      <c r="G284" s="172">
        <v>19</v>
      </c>
      <c r="H284" s="172">
        <v>0</v>
      </c>
      <c r="I284" s="172">
        <v>32</v>
      </c>
    </row>
    <row r="285" spans="2:9" x14ac:dyDescent="0.3">
      <c r="B285" s="172" t="s">
        <v>185</v>
      </c>
      <c r="C285" s="172" t="s">
        <v>81</v>
      </c>
      <c r="D285" s="172" t="s">
        <v>221</v>
      </c>
      <c r="E285" s="172">
        <v>5.3726043302760099E-4</v>
      </c>
      <c r="F285" s="172">
        <v>25</v>
      </c>
      <c r="G285" s="172">
        <v>24</v>
      </c>
      <c r="H285" s="172">
        <v>6</v>
      </c>
      <c r="I285" s="172">
        <v>32</v>
      </c>
    </row>
    <row r="286" spans="2:9" hidden="1" x14ac:dyDescent="0.3">
      <c r="B286" s="172" t="s">
        <v>185</v>
      </c>
      <c r="C286" s="172" t="s">
        <v>82</v>
      </c>
      <c r="D286" s="172" t="s">
        <v>221</v>
      </c>
      <c r="E286" s="172">
        <v>5.4903818779589403E-4</v>
      </c>
      <c r="F286" s="172">
        <v>64</v>
      </c>
      <c r="G286" s="172">
        <v>0</v>
      </c>
      <c r="H286" s="172">
        <v>19</v>
      </c>
      <c r="I286" s="172">
        <v>32</v>
      </c>
    </row>
    <row r="287" spans="2:9" hidden="1" x14ac:dyDescent="0.3">
      <c r="B287" s="172" t="s">
        <v>185</v>
      </c>
      <c r="C287" s="172" t="s">
        <v>246</v>
      </c>
      <c r="D287" s="172" t="s">
        <v>218</v>
      </c>
      <c r="E287" s="172">
        <v>4.9740369287704997E-5</v>
      </c>
      <c r="F287" s="172">
        <v>76</v>
      </c>
      <c r="G287" s="172">
        <v>19</v>
      </c>
      <c r="H287" s="172">
        <v>0</v>
      </c>
      <c r="I287" s="172">
        <v>32</v>
      </c>
    </row>
    <row r="288" spans="2:9" hidden="1" x14ac:dyDescent="0.3">
      <c r="B288" s="172" t="s">
        <v>185</v>
      </c>
      <c r="C288" s="172" t="s">
        <v>246</v>
      </c>
      <c r="D288" s="172" t="s">
        <v>221</v>
      </c>
      <c r="E288" s="172">
        <v>1.4366757487230001E-5</v>
      </c>
      <c r="F288" s="172">
        <v>25</v>
      </c>
      <c r="G288" s="172">
        <v>24</v>
      </c>
      <c r="H288" s="172">
        <v>6</v>
      </c>
      <c r="I288" s="172">
        <v>32</v>
      </c>
    </row>
    <row r="289" spans="2:9" hidden="1" x14ac:dyDescent="0.3">
      <c r="B289" s="172" t="s">
        <v>183</v>
      </c>
      <c r="C289" s="172" t="s">
        <v>79</v>
      </c>
      <c r="D289" s="172" t="s">
        <v>218</v>
      </c>
      <c r="E289" s="172">
        <v>5.8545815418583995E-4</v>
      </c>
      <c r="F289" s="172">
        <v>85</v>
      </c>
      <c r="G289" s="172">
        <v>19.25</v>
      </c>
      <c r="H289" s="172">
        <v>19.25</v>
      </c>
      <c r="I289" s="172">
        <v>28.5</v>
      </c>
    </row>
    <row r="290" spans="2:9" hidden="1" x14ac:dyDescent="0.3">
      <c r="B290" s="172" t="s">
        <v>183</v>
      </c>
      <c r="C290" s="172" t="s">
        <v>80</v>
      </c>
      <c r="D290" s="172" t="s">
        <v>218</v>
      </c>
      <c r="E290" s="172">
        <v>5.7914390832226198E-4</v>
      </c>
      <c r="F290" s="172">
        <v>76</v>
      </c>
      <c r="G290" s="172">
        <v>19</v>
      </c>
      <c r="H290" s="172">
        <v>0</v>
      </c>
      <c r="I290" s="172">
        <v>28.5</v>
      </c>
    </row>
    <row r="291" spans="2:9" x14ac:dyDescent="0.3">
      <c r="B291" s="172" t="s">
        <v>183</v>
      </c>
      <c r="C291" s="172" t="s">
        <v>81</v>
      </c>
      <c r="D291" s="172" t="s">
        <v>221</v>
      </c>
      <c r="E291" s="172">
        <v>6.6614316044335598E-4</v>
      </c>
      <c r="F291" s="172">
        <v>25</v>
      </c>
      <c r="G291" s="172">
        <v>24</v>
      </c>
      <c r="H291" s="172">
        <v>6</v>
      </c>
      <c r="I291" s="172">
        <v>28.5</v>
      </c>
    </row>
    <row r="292" spans="2:9" hidden="1" x14ac:dyDescent="0.3">
      <c r="B292" s="172" t="s">
        <v>183</v>
      </c>
      <c r="C292" s="172" t="s">
        <v>82</v>
      </c>
      <c r="D292" s="172" t="s">
        <v>221</v>
      </c>
      <c r="E292" s="172">
        <v>7.5513472687436102E-4</v>
      </c>
      <c r="F292" s="172">
        <v>64</v>
      </c>
      <c r="G292" s="172">
        <v>0</v>
      </c>
      <c r="H292" s="172">
        <v>19</v>
      </c>
      <c r="I292" s="172">
        <v>28.5</v>
      </c>
    </row>
    <row r="293" spans="2:9" hidden="1" x14ac:dyDescent="0.3">
      <c r="B293" s="172" t="s">
        <v>183</v>
      </c>
      <c r="C293" s="172" t="s">
        <v>246</v>
      </c>
      <c r="D293" s="172" t="s">
        <v>218</v>
      </c>
      <c r="E293" s="172">
        <v>4.66372855806329E-5</v>
      </c>
      <c r="F293" s="172">
        <v>76</v>
      </c>
      <c r="G293" s="172">
        <v>19</v>
      </c>
      <c r="H293" s="172">
        <v>0</v>
      </c>
      <c r="I293" s="172">
        <v>28.5</v>
      </c>
    </row>
    <row r="294" spans="2:9" hidden="1" x14ac:dyDescent="0.3">
      <c r="B294" s="172" t="s">
        <v>183</v>
      </c>
      <c r="C294" s="172" t="s">
        <v>246</v>
      </c>
      <c r="D294" s="172" t="s">
        <v>221</v>
      </c>
      <c r="E294" s="172">
        <v>1.38692849897275E-5</v>
      </c>
      <c r="F294" s="172">
        <v>25</v>
      </c>
      <c r="G294" s="172">
        <v>24</v>
      </c>
      <c r="H294" s="172">
        <v>6</v>
      </c>
      <c r="I294" s="172">
        <v>28.5</v>
      </c>
    </row>
    <row r="295" spans="2:9" hidden="1" x14ac:dyDescent="0.3">
      <c r="B295" s="172" t="s">
        <v>181</v>
      </c>
      <c r="C295" s="172" t="s">
        <v>79</v>
      </c>
      <c r="D295" s="172" t="s">
        <v>218</v>
      </c>
      <c r="E295" s="172">
        <v>7.0261666268476696E-4</v>
      </c>
      <c r="F295" s="172">
        <v>85</v>
      </c>
      <c r="G295" s="172">
        <v>19.25</v>
      </c>
      <c r="H295" s="172">
        <v>19.25</v>
      </c>
      <c r="I295" s="172">
        <v>25</v>
      </c>
    </row>
    <row r="296" spans="2:9" hidden="1" x14ac:dyDescent="0.3">
      <c r="B296" s="172" t="s">
        <v>181</v>
      </c>
      <c r="C296" s="172" t="s">
        <v>80</v>
      </c>
      <c r="D296" s="172" t="s">
        <v>218</v>
      </c>
      <c r="E296" s="172">
        <v>6.8470383264126501E-4</v>
      </c>
      <c r="F296" s="172">
        <v>76</v>
      </c>
      <c r="G296" s="172">
        <v>19</v>
      </c>
      <c r="H296" s="172">
        <v>0</v>
      </c>
      <c r="I296" s="172">
        <v>25</v>
      </c>
    </row>
    <row r="297" spans="2:9" x14ac:dyDescent="0.3">
      <c r="B297" s="172" t="s">
        <v>181</v>
      </c>
      <c r="C297" s="172" t="s">
        <v>81</v>
      </c>
      <c r="D297" s="172" t="s">
        <v>221</v>
      </c>
      <c r="E297" s="172">
        <v>7.7292755235561803E-4</v>
      </c>
      <c r="F297" s="172">
        <v>25</v>
      </c>
      <c r="G297" s="172">
        <v>24</v>
      </c>
      <c r="H297" s="172">
        <v>6</v>
      </c>
      <c r="I297" s="172">
        <v>25</v>
      </c>
    </row>
    <row r="298" spans="2:9" hidden="1" x14ac:dyDescent="0.3">
      <c r="B298" s="172" t="s">
        <v>181</v>
      </c>
      <c r="C298" s="172" t="s">
        <v>82</v>
      </c>
      <c r="D298" s="172" t="s">
        <v>221</v>
      </c>
      <c r="E298" s="172">
        <v>9.2978346146804596E-4</v>
      </c>
      <c r="F298" s="172">
        <v>64</v>
      </c>
      <c r="G298" s="172">
        <v>0</v>
      </c>
      <c r="H298" s="172">
        <v>19</v>
      </c>
      <c r="I298" s="172">
        <v>25</v>
      </c>
    </row>
    <row r="299" spans="2:9" hidden="1" x14ac:dyDescent="0.3">
      <c r="B299" s="172" t="s">
        <v>181</v>
      </c>
      <c r="C299" s="172" t="s">
        <v>246</v>
      </c>
      <c r="D299" s="172" t="s">
        <v>218</v>
      </c>
      <c r="E299" s="172">
        <v>4.2823538157578599E-5</v>
      </c>
      <c r="F299" s="172">
        <v>76</v>
      </c>
      <c r="G299" s="172">
        <v>19</v>
      </c>
      <c r="H299" s="172">
        <v>0</v>
      </c>
      <c r="I299" s="172">
        <v>25</v>
      </c>
    </row>
    <row r="300" spans="2:9" hidden="1" x14ac:dyDescent="0.3">
      <c r="B300" s="172" t="s">
        <v>181</v>
      </c>
      <c r="C300" s="172" t="s">
        <v>246</v>
      </c>
      <c r="D300" s="172" t="s">
        <v>221</v>
      </c>
      <c r="E300" s="172">
        <v>1.3350885985504899E-5</v>
      </c>
      <c r="F300" s="172">
        <v>19</v>
      </c>
      <c r="G300" s="172">
        <v>24</v>
      </c>
      <c r="H300" s="172">
        <v>10</v>
      </c>
      <c r="I300" s="172">
        <v>25</v>
      </c>
    </row>
    <row r="301" spans="2:9" hidden="1" x14ac:dyDescent="0.3">
      <c r="B301" s="172" t="s">
        <v>179</v>
      </c>
      <c r="C301" s="172" t="s">
        <v>79</v>
      </c>
      <c r="D301" s="172" t="s">
        <v>218</v>
      </c>
      <c r="E301" s="172">
        <v>7.9922112071589596E-4</v>
      </c>
      <c r="F301" s="172">
        <v>85</v>
      </c>
      <c r="G301" s="172">
        <v>19.25</v>
      </c>
      <c r="H301" s="172">
        <v>19.25</v>
      </c>
      <c r="I301" s="172">
        <v>21.5</v>
      </c>
    </row>
    <row r="302" spans="2:9" hidden="1" x14ac:dyDescent="0.3">
      <c r="B302" s="172" t="s">
        <v>179</v>
      </c>
      <c r="C302" s="172" t="s">
        <v>80</v>
      </c>
      <c r="D302" s="172" t="s">
        <v>218</v>
      </c>
      <c r="E302" s="172">
        <v>7.7040689522739304E-4</v>
      </c>
      <c r="F302" s="172">
        <v>76</v>
      </c>
      <c r="G302" s="172">
        <v>19</v>
      </c>
      <c r="H302" s="172">
        <v>0</v>
      </c>
      <c r="I302" s="172">
        <v>21.5</v>
      </c>
    </row>
    <row r="303" spans="2:9" x14ac:dyDescent="0.3">
      <c r="B303" s="172" t="s">
        <v>179</v>
      </c>
      <c r="C303" s="172" t="s">
        <v>81</v>
      </c>
      <c r="D303" s="172" t="s">
        <v>221</v>
      </c>
      <c r="E303" s="172">
        <v>8.8990490124612901E-4</v>
      </c>
      <c r="F303" s="172">
        <v>64</v>
      </c>
      <c r="G303" s="172">
        <v>0</v>
      </c>
      <c r="H303" s="172">
        <v>19</v>
      </c>
      <c r="I303" s="172">
        <v>21.5</v>
      </c>
    </row>
    <row r="304" spans="2:9" hidden="1" x14ac:dyDescent="0.3">
      <c r="B304" s="172" t="s">
        <v>179</v>
      </c>
      <c r="C304" s="172" t="s">
        <v>82</v>
      </c>
      <c r="D304" s="172" t="s">
        <v>221</v>
      </c>
      <c r="E304" s="172">
        <v>1.07665714983033E-3</v>
      </c>
      <c r="F304" s="172">
        <v>64</v>
      </c>
      <c r="G304" s="172">
        <v>0</v>
      </c>
      <c r="H304" s="172">
        <v>19</v>
      </c>
      <c r="I304" s="172">
        <v>21.5</v>
      </c>
    </row>
    <row r="305" spans="2:9" hidden="1" x14ac:dyDescent="0.3">
      <c r="B305" s="172" t="s">
        <v>179</v>
      </c>
      <c r="C305" s="172" t="s">
        <v>246</v>
      </c>
      <c r="D305" s="172" t="s">
        <v>218</v>
      </c>
      <c r="E305" s="172">
        <v>3.7743186841341702E-5</v>
      </c>
      <c r="F305" s="172">
        <v>76</v>
      </c>
      <c r="G305" s="172">
        <v>19</v>
      </c>
      <c r="H305" s="172">
        <v>0</v>
      </c>
      <c r="I305" s="172">
        <v>21.5</v>
      </c>
    </row>
    <row r="306" spans="2:9" hidden="1" x14ac:dyDescent="0.3">
      <c r="B306" s="172" t="s">
        <v>179</v>
      </c>
      <c r="C306" s="172" t="s">
        <v>246</v>
      </c>
      <c r="D306" s="172" t="s">
        <v>221</v>
      </c>
      <c r="E306" s="172">
        <v>1.2731536268827E-5</v>
      </c>
      <c r="F306" s="172">
        <v>25</v>
      </c>
      <c r="G306" s="172">
        <v>24</v>
      </c>
      <c r="H306" s="172">
        <v>6</v>
      </c>
      <c r="I306" s="172">
        <v>21.5</v>
      </c>
    </row>
    <row r="307" spans="2:9" hidden="1" x14ac:dyDescent="0.3">
      <c r="B307" s="172" t="s">
        <v>39</v>
      </c>
      <c r="C307" s="172" t="s">
        <v>79</v>
      </c>
      <c r="D307" s="172" t="s">
        <v>218</v>
      </c>
      <c r="E307" s="172">
        <v>8.7270411009491297E-4</v>
      </c>
      <c r="F307" s="172">
        <v>85</v>
      </c>
      <c r="G307" s="172">
        <v>19.25</v>
      </c>
      <c r="H307" s="172">
        <v>19.25</v>
      </c>
      <c r="I307" s="172">
        <v>18</v>
      </c>
    </row>
    <row r="308" spans="2:9" hidden="1" x14ac:dyDescent="0.3">
      <c r="B308" s="172" t="s">
        <v>39</v>
      </c>
      <c r="C308" s="172" t="s">
        <v>80</v>
      </c>
      <c r="D308" s="172" t="s">
        <v>218</v>
      </c>
      <c r="E308" s="172">
        <v>8.3090545923471899E-4</v>
      </c>
      <c r="F308" s="172">
        <v>76</v>
      </c>
      <c r="G308" s="172">
        <v>19</v>
      </c>
      <c r="H308" s="172">
        <v>0</v>
      </c>
      <c r="I308" s="172">
        <v>18</v>
      </c>
    </row>
    <row r="309" spans="2:9" x14ac:dyDescent="0.3">
      <c r="B309" s="172" t="s">
        <v>39</v>
      </c>
      <c r="C309" s="172" t="s">
        <v>81</v>
      </c>
      <c r="D309" s="172" t="s">
        <v>221</v>
      </c>
      <c r="E309" s="172">
        <v>9.9189810355048108E-4</v>
      </c>
      <c r="F309" s="172">
        <v>64</v>
      </c>
      <c r="G309" s="172">
        <v>0</v>
      </c>
      <c r="H309" s="172">
        <v>19</v>
      </c>
      <c r="I309" s="172">
        <v>18</v>
      </c>
    </row>
    <row r="310" spans="2:9" hidden="1" x14ac:dyDescent="0.3">
      <c r="B310" s="172" t="s">
        <v>39</v>
      </c>
      <c r="C310" s="172" t="s">
        <v>82</v>
      </c>
      <c r="D310" s="172" t="s">
        <v>221</v>
      </c>
      <c r="E310" s="172">
        <v>1.20155716349539E-3</v>
      </c>
      <c r="F310" s="172">
        <v>64</v>
      </c>
      <c r="G310" s="172">
        <v>0</v>
      </c>
      <c r="H310" s="172">
        <v>19</v>
      </c>
      <c r="I310" s="172">
        <v>18</v>
      </c>
    </row>
    <row r="311" spans="2:9" hidden="1" x14ac:dyDescent="0.3">
      <c r="B311" s="172" t="s">
        <v>39</v>
      </c>
      <c r="C311" s="172" t="s">
        <v>246</v>
      </c>
      <c r="D311" s="172" t="s">
        <v>218</v>
      </c>
      <c r="E311" s="172">
        <v>3.0941630365537499E-5</v>
      </c>
      <c r="F311" s="172">
        <v>76</v>
      </c>
      <c r="G311" s="172">
        <v>19</v>
      </c>
      <c r="H311" s="172">
        <v>0</v>
      </c>
      <c r="I311" s="172">
        <v>18</v>
      </c>
    </row>
    <row r="312" spans="2:9" hidden="1" x14ac:dyDescent="0.3">
      <c r="B312" s="172" t="s">
        <v>39</v>
      </c>
      <c r="C312" s="172" t="s">
        <v>246</v>
      </c>
      <c r="D312" s="172" t="s">
        <v>221</v>
      </c>
      <c r="E312" s="172">
        <v>1.3489207480603799E-5</v>
      </c>
      <c r="F312" s="172">
        <v>25</v>
      </c>
      <c r="G312" s="172">
        <v>24</v>
      </c>
      <c r="H312" s="172">
        <v>6</v>
      </c>
      <c r="I312" s="172">
        <v>18</v>
      </c>
    </row>
    <row r="313" spans="2:9" hidden="1" x14ac:dyDescent="0.3">
      <c r="B313" s="172" t="s">
        <v>26</v>
      </c>
      <c r="C313" s="172" t="s">
        <v>79</v>
      </c>
      <c r="D313" s="172" t="s">
        <v>218</v>
      </c>
      <c r="E313" s="172">
        <v>9.2659394544483502E-4</v>
      </c>
      <c r="F313" s="172">
        <v>85</v>
      </c>
      <c r="G313" s="172">
        <v>19.25</v>
      </c>
      <c r="H313" s="172">
        <v>19.25</v>
      </c>
      <c r="I313" s="172">
        <v>14.5</v>
      </c>
    </row>
    <row r="314" spans="2:9" hidden="1" x14ac:dyDescent="0.3">
      <c r="B314" s="172" t="s">
        <v>26</v>
      </c>
      <c r="C314" s="172" t="s">
        <v>80</v>
      </c>
      <c r="D314" s="172" t="s">
        <v>218</v>
      </c>
      <c r="E314" s="172">
        <v>8.7055003833774204E-4</v>
      </c>
      <c r="F314" s="172">
        <v>76</v>
      </c>
      <c r="G314" s="172">
        <v>19</v>
      </c>
      <c r="H314" s="172">
        <v>0</v>
      </c>
      <c r="I314" s="172">
        <v>14.5</v>
      </c>
    </row>
    <row r="315" spans="2:9" x14ac:dyDescent="0.3">
      <c r="B315" s="172" t="s">
        <v>26</v>
      </c>
      <c r="C315" s="172" t="s">
        <v>81</v>
      </c>
      <c r="D315" s="172" t="s">
        <v>221</v>
      </c>
      <c r="E315" s="172">
        <v>1.0765069171607799E-3</v>
      </c>
      <c r="F315" s="172">
        <v>64</v>
      </c>
      <c r="G315" s="172">
        <v>0</v>
      </c>
      <c r="H315" s="172">
        <v>19</v>
      </c>
      <c r="I315" s="172">
        <v>14.5</v>
      </c>
    </row>
    <row r="316" spans="2:9" hidden="1" x14ac:dyDescent="0.3">
      <c r="B316" s="172" t="s">
        <v>26</v>
      </c>
      <c r="C316" s="172" t="s">
        <v>82</v>
      </c>
      <c r="D316" s="172" t="s">
        <v>221</v>
      </c>
      <c r="E316" s="172">
        <v>1.3056929269384E-3</v>
      </c>
      <c r="F316" s="172">
        <v>64</v>
      </c>
      <c r="G316" s="172">
        <v>0</v>
      </c>
      <c r="H316" s="172">
        <v>19</v>
      </c>
      <c r="I316" s="172">
        <v>14.5</v>
      </c>
    </row>
    <row r="317" spans="2:9" hidden="1" x14ac:dyDescent="0.3">
      <c r="B317" s="172" t="s">
        <v>26</v>
      </c>
      <c r="C317" s="172" t="s">
        <v>246</v>
      </c>
      <c r="D317" s="172" t="s">
        <v>218</v>
      </c>
      <c r="E317" s="172">
        <v>2.07745237282814E-5</v>
      </c>
      <c r="F317" s="172">
        <v>76</v>
      </c>
      <c r="G317" s="172">
        <v>19</v>
      </c>
      <c r="H317" s="172">
        <v>0</v>
      </c>
      <c r="I317" s="172">
        <v>14.5</v>
      </c>
    </row>
    <row r="318" spans="2:9" hidden="1" x14ac:dyDescent="0.3">
      <c r="B318" s="172" t="s">
        <v>26</v>
      </c>
      <c r="C318" s="172" t="s">
        <v>246</v>
      </c>
      <c r="D318" s="172" t="s">
        <v>221</v>
      </c>
      <c r="E318" s="172">
        <v>1.05883777568345E-5</v>
      </c>
      <c r="F318" s="172">
        <v>25</v>
      </c>
      <c r="G318" s="172">
        <v>24</v>
      </c>
      <c r="H318" s="172">
        <v>6</v>
      </c>
      <c r="I318" s="172">
        <v>14.5</v>
      </c>
    </row>
    <row r="319" spans="2:9" hidden="1" x14ac:dyDescent="0.3">
      <c r="B319" s="172" t="s">
        <v>25</v>
      </c>
      <c r="C319" s="172" t="s">
        <v>79</v>
      </c>
      <c r="D319" s="172" t="s">
        <v>218</v>
      </c>
      <c r="E319" s="172">
        <v>9.6304493569586696E-4</v>
      </c>
      <c r="F319" s="172">
        <v>85</v>
      </c>
      <c r="G319" s="172">
        <v>19.25</v>
      </c>
      <c r="H319" s="172">
        <v>19.25</v>
      </c>
      <c r="I319" s="172">
        <v>11</v>
      </c>
    </row>
    <row r="320" spans="2:9" hidden="1" x14ac:dyDescent="0.3">
      <c r="B320" s="172" t="s">
        <v>25</v>
      </c>
      <c r="C320" s="172" t="s">
        <v>80</v>
      </c>
      <c r="D320" s="172" t="s">
        <v>218</v>
      </c>
      <c r="E320" s="172">
        <v>8.9588043386737795E-4</v>
      </c>
      <c r="F320" s="172">
        <v>76</v>
      </c>
      <c r="G320" s="172">
        <v>19</v>
      </c>
      <c r="H320" s="172">
        <v>0</v>
      </c>
      <c r="I320" s="172">
        <v>11</v>
      </c>
    </row>
    <row r="321" spans="2:9" x14ac:dyDescent="0.3">
      <c r="B321" s="172" t="s">
        <v>25</v>
      </c>
      <c r="C321" s="172" t="s">
        <v>81</v>
      </c>
      <c r="D321" s="172" t="s">
        <v>221</v>
      </c>
      <c r="E321" s="172">
        <v>1.13592111753064E-3</v>
      </c>
      <c r="F321" s="172">
        <v>64</v>
      </c>
      <c r="G321" s="172">
        <v>0</v>
      </c>
      <c r="H321" s="172">
        <v>19</v>
      </c>
      <c r="I321" s="172">
        <v>11</v>
      </c>
    </row>
    <row r="322" spans="2:9" hidden="1" x14ac:dyDescent="0.3">
      <c r="B322" s="172" t="s">
        <v>25</v>
      </c>
      <c r="C322" s="172" t="s">
        <v>82</v>
      </c>
      <c r="D322" s="172" t="s">
        <v>221</v>
      </c>
      <c r="E322" s="172">
        <v>1.3807775541973899E-3</v>
      </c>
      <c r="F322" s="172">
        <v>64</v>
      </c>
      <c r="G322" s="172">
        <v>0</v>
      </c>
      <c r="H322" s="172">
        <v>19</v>
      </c>
      <c r="I322" s="172">
        <v>11</v>
      </c>
    </row>
    <row r="323" spans="2:9" hidden="1" x14ac:dyDescent="0.3">
      <c r="B323" s="172" t="s">
        <v>25</v>
      </c>
      <c r="C323" s="172" t="s">
        <v>246</v>
      </c>
      <c r="D323" s="172" t="s">
        <v>218</v>
      </c>
      <c r="E323" s="172">
        <v>1.02236888884615E-5</v>
      </c>
      <c r="F323" s="172">
        <v>76</v>
      </c>
      <c r="G323" s="172">
        <v>19</v>
      </c>
      <c r="H323" s="172">
        <v>0</v>
      </c>
      <c r="I323" s="172">
        <v>11</v>
      </c>
    </row>
    <row r="324" spans="2:9" hidden="1" x14ac:dyDescent="0.3">
      <c r="B324" s="172" t="s">
        <v>25</v>
      </c>
      <c r="C324" s="172" t="s">
        <v>246</v>
      </c>
      <c r="D324" s="172" t="s">
        <v>221</v>
      </c>
      <c r="E324" s="172">
        <v>8.7190104024041992E-6</v>
      </c>
      <c r="F324" s="172">
        <v>19</v>
      </c>
      <c r="G324" s="172">
        <v>24</v>
      </c>
      <c r="H324" s="172">
        <v>10</v>
      </c>
      <c r="I324" s="172">
        <v>11</v>
      </c>
    </row>
    <row r="325" spans="2:9" hidden="1" x14ac:dyDescent="0.3">
      <c r="B325" s="172" t="s">
        <v>24</v>
      </c>
      <c r="C325" s="172" t="s">
        <v>79</v>
      </c>
      <c r="D325" s="172" t="s">
        <v>218</v>
      </c>
      <c r="E325" s="172">
        <v>9.6801099393643505E-4</v>
      </c>
      <c r="F325" s="172">
        <v>85</v>
      </c>
      <c r="G325" s="172">
        <v>19.25</v>
      </c>
      <c r="H325" s="172">
        <v>19.25</v>
      </c>
      <c r="I325" s="172">
        <v>7.5</v>
      </c>
    </row>
    <row r="326" spans="2:9" hidden="1" x14ac:dyDescent="0.3">
      <c r="B326" s="172" t="s">
        <v>24</v>
      </c>
      <c r="C326" s="172" t="s">
        <v>80</v>
      </c>
      <c r="D326" s="172" t="s">
        <v>218</v>
      </c>
      <c r="E326" s="172">
        <v>8.9596093589643002E-4</v>
      </c>
      <c r="F326" s="172">
        <v>76</v>
      </c>
      <c r="G326" s="172">
        <v>19</v>
      </c>
      <c r="H326" s="172">
        <v>0</v>
      </c>
      <c r="I326" s="172">
        <v>7.5</v>
      </c>
    </row>
    <row r="327" spans="2:9" x14ac:dyDescent="0.3">
      <c r="B327" s="172" t="s">
        <v>24</v>
      </c>
      <c r="C327" s="172" t="s">
        <v>81</v>
      </c>
      <c r="D327" s="172" t="s">
        <v>221</v>
      </c>
      <c r="E327" s="172">
        <v>1.13594956789369E-3</v>
      </c>
      <c r="F327" s="172">
        <v>64</v>
      </c>
      <c r="G327" s="172">
        <v>0</v>
      </c>
      <c r="H327" s="172">
        <v>19</v>
      </c>
      <c r="I327" s="172">
        <v>7.5</v>
      </c>
    </row>
    <row r="328" spans="2:9" hidden="1" x14ac:dyDescent="0.3">
      <c r="B328" s="172" t="s">
        <v>24</v>
      </c>
      <c r="C328" s="172" t="s">
        <v>82</v>
      </c>
      <c r="D328" s="172" t="s">
        <v>221</v>
      </c>
      <c r="E328" s="172">
        <v>1.3874999389756901E-3</v>
      </c>
      <c r="F328" s="172">
        <v>64</v>
      </c>
      <c r="G328" s="172">
        <v>0</v>
      </c>
      <c r="H328" s="172">
        <v>19</v>
      </c>
      <c r="I328" s="172">
        <v>7.5</v>
      </c>
    </row>
    <row r="329" spans="2:9" hidden="1" x14ac:dyDescent="0.3">
      <c r="B329" s="172" t="s">
        <v>24</v>
      </c>
      <c r="C329" s="172" t="s">
        <v>246</v>
      </c>
      <c r="D329" s="172" t="s">
        <v>218</v>
      </c>
      <c r="E329" s="172">
        <v>1.0506991222012001E-5</v>
      </c>
      <c r="F329" s="172">
        <v>85</v>
      </c>
      <c r="G329" s="172">
        <v>19.25</v>
      </c>
      <c r="H329" s="172">
        <v>19.25</v>
      </c>
      <c r="I329" s="172">
        <v>7.5</v>
      </c>
    </row>
    <row r="330" spans="2:9" hidden="1" x14ac:dyDescent="0.3">
      <c r="B330" s="172" t="s">
        <v>24</v>
      </c>
      <c r="C330" s="172" t="s">
        <v>246</v>
      </c>
      <c r="D330" s="172" t="s">
        <v>221</v>
      </c>
      <c r="E330" s="172">
        <v>7.9640469217029905E-6</v>
      </c>
      <c r="F330" s="172">
        <v>25</v>
      </c>
      <c r="G330" s="172">
        <v>24</v>
      </c>
      <c r="H330" s="172">
        <v>6</v>
      </c>
      <c r="I330" s="172">
        <v>7.5</v>
      </c>
    </row>
    <row r="331" spans="2:9" hidden="1" x14ac:dyDescent="0.3">
      <c r="B331" s="172" t="s">
        <v>22</v>
      </c>
      <c r="C331" s="172" t="s">
        <v>79</v>
      </c>
      <c r="D331" s="172" t="s">
        <v>218</v>
      </c>
      <c r="E331" s="172">
        <v>7.4196086714739399E-4</v>
      </c>
      <c r="F331" s="172">
        <v>14</v>
      </c>
      <c r="G331" s="172">
        <v>19</v>
      </c>
      <c r="H331" s="172">
        <v>19</v>
      </c>
      <c r="I331" s="172">
        <v>4</v>
      </c>
    </row>
    <row r="332" spans="2:9" hidden="1" x14ac:dyDescent="0.3">
      <c r="B332" s="172" t="s">
        <v>22</v>
      </c>
      <c r="C332" s="172" t="s">
        <v>80</v>
      </c>
      <c r="D332" s="172" t="s">
        <v>218</v>
      </c>
      <c r="E332" s="172">
        <v>7.0712440540922697E-4</v>
      </c>
      <c r="F332" s="172">
        <v>76</v>
      </c>
      <c r="G332" s="172">
        <v>19</v>
      </c>
      <c r="H332" s="172">
        <v>0</v>
      </c>
      <c r="I332" s="172">
        <v>4</v>
      </c>
    </row>
    <row r="333" spans="2:9" x14ac:dyDescent="0.3">
      <c r="B333" s="172" t="s">
        <v>22</v>
      </c>
      <c r="C333" s="172" t="s">
        <v>81</v>
      </c>
      <c r="D333" s="172" t="s">
        <v>221</v>
      </c>
      <c r="E333" s="172">
        <v>7.8836389987434598E-4</v>
      </c>
      <c r="F333" s="172">
        <v>64</v>
      </c>
      <c r="G333" s="172">
        <v>0</v>
      </c>
      <c r="H333" s="172">
        <v>19</v>
      </c>
      <c r="I333" s="172">
        <v>4</v>
      </c>
    </row>
    <row r="334" spans="2:9" hidden="1" x14ac:dyDescent="0.3">
      <c r="B334" s="172" t="s">
        <v>22</v>
      </c>
      <c r="C334" s="172" t="s">
        <v>82</v>
      </c>
      <c r="D334" s="172" t="s">
        <v>221</v>
      </c>
      <c r="E334" s="172">
        <v>9.8326731253982509E-4</v>
      </c>
      <c r="F334" s="172">
        <v>64</v>
      </c>
      <c r="G334" s="172">
        <v>0</v>
      </c>
      <c r="H334" s="172">
        <v>19</v>
      </c>
      <c r="I334" s="172">
        <v>4</v>
      </c>
    </row>
    <row r="335" spans="2:9" hidden="1" x14ac:dyDescent="0.3">
      <c r="B335" s="172" t="s">
        <v>22</v>
      </c>
      <c r="C335" s="172" t="s">
        <v>246</v>
      </c>
      <c r="D335" s="172" t="s">
        <v>218</v>
      </c>
      <c r="E335" s="172">
        <v>3.0851693201957499E-5</v>
      </c>
      <c r="F335" s="172">
        <v>14</v>
      </c>
      <c r="G335" s="172">
        <v>19</v>
      </c>
      <c r="H335" s="172">
        <v>19</v>
      </c>
      <c r="I335" s="172">
        <v>4</v>
      </c>
    </row>
    <row r="336" spans="2:9" hidden="1" x14ac:dyDescent="0.3">
      <c r="B336" s="172" t="s">
        <v>22</v>
      </c>
      <c r="C336" s="172" t="s">
        <v>246</v>
      </c>
      <c r="D336" s="172" t="s">
        <v>221</v>
      </c>
      <c r="E336" s="172">
        <v>1.2710300101555701E-5</v>
      </c>
      <c r="F336" s="172">
        <v>25</v>
      </c>
      <c r="G336" s="172">
        <v>24</v>
      </c>
      <c r="H336" s="172">
        <v>6</v>
      </c>
      <c r="I336" s="172">
        <v>4</v>
      </c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3.8300358398619499E-4</v>
      </c>
      <c r="F402" s="172">
        <v>19</v>
      </c>
      <c r="G402" s="172">
        <v>24</v>
      </c>
      <c r="H402" s="172">
        <v>10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3.7466494718556601E-4</v>
      </c>
      <c r="F403" s="172">
        <v>19</v>
      </c>
      <c r="G403" s="172">
        <v>24</v>
      </c>
      <c r="H403" s="172">
        <v>10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221</v>
      </c>
      <c r="E404" s="172">
        <v>4.9294495859436098E-5</v>
      </c>
      <c r="F404" s="172">
        <v>16</v>
      </c>
      <c r="G404" s="172">
        <v>19</v>
      </c>
      <c r="H404" s="172">
        <v>10</v>
      </c>
      <c r="I404" s="172">
        <v>38.5</v>
      </c>
    </row>
    <row r="405" spans="2:9" hidden="1" x14ac:dyDescent="0.3">
      <c r="B405" s="172" t="s">
        <v>189</v>
      </c>
      <c r="C405" s="172" t="s">
        <v>81</v>
      </c>
      <c r="D405" s="172" t="s">
        <v>221</v>
      </c>
      <c r="E405" s="172">
        <v>4.33216879361883E-4</v>
      </c>
      <c r="F405" s="172">
        <v>25</v>
      </c>
      <c r="G405" s="172">
        <v>24</v>
      </c>
      <c r="H405" s="172">
        <v>6</v>
      </c>
      <c r="I405" s="172">
        <v>38.5</v>
      </c>
    </row>
    <row r="406" spans="2:9" x14ac:dyDescent="0.3">
      <c r="B406" s="172" t="s">
        <v>189</v>
      </c>
      <c r="C406" s="172" t="s">
        <v>82</v>
      </c>
      <c r="D406" s="172" t="s">
        <v>221</v>
      </c>
      <c r="E406" s="172">
        <v>3.6863228703291998E-4</v>
      </c>
      <c r="F406" s="172">
        <v>25</v>
      </c>
      <c r="G406" s="172">
        <v>24</v>
      </c>
      <c r="H406" s="172">
        <v>6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218</v>
      </c>
      <c r="E407" s="172">
        <v>1.50827756967699E-4</v>
      </c>
      <c r="F407" s="172">
        <v>19</v>
      </c>
      <c r="G407" s="172">
        <v>24</v>
      </c>
      <c r="H407" s="172">
        <v>10</v>
      </c>
      <c r="I407" s="172">
        <v>38.5</v>
      </c>
    </row>
    <row r="408" spans="2:9" hidden="1" x14ac:dyDescent="0.3">
      <c r="B408" s="172" t="s">
        <v>189</v>
      </c>
      <c r="C408" s="172" t="s">
        <v>246</v>
      </c>
      <c r="D408" s="172" t="s">
        <v>221</v>
      </c>
      <c r="E408" s="172">
        <v>3.1707163286243101E-5</v>
      </c>
      <c r="F408" s="172">
        <v>16</v>
      </c>
      <c r="G408" s="172">
        <v>19</v>
      </c>
      <c r="H408" s="172">
        <v>10</v>
      </c>
      <c r="I408" s="172">
        <v>38.5</v>
      </c>
    </row>
    <row r="409" spans="2:9" hidden="1" x14ac:dyDescent="0.3">
      <c r="B409" s="172" t="s">
        <v>187</v>
      </c>
      <c r="C409" s="172" t="s">
        <v>79</v>
      </c>
      <c r="D409" s="172" t="s">
        <v>218</v>
      </c>
      <c r="E409" s="172">
        <v>2.9308493871906601E-4</v>
      </c>
      <c r="F409" s="172">
        <v>85</v>
      </c>
      <c r="G409" s="172">
        <v>19.25</v>
      </c>
      <c r="H409" s="172">
        <v>19.25</v>
      </c>
      <c r="I409" s="172">
        <v>35.5</v>
      </c>
    </row>
    <row r="410" spans="2:9" hidden="1" x14ac:dyDescent="0.3">
      <c r="B410" s="172" t="s">
        <v>187</v>
      </c>
      <c r="C410" s="172" t="s">
        <v>80</v>
      </c>
      <c r="D410" s="172" t="s">
        <v>218</v>
      </c>
      <c r="E410" s="172">
        <v>3.0844611310113098E-4</v>
      </c>
      <c r="F410" s="172">
        <v>76</v>
      </c>
      <c r="G410" s="172">
        <v>19</v>
      </c>
      <c r="H410" s="172">
        <v>0</v>
      </c>
      <c r="I410" s="172">
        <v>35.5</v>
      </c>
    </row>
    <row r="411" spans="2:9" hidden="1" x14ac:dyDescent="0.3">
      <c r="B411" s="172" t="s">
        <v>187</v>
      </c>
      <c r="C411" s="172" t="s">
        <v>81</v>
      </c>
      <c r="D411" s="172" t="s">
        <v>221</v>
      </c>
      <c r="E411" s="172">
        <v>3.8686837945759199E-4</v>
      </c>
      <c r="F411" s="172">
        <v>25</v>
      </c>
      <c r="G411" s="172">
        <v>24</v>
      </c>
      <c r="H411" s="172">
        <v>6</v>
      </c>
      <c r="I411" s="172">
        <v>35.5</v>
      </c>
    </row>
    <row r="412" spans="2:9" x14ac:dyDescent="0.3">
      <c r="B412" s="172" t="s">
        <v>187</v>
      </c>
      <c r="C412" s="172" t="s">
        <v>82</v>
      </c>
      <c r="D412" s="172" t="s">
        <v>221</v>
      </c>
      <c r="E412" s="172">
        <v>3.3055199346917601E-4</v>
      </c>
      <c r="F412" s="172">
        <v>64</v>
      </c>
      <c r="G412" s="172">
        <v>0</v>
      </c>
      <c r="H412" s="172">
        <v>19</v>
      </c>
      <c r="I412" s="172">
        <v>35.5</v>
      </c>
    </row>
    <row r="413" spans="2:9" hidden="1" x14ac:dyDescent="0.3">
      <c r="B413" s="172" t="s">
        <v>187</v>
      </c>
      <c r="C413" s="172" t="s">
        <v>246</v>
      </c>
      <c r="D413" s="172" t="s">
        <v>218</v>
      </c>
      <c r="E413" s="172">
        <v>4.5425963491479701E-5</v>
      </c>
      <c r="F413" s="172">
        <v>85</v>
      </c>
      <c r="G413" s="172">
        <v>19.25</v>
      </c>
      <c r="H413" s="172">
        <v>19.25</v>
      </c>
      <c r="I413" s="172">
        <v>35.5</v>
      </c>
    </row>
    <row r="414" spans="2:9" hidden="1" x14ac:dyDescent="0.3">
      <c r="B414" s="172" t="s">
        <v>187</v>
      </c>
      <c r="C414" s="172" t="s">
        <v>246</v>
      </c>
      <c r="D414" s="172" t="s">
        <v>221</v>
      </c>
      <c r="E414" s="172">
        <v>1.12590679659941E-5</v>
      </c>
      <c r="F414" s="172">
        <v>62</v>
      </c>
      <c r="G414" s="172">
        <v>0</v>
      </c>
      <c r="H414" s="172">
        <v>6</v>
      </c>
      <c r="I414" s="172">
        <v>35.5</v>
      </c>
    </row>
    <row r="415" spans="2:9" hidden="1" x14ac:dyDescent="0.3">
      <c r="B415" s="172" t="s">
        <v>185</v>
      </c>
      <c r="C415" s="172" t="s">
        <v>79</v>
      </c>
      <c r="D415" s="172" t="s">
        <v>218</v>
      </c>
      <c r="E415" s="172">
        <v>4.4697240977473402E-4</v>
      </c>
      <c r="F415" s="172">
        <v>85</v>
      </c>
      <c r="G415" s="172">
        <v>19.25</v>
      </c>
      <c r="H415" s="172">
        <v>19.25</v>
      </c>
      <c r="I415" s="172">
        <v>32</v>
      </c>
    </row>
    <row r="416" spans="2:9" hidden="1" x14ac:dyDescent="0.3">
      <c r="B416" s="172" t="s">
        <v>185</v>
      </c>
      <c r="C416" s="172" t="s">
        <v>80</v>
      </c>
      <c r="D416" s="172" t="s">
        <v>218</v>
      </c>
      <c r="E416" s="172">
        <v>4.5342836969485499E-4</v>
      </c>
      <c r="F416" s="172">
        <v>76</v>
      </c>
      <c r="G416" s="172">
        <v>19</v>
      </c>
      <c r="H416" s="172">
        <v>0</v>
      </c>
      <c r="I416" s="172">
        <v>32</v>
      </c>
    </row>
    <row r="417" spans="2:9" hidden="1" x14ac:dyDescent="0.3">
      <c r="B417" s="172" t="s">
        <v>185</v>
      </c>
      <c r="C417" s="172" t="s">
        <v>81</v>
      </c>
      <c r="D417" s="172" t="s">
        <v>221</v>
      </c>
      <c r="E417" s="172">
        <v>5.3726043302760099E-4</v>
      </c>
      <c r="F417" s="172">
        <v>25</v>
      </c>
      <c r="G417" s="172">
        <v>24</v>
      </c>
      <c r="H417" s="172">
        <v>6</v>
      </c>
      <c r="I417" s="172">
        <v>32</v>
      </c>
    </row>
    <row r="418" spans="2:9" x14ac:dyDescent="0.3">
      <c r="B418" s="172" t="s">
        <v>185</v>
      </c>
      <c r="C418" s="172" t="s">
        <v>82</v>
      </c>
      <c r="D418" s="172" t="s">
        <v>221</v>
      </c>
      <c r="E418" s="172">
        <v>5.4903818779589403E-4</v>
      </c>
      <c r="F418" s="172">
        <v>64</v>
      </c>
      <c r="G418" s="172">
        <v>0</v>
      </c>
      <c r="H418" s="172">
        <v>19</v>
      </c>
      <c r="I418" s="172">
        <v>32</v>
      </c>
    </row>
    <row r="419" spans="2:9" hidden="1" x14ac:dyDescent="0.3">
      <c r="B419" s="172" t="s">
        <v>185</v>
      </c>
      <c r="C419" s="172" t="s">
        <v>246</v>
      </c>
      <c r="D419" s="172" t="s">
        <v>218</v>
      </c>
      <c r="E419" s="172">
        <v>4.9740369287704997E-5</v>
      </c>
      <c r="F419" s="172">
        <v>76</v>
      </c>
      <c r="G419" s="172">
        <v>19</v>
      </c>
      <c r="H419" s="172">
        <v>0</v>
      </c>
      <c r="I419" s="172">
        <v>32</v>
      </c>
    </row>
    <row r="420" spans="2:9" hidden="1" x14ac:dyDescent="0.3">
      <c r="B420" s="172" t="s">
        <v>185</v>
      </c>
      <c r="C420" s="172" t="s">
        <v>246</v>
      </c>
      <c r="D420" s="172" t="s">
        <v>221</v>
      </c>
      <c r="E420" s="172">
        <v>1.4366757487230001E-5</v>
      </c>
      <c r="F420" s="172">
        <v>25</v>
      </c>
      <c r="G420" s="172">
        <v>24</v>
      </c>
      <c r="H420" s="172">
        <v>6</v>
      </c>
      <c r="I420" s="172">
        <v>32</v>
      </c>
    </row>
    <row r="421" spans="2:9" hidden="1" x14ac:dyDescent="0.3">
      <c r="B421" s="172" t="s">
        <v>183</v>
      </c>
      <c r="C421" s="172" t="s">
        <v>79</v>
      </c>
      <c r="D421" s="172" t="s">
        <v>218</v>
      </c>
      <c r="E421" s="172">
        <v>5.8545815418583995E-4</v>
      </c>
      <c r="F421" s="172">
        <v>85</v>
      </c>
      <c r="G421" s="172">
        <v>19.25</v>
      </c>
      <c r="H421" s="172">
        <v>19.25</v>
      </c>
      <c r="I421" s="172">
        <v>28.5</v>
      </c>
    </row>
    <row r="422" spans="2:9" hidden="1" x14ac:dyDescent="0.3">
      <c r="B422" s="172" t="s">
        <v>183</v>
      </c>
      <c r="C422" s="172" t="s">
        <v>80</v>
      </c>
      <c r="D422" s="172" t="s">
        <v>218</v>
      </c>
      <c r="E422" s="172">
        <v>5.7914390832226198E-4</v>
      </c>
      <c r="F422" s="172">
        <v>76</v>
      </c>
      <c r="G422" s="172">
        <v>19</v>
      </c>
      <c r="H422" s="172">
        <v>0</v>
      </c>
      <c r="I422" s="172">
        <v>28.5</v>
      </c>
    </row>
    <row r="423" spans="2:9" hidden="1" x14ac:dyDescent="0.3">
      <c r="B423" s="172" t="s">
        <v>183</v>
      </c>
      <c r="C423" s="172" t="s">
        <v>81</v>
      </c>
      <c r="D423" s="172" t="s">
        <v>221</v>
      </c>
      <c r="E423" s="172">
        <v>6.6614316044335598E-4</v>
      </c>
      <c r="F423" s="172">
        <v>25</v>
      </c>
      <c r="G423" s="172">
        <v>24</v>
      </c>
      <c r="H423" s="172">
        <v>6</v>
      </c>
      <c r="I423" s="172">
        <v>28.5</v>
      </c>
    </row>
    <row r="424" spans="2:9" x14ac:dyDescent="0.3">
      <c r="B424" s="172" t="s">
        <v>183</v>
      </c>
      <c r="C424" s="172" t="s">
        <v>82</v>
      </c>
      <c r="D424" s="172" t="s">
        <v>221</v>
      </c>
      <c r="E424" s="172">
        <v>7.5513472687436102E-4</v>
      </c>
      <c r="F424" s="172">
        <v>64</v>
      </c>
      <c r="G424" s="172">
        <v>0</v>
      </c>
      <c r="H424" s="172">
        <v>19</v>
      </c>
      <c r="I424" s="172">
        <v>28.5</v>
      </c>
    </row>
    <row r="425" spans="2:9" hidden="1" x14ac:dyDescent="0.3">
      <c r="B425" s="172" t="s">
        <v>183</v>
      </c>
      <c r="C425" s="172" t="s">
        <v>246</v>
      </c>
      <c r="D425" s="172" t="s">
        <v>218</v>
      </c>
      <c r="E425" s="172">
        <v>4.66372855806329E-5</v>
      </c>
      <c r="F425" s="172">
        <v>76</v>
      </c>
      <c r="G425" s="172">
        <v>19</v>
      </c>
      <c r="H425" s="172">
        <v>0</v>
      </c>
      <c r="I425" s="172">
        <v>28.5</v>
      </c>
    </row>
    <row r="426" spans="2:9" hidden="1" x14ac:dyDescent="0.3">
      <c r="B426" s="172" t="s">
        <v>183</v>
      </c>
      <c r="C426" s="172" t="s">
        <v>246</v>
      </c>
      <c r="D426" s="172" t="s">
        <v>221</v>
      </c>
      <c r="E426" s="172">
        <v>1.38692849897275E-5</v>
      </c>
      <c r="F426" s="172">
        <v>25</v>
      </c>
      <c r="G426" s="172">
        <v>24</v>
      </c>
      <c r="H426" s="172">
        <v>6</v>
      </c>
      <c r="I426" s="172">
        <v>28.5</v>
      </c>
    </row>
    <row r="427" spans="2:9" hidden="1" x14ac:dyDescent="0.3">
      <c r="B427" s="172" t="s">
        <v>181</v>
      </c>
      <c r="C427" s="172" t="s">
        <v>79</v>
      </c>
      <c r="D427" s="172" t="s">
        <v>218</v>
      </c>
      <c r="E427" s="172">
        <v>7.0261666268476696E-4</v>
      </c>
      <c r="F427" s="172">
        <v>85</v>
      </c>
      <c r="G427" s="172">
        <v>19.25</v>
      </c>
      <c r="H427" s="172">
        <v>19.25</v>
      </c>
      <c r="I427" s="172">
        <v>25</v>
      </c>
    </row>
    <row r="428" spans="2:9" hidden="1" x14ac:dyDescent="0.3">
      <c r="B428" s="172" t="s">
        <v>181</v>
      </c>
      <c r="C428" s="172" t="s">
        <v>80</v>
      </c>
      <c r="D428" s="172" t="s">
        <v>218</v>
      </c>
      <c r="E428" s="172">
        <v>6.8470383264126501E-4</v>
      </c>
      <c r="F428" s="172">
        <v>76</v>
      </c>
      <c r="G428" s="172">
        <v>19</v>
      </c>
      <c r="H428" s="172">
        <v>0</v>
      </c>
      <c r="I428" s="172">
        <v>25</v>
      </c>
    </row>
    <row r="429" spans="2:9" hidden="1" x14ac:dyDescent="0.3">
      <c r="B429" s="172" t="s">
        <v>181</v>
      </c>
      <c r="C429" s="172" t="s">
        <v>81</v>
      </c>
      <c r="D429" s="172" t="s">
        <v>221</v>
      </c>
      <c r="E429" s="172">
        <v>7.7292755235561803E-4</v>
      </c>
      <c r="F429" s="172">
        <v>25</v>
      </c>
      <c r="G429" s="172">
        <v>24</v>
      </c>
      <c r="H429" s="172">
        <v>6</v>
      </c>
      <c r="I429" s="172">
        <v>25</v>
      </c>
    </row>
    <row r="430" spans="2:9" x14ac:dyDescent="0.3">
      <c r="B430" s="172" t="s">
        <v>181</v>
      </c>
      <c r="C430" s="172" t="s">
        <v>82</v>
      </c>
      <c r="D430" s="172" t="s">
        <v>221</v>
      </c>
      <c r="E430" s="172">
        <v>9.2978346146804596E-4</v>
      </c>
      <c r="F430" s="172">
        <v>64</v>
      </c>
      <c r="G430" s="172">
        <v>0</v>
      </c>
      <c r="H430" s="172">
        <v>19</v>
      </c>
      <c r="I430" s="172">
        <v>25</v>
      </c>
    </row>
    <row r="431" spans="2:9" hidden="1" x14ac:dyDescent="0.3">
      <c r="B431" s="172" t="s">
        <v>181</v>
      </c>
      <c r="C431" s="172" t="s">
        <v>246</v>
      </c>
      <c r="D431" s="172" t="s">
        <v>218</v>
      </c>
      <c r="E431" s="172">
        <v>4.2823538157578599E-5</v>
      </c>
      <c r="F431" s="172">
        <v>76</v>
      </c>
      <c r="G431" s="172">
        <v>19</v>
      </c>
      <c r="H431" s="172">
        <v>0</v>
      </c>
      <c r="I431" s="172">
        <v>25</v>
      </c>
    </row>
    <row r="432" spans="2:9" hidden="1" x14ac:dyDescent="0.3">
      <c r="B432" s="172" t="s">
        <v>181</v>
      </c>
      <c r="C432" s="172" t="s">
        <v>246</v>
      </c>
      <c r="D432" s="172" t="s">
        <v>221</v>
      </c>
      <c r="E432" s="172">
        <v>1.3350885985504899E-5</v>
      </c>
      <c r="F432" s="172">
        <v>19</v>
      </c>
      <c r="G432" s="172">
        <v>24</v>
      </c>
      <c r="H432" s="172">
        <v>10</v>
      </c>
      <c r="I432" s="172">
        <v>25</v>
      </c>
    </row>
    <row r="433" spans="2:9" hidden="1" x14ac:dyDescent="0.3">
      <c r="B433" s="172" t="s">
        <v>179</v>
      </c>
      <c r="C433" s="172" t="s">
        <v>79</v>
      </c>
      <c r="D433" s="172" t="s">
        <v>218</v>
      </c>
      <c r="E433" s="172">
        <v>7.9922112071589596E-4</v>
      </c>
      <c r="F433" s="172">
        <v>85</v>
      </c>
      <c r="G433" s="172">
        <v>19.25</v>
      </c>
      <c r="H433" s="172">
        <v>19.25</v>
      </c>
      <c r="I433" s="172">
        <v>21.5</v>
      </c>
    </row>
    <row r="434" spans="2:9" hidden="1" x14ac:dyDescent="0.3">
      <c r="B434" s="172" t="s">
        <v>179</v>
      </c>
      <c r="C434" s="172" t="s">
        <v>80</v>
      </c>
      <c r="D434" s="172" t="s">
        <v>218</v>
      </c>
      <c r="E434" s="172">
        <v>7.7040689522739304E-4</v>
      </c>
      <c r="F434" s="172">
        <v>76</v>
      </c>
      <c r="G434" s="172">
        <v>19</v>
      </c>
      <c r="H434" s="172">
        <v>0</v>
      </c>
      <c r="I434" s="172">
        <v>21.5</v>
      </c>
    </row>
    <row r="435" spans="2:9" hidden="1" x14ac:dyDescent="0.3">
      <c r="B435" s="172" t="s">
        <v>179</v>
      </c>
      <c r="C435" s="172" t="s">
        <v>81</v>
      </c>
      <c r="D435" s="172" t="s">
        <v>221</v>
      </c>
      <c r="E435" s="172">
        <v>8.8990490124612901E-4</v>
      </c>
      <c r="F435" s="172">
        <v>64</v>
      </c>
      <c r="G435" s="172">
        <v>0</v>
      </c>
      <c r="H435" s="172">
        <v>19</v>
      </c>
      <c r="I435" s="172">
        <v>21.5</v>
      </c>
    </row>
    <row r="436" spans="2:9" x14ac:dyDescent="0.3">
      <c r="B436" s="172" t="s">
        <v>179</v>
      </c>
      <c r="C436" s="172" t="s">
        <v>82</v>
      </c>
      <c r="D436" s="172" t="s">
        <v>221</v>
      </c>
      <c r="E436" s="172">
        <v>1.07665714983033E-3</v>
      </c>
      <c r="F436" s="172">
        <v>64</v>
      </c>
      <c r="G436" s="172">
        <v>0</v>
      </c>
      <c r="H436" s="172">
        <v>19</v>
      </c>
      <c r="I436" s="172">
        <v>21.5</v>
      </c>
    </row>
    <row r="437" spans="2:9" hidden="1" x14ac:dyDescent="0.3">
      <c r="B437" s="172" t="s">
        <v>179</v>
      </c>
      <c r="C437" s="172" t="s">
        <v>246</v>
      </c>
      <c r="D437" s="172" t="s">
        <v>218</v>
      </c>
      <c r="E437" s="172">
        <v>3.7743186841341702E-5</v>
      </c>
      <c r="F437" s="172">
        <v>76</v>
      </c>
      <c r="G437" s="172">
        <v>19</v>
      </c>
      <c r="H437" s="172">
        <v>0</v>
      </c>
      <c r="I437" s="172">
        <v>21.5</v>
      </c>
    </row>
    <row r="438" spans="2:9" hidden="1" x14ac:dyDescent="0.3">
      <c r="B438" s="172" t="s">
        <v>179</v>
      </c>
      <c r="C438" s="172" t="s">
        <v>246</v>
      </c>
      <c r="D438" s="172" t="s">
        <v>221</v>
      </c>
      <c r="E438" s="172">
        <v>1.2731536268827E-5</v>
      </c>
      <c r="F438" s="172">
        <v>25</v>
      </c>
      <c r="G438" s="172">
        <v>24</v>
      </c>
      <c r="H438" s="172">
        <v>6</v>
      </c>
      <c r="I438" s="172">
        <v>21.5</v>
      </c>
    </row>
    <row r="439" spans="2:9" hidden="1" x14ac:dyDescent="0.3">
      <c r="B439" s="172" t="s">
        <v>39</v>
      </c>
      <c r="C439" s="172" t="s">
        <v>79</v>
      </c>
      <c r="D439" s="172" t="s">
        <v>218</v>
      </c>
      <c r="E439" s="172">
        <v>8.7270411009491297E-4</v>
      </c>
      <c r="F439" s="172">
        <v>85</v>
      </c>
      <c r="G439" s="172">
        <v>19.25</v>
      </c>
      <c r="H439" s="172">
        <v>19.25</v>
      </c>
      <c r="I439" s="172">
        <v>18</v>
      </c>
    </row>
    <row r="440" spans="2:9" hidden="1" x14ac:dyDescent="0.3">
      <c r="B440" s="172" t="s">
        <v>39</v>
      </c>
      <c r="C440" s="172" t="s">
        <v>80</v>
      </c>
      <c r="D440" s="172" t="s">
        <v>218</v>
      </c>
      <c r="E440" s="172">
        <v>8.3090545923471899E-4</v>
      </c>
      <c r="F440" s="172">
        <v>76</v>
      </c>
      <c r="G440" s="172">
        <v>19</v>
      </c>
      <c r="H440" s="172">
        <v>0</v>
      </c>
      <c r="I440" s="172">
        <v>18</v>
      </c>
    </row>
    <row r="441" spans="2:9" hidden="1" x14ac:dyDescent="0.3">
      <c r="B441" s="172" t="s">
        <v>39</v>
      </c>
      <c r="C441" s="172" t="s">
        <v>81</v>
      </c>
      <c r="D441" s="172" t="s">
        <v>221</v>
      </c>
      <c r="E441" s="172">
        <v>9.9189810355048108E-4</v>
      </c>
      <c r="F441" s="172">
        <v>64</v>
      </c>
      <c r="G441" s="172">
        <v>0</v>
      </c>
      <c r="H441" s="172">
        <v>19</v>
      </c>
      <c r="I441" s="172">
        <v>18</v>
      </c>
    </row>
    <row r="442" spans="2:9" x14ac:dyDescent="0.3">
      <c r="B442" s="172" t="s">
        <v>39</v>
      </c>
      <c r="C442" s="172" t="s">
        <v>82</v>
      </c>
      <c r="D442" s="172" t="s">
        <v>221</v>
      </c>
      <c r="E442" s="172">
        <v>1.20155716349539E-3</v>
      </c>
      <c r="F442" s="172">
        <v>64</v>
      </c>
      <c r="G442" s="172">
        <v>0</v>
      </c>
      <c r="H442" s="172">
        <v>19</v>
      </c>
      <c r="I442" s="172">
        <v>18</v>
      </c>
    </row>
    <row r="443" spans="2:9" hidden="1" x14ac:dyDescent="0.3">
      <c r="B443" s="172" t="s">
        <v>39</v>
      </c>
      <c r="C443" s="172" t="s">
        <v>246</v>
      </c>
      <c r="D443" s="172" t="s">
        <v>218</v>
      </c>
      <c r="E443" s="172">
        <v>3.0941630365537499E-5</v>
      </c>
      <c r="F443" s="172">
        <v>76</v>
      </c>
      <c r="G443" s="172">
        <v>19</v>
      </c>
      <c r="H443" s="172">
        <v>0</v>
      </c>
      <c r="I443" s="172">
        <v>18</v>
      </c>
    </row>
    <row r="444" spans="2:9" hidden="1" x14ac:dyDescent="0.3">
      <c r="B444" s="172" t="s">
        <v>39</v>
      </c>
      <c r="C444" s="172" t="s">
        <v>246</v>
      </c>
      <c r="D444" s="172" t="s">
        <v>221</v>
      </c>
      <c r="E444" s="172">
        <v>1.3489207480603799E-5</v>
      </c>
      <c r="F444" s="172">
        <v>25</v>
      </c>
      <c r="G444" s="172">
        <v>24</v>
      </c>
      <c r="H444" s="172">
        <v>6</v>
      </c>
      <c r="I444" s="172">
        <v>18</v>
      </c>
    </row>
    <row r="445" spans="2:9" hidden="1" x14ac:dyDescent="0.3">
      <c r="B445" s="172" t="s">
        <v>26</v>
      </c>
      <c r="C445" s="172" t="s">
        <v>79</v>
      </c>
      <c r="D445" s="172" t="s">
        <v>218</v>
      </c>
      <c r="E445" s="172">
        <v>9.2659394544483502E-4</v>
      </c>
      <c r="F445" s="172">
        <v>85</v>
      </c>
      <c r="G445" s="172">
        <v>19.25</v>
      </c>
      <c r="H445" s="172">
        <v>19.25</v>
      </c>
      <c r="I445" s="172">
        <v>14.5</v>
      </c>
    </row>
    <row r="446" spans="2:9" hidden="1" x14ac:dyDescent="0.3">
      <c r="B446" s="172" t="s">
        <v>26</v>
      </c>
      <c r="C446" s="172" t="s">
        <v>80</v>
      </c>
      <c r="D446" s="172" t="s">
        <v>218</v>
      </c>
      <c r="E446" s="172">
        <v>8.7055003833774204E-4</v>
      </c>
      <c r="F446" s="172">
        <v>76</v>
      </c>
      <c r="G446" s="172">
        <v>19</v>
      </c>
      <c r="H446" s="172">
        <v>0</v>
      </c>
      <c r="I446" s="172">
        <v>14.5</v>
      </c>
    </row>
    <row r="447" spans="2:9" hidden="1" x14ac:dyDescent="0.3">
      <c r="B447" s="172" t="s">
        <v>26</v>
      </c>
      <c r="C447" s="172" t="s">
        <v>81</v>
      </c>
      <c r="D447" s="172" t="s">
        <v>221</v>
      </c>
      <c r="E447" s="172">
        <v>1.0765069171607799E-3</v>
      </c>
      <c r="F447" s="172">
        <v>64</v>
      </c>
      <c r="G447" s="172">
        <v>0</v>
      </c>
      <c r="H447" s="172">
        <v>19</v>
      </c>
      <c r="I447" s="172">
        <v>14.5</v>
      </c>
    </row>
    <row r="448" spans="2:9" x14ac:dyDescent="0.3">
      <c r="B448" s="172" t="s">
        <v>26</v>
      </c>
      <c r="C448" s="172" t="s">
        <v>82</v>
      </c>
      <c r="D448" s="172" t="s">
        <v>221</v>
      </c>
      <c r="E448" s="172">
        <v>1.3056929269384E-3</v>
      </c>
      <c r="F448" s="172">
        <v>64</v>
      </c>
      <c r="G448" s="172">
        <v>0</v>
      </c>
      <c r="H448" s="172">
        <v>19</v>
      </c>
      <c r="I448" s="172">
        <v>14.5</v>
      </c>
    </row>
    <row r="449" spans="2:9" hidden="1" x14ac:dyDescent="0.3">
      <c r="B449" s="172" t="s">
        <v>26</v>
      </c>
      <c r="C449" s="172" t="s">
        <v>246</v>
      </c>
      <c r="D449" s="172" t="s">
        <v>218</v>
      </c>
      <c r="E449" s="172">
        <v>2.07745237282814E-5</v>
      </c>
      <c r="F449" s="172">
        <v>76</v>
      </c>
      <c r="G449" s="172">
        <v>19</v>
      </c>
      <c r="H449" s="172">
        <v>0</v>
      </c>
      <c r="I449" s="172">
        <v>14.5</v>
      </c>
    </row>
    <row r="450" spans="2:9" hidden="1" x14ac:dyDescent="0.3">
      <c r="B450" s="172" t="s">
        <v>26</v>
      </c>
      <c r="C450" s="172" t="s">
        <v>246</v>
      </c>
      <c r="D450" s="172" t="s">
        <v>221</v>
      </c>
      <c r="E450" s="172">
        <v>1.05883777568345E-5</v>
      </c>
      <c r="F450" s="172">
        <v>25</v>
      </c>
      <c r="G450" s="172">
        <v>24</v>
      </c>
      <c r="H450" s="172">
        <v>6</v>
      </c>
      <c r="I450" s="172">
        <v>14.5</v>
      </c>
    </row>
    <row r="451" spans="2:9" hidden="1" x14ac:dyDescent="0.3">
      <c r="B451" s="172" t="s">
        <v>25</v>
      </c>
      <c r="C451" s="172" t="s">
        <v>79</v>
      </c>
      <c r="D451" s="172" t="s">
        <v>218</v>
      </c>
      <c r="E451" s="172">
        <v>9.6304493569586696E-4</v>
      </c>
      <c r="F451" s="172">
        <v>85</v>
      </c>
      <c r="G451" s="172">
        <v>19.25</v>
      </c>
      <c r="H451" s="172">
        <v>19.25</v>
      </c>
      <c r="I451" s="172">
        <v>11</v>
      </c>
    </row>
    <row r="452" spans="2:9" hidden="1" x14ac:dyDescent="0.3">
      <c r="B452" s="172" t="s">
        <v>25</v>
      </c>
      <c r="C452" s="172" t="s">
        <v>80</v>
      </c>
      <c r="D452" s="172" t="s">
        <v>218</v>
      </c>
      <c r="E452" s="172">
        <v>8.9588043386737795E-4</v>
      </c>
      <c r="F452" s="172">
        <v>76</v>
      </c>
      <c r="G452" s="172">
        <v>19</v>
      </c>
      <c r="H452" s="172">
        <v>0</v>
      </c>
      <c r="I452" s="172">
        <v>11</v>
      </c>
    </row>
    <row r="453" spans="2:9" hidden="1" x14ac:dyDescent="0.3">
      <c r="B453" s="172" t="s">
        <v>25</v>
      </c>
      <c r="C453" s="172" t="s">
        <v>81</v>
      </c>
      <c r="D453" s="172" t="s">
        <v>221</v>
      </c>
      <c r="E453" s="172">
        <v>1.13592111753064E-3</v>
      </c>
      <c r="F453" s="172">
        <v>64</v>
      </c>
      <c r="G453" s="172">
        <v>0</v>
      </c>
      <c r="H453" s="172">
        <v>19</v>
      </c>
      <c r="I453" s="172">
        <v>11</v>
      </c>
    </row>
    <row r="454" spans="2:9" x14ac:dyDescent="0.3">
      <c r="B454" s="172" t="s">
        <v>25</v>
      </c>
      <c r="C454" s="172" t="s">
        <v>82</v>
      </c>
      <c r="D454" s="172" t="s">
        <v>221</v>
      </c>
      <c r="E454" s="172">
        <v>1.3807775541973899E-3</v>
      </c>
      <c r="F454" s="172">
        <v>64</v>
      </c>
      <c r="G454" s="172">
        <v>0</v>
      </c>
      <c r="H454" s="172">
        <v>19</v>
      </c>
      <c r="I454" s="172">
        <v>11</v>
      </c>
    </row>
    <row r="455" spans="2:9" hidden="1" x14ac:dyDescent="0.3">
      <c r="B455" s="172" t="s">
        <v>25</v>
      </c>
      <c r="C455" s="172" t="s">
        <v>246</v>
      </c>
      <c r="D455" s="172" t="s">
        <v>218</v>
      </c>
      <c r="E455" s="172">
        <v>1.02236888884615E-5</v>
      </c>
      <c r="F455" s="172">
        <v>76</v>
      </c>
      <c r="G455" s="172">
        <v>19</v>
      </c>
      <c r="H455" s="172">
        <v>0</v>
      </c>
      <c r="I455" s="172">
        <v>11</v>
      </c>
    </row>
    <row r="456" spans="2:9" hidden="1" x14ac:dyDescent="0.3">
      <c r="B456" s="172" t="s">
        <v>25</v>
      </c>
      <c r="C456" s="172" t="s">
        <v>246</v>
      </c>
      <c r="D456" s="172" t="s">
        <v>221</v>
      </c>
      <c r="E456" s="172">
        <v>8.7190104024041992E-6</v>
      </c>
      <c r="F456" s="172">
        <v>19</v>
      </c>
      <c r="G456" s="172">
        <v>24</v>
      </c>
      <c r="H456" s="172">
        <v>10</v>
      </c>
      <c r="I456" s="172">
        <v>11</v>
      </c>
    </row>
    <row r="457" spans="2:9" hidden="1" x14ac:dyDescent="0.3">
      <c r="B457" s="172" t="s">
        <v>24</v>
      </c>
      <c r="C457" s="172" t="s">
        <v>79</v>
      </c>
      <c r="D457" s="172" t="s">
        <v>218</v>
      </c>
      <c r="E457" s="172">
        <v>9.6801099393643505E-4</v>
      </c>
      <c r="F457" s="172">
        <v>85</v>
      </c>
      <c r="G457" s="172">
        <v>19.25</v>
      </c>
      <c r="H457" s="172">
        <v>19.25</v>
      </c>
      <c r="I457" s="172">
        <v>7.5</v>
      </c>
    </row>
    <row r="458" spans="2:9" hidden="1" x14ac:dyDescent="0.3">
      <c r="B458" s="172" t="s">
        <v>24</v>
      </c>
      <c r="C458" s="172" t="s">
        <v>80</v>
      </c>
      <c r="D458" s="172" t="s">
        <v>218</v>
      </c>
      <c r="E458" s="172">
        <v>8.9596093589643002E-4</v>
      </c>
      <c r="F458" s="172">
        <v>76</v>
      </c>
      <c r="G458" s="172">
        <v>19</v>
      </c>
      <c r="H458" s="172">
        <v>0</v>
      </c>
      <c r="I458" s="172">
        <v>7.5</v>
      </c>
    </row>
    <row r="459" spans="2:9" hidden="1" x14ac:dyDescent="0.3">
      <c r="B459" s="172" t="s">
        <v>24</v>
      </c>
      <c r="C459" s="172" t="s">
        <v>81</v>
      </c>
      <c r="D459" s="172" t="s">
        <v>221</v>
      </c>
      <c r="E459" s="172">
        <v>1.13594956789369E-3</v>
      </c>
      <c r="F459" s="172">
        <v>64</v>
      </c>
      <c r="G459" s="172">
        <v>0</v>
      </c>
      <c r="H459" s="172">
        <v>19</v>
      </c>
      <c r="I459" s="172">
        <v>7.5</v>
      </c>
    </row>
    <row r="460" spans="2:9" x14ac:dyDescent="0.3">
      <c r="B460" s="172" t="s">
        <v>24</v>
      </c>
      <c r="C460" s="172" t="s">
        <v>82</v>
      </c>
      <c r="D460" s="172" t="s">
        <v>221</v>
      </c>
      <c r="E460" s="172">
        <v>1.3874999389756901E-3</v>
      </c>
      <c r="F460" s="172">
        <v>64</v>
      </c>
      <c r="G460" s="172">
        <v>0</v>
      </c>
      <c r="H460" s="172">
        <v>19</v>
      </c>
      <c r="I460" s="172">
        <v>7.5</v>
      </c>
    </row>
    <row r="461" spans="2:9" hidden="1" x14ac:dyDescent="0.3">
      <c r="B461" s="172" t="s">
        <v>24</v>
      </c>
      <c r="C461" s="172" t="s">
        <v>246</v>
      </c>
      <c r="D461" s="172" t="s">
        <v>218</v>
      </c>
      <c r="E461" s="172">
        <v>1.0506991222012001E-5</v>
      </c>
      <c r="F461" s="172">
        <v>85</v>
      </c>
      <c r="G461" s="172">
        <v>19.25</v>
      </c>
      <c r="H461" s="172">
        <v>19.25</v>
      </c>
      <c r="I461" s="172">
        <v>7.5</v>
      </c>
    </row>
    <row r="462" spans="2:9" hidden="1" x14ac:dyDescent="0.3">
      <c r="B462" s="172" t="s">
        <v>24</v>
      </c>
      <c r="C462" s="172" t="s">
        <v>246</v>
      </c>
      <c r="D462" s="172" t="s">
        <v>221</v>
      </c>
      <c r="E462" s="172">
        <v>7.9640469217029905E-6</v>
      </c>
      <c r="F462" s="172">
        <v>25</v>
      </c>
      <c r="G462" s="172">
        <v>24</v>
      </c>
      <c r="H462" s="172">
        <v>6</v>
      </c>
      <c r="I462" s="172">
        <v>7.5</v>
      </c>
    </row>
    <row r="463" spans="2:9" hidden="1" x14ac:dyDescent="0.3">
      <c r="B463" s="172" t="s">
        <v>22</v>
      </c>
      <c r="C463" s="172" t="s">
        <v>79</v>
      </c>
      <c r="D463" s="172" t="s">
        <v>218</v>
      </c>
      <c r="E463" s="172">
        <v>7.4196086714739399E-4</v>
      </c>
      <c r="F463" s="172">
        <v>14</v>
      </c>
      <c r="G463" s="172">
        <v>19</v>
      </c>
      <c r="H463" s="172">
        <v>19</v>
      </c>
      <c r="I463" s="172">
        <v>4</v>
      </c>
    </row>
    <row r="464" spans="2:9" hidden="1" x14ac:dyDescent="0.3">
      <c r="B464" s="172" t="s">
        <v>22</v>
      </c>
      <c r="C464" s="172" t="s">
        <v>80</v>
      </c>
      <c r="D464" s="172" t="s">
        <v>218</v>
      </c>
      <c r="E464" s="172">
        <v>7.0712440540922697E-4</v>
      </c>
      <c r="F464" s="172">
        <v>76</v>
      </c>
      <c r="G464" s="172">
        <v>19</v>
      </c>
      <c r="H464" s="172">
        <v>0</v>
      </c>
      <c r="I464" s="172">
        <v>4</v>
      </c>
    </row>
    <row r="465" spans="2:9" hidden="1" x14ac:dyDescent="0.3">
      <c r="B465" s="172" t="s">
        <v>22</v>
      </c>
      <c r="C465" s="172" t="s">
        <v>81</v>
      </c>
      <c r="D465" s="172" t="s">
        <v>221</v>
      </c>
      <c r="E465" s="172">
        <v>7.8836389987434598E-4</v>
      </c>
      <c r="F465" s="172">
        <v>64</v>
      </c>
      <c r="G465" s="172">
        <v>0</v>
      </c>
      <c r="H465" s="172">
        <v>19</v>
      </c>
      <c r="I465" s="172">
        <v>4</v>
      </c>
    </row>
    <row r="466" spans="2:9" x14ac:dyDescent="0.3">
      <c r="B466" s="172" t="s">
        <v>22</v>
      </c>
      <c r="C466" s="172" t="s">
        <v>82</v>
      </c>
      <c r="D466" s="172" t="s">
        <v>221</v>
      </c>
      <c r="E466" s="172">
        <v>9.8326731253982509E-4</v>
      </c>
      <c r="F466" s="172">
        <v>64</v>
      </c>
      <c r="G466" s="172">
        <v>0</v>
      </c>
      <c r="H466" s="172">
        <v>19</v>
      </c>
      <c r="I466" s="172">
        <v>4</v>
      </c>
    </row>
    <row r="467" spans="2:9" hidden="1" x14ac:dyDescent="0.3">
      <c r="B467" s="172" t="s">
        <v>22</v>
      </c>
      <c r="C467" s="172" t="s">
        <v>246</v>
      </c>
      <c r="D467" s="172" t="s">
        <v>218</v>
      </c>
      <c r="E467" s="172">
        <v>3.0851693201957499E-5</v>
      </c>
      <c r="F467" s="172">
        <v>14</v>
      </c>
      <c r="G467" s="172">
        <v>19</v>
      </c>
      <c r="H467" s="172">
        <v>19</v>
      </c>
      <c r="I467" s="172">
        <v>4</v>
      </c>
    </row>
    <row r="468" spans="2:9" hidden="1" x14ac:dyDescent="0.3">
      <c r="B468" s="172" t="s">
        <v>22</v>
      </c>
      <c r="C468" s="172" t="s">
        <v>246</v>
      </c>
      <c r="D468" s="172" t="s">
        <v>221</v>
      </c>
      <c r="E468" s="172">
        <v>1.2710300101555701E-5</v>
      </c>
      <c r="F468" s="172">
        <v>25</v>
      </c>
      <c r="G468" s="172">
        <v>24</v>
      </c>
      <c r="H468" s="172">
        <v>6</v>
      </c>
      <c r="I468" s="172">
        <v>4</v>
      </c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L68" sqref="L68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3.8300358398619499E-4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2.9308493871906601E-4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4.4697240977473402E-4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5.8545815418583995E-4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7.0261666268476696E-4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7.9922112071589596E-4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8.7270411009491297E-4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9.2659394544483502E-4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9.6304493569586696E-4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9.6801099393643505E-4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7.4196086714739399E-4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3.7466494718556601E-4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3.0844611310113098E-4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4.5342836969485499E-4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5.7914390832226198E-4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6.8470383264126501E-4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7.7040689522739304E-4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8.3090545923471899E-4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8.7055003833774204E-4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8.9588043386737795E-4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8.9596093589643002E-4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7.0712440540922697E-4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4.33216879361883E-4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3.8686837945759199E-4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5.3726043302760099E-4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6.6614316044335598E-4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7.7292755235561803E-4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8.8990490124612901E-4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9.9189810355048108E-4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1.0765069171607799E-3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1.13592111753064E-3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1.13594956789369E-3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7.8836389987434598E-4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3.6863228703291998E-4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3.3055199346917601E-4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5.4903818779589403E-4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7.5513472687436102E-4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9.2978346146804596E-4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1.07665714983033E-3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1.20155716349539E-3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1.3056929269384E-3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1.3807775541973899E-3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1.3874999389756901E-3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9.8326731253982509E-4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40" zoomScale="80" zoomScaleNormal="80" workbookViewId="0">
      <selection activeCell="I77" sqref="I77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19</v>
      </c>
      <c r="O3" s="183">
        <v>19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2.48155272142669E-2</v>
      </c>
      <c r="F6" s="185">
        <v>2.4289482787527499E-2</v>
      </c>
      <c r="G6" s="186">
        <v>1.0216572922256499</v>
      </c>
      <c r="H6" s="42">
        <f>+E6/(1.2*F6)</f>
        <v>0.85138107685470921</v>
      </c>
      <c r="I6" s="47">
        <f>+'Centers of Mass and Rigidity'!L5-'Centers of Mass and Rigidity'!F5</f>
        <v>-2.9462663101556998</v>
      </c>
      <c r="J6" s="47">
        <f>+'Centers of Mass and Rigidity'!M5-'Centers of Mass and Rigidity'!G5</f>
        <v>-0.81783818595710045</v>
      </c>
      <c r="K6" s="172">
        <f>IF(+'Sismo UBC-94 y Dinamico'!O15=0,'Sismo UBC-94 y Dinamico'!M15,'Sismo UBC-94 y Dinamico'!O15)</f>
        <v>1180.7507363740399</v>
      </c>
      <c r="L6" s="172">
        <f>IF(+'Sismo UBC-94 y Dinamico'!P15=0,'Sismo UBC-94 y Dinamico'!N15,'Sismo UBC-94 y Dinamico'!P15)</f>
        <v>159.02734238955</v>
      </c>
      <c r="M6" s="52">
        <f>0.05*N6*K6*(H6-1)+0.05*O6*L6*(H6-1)</f>
        <v>-189.16055655353574</v>
      </c>
      <c r="N6">
        <f>+$N$3</f>
        <v>19</v>
      </c>
      <c r="O6">
        <f>+$O$3</f>
        <v>19</v>
      </c>
      <c r="P6" s="95">
        <f>+K6*(J6+0.05*N6*H6)-K6*(J6+0.05*N6)</f>
        <v>-166.70780779577296</v>
      </c>
      <c r="Q6" s="95">
        <f>+L6*(I6+0.05*O6*H6)-L6*(I6+0.05*O6)</f>
        <v>-22.452748757762777</v>
      </c>
      <c r="R6" s="95">
        <f>+P6+Q6</f>
        <v>-189.16055655353574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2.5866461140744802E-2</v>
      </c>
      <c r="F7" s="185">
        <v>2.35442973135063E-2</v>
      </c>
      <c r="G7" s="186">
        <v>1.0986295660608401</v>
      </c>
      <c r="H7" s="42">
        <f t="shared" ref="H7:H16" si="0">+E7/(1.2*F7)</f>
        <v>0.91552463838403253</v>
      </c>
      <c r="I7" s="47">
        <f>+'Centers of Mass and Rigidity'!L6-'Centers of Mass and Rigidity'!F6</f>
        <v>1.3444024844711997</v>
      </c>
      <c r="J7" s="47">
        <f>+'Centers of Mass and Rigidity'!M6-'Centers of Mass and Rigidity'!G6</f>
        <v>-0.11808931288613067</v>
      </c>
      <c r="K7" s="172">
        <f>IF(+'Sismo UBC-94 y Dinamico'!O16=0,'Sismo UBC-94 y Dinamico'!M16,'Sismo UBC-94 y Dinamico'!O16)</f>
        <v>17267.116402200059</v>
      </c>
      <c r="L7" s="172">
        <f>IF(+'Sismo UBC-94 y Dinamico'!P16=0,'Sismo UBC-94 y Dinamico'!N16,'Sismo UBC-94 y Dinamico'!P16)</f>
        <v>839.25650016786506</v>
      </c>
      <c r="M7" s="52">
        <f>0.05*N7*K7*(H7-1)+0.05*O7*L7*(H7-1)</f>
        <v>-1453.0652785570308</v>
      </c>
      <c r="N7" s="172">
        <f t="shared" ref="N7:N16" si="1">+$N$3</f>
        <v>19</v>
      </c>
      <c r="O7" s="172">
        <f t="shared" ref="O7:O16" si="2">+$O$3</f>
        <v>19</v>
      </c>
      <c r="P7" s="95">
        <f>+K7*(J7+0.05*N7*H7)-K7*(J7+0.05*N7)</f>
        <v>-1385.7136070338092</v>
      </c>
      <c r="Q7" s="95">
        <f>+L7*(I7+0.05*O7*H7)-L7*(I7+0.05*O7)</f>
        <v>-67.351671523220148</v>
      </c>
      <c r="R7" s="95">
        <f>+P7+Q7</f>
        <v>-1453.0652785570294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2.48415752809324E-2</v>
      </c>
      <c r="F8" s="185">
        <v>2.25540520713787E-2</v>
      </c>
      <c r="G8" s="186">
        <v>1.10142404576855</v>
      </c>
      <c r="H8" s="42">
        <f t="shared" si="0"/>
        <v>0.91785337147378898</v>
      </c>
      <c r="I8" s="47">
        <f>+'Centers of Mass and Rigidity'!L7-'Centers of Mass and Rigidity'!F7</f>
        <v>1.5957377010338991</v>
      </c>
      <c r="J8" s="47">
        <f>+'Centers of Mass and Rigidity'!M7-'Centers of Mass and Rigidity'!G7</f>
        <v>-0.17995080465665048</v>
      </c>
      <c r="K8" s="172">
        <f>IF(+'Sismo UBC-94 y Dinamico'!O17=0,'Sismo UBC-94 y Dinamico'!M17,'Sismo UBC-94 y Dinamico'!O17)</f>
        <v>19809.957084604899</v>
      </c>
      <c r="L8" s="172">
        <f>IF(+'Sismo UBC-94 y Dinamico'!P17=0,'Sismo UBC-94 y Dinamico'!N17,'Sismo UBC-94 y Dinamico'!P17)</f>
        <v>1028.0553402965149</v>
      </c>
      <c r="M8" s="52">
        <f>0.05*N8*K8*(H8-1)+0.05*O8*L8*(H8-1)</f>
        <v>-1626.183842598299</v>
      </c>
      <c r="N8" s="172">
        <f t="shared" si="1"/>
        <v>19</v>
      </c>
      <c r="O8" s="172">
        <f t="shared" si="2"/>
        <v>19</v>
      </c>
      <c r="P8" s="95">
        <f>+K8*(J8+0.05*N8*H8)-K8*(J8+0.05*N8)</f>
        <v>-1545.9551264617585</v>
      </c>
      <c r="Q8" s="95">
        <f>+L8*(I8+0.05*O8*H8)-L8*(I8+0.05*O8)</f>
        <v>-80.228716136539333</v>
      </c>
      <c r="R8" s="95">
        <f>+P8+Q8</f>
        <v>-1626.1838425982978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2.32795184833904E-2</v>
      </c>
      <c r="F9" s="185">
        <v>2.1081164615085999E-2</v>
      </c>
      <c r="G9" s="186">
        <v>1.10428047541222</v>
      </c>
      <c r="H9" s="42">
        <f t="shared" si="0"/>
        <v>0.9202337295101819</v>
      </c>
      <c r="I9" s="47">
        <f>+'Centers of Mass and Rigidity'!L8-'Centers of Mass and Rigidity'!F8</f>
        <v>1.7327540020029986</v>
      </c>
      <c r="J9" s="47">
        <f>+'Centers of Mass and Rigidity'!M8-'Centers of Mass and Rigidity'!G8</f>
        <v>-0.20298234138430082</v>
      </c>
      <c r="K9" s="172">
        <f>IF(+'Sismo UBC-94 y Dinamico'!O18=0,'Sismo UBC-94 y Dinamico'!M18,'Sismo UBC-94 y Dinamico'!O18)</f>
        <v>16770.384808110502</v>
      </c>
      <c r="L9" s="172">
        <f>IF(+'Sismo UBC-94 y Dinamico'!P18=0,'Sismo UBC-94 y Dinamico'!N18,'Sismo UBC-94 y Dinamico'!P18)</f>
        <v>868.90307441396021</v>
      </c>
      <c r="M9" s="52">
        <f>0.05*N9*K9*(H9-1)+0.05*O9*L9*(H9-1)</f>
        <v>-1336.6691980609564</v>
      </c>
      <c r="N9" s="172">
        <f t="shared" si="1"/>
        <v>19</v>
      </c>
      <c r="O9" s="172">
        <f t="shared" si="2"/>
        <v>19</v>
      </c>
      <c r="P9" s="95">
        <f>+K9*(J9+0.05*N9*H9)-K9*(J9+0.05*N9)</f>
        <v>-1270.825498280974</v>
      </c>
      <c r="Q9" s="95">
        <f>+L9*(I9+0.05*O9*H9)-L9*(I9+0.05*O9)</f>
        <v>-65.843699779981762</v>
      </c>
      <c r="R9" s="95">
        <f>+P9+Q9</f>
        <v>-1336.6691980609558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2.1234265200989599E-2</v>
      </c>
      <c r="F10" s="185">
        <v>1.9182219234605301E-2</v>
      </c>
      <c r="G10" s="186">
        <v>1.1069764630091501</v>
      </c>
      <c r="H10" s="42">
        <f t="shared" si="0"/>
        <v>0.92248038584096437</v>
      </c>
      <c r="I10" s="47">
        <f>+'Centers of Mass and Rigidity'!L9-'Centers of Mass and Rigidity'!F9</f>
        <v>1.8556298480360987</v>
      </c>
      <c r="J10" s="47">
        <f>+'Centers of Mass and Rigidity'!M9-'Centers of Mass and Rigidity'!G9</f>
        <v>-0.22378940788281021</v>
      </c>
      <c r="K10" s="172">
        <f>IF(+'Sismo UBC-94 y Dinamico'!O19=0,'Sismo UBC-94 y Dinamico'!M19,'Sismo UBC-94 y Dinamico'!O19)</f>
        <v>14221.385427446701</v>
      </c>
      <c r="L10" s="172">
        <f>IF(+'Sismo UBC-94 y Dinamico'!P19=0,'Sismo UBC-94 y Dinamico'!N19,'Sismo UBC-94 y Dinamico'!P19)</f>
        <v>740.86654129323961</v>
      </c>
      <c r="M10" s="52">
        <f>0.05*N10*K10*(H10-1)+0.05*O10*L10*(H10-1)</f>
        <v>-1101.8745995886418</v>
      </c>
      <c r="N10" s="172">
        <f t="shared" si="1"/>
        <v>19</v>
      </c>
      <c r="O10" s="172">
        <f t="shared" si="2"/>
        <v>19</v>
      </c>
      <c r="P10" s="95">
        <f>+K10*(J10+0.05*N10*H10)-K10*(J10+0.05*N10)</f>
        <v>-1047.3144955854696</v>
      </c>
      <c r="Q10" s="95">
        <f>+L10*(I10+0.05*O10*H10)-L10*(I10+0.05*O10)</f>
        <v>-54.560104003172</v>
      </c>
      <c r="R10" s="95">
        <f>+P10+Q10</f>
        <v>-1101.8745995886416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1.87802704903774E-2</v>
      </c>
      <c r="F11" s="185">
        <v>1.6924440107436701E-2</v>
      </c>
      <c r="G11" s="186">
        <v>1.10965387162942</v>
      </c>
      <c r="H11" s="42">
        <f t="shared" si="0"/>
        <v>0.92471155969118479</v>
      </c>
      <c r="I11" s="47">
        <f>+'Centers of Mass and Rigidity'!L10-'Centers of Mass and Rigidity'!F10</f>
        <v>1.9677489434536</v>
      </c>
      <c r="J11" s="47">
        <f>+'Centers of Mass and Rigidity'!M10-'Centers of Mass and Rigidity'!G10</f>
        <v>-0.24233879328520125</v>
      </c>
      <c r="K11" s="172">
        <f>IF(+'Sismo UBC-94 y Dinamico'!O20=0,'Sismo UBC-94 y Dinamico'!M20,'Sismo UBC-94 y Dinamico'!O20)</f>
        <v>12221.701325717702</v>
      </c>
      <c r="L11" s="172">
        <f>IF(+'Sismo UBC-94 y Dinamico'!P20=0,'Sismo UBC-94 y Dinamico'!N20,'Sismo UBC-94 y Dinamico'!P20)</f>
        <v>646.32345454061988</v>
      </c>
      <c r="M11" s="52">
        <f t="shared" ref="M11:M16" si="3">0.05*N11*K11*(H11-1)+0.05*O11*L11*(H11-1)</f>
        <v>-920.37283978279197</v>
      </c>
      <c r="N11" s="172">
        <f t="shared" si="1"/>
        <v>19</v>
      </c>
      <c r="O11" s="172">
        <f t="shared" si="2"/>
        <v>19</v>
      </c>
      <c r="P11" s="95">
        <f t="shared" ref="P11:P16" si="4">+K11*(J11+0.05*N11*H11)-K11*(J11+0.05*N11)</f>
        <v>-874.14518919679085</v>
      </c>
      <c r="Q11" s="95">
        <f t="shared" ref="Q11:Q16" si="5">+L11*(I11+0.05*O11*H11)-L11*(I11+0.05*O11)</f>
        <v>-46.227650586000209</v>
      </c>
      <c r="R11" s="95">
        <f t="shared" ref="R11:R16" si="6">+P11+Q11</f>
        <v>-920.37283978279106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1.5989316063427701E-2</v>
      </c>
      <c r="F12" s="185">
        <v>1.4373625500517399E-2</v>
      </c>
      <c r="G12" s="186">
        <v>1.11240661326902</v>
      </c>
      <c r="H12" s="42">
        <f t="shared" si="0"/>
        <v>0.92700551105751194</v>
      </c>
      <c r="I12" s="47">
        <f>+'Centers of Mass and Rigidity'!L11-'Centers of Mass and Rigidity'!F11</f>
        <v>2.0675456218348991</v>
      </c>
      <c r="J12" s="47">
        <f>+'Centers of Mass and Rigidity'!M11-'Centers of Mass and Rigidity'!G11</f>
        <v>-0.25840566899906037</v>
      </c>
      <c r="K12" s="172">
        <f>IF(+'Sismo UBC-94 y Dinamico'!O21=0,'Sismo UBC-94 y Dinamico'!M21,'Sismo UBC-94 y Dinamico'!O21)</f>
        <v>10590.234960768095</v>
      </c>
      <c r="L12" s="172">
        <f>IF(+'Sismo UBC-94 y Dinamico'!P21=0,'Sismo UBC-94 y Dinamico'!N21,'Sismo UBC-94 y Dinamico'!P21)</f>
        <v>564.16222651857061</v>
      </c>
      <c r="M12" s="52">
        <f t="shared" si="3"/>
        <v>-773.49904604014068</v>
      </c>
      <c r="N12" s="172">
        <f t="shared" si="1"/>
        <v>19</v>
      </c>
      <c r="O12" s="172">
        <f t="shared" si="2"/>
        <v>19</v>
      </c>
      <c r="P12" s="95">
        <f t="shared" si="4"/>
        <v>-734.37734930503029</v>
      </c>
      <c r="Q12" s="95">
        <f t="shared" si="5"/>
        <v>-39.12169673511039</v>
      </c>
      <c r="R12" s="95">
        <f t="shared" si="6"/>
        <v>-773.49904604014068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1.29422811342429E-2</v>
      </c>
      <c r="F13" s="185">
        <v>1.1608910469317699E-2</v>
      </c>
      <c r="G13" s="186">
        <v>1.1148575198722701</v>
      </c>
      <c r="H13" s="42">
        <f t="shared" si="0"/>
        <v>0.92904793322690171</v>
      </c>
      <c r="I13" s="47">
        <f>+'Centers of Mass and Rigidity'!L12-'Centers of Mass and Rigidity'!F12</f>
        <v>2.0266590762431012</v>
      </c>
      <c r="J13" s="47">
        <f>+'Centers of Mass and Rigidity'!M12-'Centers of Mass and Rigidity'!G12</f>
        <v>-0.25144764264591046</v>
      </c>
      <c r="K13" s="172">
        <f>IF(+'Sismo UBC-94 y Dinamico'!O22=0,'Sismo UBC-94 y Dinamico'!M22,'Sismo UBC-94 y Dinamico'!O22)</f>
        <v>9185.4527739180048</v>
      </c>
      <c r="L13" s="172">
        <f>IF(+'Sismo UBC-94 y Dinamico'!P22=0,'Sismo UBC-94 y Dinamico'!N22,'Sismo UBC-94 y Dinamico'!P22)</f>
        <v>491.10969153993938</v>
      </c>
      <c r="M13" s="52">
        <f t="shared" si="3"/>
        <v>-652.24350087406731</v>
      </c>
      <c r="N13" s="172">
        <f t="shared" si="1"/>
        <v>19</v>
      </c>
      <c r="O13" s="172">
        <f t="shared" si="2"/>
        <v>19</v>
      </c>
      <c r="P13" s="95">
        <f t="shared" si="4"/>
        <v>-619.14051562836266</v>
      </c>
      <c r="Q13" s="95">
        <f t="shared" si="5"/>
        <v>-33.102985245704531</v>
      </c>
      <c r="R13" s="95">
        <f t="shared" si="6"/>
        <v>-652.24350087406719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9.7076698658959196E-3</v>
      </c>
      <c r="F14" s="185">
        <v>8.6960642648131106E-3</v>
      </c>
      <c r="G14" s="186">
        <v>1.11632913123424</v>
      </c>
      <c r="H14" s="42">
        <f t="shared" si="0"/>
        <v>0.93027427602853152</v>
      </c>
      <c r="I14" s="47">
        <f>+'Centers of Mass and Rigidity'!L13-'Centers of Mass and Rigidity'!F13</f>
        <v>2.0262460173984014</v>
      </c>
      <c r="J14" s="47">
        <f>+'Centers of Mass and Rigidity'!M13-'Centers of Mass and Rigidity'!G13</f>
        <v>-0.24083798950533009</v>
      </c>
      <c r="K14" s="172">
        <f>IF(+'Sismo UBC-94 y Dinamico'!O23=0,'Sismo UBC-94 y Dinamico'!M23,'Sismo UBC-94 y Dinamico'!O23)</f>
        <v>7724.0645216339908</v>
      </c>
      <c r="L14" s="172">
        <f>IF(+'Sismo UBC-94 y Dinamico'!P23=0,'Sismo UBC-94 y Dinamico'!N23,'Sismo UBC-94 y Dinamico'!P23)</f>
        <v>409.84498819096007</v>
      </c>
      <c r="M14" s="52">
        <f t="shared" si="3"/>
        <v>-538.78559282640924</v>
      </c>
      <c r="N14" s="172">
        <f t="shared" si="1"/>
        <v>19</v>
      </c>
      <c r="O14" s="172">
        <f t="shared" si="2"/>
        <v>19</v>
      </c>
      <c r="P14" s="95">
        <f t="shared" si="4"/>
        <v>-511.63769123460133</v>
      </c>
      <c r="Q14" s="95">
        <f t="shared" si="5"/>
        <v>-27.147901591808022</v>
      </c>
      <c r="R14" s="95">
        <f t="shared" si="6"/>
        <v>-538.78559282640936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6.3462803154746596E-3</v>
      </c>
      <c r="F15" s="185">
        <v>5.68684726442612E-3</v>
      </c>
      <c r="G15" s="186">
        <v>1.1159575807800599</v>
      </c>
      <c r="H15" s="42">
        <f t="shared" si="0"/>
        <v>0.92996465065004774</v>
      </c>
      <c r="I15" s="47">
        <f>+'Centers of Mass and Rigidity'!L14-'Centers of Mass and Rigidity'!F14</f>
        <v>1.8837814214233006</v>
      </c>
      <c r="J15" s="47">
        <f>+'Centers of Mass and Rigidity'!M14-'Centers of Mass and Rigidity'!G14</f>
        <v>-0.19656957095174121</v>
      </c>
      <c r="K15" s="172">
        <f>IF(+'Sismo UBC-94 y Dinamico'!O24=0,'Sismo UBC-94 y Dinamico'!M24,'Sismo UBC-94 y Dinamico'!O24)</f>
        <v>5914.8044931680051</v>
      </c>
      <c r="L15" s="172">
        <f>IF(+'Sismo UBC-94 y Dinamico'!P24=0,'Sismo UBC-94 y Dinamico'!N24,'Sismo UBC-94 y Dinamico'!P24)</f>
        <v>316.39637943925027</v>
      </c>
      <c r="M15" s="52">
        <f t="shared" si="3"/>
        <v>-414.58411348363768</v>
      </c>
      <c r="N15" s="172">
        <f t="shared" si="1"/>
        <v>19</v>
      </c>
      <c r="O15" s="172">
        <f t="shared" si="2"/>
        <v>19</v>
      </c>
      <c r="P15" s="95">
        <f t="shared" si="4"/>
        <v>-393.53312906490419</v>
      </c>
      <c r="Q15" s="95">
        <f t="shared" si="5"/>
        <v>-21.050984418733606</v>
      </c>
      <c r="R15" s="95">
        <f t="shared" si="6"/>
        <v>-414.58411348363779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2.9678434685895799E-3</v>
      </c>
      <c r="F16" s="188">
        <v>2.67326764788652E-3</v>
      </c>
      <c r="G16" s="189">
        <v>1.1101931641360101</v>
      </c>
      <c r="H16" s="42">
        <f t="shared" si="0"/>
        <v>0.92516097011334641</v>
      </c>
      <c r="I16" s="47">
        <f>+'Centers of Mass and Rigidity'!L15-'Centers of Mass and Rigidity'!F15</f>
        <v>1.327542471155299</v>
      </c>
      <c r="J16" s="47">
        <f>+'Centers of Mass and Rigidity'!M15-'Centers of Mass and Rigidity'!G15</f>
        <v>-6.4377741665380128E-2</v>
      </c>
      <c r="K16" s="172">
        <f>IF(+'Sismo UBC-94 y Dinamico'!O25=0,'Sismo UBC-94 y Dinamico'!M25,'Sismo UBC-94 y Dinamico'!O25)</f>
        <v>3363.5944760429993</v>
      </c>
      <c r="L16" s="172">
        <f>IF(+'Sismo UBC-94 y Dinamico'!P25=0,'Sismo UBC-94 y Dinamico'!N25,'Sismo UBC-94 y Dinamico'!P25)</f>
        <v>178.76482591117019</v>
      </c>
      <c r="M16" s="52">
        <f t="shared" si="3"/>
        <v>-251.85139698480273</v>
      </c>
      <c r="N16" s="172">
        <f t="shared" si="1"/>
        <v>19</v>
      </c>
      <c r="O16" s="172">
        <f t="shared" si="2"/>
        <v>19</v>
      </c>
      <c r="P16" s="95">
        <f t="shared" si="4"/>
        <v>-239.14174014320679</v>
      </c>
      <c r="Q16" s="95">
        <f t="shared" si="5"/>
        <v>-12.709656841596086</v>
      </c>
      <c r="R16" s="95">
        <f t="shared" si="6"/>
        <v>-251.85139698480288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2.5052595736858502E-2</v>
      </c>
      <c r="F24" s="185">
        <v>2.4760559586230801E-2</v>
      </c>
      <c r="G24" s="186">
        <v>1.01179440834568</v>
      </c>
      <c r="H24" s="42">
        <f>+E24/(1.2*F24)</f>
        <v>0.84316200695473853</v>
      </c>
      <c r="I24" s="47">
        <f t="shared" ref="I24:L28" si="7">+I6</f>
        <v>-2.9462663101556998</v>
      </c>
      <c r="J24" s="47">
        <f t="shared" si="7"/>
        <v>-0.81783818595710045</v>
      </c>
      <c r="K24" s="48">
        <f>+K6</f>
        <v>1180.7507363740399</v>
      </c>
      <c r="L24" s="48">
        <f>+L6</f>
        <v>159.02734238955</v>
      </c>
      <c r="M24" s="52">
        <f>-0.05*N24*K24*(H24-1)-0.05*O24*L24*(H24-1)</f>
        <v>199.62169974935182</v>
      </c>
      <c r="N24" s="172">
        <f>+$N$3</f>
        <v>19</v>
      </c>
      <c r="O24" s="172">
        <f>+$O$3</f>
        <v>19</v>
      </c>
      <c r="P24" s="95">
        <f>+K24*(J24-0.05*N24*H24)-K24*(J24-0.05*N24)</f>
        <v>175.9272469906382</v>
      </c>
      <c r="Q24" s="95">
        <f>+L24*(I24-0.05*O24*H24)-L24*(I24-0.05*O24)</f>
        <v>23.694452758713737</v>
      </c>
      <c r="R24" s="95">
        <f>+P24+Q24</f>
        <v>199.62169974935193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2.4841488573768E-2</v>
      </c>
      <c r="F25" s="185">
        <v>2.3419376593032601E-2</v>
      </c>
      <c r="G25" s="186">
        <v>1.0607237334045201</v>
      </c>
      <c r="H25" s="42">
        <f>+E25/(1.2*F25)</f>
        <v>0.88393644450376785</v>
      </c>
      <c r="I25" s="47">
        <f t="shared" si="7"/>
        <v>1.3444024844711997</v>
      </c>
      <c r="J25" s="47">
        <f t="shared" si="7"/>
        <v>-0.11808931288613067</v>
      </c>
      <c r="K25" s="48">
        <f t="shared" si="7"/>
        <v>17267.116402200059</v>
      </c>
      <c r="L25" s="48">
        <f t="shared" si="7"/>
        <v>839.25650016786506</v>
      </c>
      <c r="M25" s="52">
        <f>-0.05*N25*K25*(H25-1)-0.05*O25*L25*(H25-1)</f>
        <v>1996.4155153799809</v>
      </c>
      <c r="N25" s="172">
        <f t="shared" ref="N25:N34" si="8">+$N$3</f>
        <v>19</v>
      </c>
      <c r="O25" s="172">
        <f t="shared" ref="O25:O34" si="9">+$O$3</f>
        <v>19</v>
      </c>
      <c r="P25" s="95">
        <f>+K25*(J25-0.05*N25*H25)-K25*(J25-0.05*N25)</f>
        <v>1903.8787766663154</v>
      </c>
      <c r="Q25" s="95">
        <f>+L25*(I25-0.05*O25*H25)-L25*(I25-0.05*O25)</f>
        <v>92.536738713666182</v>
      </c>
      <c r="R25" s="95">
        <f>+P25+Q25</f>
        <v>1996.4155153799816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2.3761927177914099E-2</v>
      </c>
      <c r="F26" s="185">
        <v>2.2430716904766099E-2</v>
      </c>
      <c r="G26" s="186">
        <v>1.05934764719291</v>
      </c>
      <c r="H26" s="42">
        <f>+E26/(1.2*F26)</f>
        <v>0.88278970599408801</v>
      </c>
      <c r="I26" s="47">
        <f t="shared" si="7"/>
        <v>1.5957377010338991</v>
      </c>
      <c r="J26" s="47">
        <f t="shared" si="7"/>
        <v>-0.17995080465665048</v>
      </c>
      <c r="K26" s="48">
        <f t="shared" si="7"/>
        <v>19809.957084604899</v>
      </c>
      <c r="L26" s="48">
        <f t="shared" si="7"/>
        <v>1028.0553402965149</v>
      </c>
      <c r="M26" s="52">
        <f>-0.05*N26*K26*(H26-1)-0.05*O26*L26*(H26-1)</f>
        <v>2320.3080846804646</v>
      </c>
      <c r="N26" s="172">
        <f t="shared" si="8"/>
        <v>19</v>
      </c>
      <c r="O26" s="172">
        <f t="shared" si="9"/>
        <v>19</v>
      </c>
      <c r="P26" s="95">
        <f>+K26*(J26-0.05*N26*H26)-K26*(J26-0.05*N26)</f>
        <v>2205.8343494244909</v>
      </c>
      <c r="Q26" s="95">
        <f>+L26*(I26-0.05*O26*H26)-L26*(I26-0.05*O26)</f>
        <v>114.47373525597732</v>
      </c>
      <c r="R26" s="95">
        <f>+P26+Q26</f>
        <v>2320.3080846804683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2.21749278839821E-2</v>
      </c>
      <c r="F27" s="185">
        <v>2.0961827997040199E-2</v>
      </c>
      <c r="G27" s="186">
        <v>1.0578718557901201</v>
      </c>
      <c r="H27" s="42">
        <f>+E27/(1.2*F27)</f>
        <v>0.88155987982509565</v>
      </c>
      <c r="I27" s="47">
        <f t="shared" si="7"/>
        <v>1.7327540020029986</v>
      </c>
      <c r="J27" s="47">
        <f t="shared" si="7"/>
        <v>-0.20298234138430082</v>
      </c>
      <c r="K27" s="48">
        <f t="shared" si="7"/>
        <v>16770.384808110502</v>
      </c>
      <c r="L27" s="48">
        <f t="shared" si="7"/>
        <v>868.90307441396021</v>
      </c>
      <c r="M27" s="52">
        <f>-0.05*N27*K27*(H27-1)-0.05*O27*L27*(H27-1)</f>
        <v>1984.7394077756351</v>
      </c>
      <c r="N27" s="172">
        <f t="shared" si="8"/>
        <v>19</v>
      </c>
      <c r="O27" s="172">
        <f t="shared" si="9"/>
        <v>19</v>
      </c>
      <c r="P27" s="95">
        <f>+K27*(J27-0.05*N27*H27)-K27*(J27-0.05*N27)</f>
        <v>1886.9720724494</v>
      </c>
      <c r="Q27" s="95">
        <f>+L27*(I27-0.05*O27*H27)-L27*(I27-0.05*O27)</f>
        <v>97.767335326236662</v>
      </c>
      <c r="R27" s="95">
        <f>+P27+Q27</f>
        <v>1984.7394077756367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2.0147924204854201E-2</v>
      </c>
      <c r="F28" s="185">
        <v>1.9070215214485101E-2</v>
      </c>
      <c r="G28" s="186">
        <v>1.05651268107087</v>
      </c>
      <c r="H28" s="42">
        <f>+E28/(1.2*F28)</f>
        <v>0.88042723422572722</v>
      </c>
      <c r="I28" s="47">
        <f t="shared" si="7"/>
        <v>1.8556298480360987</v>
      </c>
      <c r="J28" s="47">
        <f t="shared" si="7"/>
        <v>-0.22378940788281021</v>
      </c>
      <c r="K28" s="48">
        <f t="shared" si="7"/>
        <v>14221.385427446701</v>
      </c>
      <c r="L28" s="48">
        <f t="shared" si="7"/>
        <v>740.86654129323961</v>
      </c>
      <c r="M28" s="52">
        <f>-0.05*N28*K28*(H28-1)-0.05*O28*L28*(H28-1)</f>
        <v>1699.6239576081032</v>
      </c>
      <c r="N28" s="172">
        <f t="shared" si="8"/>
        <v>19</v>
      </c>
      <c r="O28" s="172">
        <f t="shared" si="9"/>
        <v>19</v>
      </c>
      <c r="P28" s="95">
        <f>+K28*(J28-0.05*N28*H28)-K28*(J28-0.05*N28)</f>
        <v>1615.4658692666562</v>
      </c>
      <c r="Q28" s="95">
        <f>+L28*(I28-0.05*O28*H28)-L28*(I28-0.05*O28)</f>
        <v>84.15808834144957</v>
      </c>
      <c r="R28" s="95">
        <f>+P28+Q28</f>
        <v>1699.6239576081057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1.7751460790609699E-2</v>
      </c>
      <c r="F29" s="185">
        <v>1.6822818397098802E-2</v>
      </c>
      <c r="G29" s="186">
        <v>1.0552013563714799</v>
      </c>
      <c r="H29" s="42">
        <f t="shared" ref="H29:H34" si="10">+E29/(1.2*F29)</f>
        <v>0.8793344636428978</v>
      </c>
      <c r="I29" s="47">
        <f t="shared" ref="I29:L34" si="11">+I11</f>
        <v>1.9677489434536</v>
      </c>
      <c r="J29" s="47">
        <f t="shared" si="11"/>
        <v>-0.24233879328520125</v>
      </c>
      <c r="K29" s="48">
        <f t="shared" si="11"/>
        <v>12221.701325717702</v>
      </c>
      <c r="L29" s="48">
        <f t="shared" si="11"/>
        <v>646.32345454061988</v>
      </c>
      <c r="M29" s="52">
        <f t="shared" ref="M29:M34" si="12">-0.05*N29*K29*(H29-1)-0.05*O29*L29*(H29-1)</f>
        <v>1475.090756368035</v>
      </c>
      <c r="N29" s="172">
        <f t="shared" si="8"/>
        <v>19</v>
      </c>
      <c r="O29" s="172">
        <f t="shared" si="9"/>
        <v>19</v>
      </c>
      <c r="P29" s="95">
        <f t="shared" ref="P29:P34" si="13">+K29*(J29-0.05*N29*H29)-K29*(J29-0.05*N29)</f>
        <v>1401.0012383808335</v>
      </c>
      <c r="Q29" s="95">
        <f t="shared" ref="Q29:Q34" si="14">+L29*(I29-0.05*O29*H29)-L29*(I29-0.05*O29)</f>
        <v>74.08951798720318</v>
      </c>
      <c r="R29" s="95">
        <f t="shared" ref="R29:R34" si="15">+P29+Q29</f>
        <v>1475.0907563680366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1.50550366573138E-2</v>
      </c>
      <c r="F30" s="185">
        <v>1.42850801765202E-2</v>
      </c>
      <c r="G30" s="186">
        <v>1.0538993461205199</v>
      </c>
      <c r="H30" s="42">
        <f t="shared" si="10"/>
        <v>0.87824945510043106</v>
      </c>
      <c r="I30" s="47">
        <f t="shared" si="11"/>
        <v>2.0675456218348991</v>
      </c>
      <c r="J30" s="47">
        <f t="shared" si="11"/>
        <v>-0.25840566899906037</v>
      </c>
      <c r="K30" s="48">
        <f t="shared" si="11"/>
        <v>10590.234960768095</v>
      </c>
      <c r="L30" s="48">
        <f t="shared" si="11"/>
        <v>564.16222651857061</v>
      </c>
      <c r="M30" s="52">
        <f t="shared" si="12"/>
        <v>1290.1512387994521</v>
      </c>
      <c r="N30" s="172">
        <f t="shared" si="8"/>
        <v>19</v>
      </c>
      <c r="O30" s="172">
        <f t="shared" si="9"/>
        <v>19</v>
      </c>
      <c r="P30" s="95">
        <f t="shared" si="13"/>
        <v>1224.8985332335851</v>
      </c>
      <c r="Q30" s="95">
        <f t="shared" si="14"/>
        <v>65.252705565870656</v>
      </c>
      <c r="R30" s="95">
        <f t="shared" si="15"/>
        <v>1290.1512387994558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1.21468675499923E-2</v>
      </c>
      <c r="F31" s="185">
        <v>1.1536203734469201E-2</v>
      </c>
      <c r="G31" s="186">
        <v>1.0529345553857199</v>
      </c>
      <c r="H31" s="42">
        <f t="shared" si="10"/>
        <v>0.87744546282142533</v>
      </c>
      <c r="I31" s="47">
        <f t="shared" si="11"/>
        <v>2.0266590762431012</v>
      </c>
      <c r="J31" s="47">
        <f t="shared" si="11"/>
        <v>-0.25144764264591046</v>
      </c>
      <c r="K31" s="48">
        <f t="shared" si="11"/>
        <v>9185.4527739180048</v>
      </c>
      <c r="L31" s="48">
        <f t="shared" si="11"/>
        <v>491.10969153993938</v>
      </c>
      <c r="M31" s="52">
        <f t="shared" si="12"/>
        <v>1126.6113027120775</v>
      </c>
      <c r="N31" s="172">
        <f t="shared" si="8"/>
        <v>19</v>
      </c>
      <c r="O31" s="172">
        <f t="shared" si="9"/>
        <v>19</v>
      </c>
      <c r="P31" s="95">
        <f t="shared" si="13"/>
        <v>1069.4329678090198</v>
      </c>
      <c r="Q31" s="95">
        <f t="shared" si="14"/>
        <v>57.178334903060431</v>
      </c>
      <c r="R31" s="95">
        <f t="shared" si="15"/>
        <v>1126.6113027120803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9.0999424158102402E-3</v>
      </c>
      <c r="F32" s="185">
        <v>8.6425080699668796E-3</v>
      </c>
      <c r="G32" s="186">
        <v>1.0529284256537701</v>
      </c>
      <c r="H32" s="42">
        <f t="shared" si="10"/>
        <v>0.87744035471147608</v>
      </c>
      <c r="I32" s="47">
        <f t="shared" si="11"/>
        <v>2.0262460173984014</v>
      </c>
      <c r="J32" s="47">
        <f t="shared" si="11"/>
        <v>-0.24083798950533009</v>
      </c>
      <c r="K32" s="48">
        <f t="shared" si="11"/>
        <v>7724.0645216339908</v>
      </c>
      <c r="L32" s="48">
        <f t="shared" si="11"/>
        <v>409.84498819096007</v>
      </c>
      <c r="M32" s="52">
        <f t="shared" si="12"/>
        <v>947.04461111644275</v>
      </c>
      <c r="N32" s="172">
        <f t="shared" si="8"/>
        <v>19</v>
      </c>
      <c r="O32" s="172">
        <f t="shared" si="9"/>
        <v>19</v>
      </c>
      <c r="P32" s="95">
        <f t="shared" si="13"/>
        <v>899.32567755927812</v>
      </c>
      <c r="Q32" s="95">
        <f t="shared" si="14"/>
        <v>47.718933557165201</v>
      </c>
      <c r="R32" s="95">
        <f t="shared" si="15"/>
        <v>947.04461111644332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5.9643608972744103E-3</v>
      </c>
      <c r="F33" s="185">
        <v>5.65461789562882E-3</v>
      </c>
      <c r="G33" s="186">
        <v>1.0547769995007199</v>
      </c>
      <c r="H33" s="42">
        <f t="shared" si="10"/>
        <v>0.87898083291726203</v>
      </c>
      <c r="I33" s="47">
        <f t="shared" si="11"/>
        <v>1.8837814214233006</v>
      </c>
      <c r="J33" s="47">
        <f t="shared" si="11"/>
        <v>-0.19656957095174121</v>
      </c>
      <c r="K33" s="48">
        <f t="shared" si="11"/>
        <v>5914.8044931680051</v>
      </c>
      <c r="L33" s="48">
        <f t="shared" si="11"/>
        <v>316.39637943925027</v>
      </c>
      <c r="M33" s="52">
        <f t="shared" si="12"/>
        <v>716.3900025517521</v>
      </c>
      <c r="N33" s="172">
        <f t="shared" si="8"/>
        <v>19</v>
      </c>
      <c r="O33" s="172">
        <f t="shared" si="9"/>
        <v>19</v>
      </c>
      <c r="P33" s="95">
        <f t="shared" si="13"/>
        <v>680.01447755940808</v>
      </c>
      <c r="Q33" s="95">
        <f t="shared" si="14"/>
        <v>36.37552499234539</v>
      </c>
      <c r="R33" s="95">
        <f t="shared" si="15"/>
        <v>716.39000255175347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2.82849762163691E-3</v>
      </c>
      <c r="F34" s="188">
        <v>2.66228788184123E-3</v>
      </c>
      <c r="G34" s="189">
        <v>1.0624311671661599</v>
      </c>
      <c r="H34" s="42">
        <f t="shared" si="10"/>
        <v>0.88535930597180268</v>
      </c>
      <c r="I34" s="47">
        <f t="shared" si="11"/>
        <v>1.327542471155299</v>
      </c>
      <c r="J34" s="47">
        <f t="shared" si="11"/>
        <v>-6.4377741665380128E-2</v>
      </c>
      <c r="K34" s="48">
        <f t="shared" si="11"/>
        <v>3363.5944760429993</v>
      </c>
      <c r="L34" s="48">
        <f t="shared" si="11"/>
        <v>178.76482591117019</v>
      </c>
      <c r="M34" s="52">
        <f t="shared" si="12"/>
        <v>385.79360242960325</v>
      </c>
      <c r="N34" s="172">
        <f t="shared" si="8"/>
        <v>19</v>
      </c>
      <c r="O34" s="172">
        <f t="shared" si="9"/>
        <v>19</v>
      </c>
      <c r="P34" s="95">
        <f t="shared" si="13"/>
        <v>366.32456490483173</v>
      </c>
      <c r="Q34" s="95">
        <f t="shared" si="14"/>
        <v>19.469037524772119</v>
      </c>
      <c r="R34" s="95">
        <f t="shared" si="15"/>
        <v>385.79360242960388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2.8612885421225202E-2</v>
      </c>
      <c r="F42" s="185">
        <v>2.8602646054074199E-2</v>
      </c>
      <c r="G42" s="186">
        <v>1.0003579867097501</v>
      </c>
      <c r="H42" s="42">
        <f>+E42/(1.2*F42)</f>
        <v>0.83363165559145724</v>
      </c>
      <c r="I42" s="181">
        <f>+I24</f>
        <v>-2.9462663101556998</v>
      </c>
      <c r="J42" s="181">
        <f>+J24</f>
        <v>-0.81783818595710045</v>
      </c>
      <c r="K42" s="48">
        <f>IF(+'Sismo UBC-94 y Dinamico'!O34=0,'Sismo UBC-94 y Dinamico'!M34,'Sismo UBC-94 y Dinamico'!O34)</f>
        <v>147.00321510633086</v>
      </c>
      <c r="L42" s="48">
        <f>IF(+'Sismo UBC-94 y Dinamico'!P34=0,'Sismo UBC-94 y Dinamico'!N34,'Sismo UBC-94 y Dinamico'!P34)</f>
        <v>922.25322950097109</v>
      </c>
      <c r="M42" s="52">
        <f>0.05*N42*K42*(H42-1)+0.05*O42*L42*(H42-1)</f>
        <v>-168.99590321560746</v>
      </c>
      <c r="N42" s="172">
        <f>+$N$3</f>
        <v>19</v>
      </c>
      <c r="O42" s="172">
        <f>+$O$3</f>
        <v>19</v>
      </c>
      <c r="P42" s="95">
        <f>+K42*(J42+0.05*N42*H42)-K42*(J42+0.05*N42)</f>
        <v>-23.23384744397449</v>
      </c>
      <c r="Q42" s="95">
        <f>+L42*(I42+0.05*O42*H42)-L42*(I42+0.05*O42)</f>
        <v>-145.76205577163319</v>
      </c>
      <c r="R42" s="95">
        <f>+P42+Q42</f>
        <v>-168.99590321560768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2.8932804074072799E-2</v>
      </c>
      <c r="F43" s="185">
        <v>2.8123019428606202E-2</v>
      </c>
      <c r="G43" s="186">
        <v>1.02879437065861</v>
      </c>
      <c r="H43" s="42">
        <f t="shared" ref="H43:H52" si="16">+E43/(1.2*F43)</f>
        <v>0.85732864221550886</v>
      </c>
      <c r="I43" s="181">
        <f t="shared" ref="I43:J43" si="17">+I25</f>
        <v>1.3444024844711997</v>
      </c>
      <c r="J43" s="181">
        <f t="shared" si="17"/>
        <v>-0.11808931288613067</v>
      </c>
      <c r="K43" s="48">
        <f>IF(+'Sismo UBC-94 y Dinamico'!O35=0,'Sismo UBC-94 y Dinamico'!M35,'Sismo UBC-94 y Dinamico'!O35)</f>
        <v>1077.0868914298196</v>
      </c>
      <c r="L43" s="48">
        <f>IF(+'Sismo UBC-94 y Dinamico'!P35=0,'Sismo UBC-94 y Dinamico'!N35,'Sismo UBC-94 y Dinamico'!P35)</f>
        <v>17228.257893531943</v>
      </c>
      <c r="M43" s="52">
        <f>0.05*N43*K43*(H43-1)+0.05*O43*L43*(H43-1)</f>
        <v>-2481.0659754245617</v>
      </c>
      <c r="N43" s="172">
        <f t="shared" ref="N43:N52" si="18">+$N$3</f>
        <v>19</v>
      </c>
      <c r="O43" s="172">
        <f t="shared" ref="O43:O52" si="19">+$O$3</f>
        <v>19</v>
      </c>
      <c r="P43" s="95">
        <f>+K43*(J43+0.05*N43*H43)-K43*(J43+0.05*N43)</f>
        <v>-145.9859767895606</v>
      </c>
      <c r="Q43" s="95">
        <f>+L43*(I43+0.05*O43*H43)-L43*(I43+0.05*O43)</f>
        <v>-2335.079998635003</v>
      </c>
      <c r="R43" s="95">
        <f>+P43+Q43</f>
        <v>-2481.0659754245635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2.7953577197345099E-2</v>
      </c>
      <c r="F44" s="185">
        <v>2.69563863261915E-2</v>
      </c>
      <c r="G44" s="186">
        <v>1.0369927504038099</v>
      </c>
      <c r="H44" s="42">
        <f t="shared" si="16"/>
        <v>0.86416062533651206</v>
      </c>
      <c r="I44" s="181">
        <f t="shared" ref="I44:J44" si="20">+I26</f>
        <v>1.5957377010338991</v>
      </c>
      <c r="J44" s="181">
        <f t="shared" si="20"/>
        <v>-0.17995080465665048</v>
      </c>
      <c r="K44" s="48">
        <f>IF(+'Sismo UBC-94 y Dinamico'!O36=0,'Sismo UBC-94 y Dinamico'!M36,'Sismo UBC-94 y Dinamico'!O36)</f>
        <v>1246.5892275467527</v>
      </c>
      <c r="L44" s="48">
        <f>IF(+'Sismo UBC-94 y Dinamico'!P36=0,'Sismo UBC-94 y Dinamico'!N36,'Sismo UBC-94 y Dinamico'!P36)</f>
        <v>19503.76545501703</v>
      </c>
      <c r="M44" s="52">
        <f>0.05*N44*K44*(H44-1)+0.05*O44*L44*(H44-1)</f>
        <v>-2677.7794439187915</v>
      </c>
      <c r="N44" s="172">
        <f t="shared" si="18"/>
        <v>19</v>
      </c>
      <c r="O44" s="172">
        <f t="shared" si="19"/>
        <v>19</v>
      </c>
      <c r="P44" s="95">
        <f>+K44*(J44+0.05*N44*H44)-K44*(J44+0.05*N44)</f>
        <v>-160.86910607558184</v>
      </c>
      <c r="Q44" s="95">
        <f>+L44*(I44+0.05*O44*H44)-L44*(I44+0.05*O44)</f>
        <v>-2516.9103378432119</v>
      </c>
      <c r="R44" s="95">
        <f>+P44+Q44</f>
        <v>-2677.7794439187937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2.6349079665613898E-2</v>
      </c>
      <c r="F45" s="185">
        <v>2.5213931802527598E-2</v>
      </c>
      <c r="G45" s="186">
        <v>1.04502066048154</v>
      </c>
      <c r="H45" s="42">
        <f t="shared" si="16"/>
        <v>0.87085055040128345</v>
      </c>
      <c r="I45" s="181">
        <f t="shared" ref="I45:J45" si="21">+I27</f>
        <v>1.7327540020029986</v>
      </c>
      <c r="J45" s="181">
        <f t="shared" si="21"/>
        <v>-0.20298234138430082</v>
      </c>
      <c r="K45" s="48">
        <f>IF(+'Sismo UBC-94 y Dinamico'!O37=0,'Sismo UBC-94 y Dinamico'!M37,'Sismo UBC-94 y Dinamico'!O37)</f>
        <v>1041.9182533011692</v>
      </c>
      <c r="L45" s="48">
        <f>IF(+'Sismo UBC-94 y Dinamico'!P37=0,'Sismo UBC-94 y Dinamico'!N37,'Sismo UBC-94 y Dinamico'!P37)</f>
        <v>16234.256609948508</v>
      </c>
      <c r="M45" s="52">
        <f>0.05*N45*K45*(H45-1)+0.05*O45*L45*(H45-1)</f>
        <v>-2119.6480510218844</v>
      </c>
      <c r="N45" s="172">
        <f t="shared" si="18"/>
        <v>19</v>
      </c>
      <c r="O45" s="172">
        <f t="shared" si="19"/>
        <v>19</v>
      </c>
      <c r="P45" s="95">
        <f>+K45*(J45+0.05*N45*H45)-K45*(J45+0.05*N45)</f>
        <v>-127.83501049366714</v>
      </c>
      <c r="Q45" s="95">
        <f>+L45*(I45+0.05*O45*H45)-L45*(I45+0.05*O45)</f>
        <v>-1991.8130405282209</v>
      </c>
      <c r="R45" s="95">
        <f>+P45+Q45</f>
        <v>-2119.648051021888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2.4154114038668802E-2</v>
      </c>
      <c r="F46" s="185">
        <v>2.2950698458279201E-2</v>
      </c>
      <c r="G46" s="186">
        <v>1.05243481293509</v>
      </c>
      <c r="H46" s="42">
        <f t="shared" si="16"/>
        <v>0.87702901077924433</v>
      </c>
      <c r="I46" s="181">
        <f t="shared" ref="I46:J46" si="22">+I28</f>
        <v>1.8556298480360987</v>
      </c>
      <c r="J46" s="181">
        <f t="shared" si="22"/>
        <v>-0.22378940788281021</v>
      </c>
      <c r="K46" s="48">
        <f>IF(+'Sismo UBC-94 y Dinamico'!O38=0,'Sismo UBC-94 y Dinamico'!M38,'Sismo UBC-94 y Dinamico'!O38)</f>
        <v>892.19286668337543</v>
      </c>
      <c r="L46" s="48">
        <f>IF(+'Sismo UBC-94 y Dinamico'!P38=0,'Sismo UBC-94 y Dinamico'!N38,'Sismo UBC-94 y Dinamico'!P38)</f>
        <v>13535.604072170383</v>
      </c>
      <c r="M46" s="52">
        <f>0.05*N46*K46*(H46-1)+0.05*O46*L46*(H46-1)</f>
        <v>-1685.4904387546853</v>
      </c>
      <c r="N46" s="172">
        <f t="shared" si="18"/>
        <v>19</v>
      </c>
      <c r="O46" s="172">
        <f t="shared" si="19"/>
        <v>19</v>
      </c>
      <c r="P46" s="95">
        <f>+K46*(J46+0.05*N46*H46)-K46*(J46+0.05*N46)</f>
        <v>-104.2281474221686</v>
      </c>
      <c r="Q46" s="95">
        <f>+L46*(I46+0.05*O46*H46)-L46*(I46+0.05*O46)</f>
        <v>-1581.2622913325176</v>
      </c>
      <c r="R46" s="95">
        <f>+P46+Q46</f>
        <v>-1685.4904387546862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2.1459087725333399E-2</v>
      </c>
      <c r="F47" s="185">
        <v>2.0250562084989199E-2</v>
      </c>
      <c r="G47" s="186">
        <v>1.0596786220190899</v>
      </c>
      <c r="H47" s="42">
        <f t="shared" si="16"/>
        <v>0.88306551834924218</v>
      </c>
      <c r="I47" s="181">
        <f t="shared" ref="I47:J47" si="23">+I29</f>
        <v>1.9677489434536</v>
      </c>
      <c r="J47" s="181">
        <f t="shared" si="23"/>
        <v>-0.24233879328520125</v>
      </c>
      <c r="K47" s="48">
        <f>IF(+'Sismo UBC-94 y Dinamico'!O39=0,'Sismo UBC-94 y Dinamico'!M39,'Sismo UBC-94 y Dinamico'!O39)</f>
        <v>779.2908550084552</v>
      </c>
      <c r="L47" s="48">
        <f>IF(+'Sismo UBC-94 y Dinamico'!P39=0,'Sismo UBC-94 y Dinamico'!N39,'Sismo UBC-94 y Dinamico'!P39)</f>
        <v>11531.635879020376</v>
      </c>
      <c r="M47" s="52">
        <f t="shared" ref="M47:M52" si="24">0.05*N47*K47*(H47-1)+0.05*O47*L47*(H47-1)</f>
        <v>-1367.5932444699124</v>
      </c>
      <c r="N47" s="172">
        <f t="shared" si="18"/>
        <v>19</v>
      </c>
      <c r="O47" s="172">
        <f t="shared" si="19"/>
        <v>19</v>
      </c>
      <c r="P47" s="95">
        <f t="shared" ref="P47:P52" si="25">+K47*(J47+0.05*N47*H47)-K47*(J47+0.05*N47)</f>
        <v>-86.569673576310095</v>
      </c>
      <c r="Q47" s="95">
        <f t="shared" ref="Q47:Q52" si="26">+L47*(I47+0.05*O47*H47)-L47*(I47+0.05*O47)</f>
        <v>-1281.0235708936052</v>
      </c>
      <c r="R47" s="95">
        <f t="shared" ref="R47:R52" si="27">+P47+Q47</f>
        <v>-1367.5932444699154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1.8344420570971898E-2</v>
      </c>
      <c r="F48" s="185">
        <v>1.71917226263077E-2</v>
      </c>
      <c r="G48" s="186">
        <v>1.06704958948676</v>
      </c>
      <c r="H48" s="42">
        <f t="shared" si="16"/>
        <v>0.88920799123896788</v>
      </c>
      <c r="I48" s="181">
        <f t="shared" ref="I48:J48" si="28">+I30</f>
        <v>2.0675456218348991</v>
      </c>
      <c r="J48" s="181">
        <f t="shared" si="28"/>
        <v>-0.25840566899906037</v>
      </c>
      <c r="K48" s="48">
        <f>IF(+'Sismo UBC-94 y Dinamico'!O40=0,'Sismo UBC-94 y Dinamico'!M40,'Sismo UBC-94 y Dinamico'!O40)</f>
        <v>678.29935966786536</v>
      </c>
      <c r="L48" s="48">
        <f>IF(+'Sismo UBC-94 y Dinamico'!P40=0,'Sismo UBC-94 y Dinamico'!N40,'Sismo UBC-94 y Dinamico'!P40)</f>
        <v>10067.181844629356</v>
      </c>
      <c r="M48" s="52">
        <f t="shared" si="24"/>
        <v>-1130.9877753416038</v>
      </c>
      <c r="N48" s="172">
        <f t="shared" si="18"/>
        <v>19</v>
      </c>
      <c r="O48" s="172">
        <f t="shared" si="19"/>
        <v>19</v>
      </c>
      <c r="P48" s="95">
        <f t="shared" si="25"/>
        <v>-71.3926411689784</v>
      </c>
      <c r="Q48" s="95">
        <f t="shared" si="26"/>
        <v>-1059.5951341726286</v>
      </c>
      <c r="R48" s="95">
        <f t="shared" si="27"/>
        <v>-1130.9877753416069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1.48727772085452E-2</v>
      </c>
      <c r="F49" s="185">
        <v>1.38502693397089E-2</v>
      </c>
      <c r="G49" s="186">
        <v>1.07382584726383</v>
      </c>
      <c r="H49" s="42">
        <f t="shared" si="16"/>
        <v>0.89485487271986097</v>
      </c>
      <c r="I49" s="181">
        <f t="shared" ref="I49:J49" si="29">+I31</f>
        <v>2.0266590762431012</v>
      </c>
      <c r="J49" s="181">
        <f t="shared" si="29"/>
        <v>-0.25144764264591046</v>
      </c>
      <c r="K49" s="48">
        <f>IF(+'Sismo UBC-94 y Dinamico'!O41=0,'Sismo UBC-94 y Dinamico'!M41,'Sismo UBC-94 y Dinamico'!O41)</f>
        <v>581.4245133198209</v>
      </c>
      <c r="L49" s="48">
        <f>IF(+'Sismo UBC-94 y Dinamico'!P41=0,'Sismo UBC-94 y Dinamico'!N41,'Sismo UBC-94 y Dinamico'!P41)</f>
        <v>8894.1157670066368</v>
      </c>
      <c r="M49" s="52">
        <f t="shared" si="24"/>
        <v>-946.49154438185928</v>
      </c>
      <c r="N49" s="172">
        <f t="shared" si="18"/>
        <v>19</v>
      </c>
      <c r="O49" s="172">
        <f t="shared" si="19"/>
        <v>19</v>
      </c>
      <c r="P49" s="95">
        <f t="shared" si="25"/>
        <v>-58.077256733965157</v>
      </c>
      <c r="Q49" s="95">
        <f t="shared" si="26"/>
        <v>-888.41428764789453</v>
      </c>
      <c r="R49" s="95">
        <f t="shared" si="27"/>
        <v>-946.49154438185974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1.1105002998482501E-2</v>
      </c>
      <c r="F50" s="185">
        <v>1.0295296412490801E-2</v>
      </c>
      <c r="G50" s="186">
        <v>1.0786482053114399</v>
      </c>
      <c r="H50" s="42">
        <f t="shared" si="16"/>
        <v>0.89887350442619929</v>
      </c>
      <c r="I50" s="181">
        <f t="shared" ref="I50:J50" si="30">+I32</f>
        <v>2.0262460173984014</v>
      </c>
      <c r="J50" s="181">
        <f t="shared" si="30"/>
        <v>-0.24083798950533009</v>
      </c>
      <c r="K50" s="48">
        <f>IF(+'Sismo UBC-94 y Dinamico'!O42=0,'Sismo UBC-94 y Dinamico'!M42,'Sismo UBC-94 y Dinamico'!O42)</f>
        <v>484.38984054189086</v>
      </c>
      <c r="L50" s="48">
        <f>IF(+'Sismo UBC-94 y Dinamico'!P42=0,'Sismo UBC-94 y Dinamico'!N42,'Sismo UBC-94 y Dinamico'!P42)</f>
        <v>7638.2172227101146</v>
      </c>
      <c r="M50" s="52">
        <f t="shared" si="24"/>
        <v>-780.34024786819259</v>
      </c>
      <c r="N50" s="172">
        <f t="shared" si="18"/>
        <v>19</v>
      </c>
      <c r="O50" s="172">
        <f t="shared" si="19"/>
        <v>19</v>
      </c>
      <c r="P50" s="95">
        <f t="shared" si="25"/>
        <v>-46.535414712275895</v>
      </c>
      <c r="Q50" s="95">
        <f t="shared" si="26"/>
        <v>-733.80483315591482</v>
      </c>
      <c r="R50" s="95">
        <f t="shared" si="27"/>
        <v>-780.34024786819077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7.1292790871252997E-3</v>
      </c>
      <c r="F51" s="185">
        <v>6.6050931290516498E-3</v>
      </c>
      <c r="G51" s="186">
        <v>1.07936087316742</v>
      </c>
      <c r="H51" s="42">
        <f t="shared" si="16"/>
        <v>0.89946739430618139</v>
      </c>
      <c r="I51" s="181">
        <f t="shared" ref="I51:J51" si="31">+I33</f>
        <v>1.8837814214233006</v>
      </c>
      <c r="J51" s="181">
        <f t="shared" si="31"/>
        <v>-0.19656957095174121</v>
      </c>
      <c r="K51" s="48">
        <f>IF(+'Sismo UBC-94 y Dinamico'!O43=0,'Sismo UBC-94 y Dinamico'!M43,'Sismo UBC-94 y Dinamico'!O43)</f>
        <v>381.32401859842975</v>
      </c>
      <c r="L51" s="48">
        <f>IF(+'Sismo UBC-94 y Dinamico'!P43=0,'Sismo UBC-94 y Dinamico'!N43,'Sismo UBC-94 y Dinamico'!P43)</f>
        <v>5957.8571592725866</v>
      </c>
      <c r="M51" s="52">
        <f t="shared" si="24"/>
        <v>-605.4296816877544</v>
      </c>
      <c r="N51" s="172">
        <f t="shared" si="18"/>
        <v>19</v>
      </c>
      <c r="O51" s="172">
        <f t="shared" si="19"/>
        <v>19</v>
      </c>
      <c r="P51" s="95">
        <f t="shared" si="25"/>
        <v>-36.418722343171339</v>
      </c>
      <c r="Q51" s="95">
        <f t="shared" si="26"/>
        <v>-569.01095934458317</v>
      </c>
      <c r="R51" s="95">
        <f t="shared" si="27"/>
        <v>-605.42968168775451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3.15345559949739E-3</v>
      </c>
      <c r="F52" s="188">
        <v>2.9515805405641101E-3</v>
      </c>
      <c r="G52" s="189">
        <v>1.0683955786260499</v>
      </c>
      <c r="H52" s="42">
        <f t="shared" si="16"/>
        <v>0.89032964885504406</v>
      </c>
      <c r="I52" s="181">
        <f t="shared" ref="I52:J52" si="32">+I34</f>
        <v>1.327542471155299</v>
      </c>
      <c r="J52" s="181">
        <f t="shared" si="32"/>
        <v>-6.4377741665380128E-2</v>
      </c>
      <c r="K52" s="48">
        <f>IF(+'Sismo UBC-94 y Dinamico'!O44=0,'Sismo UBC-94 y Dinamico'!M44,'Sismo UBC-94 y Dinamico'!O44)</f>
        <v>235.11149153976473</v>
      </c>
      <c r="L52" s="48">
        <f>IF(+'Sismo UBC-94 y Dinamico'!P44=0,'Sismo UBC-94 y Dinamico'!N44,'Sismo UBC-94 y Dinamico'!P44)</f>
        <v>3380.1038079067589</v>
      </c>
      <c r="M52" s="52">
        <f t="shared" si="24"/>
        <v>-376.6578347871714</v>
      </c>
      <c r="N52" s="172">
        <f t="shared" si="18"/>
        <v>19</v>
      </c>
      <c r="O52" s="172">
        <f t="shared" si="19"/>
        <v>19</v>
      </c>
      <c r="P52" s="95">
        <f t="shared" si="25"/>
        <v>-24.495521843611328</v>
      </c>
      <c r="Q52" s="95">
        <f t="shared" si="26"/>
        <v>-352.16231294356112</v>
      </c>
      <c r="R52" s="95">
        <f t="shared" si="27"/>
        <v>-376.65783478717242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2.5346177239040001E-2</v>
      </c>
      <c r="F60" s="185">
        <v>2.4082930138870199E-2</v>
      </c>
      <c r="G60" s="186">
        <v>1.05245404495572</v>
      </c>
      <c r="H60" s="42">
        <f>+E60/(1.2*F60)</f>
        <v>0.87704503746310147</v>
      </c>
      <c r="I60" s="181">
        <f>+I42</f>
        <v>-2.9462663101556998</v>
      </c>
      <c r="J60" s="181">
        <f>+J42</f>
        <v>-0.81783818595710045</v>
      </c>
      <c r="K60" s="48">
        <f>+K42</f>
        <v>147.00321510633086</v>
      </c>
      <c r="L60" s="48">
        <f>+L42</f>
        <v>922.25322950097109</v>
      </c>
      <c r="M60" s="52">
        <f>-0.05*N60*K60*(H60-1)-0.05*O60*L60*(H60-1)</f>
        <v>124.89686678457673</v>
      </c>
      <c r="N60" s="172">
        <f>+$N$3</f>
        <v>19</v>
      </c>
      <c r="O60" s="172">
        <f>+$O$3</f>
        <v>19</v>
      </c>
      <c r="P60" s="95">
        <f>+K60*(J60-0.05*N60*H60)-K60*(J60-0.05*N60)</f>
        <v>17.171036065892423</v>
      </c>
      <c r="Q60" s="95">
        <f>+L60*(I60-0.05*O60*H60)-L60*(I60-0.05*O60)</f>
        <v>107.72583071868439</v>
      </c>
      <c r="R60" s="95">
        <f>+P60+Q60</f>
        <v>124.89686678457682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3.5141495110815602E-2</v>
      </c>
      <c r="F61" s="185">
        <v>2.84276406442086E-2</v>
      </c>
      <c r="G61" s="186">
        <v>1.23617346759921</v>
      </c>
      <c r="H61" s="42">
        <f t="shared" ref="H61:H70" si="33">+E61/(1.2*F61)</f>
        <v>1.0301445563326757</v>
      </c>
      <c r="I61" s="181">
        <f t="shared" ref="I61:J61" si="34">+I43</f>
        <v>1.3444024844711997</v>
      </c>
      <c r="J61" s="181">
        <f t="shared" si="34"/>
        <v>-0.11808931288613067</v>
      </c>
      <c r="K61" s="48">
        <f t="shared" ref="K61:L64" si="35">+K43</f>
        <v>1077.0868914298196</v>
      </c>
      <c r="L61" s="48">
        <f t="shared" si="35"/>
        <v>17228.257893531943</v>
      </c>
      <c r="M61" s="52">
        <f>-0.05*N61*K61*(H61-1)-0.05*O61*L61*(H61-1)</f>
        <v>-524.21617220636392</v>
      </c>
      <c r="N61" s="172">
        <f t="shared" ref="N61:N70" si="36">+$N$3</f>
        <v>19</v>
      </c>
      <c r="O61" s="172">
        <f t="shared" ref="O61:O70" si="37">+$O$3</f>
        <v>19</v>
      </c>
      <c r="P61" s="95">
        <f>+K61*(J61-0.05*N61*H61)-K61*(J61-0.05*N61)</f>
        <v>-30.844891150197782</v>
      </c>
      <c r="Q61" s="95">
        <f>+L61*(I61-0.05*O61*H61)-L61*(I61-0.05*O61)</f>
        <v>-493.37128105616557</v>
      </c>
      <c r="R61" s="95">
        <f>+P61+Q61</f>
        <v>-524.21617220636335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3.3984563133673498E-2</v>
      </c>
      <c r="F62" s="185">
        <v>2.7283761037995E-2</v>
      </c>
      <c r="G62" s="186">
        <v>1.24559671543623</v>
      </c>
      <c r="H62" s="42">
        <f t="shared" si="33"/>
        <v>1.0379972628635235</v>
      </c>
      <c r="I62" s="181">
        <f t="shared" ref="I62:J62" si="38">+I44</f>
        <v>1.5957377010338991</v>
      </c>
      <c r="J62" s="181">
        <f t="shared" si="38"/>
        <v>-0.17995080465665048</v>
      </c>
      <c r="K62" s="48">
        <f t="shared" si="35"/>
        <v>1246.5892275467527</v>
      </c>
      <c r="L62" s="48">
        <f t="shared" si="35"/>
        <v>19503.76545501703</v>
      </c>
      <c r="M62" s="52">
        <f>-0.05*N62*K62*(H62-1)-0.05*O62*L62*(H62-1)</f>
        <v>-749.03384731548476</v>
      </c>
      <c r="N62" s="172">
        <f t="shared" si="36"/>
        <v>19</v>
      </c>
      <c r="O62" s="172">
        <f t="shared" si="37"/>
        <v>19</v>
      </c>
      <c r="P62" s="95">
        <f>+K62*(J62-0.05*N62*H62)-K62*(J62-0.05*N62)</f>
        <v>-44.998629633834071</v>
      </c>
      <c r="Q62" s="95">
        <f>+L62*(I62-0.05*O62*H62)-L62*(I62-0.05*O62)</f>
        <v>-704.03521768165228</v>
      </c>
      <c r="R62" s="95">
        <f>+P62+Q62</f>
        <v>-749.03384731548636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3.2062929476387898E-2</v>
      </c>
      <c r="F63" s="185">
        <v>2.5554839777002299E-2</v>
      </c>
      <c r="G63" s="186">
        <v>1.2546715125657899</v>
      </c>
      <c r="H63" s="42">
        <f t="shared" si="33"/>
        <v>1.0455595938048254</v>
      </c>
      <c r="I63" s="181">
        <f t="shared" ref="I63:J63" si="39">+I45</f>
        <v>1.7327540020029986</v>
      </c>
      <c r="J63" s="181">
        <f t="shared" si="39"/>
        <v>-0.20298234138430082</v>
      </c>
      <c r="K63" s="48">
        <f t="shared" si="35"/>
        <v>1041.9182533011692</v>
      </c>
      <c r="L63" s="48">
        <f t="shared" si="35"/>
        <v>16234.256609948508</v>
      </c>
      <c r="M63" s="52">
        <f>-0.05*N63*K63*(H63-1)-0.05*O63*L63*(H63-1)</f>
        <v>-747.74073380725144</v>
      </c>
      <c r="N63" s="172">
        <f t="shared" si="36"/>
        <v>19</v>
      </c>
      <c r="O63" s="172">
        <f t="shared" si="37"/>
        <v>19</v>
      </c>
      <c r="P63" s="95">
        <f>+K63*(J63-0.05*N63*H63)-K63*(J63-0.05*N63)</f>
        <v>-45.095903778322736</v>
      </c>
      <c r="Q63" s="95">
        <f>+L63*(I63-0.05*O63*H63)-L63*(I63-0.05*O63)</f>
        <v>-702.64483002892848</v>
      </c>
      <c r="R63" s="95">
        <f>+P63+Q63</f>
        <v>-747.74073380725122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2.9419957932327601E-2</v>
      </c>
      <c r="F64" s="185">
        <v>2.3291083783734901E-2</v>
      </c>
      <c r="G64" s="186">
        <v>1.2631425057546199</v>
      </c>
      <c r="H64" s="42">
        <f t="shared" si="33"/>
        <v>1.0526187547955133</v>
      </c>
      <c r="I64" s="181">
        <f t="shared" ref="I64:J64" si="40">+I46</f>
        <v>1.8556298480360987</v>
      </c>
      <c r="J64" s="181">
        <f t="shared" si="40"/>
        <v>-0.22378940788281021</v>
      </c>
      <c r="K64" s="48">
        <f t="shared" si="35"/>
        <v>892.19286668337543</v>
      </c>
      <c r="L64" s="48">
        <f t="shared" si="35"/>
        <v>13535.604072170383</v>
      </c>
      <c r="M64" s="52">
        <f>-0.05*N64*K64*(H64-1)-0.05*O64*L64*(H64-1)</f>
        <v>-721.21407389675255</v>
      </c>
      <c r="N64" s="172">
        <f t="shared" si="36"/>
        <v>19</v>
      </c>
      <c r="O64" s="172">
        <f t="shared" si="37"/>
        <v>19</v>
      </c>
      <c r="P64" s="95">
        <f>+K64*(J64-0.05*N64*H64)-K64*(J64-0.05*N64)</f>
        <v>-44.598773798202728</v>
      </c>
      <c r="Q64" s="95">
        <f>+L64*(I64-0.05*O64*H64)-L64*(I64-0.05*O64)</f>
        <v>-676.61530009855051</v>
      </c>
      <c r="R64" s="95">
        <f>+P64+Q64</f>
        <v>-721.21407389675323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2.6165715817189499E-2</v>
      </c>
      <c r="F65" s="185">
        <v>2.0577427327258799E-2</v>
      </c>
      <c r="G65" s="186">
        <v>1.2715737201281601</v>
      </c>
      <c r="H65" s="42">
        <f t="shared" si="33"/>
        <v>1.0596447667734734</v>
      </c>
      <c r="I65" s="181">
        <f t="shared" ref="I65:J65" si="41">+I47</f>
        <v>1.9677489434536</v>
      </c>
      <c r="J65" s="181">
        <f t="shared" si="41"/>
        <v>-0.24233879328520125</v>
      </c>
      <c r="K65" s="48">
        <f t="shared" ref="K65:L70" si="42">+K47</f>
        <v>779.2908550084552</v>
      </c>
      <c r="L65" s="48">
        <f t="shared" si="42"/>
        <v>11531.635879020376</v>
      </c>
      <c r="M65" s="52">
        <f t="shared" ref="M65:M70" si="43">-0.05*N65*K65*(H65-1)-0.05*O65*L65*(H65-1)</f>
        <v>-697.56823612564494</v>
      </c>
      <c r="N65" s="172">
        <f t="shared" si="36"/>
        <v>19</v>
      </c>
      <c r="O65" s="172">
        <f t="shared" si="37"/>
        <v>19</v>
      </c>
      <c r="P65" s="95">
        <f t="shared" ref="P65:P70" si="44">+K65*(J65-0.05*N65*H65)-K65*(J65-0.05*N65)</f>
        <v>-44.156590230895972</v>
      </c>
      <c r="Q65" s="95">
        <f t="shared" ref="Q65:Q70" si="45">+L65*(I65-0.05*O65*H65)-L65*(I65-0.05*O65)</f>
        <v>-653.41164589474829</v>
      </c>
      <c r="R65" s="95">
        <f t="shared" ref="R65:R70" si="46">+P65+Q65</f>
        <v>-697.56823612564426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2.2397415792783301E-2</v>
      </c>
      <c r="F66" s="185">
        <v>1.7492629298012801E-2</v>
      </c>
      <c r="G66" s="186">
        <v>1.28039161015821</v>
      </c>
      <c r="H66" s="42">
        <f t="shared" si="33"/>
        <v>1.0669930084651758</v>
      </c>
      <c r="I66" s="181">
        <f t="shared" ref="I66:J66" si="47">+I48</f>
        <v>2.0675456218348991</v>
      </c>
      <c r="J66" s="181">
        <f t="shared" si="47"/>
        <v>-0.25840566899906037</v>
      </c>
      <c r="K66" s="48">
        <f t="shared" si="42"/>
        <v>678.29935966786536</v>
      </c>
      <c r="L66" s="48">
        <f t="shared" si="42"/>
        <v>10067.181844629356</v>
      </c>
      <c r="M66" s="52">
        <f t="shared" si="43"/>
        <v>-683.87850761777725</v>
      </c>
      <c r="N66" s="172">
        <f t="shared" si="36"/>
        <v>19</v>
      </c>
      <c r="O66" s="172">
        <f t="shared" si="37"/>
        <v>19</v>
      </c>
      <c r="P66" s="95">
        <f t="shared" si="44"/>
        <v>-43.169249006944938</v>
      </c>
      <c r="Q66" s="95">
        <f t="shared" si="45"/>
        <v>-640.70925861083197</v>
      </c>
      <c r="R66" s="95">
        <f t="shared" si="46"/>
        <v>-683.8785076177769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1.8191965720549499E-2</v>
      </c>
      <c r="F67" s="185">
        <v>1.41108641994408E-2</v>
      </c>
      <c r="G67" s="186">
        <v>1.2892169794441399</v>
      </c>
      <c r="H67" s="42">
        <f t="shared" si="33"/>
        <v>1.0743474828701156</v>
      </c>
      <c r="I67" s="181">
        <f t="shared" ref="I67:J67" si="48">+I49</f>
        <v>2.0266590762431012</v>
      </c>
      <c r="J67" s="181">
        <f t="shared" si="48"/>
        <v>-0.25144764264591046</v>
      </c>
      <c r="K67" s="48">
        <f t="shared" si="42"/>
        <v>581.4245133198209</v>
      </c>
      <c r="L67" s="48">
        <f t="shared" si="42"/>
        <v>8894.1157670066368</v>
      </c>
      <c r="M67" s="52">
        <f t="shared" si="43"/>
        <v>-669.25844024282878</v>
      </c>
      <c r="N67" s="172">
        <f t="shared" si="36"/>
        <v>19</v>
      </c>
      <c r="O67" s="172">
        <f t="shared" si="37"/>
        <v>19</v>
      </c>
      <c r="P67" s="95">
        <f t="shared" si="44"/>
        <v>-41.066076592095101</v>
      </c>
      <c r="Q67" s="95">
        <f t="shared" si="45"/>
        <v>-628.19236365073266</v>
      </c>
      <c r="R67" s="95">
        <f t="shared" si="46"/>
        <v>-669.25844024282776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1.36220404762651E-2</v>
      </c>
      <c r="F68" s="185">
        <v>1.04995756186452E-2</v>
      </c>
      <c r="G68" s="186">
        <v>1.2973896251649399</v>
      </c>
      <c r="H68" s="42">
        <f t="shared" si="33"/>
        <v>1.0811580209707883</v>
      </c>
      <c r="I68" s="181">
        <f t="shared" ref="I68:J68" si="49">+I50</f>
        <v>2.0262460173984014</v>
      </c>
      <c r="J68" s="181">
        <f t="shared" si="49"/>
        <v>-0.24083798950533009</v>
      </c>
      <c r="K68" s="48">
        <f t="shared" si="42"/>
        <v>484.38984054189086</v>
      </c>
      <c r="L68" s="48">
        <f t="shared" si="42"/>
        <v>7638.2172227101146</v>
      </c>
      <c r="M68" s="52">
        <f t="shared" si="43"/>
        <v>-626.25397865803541</v>
      </c>
      <c r="N68" s="172">
        <f t="shared" si="36"/>
        <v>19</v>
      </c>
      <c r="O68" s="172">
        <f t="shared" si="37"/>
        <v>19</v>
      </c>
      <c r="P68" s="95">
        <f t="shared" si="44"/>
        <v>-37.346514794898667</v>
      </c>
      <c r="Q68" s="95">
        <f t="shared" si="45"/>
        <v>-588.9074638631364</v>
      </c>
      <c r="R68" s="95">
        <f t="shared" si="46"/>
        <v>-626.25397865803507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8.7893190365742196E-3</v>
      </c>
      <c r="F69" s="185">
        <v>6.7382531433792803E-3</v>
      </c>
      <c r="G69" s="186">
        <v>1.30439133845991</v>
      </c>
      <c r="H69" s="42">
        <f t="shared" si="33"/>
        <v>1.0869927820499281</v>
      </c>
      <c r="I69" s="181">
        <f t="shared" ref="I69:J69" si="50">+I51</f>
        <v>1.8837814214233006</v>
      </c>
      <c r="J69" s="181">
        <f t="shared" si="50"/>
        <v>-0.19656957095174121</v>
      </c>
      <c r="K69" s="48">
        <f t="shared" si="42"/>
        <v>381.32401859842975</v>
      </c>
      <c r="L69" s="48">
        <f t="shared" si="42"/>
        <v>5957.8571592725866</v>
      </c>
      <c r="M69" s="52">
        <f t="shared" si="43"/>
        <v>-523.88985625246301</v>
      </c>
      <c r="N69" s="172">
        <f t="shared" si="36"/>
        <v>19</v>
      </c>
      <c r="O69" s="172">
        <f t="shared" si="37"/>
        <v>19</v>
      </c>
      <c r="P69" s="95">
        <f t="shared" si="44"/>
        <v>-31.513815378319123</v>
      </c>
      <c r="Q69" s="95">
        <f t="shared" si="45"/>
        <v>-492.37604087414456</v>
      </c>
      <c r="R69" s="95">
        <f t="shared" si="46"/>
        <v>-523.88985625246369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3.9330692501593004E-3</v>
      </c>
      <c r="F70" s="188">
        <v>3.00491754190407E-3</v>
      </c>
      <c r="G70" s="189">
        <v>1.3088775965769499</v>
      </c>
      <c r="H70" s="42">
        <f t="shared" si="33"/>
        <v>1.0907313304807875</v>
      </c>
      <c r="I70" s="181">
        <f t="shared" ref="I70:J70" si="51">+I52</f>
        <v>1.327542471155299</v>
      </c>
      <c r="J70" s="181">
        <f t="shared" si="51"/>
        <v>-6.4377741665380128E-2</v>
      </c>
      <c r="K70" s="48">
        <f t="shared" si="42"/>
        <v>235.11149153976473</v>
      </c>
      <c r="L70" s="48">
        <f t="shared" si="42"/>
        <v>3380.1038079067589</v>
      </c>
      <c r="M70" s="52">
        <f t="shared" si="43"/>
        <v>-311.61262938861773</v>
      </c>
      <c r="N70" s="172">
        <f t="shared" si="36"/>
        <v>19</v>
      </c>
      <c r="O70" s="172">
        <f t="shared" si="37"/>
        <v>19</v>
      </c>
      <c r="P70" s="95">
        <f t="shared" si="44"/>
        <v>-20.265379516788954</v>
      </c>
      <c r="Q70" s="95">
        <f t="shared" si="45"/>
        <v>-291.34724987182835</v>
      </c>
      <c r="R70" s="95">
        <f t="shared" si="46"/>
        <v>-311.61262938861728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1169365.19584422</v>
      </c>
      <c r="E6" s="53">
        <f>0.7*D6</f>
        <v>818555.637090954</v>
      </c>
      <c r="F6" s="1" t="str">
        <f>+IF(D6&lt;E5,"piso suave","ok")</f>
        <v>ok</v>
      </c>
      <c r="G6" s="53">
        <f>0.9*D6</f>
        <v>1052428.676259798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16172049.056938</v>
      </c>
      <c r="E7" s="53">
        <f>0.7*D7</f>
        <v>11320434.339856599</v>
      </c>
      <c r="F7" s="1" t="str">
        <f>+IF(D7&lt;E6,"piso suave","ok")</f>
        <v>ok</v>
      </c>
      <c r="G7" s="53">
        <f>0.9*D7</f>
        <v>14554844.151244201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24186123.062842101</v>
      </c>
      <c r="E8" s="53">
        <f>0.7*D8</f>
        <v>16930286.14398947</v>
      </c>
      <c r="F8" s="1" t="str">
        <f>+IF(D8&lt;E7,"piso suave","ok")</f>
        <v>ok</v>
      </c>
      <c r="G8" s="53">
        <f>0.9*D8</f>
        <v>21767510.756557893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28106064.870204799</v>
      </c>
      <c r="E9" s="53">
        <f>0.7*D9</f>
        <v>19674245.409143358</v>
      </c>
      <c r="F9" s="1" t="str">
        <f>+IF(D9&lt;E8,"piso suave","ok")</f>
        <v>ok</v>
      </c>
      <c r="G9" s="53">
        <f>0.9*D9</f>
        <v>25295458.383184321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30509937.999284498</v>
      </c>
      <c r="E10" s="53">
        <f>0.7*D10</f>
        <v>21356956.599499147</v>
      </c>
      <c r="F10" s="1" t="str">
        <f>+IF(D10&lt;E9,"piso suave","ok")</f>
        <v>ok</v>
      </c>
      <c r="G10" s="53">
        <f>0.9*D10</f>
        <v>27458944.199356049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31939325.781432301</v>
      </c>
      <c r="E11" s="53">
        <f t="shared" ref="E11:E16" si="0">0.7*D11</f>
        <v>22357528.04700261</v>
      </c>
      <c r="F11" s="1" t="str">
        <f t="shared" ref="F11:F16" si="1">+IF(D11&lt;E10,"piso suave","ok")</f>
        <v>ok</v>
      </c>
      <c r="G11" s="53">
        <f t="shared" ref="G11:G16" si="2">0.9*D11</f>
        <v>28745393.203289073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33298741.988872401</v>
      </c>
      <c r="E12" s="53">
        <f t="shared" si="0"/>
        <v>23309119.392210681</v>
      </c>
      <c r="F12" s="1" t="str">
        <f t="shared" si="1"/>
        <v>ok</v>
      </c>
      <c r="G12" s="53">
        <f t="shared" si="2"/>
        <v>29968867.789985161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34758781.567180701</v>
      </c>
      <c r="E13" s="53">
        <f t="shared" si="0"/>
        <v>24331147.09702649</v>
      </c>
      <c r="F13" s="1" t="str">
        <f t="shared" si="1"/>
        <v>ok</v>
      </c>
      <c r="G13" s="53">
        <f t="shared" si="2"/>
        <v>31282903.410462633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36212427.007974297</v>
      </c>
      <c r="E14" s="53">
        <f t="shared" si="0"/>
        <v>25348698.905582007</v>
      </c>
      <c r="F14" s="1" t="str">
        <f t="shared" si="1"/>
        <v>ok</v>
      </c>
      <c r="G14" s="53">
        <f t="shared" si="2"/>
        <v>32591184.307176869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38576314.7100145</v>
      </c>
      <c r="E15" s="53">
        <f t="shared" si="0"/>
        <v>27003420.29701015</v>
      </c>
      <c r="F15" s="1" t="str">
        <f t="shared" si="1"/>
        <v>ok</v>
      </c>
      <c r="G15" s="53">
        <f t="shared" si="2"/>
        <v>34718683.239013053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44234047.082073703</v>
      </c>
      <c r="E16" s="53">
        <f t="shared" si="0"/>
        <v>30963832.957451589</v>
      </c>
      <c r="F16" s="1" t="str">
        <f t="shared" si="1"/>
        <v>ok</v>
      </c>
      <c r="G16" s="53">
        <f t="shared" si="2"/>
        <v>39810642.373866335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1195224.54137679</v>
      </c>
      <c r="E23" s="53">
        <f>0.7*D23</f>
        <v>836657.17896375293</v>
      </c>
      <c r="F23" s="1" t="str">
        <f>+IF(D23&lt;E22,"piso suave","ok")</f>
        <v>ok</v>
      </c>
      <c r="G23" s="53">
        <f>0.9*D23</f>
        <v>1075702.0872391111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16706330.8492558</v>
      </c>
      <c r="E24" s="53">
        <f>0.7*D24</f>
        <v>11694431.59447906</v>
      </c>
      <c r="F24" s="1" t="str">
        <f>+IF(D24&lt;E23,"piso suave","ok")</f>
        <v>ok</v>
      </c>
      <c r="G24" s="53">
        <f>0.9*D24</f>
        <v>15035697.764330221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24358727.099135801</v>
      </c>
      <c r="E25" s="53">
        <f>0.7*D25</f>
        <v>17051108.96939506</v>
      </c>
      <c r="F25" s="1" t="str">
        <f>+IF(D25&lt;E24,"piso suave","ok")</f>
        <v>ok</v>
      </c>
      <c r="G25" s="53">
        <f>0.9*D25</f>
        <v>21922854.389222223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27850857.413947102</v>
      </c>
      <c r="E26" s="53">
        <f>0.7*D26</f>
        <v>19495600.189762969</v>
      </c>
      <c r="F26" s="1" t="str">
        <f>+IF(D26&lt;E25,"piso suave","ok")</f>
        <v>ok</v>
      </c>
      <c r="G26" s="53">
        <f>0.9*D26</f>
        <v>25065771.672552392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29894995.4339443</v>
      </c>
      <c r="E27" s="53">
        <f>0.7*D27</f>
        <v>20926496.803761009</v>
      </c>
      <c r="F27" s="1" t="str">
        <f>+IF(D27&lt;E26,"piso suave","ok")</f>
        <v>ok</v>
      </c>
      <c r="G27" s="53">
        <f>0.9*D27</f>
        <v>26905495.890549872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31489610.2796124</v>
      </c>
      <c r="E28" s="53">
        <f t="shared" ref="E28:E33" si="4">0.7*D28</f>
        <v>22042727.195728678</v>
      </c>
      <c r="F28" s="1" t="str">
        <f t="shared" ref="F28:F33" si="5">+IF(D28&lt;E27,"piso suave","ok")</f>
        <v>ok</v>
      </c>
      <c r="G28" s="53">
        <f t="shared" ref="G28:G33" si="6">0.9*D28</f>
        <v>28340649.25165116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33109837.396991301</v>
      </c>
      <c r="E29" s="53">
        <f t="shared" si="4"/>
        <v>23176886.177893911</v>
      </c>
      <c r="F29" s="1" t="str">
        <f t="shared" si="5"/>
        <v>ok</v>
      </c>
      <c r="G29" s="53">
        <f t="shared" si="6"/>
        <v>29798853.657292172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34736606.5754098</v>
      </c>
      <c r="E30" s="53">
        <f t="shared" si="4"/>
        <v>24315624.602786858</v>
      </c>
      <c r="F30" s="1" t="str">
        <f t="shared" si="5"/>
        <v>ok</v>
      </c>
      <c r="G30" s="53">
        <f t="shared" si="6"/>
        <v>31262945.917868819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36435451.766828202</v>
      </c>
      <c r="E31" s="53">
        <f t="shared" si="4"/>
        <v>25504816.236779738</v>
      </c>
      <c r="F31" s="1" t="str">
        <f t="shared" si="5"/>
        <v>ok</v>
      </c>
      <c r="G31" s="53">
        <f t="shared" si="6"/>
        <v>32791906.590145383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39789103.539220303</v>
      </c>
      <c r="E32" s="53">
        <f t="shared" si="4"/>
        <v>27852372.477454212</v>
      </c>
      <c r="F32" s="1" t="str">
        <f t="shared" si="5"/>
        <v>ok</v>
      </c>
      <c r="G32" s="53">
        <f t="shared" si="6"/>
        <v>35810193.185298271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44416476.447310902</v>
      </c>
      <c r="E33" s="53">
        <f t="shared" si="4"/>
        <v>31091533.51311763</v>
      </c>
      <c r="F33" s="1" t="str">
        <f t="shared" si="5"/>
        <v>ok</v>
      </c>
      <c r="G33" s="53">
        <f t="shared" si="6"/>
        <v>39974828.802579813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823633.33893963101</v>
      </c>
      <c r="E40" s="53">
        <f>0.7*D40</f>
        <v>576543.33725774172</v>
      </c>
      <c r="F40" s="1" t="str">
        <f>+IF(D40&lt;E39,"piso suave","ok")</f>
        <v>ok</v>
      </c>
      <c r="G40" s="53">
        <f>0.9*D40</f>
        <v>741270.00504566787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13438632.255792599</v>
      </c>
      <c r="E41" s="53">
        <f>0.7*D41</f>
        <v>9407042.5790548194</v>
      </c>
      <c r="F41" s="1" t="str">
        <f>+IF(D41&lt;E40,"piso suave","ok")</f>
        <v>ok</v>
      </c>
      <c r="G41" s="53">
        <f>0.9*D41</f>
        <v>12094769.030213339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19709163.317482401</v>
      </c>
      <c r="E42" s="53">
        <f>0.7*D42</f>
        <v>13796414.32223768</v>
      </c>
      <c r="F42" s="1" t="str">
        <f>+IF(D42&lt;E41,"piso suave","ok")</f>
        <v>ok</v>
      </c>
      <c r="G42" s="53">
        <f>0.9*D42</f>
        <v>17738246.985734161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22385235.928989299</v>
      </c>
      <c r="E43" s="53">
        <f>0.7*D43</f>
        <v>15669665.150292508</v>
      </c>
      <c r="F43" s="1" t="str">
        <f>+IF(D43&lt;E42,"piso suave","ok")</f>
        <v>ok</v>
      </c>
      <c r="G43" s="53">
        <f>0.9*D43</f>
        <v>20146712.336090371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23890488.326887801</v>
      </c>
      <c r="E44" s="53">
        <f>0.7*D44</f>
        <v>16723341.82882146</v>
      </c>
      <c r="F44" s="1" t="str">
        <f>+IF(D44&lt;E43,"piso suave","ok")</f>
        <v>ok</v>
      </c>
      <c r="G44" s="53">
        <f>0.9*D44</f>
        <v>21501439.494199023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25347612.371207401</v>
      </c>
      <c r="E45" s="53">
        <f t="shared" ref="E45:E50" si="8">0.7*D45</f>
        <v>17743328.659845181</v>
      </c>
      <c r="F45" s="1" t="str">
        <f t="shared" ref="F45:F50" si="9">+IF(D45&lt;E44,"piso suave","ok")</f>
        <v>ok</v>
      </c>
      <c r="G45" s="53">
        <f t="shared" ref="G45:G50" si="10">0.9*D45</f>
        <v>22812851.134086661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26631178.3993771</v>
      </c>
      <c r="E46" s="53">
        <f t="shared" si="8"/>
        <v>18641824.879563969</v>
      </c>
      <c r="F46" s="1" t="str">
        <f t="shared" si="9"/>
        <v>ok</v>
      </c>
      <c r="G46" s="53">
        <f t="shared" si="10"/>
        <v>23968060.559439391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27526525.5764574</v>
      </c>
      <c r="E47" s="53">
        <f t="shared" si="8"/>
        <v>19268567.903520178</v>
      </c>
      <c r="F47" s="1" t="str">
        <f t="shared" si="9"/>
        <v>ok</v>
      </c>
      <c r="G47" s="53">
        <f t="shared" si="10"/>
        <v>24773873.018811662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28750030.070085902</v>
      </c>
      <c r="E48" s="53">
        <f t="shared" si="8"/>
        <v>20125021.049060129</v>
      </c>
      <c r="F48" s="1" t="str">
        <f t="shared" si="9"/>
        <v>ok</v>
      </c>
      <c r="G48" s="53">
        <f t="shared" si="10"/>
        <v>25875027.063077312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32703594.556244899</v>
      </c>
      <c r="E49" s="53">
        <f t="shared" si="8"/>
        <v>22892516.189371429</v>
      </c>
      <c r="F49" s="1" t="str">
        <f t="shared" si="9"/>
        <v>ok</v>
      </c>
      <c r="G49" s="53">
        <f t="shared" si="10"/>
        <v>29433235.100620408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38926008.400857396</v>
      </c>
      <c r="E50" s="53">
        <f t="shared" si="8"/>
        <v>27248205.880600177</v>
      </c>
      <c r="F50" s="1" t="str">
        <f t="shared" si="9"/>
        <v>ok</v>
      </c>
      <c r="G50" s="53">
        <f t="shared" si="10"/>
        <v>35033407.560771659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951335.15738102398</v>
      </c>
      <c r="E57" s="53">
        <f>0.7*D57</f>
        <v>665934.61016671674</v>
      </c>
      <c r="F57" s="1" t="str">
        <f>+IF(D57&lt;E56,"piso suave","ok")</f>
        <v>ok</v>
      </c>
      <c r="G57" s="53">
        <f>0.9*D57</f>
        <v>856201.6416429216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14057063.8841551</v>
      </c>
      <c r="E58" s="53">
        <f>0.7*D58</f>
        <v>9839944.7189085688</v>
      </c>
      <c r="F58" s="1" t="str">
        <f>+IF(D58&lt;E57,"piso suave","ok")</f>
        <v>ok</v>
      </c>
      <c r="G58" s="53">
        <f>0.9*D58</f>
        <v>12651357.49573959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21753800.0309393</v>
      </c>
      <c r="E59" s="53">
        <f>0.7*D59</f>
        <v>15227660.021657508</v>
      </c>
      <c r="F59" s="1" t="str">
        <f>+IF(D59&lt;E58,"piso suave","ok")</f>
        <v>ok</v>
      </c>
      <c r="G59" s="53">
        <f>0.9*D59</f>
        <v>19578420.027845372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23763454.9842581</v>
      </c>
      <c r="E60" s="53">
        <f>0.7*D60</f>
        <v>16634418.48898067</v>
      </c>
      <c r="F60" s="1" t="str">
        <f>+IF(D60&lt;E59,"piso suave","ok")</f>
        <v>ok</v>
      </c>
      <c r="G60" s="53">
        <f>0.9*D60</f>
        <v>21387109.485832293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24794780.177929301</v>
      </c>
      <c r="E61" s="53">
        <f>0.7*D61</f>
        <v>17356346.12455051</v>
      </c>
      <c r="F61" s="1" t="str">
        <f>+IF(D61&lt;E60,"piso suave","ok")</f>
        <v>ok</v>
      </c>
      <c r="G61" s="53">
        <f>0.9*D61</f>
        <v>22315302.160136372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25536180.830691598</v>
      </c>
      <c r="E62" s="53">
        <f t="shared" ref="E62:E67" si="12">0.7*D62</f>
        <v>17875326.581484117</v>
      </c>
      <c r="F62" s="1" t="str">
        <f t="shared" ref="F62:F67" si="13">+IF(D62&lt;E61,"piso suave","ok")</f>
        <v>ok</v>
      </c>
      <c r="G62" s="53">
        <f t="shared" ref="G62:G67" si="14">0.9*D62</f>
        <v>22982562.747622438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26257785.1290503</v>
      </c>
      <c r="E63" s="53">
        <f t="shared" si="12"/>
        <v>18380449.590335209</v>
      </c>
      <c r="F63" s="1" t="str">
        <f t="shared" si="13"/>
        <v>ok</v>
      </c>
      <c r="G63" s="53">
        <f t="shared" si="14"/>
        <v>23632006.616145272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27039395.654507399</v>
      </c>
      <c r="E64" s="53">
        <f t="shared" si="12"/>
        <v>18927576.958155178</v>
      </c>
      <c r="F64" s="1" t="str">
        <f t="shared" si="13"/>
        <v>ok</v>
      </c>
      <c r="G64" s="53">
        <f t="shared" si="14"/>
        <v>24335456.089056659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28203539.599889699</v>
      </c>
      <c r="E65" s="53">
        <f t="shared" si="12"/>
        <v>19742477.719922788</v>
      </c>
      <c r="F65" s="1" t="str">
        <f t="shared" si="13"/>
        <v>ok</v>
      </c>
      <c r="G65" s="53">
        <f t="shared" si="14"/>
        <v>25383185.639900729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31075025.996186499</v>
      </c>
      <c r="E66" s="53">
        <f t="shared" si="12"/>
        <v>21752518.197330549</v>
      </c>
      <c r="F66" s="1" t="str">
        <f t="shared" si="13"/>
        <v>ok</v>
      </c>
      <c r="G66" s="53">
        <f t="shared" si="14"/>
        <v>27967523.396567848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38235075.443865202</v>
      </c>
      <c r="E67" s="53">
        <f t="shared" si="12"/>
        <v>26764552.810705639</v>
      </c>
      <c r="F67" s="1" t="str">
        <f t="shared" si="13"/>
        <v>ok</v>
      </c>
      <c r="G67" s="53">
        <f t="shared" si="14"/>
        <v>34411567.899478681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581.94183486763905</v>
      </c>
      <c r="E7" s="171">
        <f>+'Centers of Mass and Rigidity'!E5</f>
        <v>581.94183486763905</v>
      </c>
      <c r="F7" s="68">
        <f>+E7*9.807</f>
        <v>5707.1035745469362</v>
      </c>
      <c r="G7">
        <f>1.5*F7</f>
        <v>8560.6553618204052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10554.5614938608</v>
      </c>
      <c r="E8" s="171">
        <f>+'Centers of Mass and Rigidity'!E6</f>
        <v>10554.5614938608</v>
      </c>
      <c r="F8" s="68">
        <f t="shared" ref="F8:F17" si="0">+E8*9.807</f>
        <v>103508.58457029286</v>
      </c>
      <c r="G8" s="68">
        <f t="shared" ref="G8:G17" si="1">1.5*F8</f>
        <v>155262.8768554393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13155.077997341999</v>
      </c>
      <c r="E9" s="171">
        <f>+'Centers of Mass and Rigidity'!E7</f>
        <v>13155.077997341999</v>
      </c>
      <c r="F9" s="68">
        <f t="shared" si="0"/>
        <v>129011.849919933</v>
      </c>
      <c r="G9" s="68">
        <f t="shared" si="1"/>
        <v>193517.77487989949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13155.077997341999</v>
      </c>
      <c r="E10" s="171">
        <f>+'Centers of Mass and Rigidity'!E8</f>
        <v>13155.077997341999</v>
      </c>
      <c r="F10" s="68">
        <f t="shared" si="0"/>
        <v>129011.849919933</v>
      </c>
      <c r="G10" s="68">
        <f t="shared" si="1"/>
        <v>193517.77487989949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13155.077997341999</v>
      </c>
      <c r="E11" s="171">
        <f>+'Centers of Mass and Rigidity'!E9</f>
        <v>13155.077997341999</v>
      </c>
      <c r="F11" s="68">
        <f t="shared" si="0"/>
        <v>129011.849919933</v>
      </c>
      <c r="G11" s="68">
        <f t="shared" si="1"/>
        <v>193517.77487989949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13155.077997341999</v>
      </c>
      <c r="E12" s="171">
        <f>+'Centers of Mass and Rigidity'!E10</f>
        <v>13155.077997341999</v>
      </c>
      <c r="F12" s="158">
        <f t="shared" si="0"/>
        <v>129011.849919933</v>
      </c>
      <c r="G12" s="158">
        <f t="shared" si="1"/>
        <v>193517.77487989949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13155.077997341999</v>
      </c>
      <c r="E13" s="171">
        <f>+'Centers of Mass and Rigidity'!E11</f>
        <v>13155.077997341999</v>
      </c>
      <c r="F13" s="158">
        <f t="shared" si="0"/>
        <v>129011.849919933</v>
      </c>
      <c r="G13" s="158">
        <f t="shared" si="1"/>
        <v>193517.77487989949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13289.435802829201</v>
      </c>
      <c r="E14" s="171">
        <f>+'Centers of Mass and Rigidity'!E12</f>
        <v>13289.435802829201</v>
      </c>
      <c r="F14" s="158">
        <f t="shared" si="0"/>
        <v>130329.49691834598</v>
      </c>
      <c r="G14" s="158">
        <f t="shared" si="1"/>
        <v>195494.24537751896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13289.435802829201</v>
      </c>
      <c r="E15" s="171">
        <f>+'Centers of Mass and Rigidity'!E13</f>
        <v>13289.435802829201</v>
      </c>
      <c r="F15" s="158">
        <f t="shared" si="0"/>
        <v>130329.49691834598</v>
      </c>
      <c r="G15" s="158">
        <f t="shared" si="1"/>
        <v>195494.24537751896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13289.435802829201</v>
      </c>
      <c r="E16" s="171">
        <f>+'Centers of Mass and Rigidity'!E14</f>
        <v>13289.435802829201</v>
      </c>
      <c r="F16" s="158">
        <f t="shared" si="0"/>
        <v>130329.49691834598</v>
      </c>
      <c r="G16" s="158">
        <f t="shared" si="1"/>
        <v>195494.24537751896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13745.280860414499</v>
      </c>
      <c r="E17" s="171">
        <f>+'Centers of Mass and Rigidity'!E15</f>
        <v>13745.280860414499</v>
      </c>
      <c r="F17" s="158">
        <f t="shared" si="0"/>
        <v>134799.969398085</v>
      </c>
      <c r="G17" s="158">
        <f t="shared" si="1"/>
        <v>202199.95409712748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1280063.3978976279</v>
      </c>
      <c r="G18">
        <f>1.5*F18</f>
        <v>1920095.0968464417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17917.199999998898</v>
      </c>
      <c r="F5" s="172">
        <v>1.0946621387120099E-9</v>
      </c>
      <c r="G5" s="172">
        <v>-1.0642224879120499E-9</v>
      </c>
      <c r="H5" s="172">
        <v>-3.1396893973578699E-8</v>
      </c>
      <c r="I5" s="172">
        <v>142115.12999999299</v>
      </c>
      <c r="J5" s="172">
        <v>-381751.559999966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473431.54764760699</v>
      </c>
      <c r="F6" s="172">
        <v>-1.07971686702513E-7</v>
      </c>
      <c r="G6" s="172">
        <v>-5.0660787564993397E-8</v>
      </c>
      <c r="H6" s="172">
        <v>3.1358513297163903E-7</v>
      </c>
      <c r="I6" s="172">
        <v>4415639.0226496598</v>
      </c>
      <c r="J6" s="172">
        <v>-5206438.5918305404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921340.895295177</v>
      </c>
      <c r="F7" s="172">
        <v>-1.68001264455597E-7</v>
      </c>
      <c r="G7" s="172">
        <v>-8.6898722884143406E-8</v>
      </c>
      <c r="H7" s="172">
        <v>3.97996700485237E-7</v>
      </c>
      <c r="I7" s="172">
        <v>8616915.4152989797</v>
      </c>
      <c r="J7" s="172">
        <v>-9958878.1236610096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1369250.2429426601</v>
      </c>
      <c r="F8" s="172">
        <v>-1.1561644441826501E-7</v>
      </c>
      <c r="G8" s="172">
        <v>-1.08627261852234E-7</v>
      </c>
      <c r="H8" s="172">
        <v>-1.8239825294585901E-7</v>
      </c>
      <c r="I8" s="172">
        <v>12818191.8079475</v>
      </c>
      <c r="J8" s="172">
        <v>-14711317.6554898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1817159.59059023</v>
      </c>
      <c r="F9" s="172">
        <v>-7.0922055783739806E-8</v>
      </c>
      <c r="G9" s="172">
        <v>-1.32209493131086E-7</v>
      </c>
      <c r="H9" s="172">
        <v>-6.5303356677759396E-7</v>
      </c>
      <c r="I9" s="172">
        <v>17019468.200596601</v>
      </c>
      <c r="J9" s="172">
        <v>-19463757.187320098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2265068.9382377798</v>
      </c>
      <c r="F10" s="172">
        <v>-1.2355559420029699E-7</v>
      </c>
      <c r="G10" s="172">
        <v>-1.38606509381134E-7</v>
      </c>
      <c r="H10" s="172">
        <v>-3.4953018257510801E-7</v>
      </c>
      <c r="I10" s="172">
        <v>21220744.5932457</v>
      </c>
      <c r="J10" s="172">
        <v>-24216196.7191501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2712978.2858853601</v>
      </c>
      <c r="F11" s="172">
        <v>-6.27643998996064E-8</v>
      </c>
      <c r="G11" s="172">
        <v>-1.52479515236337E-7</v>
      </c>
      <c r="H11" s="172">
        <v>-1.05611070466693E-6</v>
      </c>
      <c r="I11" s="172">
        <v>25422020.985895202</v>
      </c>
      <c r="J11" s="172">
        <v>-28968636.2509804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3162205.5935331802</v>
      </c>
      <c r="F12" s="172">
        <v>-1.13492433229112E-8</v>
      </c>
      <c r="G12" s="172">
        <v>-1.6431533822469601E-7</v>
      </c>
      <c r="H12" s="172">
        <v>-1.6375670384150001E-6</v>
      </c>
      <c r="I12" s="172">
        <v>29633854.738546401</v>
      </c>
      <c r="J12" s="172">
        <v>-33749427.492365502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3611432.9011810198</v>
      </c>
      <c r="F13" s="172">
        <v>-9.2362483883334803E-8</v>
      </c>
      <c r="G13" s="172">
        <v>-1.70093983342667E-7</v>
      </c>
      <c r="H13" s="172">
        <v>-1.1665561032714301E-6</v>
      </c>
      <c r="I13" s="172">
        <v>33845688.491197802</v>
      </c>
      <c r="J13" s="172">
        <v>-38530218.733750701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4060660.2088286602</v>
      </c>
      <c r="F14" s="172">
        <v>-4.86776343677775E-8</v>
      </c>
      <c r="G14" s="172">
        <v>-1.7420143194612999E-7</v>
      </c>
      <c r="H14" s="172">
        <v>-1.6455433069495499E-6</v>
      </c>
      <c r="I14" s="172">
        <v>38057522.243847802</v>
      </c>
      <c r="J14" s="172">
        <v>-43311009.975132197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4631604.0094368299</v>
      </c>
      <c r="F15" s="172">
        <v>-4.2603005567798398E-8</v>
      </c>
      <c r="G15" s="172">
        <v>-1.7821770370574099E-7</v>
      </c>
      <c r="H15" s="172">
        <v>-1.74638989847153E-6</v>
      </c>
      <c r="I15" s="172">
        <v>43426141.609430097</v>
      </c>
      <c r="J15" s="172">
        <v>-49261476.578583203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2.48155272142669E-2</v>
      </c>
      <c r="F22" s="83">
        <f t="shared" ref="F22:F32" si="0">+E5</f>
        <v>17917.199999998898</v>
      </c>
      <c r="G22" s="83">
        <v>0</v>
      </c>
      <c r="H22" s="83">
        <f t="shared" ref="H22:H32" si="1">+E22</f>
        <v>2.48155272142669E-2</v>
      </c>
      <c r="I22" s="83">
        <f t="shared" ref="I22:I31" si="2">+H22-H23</f>
        <v>-1.0509339264779018E-3</v>
      </c>
      <c r="J22" s="83">
        <f>IF(+'Sismo UBC-94 y Dinamico'!O15=0,'Sismo UBC-94 y Dinamico'!M15,'Sismo UBC-94 y Dinamico'!O15)</f>
        <v>1180.7507363740399</v>
      </c>
      <c r="K22" s="83">
        <f t="shared" ref="K22:K32" si="3">+C22</f>
        <v>38.5</v>
      </c>
      <c r="L22" s="83">
        <f>+G22*I22</f>
        <v>0</v>
      </c>
      <c r="M22" s="83">
        <f>+J22*K22</f>
        <v>45458.903350400535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2.5866461140744802E-2</v>
      </c>
      <c r="F23" s="165">
        <f t="shared" si="0"/>
        <v>473431.54764760699</v>
      </c>
      <c r="G23" s="83">
        <f>+F23</f>
        <v>473431.54764760699</v>
      </c>
      <c r="H23" s="83">
        <f t="shared" si="1"/>
        <v>2.5866461140744802E-2</v>
      </c>
      <c r="I23" s="83">
        <f t="shared" si="2"/>
        <v>1.0248858598124015E-3</v>
      </c>
      <c r="J23" s="172">
        <f>IF(+'Sismo UBC-94 y Dinamico'!O16=0,'Sismo UBC-94 y Dinamico'!M16,'Sismo UBC-94 y Dinamico'!O16)</f>
        <v>17267.116402200059</v>
      </c>
      <c r="K23" s="172">
        <f t="shared" si="3"/>
        <v>35.5</v>
      </c>
      <c r="L23" s="83">
        <f t="shared" ref="L23:L32" si="4">+G23*I23</f>
        <v>485.2132987731336</v>
      </c>
      <c r="M23" s="83">
        <f t="shared" ref="M23:M32" si="5">+J23*K23</f>
        <v>612982.6322781021</v>
      </c>
      <c r="N23" s="83">
        <f t="shared" ref="N23:N32" si="6">+L23/M23</f>
        <v>7.9156125022641552E-4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2.48415752809324E-2</v>
      </c>
      <c r="F24" s="165">
        <f t="shared" si="0"/>
        <v>921340.895295177</v>
      </c>
      <c r="G24" s="83">
        <f>+F24-F23</f>
        <v>447909.34764757002</v>
      </c>
      <c r="H24" s="83">
        <f t="shared" si="1"/>
        <v>2.48415752809324E-2</v>
      </c>
      <c r="I24" s="83">
        <f t="shared" si="2"/>
        <v>1.5620567975420004E-3</v>
      </c>
      <c r="J24" s="172">
        <f>IF(+'Sismo UBC-94 y Dinamico'!O17=0,'Sismo UBC-94 y Dinamico'!M17,'Sismo UBC-94 y Dinamico'!O17)</f>
        <v>19809.957084604899</v>
      </c>
      <c r="K24" s="172">
        <f t="shared" si="3"/>
        <v>32</v>
      </c>
      <c r="L24" s="83">
        <f t="shared" si="4"/>
        <v>699.65984117548976</v>
      </c>
      <c r="M24" s="83">
        <f t="shared" si="5"/>
        <v>633918.62670735677</v>
      </c>
      <c r="N24" s="83">
        <f t="shared" si="6"/>
        <v>1.1037060778756418E-3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2.32795184833904E-2</v>
      </c>
      <c r="F25" s="165">
        <f t="shared" si="0"/>
        <v>1369250.2429426601</v>
      </c>
      <c r="G25" s="83">
        <f>+F25-F24</f>
        <v>447909.34764748311</v>
      </c>
      <c r="H25" s="83">
        <f t="shared" si="1"/>
        <v>2.32795184833904E-2</v>
      </c>
      <c r="I25" s="83">
        <f t="shared" si="2"/>
        <v>2.045253282400801E-3</v>
      </c>
      <c r="J25" s="172">
        <f>IF(+'Sismo UBC-94 y Dinamico'!O18=0,'Sismo UBC-94 y Dinamico'!M18,'Sismo UBC-94 y Dinamico'!O18)</f>
        <v>16770.384808110502</v>
      </c>
      <c r="K25" s="172">
        <f t="shared" si="3"/>
        <v>28.5</v>
      </c>
      <c r="L25" s="83">
        <f t="shared" si="4"/>
        <v>916.0880634940163</v>
      </c>
      <c r="M25" s="83">
        <f t="shared" si="5"/>
        <v>477955.96703114931</v>
      </c>
      <c r="N25" s="83">
        <f t="shared" si="6"/>
        <v>1.9166787877643822E-3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2.1234265200989599E-2</v>
      </c>
      <c r="F26" s="165">
        <f t="shared" si="0"/>
        <v>1817159.59059023</v>
      </c>
      <c r="G26" s="83">
        <f>+F26-F25</f>
        <v>447909.34764756984</v>
      </c>
      <c r="H26" s="83">
        <f t="shared" si="1"/>
        <v>2.1234265200989599E-2</v>
      </c>
      <c r="I26" s="83">
        <f t="shared" si="2"/>
        <v>2.4539947106121986E-3</v>
      </c>
      <c r="J26" s="172">
        <f>IF(+'Sismo UBC-94 y Dinamico'!O19=0,'Sismo UBC-94 y Dinamico'!M19,'Sismo UBC-94 y Dinamico'!O19)</f>
        <v>14221.385427446701</v>
      </c>
      <c r="K26" s="172">
        <f t="shared" si="3"/>
        <v>25</v>
      </c>
      <c r="L26" s="83">
        <f t="shared" si="4"/>
        <v>1099.1671699608969</v>
      </c>
      <c r="M26" s="83">
        <f t="shared" si="5"/>
        <v>355534.63568616752</v>
      </c>
      <c r="N26" s="83">
        <f t="shared" si="6"/>
        <v>3.0915895657804156E-3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1.87802704903774E-2</v>
      </c>
      <c r="F27" s="165">
        <f t="shared" si="0"/>
        <v>2265068.9382377798</v>
      </c>
      <c r="G27" s="165">
        <f t="shared" ref="G27:G32" si="8">+F27-F26</f>
        <v>447909.34764754982</v>
      </c>
      <c r="H27" s="165">
        <f t="shared" si="1"/>
        <v>1.87802704903774E-2</v>
      </c>
      <c r="I27" s="165">
        <f t="shared" si="2"/>
        <v>2.7909544269496996E-3</v>
      </c>
      <c r="J27" s="172">
        <f>IF(+'Sismo UBC-94 y Dinamico'!O20=0,'Sismo UBC-94 y Dinamico'!M20,'Sismo UBC-94 y Dinamico'!O20)</f>
        <v>12221.701325717702</v>
      </c>
      <c r="K27" s="172">
        <f t="shared" si="3"/>
        <v>21.5</v>
      </c>
      <c r="L27" s="165">
        <f t="shared" si="4"/>
        <v>1250.0945766890811</v>
      </c>
      <c r="M27" s="165">
        <f t="shared" si="5"/>
        <v>262766.57850293058</v>
      </c>
      <c r="N27" s="165">
        <f t="shared" si="6"/>
        <v>4.7574337033700767E-3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1.5989316063427701E-2</v>
      </c>
      <c r="F28" s="165">
        <f t="shared" si="0"/>
        <v>2712978.2858853601</v>
      </c>
      <c r="G28" s="165">
        <f t="shared" si="8"/>
        <v>447909.34764758032</v>
      </c>
      <c r="H28" s="165">
        <f t="shared" si="1"/>
        <v>1.5989316063427701E-2</v>
      </c>
      <c r="I28" s="165">
        <f t="shared" si="2"/>
        <v>3.0470349291848008E-3</v>
      </c>
      <c r="J28" s="172">
        <f>IF(+'Sismo UBC-94 y Dinamico'!O21=0,'Sismo UBC-94 y Dinamico'!M21,'Sismo UBC-94 y Dinamico'!O21)</f>
        <v>10590.234960768095</v>
      </c>
      <c r="K28" s="172">
        <f t="shared" si="3"/>
        <v>18</v>
      </c>
      <c r="L28" s="165">
        <f t="shared" si="4"/>
        <v>1364.7954273905552</v>
      </c>
      <c r="M28" s="165">
        <f t="shared" si="5"/>
        <v>190624.22929382572</v>
      </c>
      <c r="N28" s="165">
        <f t="shared" si="6"/>
        <v>7.1596115165762962E-3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1.29422811342429E-2</v>
      </c>
      <c r="F29" s="165">
        <f t="shared" si="0"/>
        <v>3162205.5935331802</v>
      </c>
      <c r="G29" s="165">
        <f t="shared" si="8"/>
        <v>449227.3076478201</v>
      </c>
      <c r="H29" s="165">
        <f t="shared" si="1"/>
        <v>1.29422811342429E-2</v>
      </c>
      <c r="I29" s="165">
        <f t="shared" si="2"/>
        <v>3.2346112683469801E-3</v>
      </c>
      <c r="J29" s="172">
        <f>IF(+'Sismo UBC-94 y Dinamico'!O22=0,'Sismo UBC-94 y Dinamico'!M22,'Sismo UBC-94 y Dinamico'!O22)</f>
        <v>9185.4527739180048</v>
      </c>
      <c r="K29" s="172">
        <f t="shared" si="3"/>
        <v>14.5</v>
      </c>
      <c r="L29" s="165">
        <f t="shared" si="4"/>
        <v>1453.0757113668144</v>
      </c>
      <c r="M29" s="165">
        <f t="shared" si="5"/>
        <v>133189.06522181106</v>
      </c>
      <c r="N29" s="165">
        <f t="shared" si="6"/>
        <v>1.0909872435450193E-2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9.7076698658959196E-3</v>
      </c>
      <c r="F30" s="165">
        <f t="shared" si="0"/>
        <v>3611432.9011810198</v>
      </c>
      <c r="G30" s="165">
        <f t="shared" si="8"/>
        <v>449227.30764783965</v>
      </c>
      <c r="H30" s="165">
        <f t="shared" si="1"/>
        <v>9.7076698658959196E-3</v>
      </c>
      <c r="I30" s="165">
        <f t="shared" si="2"/>
        <v>3.36138955042126E-3</v>
      </c>
      <c r="J30" s="172">
        <f>IF(+'Sismo UBC-94 y Dinamico'!O23=0,'Sismo UBC-94 y Dinamico'!M23,'Sismo UBC-94 y Dinamico'!O23)</f>
        <v>7724.0645216339908</v>
      </c>
      <c r="K30" s="172">
        <f t="shared" si="3"/>
        <v>11</v>
      </c>
      <c r="L30" s="165">
        <f t="shared" si="4"/>
        <v>1510.0279776913248</v>
      </c>
      <c r="M30" s="165">
        <f t="shared" si="5"/>
        <v>84964.709737973899</v>
      </c>
      <c r="N30" s="165">
        <f t="shared" si="6"/>
        <v>1.7772413774473673E-2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6.3462803154746596E-3</v>
      </c>
      <c r="F31" s="165">
        <f t="shared" si="0"/>
        <v>4060660.2088286602</v>
      </c>
      <c r="G31" s="165">
        <f t="shared" si="8"/>
        <v>449227.30764764035</v>
      </c>
      <c r="H31" s="165">
        <f t="shared" si="1"/>
        <v>6.3462803154746596E-3</v>
      </c>
      <c r="I31" s="165">
        <f t="shared" si="2"/>
        <v>3.3784368468850797E-3</v>
      </c>
      <c r="J31" s="172">
        <f>IF(+'Sismo UBC-94 y Dinamico'!O24=0,'Sismo UBC-94 y Dinamico'!M24,'Sismo UBC-94 y Dinamico'!O24)</f>
        <v>5914.8044931680051</v>
      </c>
      <c r="K31" s="172">
        <f t="shared" si="3"/>
        <v>7.5</v>
      </c>
      <c r="L31" s="165">
        <f t="shared" si="4"/>
        <v>1517.6860887837677</v>
      </c>
      <c r="M31" s="165">
        <f t="shared" si="5"/>
        <v>44361.033698760039</v>
      </c>
      <c r="N31" s="165">
        <f t="shared" si="6"/>
        <v>3.421214435826344E-2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2.9678434685895799E-3</v>
      </c>
      <c r="F32" s="165">
        <f t="shared" si="0"/>
        <v>4631604.0094368299</v>
      </c>
      <c r="G32" s="165">
        <f t="shared" si="8"/>
        <v>570943.80060816975</v>
      </c>
      <c r="H32" s="165">
        <f t="shared" si="1"/>
        <v>2.9678434685895799E-3</v>
      </c>
      <c r="I32" s="165">
        <f>+H32-I33</f>
        <v>2.9678434685895799E-3</v>
      </c>
      <c r="J32" s="172">
        <f>IF(+'Sismo UBC-94 y Dinamico'!O25=0,'Sismo UBC-94 y Dinamico'!M25,'Sismo UBC-94 y Dinamico'!O25)</f>
        <v>3363.5944760429993</v>
      </c>
      <c r="K32" s="172">
        <f t="shared" si="3"/>
        <v>4</v>
      </c>
      <c r="L32" s="165">
        <f t="shared" si="4"/>
        <v>1694.471829566668</v>
      </c>
      <c r="M32" s="165">
        <f t="shared" si="5"/>
        <v>13454.377904171997</v>
      </c>
      <c r="N32" s="165">
        <f t="shared" si="6"/>
        <v>0.1259420421839971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2.5052595736858502E-2</v>
      </c>
      <c r="F40" s="165">
        <f t="shared" ref="F40:F50" si="9">+E5</f>
        <v>17917.199999998898</v>
      </c>
      <c r="G40" s="165">
        <v>0</v>
      </c>
      <c r="H40" s="165">
        <f t="shared" ref="H40:H50" si="10">+E40</f>
        <v>2.5052595736858502E-2</v>
      </c>
      <c r="I40" s="165">
        <f t="shared" ref="I40:I49" si="11">+H40-H41</f>
        <v>2.1110716309050148E-4</v>
      </c>
      <c r="J40" s="165">
        <f>+J22</f>
        <v>1180.7507363740399</v>
      </c>
      <c r="K40" s="165">
        <f t="shared" ref="K40:K50" si="12">+C40</f>
        <v>38.5</v>
      </c>
      <c r="L40" s="165">
        <f>+G40*I40</f>
        <v>0</v>
      </c>
      <c r="M40" s="165">
        <f>+J40*K40</f>
        <v>45458.903350400535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2.4841488573768E-2</v>
      </c>
      <c r="F41" s="165">
        <f t="shared" si="9"/>
        <v>473431.54764760699</v>
      </c>
      <c r="G41" s="165">
        <f>+F41</f>
        <v>473431.54764760699</v>
      </c>
      <c r="H41" s="165">
        <f t="shared" si="10"/>
        <v>2.4841488573768E-2</v>
      </c>
      <c r="I41" s="165">
        <f t="shared" si="11"/>
        <v>1.0795613958539015E-3</v>
      </c>
      <c r="J41" s="172">
        <f t="shared" ref="J41:J50" si="13">+J23</f>
        <v>17267.116402200059</v>
      </c>
      <c r="K41" s="172">
        <f t="shared" si="12"/>
        <v>35.5</v>
      </c>
      <c r="L41" s="165">
        <f t="shared" ref="L41:L50" si="14">+G41*I41</f>
        <v>511.09842241972348</v>
      </c>
      <c r="M41" s="165">
        <f t="shared" ref="M41:M50" si="15">+J41*K41</f>
        <v>612982.6322781021</v>
      </c>
      <c r="N41" s="165">
        <f t="shared" ref="N41:N50" si="16">+L41/M41</f>
        <v>8.3378940202639366E-4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2.3761927177914099E-2</v>
      </c>
      <c r="F42" s="165">
        <f t="shared" si="9"/>
        <v>921340.895295177</v>
      </c>
      <c r="G42" s="165">
        <f>+F42-F41</f>
        <v>447909.34764757002</v>
      </c>
      <c r="H42" s="165">
        <f t="shared" si="10"/>
        <v>2.3761927177914099E-2</v>
      </c>
      <c r="I42" s="165">
        <f t="shared" si="11"/>
        <v>1.5869992939319989E-3</v>
      </c>
      <c r="J42" s="172">
        <f t="shared" si="13"/>
        <v>19809.957084604899</v>
      </c>
      <c r="K42" s="172">
        <f t="shared" si="12"/>
        <v>32</v>
      </c>
      <c r="L42" s="165">
        <f t="shared" si="14"/>
        <v>710.8318184622359</v>
      </c>
      <c r="M42" s="165">
        <f t="shared" si="15"/>
        <v>633918.62670735677</v>
      </c>
      <c r="N42" s="165">
        <f t="shared" si="16"/>
        <v>1.1213297551365144E-3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2.21749278839821E-2</v>
      </c>
      <c r="F43" s="165">
        <f t="shared" si="9"/>
        <v>1369250.2429426601</v>
      </c>
      <c r="G43" s="165">
        <f t="shared" ref="G43:G50" si="18">+F43-F42</f>
        <v>447909.34764748311</v>
      </c>
      <c r="H43" s="165">
        <f t="shared" si="10"/>
        <v>2.21749278839821E-2</v>
      </c>
      <c r="I43" s="165">
        <f t="shared" si="11"/>
        <v>2.0270036791278992E-3</v>
      </c>
      <c r="J43" s="172">
        <f t="shared" si="13"/>
        <v>16770.384808110502</v>
      </c>
      <c r="K43" s="172">
        <f t="shared" si="12"/>
        <v>28.5</v>
      </c>
      <c r="L43" s="165">
        <f t="shared" si="14"/>
        <v>907.91389559722552</v>
      </c>
      <c r="M43" s="165">
        <f t="shared" si="15"/>
        <v>477955.96703114931</v>
      </c>
      <c r="N43" s="165">
        <f t="shared" si="16"/>
        <v>1.8995764426517872E-3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2.0147924204854201E-2</v>
      </c>
      <c r="F44" s="165">
        <f t="shared" si="9"/>
        <v>1817159.59059023</v>
      </c>
      <c r="G44" s="165">
        <f t="shared" si="18"/>
        <v>447909.34764756984</v>
      </c>
      <c r="H44" s="165">
        <f t="shared" si="10"/>
        <v>2.0147924204854201E-2</v>
      </c>
      <c r="I44" s="165">
        <f t="shared" si="11"/>
        <v>2.3964634142445013E-3</v>
      </c>
      <c r="J44" s="172">
        <f t="shared" si="13"/>
        <v>14221.385427446701</v>
      </c>
      <c r="K44" s="172">
        <f t="shared" si="12"/>
        <v>25</v>
      </c>
      <c r="L44" s="165">
        <f t="shared" si="14"/>
        <v>1073.3983645355224</v>
      </c>
      <c r="M44" s="165">
        <f t="shared" si="15"/>
        <v>355534.63568616752</v>
      </c>
      <c r="N44" s="165">
        <f t="shared" si="16"/>
        <v>3.0191105360632639E-3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1.7751460790609699E-2</v>
      </c>
      <c r="F45" s="165">
        <f t="shared" si="9"/>
        <v>2265068.9382377798</v>
      </c>
      <c r="G45" s="165">
        <f t="shared" si="18"/>
        <v>447909.34764754982</v>
      </c>
      <c r="H45" s="165">
        <f t="shared" si="10"/>
        <v>1.7751460790609699E-2</v>
      </c>
      <c r="I45" s="165">
        <f t="shared" si="11"/>
        <v>2.6964241332958997E-3</v>
      </c>
      <c r="J45" s="172">
        <f t="shared" si="13"/>
        <v>12221.701325717702</v>
      </c>
      <c r="K45" s="172">
        <f t="shared" si="12"/>
        <v>21.5</v>
      </c>
      <c r="L45" s="165">
        <f t="shared" si="14"/>
        <v>1207.7535745256764</v>
      </c>
      <c r="M45" s="165">
        <f t="shared" si="15"/>
        <v>262766.57850293058</v>
      </c>
      <c r="N45" s="165">
        <f t="shared" si="16"/>
        <v>4.5962982865121356E-3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1.50550366573138E-2</v>
      </c>
      <c r="F46" s="165">
        <f t="shared" si="9"/>
        <v>2712978.2858853601</v>
      </c>
      <c r="G46" s="165">
        <f t="shared" si="18"/>
        <v>447909.34764758032</v>
      </c>
      <c r="H46" s="165">
        <f t="shared" si="10"/>
        <v>1.50550366573138E-2</v>
      </c>
      <c r="I46" s="165">
        <f t="shared" si="11"/>
        <v>2.9081691073214993E-3</v>
      </c>
      <c r="J46" s="172">
        <f t="shared" si="13"/>
        <v>10590.234960768095</v>
      </c>
      <c r="K46" s="172">
        <f t="shared" si="12"/>
        <v>18</v>
      </c>
      <c r="L46" s="165">
        <f t="shared" si="14"/>
        <v>1302.5961277092188</v>
      </c>
      <c r="M46" s="165">
        <f t="shared" si="15"/>
        <v>190624.22929382572</v>
      </c>
      <c r="N46" s="165">
        <f t="shared" si="16"/>
        <v>6.8333187891944942E-3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1.21468675499923E-2</v>
      </c>
      <c r="F47" s="165">
        <f t="shared" si="9"/>
        <v>3162205.5935331802</v>
      </c>
      <c r="G47" s="165">
        <f t="shared" si="18"/>
        <v>449227.3076478201</v>
      </c>
      <c r="H47" s="165">
        <f t="shared" si="10"/>
        <v>1.21468675499923E-2</v>
      </c>
      <c r="I47" s="165">
        <f t="shared" si="11"/>
        <v>3.0469251341820602E-3</v>
      </c>
      <c r="J47" s="172">
        <f t="shared" si="13"/>
        <v>9185.4527739180048</v>
      </c>
      <c r="K47" s="172">
        <f t="shared" si="12"/>
        <v>14.5</v>
      </c>
      <c r="L47" s="165">
        <f t="shared" si="14"/>
        <v>1368.7619746330799</v>
      </c>
      <c r="M47" s="165">
        <f t="shared" si="15"/>
        <v>133189.06522181106</v>
      </c>
      <c r="N47" s="165">
        <f t="shared" si="16"/>
        <v>1.0276834455993549E-2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9.0999424158102402E-3</v>
      </c>
      <c r="F48" s="165">
        <f t="shared" si="9"/>
        <v>3611432.9011810198</v>
      </c>
      <c r="G48" s="165">
        <f t="shared" si="18"/>
        <v>449227.30764783965</v>
      </c>
      <c r="H48" s="165">
        <f t="shared" si="10"/>
        <v>9.0999424158102402E-3</v>
      </c>
      <c r="I48" s="165">
        <f t="shared" si="11"/>
        <v>3.1355815185358299E-3</v>
      </c>
      <c r="J48" s="172">
        <f t="shared" si="13"/>
        <v>7724.0645216339908</v>
      </c>
      <c r="K48" s="172">
        <f t="shared" si="12"/>
        <v>11</v>
      </c>
      <c r="L48" s="165">
        <f t="shared" si="14"/>
        <v>1408.5888434821754</v>
      </c>
      <c r="M48" s="165">
        <f t="shared" si="15"/>
        <v>84964.709737973899</v>
      </c>
      <c r="N48" s="165">
        <f t="shared" si="16"/>
        <v>1.65785165138112E-2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5.9643608972744103E-3</v>
      </c>
      <c r="F49" s="165">
        <f t="shared" si="9"/>
        <v>4060660.2088286602</v>
      </c>
      <c r="G49" s="165">
        <f t="shared" si="18"/>
        <v>449227.30764764035</v>
      </c>
      <c r="H49" s="165">
        <f t="shared" si="10"/>
        <v>5.9643608972744103E-3</v>
      </c>
      <c r="I49" s="165">
        <f t="shared" si="11"/>
        <v>3.1358632756375003E-3</v>
      </c>
      <c r="J49" s="172">
        <f t="shared" si="13"/>
        <v>5914.8044931680051</v>
      </c>
      <c r="K49" s="172">
        <f t="shared" si="12"/>
        <v>7.5</v>
      </c>
      <c r="L49" s="165">
        <f t="shared" si="14"/>
        <v>1408.7154164657445</v>
      </c>
      <c r="M49" s="165">
        <f t="shared" si="15"/>
        <v>44361.033698760039</v>
      </c>
      <c r="N49" s="165">
        <f t="shared" si="16"/>
        <v>3.1755694108298482E-2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2.82849762163691E-3</v>
      </c>
      <c r="F50" s="165">
        <f t="shared" si="9"/>
        <v>4631604.0094368299</v>
      </c>
      <c r="G50" s="165">
        <f t="shared" si="18"/>
        <v>570943.80060816975</v>
      </c>
      <c r="H50" s="165">
        <f t="shared" si="10"/>
        <v>2.82849762163691E-3</v>
      </c>
      <c r="I50" s="165">
        <f>+H50-I51</f>
        <v>2.82849762163691E-3</v>
      </c>
      <c r="J50" s="172">
        <f t="shared" si="13"/>
        <v>3363.5944760429993</v>
      </c>
      <c r="K50" s="172">
        <f t="shared" si="12"/>
        <v>4</v>
      </c>
      <c r="L50" s="165">
        <f t="shared" si="14"/>
        <v>1614.9131821085464</v>
      </c>
      <c r="M50" s="165">
        <f t="shared" si="15"/>
        <v>13454.377904171997</v>
      </c>
      <c r="N50" s="165">
        <f t="shared" si="16"/>
        <v>0.12002882582982796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2.8612885421225202E-2</v>
      </c>
      <c r="F58" s="83">
        <f t="shared" ref="F58:F68" si="19">+E5</f>
        <v>17917.199999998898</v>
      </c>
      <c r="G58" s="83">
        <v>0</v>
      </c>
      <c r="H58" s="83">
        <f>+E58</f>
        <v>2.8612885421225202E-2</v>
      </c>
      <c r="I58" s="83">
        <f>+H58-H59</f>
        <v>-3.199186528475978E-4</v>
      </c>
      <c r="J58" s="83">
        <f>IF(+'Sismo UBC-94 y Dinamico'!P34=0,'Sismo UBC-94 y Dinamico'!N34,'Sismo UBC-94 y Dinamico'!P34)</f>
        <v>922.25322950097109</v>
      </c>
      <c r="K58" s="83">
        <f t="shared" ref="K58:K68" si="20">+C58</f>
        <v>38.5</v>
      </c>
      <c r="L58" s="83">
        <f>+G58*I58</f>
        <v>0</v>
      </c>
      <c r="M58" s="83">
        <f>+J58*K58</f>
        <v>35506.74933578739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2.8932804074072799E-2</v>
      </c>
      <c r="F59" s="165">
        <f t="shared" si="19"/>
        <v>473431.54764760699</v>
      </c>
      <c r="G59" s="83">
        <f>+F59</f>
        <v>473431.54764760699</v>
      </c>
      <c r="H59" s="83">
        <f t="shared" ref="H59:H68" si="21">+E59</f>
        <v>2.8932804074072799E-2</v>
      </c>
      <c r="I59" s="83">
        <f>+H59-H60</f>
        <v>9.7922687672770056E-4</v>
      </c>
      <c r="J59" s="172">
        <f>IF(+'Sismo UBC-94 y Dinamico'!P35=0,'Sismo UBC-94 y Dinamico'!N35,'Sismo UBC-94 y Dinamico'!P35)</f>
        <v>17228.257893531943</v>
      </c>
      <c r="K59" s="172">
        <f t="shared" si="20"/>
        <v>35.5</v>
      </c>
      <c r="L59" s="83">
        <f>+G59*I59</f>
        <v>463.59689574732772</v>
      </c>
      <c r="M59" s="83">
        <f>+J59*K59</f>
        <v>611603.15522038401</v>
      </c>
      <c r="N59" s="83">
        <f>+L59/M59</f>
        <v>7.5800278626796168E-4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2.7953577197345099E-2</v>
      </c>
      <c r="F60" s="165">
        <f t="shared" si="19"/>
        <v>921340.895295177</v>
      </c>
      <c r="G60" s="83">
        <f>+F60-F59</f>
        <v>447909.34764757002</v>
      </c>
      <c r="H60" s="83">
        <f t="shared" si="21"/>
        <v>2.7953577197345099E-2</v>
      </c>
      <c r="I60" s="83">
        <f>+H60-H61</f>
        <v>1.6044975317312006E-3</v>
      </c>
      <c r="J60" s="172">
        <f>IF(+'Sismo UBC-94 y Dinamico'!P36=0,'Sismo UBC-94 y Dinamico'!N36,'Sismo UBC-94 y Dinamico'!P36)</f>
        <v>19503.76545501703</v>
      </c>
      <c r="K60" s="172">
        <f t="shared" si="20"/>
        <v>32</v>
      </c>
      <c r="L60" s="83">
        <f>+G60*I60</f>
        <v>718.66944273985837</v>
      </c>
      <c r="M60" s="83">
        <f>+J60*K60</f>
        <v>624120.49456054496</v>
      </c>
      <c r="N60" s="83">
        <f>+L60/M60</f>
        <v>1.1514914972402678E-3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2.6349079665613898E-2</v>
      </c>
      <c r="F61" s="165">
        <f t="shared" si="19"/>
        <v>1369250.2429426601</v>
      </c>
      <c r="G61" s="83">
        <f t="shared" ref="G61:G68" si="22">+F61-F60</f>
        <v>447909.34764748311</v>
      </c>
      <c r="H61" s="83">
        <f t="shared" si="21"/>
        <v>2.6349079665613898E-2</v>
      </c>
      <c r="I61" s="83">
        <f>+H61-H62</f>
        <v>2.1949656269450966E-3</v>
      </c>
      <c r="J61" s="172">
        <f>IF(+'Sismo UBC-94 y Dinamico'!P37=0,'Sismo UBC-94 y Dinamico'!N37,'Sismo UBC-94 y Dinamico'!P37)</f>
        <v>16234.256609948508</v>
      </c>
      <c r="K61" s="172">
        <f t="shared" si="20"/>
        <v>28.5</v>
      </c>
      <c r="L61" s="83">
        <f>+G61*I61</f>
        <v>983.14562207362701</v>
      </c>
      <c r="M61" s="83">
        <f>+J61*K61</f>
        <v>462676.31338353251</v>
      </c>
      <c r="N61" s="83">
        <f>+L61/M61</f>
        <v>2.1249102096537516E-3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2.4154114038668802E-2</v>
      </c>
      <c r="F62" s="165">
        <f t="shared" si="19"/>
        <v>1817159.59059023</v>
      </c>
      <c r="G62" s="83">
        <f t="shared" si="22"/>
        <v>447909.34764756984</v>
      </c>
      <c r="H62" s="83">
        <f t="shared" si="21"/>
        <v>2.4154114038668802E-2</v>
      </c>
      <c r="I62" s="83">
        <f>+H62-H63</f>
        <v>2.6950263133354024E-3</v>
      </c>
      <c r="J62" s="172">
        <f>IF(+'Sismo UBC-94 y Dinamico'!P38=0,'Sismo UBC-94 y Dinamico'!N38,'Sismo UBC-94 y Dinamico'!P38)</f>
        <v>13535.604072170383</v>
      </c>
      <c r="K62" s="172">
        <f t="shared" si="20"/>
        <v>25</v>
      </c>
      <c r="L62" s="83">
        <f>+G62*I62</f>
        <v>1207.1274778990953</v>
      </c>
      <c r="M62" s="83">
        <f>+J62*K62</f>
        <v>338390.10180425958</v>
      </c>
      <c r="N62" s="83">
        <f>+L62/M62</f>
        <v>3.5672659201992658E-3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2.1459087725333399E-2</v>
      </c>
      <c r="F63" s="165">
        <f t="shared" si="19"/>
        <v>2265068.9382377798</v>
      </c>
      <c r="G63" s="165">
        <f t="shared" si="22"/>
        <v>447909.34764754982</v>
      </c>
      <c r="H63" s="165">
        <f t="shared" si="21"/>
        <v>2.1459087725333399E-2</v>
      </c>
      <c r="I63" s="165">
        <f t="shared" ref="I63:I68" si="23">+H63-H64</f>
        <v>3.1146671543615008E-3</v>
      </c>
      <c r="J63" s="172">
        <f>IF(+'Sismo UBC-94 y Dinamico'!P39=0,'Sismo UBC-94 y Dinamico'!N39,'Sismo UBC-94 y Dinamico'!P39)</f>
        <v>11531.635879020376</v>
      </c>
      <c r="K63" s="172">
        <f t="shared" si="20"/>
        <v>21.5</v>
      </c>
      <c r="L63" s="165">
        <f t="shared" ref="L63:L68" si="24">+G63*I63</f>
        <v>1395.0885332493101</v>
      </c>
      <c r="M63" s="165">
        <f t="shared" ref="M63:M68" si="25">+J63*K63</f>
        <v>247930.17139893808</v>
      </c>
      <c r="N63" s="165">
        <f t="shared" ref="N63:N68" si="26">+L63/M63</f>
        <v>5.6269413495645473E-3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1.8344420570971898E-2</v>
      </c>
      <c r="F64" s="165">
        <f t="shared" si="19"/>
        <v>2712978.2858853601</v>
      </c>
      <c r="G64" s="165">
        <f t="shared" si="22"/>
        <v>447909.34764758032</v>
      </c>
      <c r="H64" s="165">
        <f t="shared" si="21"/>
        <v>1.8344420570971898E-2</v>
      </c>
      <c r="I64" s="165">
        <f t="shared" si="23"/>
        <v>3.471643362426698E-3</v>
      </c>
      <c r="J64" s="172">
        <f>IF(+'Sismo UBC-94 y Dinamico'!P40=0,'Sismo UBC-94 y Dinamico'!N40,'Sismo UBC-94 y Dinamico'!P40)</f>
        <v>10067.181844629356</v>
      </c>
      <c r="K64" s="172">
        <f t="shared" si="20"/>
        <v>18</v>
      </c>
      <c r="L64" s="165">
        <f t="shared" si="24"/>
        <v>1554.9815137295946</v>
      </c>
      <c r="M64" s="165">
        <f t="shared" si="25"/>
        <v>181209.27320332843</v>
      </c>
      <c r="N64" s="165">
        <f t="shared" si="26"/>
        <v>8.5811365292812886E-3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1.48727772085452E-2</v>
      </c>
      <c r="F65" s="165">
        <f t="shared" si="19"/>
        <v>3162205.5935331802</v>
      </c>
      <c r="G65" s="165">
        <f t="shared" si="22"/>
        <v>449227.3076478201</v>
      </c>
      <c r="H65" s="165">
        <f t="shared" si="21"/>
        <v>1.48727772085452E-2</v>
      </c>
      <c r="I65" s="165">
        <f t="shared" si="23"/>
        <v>3.7677742100626996E-3</v>
      </c>
      <c r="J65" s="172">
        <f>IF(+'Sismo UBC-94 y Dinamico'!P41=0,'Sismo UBC-94 y Dinamico'!N41,'Sismo UBC-94 y Dinamico'!P41)</f>
        <v>8894.1157670066368</v>
      </c>
      <c r="K65" s="172">
        <f t="shared" si="20"/>
        <v>14.5</v>
      </c>
      <c r="L65" s="165">
        <f t="shared" si="24"/>
        <v>1692.5870642113587</v>
      </c>
      <c r="M65" s="165">
        <f t="shared" si="25"/>
        <v>128964.67862159623</v>
      </c>
      <c r="N65" s="165">
        <f t="shared" si="26"/>
        <v>1.3124423542183128E-2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1.1105002998482501E-2</v>
      </c>
      <c r="F66" s="165">
        <f t="shared" si="19"/>
        <v>3611432.9011810198</v>
      </c>
      <c r="G66" s="165">
        <f t="shared" si="22"/>
        <v>449227.30764783965</v>
      </c>
      <c r="H66" s="165">
        <f t="shared" si="21"/>
        <v>1.1105002998482501E-2</v>
      </c>
      <c r="I66" s="165">
        <f t="shared" si="23"/>
        <v>3.9757239113572011E-3</v>
      </c>
      <c r="J66" s="172">
        <f>IF(+'Sismo UBC-94 y Dinamico'!P42=0,'Sismo UBC-94 y Dinamico'!N42,'Sismo UBC-94 y Dinamico'!P42)</f>
        <v>7638.2172227101146</v>
      </c>
      <c r="K66" s="172">
        <f t="shared" si="20"/>
        <v>11</v>
      </c>
      <c r="L66" s="165">
        <f t="shared" si="24"/>
        <v>1786.0037486501337</v>
      </c>
      <c r="M66" s="165">
        <f t="shared" si="25"/>
        <v>84020.389449811264</v>
      </c>
      <c r="N66" s="165">
        <f t="shared" si="26"/>
        <v>2.1256789695279683E-2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7.1292790871252997E-3</v>
      </c>
      <c r="F67" s="165">
        <f t="shared" si="19"/>
        <v>4060660.2088286602</v>
      </c>
      <c r="G67" s="165">
        <f t="shared" si="22"/>
        <v>449227.30764764035</v>
      </c>
      <c r="H67" s="165">
        <f t="shared" si="21"/>
        <v>7.1292790871252997E-3</v>
      </c>
      <c r="I67" s="165">
        <f t="shared" si="23"/>
        <v>3.9758234876279101E-3</v>
      </c>
      <c r="J67" s="172">
        <f>IF(+'Sismo UBC-94 y Dinamico'!P43=0,'Sismo UBC-94 y Dinamico'!N43,'Sismo UBC-94 y Dinamico'!P43)</f>
        <v>5957.8571592725866</v>
      </c>
      <c r="K67" s="172">
        <f t="shared" si="20"/>
        <v>7.5</v>
      </c>
      <c r="L67" s="165">
        <f t="shared" si="24"/>
        <v>1786.0484810293376</v>
      </c>
      <c r="M67" s="165">
        <f t="shared" si="25"/>
        <v>44683.928694544396</v>
      </c>
      <c r="N67" s="165">
        <f t="shared" si="26"/>
        <v>3.9970712809041832E-2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3.15345559949739E-3</v>
      </c>
      <c r="F68" s="165">
        <f t="shared" si="19"/>
        <v>4631604.0094368299</v>
      </c>
      <c r="G68" s="165">
        <f t="shared" si="22"/>
        <v>570943.80060816975</v>
      </c>
      <c r="H68" s="165">
        <f t="shared" si="21"/>
        <v>3.15345559949739E-3</v>
      </c>
      <c r="I68" s="165">
        <f t="shared" si="23"/>
        <v>3.15345559949739E-3</v>
      </c>
      <c r="J68" s="172">
        <f>IF(+'Sismo UBC-94 y Dinamico'!P44=0,'Sismo UBC-94 y Dinamico'!N44,'Sismo UBC-94 y Dinamico'!P44)</f>
        <v>3380.1038079067589</v>
      </c>
      <c r="K68" s="172">
        <f t="shared" si="20"/>
        <v>4</v>
      </c>
      <c r="L68" s="165">
        <f t="shared" si="24"/>
        <v>1800.4459250261543</v>
      </c>
      <c r="M68" s="165">
        <f t="shared" si="25"/>
        <v>13520.415231627036</v>
      </c>
      <c r="N68" s="165">
        <f t="shared" si="26"/>
        <v>0.13316498747867894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2.5346177239040001E-2</v>
      </c>
      <c r="F76" s="83">
        <f t="shared" ref="F76:F86" si="28">+E5</f>
        <v>17917.199999998898</v>
      </c>
      <c r="G76" s="83">
        <v>0</v>
      </c>
      <c r="H76" s="83">
        <f>+E76</f>
        <v>2.5346177239040001E-2</v>
      </c>
      <c r="I76" s="83">
        <f>+H76-H77</f>
        <v>-9.7953178717756009E-3</v>
      </c>
      <c r="J76" s="83">
        <f>+J58</f>
        <v>922.25322950097109</v>
      </c>
      <c r="K76" s="83">
        <f t="shared" ref="K76:K86" si="29">+C76</f>
        <v>38.5</v>
      </c>
      <c r="L76" s="83">
        <f>+G76*I76</f>
        <v>0</v>
      </c>
      <c r="M76" s="83">
        <f>+J76*K76</f>
        <v>35506.74933578739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3.5141495110815602E-2</v>
      </c>
      <c r="F77" s="165">
        <f t="shared" si="28"/>
        <v>473431.54764760699</v>
      </c>
      <c r="G77" s="83">
        <f>+F77</f>
        <v>473431.54764760699</v>
      </c>
      <c r="H77" s="83">
        <f>+E77</f>
        <v>3.5141495110815602E-2</v>
      </c>
      <c r="I77" s="83">
        <f>+H77-H78</f>
        <v>1.1569319771421033E-3</v>
      </c>
      <c r="J77" s="172">
        <f t="shared" ref="J77:J86" si="30">+J59</f>
        <v>17228.257893531943</v>
      </c>
      <c r="K77" s="172">
        <f t="shared" si="29"/>
        <v>35.5</v>
      </c>
      <c r="L77" s="83">
        <f>+G77*I77</f>
        <v>547.72809646139183</v>
      </c>
      <c r="M77" s="83">
        <f>+J77*K77</f>
        <v>611603.15522038401</v>
      </c>
      <c r="N77" s="83">
        <f>+L77/M77</f>
        <v>8.9556126678912314E-4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3.3984563133673498E-2</v>
      </c>
      <c r="F78" s="165">
        <f t="shared" si="28"/>
        <v>921340.895295177</v>
      </c>
      <c r="G78" s="83">
        <f>+F78-F77</f>
        <v>447909.34764757002</v>
      </c>
      <c r="H78" s="83">
        <f>+E78</f>
        <v>3.3984563133673498E-2</v>
      </c>
      <c r="I78" s="83">
        <f>+H78-H79</f>
        <v>1.9216336572855999E-3</v>
      </c>
      <c r="J78" s="172">
        <f t="shared" si="30"/>
        <v>19503.76545501703</v>
      </c>
      <c r="K78" s="172">
        <f t="shared" si="29"/>
        <v>32</v>
      </c>
      <c r="L78" s="83">
        <f>+G78*I78</f>
        <v>860.71767785240718</v>
      </c>
      <c r="M78" s="83">
        <f>+J78*K78</f>
        <v>624120.49456054496</v>
      </c>
      <c r="N78" s="83">
        <f>+L78/M78</f>
        <v>1.3790889505374355E-3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3.2062929476387898E-2</v>
      </c>
      <c r="F79" s="165">
        <f t="shared" si="28"/>
        <v>1369250.2429426601</v>
      </c>
      <c r="G79" s="83">
        <f t="shared" ref="G79:G86" si="31">+F79-F78</f>
        <v>447909.34764748311</v>
      </c>
      <c r="H79" s="83">
        <f>+E79</f>
        <v>3.2062929476387898E-2</v>
      </c>
      <c r="I79" s="83">
        <f>+H79-H80</f>
        <v>2.6429715440602977E-3</v>
      </c>
      <c r="J79" s="172">
        <f t="shared" si="30"/>
        <v>16234.256609948508</v>
      </c>
      <c r="K79" s="172">
        <f t="shared" si="29"/>
        <v>28.5</v>
      </c>
      <c r="L79" s="83">
        <f>+G79*I79</f>
        <v>1183.8116601509091</v>
      </c>
      <c r="M79" s="83">
        <f>+J79*K79</f>
        <v>462676.31338353251</v>
      </c>
      <c r="N79" s="83">
        <f>+L79/M79</f>
        <v>2.5586173873776768E-3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2.9419957932327601E-2</v>
      </c>
      <c r="F80" s="165">
        <f t="shared" si="28"/>
        <v>1817159.59059023</v>
      </c>
      <c r="G80" s="83">
        <f t="shared" si="31"/>
        <v>447909.34764756984</v>
      </c>
      <c r="H80" s="83">
        <f>+E80</f>
        <v>2.9419957932327601E-2</v>
      </c>
      <c r="I80" s="83">
        <f>+H80-H81</f>
        <v>3.2542421151381014E-3</v>
      </c>
      <c r="J80" s="172">
        <f t="shared" si="30"/>
        <v>13535.604072170383</v>
      </c>
      <c r="K80" s="172">
        <f t="shared" si="29"/>
        <v>25</v>
      </c>
      <c r="L80" s="83">
        <f>+G80*I80</f>
        <v>1457.6054628787549</v>
      </c>
      <c r="M80" s="83">
        <f>+J80*K80</f>
        <v>338390.10180425958</v>
      </c>
      <c r="N80" s="83">
        <f>+L80/M80</f>
        <v>4.3074707419246587E-3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2.6165715817189499E-2</v>
      </c>
      <c r="F81" s="165">
        <f t="shared" si="28"/>
        <v>2265068.9382377798</v>
      </c>
      <c r="G81" s="165">
        <f t="shared" si="31"/>
        <v>447909.34764754982</v>
      </c>
      <c r="H81" s="165">
        <f t="shared" ref="H81:H86" si="32">+E81</f>
        <v>2.6165715817189499E-2</v>
      </c>
      <c r="I81" s="165">
        <f t="shared" ref="I81:I86" si="33">+H81-H82</f>
        <v>3.768300024406198E-3</v>
      </c>
      <c r="J81" s="172">
        <f t="shared" si="30"/>
        <v>11531.635879020376</v>
      </c>
      <c r="K81" s="172">
        <f t="shared" si="29"/>
        <v>21.5</v>
      </c>
      <c r="L81" s="165">
        <f t="shared" ref="L81:L86" si="34">+G81*I81</f>
        <v>1687.8568056720262</v>
      </c>
      <c r="M81" s="165">
        <f t="shared" ref="M81:M86" si="35">+J81*K81</f>
        <v>247930.17139893808</v>
      </c>
      <c r="N81" s="165">
        <f t="shared" ref="N81:N86" si="36">+L81/M81</f>
        <v>6.8077910653162868E-3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2.2397415792783301E-2</v>
      </c>
      <c r="F82" s="165">
        <f t="shared" si="28"/>
        <v>2712978.2858853601</v>
      </c>
      <c r="G82" s="165">
        <f t="shared" si="31"/>
        <v>447909.34764758032</v>
      </c>
      <c r="H82" s="165">
        <f t="shared" si="32"/>
        <v>2.2397415792783301E-2</v>
      </c>
      <c r="I82" s="165">
        <f t="shared" si="33"/>
        <v>4.2054500722338017E-3</v>
      </c>
      <c r="J82" s="172">
        <f t="shared" si="30"/>
        <v>10067.181844629356</v>
      </c>
      <c r="K82" s="172">
        <f t="shared" si="29"/>
        <v>18</v>
      </c>
      <c r="L82" s="165">
        <f t="shared" si="34"/>
        <v>1883.6603984187116</v>
      </c>
      <c r="M82" s="165">
        <f t="shared" si="35"/>
        <v>181209.27320332843</v>
      </c>
      <c r="N82" s="165">
        <f t="shared" si="36"/>
        <v>1.0394944834335954E-2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1.8191965720549499E-2</v>
      </c>
      <c r="F83" s="165">
        <f t="shared" si="28"/>
        <v>3162205.5935331802</v>
      </c>
      <c r="G83" s="165">
        <f t="shared" si="31"/>
        <v>449227.3076478201</v>
      </c>
      <c r="H83" s="165">
        <f t="shared" si="32"/>
        <v>1.8191965720549499E-2</v>
      </c>
      <c r="I83" s="165">
        <f t="shared" si="33"/>
        <v>4.569925244284399E-3</v>
      </c>
      <c r="J83" s="172">
        <f t="shared" si="30"/>
        <v>8894.1157670066368</v>
      </c>
      <c r="K83" s="172">
        <f t="shared" si="29"/>
        <v>14.5</v>
      </c>
      <c r="L83" s="165">
        <f t="shared" si="34"/>
        <v>2052.9352136416869</v>
      </c>
      <c r="M83" s="165">
        <f t="shared" si="35"/>
        <v>128964.67862159623</v>
      </c>
      <c r="N83" s="165">
        <f t="shared" si="36"/>
        <v>1.5918585116358405E-2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1.36220404762651E-2</v>
      </c>
      <c r="F84" s="165">
        <f t="shared" si="28"/>
        <v>3611432.9011810198</v>
      </c>
      <c r="G84" s="165">
        <f t="shared" si="31"/>
        <v>449227.30764783965</v>
      </c>
      <c r="H84" s="165">
        <f t="shared" si="32"/>
        <v>1.36220404762651E-2</v>
      </c>
      <c r="I84" s="165">
        <f t="shared" si="33"/>
        <v>4.8327214396908808E-3</v>
      </c>
      <c r="J84" s="172">
        <f t="shared" si="30"/>
        <v>7638.2172227101146</v>
      </c>
      <c r="K84" s="172">
        <f t="shared" si="29"/>
        <v>11</v>
      </c>
      <c r="L84" s="165">
        <f t="shared" si="34"/>
        <v>2170.9904409643259</v>
      </c>
      <c r="M84" s="165">
        <f t="shared" si="35"/>
        <v>84020.389449811264</v>
      </c>
      <c r="N84" s="165">
        <f t="shared" si="36"/>
        <v>2.5838852392622451E-2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8.7893190365742196E-3</v>
      </c>
      <c r="F85" s="165">
        <f t="shared" si="28"/>
        <v>4060660.2088286602</v>
      </c>
      <c r="G85" s="165">
        <f t="shared" si="31"/>
        <v>449227.30764764035</v>
      </c>
      <c r="H85" s="165">
        <f t="shared" si="32"/>
        <v>8.7893190365742196E-3</v>
      </c>
      <c r="I85" s="165">
        <f t="shared" si="33"/>
        <v>4.8562497864149193E-3</v>
      </c>
      <c r="J85" s="172">
        <f t="shared" si="30"/>
        <v>5957.8571592725866</v>
      </c>
      <c r="K85" s="172">
        <f t="shared" si="29"/>
        <v>7.5</v>
      </c>
      <c r="L85" s="165">
        <f t="shared" si="34"/>
        <v>2181.5600168156025</v>
      </c>
      <c r="M85" s="165">
        <f t="shared" si="35"/>
        <v>44683.928694544396</v>
      </c>
      <c r="N85" s="165">
        <f t="shared" si="36"/>
        <v>4.8822027976290192E-2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3.9330692501593004E-3</v>
      </c>
      <c r="F86" s="165">
        <f t="shared" si="28"/>
        <v>4631604.0094368299</v>
      </c>
      <c r="G86" s="165">
        <f t="shared" si="31"/>
        <v>570943.80060816975</v>
      </c>
      <c r="H86" s="165">
        <f t="shared" si="32"/>
        <v>3.9330692501593004E-3</v>
      </c>
      <c r="I86" s="165">
        <f t="shared" si="33"/>
        <v>3.9330692501593004E-3</v>
      </c>
      <c r="J86" s="172">
        <f t="shared" si="30"/>
        <v>3380.1038079067589</v>
      </c>
      <c r="K86" s="172">
        <f t="shared" si="29"/>
        <v>4</v>
      </c>
      <c r="L86" s="165">
        <f t="shared" si="34"/>
        <v>2245.5615057410755</v>
      </c>
      <c r="M86" s="165">
        <f t="shared" si="35"/>
        <v>13520.415231627036</v>
      </c>
      <c r="N86" s="165">
        <f t="shared" si="36"/>
        <v>0.16608672642599354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2021-05-24T23:16:08Z</dcterms:modified>
</cp:coreProperties>
</file>