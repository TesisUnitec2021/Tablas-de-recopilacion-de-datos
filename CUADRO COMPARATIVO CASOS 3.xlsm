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11976" windowHeight="4956"/>
  </bookViews>
  <sheets>
    <sheet name="D-DERIVAS" sheetId="8" r:id="rId1"/>
    <sheet name="D-IRRE TORSIONAL" sheetId="7" r:id="rId2"/>
    <sheet name="D-PCMCR" sheetId="6" r:id="rId3"/>
    <sheet name="COLUMNAS N1" sheetId="5" r:id="rId4"/>
    <sheet name="IRRE TORSIONAL" sheetId="4" r:id="rId5"/>
    <sheet name="DERIVAS" sheetId="2" r:id="rId6"/>
    <sheet name="GENERALES" sheetId="1" r:id="rId7"/>
    <sheet name="DIRECTOR" sheetId="3" r:id="rId8"/>
  </sheets>
  <definedNames>
    <definedName name="_xlnm._FilterDatabase" localSheetId="3" hidden="1">'COLUMNAS N1'!$E$5:$E$27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8" l="1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5" i="8"/>
  <c r="E6" i="8"/>
  <c r="F6" i="8"/>
  <c r="G6" i="8"/>
  <c r="E7" i="8"/>
  <c r="F7" i="8"/>
  <c r="G7" i="8"/>
  <c r="E8" i="8"/>
  <c r="F8" i="8"/>
  <c r="G8" i="8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F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E33" i="8"/>
  <c r="F33" i="8"/>
  <c r="G33" i="8"/>
  <c r="E34" i="8"/>
  <c r="F34" i="8"/>
  <c r="G34" i="8"/>
  <c r="E35" i="8"/>
  <c r="F35" i="8"/>
  <c r="G35" i="8"/>
  <c r="E36" i="8"/>
  <c r="F36" i="8"/>
  <c r="G36" i="8"/>
  <c r="E37" i="8"/>
  <c r="F37" i="8"/>
  <c r="G37" i="8"/>
  <c r="E38" i="8"/>
  <c r="F38" i="8"/>
  <c r="G38" i="8"/>
  <c r="E39" i="8"/>
  <c r="F39" i="8"/>
  <c r="G39" i="8"/>
  <c r="E40" i="8"/>
  <c r="F40" i="8"/>
  <c r="G40" i="8"/>
  <c r="E41" i="8"/>
  <c r="F41" i="8"/>
  <c r="G41" i="8"/>
  <c r="E42" i="8"/>
  <c r="F42" i="8"/>
  <c r="G42" i="8"/>
  <c r="E43" i="8"/>
  <c r="F43" i="8"/>
  <c r="G43" i="8"/>
  <c r="E44" i="8"/>
  <c r="F44" i="8"/>
  <c r="G44" i="8"/>
  <c r="E45" i="8"/>
  <c r="F45" i="8"/>
  <c r="G45" i="8"/>
  <c r="E46" i="8"/>
  <c r="F46" i="8"/>
  <c r="G46" i="8"/>
  <c r="E47" i="8"/>
  <c r="F47" i="8"/>
  <c r="G47" i="8"/>
  <c r="E48" i="8"/>
  <c r="F48" i="8"/>
  <c r="G48" i="8"/>
  <c r="G5" i="8"/>
  <c r="F5" i="8"/>
  <c r="E5" i="8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E12" i="7"/>
  <c r="F12" i="7"/>
  <c r="G12" i="7"/>
  <c r="E13" i="7"/>
  <c r="F13" i="7"/>
  <c r="G13" i="7"/>
  <c r="E14" i="7"/>
  <c r="F14" i="7"/>
  <c r="G14" i="7"/>
  <c r="E15" i="7"/>
  <c r="F15" i="7"/>
  <c r="G15" i="7"/>
  <c r="E16" i="7"/>
  <c r="F16" i="7"/>
  <c r="G16" i="7"/>
  <c r="E17" i="7"/>
  <c r="F17" i="7"/>
  <c r="G17" i="7"/>
  <c r="E18" i="7"/>
  <c r="F18" i="7"/>
  <c r="G18" i="7"/>
  <c r="E19" i="7"/>
  <c r="F19" i="7"/>
  <c r="G19" i="7"/>
  <c r="E20" i="7"/>
  <c r="F20" i="7"/>
  <c r="G20" i="7"/>
  <c r="E21" i="7"/>
  <c r="F21" i="7"/>
  <c r="G21" i="7"/>
  <c r="E22" i="7"/>
  <c r="F22" i="7"/>
  <c r="G22" i="7"/>
  <c r="E23" i="7"/>
  <c r="F23" i="7"/>
  <c r="G23" i="7"/>
  <c r="E24" i="7"/>
  <c r="F24" i="7"/>
  <c r="G24" i="7"/>
  <c r="E25" i="7"/>
  <c r="F25" i="7"/>
  <c r="G25" i="7"/>
  <c r="E26" i="7"/>
  <c r="F26" i="7"/>
  <c r="G26" i="7"/>
  <c r="E27" i="7"/>
  <c r="F27" i="7"/>
  <c r="G27" i="7"/>
  <c r="E28" i="7"/>
  <c r="F28" i="7"/>
  <c r="G28" i="7"/>
  <c r="E29" i="7"/>
  <c r="F29" i="7"/>
  <c r="G29" i="7"/>
  <c r="E30" i="7"/>
  <c r="F30" i="7"/>
  <c r="G30" i="7"/>
  <c r="E31" i="7"/>
  <c r="F31" i="7"/>
  <c r="G31" i="7"/>
  <c r="E32" i="7"/>
  <c r="F32" i="7"/>
  <c r="G32" i="7"/>
  <c r="E33" i="7"/>
  <c r="F33" i="7"/>
  <c r="G33" i="7"/>
  <c r="E34" i="7"/>
  <c r="F34" i="7"/>
  <c r="G34" i="7"/>
  <c r="E35" i="7"/>
  <c r="F35" i="7"/>
  <c r="G35" i="7"/>
  <c r="E36" i="7"/>
  <c r="F36" i="7"/>
  <c r="G36" i="7"/>
  <c r="E37" i="7"/>
  <c r="F37" i="7"/>
  <c r="G37" i="7"/>
  <c r="E38" i="7"/>
  <c r="F38" i="7"/>
  <c r="G38" i="7"/>
  <c r="E39" i="7"/>
  <c r="F39" i="7"/>
  <c r="G39" i="7"/>
  <c r="E40" i="7"/>
  <c r="F40" i="7"/>
  <c r="G40" i="7"/>
  <c r="E41" i="7"/>
  <c r="F41" i="7"/>
  <c r="G41" i="7"/>
  <c r="E42" i="7"/>
  <c r="F42" i="7"/>
  <c r="G42" i="7"/>
  <c r="E43" i="7"/>
  <c r="F43" i="7"/>
  <c r="G43" i="7"/>
  <c r="E44" i="7"/>
  <c r="F44" i="7"/>
  <c r="G44" i="7"/>
  <c r="E45" i="7"/>
  <c r="F45" i="7"/>
  <c r="G45" i="7"/>
  <c r="E46" i="7"/>
  <c r="F46" i="7"/>
  <c r="G46" i="7"/>
  <c r="E47" i="7"/>
  <c r="F47" i="7"/>
  <c r="G47" i="7"/>
  <c r="E48" i="7"/>
  <c r="F48" i="7"/>
  <c r="G48" i="7"/>
  <c r="G5" i="7"/>
  <c r="F5" i="7"/>
  <c r="E5" i="7"/>
  <c r="L10" i="6" l="1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M9" i="6"/>
  <c r="L9" i="6"/>
  <c r="M8" i="6"/>
  <c r="L8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K9" i="6"/>
  <c r="J9" i="6"/>
  <c r="K8" i="6"/>
  <c r="J8" i="6"/>
  <c r="L6" i="6"/>
  <c r="M6" i="6"/>
  <c r="L5" i="6"/>
  <c r="J6" i="6"/>
  <c r="K6" i="6"/>
  <c r="J5" i="6"/>
  <c r="I6" i="6"/>
  <c r="H6" i="6"/>
  <c r="G6" i="6"/>
  <c r="F6" i="6"/>
  <c r="E6" i="6"/>
  <c r="D6" i="6"/>
  <c r="H5" i="6"/>
  <c r="F5" i="6"/>
  <c r="D5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I19" i="6"/>
  <c r="H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G19" i="6"/>
  <c r="F19" i="6"/>
  <c r="D20" i="6"/>
  <c r="E20" i="6"/>
  <c r="D21" i="6"/>
  <c r="E21" i="6"/>
  <c r="D22" i="6"/>
  <c r="E22" i="6"/>
  <c r="D23" i="6"/>
  <c r="E23" i="6"/>
  <c r="D24" i="6"/>
  <c r="E24" i="6"/>
  <c r="D25" i="6"/>
  <c r="E25" i="6"/>
  <c r="D26" i="6"/>
  <c r="E26" i="6"/>
  <c r="D27" i="6"/>
  <c r="E27" i="6"/>
  <c r="D28" i="6"/>
  <c r="E28" i="6"/>
  <c r="D29" i="6"/>
  <c r="E29" i="6"/>
  <c r="E19" i="6"/>
  <c r="D19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I8" i="6"/>
  <c r="H8" i="6"/>
  <c r="F18" i="6"/>
  <c r="G1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G8" i="6"/>
  <c r="F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E8" i="6"/>
  <c r="D8" i="6"/>
  <c r="O5" i="1" l="1"/>
  <c r="M5" i="1"/>
  <c r="K5" i="1"/>
  <c r="E5" i="6" s="1"/>
  <c r="I5" i="1"/>
  <c r="G5" i="1"/>
  <c r="E5" i="1"/>
  <c r="M5" i="6" l="1"/>
  <c r="I5" i="6"/>
  <c r="G5" i="6"/>
  <c r="K5" i="6"/>
</calcChain>
</file>

<file path=xl/sharedStrings.xml><?xml version="1.0" encoding="utf-8"?>
<sst xmlns="http://schemas.openxmlformats.org/spreadsheetml/2006/main" count="558" uniqueCount="80">
  <si>
    <t>PERIODO TA</t>
  </si>
  <si>
    <t>CENTRO DE MASAS</t>
  </si>
  <si>
    <t>VARIABLE</t>
  </si>
  <si>
    <t>CASO 3 CON GRADA</t>
  </si>
  <si>
    <t>STORY</t>
  </si>
  <si>
    <t>STORY 1</t>
  </si>
  <si>
    <t>STORY 11</t>
  </si>
  <si>
    <t>STORY 10</t>
  </si>
  <si>
    <t>STORY 9</t>
  </si>
  <si>
    <t>STORY 8</t>
  </si>
  <si>
    <t>STORY 7</t>
  </si>
  <si>
    <t>STORY 6</t>
  </si>
  <si>
    <t>STORY 5</t>
  </si>
  <si>
    <t>STORY 4</t>
  </si>
  <si>
    <t>STORY 3</t>
  </si>
  <si>
    <t>STORY 2</t>
  </si>
  <si>
    <t>CASO 3 SIN GRADA</t>
  </si>
  <si>
    <t>CENTRO RIGIDEZ</t>
  </si>
  <si>
    <t>FUERZA</t>
  </si>
  <si>
    <t>DERIVAS</t>
  </si>
  <si>
    <t>EQXEP</t>
  </si>
  <si>
    <t>EQXEN</t>
  </si>
  <si>
    <t>EQYEP</t>
  </si>
  <si>
    <t>EQYEN</t>
  </si>
  <si>
    <t>SENTIDO</t>
  </si>
  <si>
    <t>X (m)</t>
  </si>
  <si>
    <t>Y (m)</t>
  </si>
  <si>
    <t>X (s)</t>
  </si>
  <si>
    <t>Y (s)</t>
  </si>
  <si>
    <t>PERIODO DINAMICO</t>
  </si>
  <si>
    <t>CASO 3.1 DENTRO</t>
  </si>
  <si>
    <t>CASO 3.2 LATERAL</t>
  </si>
  <si>
    <t>CASO 3.3 ESQUINA</t>
  </si>
  <si>
    <t>IRRE TORSIONAL</t>
  </si>
  <si>
    <t>RADIO DE DISEÑO</t>
  </si>
  <si>
    <t>C7</t>
  </si>
  <si>
    <t>C5</t>
  </si>
  <si>
    <t>C6</t>
  </si>
  <si>
    <t>C8</t>
  </si>
  <si>
    <t>C37</t>
  </si>
  <si>
    <t>C4</t>
  </si>
  <si>
    <t>C2</t>
  </si>
  <si>
    <t>C38</t>
  </si>
  <si>
    <t>C11</t>
  </si>
  <si>
    <t>C10</t>
  </si>
  <si>
    <t>C22</t>
  </si>
  <si>
    <t>C21</t>
  </si>
  <si>
    <t>C23</t>
  </si>
  <si>
    <t>C15</t>
  </si>
  <si>
    <t>C9</t>
  </si>
  <si>
    <t>C25</t>
  </si>
  <si>
    <t>C16</t>
  </si>
  <si>
    <t>C18</t>
  </si>
  <si>
    <t>C17</t>
  </si>
  <si>
    <t>C12</t>
  </si>
  <si>
    <t>C24</t>
  </si>
  <si>
    <t>C26</t>
  </si>
  <si>
    <t>SECCION</t>
  </si>
  <si>
    <t>COL7/45X45CM-P0.02</t>
  </si>
  <si>
    <t>C3</t>
  </si>
  <si>
    <t>C1</t>
  </si>
  <si>
    <t>C55</t>
  </si>
  <si>
    <t>C19</t>
  </si>
  <si>
    <t>C54</t>
  </si>
  <si>
    <t>C20</t>
  </si>
  <si>
    <t>C14</t>
  </si>
  <si>
    <t>C31</t>
  </si>
  <si>
    <t>C29</t>
  </si>
  <si>
    <t>COL.</t>
  </si>
  <si>
    <t>RADIO</t>
  </si>
  <si>
    <t xml:space="preserve">CASO 3.1 - 3.2 </t>
  </si>
  <si>
    <t>CASO 3.1 - 3.3</t>
  </si>
  <si>
    <t>CASO 3 CON GRADA - SIN GRADA/SIN GRADA</t>
  </si>
  <si>
    <t>DIFERENCIAS ENTRE CONSIDERAR MODULO DE GRADAS Y SIN GRADAS</t>
  </si>
  <si>
    <t>DIFERENCIAS POR UBICACIÓN DE MODULO DE GRADAS</t>
  </si>
  <si>
    <t>CASO 3 CON GRADA DENTRO - (LATERAL&amp;ESQUINA) / DENTRO</t>
  </si>
  <si>
    <t>ESTE BOTON SE DEBE PRESIONAR UNA VEZ LLENADAS TODAS LAS TABLAS DE CASOS, PARA IMPORTAR LAS VARIABLES QUE SE DESEAN MEDIR Y COMPARAR ENTRE ELLAS</t>
  </si>
  <si>
    <t>ESTE SE DEBE PRESIONAR UNA VEZ PRESIONADO EL BOTON "COMPARAR DATOS", SIRVE PARA DAR EL FORMATO DE TABLAS Y COLORES A LAS CELDAS</t>
  </si>
  <si>
    <t>NOTA: LA HOJA "COLUMNAS N1" DEBE SER LLENADA MANUALMENTE, COPIANDO LA INFORMACION DIRECTAMENTE DE ETABS, Y LA COMPARACION DE ESTAS SE DEBERA HACER VISUALIZANDO LA PLANTA DE COLUMNAS DE CADA MODELO (VER IMÁGENES ADJUNTAS)</t>
  </si>
  <si>
    <t>CASO 3.1 - 3.2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</si>
</sst>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%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vertical="center" wrapText="1"/>
    </xf>
    <xf numFmtId="0" fontId="0" fillId="2" borderId="4" xfId="0" applyFill="1" applyBorder="1"/>
    <xf numFmtId="0" fontId="3" fillId="2" borderId="4" xfId="0" applyFont="1" applyFill="1" applyBorder="1" applyAlignment="1">
      <alignment horizontal="center"/>
    </xf>
    <xf numFmtId="0" fontId="0" fillId="4" borderId="4" xfId="0" applyFill="1" applyBorder="1" applyAlignment="1"/>
    <xf numFmtId="0" fontId="0" fillId="5" borderId="4" xfId="0" applyFill="1" applyBorder="1" applyAlignment="1"/>
    <xf numFmtId="0" fontId="0" fillId="6" borderId="4" xfId="0" applyFill="1" applyBorder="1" applyAlignment="1"/>
    <xf numFmtId="0" fontId="0" fillId="4" borderId="8" xfId="0" applyFill="1" applyBorder="1" applyAlignment="1"/>
    <xf numFmtId="0" fontId="0" fillId="5" borderId="8" xfId="0" applyFill="1" applyBorder="1" applyAlignment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10" xfId="0" applyFill="1" applyBorder="1" applyAlignment="1"/>
    <xf numFmtId="0" fontId="0" fillId="4" borderId="11" xfId="0" applyFill="1" applyBorder="1" applyAlignment="1"/>
    <xf numFmtId="0" fontId="0" fillId="5" borderId="11" xfId="0" applyFill="1" applyBorder="1" applyAlignment="1"/>
    <xf numFmtId="0" fontId="0" fillId="6" borderId="11" xfId="0" applyFill="1" applyBorder="1" applyAlignment="1"/>
    <xf numFmtId="0" fontId="0" fillId="6" borderId="12" xfId="0" applyFill="1" applyBorder="1" applyAlignment="1"/>
    <xf numFmtId="0" fontId="3" fillId="2" borderId="7" xfId="0" applyFont="1" applyFill="1" applyBorder="1" applyAlignment="1">
      <alignment horizontal="center"/>
    </xf>
    <xf numFmtId="0" fontId="2" fillId="3" borderId="4" xfId="0" applyFont="1" applyFill="1" applyBorder="1"/>
    <xf numFmtId="0" fontId="0" fillId="3" borderId="4" xfId="0" applyFill="1" applyBorder="1"/>
    <xf numFmtId="0" fontId="0" fillId="3" borderId="8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4" borderId="5" xfId="0" applyFill="1" applyBorder="1" applyAlignment="1"/>
    <xf numFmtId="0" fontId="0" fillId="5" borderId="5" xfId="0" applyFill="1" applyBorder="1" applyAlignment="1"/>
    <xf numFmtId="0" fontId="0" fillId="6" borderId="5" xfId="0" applyFill="1" applyBorder="1" applyAlignment="1"/>
    <xf numFmtId="0" fontId="0" fillId="6" borderId="20" xfId="0" applyFill="1" applyBorder="1" applyAlignment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64" fontId="0" fillId="0" borderId="0" xfId="0" applyNumberFormat="1"/>
    <xf numFmtId="164" fontId="0" fillId="7" borderId="8" xfId="0" applyNumberFormat="1" applyFont="1" applyFill="1" applyBorder="1"/>
    <xf numFmtId="164" fontId="0" fillId="8" borderId="8" xfId="0" applyNumberFormat="1" applyFont="1" applyFill="1" applyBorder="1"/>
    <xf numFmtId="164" fontId="0" fillId="9" borderId="8" xfId="0" applyNumberFormat="1" applyFont="1" applyFill="1" applyBorder="1"/>
    <xf numFmtId="164" fontId="0" fillId="9" borderId="9" xfId="0" applyNumberFormat="1" applyFont="1" applyFill="1" applyBorder="1"/>
    <xf numFmtId="164" fontId="0" fillId="7" borderId="4" xfId="0" applyNumberFormat="1" applyFont="1" applyFill="1" applyBorder="1"/>
    <xf numFmtId="164" fontId="0" fillId="8" borderId="4" xfId="0" applyNumberFormat="1" applyFont="1" applyFill="1" applyBorder="1"/>
    <xf numFmtId="164" fontId="0" fillId="9" borderId="4" xfId="0" applyNumberFormat="1" applyFont="1" applyFill="1" applyBorder="1"/>
    <xf numFmtId="164" fontId="0" fillId="9" borderId="10" xfId="0" applyNumberFormat="1" applyFont="1" applyFill="1" applyBorder="1"/>
    <xf numFmtId="164" fontId="0" fillId="7" borderId="7" xfId="0" applyNumberFormat="1" applyFont="1" applyFill="1" applyBorder="1"/>
    <xf numFmtId="164" fontId="0" fillId="8" borderId="7" xfId="0" applyNumberFormat="1" applyFont="1" applyFill="1" applyBorder="1"/>
    <xf numFmtId="164" fontId="0" fillId="9" borderId="7" xfId="0" applyNumberFormat="1" applyFont="1" applyFill="1" applyBorder="1"/>
    <xf numFmtId="164" fontId="0" fillId="9" borderId="21" xfId="0" applyNumberFormat="1" applyFont="1" applyFill="1" applyBorder="1"/>
    <xf numFmtId="164" fontId="0" fillId="7" borderId="11" xfId="0" applyNumberFormat="1" applyFont="1" applyFill="1" applyBorder="1"/>
    <xf numFmtId="164" fontId="0" fillId="8" borderId="11" xfId="0" applyNumberFormat="1" applyFont="1" applyFill="1" applyBorder="1"/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2" fontId="0" fillId="7" borderId="8" xfId="0" applyNumberFormat="1" applyFont="1" applyFill="1" applyBorder="1"/>
    <xf numFmtId="2" fontId="0" fillId="8" borderId="8" xfId="0" applyNumberFormat="1" applyFont="1" applyFill="1" applyBorder="1"/>
    <xf numFmtId="2" fontId="0" fillId="9" borderId="8" xfId="0" applyNumberFormat="1" applyFont="1" applyFill="1" applyBorder="1"/>
    <xf numFmtId="2" fontId="0" fillId="9" borderId="9" xfId="0" applyNumberFormat="1" applyFont="1" applyFill="1" applyBorder="1"/>
    <xf numFmtId="2" fontId="0" fillId="7" borderId="4" xfId="0" applyNumberFormat="1" applyFont="1" applyFill="1" applyBorder="1"/>
    <xf numFmtId="2" fontId="0" fillId="8" borderId="4" xfId="0" applyNumberFormat="1" applyFont="1" applyFill="1" applyBorder="1"/>
    <xf numFmtId="2" fontId="0" fillId="9" borderId="4" xfId="0" applyNumberFormat="1" applyFont="1" applyFill="1" applyBorder="1"/>
    <xf numFmtId="2" fontId="0" fillId="9" borderId="10" xfId="0" applyNumberFormat="1" applyFont="1" applyFill="1" applyBorder="1"/>
    <xf numFmtId="2" fontId="0" fillId="7" borderId="7" xfId="0" applyNumberFormat="1" applyFont="1" applyFill="1" applyBorder="1"/>
    <xf numFmtId="2" fontId="0" fillId="8" borderId="7" xfId="0" applyNumberFormat="1" applyFont="1" applyFill="1" applyBorder="1"/>
    <xf numFmtId="2" fontId="0" fillId="9" borderId="7" xfId="0" applyNumberFormat="1" applyFont="1" applyFill="1" applyBorder="1"/>
    <xf numFmtId="2" fontId="0" fillId="9" borderId="21" xfId="0" applyNumberFormat="1" applyFont="1" applyFill="1" applyBorder="1"/>
    <xf numFmtId="2" fontId="0" fillId="7" borderId="11" xfId="0" applyNumberFormat="1" applyFont="1" applyFill="1" applyBorder="1"/>
    <xf numFmtId="2" fontId="0" fillId="8" borderId="11" xfId="0" applyNumberFormat="1" applyFont="1" applyFill="1" applyBorder="1"/>
    <xf numFmtId="2" fontId="0" fillId="9" borderId="11" xfId="0" applyNumberFormat="1" applyFont="1" applyFill="1" applyBorder="1"/>
    <xf numFmtId="2" fontId="0" fillId="9" borderId="12" xfId="0" applyNumberFormat="1" applyFont="1" applyFill="1" applyBorder="1"/>
    <xf numFmtId="0" fontId="2" fillId="2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/>
    </xf>
    <xf numFmtId="0" fontId="0" fillId="5" borderId="4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/>
    </xf>
    <xf numFmtId="165" fontId="0" fillId="4" borderId="4" xfId="1" applyNumberFormat="1" applyFont="1" applyFill="1" applyBorder="1" applyAlignment="1"/>
    <xf numFmtId="165" fontId="0" fillId="5" borderId="4" xfId="1" applyNumberFormat="1" applyFont="1" applyFill="1" applyBorder="1" applyAlignment="1"/>
    <xf numFmtId="165" fontId="0" fillId="6" borderId="4" xfId="1" applyNumberFormat="1" applyFont="1" applyFill="1" applyBorder="1" applyAlignment="1"/>
    <xf numFmtId="165" fontId="0" fillId="4" borderId="8" xfId="1" applyNumberFormat="1" applyFont="1" applyFill="1" applyBorder="1" applyAlignment="1"/>
    <xf numFmtId="165" fontId="0" fillId="5" borderId="8" xfId="1" applyNumberFormat="1" applyFont="1" applyFill="1" applyBorder="1" applyAlignment="1"/>
    <xf numFmtId="165" fontId="0" fillId="6" borderId="8" xfId="1" applyNumberFormat="1" applyFont="1" applyFill="1" applyBorder="1" applyAlignment="1"/>
    <xf numFmtId="165" fontId="0" fillId="6" borderId="9" xfId="1" applyNumberFormat="1" applyFont="1" applyFill="1" applyBorder="1" applyAlignment="1"/>
    <xf numFmtId="165" fontId="0" fillId="6" borderId="10" xfId="1" applyNumberFormat="1" applyFont="1" applyFill="1" applyBorder="1" applyAlignment="1"/>
    <xf numFmtId="165" fontId="0" fillId="4" borderId="11" xfId="1" applyNumberFormat="1" applyFont="1" applyFill="1" applyBorder="1" applyAlignment="1"/>
    <xf numFmtId="165" fontId="0" fillId="5" borderId="11" xfId="1" applyNumberFormat="1" applyFont="1" applyFill="1" applyBorder="1" applyAlignment="1"/>
    <xf numFmtId="165" fontId="0" fillId="6" borderId="11" xfId="1" applyNumberFormat="1" applyFont="1" applyFill="1" applyBorder="1" applyAlignment="1"/>
    <xf numFmtId="165" fontId="0" fillId="6" borderId="12" xfId="1" applyNumberFormat="1" applyFont="1" applyFill="1" applyBorder="1" applyAlignment="1"/>
    <xf numFmtId="0" fontId="0" fillId="2" borderId="6" xfId="0" applyFill="1" applyBorder="1"/>
    <xf numFmtId="0" fontId="0" fillId="3" borderId="6" xfId="0" applyFill="1" applyBorder="1"/>
    <xf numFmtId="0" fontId="0" fillId="3" borderId="23" xfId="0" applyFill="1" applyBorder="1"/>
    <xf numFmtId="0" fontId="0" fillId="3" borderId="24" xfId="0" applyFill="1" applyBorder="1"/>
    <xf numFmtId="0" fontId="3" fillId="2" borderId="26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5" fontId="0" fillId="4" borderId="26" xfId="1" applyNumberFormat="1" applyFont="1" applyFill="1" applyBorder="1" applyAlignment="1"/>
    <xf numFmtId="0" fontId="3" fillId="2" borderId="27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165" fontId="0" fillId="4" borderId="25" xfId="1" applyNumberFormat="1" applyFont="1" applyFill="1" applyBorder="1" applyAlignment="1"/>
    <xf numFmtId="165" fontId="0" fillId="4" borderId="28" xfId="1" applyNumberFormat="1" applyFont="1" applyFill="1" applyBorder="1" applyAlignment="1"/>
    <xf numFmtId="165" fontId="0" fillId="5" borderId="9" xfId="1" applyNumberFormat="1" applyFont="1" applyFill="1" applyBorder="1" applyAlignment="1"/>
    <xf numFmtId="165" fontId="0" fillId="5" borderId="10" xfId="1" applyNumberFormat="1" applyFont="1" applyFill="1" applyBorder="1" applyAlignment="1"/>
    <xf numFmtId="165" fontId="0" fillId="5" borderId="12" xfId="1" applyNumberFormat="1" applyFont="1" applyFill="1" applyBorder="1" applyAlignment="1"/>
    <xf numFmtId="0" fontId="0" fillId="0" borderId="0" xfId="0" applyBorder="1"/>
    <xf numFmtId="0" fontId="0" fillId="0" borderId="0" xfId="0" applyBorder="1" applyAlignment="1">
      <alignment vertical="center" wrapText="1"/>
    </xf>
    <xf numFmtId="0" fontId="3" fillId="2" borderId="13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10" fontId="0" fillId="7" borderId="8" xfId="1" applyNumberFormat="1" applyFont="1" applyFill="1" applyBorder="1"/>
    <xf numFmtId="10" fontId="0" fillId="8" borderId="8" xfId="1" applyNumberFormat="1" applyFont="1" applyFill="1" applyBorder="1"/>
    <xf numFmtId="10" fontId="0" fillId="9" borderId="8" xfId="1" applyNumberFormat="1" applyFont="1" applyFill="1" applyBorder="1"/>
    <xf numFmtId="10" fontId="0" fillId="8" borderId="9" xfId="1" applyNumberFormat="1" applyFont="1" applyFill="1" applyBorder="1"/>
    <xf numFmtId="10" fontId="0" fillId="7" borderId="4" xfId="1" applyNumberFormat="1" applyFont="1" applyFill="1" applyBorder="1"/>
    <xf numFmtId="10" fontId="0" fillId="8" borderId="4" xfId="1" applyNumberFormat="1" applyFont="1" applyFill="1" applyBorder="1"/>
    <xf numFmtId="10" fontId="0" fillId="9" borderId="4" xfId="1" applyNumberFormat="1" applyFont="1" applyFill="1" applyBorder="1"/>
    <xf numFmtId="10" fontId="0" fillId="8" borderId="10" xfId="1" applyNumberFormat="1" applyFont="1" applyFill="1" applyBorder="1"/>
    <xf numFmtId="10" fontId="0" fillId="7" borderId="11" xfId="1" applyNumberFormat="1" applyFont="1" applyFill="1" applyBorder="1"/>
    <xf numFmtId="10" fontId="0" fillId="8" borderId="11" xfId="1" applyNumberFormat="1" applyFont="1" applyFill="1" applyBorder="1"/>
    <xf numFmtId="10" fontId="0" fillId="9" borderId="11" xfId="1" applyNumberFormat="1" applyFont="1" applyFill="1" applyBorder="1"/>
    <xf numFmtId="10" fontId="0" fillId="8" borderId="12" xfId="1" applyNumberFormat="1" applyFont="1" applyFill="1" applyBorder="1"/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Normal" xfId="0" builtinId="0"/>
    <cellStyle name="Porcentaje" xfId="1" builtinId="5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'D-DERIVAS'!$E$4</c:f>
              <c:strCache>
                <c:ptCount val="1"/>
                <c:pt idx="0">
                  <c:v>CASO 3.1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'D-DERIVAS'!$E$5:$E$15</c:f>
              <c:numCache>
                <c:formatCode>0.00%</c:formatCode>
                <c:ptCount val="11"/>
                <c:pt idx="0">
                  <c:v>0.31061418588140538</c:v>
                </c:pt>
                <c:pt idx="1">
                  <c:v>0.14323022129657437</c:v>
                </c:pt>
                <c:pt idx="2">
                  <c:v>7.3755337862563927E-2</c:v>
                </c:pt>
                <c:pt idx="3">
                  <c:v>3.6503327335941763E-2</c:v>
                </c:pt>
                <c:pt idx="4">
                  <c:v>1.5236842232062736E-2</c:v>
                </c:pt>
                <c:pt idx="5">
                  <c:v>-6.1499726126321413E-5</c:v>
                </c:pt>
                <c:pt idx="6">
                  <c:v>-1.4320708422918755E-2</c:v>
                </c:pt>
                <c:pt idx="7">
                  <c:v>-3.1392351890185383E-2</c:v>
                </c:pt>
                <c:pt idx="8">
                  <c:v>-4.8229071691038537E-2</c:v>
                </c:pt>
                <c:pt idx="9">
                  <c:v>-6.8005385866101012E-2</c:v>
                </c:pt>
                <c:pt idx="10">
                  <c:v>-8.9806249716901834E-2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'D-DERIVAS'!$F$4</c:f>
              <c:strCache>
                <c:ptCount val="1"/>
                <c:pt idx="0">
                  <c:v>CASO 3.2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'D-DERIVAS'!$F$5:$F$15</c:f>
              <c:numCache>
                <c:formatCode>0.00%</c:formatCode>
                <c:ptCount val="11"/>
                <c:pt idx="0">
                  <c:v>0.40664790529732447</c:v>
                </c:pt>
                <c:pt idx="1">
                  <c:v>0.15597883537964125</c:v>
                </c:pt>
                <c:pt idx="2">
                  <c:v>7.4026049332910571E-2</c:v>
                </c:pt>
                <c:pt idx="3">
                  <c:v>2.7866263502006484E-2</c:v>
                </c:pt>
                <c:pt idx="4">
                  <c:v>2.1962375314258688E-3</c:v>
                </c:pt>
                <c:pt idx="5">
                  <c:v>-1.5879035235623402E-2</c:v>
                </c:pt>
                <c:pt idx="6">
                  <c:v>-2.5167701342263597E-2</c:v>
                </c:pt>
                <c:pt idx="7">
                  <c:v>-3.6364793671284985E-2</c:v>
                </c:pt>
                <c:pt idx="8">
                  <c:v>-5.5067443699468394E-2</c:v>
                </c:pt>
                <c:pt idx="9">
                  <c:v>-7.4614587016953837E-2</c:v>
                </c:pt>
                <c:pt idx="10">
                  <c:v>-7.5652590836268116E-2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'D-DERIVAS'!$G$4</c:f>
              <c:strCache>
                <c:ptCount val="1"/>
                <c:pt idx="0">
                  <c:v>CASO 3.3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'D-DERIVAS'!$G$5:$G$15</c:f>
              <c:numCache>
                <c:formatCode>0.00%</c:formatCode>
                <c:ptCount val="11"/>
                <c:pt idx="0">
                  <c:v>0.44116363812195231</c:v>
                </c:pt>
                <c:pt idx="1">
                  <c:v>0.21441618052900582</c:v>
                </c:pt>
                <c:pt idx="2">
                  <c:v>1.394269632406556E-2</c:v>
                </c:pt>
                <c:pt idx="3">
                  <c:v>7.9651185206299682E-3</c:v>
                </c:pt>
                <c:pt idx="4">
                  <c:v>4.2009689744352419E-3</c:v>
                </c:pt>
                <c:pt idx="5">
                  <c:v>9.7524712722222955E-4</c:v>
                </c:pt>
                <c:pt idx="6">
                  <c:v>7.5292313315625606E-4</c:v>
                </c:pt>
                <c:pt idx="7">
                  <c:v>-8.9980441752819998E-4</c:v>
                </c:pt>
                <c:pt idx="8">
                  <c:v>-7.0027453293727681E-3</c:v>
                </c:pt>
                <c:pt idx="9">
                  <c:v>-1.4164974474016887E-2</c:v>
                </c:pt>
                <c:pt idx="10">
                  <c:v>-2.0252128539650961E-2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11720"/>
        <c:axId val="508910936"/>
      </c:lineChart>
      <c:catAx>
        <c:axId val="50891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910936"/>
        <c:crosses val="autoZero"/>
        <c:auto val="1"/>
        <c:lblAlgn val="ctr"/>
        <c:lblOffset val="100"/>
        <c:noMultiLvlLbl val="0"/>
      </c:catAx>
      <c:valAx>
        <c:axId val="50891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91172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'D-DERIVAS'!$E$16:$E$26</c:f>
              <c:numCache>
                <c:formatCode>0.00%</c:formatCode>
                <c:ptCount val="11"/>
                <c:pt idx="0">
                  <c:v>0.31879592352673203</c:v>
                </c:pt>
                <c:pt idx="1">
                  <c:v>0.11888767051596115</c:v>
                </c:pt>
                <c:pt idx="2">
                  <c:v>4.3779752878789303E-2</c:v>
                </c:pt>
                <c:pt idx="3">
                  <c:v>3.24099382152214E-3</c:v>
                </c:pt>
                <c:pt idx="4">
                  <c:v>-2.0317868360460095E-2</c:v>
                </c:pt>
                <c:pt idx="5">
                  <c:v>-3.7471419149538006E-2</c:v>
                </c:pt>
                <c:pt idx="6">
                  <c:v>-5.2409376979454018E-2</c:v>
                </c:pt>
                <c:pt idx="7">
                  <c:v>-6.7673453997466354E-2</c:v>
                </c:pt>
                <c:pt idx="8">
                  <c:v>-8.529380294433983E-2</c:v>
                </c:pt>
                <c:pt idx="9">
                  <c:v>-0.10589280722378101</c:v>
                </c:pt>
                <c:pt idx="10">
                  <c:v>-0.13447552975463806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'D-DERIVAS'!$F$16:$F$26</c:f>
              <c:numCache>
                <c:formatCode>0.00%</c:formatCode>
                <c:ptCount val="11"/>
                <c:pt idx="0">
                  <c:v>0.39558474534638904</c:v>
                </c:pt>
                <c:pt idx="1">
                  <c:v>0.15549188235026906</c:v>
                </c:pt>
                <c:pt idx="2">
                  <c:v>4.7918328082617513E-2</c:v>
                </c:pt>
                <c:pt idx="3">
                  <c:v>-1.362897428925325E-2</c:v>
                </c:pt>
                <c:pt idx="4">
                  <c:v>-4.8047852146974671E-2</c:v>
                </c:pt>
                <c:pt idx="5">
                  <c:v>-7.1919575457927709E-2</c:v>
                </c:pt>
                <c:pt idx="6">
                  <c:v>-8.5744393423256418E-2</c:v>
                </c:pt>
                <c:pt idx="7">
                  <c:v>-0.10281524624710585</c:v>
                </c:pt>
                <c:pt idx="8">
                  <c:v>-0.12708914972870447</c:v>
                </c:pt>
                <c:pt idx="9">
                  <c:v>-0.15110904402018668</c:v>
                </c:pt>
                <c:pt idx="10">
                  <c:v>-0.13747538887667124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'D-DERIVAS'!$G$16:$G$26</c:f>
              <c:numCache>
                <c:formatCode>0.00%</c:formatCode>
                <c:ptCount val="11"/>
                <c:pt idx="0">
                  <c:v>0.39070330941313425</c:v>
                </c:pt>
                <c:pt idx="1">
                  <c:v>0.1711959714601439</c:v>
                </c:pt>
                <c:pt idx="2">
                  <c:v>3.0198304319340865E-2</c:v>
                </c:pt>
                <c:pt idx="3">
                  <c:v>-4.6205433105613376E-2</c:v>
                </c:pt>
                <c:pt idx="4">
                  <c:v>-8.9157570362273356E-2</c:v>
                </c:pt>
                <c:pt idx="5">
                  <c:v>-0.11166973180024332</c:v>
                </c:pt>
                <c:pt idx="6">
                  <c:v>-8.6998548921474531E-2</c:v>
                </c:pt>
                <c:pt idx="7">
                  <c:v>-6.5097739511491129E-2</c:v>
                </c:pt>
                <c:pt idx="8">
                  <c:v>-6.1162753845777573E-2</c:v>
                </c:pt>
                <c:pt idx="9">
                  <c:v>-5.6694580757837738E-2</c:v>
                </c:pt>
                <c:pt idx="10">
                  <c:v>-4.8275624016879001E-2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12840"/>
        <c:axId val="742813232"/>
      </c:lineChart>
      <c:catAx>
        <c:axId val="742812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2813232"/>
        <c:crosses val="autoZero"/>
        <c:auto val="1"/>
        <c:lblAlgn val="ctr"/>
        <c:lblOffset val="100"/>
        <c:noMultiLvlLbl val="0"/>
      </c:catAx>
      <c:valAx>
        <c:axId val="74281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281284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'D-DERIVAS'!$E$27:$E$37</c:f>
              <c:numCache>
                <c:formatCode>0.00%</c:formatCode>
                <c:ptCount val="11"/>
                <c:pt idx="0">
                  <c:v>0.42761935976927751</c:v>
                </c:pt>
                <c:pt idx="1">
                  <c:v>-5.5029846677475659E-2</c:v>
                </c:pt>
                <c:pt idx="2">
                  <c:v>-4.4333360408955698E-2</c:v>
                </c:pt>
                <c:pt idx="3">
                  <c:v>-3.7190009116912295E-2</c:v>
                </c:pt>
                <c:pt idx="4">
                  <c:v>-3.2123730423181514E-2</c:v>
                </c:pt>
                <c:pt idx="5">
                  <c:v>-2.8730855884419308E-2</c:v>
                </c:pt>
                <c:pt idx="6">
                  <c:v>-2.6692848424186653E-2</c:v>
                </c:pt>
                <c:pt idx="7">
                  <c:v>-2.6204079549880792E-2</c:v>
                </c:pt>
                <c:pt idx="8">
                  <c:v>-2.6547168670926186E-2</c:v>
                </c:pt>
                <c:pt idx="9">
                  <c:v>-2.6407080874823609E-2</c:v>
                </c:pt>
                <c:pt idx="10">
                  <c:v>-8.5691567001601326E-2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'D-DERIVAS'!$F$27:$F$37</c:f>
              <c:numCache>
                <c:formatCode>0.00%</c:formatCode>
                <c:ptCount val="11"/>
                <c:pt idx="0">
                  <c:v>0.22043631623572069</c:v>
                </c:pt>
                <c:pt idx="1">
                  <c:v>-1.3448131930377356E-3</c:v>
                </c:pt>
                <c:pt idx="2">
                  <c:v>-9.131741193447368E-2</c:v>
                </c:pt>
                <c:pt idx="3">
                  <c:v>-0.13110724346017041</c:v>
                </c:pt>
                <c:pt idx="4">
                  <c:v>-0.11095138753045844</c:v>
                </c:pt>
                <c:pt idx="5">
                  <c:v>-9.6911481648959408E-2</c:v>
                </c:pt>
                <c:pt idx="6">
                  <c:v>-8.0673596140674667E-2</c:v>
                </c:pt>
                <c:pt idx="7">
                  <c:v>-6.6332247629314153E-2</c:v>
                </c:pt>
                <c:pt idx="8">
                  <c:v>-5.7466093223190316E-2</c:v>
                </c:pt>
                <c:pt idx="9">
                  <c:v>-5.060403073216975E-2</c:v>
                </c:pt>
                <c:pt idx="10">
                  <c:v>-5.3881957907353416E-2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'D-DERIVAS'!$G$27:$G$37</c:f>
              <c:numCache>
                <c:formatCode>0.00%</c:formatCode>
                <c:ptCount val="11"/>
                <c:pt idx="0">
                  <c:v>0.15998819357034597</c:v>
                </c:pt>
                <c:pt idx="1">
                  <c:v>7.1017356867494358E-2</c:v>
                </c:pt>
                <c:pt idx="2">
                  <c:v>-2.5626295734295038E-2</c:v>
                </c:pt>
                <c:pt idx="3">
                  <c:v>-8.5817882676483673E-2</c:v>
                </c:pt>
                <c:pt idx="4">
                  <c:v>-0.12414174676368418</c:v>
                </c:pt>
                <c:pt idx="5">
                  <c:v>-0.15397770596360405</c:v>
                </c:pt>
                <c:pt idx="6">
                  <c:v>-0.17287944251687706</c:v>
                </c:pt>
                <c:pt idx="7">
                  <c:v>-0.14645681051610313</c:v>
                </c:pt>
                <c:pt idx="8">
                  <c:v>-0.12430659294201424</c:v>
                </c:pt>
                <c:pt idx="9">
                  <c:v>-0.10115641855646566</c:v>
                </c:pt>
                <c:pt idx="10">
                  <c:v>-8.2964639014255784E-2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73128"/>
        <c:axId val="508373520"/>
      </c:lineChart>
      <c:catAx>
        <c:axId val="50837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373520"/>
        <c:crosses val="autoZero"/>
        <c:auto val="1"/>
        <c:lblAlgn val="ctr"/>
        <c:lblOffset val="100"/>
        <c:noMultiLvlLbl val="0"/>
      </c:catAx>
      <c:valAx>
        <c:axId val="50837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37312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'D-DERIVAS'!$E$38:$E$48</c:f>
              <c:numCache>
                <c:formatCode>0.00%</c:formatCode>
                <c:ptCount val="11"/>
                <c:pt idx="0">
                  <c:v>0.38712320179373771</c:v>
                </c:pt>
                <c:pt idx="1">
                  <c:v>-4.9512701102017914E-2</c:v>
                </c:pt>
                <c:pt idx="2">
                  <c:v>-3.6760453633066202E-2</c:v>
                </c:pt>
                <c:pt idx="3">
                  <c:v>-2.7750153388908138E-2</c:v>
                </c:pt>
                <c:pt idx="4">
                  <c:v>-2.1573850685120056E-2</c:v>
                </c:pt>
                <c:pt idx="5">
                  <c:v>-1.7433341961022902E-2</c:v>
                </c:pt>
                <c:pt idx="6">
                  <c:v>-1.4831970091344356E-2</c:v>
                </c:pt>
                <c:pt idx="7">
                  <c:v>-1.3762224233936783E-2</c:v>
                </c:pt>
                <c:pt idx="8">
                  <c:v>-1.3580043159261486E-2</c:v>
                </c:pt>
                <c:pt idx="9">
                  <c:v>-1.3020774848703866E-2</c:v>
                </c:pt>
                <c:pt idx="10">
                  <c:v>-1.1979454068164468E-2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'D-DERIVAS'!$F$38:$F$48</c:f>
              <c:numCache>
                <c:formatCode>0.00%</c:formatCode>
                <c:ptCount val="11"/>
                <c:pt idx="0">
                  <c:v>0.23982415876152516</c:v>
                </c:pt>
                <c:pt idx="1">
                  <c:v>-1.4274122935675668E-3</c:v>
                </c:pt>
                <c:pt idx="2">
                  <c:v>1.7608120359048667E-2</c:v>
                </c:pt>
                <c:pt idx="3">
                  <c:v>2.8475880718607481E-2</c:v>
                </c:pt>
                <c:pt idx="4">
                  <c:v>3.419046957795837E-2</c:v>
                </c:pt>
                <c:pt idx="5">
                  <c:v>3.7583391258661905E-2</c:v>
                </c:pt>
                <c:pt idx="6">
                  <c:v>4.0043541969863032E-2</c:v>
                </c:pt>
                <c:pt idx="7">
                  <c:v>4.2445625893293842E-2</c:v>
                </c:pt>
                <c:pt idx="8">
                  <c:v>4.4317496997956542E-2</c:v>
                </c:pt>
                <c:pt idx="9">
                  <c:v>4.6786285720110191E-2</c:v>
                </c:pt>
                <c:pt idx="10">
                  <c:v>5.041064137617144E-2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'D-DERIVAS'!$G$38:$G$48</c:f>
              <c:numCache>
                <c:formatCode>0.00%</c:formatCode>
                <c:ptCount val="11"/>
                <c:pt idx="0">
                  <c:v>0.18858094351844368</c:v>
                </c:pt>
                <c:pt idx="1">
                  <c:v>9.8494923030522513E-2</c:v>
                </c:pt>
                <c:pt idx="2">
                  <c:v>5.7101046829732887E-3</c:v>
                </c:pt>
                <c:pt idx="3">
                  <c:v>3.254837593733842E-2</c:v>
                </c:pt>
                <c:pt idx="4">
                  <c:v>3.7179061822521682E-2</c:v>
                </c:pt>
                <c:pt idx="5">
                  <c:v>3.9739874020184307E-2</c:v>
                </c:pt>
                <c:pt idx="6">
                  <c:v>4.1233828127875169E-2</c:v>
                </c:pt>
                <c:pt idx="7">
                  <c:v>4.3307371377708674E-2</c:v>
                </c:pt>
                <c:pt idx="8">
                  <c:v>4.42260570137522E-2</c:v>
                </c:pt>
                <c:pt idx="9">
                  <c:v>4.5310501447953407E-2</c:v>
                </c:pt>
                <c:pt idx="10">
                  <c:v>4.3943815073283432E-2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86760"/>
        <c:axId val="513286368"/>
      </c:lineChart>
      <c:catAx>
        <c:axId val="513286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13286368"/>
        <c:crosses val="autoZero"/>
        <c:auto val="1"/>
        <c:lblAlgn val="ctr"/>
        <c:lblOffset val="100"/>
        <c:noMultiLvlLbl val="0"/>
      </c:catAx>
      <c:valAx>
        <c:axId val="5132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1328676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'D-DERIVAS'!$H$5:$H$15</c:f>
              <c:numCache>
                <c:formatCode>0.00%</c:formatCode>
                <c:ptCount val="11"/>
                <c:pt idx="0">
                  <c:v>6.3141629467692376E-2</c:v>
                </c:pt>
                <c:pt idx="1">
                  <c:v>8.3304766410208841E-2</c:v>
                </c:pt>
                <c:pt idx="2">
                  <c:v>4.4860725115914747E-2</c:v>
                </c:pt>
                <c:pt idx="3">
                  <c:v>2.8824286470002177E-2</c:v>
                </c:pt>
                <c:pt idx="4">
                  <c:v>1.9471635620356545E-2</c:v>
                </c:pt>
                <c:pt idx="5">
                  <c:v>1.383064908652052E-2</c:v>
                </c:pt>
                <c:pt idx="6">
                  <c:v>1.7222846041274727E-2</c:v>
                </c:pt>
                <c:pt idx="7">
                  <c:v>2.0315096532462384E-2</c:v>
                </c:pt>
                <c:pt idx="8">
                  <c:v>1.758735807204093E-2</c:v>
                </c:pt>
                <c:pt idx="9">
                  <c:v>1.0283444641136414E-2</c:v>
                </c:pt>
                <c:pt idx="10">
                  <c:v>-3.304427551917747E-2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'D-DERIVAS'!$I$5:$I$15</c:f>
              <c:numCache>
                <c:formatCode>0.00%</c:formatCode>
                <c:ptCount val="11"/>
                <c:pt idx="0">
                  <c:v>0.15791962769596612</c:v>
                </c:pt>
                <c:pt idx="1">
                  <c:v>0.11318795578926688</c:v>
                </c:pt>
                <c:pt idx="2">
                  <c:v>0.16571578920921901</c:v>
                </c:pt>
                <c:pt idx="3">
                  <c:v>8.8482779587702551E-2</c:v>
                </c:pt>
                <c:pt idx="4">
                  <c:v>4.7181781508467246E-2</c:v>
                </c:pt>
                <c:pt idx="5">
                  <c:v>2.0076333523224205E-2</c:v>
                </c:pt>
                <c:pt idx="6">
                  <c:v>1.3252236257401257E-3</c:v>
                </c:pt>
                <c:pt idx="7">
                  <c:v>-1.7549219007385933E-2</c:v>
                </c:pt>
                <c:pt idx="8">
                  <c:v>-3.7986355949115404E-2</c:v>
                </c:pt>
                <c:pt idx="9">
                  <c:v>-6.2194938273674026E-2</c:v>
                </c:pt>
                <c:pt idx="10">
                  <c:v>-0.10043137343605452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888464"/>
        <c:axId val="741889248"/>
      </c:lineChart>
      <c:catAx>
        <c:axId val="74188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1889248"/>
        <c:crosses val="autoZero"/>
        <c:auto val="1"/>
        <c:lblAlgn val="ctr"/>
        <c:lblOffset val="100"/>
        <c:noMultiLvlLbl val="0"/>
      </c:catAx>
      <c:valAx>
        <c:axId val="7418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1888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'D-DERIVAS'!$H$16:$H$26</c:f>
              <c:numCache>
                <c:formatCode>0.00%</c:formatCode>
                <c:ptCount val="11"/>
                <c:pt idx="0">
                  <c:v>1.0064012978035412E-2</c:v>
                </c:pt>
                <c:pt idx="1">
                  <c:v>1.9889366758390491E-2</c:v>
                </c:pt>
                <c:pt idx="2">
                  <c:v>2.8639396965424307E-2</c:v>
                </c:pt>
                <c:pt idx="3">
                  <c:v>3.9698012012681881E-2</c:v>
                </c:pt>
                <c:pt idx="4">
                  <c:v>4.5798287553621829E-2</c:v>
                </c:pt>
                <c:pt idx="5">
                  <c:v>5.1041370349096199E-2</c:v>
                </c:pt>
                <c:pt idx="6">
                  <c:v>6.8940327837493862E-2</c:v>
                </c:pt>
                <c:pt idx="7">
                  <c:v>9.1104964096758737E-2</c:v>
                </c:pt>
                <c:pt idx="8">
                  <c:v>0.10122195882404435</c:v>
                </c:pt>
                <c:pt idx="9">
                  <c:v>0.10589813517958006</c:v>
                </c:pt>
                <c:pt idx="10">
                  <c:v>3.7019827188796588E-2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'D-DERIVAS'!$I$16:$I$26</c:f>
              <c:numCache>
                <c:formatCode>0.00%</c:formatCode>
                <c:ptCount val="11"/>
                <c:pt idx="0">
                  <c:v>6.5975553865837658E-2</c:v>
                </c:pt>
                <c:pt idx="1">
                  <c:v>3.9184289580089056E-3</c:v>
                </c:pt>
                <c:pt idx="2">
                  <c:v>6.0993253065082645E-2</c:v>
                </c:pt>
                <c:pt idx="3">
                  <c:v>9.9460901004254407E-2</c:v>
                </c:pt>
                <c:pt idx="4">
                  <c:v>0.12327045054655283</c:v>
                </c:pt>
                <c:pt idx="5">
                  <c:v>0.13258119803285243</c:v>
                </c:pt>
                <c:pt idx="6">
                  <c:v>0.11110797138815094</c:v>
                </c:pt>
                <c:pt idx="7">
                  <c:v>9.282874328486429E-2</c:v>
                </c:pt>
                <c:pt idx="8">
                  <c:v>7.0039910281217005E-2</c:v>
                </c:pt>
                <c:pt idx="9">
                  <c:v>4.3187475531300194E-2</c:v>
                </c:pt>
                <c:pt idx="10">
                  <c:v>-9.8404535496316951E-3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871288"/>
        <c:axId val="733868936"/>
      </c:lineChart>
      <c:catAx>
        <c:axId val="73387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3868936"/>
        <c:crosses val="autoZero"/>
        <c:auto val="1"/>
        <c:lblAlgn val="ctr"/>
        <c:lblOffset val="100"/>
        <c:noMultiLvlLbl val="0"/>
      </c:catAx>
      <c:valAx>
        <c:axId val="73386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38712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'D-DERIVAS'!$H$27:$H$37</c:f>
              <c:numCache>
                <c:formatCode>0.00%</c:formatCode>
                <c:ptCount val="11"/>
                <c:pt idx="0">
                  <c:v>-0.45307051514617508</c:v>
                </c:pt>
                <c:pt idx="1">
                  <c:v>-0.31657876578116156</c:v>
                </c:pt>
                <c:pt idx="2">
                  <c:v>-0.20959393063799303</c:v>
                </c:pt>
                <c:pt idx="3">
                  <c:v>-0.14241991326745587</c:v>
                </c:pt>
                <c:pt idx="4">
                  <c:v>-0.1406816505464743</c:v>
                </c:pt>
                <c:pt idx="5">
                  <c:v>-0.13834646190750899</c:v>
                </c:pt>
                <c:pt idx="6">
                  <c:v>-0.1381045402439964</c:v>
                </c:pt>
                <c:pt idx="7">
                  <c:v>-0.14008188442141967</c:v>
                </c:pt>
                <c:pt idx="8">
                  <c:v>-0.14210929182926987</c:v>
                </c:pt>
                <c:pt idx="9">
                  <c:v>-0.14361081235521844</c:v>
                </c:pt>
                <c:pt idx="10">
                  <c:v>-0.13949754614186519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'D-DERIVAS'!$I$27:$I$37</c:f>
              <c:numCache>
                <c:formatCode>0.00%</c:formatCode>
                <c:ptCount val="11"/>
                <c:pt idx="0">
                  <c:v>-0.63021865664916965</c:v>
                </c:pt>
                <c:pt idx="1">
                  <c:v>-0.5464605435633404</c:v>
                </c:pt>
                <c:pt idx="2">
                  <c:v>-0.43576101042396376</c:v>
                </c:pt>
                <c:pt idx="3">
                  <c:v>-0.35107496915597614</c:v>
                </c:pt>
                <c:pt idx="4">
                  <c:v>-0.28725254101126885</c:v>
                </c:pt>
                <c:pt idx="5">
                  <c:v>-0.23320708321021197</c:v>
                </c:pt>
                <c:pt idx="6">
                  <c:v>-0.18717419670553506</c:v>
                </c:pt>
                <c:pt idx="7">
                  <c:v>-0.18844287296329121</c:v>
                </c:pt>
                <c:pt idx="8">
                  <c:v>-0.19003476998274732</c:v>
                </c:pt>
                <c:pt idx="9">
                  <c:v>-0.1906873401955044</c:v>
                </c:pt>
                <c:pt idx="10">
                  <c:v>-0.17933711010013403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2808"/>
        <c:axId val="504000848"/>
      </c:lineChart>
      <c:catAx>
        <c:axId val="50400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4000848"/>
        <c:crosses val="autoZero"/>
        <c:auto val="1"/>
        <c:lblAlgn val="ctr"/>
        <c:lblOffset val="100"/>
        <c:noMultiLvlLbl val="0"/>
      </c:catAx>
      <c:valAx>
        <c:axId val="50400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40028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 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'D-DERIVAS'!$H$38:$H$48</c:f>
              <c:numCache>
                <c:formatCode>0.00%</c:formatCode>
                <c:ptCount val="11"/>
                <c:pt idx="0">
                  <c:v>-0.36318888724568504</c:v>
                </c:pt>
                <c:pt idx="1">
                  <c:v>-0.14383014847091663</c:v>
                </c:pt>
                <c:pt idx="2">
                  <c:v>-0.14944094416979742</c:v>
                </c:pt>
                <c:pt idx="3">
                  <c:v>-0.14783765833243814</c:v>
                </c:pt>
                <c:pt idx="4">
                  <c:v>-0.14349573510020522</c:v>
                </c:pt>
                <c:pt idx="5">
                  <c:v>-0.13932626570218334</c:v>
                </c:pt>
                <c:pt idx="6">
                  <c:v>-0.13708715070819369</c:v>
                </c:pt>
                <c:pt idx="7">
                  <c:v>-0.13695231043574688</c:v>
                </c:pt>
                <c:pt idx="8">
                  <c:v>-0.13743374679082551</c:v>
                </c:pt>
                <c:pt idx="9">
                  <c:v>-0.1374748711470703</c:v>
                </c:pt>
                <c:pt idx="10">
                  <c:v>-0.13725775027536988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'D-DERIVAS'!$I$38:$I$48</c:f>
              <c:numCache>
                <c:formatCode>0.00%</c:formatCode>
                <c:ptCount val="11"/>
                <c:pt idx="0">
                  <c:v>-0.58199262964850973</c:v>
                </c:pt>
                <c:pt idx="1">
                  <c:v>-0.38167554738918935</c:v>
                </c:pt>
                <c:pt idx="2">
                  <c:v>-0.20060275206432177</c:v>
                </c:pt>
                <c:pt idx="3">
                  <c:v>-0.16534253126571488</c:v>
                </c:pt>
                <c:pt idx="4">
                  <c:v>-0.15723031464345849</c:v>
                </c:pt>
                <c:pt idx="5">
                  <c:v>-0.14991843174769842</c:v>
                </c:pt>
                <c:pt idx="6">
                  <c:v>-0.14500286051389777</c:v>
                </c:pt>
                <c:pt idx="7">
                  <c:v>-0.14360336809739571</c:v>
                </c:pt>
                <c:pt idx="8">
                  <c:v>-0.14316066276258535</c:v>
                </c:pt>
                <c:pt idx="9">
                  <c:v>-0.1419850527170757</c:v>
                </c:pt>
                <c:pt idx="10">
                  <c:v>-0.13615680909873115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40168"/>
        <c:axId val="508536640"/>
      </c:lineChart>
      <c:catAx>
        <c:axId val="508540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536640"/>
        <c:crosses val="autoZero"/>
        <c:auto val="1"/>
        <c:lblAlgn val="ctr"/>
        <c:lblOffset val="100"/>
        <c:noMultiLvlLbl val="0"/>
      </c:catAx>
      <c:valAx>
        <c:axId val="508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5401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'D-IRRE TORSIONAL'!$E$4</c:f>
              <c:strCache>
                <c:ptCount val="1"/>
                <c:pt idx="0">
                  <c:v>CASO 3.1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TORSIONAL'!$E$5:$E$15</c:f>
              <c:numCache>
                <c:formatCode>0.00%</c:formatCode>
                <c:ptCount val="11"/>
                <c:pt idx="0">
                  <c:v>6.2453399447520569E-3</c:v>
                </c:pt>
                <c:pt idx="1">
                  <c:v>2.0176179340364062E-2</c:v>
                </c:pt>
                <c:pt idx="2">
                  <c:v>2.1083194343683914E-2</c:v>
                </c:pt>
                <c:pt idx="3">
                  <c:v>2.2018157792684543E-2</c:v>
                </c:pt>
                <c:pt idx="4">
                  <c:v>2.296102767429635E-2</c:v>
                </c:pt>
                <c:pt idx="5">
                  <c:v>2.3944653370782418E-2</c:v>
                </c:pt>
                <c:pt idx="6">
                  <c:v>2.4994821172268627E-2</c:v>
                </c:pt>
                <c:pt idx="7">
                  <c:v>2.616784736437135E-2</c:v>
                </c:pt>
                <c:pt idx="8">
                  <c:v>2.7872951812356085E-2</c:v>
                </c:pt>
                <c:pt idx="9">
                  <c:v>3.0269621305430046E-2</c:v>
                </c:pt>
                <c:pt idx="10">
                  <c:v>3.4753915575412991E-2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'D-IRRE TORSIONAL'!$F$4</c:f>
              <c:strCache>
                <c:ptCount val="1"/>
                <c:pt idx="0">
                  <c:v>CASO 3.2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TORSIONAL'!$F$5:$F$15</c:f>
              <c:numCache>
                <c:formatCode>0.00%</c:formatCode>
                <c:ptCount val="11"/>
                <c:pt idx="0">
                  <c:v>6.3616293939871491E-3</c:v>
                </c:pt>
                <c:pt idx="1">
                  <c:v>2.4418782998165019E-2</c:v>
                </c:pt>
                <c:pt idx="2">
                  <c:v>2.6173646359079403E-2</c:v>
                </c:pt>
                <c:pt idx="3">
                  <c:v>2.7868099254171434E-2</c:v>
                </c:pt>
                <c:pt idx="4">
                  <c:v>2.9366375095999167E-2</c:v>
                </c:pt>
                <c:pt idx="5">
                  <c:v>3.0739022177755232E-2</c:v>
                </c:pt>
                <c:pt idx="6">
                  <c:v>3.2025475145473388E-2</c:v>
                </c:pt>
                <c:pt idx="7">
                  <c:v>3.3349619220789231E-2</c:v>
                </c:pt>
                <c:pt idx="8">
                  <c:v>3.4435597091490938E-2</c:v>
                </c:pt>
                <c:pt idx="9">
                  <c:v>3.4378012536948312E-2</c:v>
                </c:pt>
                <c:pt idx="10">
                  <c:v>3.0053943741695351E-2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'D-IRRE TORSIONAL'!$G$4</c:f>
              <c:strCache>
                <c:ptCount val="1"/>
                <c:pt idx="0">
                  <c:v>CASO 3.3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TORSIONAL'!$G$5:$G$15</c:f>
              <c:numCache>
                <c:formatCode>0.00%</c:formatCode>
                <c:ptCount val="11"/>
                <c:pt idx="0">
                  <c:v>1.3593160238284389E-2</c:v>
                </c:pt>
                <c:pt idx="1">
                  <c:v>4.7271409471714231E-2</c:v>
                </c:pt>
                <c:pt idx="2">
                  <c:v>5.3109863015915727E-2</c:v>
                </c:pt>
                <c:pt idx="3">
                  <c:v>5.8491931350777973E-2</c:v>
                </c:pt>
                <c:pt idx="4">
                  <c:v>6.3267457986068795E-2</c:v>
                </c:pt>
                <c:pt idx="5">
                  <c:v>6.7680347856032427E-2</c:v>
                </c:pt>
                <c:pt idx="6">
                  <c:v>7.1868589063658894E-2</c:v>
                </c:pt>
                <c:pt idx="7">
                  <c:v>7.6510671665864699E-2</c:v>
                </c:pt>
                <c:pt idx="8">
                  <c:v>8.1493965816018032E-2</c:v>
                </c:pt>
                <c:pt idx="9">
                  <c:v>8.5259089689596002E-2</c:v>
                </c:pt>
                <c:pt idx="10">
                  <c:v>8.3034171629635098E-2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00280"/>
        <c:axId val="319798320"/>
      </c:lineChart>
      <c:catAx>
        <c:axId val="31980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798320"/>
        <c:crosses val="autoZero"/>
        <c:auto val="1"/>
        <c:lblAlgn val="ctr"/>
        <c:lblOffset val="100"/>
        <c:noMultiLvlLbl val="0"/>
      </c:catAx>
      <c:valAx>
        <c:axId val="31979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00280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TORSIONAL'!$E$16:$E$26</c:f>
              <c:numCache>
                <c:formatCode>0.00%</c:formatCode>
                <c:ptCount val="11"/>
                <c:pt idx="0">
                  <c:v>-5.2626244445023052E-3</c:v>
                </c:pt>
                <c:pt idx="1">
                  <c:v>-1.5467717205778555E-2</c:v>
                </c:pt>
                <c:pt idx="2">
                  <c:v>-1.5241351315893594E-2</c:v>
                </c:pt>
                <c:pt idx="3">
                  <c:v>-1.5057477979083527E-2</c:v>
                </c:pt>
                <c:pt idx="4">
                  <c:v>-1.4859687217647997E-2</c:v>
                </c:pt>
                <c:pt idx="5">
                  <c:v>-1.4590370026754089E-2</c:v>
                </c:pt>
                <c:pt idx="6">
                  <c:v>-1.4188502114004317E-2</c:v>
                </c:pt>
                <c:pt idx="7">
                  <c:v>-1.3692850910641288E-2</c:v>
                </c:pt>
                <c:pt idx="8">
                  <c:v>-1.3440181020659948E-2</c:v>
                </c:pt>
                <c:pt idx="9">
                  <c:v>-1.3237023043544906E-2</c:v>
                </c:pt>
                <c:pt idx="10">
                  <c:v>-1.3657868743147785E-2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TORSIONAL'!$F$16:$F$26</c:f>
              <c:numCache>
                <c:formatCode>0.00%</c:formatCode>
                <c:ptCount val="11"/>
                <c:pt idx="0">
                  <c:v>-8.6843954405400135E-3</c:v>
                </c:pt>
                <c:pt idx="1">
                  <c:v>-3.2117476228577101E-2</c:v>
                </c:pt>
                <c:pt idx="2">
                  <c:v>-3.3426403419859738E-2</c:v>
                </c:pt>
                <c:pt idx="3">
                  <c:v>-3.4688748478137299E-2</c:v>
                </c:pt>
                <c:pt idx="4">
                  <c:v>-3.5854963391991769E-2</c:v>
                </c:pt>
                <c:pt idx="5">
                  <c:v>-3.6999529363723714E-2</c:v>
                </c:pt>
                <c:pt idx="6">
                  <c:v>-3.8191266823519893E-2</c:v>
                </c:pt>
                <c:pt idx="7">
                  <c:v>-3.9343732323435694E-2</c:v>
                </c:pt>
                <c:pt idx="8">
                  <c:v>-4.0127858146244567E-2</c:v>
                </c:pt>
                <c:pt idx="9">
                  <c:v>-4.0127962420967181E-2</c:v>
                </c:pt>
                <c:pt idx="10">
                  <c:v>-3.713913865528623E-2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TORSIONAL'!$G$16:$G$26</c:f>
              <c:numCache>
                <c:formatCode>0.00%</c:formatCode>
                <c:ptCount val="11"/>
                <c:pt idx="0">
                  <c:v>-1.3684068139816411E-2</c:v>
                </c:pt>
                <c:pt idx="1">
                  <c:v>-4.5999141842486858E-2</c:v>
                </c:pt>
                <c:pt idx="2">
                  <c:v>-3.4042887077107647E-2</c:v>
                </c:pt>
                <c:pt idx="3">
                  <c:v>-2.2788144033943341E-2</c:v>
                </c:pt>
                <c:pt idx="4">
                  <c:v>-1.1998509800915677E-2</c:v>
                </c:pt>
                <c:pt idx="5">
                  <c:v>-9.3859839442825147E-4</c:v>
                </c:pt>
                <c:pt idx="6">
                  <c:v>1.103387487695082E-2</c:v>
                </c:pt>
                <c:pt idx="7">
                  <c:v>2.20089548452275E-2</c:v>
                </c:pt>
                <c:pt idx="8">
                  <c:v>3.0115294214236782E-2</c:v>
                </c:pt>
                <c:pt idx="9">
                  <c:v>3.5288351996511792E-2</c:v>
                </c:pt>
                <c:pt idx="10">
                  <c:v>2.902986970399192E-2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260224"/>
        <c:axId val="745264536"/>
      </c:lineChart>
      <c:catAx>
        <c:axId val="74526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5264536"/>
        <c:crosses val="autoZero"/>
        <c:auto val="1"/>
        <c:lblAlgn val="ctr"/>
        <c:lblOffset val="100"/>
        <c:noMultiLvlLbl val="0"/>
      </c:catAx>
      <c:valAx>
        <c:axId val="74526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5260224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TORSIONAL'!$E$27:$E$37</c:f>
              <c:numCache>
                <c:formatCode>0.00%</c:formatCode>
                <c:ptCount val="11"/>
                <c:pt idx="0">
                  <c:v>3.6779964151417321E-2</c:v>
                </c:pt>
                <c:pt idx="1">
                  <c:v>0.13084548335143945</c:v>
                </c:pt>
                <c:pt idx="2">
                  <c:v>0.13394300933126299</c:v>
                </c:pt>
                <c:pt idx="3">
                  <c:v>0.13686559760134689</c:v>
                </c:pt>
                <c:pt idx="4">
                  <c:v>0.13928240893297902</c:v>
                </c:pt>
                <c:pt idx="5">
                  <c:v>0.14124541471309562</c:v>
                </c:pt>
                <c:pt idx="6">
                  <c:v>0.14276512041837289</c:v>
                </c:pt>
                <c:pt idx="7">
                  <c:v>0.14447881980144586</c:v>
                </c:pt>
                <c:pt idx="8">
                  <c:v>0.13553015824724388</c:v>
                </c:pt>
                <c:pt idx="9">
                  <c:v>0.11500796785496141</c:v>
                </c:pt>
                <c:pt idx="10">
                  <c:v>6.7057831396734574E-2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TORSIONAL'!$F$27:$F$37</c:f>
              <c:numCache>
                <c:formatCode>0.00%</c:formatCode>
                <c:ptCount val="11"/>
                <c:pt idx="0">
                  <c:v>-6.8102790513581701E-3</c:v>
                </c:pt>
                <c:pt idx="1">
                  <c:v>-1.1141542396777295E-3</c:v>
                </c:pt>
                <c:pt idx="2">
                  <c:v>1.0416115259835488E-2</c:v>
                </c:pt>
                <c:pt idx="3">
                  <c:v>2.1531610975952301E-2</c:v>
                </c:pt>
                <c:pt idx="4">
                  <c:v>3.2165714742957319E-2</c:v>
                </c:pt>
                <c:pt idx="5">
                  <c:v>4.3040017883871504E-2</c:v>
                </c:pt>
                <c:pt idx="6">
                  <c:v>5.480235264514953E-2</c:v>
                </c:pt>
                <c:pt idx="7">
                  <c:v>6.6492443820163089E-2</c:v>
                </c:pt>
                <c:pt idx="8">
                  <c:v>7.7277108861379368E-2</c:v>
                </c:pt>
                <c:pt idx="9">
                  <c:v>8.7892323531139599E-2</c:v>
                </c:pt>
                <c:pt idx="10">
                  <c:v>9.6274472551969525E-2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TORSIONAL'!$G$27:$G$37</c:f>
              <c:numCache>
                <c:formatCode>0.00%</c:formatCode>
                <c:ptCount val="11"/>
                <c:pt idx="0">
                  <c:v>-2.7886510646685656E-2</c:v>
                </c:pt>
                <c:pt idx="1">
                  <c:v>-0.12084653862031915</c:v>
                </c:pt>
                <c:pt idx="2">
                  <c:v>-0.10319295850197818</c:v>
                </c:pt>
                <c:pt idx="3">
                  <c:v>-8.4162018493723054E-2</c:v>
                </c:pt>
                <c:pt idx="4">
                  <c:v>-6.5650516112913296E-2</c:v>
                </c:pt>
                <c:pt idx="5">
                  <c:v>-4.6529966410926653E-2</c:v>
                </c:pt>
                <c:pt idx="6">
                  <c:v>-2.5760703044017952E-2</c:v>
                </c:pt>
                <c:pt idx="7">
                  <c:v>-3.7689511014162734E-3</c:v>
                </c:pt>
                <c:pt idx="8">
                  <c:v>1.8862939818313246E-2</c:v>
                </c:pt>
                <c:pt idx="9">
                  <c:v>4.3436810605954647E-2</c:v>
                </c:pt>
                <c:pt idx="10">
                  <c:v>6.8410131505791269E-2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6856"/>
        <c:axId val="42057248"/>
      </c:lineChart>
      <c:catAx>
        <c:axId val="4205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42057248"/>
        <c:crosses val="autoZero"/>
        <c:auto val="1"/>
        <c:lblAlgn val="ctr"/>
        <c:lblOffset val="100"/>
        <c:noMultiLvlLbl val="0"/>
      </c:catAx>
      <c:valAx>
        <c:axId val="420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42056856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TORSIONAL'!$E$38:$E$48</c:f>
              <c:numCache>
                <c:formatCode>0.00%</c:formatCode>
                <c:ptCount val="11"/>
                <c:pt idx="0">
                  <c:v>4.7509171815403761E-2</c:v>
                </c:pt>
                <c:pt idx="1">
                  <c:v>0.11479069414253423</c:v>
                </c:pt>
                <c:pt idx="2">
                  <c:v>0.11739673994713659</c:v>
                </c:pt>
                <c:pt idx="3">
                  <c:v>0.11986555286153439</c:v>
                </c:pt>
                <c:pt idx="4">
                  <c:v>0.1219158720584638</c:v>
                </c:pt>
                <c:pt idx="5">
                  <c:v>0.123592067978171</c:v>
                </c:pt>
                <c:pt idx="6">
                  <c:v>0.12490585065988215</c:v>
                </c:pt>
                <c:pt idx="7">
                  <c:v>0.12640942215597969</c:v>
                </c:pt>
                <c:pt idx="8">
                  <c:v>0.12783094139170234</c:v>
                </c:pt>
                <c:pt idx="9">
                  <c:v>0.12744391399356159</c:v>
                </c:pt>
                <c:pt idx="10">
                  <c:v>0.1209384702375666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TORSIONAL'!$F$38:$F$48</c:f>
              <c:numCache>
                <c:formatCode>0.00%</c:formatCode>
                <c:ptCount val="11"/>
                <c:pt idx="0">
                  <c:v>4.0482827645693505E-2</c:v>
                </c:pt>
                <c:pt idx="1">
                  <c:v>0.10942163576772605</c:v>
                </c:pt>
                <c:pt idx="2">
                  <c:v>0.11489712467876387</c:v>
                </c:pt>
                <c:pt idx="3">
                  <c:v>0.12001862383310156</c:v>
                </c:pt>
                <c:pt idx="4">
                  <c:v>0.12498832293191395</c:v>
                </c:pt>
                <c:pt idx="5">
                  <c:v>0.13019169683448845</c:v>
                </c:pt>
                <c:pt idx="6">
                  <c:v>0.13598200227406204</c:v>
                </c:pt>
                <c:pt idx="7">
                  <c:v>0.14246635872872845</c:v>
                </c:pt>
                <c:pt idx="8">
                  <c:v>0.14953041073432402</c:v>
                </c:pt>
                <c:pt idx="9">
                  <c:v>0.15783553482545201</c:v>
                </c:pt>
                <c:pt idx="10">
                  <c:v>0.16806395845027738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TORSIONAL'!$G$38:$G$48</c:f>
              <c:numCache>
                <c:formatCode>0.00%</c:formatCode>
                <c:ptCount val="11"/>
                <c:pt idx="0">
                  <c:v>2.7166719008243093E-2</c:v>
                </c:pt>
                <c:pt idx="1">
                  <c:v>9.4383901486873548E-2</c:v>
                </c:pt>
                <c:pt idx="2">
                  <c:v>0.10219950549362292</c:v>
                </c:pt>
                <c:pt idx="3">
                  <c:v>0.10968964927760386</c:v>
                </c:pt>
                <c:pt idx="4">
                  <c:v>0.11696035193362442</c:v>
                </c:pt>
                <c:pt idx="5">
                  <c:v>0.12451386599182217</c:v>
                </c:pt>
                <c:pt idx="6">
                  <c:v>0.13279449996984591</c:v>
                </c:pt>
                <c:pt idx="7">
                  <c:v>0.14203199013917259</c:v>
                </c:pt>
                <c:pt idx="8">
                  <c:v>0.15194593285559718</c:v>
                </c:pt>
                <c:pt idx="9">
                  <c:v>0.16296496885353021</c:v>
                </c:pt>
                <c:pt idx="10">
                  <c:v>0.17446540802658667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11328"/>
        <c:axId val="505014656"/>
      </c:lineChart>
      <c:catAx>
        <c:axId val="5089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5014656"/>
        <c:crosses val="autoZero"/>
        <c:auto val="1"/>
        <c:lblAlgn val="ctr"/>
        <c:lblOffset val="100"/>
        <c:noMultiLvlLbl val="0"/>
      </c:catAx>
      <c:valAx>
        <c:axId val="50501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911328"/>
        <c:crosses val="autoZero"/>
        <c:crossBetween val="between"/>
        <c:min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TORSIONAL'!$H$5:$H$15</c:f>
              <c:numCache>
                <c:formatCode>0.00%</c:formatCode>
                <c:ptCount val="11"/>
                <c:pt idx="0">
                  <c:v>5.609209620073931E-3</c:v>
                </c:pt>
                <c:pt idx="1">
                  <c:v>-5.8664779429062714E-3</c:v>
                </c:pt>
                <c:pt idx="2">
                  <c:v>-7.2524816445579303E-3</c:v>
                </c:pt>
                <c:pt idx="3">
                  <c:v>-8.6760608191861349E-3</c:v>
                </c:pt>
                <c:pt idx="4">
                  <c:v>-1.0040509446718289E-2</c:v>
                </c:pt>
                <c:pt idx="5">
                  <c:v>-1.1471875484277951E-2</c:v>
                </c:pt>
                <c:pt idx="6">
                  <c:v>-1.3082123233006157E-2</c:v>
                </c:pt>
                <c:pt idx="7">
                  <c:v>-1.4366659509156486E-2</c:v>
                </c:pt>
                <c:pt idx="8">
                  <c:v>-1.4317541030472938E-2</c:v>
                </c:pt>
                <c:pt idx="9">
                  <c:v>-1.2320032987778382E-2</c:v>
                </c:pt>
                <c:pt idx="10">
                  <c:v>-3.5433195690175107E-3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TORSIONAL'!$I$5:$I$15</c:f>
              <c:numCache>
                <c:formatCode>0.00%</c:formatCode>
                <c:ptCount val="11"/>
                <c:pt idx="0">
                  <c:v>-1.742552471380711E-3</c:v>
                </c:pt>
                <c:pt idx="1">
                  <c:v>-2.7952863093719936E-2</c:v>
                </c:pt>
                <c:pt idx="2">
                  <c:v>-3.5090700067358663E-2</c:v>
                </c:pt>
                <c:pt idx="3">
                  <c:v>-4.1769512053545468E-2</c:v>
                </c:pt>
                <c:pt idx="4">
                  <c:v>-4.8018207197598091E-2</c:v>
                </c:pt>
                <c:pt idx="5">
                  <c:v>-5.4251316005209611E-2</c:v>
                </c:pt>
                <c:pt idx="6">
                  <c:v>-6.0806903688322055E-2</c:v>
                </c:pt>
                <c:pt idx="7">
                  <c:v>-6.6849754834509417E-2</c:v>
                </c:pt>
                <c:pt idx="8">
                  <c:v>-7.0900268232181526E-2</c:v>
                </c:pt>
                <c:pt idx="9">
                  <c:v>-7.2075866912273134E-2</c:v>
                </c:pt>
                <c:pt idx="10">
                  <c:v>-6.2325573178934814E-2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098952"/>
        <c:axId val="767101304"/>
      </c:lineChart>
      <c:catAx>
        <c:axId val="767098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101304"/>
        <c:crosses val="autoZero"/>
        <c:auto val="1"/>
        <c:lblAlgn val="ctr"/>
        <c:lblOffset val="100"/>
        <c:noMultiLvlLbl val="0"/>
      </c:catAx>
      <c:valAx>
        <c:axId val="76710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098952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TORSIONAL'!$H$16:$H$26</c:f>
              <c:numCache>
                <c:formatCode>0.00%</c:formatCode>
                <c:ptCount val="11"/>
                <c:pt idx="0">
                  <c:v>1.1506548989440904E-2</c:v>
                </c:pt>
                <c:pt idx="1">
                  <c:v>3.3127592893200247E-2</c:v>
                </c:pt>
                <c:pt idx="2">
                  <c:v>3.6279767596021063E-2</c:v>
                </c:pt>
                <c:pt idx="3">
                  <c:v>3.9267736748231419E-2</c:v>
                </c:pt>
                <c:pt idx="4">
                  <c:v>4.2123309066819992E-2</c:v>
                </c:pt>
                <c:pt idx="5">
                  <c:v>4.5071087337394553E-2</c:v>
                </c:pt>
                <c:pt idx="6">
                  <c:v>4.8321102737140381E-2</c:v>
                </c:pt>
                <c:pt idx="7">
                  <c:v>5.1707237364787814E-2</c:v>
                </c:pt>
                <c:pt idx="8">
                  <c:v>5.4633161369427079E-2</c:v>
                </c:pt>
                <c:pt idx="9">
                  <c:v>5.7130052148796698E-2</c:v>
                </c:pt>
                <c:pt idx="10">
                  <c:v>5.6913875124655844E-2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TORSIONAL'!$I$16:$I$26</c:f>
              <c:numCache>
                <c:formatCode>0.00%</c:formatCode>
                <c:ptCount val="11"/>
                <c:pt idx="0">
                  <c:v>1.8630114028987503E-2</c:v>
                </c:pt>
                <c:pt idx="1">
                  <c:v>5.2662789469909516E-2</c:v>
                </c:pt>
                <c:pt idx="2">
                  <c:v>4.4937810121676879E-2</c:v>
                </c:pt>
                <c:pt idx="3">
                  <c:v>3.7715055622639097E-2</c:v>
                </c:pt>
                <c:pt idx="4">
                  <c:v>3.1030036916651422E-2</c:v>
                </c:pt>
                <c:pt idx="5">
                  <c:v>2.4477933487970317E-2</c:v>
                </c:pt>
                <c:pt idx="6">
                  <c:v>1.7771487688950739E-2</c:v>
                </c:pt>
                <c:pt idx="7">
                  <c:v>1.1714260936017649E-2</c:v>
                </c:pt>
                <c:pt idx="8">
                  <c:v>7.1239621632463663E-3</c:v>
                </c:pt>
                <c:pt idx="9">
                  <c:v>5.0571047333166997E-3</c:v>
                </c:pt>
                <c:pt idx="10">
                  <c:v>1.218290156045084E-2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099344"/>
        <c:axId val="767102088"/>
      </c:lineChart>
      <c:catAx>
        <c:axId val="76709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102088"/>
        <c:crosses val="autoZero"/>
        <c:auto val="1"/>
        <c:lblAlgn val="ctr"/>
        <c:lblOffset val="100"/>
        <c:noMultiLvlLbl val="0"/>
      </c:catAx>
      <c:valAx>
        <c:axId val="7671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099344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TORSIONAL'!$H$27:$H$37</c:f>
              <c:numCache>
                <c:formatCode>0.00%</c:formatCode>
                <c:ptCount val="11"/>
                <c:pt idx="0">
                  <c:v>2.4803261418723785E-2</c:v>
                </c:pt>
                <c:pt idx="1">
                  <c:v>5.8949340393141869E-2</c:v>
                </c:pt>
                <c:pt idx="2">
                  <c:v>5.1527014804363135E-2</c:v>
                </c:pt>
                <c:pt idx="3">
                  <c:v>4.4659985658062451E-2</c:v>
                </c:pt>
                <c:pt idx="4">
                  <c:v>3.7797501096047535E-2</c:v>
                </c:pt>
                <c:pt idx="5">
                  <c:v>3.0357932165457849E-2</c:v>
                </c:pt>
                <c:pt idx="6">
                  <c:v>2.1721243693089969E-2</c:v>
                </c:pt>
                <c:pt idx="7">
                  <c:v>1.1402421647465679E-2</c:v>
                </c:pt>
                <c:pt idx="8">
                  <c:v>-1.7042442546172543E-3</c:v>
                </c:pt>
                <c:pt idx="9">
                  <c:v>-2.1404932765625745E-2</c:v>
                </c:pt>
                <c:pt idx="10">
                  <c:v>-5.8793044496664941E-2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TORSIONAL'!$I$27:$I$37</c:f>
              <c:numCache>
                <c:formatCode>0.00%</c:formatCode>
                <c:ptCount val="11"/>
                <c:pt idx="0">
                  <c:v>3.4963356417035699E-2</c:v>
                </c:pt>
                <c:pt idx="1">
                  <c:v>0.12172847032966974</c:v>
                </c:pt>
                <c:pt idx="2">
                  <c:v>0.11057212084297255</c:v>
                </c:pt>
                <c:pt idx="3">
                  <c:v>9.8034549195455734E-2</c:v>
                </c:pt>
                <c:pt idx="4">
                  <c:v>8.5672311134123866E-2</c:v>
                </c:pt>
                <c:pt idx="5">
                  <c:v>7.2616518404527916E-2</c:v>
                </c:pt>
                <c:pt idx="6">
                  <c:v>5.8000152605148056E-2</c:v>
                </c:pt>
                <c:pt idx="7">
                  <c:v>4.1015158148739642E-2</c:v>
                </c:pt>
                <c:pt idx="8">
                  <c:v>2.0503875199211808E-2</c:v>
                </c:pt>
                <c:pt idx="9">
                  <c:v>-7.4967370925941692E-3</c:v>
                </c:pt>
                <c:pt idx="10">
                  <c:v>-5.3687072458126532E-2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00520"/>
        <c:axId val="767102480"/>
      </c:lineChart>
      <c:catAx>
        <c:axId val="76710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102480"/>
        <c:crosses val="autoZero"/>
        <c:auto val="1"/>
        <c:lblAlgn val="ctr"/>
        <c:lblOffset val="100"/>
        <c:noMultiLvlLbl val="0"/>
      </c:catAx>
      <c:valAx>
        <c:axId val="76710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67100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TORSIONAL'!$H$38:$H$48</c:f>
              <c:numCache>
                <c:formatCode>0.00%</c:formatCode>
                <c:ptCount val="11"/>
                <c:pt idx="0">
                  <c:v>1.7325054343129899E-2</c:v>
                </c:pt>
                <c:pt idx="1">
                  <c:v>1.6704213636092369E-2</c:v>
                </c:pt>
                <c:pt idx="2">
                  <c:v>1.071627575440879E-2</c:v>
                </c:pt>
                <c:pt idx="3">
                  <c:v>5.2463982306325003E-3</c:v>
                </c:pt>
                <c:pt idx="4">
                  <c:v>-1.9408347764546545E-4</c:v>
                </c:pt>
                <c:pt idx="5">
                  <c:v>-6.0673216957086683E-3</c:v>
                </c:pt>
                <c:pt idx="6">
                  <c:v>-1.2855812873588198E-2</c:v>
                </c:pt>
                <c:pt idx="7">
                  <c:v>-2.0990754449222274E-2</c:v>
                </c:pt>
                <c:pt idx="8">
                  <c:v>-3.1488837935284106E-2</c:v>
                </c:pt>
                <c:pt idx="9">
                  <c:v>-4.7489505687218367E-2</c:v>
                </c:pt>
                <c:pt idx="10">
                  <c:v>-7.8467957607078337E-2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TORSIONAL'!$I$38:$I$48</c:f>
              <c:numCache>
                <c:formatCode>0.00%</c:formatCode>
                <c:ptCount val="11"/>
                <c:pt idx="0">
                  <c:v>5.4122629395656832E-2</c:v>
                </c:pt>
                <c:pt idx="1">
                  <c:v>0.10952379105919537</c:v>
                </c:pt>
                <c:pt idx="2">
                  <c:v>9.8333020528939677E-2</c:v>
                </c:pt>
                <c:pt idx="3">
                  <c:v>8.7972183995115791E-2</c:v>
                </c:pt>
                <c:pt idx="4">
                  <c:v>7.7803589966686751E-2</c:v>
                </c:pt>
                <c:pt idx="5">
                  <c:v>6.7122795211635444E-2</c:v>
                </c:pt>
                <c:pt idx="6">
                  <c:v>5.5239467124156408E-2</c:v>
                </c:pt>
                <c:pt idx="7">
                  <c:v>4.1476529713057264E-2</c:v>
                </c:pt>
                <c:pt idx="8">
                  <c:v>2.4780836280238007E-2</c:v>
                </c:pt>
                <c:pt idx="9">
                  <c:v>1.8536575919233325E-3</c:v>
                </c:pt>
                <c:pt idx="10">
                  <c:v>-3.6658343419487725E-2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359224"/>
        <c:axId val="740356480"/>
      </c:lineChart>
      <c:catAx>
        <c:axId val="740359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0356480"/>
        <c:crosses val="autoZero"/>
        <c:auto val="1"/>
        <c:lblAlgn val="ctr"/>
        <c:lblOffset val="100"/>
        <c:noMultiLvlLbl val="0"/>
      </c:catAx>
      <c:valAx>
        <c:axId val="7403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035922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(X)</a:t>
            </a:r>
            <a:endParaRPr lang="es-HN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'D-PCMCR'!$D$6</c:f>
              <c:numCache>
                <c:formatCode>0.000%</c:formatCode>
                <c:ptCount val="1"/>
                <c:pt idx="0">
                  <c:v>-5.0617416105924011E-2</c:v>
                </c:pt>
              </c:numCache>
            </c:numRef>
          </c:val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'D-PCMCR'!$F$6</c:f>
              <c:numCache>
                <c:formatCode>0.000%</c:formatCode>
                <c:ptCount val="1"/>
                <c:pt idx="0">
                  <c:v>-6.0019729927087664E-2</c:v>
                </c:pt>
              </c:numCache>
            </c:numRef>
          </c:val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'D-PCMCR'!$H$6</c:f>
              <c:numCache>
                <c:formatCode>0.000%</c:formatCode>
                <c:ptCount val="1"/>
                <c:pt idx="0">
                  <c:v>-5.1099511580594059E-2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870896"/>
        <c:axId val="733872856"/>
      </c:barChart>
      <c:catAx>
        <c:axId val="73387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3872856"/>
        <c:crosses val="autoZero"/>
        <c:auto val="1"/>
        <c:lblAlgn val="ctr"/>
        <c:lblOffset val="100"/>
        <c:noMultiLvlLbl val="0"/>
      </c:catAx>
      <c:valAx>
        <c:axId val="73387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3870896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(X)</a:t>
            </a:r>
            <a:endParaRPr lang="es-HN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'D-PCMCR'!$D$8:$D$18</c:f>
              <c:numCache>
                <c:formatCode>0.000%</c:formatCode>
                <c:ptCount val="11"/>
                <c:pt idx="0">
                  <c:v>2.4173739522390224E-3</c:v>
                </c:pt>
                <c:pt idx="1">
                  <c:v>2.0450529726529581E-3</c:v>
                </c:pt>
                <c:pt idx="2">
                  <c:v>2.0450529726529581E-3</c:v>
                </c:pt>
                <c:pt idx="3">
                  <c:v>2.0450529726529581E-3</c:v>
                </c:pt>
                <c:pt idx="4">
                  <c:v>2.0918823853095765E-3</c:v>
                </c:pt>
                <c:pt idx="5">
                  <c:v>2.0918823853095765E-3</c:v>
                </c:pt>
                <c:pt idx="6">
                  <c:v>2.0918823853095765E-3</c:v>
                </c:pt>
                <c:pt idx="7">
                  <c:v>2.0918823853095765E-3</c:v>
                </c:pt>
                <c:pt idx="8">
                  <c:v>2.0918823853095765E-3</c:v>
                </c:pt>
                <c:pt idx="9">
                  <c:v>1.4039434138748883E-3</c:v>
                </c:pt>
                <c:pt idx="1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'D-PCMCR'!$F$8:$F$18</c:f>
              <c:numCache>
                <c:formatCode>0.000%</c:formatCode>
                <c:ptCount val="11"/>
                <c:pt idx="0">
                  <c:v>4.351935896364483E-3</c:v>
                </c:pt>
                <c:pt idx="1">
                  <c:v>3.705306006838111E-3</c:v>
                </c:pt>
                <c:pt idx="2">
                  <c:v>3.705306006838111E-3</c:v>
                </c:pt>
                <c:pt idx="3">
                  <c:v>3.705306006838111E-3</c:v>
                </c:pt>
                <c:pt idx="4">
                  <c:v>3.8499989024079247E-3</c:v>
                </c:pt>
                <c:pt idx="5">
                  <c:v>3.8499989024079247E-3</c:v>
                </c:pt>
                <c:pt idx="6">
                  <c:v>3.8499989024079247E-3</c:v>
                </c:pt>
                <c:pt idx="7">
                  <c:v>3.8499989024079247E-3</c:v>
                </c:pt>
                <c:pt idx="8">
                  <c:v>3.8499989024079247E-3</c:v>
                </c:pt>
                <c:pt idx="9">
                  <c:v>2.2121053726113695E-3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'D-PCMCR'!$H$8:$H$18</c:f>
              <c:numCache>
                <c:formatCode>0.000%</c:formatCode>
                <c:ptCount val="11"/>
                <c:pt idx="0">
                  <c:v>4.5260240289137915E-3</c:v>
                </c:pt>
                <c:pt idx="1">
                  <c:v>3.8542981182349469E-3</c:v>
                </c:pt>
                <c:pt idx="2">
                  <c:v>3.8542981182349469E-3</c:v>
                </c:pt>
                <c:pt idx="3">
                  <c:v>3.8542981182349469E-3</c:v>
                </c:pt>
                <c:pt idx="4">
                  <c:v>4.0087337389542914E-3</c:v>
                </c:pt>
                <c:pt idx="5">
                  <c:v>4.0087337389542914E-3</c:v>
                </c:pt>
                <c:pt idx="6">
                  <c:v>4.0087337389542914E-3</c:v>
                </c:pt>
                <c:pt idx="7">
                  <c:v>4.0087337389542914E-3</c:v>
                </c:pt>
                <c:pt idx="8">
                  <c:v>4.0087337389542914E-3</c:v>
                </c:pt>
                <c:pt idx="9">
                  <c:v>2.2638899449951106E-3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60560"/>
        <c:axId val="741658208"/>
      </c:lineChart>
      <c:catAx>
        <c:axId val="74166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1658208"/>
        <c:crosses val="autoZero"/>
        <c:auto val="1"/>
        <c:lblAlgn val="ctr"/>
        <c:lblOffset val="100"/>
        <c:noMultiLvlLbl val="0"/>
      </c:catAx>
      <c:valAx>
        <c:axId val="7416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41660560"/>
        <c:crosses val="autoZero"/>
        <c:crossBetween val="between"/>
        <c:majorUnit val="2.0000000000000006E-4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(Y)</a:t>
            </a:r>
            <a:endParaRPr lang="es-HN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'D-PCMCR'!$E$6</c:f>
              <c:numCache>
                <c:formatCode>0.000%</c:formatCode>
                <c:ptCount val="1"/>
                <c:pt idx="0">
                  <c:v>-2.8806787645209036E-2</c:v>
                </c:pt>
              </c:numCache>
            </c:numRef>
          </c:val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'D-PCMCR'!$G$6</c:f>
              <c:numCache>
                <c:formatCode>0.000%</c:formatCode>
                <c:ptCount val="1"/>
                <c:pt idx="0">
                  <c:v>-1.4927635667930501E-2</c:v>
                </c:pt>
              </c:numCache>
            </c:numRef>
          </c:val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'D-PCMCR'!$I$6</c:f>
              <c:numCache>
                <c:formatCode>0.000%</c:formatCode>
                <c:ptCount val="1"/>
                <c:pt idx="0">
                  <c:v>-2.0017148614306323E-2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8513096"/>
        <c:axId val="508511528"/>
      </c:barChart>
      <c:catAx>
        <c:axId val="50851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511528"/>
        <c:crosses val="autoZero"/>
        <c:auto val="1"/>
        <c:lblAlgn val="ctr"/>
        <c:lblOffset val="100"/>
        <c:noMultiLvlLbl val="0"/>
      </c:catAx>
      <c:valAx>
        <c:axId val="50851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8513096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(X)</a:t>
            </a:r>
            <a:endParaRPr lang="es-HN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'D-PCMCR'!$D$19:$D$29</c:f>
              <c:numCache>
                <c:formatCode>0.000%</c:formatCode>
                <c:ptCount val="11"/>
                <c:pt idx="0">
                  <c:v>9.6730998620570885E-2</c:v>
                </c:pt>
                <c:pt idx="1">
                  <c:v>0.1102697515960461</c:v>
                </c:pt>
                <c:pt idx="2">
                  <c:v>0.11359852172001707</c:v>
                </c:pt>
                <c:pt idx="3">
                  <c:v>0.11364893306139855</c:v>
                </c:pt>
                <c:pt idx="4">
                  <c:v>0.11272386068168956</c:v>
                </c:pt>
                <c:pt idx="5">
                  <c:v>0.11204687493261081</c:v>
                </c:pt>
                <c:pt idx="6">
                  <c:v>0.11083636361158354</c:v>
                </c:pt>
                <c:pt idx="7">
                  <c:v>0.10908322364149656</c:v>
                </c:pt>
                <c:pt idx="8">
                  <c:v>0.10682757701943492</c:v>
                </c:pt>
                <c:pt idx="9">
                  <c:v>0.10496158646074366</c:v>
                </c:pt>
                <c:pt idx="10">
                  <c:v>3.674753398488774E-2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'D-PCMCR'!$F$19:$F$29</c:f>
              <c:numCache>
                <c:formatCode>0.000%</c:formatCode>
                <c:ptCount val="11"/>
                <c:pt idx="0">
                  <c:v>0.16434845858510722</c:v>
                </c:pt>
                <c:pt idx="1">
                  <c:v>0.16855279297227976</c:v>
                </c:pt>
                <c:pt idx="2">
                  <c:v>0.16457160852041108</c:v>
                </c:pt>
                <c:pt idx="3">
                  <c:v>0.15839271781981792</c:v>
                </c:pt>
                <c:pt idx="4">
                  <c:v>0.15102215200392247</c:v>
                </c:pt>
                <c:pt idx="5">
                  <c:v>0.14314551927699304</c:v>
                </c:pt>
                <c:pt idx="6">
                  <c:v>0.13541081930736115</c:v>
                </c:pt>
                <c:pt idx="7">
                  <c:v>0.1275642662985598</c:v>
                </c:pt>
                <c:pt idx="8">
                  <c:v>0.11925063856043552</c:v>
                </c:pt>
                <c:pt idx="9">
                  <c:v>0.11069116295696807</c:v>
                </c:pt>
                <c:pt idx="10">
                  <c:v>3.3293685391590645E-2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'D-PCMCR'!$H$19:$H$29</c:f>
              <c:numCache>
                <c:formatCode>0.000%</c:formatCode>
                <c:ptCount val="11"/>
                <c:pt idx="0">
                  <c:v>0.17691968307439909</c:v>
                </c:pt>
                <c:pt idx="1">
                  <c:v>0.18377919308870483</c:v>
                </c:pt>
                <c:pt idx="2">
                  <c:v>0.17825953293956462</c:v>
                </c:pt>
                <c:pt idx="3">
                  <c:v>0.16880182969051738</c:v>
                </c:pt>
                <c:pt idx="4">
                  <c:v>0.1571950108791218</c:v>
                </c:pt>
                <c:pt idx="5">
                  <c:v>0.14470150162023879</c:v>
                </c:pt>
                <c:pt idx="6">
                  <c:v>0.13208501874887094</c:v>
                </c:pt>
                <c:pt idx="7">
                  <c:v>0.11922322679380754</c:v>
                </c:pt>
                <c:pt idx="8">
                  <c:v>0.1059133052521416</c:v>
                </c:pt>
                <c:pt idx="9">
                  <c:v>9.2778274885442824E-2</c:v>
                </c:pt>
                <c:pt idx="10">
                  <c:v>3.1588762622078999E-2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91624"/>
        <c:axId val="501289272"/>
      </c:lineChart>
      <c:catAx>
        <c:axId val="50129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1289272"/>
        <c:crosses val="autoZero"/>
        <c:auto val="1"/>
        <c:lblAlgn val="ctr"/>
        <c:lblOffset val="100"/>
        <c:noMultiLvlLbl val="0"/>
      </c:catAx>
      <c:valAx>
        <c:axId val="50128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129162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(Y)</a:t>
            </a:r>
            <a:endParaRPr lang="es-HN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'D-PCMCR'!$E$8:$E$18</c:f>
              <c:numCache>
                <c:formatCode>0.000%</c:formatCode>
                <c:ptCount val="11"/>
                <c:pt idx="0">
                  <c:v>-1.7602588470295484E-4</c:v>
                </c:pt>
                <c:pt idx="1">
                  <c:v>-2.221658626552967E-4</c:v>
                </c:pt>
                <c:pt idx="2">
                  <c:v>-2.221658626552967E-4</c:v>
                </c:pt>
                <c:pt idx="3">
                  <c:v>-2.221658626552967E-4</c:v>
                </c:pt>
                <c:pt idx="4">
                  <c:v>-2.2656247491424414E-4</c:v>
                </c:pt>
                <c:pt idx="5">
                  <c:v>-2.2656247491424414E-4</c:v>
                </c:pt>
                <c:pt idx="6">
                  <c:v>-2.2656247491424414E-4</c:v>
                </c:pt>
                <c:pt idx="7">
                  <c:v>-2.2656247491424414E-4</c:v>
                </c:pt>
                <c:pt idx="8">
                  <c:v>-2.2656247491424414E-4</c:v>
                </c:pt>
                <c:pt idx="9">
                  <c:v>-1.3771989335964617E-4</c:v>
                </c:pt>
                <c:pt idx="1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'D-PCMCR'!$G$8:$G$18</c:f>
              <c:numCache>
                <c:formatCode>0.000%</c:formatCode>
                <c:ptCount val="11"/>
                <c:pt idx="0">
                  <c:v>-7.742507794538002E-4</c:v>
                </c:pt>
                <c:pt idx="1">
                  <c:v>-6.891289800734574E-4</c:v>
                </c:pt>
                <c:pt idx="2">
                  <c:v>-6.891289800734574E-4</c:v>
                </c:pt>
                <c:pt idx="3">
                  <c:v>-6.891289800734574E-4</c:v>
                </c:pt>
                <c:pt idx="4">
                  <c:v>-7.062215220206867E-4</c:v>
                </c:pt>
                <c:pt idx="5">
                  <c:v>-7.062215220206867E-4</c:v>
                </c:pt>
                <c:pt idx="6">
                  <c:v>-7.062215220206867E-4</c:v>
                </c:pt>
                <c:pt idx="7">
                  <c:v>-7.062215220206867E-4</c:v>
                </c:pt>
                <c:pt idx="8">
                  <c:v>-7.062215220206867E-4</c:v>
                </c:pt>
                <c:pt idx="9">
                  <c:v>-5.9831621950267135E-4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'D-PCMCR'!$I$8:$I$18</c:f>
              <c:numCache>
                <c:formatCode>0.000%</c:formatCode>
                <c:ptCount val="11"/>
                <c:pt idx="0">
                  <c:v>-3.1704894163775369E-3</c:v>
                </c:pt>
                <c:pt idx="1">
                  <c:v>-2.7242452060852575E-3</c:v>
                </c:pt>
                <c:pt idx="2">
                  <c:v>-2.7242452060852575E-3</c:v>
                </c:pt>
                <c:pt idx="3">
                  <c:v>-2.7242452060852575E-3</c:v>
                </c:pt>
                <c:pt idx="4">
                  <c:v>-2.7732160790087295E-3</c:v>
                </c:pt>
                <c:pt idx="5">
                  <c:v>-2.7732160790087295E-3</c:v>
                </c:pt>
                <c:pt idx="6">
                  <c:v>-2.7732160790087295E-3</c:v>
                </c:pt>
                <c:pt idx="7">
                  <c:v>-2.7732160790087295E-3</c:v>
                </c:pt>
                <c:pt idx="8">
                  <c:v>-2.7732160790087295E-3</c:v>
                </c:pt>
                <c:pt idx="9">
                  <c:v>-1.8484354628362182E-3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198752"/>
        <c:axId val="732198360"/>
      </c:lineChart>
      <c:catAx>
        <c:axId val="73219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2198360"/>
        <c:crosses val="autoZero"/>
        <c:auto val="1"/>
        <c:lblAlgn val="ctr"/>
        <c:lblOffset val="100"/>
        <c:noMultiLvlLbl val="0"/>
      </c:catAx>
      <c:valAx>
        <c:axId val="73219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2198752"/>
        <c:crosses val="autoZero"/>
        <c:crossBetween val="between"/>
        <c:majorUnit val="2.0000000000000006E-4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(Y)</a:t>
            </a:r>
            <a:endParaRPr lang="es-HN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'D-PCMCR'!$E$19:$E$29</c:f>
              <c:numCache>
                <c:formatCode>0.000%</c:formatCode>
                <c:ptCount val="11"/>
                <c:pt idx="0">
                  <c:v>-1.5199772135498843E-2</c:v>
                </c:pt>
                <c:pt idx="1">
                  <c:v>-1.3000441610434361E-2</c:v>
                </c:pt>
                <c:pt idx="2">
                  <c:v>-1.2607672744527863E-2</c:v>
                </c:pt>
                <c:pt idx="3">
                  <c:v>-1.2580189527748765E-2</c:v>
                </c:pt>
                <c:pt idx="4">
                  <c:v>-1.2911485585655044E-2</c:v>
                </c:pt>
                <c:pt idx="5">
                  <c:v>-1.3277875793309715E-2</c:v>
                </c:pt>
                <c:pt idx="6">
                  <c:v>-1.3472606443520567E-2</c:v>
                </c:pt>
                <c:pt idx="7">
                  <c:v>-1.3576170649334736E-2</c:v>
                </c:pt>
                <c:pt idx="8">
                  <c:v>-1.3649063083923857E-2</c:v>
                </c:pt>
                <c:pt idx="9">
                  <c:v>-1.3644750007738645E-2</c:v>
                </c:pt>
                <c:pt idx="10">
                  <c:v>-8.2742252224687549E-3</c:v>
                </c:pt>
              </c:numCache>
            </c:numRef>
          </c:val>
          <c:smooth val="0"/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'D-PCMCR'!$G$19:$G$29</c:f>
              <c:numCache>
                <c:formatCode>0.000%</c:formatCode>
                <c:ptCount val="11"/>
                <c:pt idx="0">
                  <c:v>-1.9169104626278865E-2</c:v>
                </c:pt>
                <c:pt idx="1">
                  <c:v>-2.9267123523660763E-2</c:v>
                </c:pt>
                <c:pt idx="2">
                  <c:v>-3.1975441251715614E-2</c:v>
                </c:pt>
                <c:pt idx="3">
                  <c:v>-3.2465629062812702E-2</c:v>
                </c:pt>
                <c:pt idx="4">
                  <c:v>-3.1934111862875002E-2</c:v>
                </c:pt>
                <c:pt idx="5">
                  <c:v>-3.1455982504966958E-2</c:v>
                </c:pt>
                <c:pt idx="6">
                  <c:v>-3.0730367625972539E-2</c:v>
                </c:pt>
                <c:pt idx="7">
                  <c:v>-2.9706552168200121E-2</c:v>
                </c:pt>
                <c:pt idx="8">
                  <c:v>-2.8414328920489652E-2</c:v>
                </c:pt>
                <c:pt idx="9">
                  <c:v>-2.7403829893524672E-2</c:v>
                </c:pt>
                <c:pt idx="10">
                  <c:v>-1.9080960785777694E-2</c:v>
                </c:pt>
              </c:numCache>
            </c:numRef>
          </c:val>
          <c:smooth val="0"/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'D-PCMCR'!$I$19:$I$29</c:f>
              <c:numCache>
                <c:formatCode>0.000%</c:formatCode>
                <c:ptCount val="11"/>
                <c:pt idx="0">
                  <c:v>-0.10812678829062712</c:v>
                </c:pt>
                <c:pt idx="1">
                  <c:v>-0.1305198901013685</c:v>
                </c:pt>
                <c:pt idx="2">
                  <c:v>-0.13251609953172785</c:v>
                </c:pt>
                <c:pt idx="3">
                  <c:v>-0.12789202062533578</c:v>
                </c:pt>
                <c:pt idx="4">
                  <c:v>-0.12059184324615471</c:v>
                </c:pt>
                <c:pt idx="5">
                  <c:v>-0.1133786557339186</c:v>
                </c:pt>
                <c:pt idx="6">
                  <c:v>-0.10529085711913867</c:v>
                </c:pt>
                <c:pt idx="7">
                  <c:v>-9.6392061546781829E-2</c:v>
                </c:pt>
                <c:pt idx="8">
                  <c:v>-8.6764566547873456E-2</c:v>
                </c:pt>
                <c:pt idx="9">
                  <c:v>-7.7560842383262149E-2</c:v>
                </c:pt>
                <c:pt idx="10">
                  <c:v>-8.3293430401577495E-2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197184"/>
        <c:axId val="501041872"/>
      </c:lineChart>
      <c:catAx>
        <c:axId val="73219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1041872"/>
        <c:crosses val="autoZero"/>
        <c:auto val="1"/>
        <c:lblAlgn val="ctr"/>
        <c:lblOffset val="100"/>
        <c:noMultiLvlLbl val="0"/>
      </c:catAx>
      <c:valAx>
        <c:axId val="5010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219718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(X)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'D-PCMCR'!$J$8:$J$18</c:f>
              <c:numCache>
                <c:formatCode>0.000%</c:formatCode>
                <c:ptCount val="11"/>
                <c:pt idx="0">
                  <c:v>-0.13467689587616499</c:v>
                </c:pt>
                <c:pt idx="1">
                  <c:v>-0.13127546327172518</c:v>
                </c:pt>
                <c:pt idx="2">
                  <c:v>-0.13127546327172518</c:v>
                </c:pt>
                <c:pt idx="3">
                  <c:v>-0.13127546327172518</c:v>
                </c:pt>
                <c:pt idx="4">
                  <c:v>-0.12447178068061675</c:v>
                </c:pt>
                <c:pt idx="5">
                  <c:v>-0.12447178068061675</c:v>
                </c:pt>
                <c:pt idx="6">
                  <c:v>-0.12447178068061675</c:v>
                </c:pt>
                <c:pt idx="7">
                  <c:v>-0.12447178068061675</c:v>
                </c:pt>
                <c:pt idx="8">
                  <c:v>-0.12447178068061675</c:v>
                </c:pt>
                <c:pt idx="9">
                  <c:v>-0.13063388972425174</c:v>
                </c:pt>
                <c:pt idx="10">
                  <c:v>-0.32142857166270006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'D-PCMCR'!$L$8:$L$18</c:f>
              <c:numCache>
                <c:formatCode>0.000%</c:formatCode>
                <c:ptCount val="11"/>
                <c:pt idx="0">
                  <c:v>-0.12254078759171959</c:v>
                </c:pt>
                <c:pt idx="1">
                  <c:v>-0.11896221672602021</c:v>
                </c:pt>
                <c:pt idx="2">
                  <c:v>-0.11896221672602021</c:v>
                </c:pt>
                <c:pt idx="3">
                  <c:v>-0.11896221672602021</c:v>
                </c:pt>
                <c:pt idx="4">
                  <c:v>-0.1116708323889869</c:v>
                </c:pt>
                <c:pt idx="5">
                  <c:v>-0.1116708323889869</c:v>
                </c:pt>
                <c:pt idx="6">
                  <c:v>-0.1116708323889869</c:v>
                </c:pt>
                <c:pt idx="7">
                  <c:v>-0.1116708323889869</c:v>
                </c:pt>
                <c:pt idx="8">
                  <c:v>-0.1116708323889869</c:v>
                </c:pt>
                <c:pt idx="9">
                  <c:v>-0.12349403840570539</c:v>
                </c:pt>
                <c:pt idx="10">
                  <c:v>-0.32142857166270006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345992"/>
        <c:axId val="772346384"/>
      </c:lineChart>
      <c:catAx>
        <c:axId val="77234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72346384"/>
        <c:crosses val="autoZero"/>
        <c:auto val="1"/>
        <c:lblAlgn val="ctr"/>
        <c:lblOffset val="100"/>
        <c:noMultiLvlLbl val="0"/>
      </c:catAx>
      <c:valAx>
        <c:axId val="77234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72345992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'D-PCMCR'!$K$8:$K$18</c:f>
              <c:numCache>
                <c:formatCode>0.000%</c:formatCode>
                <c:ptCount val="11"/>
                <c:pt idx="0">
                  <c:v>2.8857165811527526E-2</c:v>
                </c:pt>
                <c:pt idx="1">
                  <c:v>2.8111020204950384E-2</c:v>
                </c:pt>
                <c:pt idx="2">
                  <c:v>2.8111020204950384E-2</c:v>
                </c:pt>
                <c:pt idx="3">
                  <c:v>2.8111020204950384E-2</c:v>
                </c:pt>
                <c:pt idx="4">
                  <c:v>2.6684921050577414E-2</c:v>
                </c:pt>
                <c:pt idx="5">
                  <c:v>2.6684921050577414E-2</c:v>
                </c:pt>
                <c:pt idx="6">
                  <c:v>2.6684921050577414E-2</c:v>
                </c:pt>
                <c:pt idx="7">
                  <c:v>2.6684921050577414E-2</c:v>
                </c:pt>
                <c:pt idx="8">
                  <c:v>2.6684921050577414E-2</c:v>
                </c:pt>
                <c:pt idx="9">
                  <c:v>2.621623164709027E-2</c:v>
                </c:pt>
                <c:pt idx="10">
                  <c:v>6.5331966097212965E-2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'D-PCMCR'!$M$8:$M$18</c:f>
              <c:numCache>
                <c:formatCode>0.000%</c:formatCode>
                <c:ptCount val="11"/>
                <c:pt idx="0">
                  <c:v>0.11300069289820799</c:v>
                </c:pt>
                <c:pt idx="1">
                  <c:v>0.10919825874394994</c:v>
                </c:pt>
                <c:pt idx="2">
                  <c:v>0.10919825874394994</c:v>
                </c:pt>
                <c:pt idx="3">
                  <c:v>0.10919825874394994</c:v>
                </c:pt>
                <c:pt idx="4">
                  <c:v>0.10140413224344764</c:v>
                </c:pt>
                <c:pt idx="5">
                  <c:v>0.10140413224344764</c:v>
                </c:pt>
                <c:pt idx="6">
                  <c:v>0.10140413224344764</c:v>
                </c:pt>
                <c:pt idx="7">
                  <c:v>0.10140413224344764</c:v>
                </c:pt>
                <c:pt idx="8">
                  <c:v>0.10140413224344764</c:v>
                </c:pt>
                <c:pt idx="9">
                  <c:v>0.11446821654862038</c:v>
                </c:pt>
                <c:pt idx="10">
                  <c:v>0.68844398869907097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332680"/>
        <c:axId val="505559896"/>
      </c:lineChart>
      <c:catAx>
        <c:axId val="731332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5559896"/>
        <c:crosses val="autoZero"/>
        <c:auto val="1"/>
        <c:lblAlgn val="ctr"/>
        <c:lblOffset val="100"/>
        <c:noMultiLvlLbl val="0"/>
      </c:catAx>
      <c:valAx>
        <c:axId val="50555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73133268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(X)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'D-PCMCR'!$J$19:$J$29</c:f>
              <c:numCache>
                <c:formatCode>0.000%</c:formatCode>
                <c:ptCount val="11"/>
                <c:pt idx="0">
                  <c:v>-0.20626125608739809</c:v>
                </c:pt>
                <c:pt idx="1">
                  <c:v>-0.17520221008379408</c:v>
                </c:pt>
                <c:pt idx="2">
                  <c:v>-0.15720671493191962</c:v>
                </c:pt>
                <c:pt idx="3">
                  <c:v>-0.14331824193791864</c:v>
                </c:pt>
                <c:pt idx="4">
                  <c:v>-0.13067223693857111</c:v>
                </c:pt>
                <c:pt idx="5">
                  <c:v>-0.11861570034688562</c:v>
                </c:pt>
                <c:pt idx="6">
                  <c:v>-0.10699050913976049</c:v>
                </c:pt>
                <c:pt idx="7">
                  <c:v>-9.5353135940283676E-2</c:v>
                </c:pt>
                <c:pt idx="8">
                  <c:v>-8.3285041756932104E-2</c:v>
                </c:pt>
                <c:pt idx="9">
                  <c:v>-7.0531850019475206E-2</c:v>
                </c:pt>
                <c:pt idx="10">
                  <c:v>-0.25983013034927188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'D-PCMCR'!$L$19:$L$29</c:f>
              <c:numCache>
                <c:formatCode>0.000%</c:formatCode>
                <c:ptCount val="11"/>
                <c:pt idx="0">
                  <c:v>-0.18553684660662639</c:v>
                </c:pt>
                <c:pt idx="1">
                  <c:v>-0.15083364878029301</c:v>
                </c:pt>
                <c:pt idx="2">
                  <c:v>-0.12624138927492004</c:v>
                </c:pt>
                <c:pt idx="3">
                  <c:v>-0.10400889240251908</c:v>
                </c:pt>
                <c:pt idx="4">
                  <c:v>-8.1716340138984739E-2</c:v>
                </c:pt>
                <c:pt idx="5">
                  <c:v>-5.9250255441461938E-2</c:v>
                </c:pt>
                <c:pt idx="6">
                  <c:v>-3.6606846154411316E-2</c:v>
                </c:pt>
                <c:pt idx="7">
                  <c:v>-1.351761656769262E-2</c:v>
                </c:pt>
                <c:pt idx="8">
                  <c:v>1.0201233079447718E-2</c:v>
                </c:pt>
                <c:pt idx="9">
                  <c:v>3.4406171627874377E-2</c:v>
                </c:pt>
                <c:pt idx="10">
                  <c:v>-0.23578438138361393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81272"/>
        <c:axId val="504862720"/>
      </c:lineChart>
      <c:catAx>
        <c:axId val="51328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4862720"/>
        <c:crosses val="autoZero"/>
        <c:auto val="1"/>
        <c:lblAlgn val="ctr"/>
        <c:lblOffset val="100"/>
        <c:noMultiLvlLbl val="0"/>
      </c:catAx>
      <c:valAx>
        <c:axId val="50486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13281272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'D-PCMCR'!$K$19:$K$29</c:f>
              <c:numCache>
                <c:formatCode>0.000%</c:formatCode>
                <c:ptCount val="11"/>
                <c:pt idx="0">
                  <c:v>5.6426271225927201E-2</c:v>
                </c:pt>
                <c:pt idx="1">
                  <c:v>6.9654733226245838E-2</c:v>
                </c:pt>
                <c:pt idx="2">
                  <c:v>7.2141852541141208E-2</c:v>
                </c:pt>
                <c:pt idx="3">
                  <c:v>7.1525582447098793E-2</c:v>
                </c:pt>
                <c:pt idx="4">
                  <c:v>6.9030970664851671E-2</c:v>
                </c:pt>
                <c:pt idx="5">
                  <c:v>6.5797139206677097E-2</c:v>
                </c:pt>
                <c:pt idx="6">
                  <c:v>6.2611280030503924E-2</c:v>
                </c:pt>
                <c:pt idx="7">
                  <c:v>5.9311145912922678E-2</c:v>
                </c:pt>
                <c:pt idx="8">
                  <c:v>5.5772939474957643E-2</c:v>
                </c:pt>
                <c:pt idx="9">
                  <c:v>5.281104847768673E-2</c:v>
                </c:pt>
                <c:pt idx="10">
                  <c:v>5.8490332913313348E-2</c:v>
                </c:pt>
              </c:numCache>
            </c:numRef>
          </c:val>
          <c:smooth val="0"/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'D-PCMCR'!$M$19:$M$29</c:f>
              <c:numCache>
                <c:formatCode>0.000%</c:formatCode>
                <c:ptCount val="11"/>
                <c:pt idx="0">
                  <c:v>0.23035462068636417</c:v>
                </c:pt>
                <c:pt idx="1">
                  <c:v>0.26033383839675689</c:v>
                </c:pt>
                <c:pt idx="2">
                  <c:v>0.26414171909268092</c:v>
                </c:pt>
                <c:pt idx="3">
                  <c:v>0.2598480485647941</c:v>
                </c:pt>
                <c:pt idx="4">
                  <c:v>0.2510099607533216</c:v>
                </c:pt>
                <c:pt idx="5">
                  <c:v>0.23958857521825355</c:v>
                </c:pt>
                <c:pt idx="6">
                  <c:v>0.2281689457304997</c:v>
                </c:pt>
                <c:pt idx="7">
                  <c:v>0.21659128000660985</c:v>
                </c:pt>
                <c:pt idx="8">
                  <c:v>0.20465382867415377</c:v>
                </c:pt>
                <c:pt idx="9">
                  <c:v>0.19351178658020149</c:v>
                </c:pt>
                <c:pt idx="10">
                  <c:v>0.51931048278131098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63504"/>
        <c:axId val="504861544"/>
      </c:lineChart>
      <c:catAx>
        <c:axId val="50486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4861544"/>
        <c:crosses val="autoZero"/>
        <c:auto val="1"/>
        <c:lblAlgn val="ctr"/>
        <c:lblOffset val="100"/>
        <c:noMultiLvlLbl val="0"/>
      </c:catAx>
      <c:valAx>
        <c:axId val="50486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504863504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167129</xdr:rowOff>
    </xdr:from>
    <xdr:to>
      <xdr:col>21</xdr:col>
      <xdr:colOff>0</xdr:colOff>
      <xdr:row>39</xdr:row>
      <xdr:rowOff>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40</xdr:row>
      <xdr:rowOff>152399</xdr:rowOff>
    </xdr:from>
    <xdr:to>
      <xdr:col>21</xdr:col>
      <xdr:colOff>0</xdr:colOff>
      <xdr:row>77</xdr:row>
      <xdr:rowOff>12980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78</xdr:row>
      <xdr:rowOff>0</xdr:rowOff>
    </xdr:from>
    <xdr:to>
      <xdr:col>21</xdr:col>
      <xdr:colOff>0</xdr:colOff>
      <xdr:row>114</xdr:row>
      <xdr:rowOff>68398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116</xdr:row>
      <xdr:rowOff>0</xdr:rowOff>
    </xdr:from>
    <xdr:to>
      <xdr:col>21</xdr:col>
      <xdr:colOff>0</xdr:colOff>
      <xdr:row>152</xdr:row>
      <xdr:rowOff>68399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511804</xdr:colOff>
      <xdr:row>52</xdr:row>
      <xdr:rowOff>0</xdr:rowOff>
    </xdr:from>
    <xdr:to>
      <xdr:col>8</xdr:col>
      <xdr:colOff>1407459</xdr:colOff>
      <xdr:row>80</xdr:row>
      <xdr:rowOff>61530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511804</xdr:colOff>
      <xdr:row>82</xdr:row>
      <xdr:rowOff>0</xdr:rowOff>
    </xdr:from>
    <xdr:to>
      <xdr:col>8</xdr:col>
      <xdr:colOff>1407459</xdr:colOff>
      <xdr:row>110</xdr:row>
      <xdr:rowOff>61531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511804</xdr:colOff>
      <xdr:row>111</xdr:row>
      <xdr:rowOff>0</xdr:rowOff>
    </xdr:from>
    <xdr:to>
      <xdr:col>8</xdr:col>
      <xdr:colOff>1407459</xdr:colOff>
      <xdr:row>139</xdr:row>
      <xdr:rowOff>61530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511804</xdr:colOff>
      <xdr:row>141</xdr:row>
      <xdr:rowOff>0</xdr:rowOff>
    </xdr:from>
    <xdr:to>
      <xdr:col>8</xdr:col>
      <xdr:colOff>1407459</xdr:colOff>
      <xdr:row>169</xdr:row>
      <xdr:rowOff>61531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0</xdr:rowOff>
    </xdr:from>
    <xdr:to>
      <xdr:col>21</xdr:col>
      <xdr:colOff>0</xdr:colOff>
      <xdr:row>38</xdr:row>
      <xdr:rowOff>23371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39</xdr:row>
      <xdr:rowOff>175770</xdr:rowOff>
    </xdr:from>
    <xdr:to>
      <xdr:col>21</xdr:col>
      <xdr:colOff>0</xdr:colOff>
      <xdr:row>76</xdr:row>
      <xdr:rowOff>36351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77</xdr:row>
      <xdr:rowOff>23371</xdr:rowOff>
    </xdr:from>
    <xdr:to>
      <xdr:col>21</xdr:col>
      <xdr:colOff>0</xdr:colOff>
      <xdr:row>113</xdr:row>
      <xdr:rowOff>91769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115</xdr:row>
      <xdr:rowOff>23371</xdr:rowOff>
    </xdr:from>
    <xdr:to>
      <xdr:col>21</xdr:col>
      <xdr:colOff>0</xdr:colOff>
      <xdr:row>151</xdr:row>
      <xdr:rowOff>91770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626104</xdr:colOff>
      <xdr:row>51</xdr:row>
      <xdr:rowOff>23371</xdr:rowOff>
    </xdr:from>
    <xdr:to>
      <xdr:col>8</xdr:col>
      <xdr:colOff>1350309</xdr:colOff>
      <xdr:row>79</xdr:row>
      <xdr:rowOff>84901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626104</xdr:colOff>
      <xdr:row>81</xdr:row>
      <xdr:rowOff>23371</xdr:rowOff>
    </xdr:from>
    <xdr:to>
      <xdr:col>8</xdr:col>
      <xdr:colOff>1350309</xdr:colOff>
      <xdr:row>109</xdr:row>
      <xdr:rowOff>84902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626104</xdr:colOff>
      <xdr:row>110</xdr:row>
      <xdr:rowOff>23371</xdr:rowOff>
    </xdr:from>
    <xdr:to>
      <xdr:col>8</xdr:col>
      <xdr:colOff>1350309</xdr:colOff>
      <xdr:row>138</xdr:row>
      <xdr:rowOff>84901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626104</xdr:colOff>
      <xdr:row>140</xdr:row>
      <xdr:rowOff>23371</xdr:rowOff>
    </xdr:from>
    <xdr:to>
      <xdr:col>8</xdr:col>
      <xdr:colOff>1350309</xdr:colOff>
      <xdr:row>168</xdr:row>
      <xdr:rowOff>84902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377359</xdr:colOff>
      <xdr:row>1</xdr:row>
      <xdr:rowOff>27709</xdr:rowOff>
    </xdr:from>
    <xdr:to>
      <xdr:col>24</xdr:col>
      <xdr:colOff>575282</xdr:colOff>
      <xdr:row>37</xdr:row>
      <xdr:rowOff>51081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425722</xdr:colOff>
      <xdr:row>41</xdr:row>
      <xdr:rowOff>45844</xdr:rowOff>
    </xdr:from>
    <xdr:to>
      <xdr:col>12</xdr:col>
      <xdr:colOff>0</xdr:colOff>
      <xdr:row>69</xdr:row>
      <xdr:rowOff>107374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621227</xdr:colOff>
      <xdr:row>1</xdr:row>
      <xdr:rowOff>0</xdr:rowOff>
    </xdr:from>
    <xdr:to>
      <xdr:col>36</xdr:col>
      <xdr:colOff>19050</xdr:colOff>
      <xdr:row>37</xdr:row>
      <xdr:rowOff>66915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425722</xdr:colOff>
      <xdr:row>71</xdr:row>
      <xdr:rowOff>128971</xdr:rowOff>
    </xdr:from>
    <xdr:to>
      <xdr:col>12</xdr:col>
      <xdr:colOff>0</xdr:colOff>
      <xdr:row>100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635272</xdr:colOff>
      <xdr:row>41</xdr:row>
      <xdr:rowOff>45844</xdr:rowOff>
    </xdr:from>
    <xdr:to>
      <xdr:col>25</xdr:col>
      <xdr:colOff>0</xdr:colOff>
      <xdr:row>69</xdr:row>
      <xdr:rowOff>107374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635272</xdr:colOff>
      <xdr:row>71</xdr:row>
      <xdr:rowOff>128971</xdr:rowOff>
    </xdr:from>
    <xdr:to>
      <xdr:col>25</xdr:col>
      <xdr:colOff>0</xdr:colOff>
      <xdr:row>100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425722</xdr:colOff>
      <xdr:row>102</xdr:row>
      <xdr:rowOff>0</xdr:rowOff>
    </xdr:from>
    <xdr:to>
      <xdr:col>12</xdr:col>
      <xdr:colOff>0</xdr:colOff>
      <xdr:row>130</xdr:row>
      <xdr:rowOff>107374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635272</xdr:colOff>
      <xdr:row>102</xdr:row>
      <xdr:rowOff>0</xdr:rowOff>
    </xdr:from>
    <xdr:to>
      <xdr:col>25</xdr:col>
      <xdr:colOff>0</xdr:colOff>
      <xdr:row>130</xdr:row>
      <xdr:rowOff>107374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425722</xdr:colOff>
      <xdr:row>132</xdr:row>
      <xdr:rowOff>171450</xdr:rowOff>
    </xdr:from>
    <xdr:to>
      <xdr:col>12</xdr:col>
      <xdr:colOff>0</xdr:colOff>
      <xdr:row>161</xdr:row>
      <xdr:rowOff>88324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635272</xdr:colOff>
      <xdr:row>132</xdr:row>
      <xdr:rowOff>171450</xdr:rowOff>
    </xdr:from>
    <xdr:to>
      <xdr:col>25</xdr:col>
      <xdr:colOff>0</xdr:colOff>
      <xdr:row>161</xdr:row>
      <xdr:rowOff>88324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1066800</xdr:colOff>
      <xdr:row>83</xdr:row>
      <xdr:rowOff>118110</xdr:rowOff>
    </xdr:from>
    <xdr:to>
      <xdr:col>14</xdr:col>
      <xdr:colOff>378397</xdr:colOff>
      <xdr:row>120</xdr:row>
      <xdr:rowOff>107624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9280" y="15297150"/>
          <a:ext cx="8638477" cy="6756074"/>
        </a:xfrm>
        <a:prstGeom prst="rect">
          <a:avLst/>
        </a:prstGeom>
      </xdr:spPr>
    </xdr:pic>
    <xdr:clientData/>
  </xdr:twoCellAnchor>
  <xdr:twoCellAnchor editAs="oneCell">
    <xdr:from>
      <xdr:col>2</xdr:col>
      <xdr:colOff>485280</xdr:colOff>
      <xdr:row>126</xdr:row>
      <xdr:rowOff>16650</xdr:rowOff>
    </xdr:from>
    <xdr:to>
      <xdr:col>14</xdr:col>
      <xdr:colOff>261601</xdr:colOff>
      <xdr:row>163</xdr:row>
      <xdr:rowOff>13784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6000" y="23059530"/>
          <a:ext cx="7944961" cy="6763694"/>
        </a:xfrm>
        <a:prstGeom prst="rect">
          <a:avLst/>
        </a:prstGeom>
      </xdr:spPr>
    </xdr:pic>
    <xdr:clientData/>
  </xdr:twoCellAnchor>
  <xdr:twoCellAnchor editAs="oneCell">
    <xdr:from>
      <xdr:col>18</xdr:col>
      <xdr:colOff>482880</xdr:colOff>
      <xdr:row>84</xdr:row>
      <xdr:rowOff>21870</xdr:rowOff>
    </xdr:from>
    <xdr:to>
      <xdr:col>29</xdr:col>
      <xdr:colOff>99235</xdr:colOff>
      <xdr:row>121</xdr:row>
      <xdr:rowOff>19004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08480" y="15383790"/>
          <a:ext cx="8333635" cy="6763694"/>
        </a:xfrm>
        <a:prstGeom prst="rect">
          <a:avLst/>
        </a:prstGeom>
      </xdr:spPr>
    </xdr:pic>
    <xdr:clientData/>
  </xdr:twoCellAnchor>
  <xdr:twoCellAnchor editAs="oneCell">
    <xdr:from>
      <xdr:col>18</xdr:col>
      <xdr:colOff>198540</xdr:colOff>
      <xdr:row>129</xdr:row>
      <xdr:rowOff>152400</xdr:rowOff>
    </xdr:from>
    <xdr:to>
      <xdr:col>29</xdr:col>
      <xdr:colOff>424580</xdr:colOff>
      <xdr:row>162</xdr:row>
      <xdr:rowOff>153541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4140" y="23743920"/>
          <a:ext cx="8943320" cy="6036181"/>
        </a:xfrm>
        <a:prstGeom prst="rect">
          <a:avLst/>
        </a:prstGeom>
      </xdr:spPr>
    </xdr:pic>
    <xdr:clientData/>
  </xdr:twoCellAnchor>
  <xdr:twoCellAnchor editAs="oneCell">
    <xdr:from>
      <xdr:col>34</xdr:col>
      <xdr:colOff>466650</xdr:colOff>
      <xdr:row>84</xdr:row>
      <xdr:rowOff>158040</xdr:rowOff>
    </xdr:from>
    <xdr:to>
      <xdr:col>45</xdr:col>
      <xdr:colOff>635532</xdr:colOff>
      <xdr:row>121</xdr:row>
      <xdr:rowOff>155174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71930" y="15519960"/>
          <a:ext cx="8886162" cy="6763694"/>
        </a:xfrm>
        <a:prstGeom prst="rect">
          <a:avLst/>
        </a:prstGeom>
      </xdr:spPr>
    </xdr:pic>
    <xdr:clientData/>
  </xdr:twoCellAnchor>
  <xdr:twoCellAnchor editAs="oneCell">
    <xdr:from>
      <xdr:col>34</xdr:col>
      <xdr:colOff>654750</xdr:colOff>
      <xdr:row>126</xdr:row>
      <xdr:rowOff>45150</xdr:rowOff>
    </xdr:from>
    <xdr:to>
      <xdr:col>45</xdr:col>
      <xdr:colOff>579746</xdr:colOff>
      <xdr:row>163</xdr:row>
      <xdr:rowOff>42284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0030" y="23088030"/>
          <a:ext cx="8642276" cy="6763694"/>
        </a:xfrm>
        <a:prstGeom prst="rect">
          <a:avLst/>
        </a:prstGeom>
      </xdr:spPr>
    </xdr:pic>
    <xdr:clientData/>
  </xdr:twoCellAnchor>
  <xdr:twoCellAnchor>
    <xdr:from>
      <xdr:col>4</xdr:col>
      <xdr:colOff>121920</xdr:colOff>
      <xdr:row>37</xdr:row>
      <xdr:rowOff>91440</xdr:rowOff>
    </xdr:from>
    <xdr:to>
      <xdr:col>11</xdr:col>
      <xdr:colOff>91440</xdr:colOff>
      <xdr:row>41</xdr:row>
      <xdr:rowOff>91440</xdr:rowOff>
    </xdr:to>
    <xdr:sp macro="" textlink="">
      <xdr:nvSpPr>
        <xdr:cNvPr id="8" name="CuadroTexto 7"/>
        <xdr:cNvSpPr txBox="1"/>
      </xdr:nvSpPr>
      <xdr:spPr>
        <a:xfrm>
          <a:off x="4145280" y="68580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3.1</a:t>
          </a:r>
        </a:p>
      </xdr:txBody>
    </xdr:sp>
    <xdr:clientData/>
  </xdr:twoCellAnchor>
  <xdr:twoCellAnchor>
    <xdr:from>
      <xdr:col>20</xdr:col>
      <xdr:colOff>701040</xdr:colOff>
      <xdr:row>36</xdr:row>
      <xdr:rowOff>152400</xdr:rowOff>
    </xdr:from>
    <xdr:to>
      <xdr:col>26</xdr:col>
      <xdr:colOff>182880</xdr:colOff>
      <xdr:row>40</xdr:row>
      <xdr:rowOff>152400</xdr:rowOff>
    </xdr:to>
    <xdr:sp macro="" textlink="">
      <xdr:nvSpPr>
        <xdr:cNvPr id="9" name="CuadroTexto 8"/>
        <xdr:cNvSpPr txBox="1"/>
      </xdr:nvSpPr>
      <xdr:spPr>
        <a:xfrm>
          <a:off x="16611600" y="673608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3.2</a:t>
          </a:r>
        </a:p>
      </xdr:txBody>
    </xdr:sp>
    <xdr:clientData/>
  </xdr:twoCellAnchor>
  <xdr:twoCellAnchor>
    <xdr:from>
      <xdr:col>36</xdr:col>
      <xdr:colOff>487680</xdr:colOff>
      <xdr:row>36</xdr:row>
      <xdr:rowOff>121920</xdr:rowOff>
    </xdr:from>
    <xdr:to>
      <xdr:col>41</xdr:col>
      <xdr:colOff>762000</xdr:colOff>
      <xdr:row>40</xdr:row>
      <xdr:rowOff>121920</xdr:rowOff>
    </xdr:to>
    <xdr:sp macro="" textlink="">
      <xdr:nvSpPr>
        <xdr:cNvPr id="10" name="CuadroTexto 9"/>
        <xdr:cNvSpPr txBox="1"/>
      </xdr:nvSpPr>
      <xdr:spPr>
        <a:xfrm>
          <a:off x="29077920" y="67056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3.3</a:t>
          </a:r>
        </a:p>
      </xdr:txBody>
    </xdr:sp>
    <xdr:clientData/>
  </xdr:twoCellAnchor>
  <xdr:twoCellAnchor editAs="oneCell">
    <xdr:from>
      <xdr:col>2</xdr:col>
      <xdr:colOff>426720</xdr:colOff>
      <xdr:row>46</xdr:row>
      <xdr:rowOff>60960</xdr:rowOff>
    </xdr:from>
    <xdr:to>
      <xdr:col>13</xdr:col>
      <xdr:colOff>250585</xdr:colOff>
      <xdr:row>83</xdr:row>
      <xdr:rowOff>58094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7440" y="8473440"/>
          <a:ext cx="7382905" cy="6763694"/>
        </a:xfrm>
        <a:prstGeom prst="rect">
          <a:avLst/>
        </a:prstGeom>
      </xdr:spPr>
    </xdr:pic>
    <xdr:clientData/>
  </xdr:twoCellAnchor>
  <xdr:twoCellAnchor editAs="oneCell">
    <xdr:from>
      <xdr:col>17</xdr:col>
      <xdr:colOff>607199</xdr:colOff>
      <xdr:row>44</xdr:row>
      <xdr:rowOff>152400</xdr:rowOff>
    </xdr:from>
    <xdr:to>
      <xdr:col>30</xdr:col>
      <xdr:colOff>47584</xdr:colOff>
      <xdr:row>84</xdr:row>
      <xdr:rowOff>0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753" b="9342"/>
        <a:stretch/>
      </xdr:blipFill>
      <xdr:spPr>
        <a:xfrm>
          <a:off x="14140319" y="8199120"/>
          <a:ext cx="9742625" cy="7162800"/>
        </a:xfrm>
        <a:prstGeom prst="rect">
          <a:avLst/>
        </a:prstGeom>
      </xdr:spPr>
    </xdr:pic>
    <xdr:clientData/>
  </xdr:twoCellAnchor>
  <xdr:twoCellAnchor editAs="oneCell">
    <xdr:from>
      <xdr:col>33</xdr:col>
      <xdr:colOff>396239</xdr:colOff>
      <xdr:row>43</xdr:row>
      <xdr:rowOff>60960</xdr:rowOff>
    </xdr:from>
    <xdr:to>
      <xdr:col>45</xdr:col>
      <xdr:colOff>706891</xdr:colOff>
      <xdr:row>83</xdr:row>
      <xdr:rowOff>152400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176" b="12422"/>
        <a:stretch/>
      </xdr:blipFill>
      <xdr:spPr>
        <a:xfrm>
          <a:off x="26609039" y="7924800"/>
          <a:ext cx="9820412" cy="7406640"/>
        </a:xfrm>
        <a:prstGeom prst="rect">
          <a:avLst/>
        </a:prstGeom>
      </xdr:spPr>
    </xdr:pic>
    <xdr:clientData/>
  </xdr:twoCellAnchor>
  <xdr:twoCellAnchor>
    <xdr:from>
      <xdr:col>0</xdr:col>
      <xdr:colOff>365760</xdr:colOff>
      <xdr:row>33</xdr:row>
      <xdr:rowOff>30480</xdr:rowOff>
    </xdr:from>
    <xdr:to>
      <xdr:col>16</xdr:col>
      <xdr:colOff>1097280</xdr:colOff>
      <xdr:row>174</xdr:row>
      <xdr:rowOff>0</xdr:rowOff>
    </xdr:to>
    <xdr:sp macro="" textlink="">
      <xdr:nvSpPr>
        <xdr:cNvPr id="15" name="Rectángulo 14"/>
        <xdr:cNvSpPr/>
      </xdr:nvSpPr>
      <xdr:spPr>
        <a:xfrm>
          <a:off x="36576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16</xdr:col>
      <xdr:colOff>1463040</xdr:colOff>
      <xdr:row>33</xdr:row>
      <xdr:rowOff>30480</xdr:rowOff>
    </xdr:from>
    <xdr:to>
      <xdr:col>31</xdr:col>
      <xdr:colOff>243840</xdr:colOff>
      <xdr:row>174</xdr:row>
      <xdr:rowOff>0</xdr:rowOff>
    </xdr:to>
    <xdr:sp macro="" textlink="">
      <xdr:nvSpPr>
        <xdr:cNvPr id="16" name="Rectángulo 15"/>
        <xdr:cNvSpPr/>
      </xdr:nvSpPr>
      <xdr:spPr>
        <a:xfrm>
          <a:off x="1280160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31</xdr:col>
      <xdr:colOff>609600</xdr:colOff>
      <xdr:row>33</xdr:row>
      <xdr:rowOff>30480</xdr:rowOff>
    </xdr:from>
    <xdr:to>
      <xdr:col>47</xdr:col>
      <xdr:colOff>0</xdr:colOff>
      <xdr:row>174</xdr:row>
      <xdr:rowOff>0</xdr:rowOff>
    </xdr:to>
    <xdr:sp macro="" textlink="">
      <xdr:nvSpPr>
        <xdr:cNvPr id="17" name="Rectángulo 16"/>
        <xdr:cNvSpPr/>
      </xdr:nvSpPr>
      <xdr:spPr>
        <a:xfrm>
          <a:off x="2523744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754380</xdr:colOff>
          <xdr:row>6</xdr:row>
          <xdr:rowOff>0</xdr:rowOff>
        </xdr:from>
        <xdr:to>
          <xdr:col>6</xdr:col>
          <xdr:colOff>678180</xdr:colOff>
          <xdr:row>14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17</xdr:row>
          <xdr:rowOff>22860</xdr:rowOff>
        </xdr:from>
        <xdr:to>
          <xdr:col>6</xdr:col>
          <xdr:colOff>655320</xdr:colOff>
          <xdr:row>22</xdr:row>
          <xdr:rowOff>106680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3:J49"/>
  <sheetViews>
    <sheetView tabSelected="1" topLeftCell="A3" zoomScale="40" zoomScaleNormal="40" workbookViewId="0">
      <selection activeCell="Z67" sqref="Z67"/>
    </sheetView>
  </sheetViews>
  <sheetFormatPr baseColWidth="10" defaultRowHeight="14.4" x14ac:dyDescent="0.3"/>
  <cols>
    <col min="1" max="1" width="10.5546875" customWidth="1"/>
    <col min="2" max="2" width="13.77734375" customWidth="1"/>
    <col min="3" max="3" width="10.21875" customWidth="1"/>
    <col min="5" max="7" width="22.77734375" customWidth="1"/>
    <col min="8" max="8" width="26.88671875" customWidth="1"/>
    <col min="9" max="9" width="29.44140625" customWidth="1"/>
  </cols>
  <sheetData>
    <row r="3" spans="2:10" x14ac:dyDescent="0.3">
      <c r="B3" s="111" t="s">
        <v>2</v>
      </c>
      <c r="C3" s="111" t="s">
        <v>18</v>
      </c>
      <c r="D3" s="111" t="s">
        <v>4</v>
      </c>
      <c r="E3" s="114" t="s">
        <v>72</v>
      </c>
      <c r="F3" s="114"/>
      <c r="G3" s="114"/>
      <c r="H3" s="114" t="s">
        <v>75</v>
      </c>
      <c r="I3" s="114"/>
    </row>
    <row r="4" spans="2:10" ht="15" thickBot="1" x14ac:dyDescent="0.35">
      <c r="B4" s="121"/>
      <c r="C4" s="121"/>
      <c r="D4" s="111"/>
      <c r="E4" s="28" t="s">
        <v>30</v>
      </c>
      <c r="F4" s="28" t="s">
        <v>31</v>
      </c>
      <c r="G4" s="28" t="s">
        <v>32</v>
      </c>
      <c r="H4" s="28" t="s">
        <v>79</v>
      </c>
      <c r="I4" s="28" t="s">
        <v>71</v>
      </c>
    </row>
    <row r="5" spans="2:10" x14ac:dyDescent="0.3">
      <c r="B5" s="99" t="s">
        <v>19</v>
      </c>
      <c r="C5" s="118" t="s">
        <v>20</v>
      </c>
      <c r="D5" s="22" t="s">
        <v>6</v>
      </c>
      <c r="E5" s="124">
        <f>(+DERIVAS!E5-DERIVAS!H5)/DERIVAS!H5</f>
        <v>0.31061418588140538</v>
      </c>
      <c r="F5" s="125">
        <f>(+DERIVAS!F5-DERIVAS!I5)/DERIVAS!I5</f>
        <v>0.40664790529732447</v>
      </c>
      <c r="G5" s="126">
        <f>(+DERIVAS!G5-DERIVAS!J5)/DERIVAS!J5</f>
        <v>0.44116363812195231</v>
      </c>
      <c r="H5" s="124">
        <f>(+DERIVAS!E5-DERIVAS!F5)/DERIVAS!F5</f>
        <v>6.3141629467692376E-2</v>
      </c>
      <c r="I5" s="127">
        <f>(+DERIVAS!E5-DERIVAS!G5)/DERIVAS!G5</f>
        <v>0.15791962769596612</v>
      </c>
    </row>
    <row r="6" spans="2:10" x14ac:dyDescent="0.3">
      <c r="B6" s="100"/>
      <c r="C6" s="119"/>
      <c r="D6" s="18" t="s">
        <v>7</v>
      </c>
      <c r="E6" s="128">
        <f>(+DERIVAS!E6-DERIVAS!H6)/DERIVAS!H6</f>
        <v>0.14323022129657437</v>
      </c>
      <c r="F6" s="129">
        <f>(+DERIVAS!F6-DERIVAS!I6)/DERIVAS!I6</f>
        <v>0.15597883537964125</v>
      </c>
      <c r="G6" s="130">
        <f>(+DERIVAS!G6-DERIVAS!J6)/DERIVAS!J6</f>
        <v>0.21441618052900582</v>
      </c>
      <c r="H6" s="128">
        <f>(+DERIVAS!E6-DERIVAS!F6)/DERIVAS!F6</f>
        <v>8.3304766410208841E-2</v>
      </c>
      <c r="I6" s="131">
        <f>(+DERIVAS!E6-DERIVAS!G6)/DERIVAS!G6</f>
        <v>0.11318795578926688</v>
      </c>
      <c r="J6" s="29"/>
    </row>
    <row r="7" spans="2:10" x14ac:dyDescent="0.3">
      <c r="B7" s="100"/>
      <c r="C7" s="119"/>
      <c r="D7" s="18" t="s">
        <v>8</v>
      </c>
      <c r="E7" s="128">
        <f>(+DERIVAS!E7-DERIVAS!H7)/DERIVAS!H7</f>
        <v>7.3755337862563927E-2</v>
      </c>
      <c r="F7" s="129">
        <f>(+DERIVAS!F7-DERIVAS!I7)/DERIVAS!I7</f>
        <v>7.4026049332910571E-2</v>
      </c>
      <c r="G7" s="130">
        <f>(+DERIVAS!G7-DERIVAS!J7)/DERIVAS!J7</f>
        <v>1.394269632406556E-2</v>
      </c>
      <c r="H7" s="128">
        <f>(+DERIVAS!E7-DERIVAS!F7)/DERIVAS!F7</f>
        <v>4.4860725115914747E-2</v>
      </c>
      <c r="I7" s="131">
        <f>(+DERIVAS!E7-DERIVAS!G7)/DERIVAS!G7</f>
        <v>0.16571578920921901</v>
      </c>
    </row>
    <row r="8" spans="2:10" x14ac:dyDescent="0.3">
      <c r="B8" s="100"/>
      <c r="C8" s="119"/>
      <c r="D8" s="18" t="s">
        <v>9</v>
      </c>
      <c r="E8" s="128">
        <f>(+DERIVAS!E8-DERIVAS!H8)/DERIVAS!H8</f>
        <v>3.6503327335941763E-2</v>
      </c>
      <c r="F8" s="129">
        <f>(+DERIVAS!F8-DERIVAS!I8)/DERIVAS!I8</f>
        <v>2.7866263502006484E-2</v>
      </c>
      <c r="G8" s="130">
        <f>(+DERIVAS!G8-DERIVAS!J8)/DERIVAS!J8</f>
        <v>7.9651185206299682E-3</v>
      </c>
      <c r="H8" s="128">
        <f>(+DERIVAS!E8-DERIVAS!F8)/DERIVAS!F8</f>
        <v>2.8824286470002177E-2</v>
      </c>
      <c r="I8" s="131">
        <f>(+DERIVAS!E8-DERIVAS!G8)/DERIVAS!G8</f>
        <v>8.8482779587702551E-2</v>
      </c>
    </row>
    <row r="9" spans="2:10" x14ac:dyDescent="0.3">
      <c r="B9" s="100"/>
      <c r="C9" s="119"/>
      <c r="D9" s="18" t="s">
        <v>10</v>
      </c>
      <c r="E9" s="128">
        <f>(+DERIVAS!E9-DERIVAS!H9)/DERIVAS!H9</f>
        <v>1.5236842232062736E-2</v>
      </c>
      <c r="F9" s="129">
        <f>(+DERIVAS!F9-DERIVAS!I9)/DERIVAS!I9</f>
        <v>2.1962375314258688E-3</v>
      </c>
      <c r="G9" s="130">
        <f>(+DERIVAS!G9-DERIVAS!J9)/DERIVAS!J9</f>
        <v>4.2009689744352419E-3</v>
      </c>
      <c r="H9" s="128">
        <f>(+DERIVAS!E9-DERIVAS!F9)/DERIVAS!F9</f>
        <v>1.9471635620356545E-2</v>
      </c>
      <c r="I9" s="131">
        <f>(+DERIVAS!E9-DERIVAS!G9)/DERIVAS!G9</f>
        <v>4.7181781508467246E-2</v>
      </c>
    </row>
    <row r="10" spans="2:10" x14ac:dyDescent="0.3">
      <c r="B10" s="100"/>
      <c r="C10" s="119"/>
      <c r="D10" s="18" t="s">
        <v>11</v>
      </c>
      <c r="E10" s="128">
        <f>(+DERIVAS!E10-DERIVAS!H10)/DERIVAS!H10</f>
        <v>-6.1499726126321413E-5</v>
      </c>
      <c r="F10" s="129">
        <f>(+DERIVAS!F10-DERIVAS!I10)/DERIVAS!I10</f>
        <v>-1.5879035235623402E-2</v>
      </c>
      <c r="G10" s="130">
        <f>(+DERIVAS!G10-DERIVAS!J10)/DERIVAS!J10</f>
        <v>9.7524712722222955E-4</v>
      </c>
      <c r="H10" s="128">
        <f>(+DERIVAS!E10-DERIVAS!F10)/DERIVAS!F10</f>
        <v>1.383064908652052E-2</v>
      </c>
      <c r="I10" s="131">
        <f>(+DERIVAS!E10-DERIVAS!G10)/DERIVAS!G10</f>
        <v>2.0076333523224205E-2</v>
      </c>
    </row>
    <row r="11" spans="2:10" x14ac:dyDescent="0.3">
      <c r="B11" s="100"/>
      <c r="C11" s="119"/>
      <c r="D11" s="18" t="s">
        <v>12</v>
      </c>
      <c r="E11" s="128">
        <f>(+DERIVAS!E11-DERIVAS!H11)/DERIVAS!H11</f>
        <v>-1.4320708422918755E-2</v>
      </c>
      <c r="F11" s="129">
        <f>(+DERIVAS!F11-DERIVAS!I11)/DERIVAS!I11</f>
        <v>-2.5167701342263597E-2</v>
      </c>
      <c r="G11" s="130">
        <f>(+DERIVAS!G11-DERIVAS!J11)/DERIVAS!J11</f>
        <v>7.5292313315625606E-4</v>
      </c>
      <c r="H11" s="128">
        <f>(+DERIVAS!E11-DERIVAS!F11)/DERIVAS!F11</f>
        <v>1.7222846041274727E-2</v>
      </c>
      <c r="I11" s="131">
        <f>(+DERIVAS!E11-DERIVAS!G11)/DERIVAS!G11</f>
        <v>1.3252236257401257E-3</v>
      </c>
    </row>
    <row r="12" spans="2:10" x14ac:dyDescent="0.3">
      <c r="B12" s="100"/>
      <c r="C12" s="119"/>
      <c r="D12" s="18" t="s">
        <v>13</v>
      </c>
      <c r="E12" s="128">
        <f>(+DERIVAS!E12-DERIVAS!H12)/DERIVAS!H12</f>
        <v>-3.1392351890185383E-2</v>
      </c>
      <c r="F12" s="129">
        <f>(+DERIVAS!F12-DERIVAS!I12)/DERIVAS!I12</f>
        <v>-3.6364793671284985E-2</v>
      </c>
      <c r="G12" s="130">
        <f>(+DERIVAS!G12-DERIVAS!J12)/DERIVAS!J12</f>
        <v>-8.9980441752819998E-4</v>
      </c>
      <c r="H12" s="128">
        <f>(+DERIVAS!E12-DERIVAS!F12)/DERIVAS!F12</f>
        <v>2.0315096532462384E-2</v>
      </c>
      <c r="I12" s="131">
        <f>(+DERIVAS!E12-DERIVAS!G12)/DERIVAS!G12</f>
        <v>-1.7549219007385933E-2</v>
      </c>
    </row>
    <row r="13" spans="2:10" x14ac:dyDescent="0.3">
      <c r="B13" s="100"/>
      <c r="C13" s="119"/>
      <c r="D13" s="18" t="s">
        <v>14</v>
      </c>
      <c r="E13" s="128">
        <f>(+DERIVAS!E13-DERIVAS!H13)/DERIVAS!H13</f>
        <v>-4.8229071691038537E-2</v>
      </c>
      <c r="F13" s="129">
        <f>(+DERIVAS!F13-DERIVAS!I13)/DERIVAS!I13</f>
        <v>-5.5067443699468394E-2</v>
      </c>
      <c r="G13" s="130">
        <f>(+DERIVAS!G13-DERIVAS!J13)/DERIVAS!J13</f>
        <v>-7.0027453293727681E-3</v>
      </c>
      <c r="H13" s="128">
        <f>(+DERIVAS!E13-DERIVAS!F13)/DERIVAS!F13</f>
        <v>1.758735807204093E-2</v>
      </c>
      <c r="I13" s="131">
        <f>(+DERIVAS!E13-DERIVAS!G13)/DERIVAS!G13</f>
        <v>-3.7986355949115404E-2</v>
      </c>
    </row>
    <row r="14" spans="2:10" x14ac:dyDescent="0.3">
      <c r="B14" s="100"/>
      <c r="C14" s="119"/>
      <c r="D14" s="18" t="s">
        <v>15</v>
      </c>
      <c r="E14" s="128">
        <f>(+DERIVAS!E14-DERIVAS!H14)/DERIVAS!H14</f>
        <v>-6.8005385866101012E-2</v>
      </c>
      <c r="F14" s="129">
        <f>(+DERIVAS!F14-DERIVAS!I14)/DERIVAS!I14</f>
        <v>-7.4614587016953837E-2</v>
      </c>
      <c r="G14" s="130">
        <f>(+DERIVAS!G14-DERIVAS!J14)/DERIVAS!J14</f>
        <v>-1.4164974474016887E-2</v>
      </c>
      <c r="H14" s="128">
        <f>(+DERIVAS!E14-DERIVAS!F14)/DERIVAS!F14</f>
        <v>1.0283444641136414E-2</v>
      </c>
      <c r="I14" s="131">
        <f>(+DERIVAS!E14-DERIVAS!G14)/DERIVAS!G14</f>
        <v>-6.2194938273674026E-2</v>
      </c>
    </row>
    <row r="15" spans="2:10" ht="15" thickBot="1" x14ac:dyDescent="0.35">
      <c r="B15" s="101"/>
      <c r="C15" s="120"/>
      <c r="D15" s="20" t="s">
        <v>5</v>
      </c>
      <c r="E15" s="132">
        <f>(+DERIVAS!E15-DERIVAS!H15)/DERIVAS!H15</f>
        <v>-8.9806249716901834E-2</v>
      </c>
      <c r="F15" s="133">
        <f>(+DERIVAS!F15-DERIVAS!I15)/DERIVAS!I15</f>
        <v>-7.5652590836268116E-2</v>
      </c>
      <c r="G15" s="134">
        <f>(+DERIVAS!G15-DERIVAS!J15)/DERIVAS!J15</f>
        <v>-2.0252128539650961E-2</v>
      </c>
      <c r="H15" s="132">
        <f>(+DERIVAS!E15-DERIVAS!F15)/DERIVAS!F15</f>
        <v>-3.304427551917747E-2</v>
      </c>
      <c r="I15" s="135">
        <f>(+DERIVAS!E15-DERIVAS!G15)/DERIVAS!G15</f>
        <v>-0.10043137343605452</v>
      </c>
    </row>
    <row r="16" spans="2:10" x14ac:dyDescent="0.3">
      <c r="B16" s="99" t="s">
        <v>19</v>
      </c>
      <c r="C16" s="118" t="s">
        <v>21</v>
      </c>
      <c r="D16" s="19" t="s">
        <v>6</v>
      </c>
      <c r="E16" s="124">
        <f>(+DERIVAS!E16-DERIVAS!H16)/DERIVAS!H16</f>
        <v>0.31879592352673203</v>
      </c>
      <c r="F16" s="125">
        <f>(+DERIVAS!F16-DERIVAS!I16)/DERIVAS!I16</f>
        <v>0.39558474534638904</v>
      </c>
      <c r="G16" s="126">
        <f>(+DERIVAS!G16-DERIVAS!J16)/DERIVAS!J16</f>
        <v>0.39070330941313425</v>
      </c>
      <c r="H16" s="124">
        <f>(+DERIVAS!E16-DERIVAS!F16)/DERIVAS!F16</f>
        <v>1.0064012978035412E-2</v>
      </c>
      <c r="I16" s="127">
        <f>(+DERIVAS!E16-DERIVAS!G16)/DERIVAS!G16</f>
        <v>6.5975553865837658E-2</v>
      </c>
    </row>
    <row r="17" spans="2:9" x14ac:dyDescent="0.3">
      <c r="B17" s="100"/>
      <c r="C17" s="119"/>
      <c r="D17" s="18" t="s">
        <v>7</v>
      </c>
      <c r="E17" s="128">
        <f>(+DERIVAS!E17-DERIVAS!H17)/DERIVAS!H17</f>
        <v>0.11888767051596115</v>
      </c>
      <c r="F17" s="129">
        <f>(+DERIVAS!F17-DERIVAS!I17)/DERIVAS!I17</f>
        <v>0.15549188235026906</v>
      </c>
      <c r="G17" s="130">
        <f>(+DERIVAS!G17-DERIVAS!J17)/DERIVAS!J17</f>
        <v>0.1711959714601439</v>
      </c>
      <c r="H17" s="128">
        <f>(+DERIVAS!E17-DERIVAS!F17)/DERIVAS!F17</f>
        <v>1.9889366758390491E-2</v>
      </c>
      <c r="I17" s="131">
        <f>(+DERIVAS!E17-DERIVAS!G17)/DERIVAS!G17</f>
        <v>3.9184289580089056E-3</v>
      </c>
    </row>
    <row r="18" spans="2:9" x14ac:dyDescent="0.3">
      <c r="B18" s="100"/>
      <c r="C18" s="119"/>
      <c r="D18" s="18" t="s">
        <v>8</v>
      </c>
      <c r="E18" s="128">
        <f>(+DERIVAS!E18-DERIVAS!H18)/DERIVAS!H18</f>
        <v>4.3779752878789303E-2</v>
      </c>
      <c r="F18" s="129">
        <f>(+DERIVAS!F18-DERIVAS!I18)/DERIVAS!I18</f>
        <v>4.7918328082617513E-2</v>
      </c>
      <c r="G18" s="130">
        <f>(+DERIVAS!G18-DERIVAS!J18)/DERIVAS!J18</f>
        <v>3.0198304319340865E-2</v>
      </c>
      <c r="H18" s="128">
        <f>(+DERIVAS!E18-DERIVAS!F18)/DERIVAS!F18</f>
        <v>2.8639396965424307E-2</v>
      </c>
      <c r="I18" s="131">
        <f>(+DERIVAS!E18-DERIVAS!G18)/DERIVAS!G18</f>
        <v>6.0993253065082645E-2</v>
      </c>
    </row>
    <row r="19" spans="2:9" x14ac:dyDescent="0.3">
      <c r="B19" s="100"/>
      <c r="C19" s="119"/>
      <c r="D19" s="18" t="s">
        <v>9</v>
      </c>
      <c r="E19" s="128">
        <f>(+DERIVAS!E19-DERIVAS!H19)/DERIVAS!H19</f>
        <v>3.24099382152214E-3</v>
      </c>
      <c r="F19" s="129">
        <f>(+DERIVAS!F19-DERIVAS!I19)/DERIVAS!I19</f>
        <v>-1.362897428925325E-2</v>
      </c>
      <c r="G19" s="130">
        <f>(+DERIVAS!G19-DERIVAS!J19)/DERIVAS!J19</f>
        <v>-4.6205433105613376E-2</v>
      </c>
      <c r="H19" s="128">
        <f>(+DERIVAS!E19-DERIVAS!F19)/DERIVAS!F19</f>
        <v>3.9698012012681881E-2</v>
      </c>
      <c r="I19" s="131">
        <f>(+DERIVAS!E19-DERIVAS!G19)/DERIVAS!G19</f>
        <v>9.9460901004254407E-2</v>
      </c>
    </row>
    <row r="20" spans="2:9" x14ac:dyDescent="0.3">
      <c r="B20" s="100"/>
      <c r="C20" s="119"/>
      <c r="D20" s="18" t="s">
        <v>10</v>
      </c>
      <c r="E20" s="128">
        <f>(+DERIVAS!E20-DERIVAS!H20)/DERIVAS!H20</f>
        <v>-2.0317868360460095E-2</v>
      </c>
      <c r="F20" s="129">
        <f>(+DERIVAS!F20-DERIVAS!I20)/DERIVAS!I20</f>
        <v>-4.8047852146974671E-2</v>
      </c>
      <c r="G20" s="130">
        <f>(+DERIVAS!G20-DERIVAS!J20)/DERIVAS!J20</f>
        <v>-8.9157570362273356E-2</v>
      </c>
      <c r="H20" s="128">
        <f>(+DERIVAS!E20-DERIVAS!F20)/DERIVAS!F20</f>
        <v>4.5798287553621829E-2</v>
      </c>
      <c r="I20" s="131">
        <f>(+DERIVAS!E20-DERIVAS!G20)/DERIVAS!G20</f>
        <v>0.12327045054655283</v>
      </c>
    </row>
    <row r="21" spans="2:9" x14ac:dyDescent="0.3">
      <c r="B21" s="100"/>
      <c r="C21" s="119"/>
      <c r="D21" s="18" t="s">
        <v>11</v>
      </c>
      <c r="E21" s="128">
        <f>(+DERIVAS!E21-DERIVAS!H21)/DERIVAS!H21</f>
        <v>-3.7471419149538006E-2</v>
      </c>
      <c r="F21" s="129">
        <f>(+DERIVAS!F21-DERIVAS!I21)/DERIVAS!I21</f>
        <v>-7.1919575457927709E-2</v>
      </c>
      <c r="G21" s="130">
        <f>(+DERIVAS!G21-DERIVAS!J21)/DERIVAS!J21</f>
        <v>-0.11166973180024332</v>
      </c>
      <c r="H21" s="128">
        <f>(+DERIVAS!E21-DERIVAS!F21)/DERIVAS!F21</f>
        <v>5.1041370349096199E-2</v>
      </c>
      <c r="I21" s="131">
        <f>(+DERIVAS!E21-DERIVAS!G21)/DERIVAS!G21</f>
        <v>0.13258119803285243</v>
      </c>
    </row>
    <row r="22" spans="2:9" x14ac:dyDescent="0.3">
      <c r="B22" s="100"/>
      <c r="C22" s="119"/>
      <c r="D22" s="18" t="s">
        <v>12</v>
      </c>
      <c r="E22" s="128">
        <f>(+DERIVAS!E22-DERIVAS!H22)/DERIVAS!H22</f>
        <v>-5.2409376979454018E-2</v>
      </c>
      <c r="F22" s="129">
        <f>(+DERIVAS!F22-DERIVAS!I22)/DERIVAS!I22</f>
        <v>-8.5744393423256418E-2</v>
      </c>
      <c r="G22" s="130">
        <f>(+DERIVAS!G22-DERIVAS!J22)/DERIVAS!J22</f>
        <v>-8.6998548921474531E-2</v>
      </c>
      <c r="H22" s="128">
        <f>(+DERIVAS!E22-DERIVAS!F22)/DERIVAS!F22</f>
        <v>6.8940327837493862E-2</v>
      </c>
      <c r="I22" s="131">
        <f>(+DERIVAS!E22-DERIVAS!G22)/DERIVAS!G22</f>
        <v>0.11110797138815094</v>
      </c>
    </row>
    <row r="23" spans="2:9" x14ac:dyDescent="0.3">
      <c r="B23" s="100"/>
      <c r="C23" s="119"/>
      <c r="D23" s="18" t="s">
        <v>13</v>
      </c>
      <c r="E23" s="128">
        <f>(+DERIVAS!E23-DERIVAS!H23)/DERIVAS!H23</f>
        <v>-6.7673453997466354E-2</v>
      </c>
      <c r="F23" s="129">
        <f>(+DERIVAS!F23-DERIVAS!I23)/DERIVAS!I23</f>
        <v>-0.10281524624710585</v>
      </c>
      <c r="G23" s="130">
        <f>(+DERIVAS!G23-DERIVAS!J23)/DERIVAS!J23</f>
        <v>-6.5097739511491129E-2</v>
      </c>
      <c r="H23" s="128">
        <f>(+DERIVAS!E23-DERIVAS!F23)/DERIVAS!F23</f>
        <v>9.1104964096758737E-2</v>
      </c>
      <c r="I23" s="131">
        <f>(+DERIVAS!E23-DERIVAS!G23)/DERIVAS!G23</f>
        <v>9.282874328486429E-2</v>
      </c>
    </row>
    <row r="24" spans="2:9" x14ac:dyDescent="0.3">
      <c r="B24" s="100"/>
      <c r="C24" s="119"/>
      <c r="D24" s="18" t="s">
        <v>14</v>
      </c>
      <c r="E24" s="128">
        <f>(+DERIVAS!E24-DERIVAS!H24)/DERIVAS!H24</f>
        <v>-8.529380294433983E-2</v>
      </c>
      <c r="F24" s="129">
        <f>(+DERIVAS!F24-DERIVAS!I24)/DERIVAS!I24</f>
        <v>-0.12708914972870447</v>
      </c>
      <c r="G24" s="130">
        <f>(+DERIVAS!G24-DERIVAS!J24)/DERIVAS!J24</f>
        <v>-6.1162753845777573E-2</v>
      </c>
      <c r="H24" s="128">
        <f>(+DERIVAS!E24-DERIVAS!F24)/DERIVAS!F24</f>
        <v>0.10122195882404435</v>
      </c>
      <c r="I24" s="131">
        <f>(+DERIVAS!E24-DERIVAS!G24)/DERIVAS!G24</f>
        <v>7.0039910281217005E-2</v>
      </c>
    </row>
    <row r="25" spans="2:9" x14ac:dyDescent="0.3">
      <c r="B25" s="100"/>
      <c r="C25" s="119"/>
      <c r="D25" s="18" t="s">
        <v>15</v>
      </c>
      <c r="E25" s="128">
        <f>(+DERIVAS!E25-DERIVAS!H25)/DERIVAS!H25</f>
        <v>-0.10589280722378101</v>
      </c>
      <c r="F25" s="129">
        <f>(+DERIVAS!F25-DERIVAS!I25)/DERIVAS!I25</f>
        <v>-0.15110904402018668</v>
      </c>
      <c r="G25" s="130">
        <f>(+DERIVAS!G25-DERIVAS!J25)/DERIVAS!J25</f>
        <v>-5.6694580757837738E-2</v>
      </c>
      <c r="H25" s="128">
        <f>(+DERIVAS!E25-DERIVAS!F25)/DERIVAS!F25</f>
        <v>0.10589813517958006</v>
      </c>
      <c r="I25" s="131">
        <f>(+DERIVAS!E25-DERIVAS!G25)/DERIVAS!G25</f>
        <v>4.3187475531300194E-2</v>
      </c>
    </row>
    <row r="26" spans="2:9" ht="15" thickBot="1" x14ac:dyDescent="0.35">
      <c r="B26" s="101"/>
      <c r="C26" s="120"/>
      <c r="D26" s="20" t="s">
        <v>5</v>
      </c>
      <c r="E26" s="132">
        <f>(+DERIVAS!E26-DERIVAS!H26)/DERIVAS!H26</f>
        <v>-0.13447552975463806</v>
      </c>
      <c r="F26" s="133">
        <f>(+DERIVAS!F26-DERIVAS!I26)/DERIVAS!I26</f>
        <v>-0.13747538887667124</v>
      </c>
      <c r="G26" s="134">
        <f>(+DERIVAS!G26-DERIVAS!J26)/DERIVAS!J26</f>
        <v>-4.8275624016879001E-2</v>
      </c>
      <c r="H26" s="132">
        <f>(+DERIVAS!E26-DERIVAS!F26)/DERIVAS!F26</f>
        <v>3.7019827188796588E-2</v>
      </c>
      <c r="I26" s="135">
        <f>(+DERIVAS!E26-DERIVAS!G26)/DERIVAS!G26</f>
        <v>-9.8404535496316951E-3</v>
      </c>
    </row>
    <row r="27" spans="2:9" x14ac:dyDescent="0.3">
      <c r="B27" s="99" t="s">
        <v>19</v>
      </c>
      <c r="C27" s="118" t="s">
        <v>22</v>
      </c>
      <c r="D27" s="19" t="s">
        <v>6</v>
      </c>
      <c r="E27" s="124">
        <f>(+DERIVAS!E27-DERIVAS!H27)/DERIVAS!H27</f>
        <v>0.42761935976927751</v>
      </c>
      <c r="F27" s="125">
        <f>(+DERIVAS!F27-DERIVAS!I27)/DERIVAS!I27</f>
        <v>0.22043631623572069</v>
      </c>
      <c r="G27" s="126">
        <f>(+DERIVAS!G27-DERIVAS!J27)/DERIVAS!J27</f>
        <v>0.15998819357034597</v>
      </c>
      <c r="H27" s="124">
        <f>(+DERIVAS!E27-DERIVAS!F27)/DERIVAS!F27</f>
        <v>-0.45307051514617508</v>
      </c>
      <c r="I27" s="127">
        <f>(+DERIVAS!E27-DERIVAS!G27)/DERIVAS!G27</f>
        <v>-0.63021865664916965</v>
      </c>
    </row>
    <row r="28" spans="2:9" x14ac:dyDescent="0.3">
      <c r="B28" s="100"/>
      <c r="C28" s="119"/>
      <c r="D28" s="18" t="s">
        <v>7</v>
      </c>
      <c r="E28" s="128">
        <f>(+DERIVAS!E28-DERIVAS!H28)/DERIVAS!H28</f>
        <v>-5.5029846677475659E-2</v>
      </c>
      <c r="F28" s="129">
        <f>(+DERIVAS!F28-DERIVAS!I28)/DERIVAS!I28</f>
        <v>-1.3448131930377356E-3</v>
      </c>
      <c r="G28" s="130">
        <f>(+DERIVAS!G28-DERIVAS!J28)/DERIVAS!J28</f>
        <v>7.1017356867494358E-2</v>
      </c>
      <c r="H28" s="128">
        <f>(+DERIVAS!E28-DERIVAS!F28)/DERIVAS!F28</f>
        <v>-0.31657876578116156</v>
      </c>
      <c r="I28" s="131">
        <f>(+DERIVAS!E28-DERIVAS!G28)/DERIVAS!G28</f>
        <v>-0.5464605435633404</v>
      </c>
    </row>
    <row r="29" spans="2:9" x14ac:dyDescent="0.3">
      <c r="B29" s="100"/>
      <c r="C29" s="119"/>
      <c r="D29" s="18" t="s">
        <v>8</v>
      </c>
      <c r="E29" s="128">
        <f>(+DERIVAS!E29-DERIVAS!H29)/DERIVAS!H29</f>
        <v>-4.4333360408955698E-2</v>
      </c>
      <c r="F29" s="129">
        <f>(+DERIVAS!F29-DERIVAS!I29)/DERIVAS!I29</f>
        <v>-9.131741193447368E-2</v>
      </c>
      <c r="G29" s="130">
        <f>(+DERIVAS!G29-DERIVAS!J29)/DERIVAS!J29</f>
        <v>-2.5626295734295038E-2</v>
      </c>
      <c r="H29" s="128">
        <f>(+DERIVAS!E29-DERIVAS!F29)/DERIVAS!F29</f>
        <v>-0.20959393063799303</v>
      </c>
      <c r="I29" s="131">
        <f>(+DERIVAS!E29-DERIVAS!G29)/DERIVAS!G29</f>
        <v>-0.43576101042396376</v>
      </c>
    </row>
    <row r="30" spans="2:9" x14ac:dyDescent="0.3">
      <c r="B30" s="100"/>
      <c r="C30" s="119"/>
      <c r="D30" s="18" t="s">
        <v>9</v>
      </c>
      <c r="E30" s="128">
        <f>(+DERIVAS!E30-DERIVAS!H30)/DERIVAS!H30</f>
        <v>-3.7190009116912295E-2</v>
      </c>
      <c r="F30" s="129">
        <f>(+DERIVAS!F30-DERIVAS!I30)/DERIVAS!I30</f>
        <v>-0.13110724346017041</v>
      </c>
      <c r="G30" s="130">
        <f>(+DERIVAS!G30-DERIVAS!J30)/DERIVAS!J30</f>
        <v>-8.5817882676483673E-2</v>
      </c>
      <c r="H30" s="128">
        <f>(+DERIVAS!E30-DERIVAS!F30)/DERIVAS!F30</f>
        <v>-0.14241991326745587</v>
      </c>
      <c r="I30" s="131">
        <f>(+DERIVAS!E30-DERIVAS!G30)/DERIVAS!G30</f>
        <v>-0.35107496915597614</v>
      </c>
    </row>
    <row r="31" spans="2:9" x14ac:dyDescent="0.3">
      <c r="B31" s="100"/>
      <c r="C31" s="119"/>
      <c r="D31" s="18" t="s">
        <v>10</v>
      </c>
      <c r="E31" s="128">
        <f>(+DERIVAS!E31-DERIVAS!H31)/DERIVAS!H31</f>
        <v>-3.2123730423181514E-2</v>
      </c>
      <c r="F31" s="129">
        <f>(+DERIVAS!F31-DERIVAS!I31)/DERIVAS!I31</f>
        <v>-0.11095138753045844</v>
      </c>
      <c r="G31" s="130">
        <f>(+DERIVAS!G31-DERIVAS!J31)/DERIVAS!J31</f>
        <v>-0.12414174676368418</v>
      </c>
      <c r="H31" s="128">
        <f>(+DERIVAS!E31-DERIVAS!F31)/DERIVAS!F31</f>
        <v>-0.1406816505464743</v>
      </c>
      <c r="I31" s="131">
        <f>(+DERIVAS!E31-DERIVAS!G31)/DERIVAS!G31</f>
        <v>-0.28725254101126885</v>
      </c>
    </row>
    <row r="32" spans="2:9" x14ac:dyDescent="0.3">
      <c r="B32" s="100"/>
      <c r="C32" s="119"/>
      <c r="D32" s="18" t="s">
        <v>11</v>
      </c>
      <c r="E32" s="128">
        <f>(+DERIVAS!E32-DERIVAS!H32)/DERIVAS!H32</f>
        <v>-2.8730855884419308E-2</v>
      </c>
      <c r="F32" s="129">
        <f>(+DERIVAS!F32-DERIVAS!I32)/DERIVAS!I32</f>
        <v>-9.6911481648959408E-2</v>
      </c>
      <c r="G32" s="130">
        <f>(+DERIVAS!G32-DERIVAS!J32)/DERIVAS!J32</f>
        <v>-0.15397770596360405</v>
      </c>
      <c r="H32" s="128">
        <f>(+DERIVAS!E32-DERIVAS!F32)/DERIVAS!F32</f>
        <v>-0.13834646190750899</v>
      </c>
      <c r="I32" s="131">
        <f>(+DERIVAS!E32-DERIVAS!G32)/DERIVAS!G32</f>
        <v>-0.23320708321021197</v>
      </c>
    </row>
    <row r="33" spans="2:9" x14ac:dyDescent="0.3">
      <c r="B33" s="100"/>
      <c r="C33" s="119"/>
      <c r="D33" s="18" t="s">
        <v>12</v>
      </c>
      <c r="E33" s="128">
        <f>(+DERIVAS!E33-DERIVAS!H33)/DERIVAS!H33</f>
        <v>-2.6692848424186653E-2</v>
      </c>
      <c r="F33" s="129">
        <f>(+DERIVAS!F33-DERIVAS!I33)/DERIVAS!I33</f>
        <v>-8.0673596140674667E-2</v>
      </c>
      <c r="G33" s="130">
        <f>(+DERIVAS!G33-DERIVAS!J33)/DERIVAS!J33</f>
        <v>-0.17287944251687706</v>
      </c>
      <c r="H33" s="128">
        <f>(+DERIVAS!E33-DERIVAS!F33)/DERIVAS!F33</f>
        <v>-0.1381045402439964</v>
      </c>
      <c r="I33" s="131">
        <f>(+DERIVAS!E33-DERIVAS!G33)/DERIVAS!G33</f>
        <v>-0.18717419670553506</v>
      </c>
    </row>
    <row r="34" spans="2:9" x14ac:dyDescent="0.3">
      <c r="B34" s="100"/>
      <c r="C34" s="119"/>
      <c r="D34" s="18" t="s">
        <v>13</v>
      </c>
      <c r="E34" s="128">
        <f>(+DERIVAS!E34-DERIVAS!H34)/DERIVAS!H34</f>
        <v>-2.6204079549880792E-2</v>
      </c>
      <c r="F34" s="129">
        <f>(+DERIVAS!F34-DERIVAS!I34)/DERIVAS!I34</f>
        <v>-6.6332247629314153E-2</v>
      </c>
      <c r="G34" s="130">
        <f>(+DERIVAS!G34-DERIVAS!J34)/DERIVAS!J34</f>
        <v>-0.14645681051610313</v>
      </c>
      <c r="H34" s="128">
        <f>(+DERIVAS!E34-DERIVAS!F34)/DERIVAS!F34</f>
        <v>-0.14008188442141967</v>
      </c>
      <c r="I34" s="131">
        <f>(+DERIVAS!E34-DERIVAS!G34)/DERIVAS!G34</f>
        <v>-0.18844287296329121</v>
      </c>
    </row>
    <row r="35" spans="2:9" x14ac:dyDescent="0.3">
      <c r="B35" s="100"/>
      <c r="C35" s="119"/>
      <c r="D35" s="18" t="s">
        <v>14</v>
      </c>
      <c r="E35" s="128">
        <f>(+DERIVAS!E35-DERIVAS!H35)/DERIVAS!H35</f>
        <v>-2.6547168670926186E-2</v>
      </c>
      <c r="F35" s="129">
        <f>(+DERIVAS!F35-DERIVAS!I35)/DERIVAS!I35</f>
        <v>-5.7466093223190316E-2</v>
      </c>
      <c r="G35" s="130">
        <f>(+DERIVAS!G35-DERIVAS!J35)/DERIVAS!J35</f>
        <v>-0.12430659294201424</v>
      </c>
      <c r="H35" s="128">
        <f>(+DERIVAS!E35-DERIVAS!F35)/DERIVAS!F35</f>
        <v>-0.14210929182926987</v>
      </c>
      <c r="I35" s="131">
        <f>(+DERIVAS!E35-DERIVAS!G35)/DERIVAS!G35</f>
        <v>-0.19003476998274732</v>
      </c>
    </row>
    <row r="36" spans="2:9" x14ac:dyDescent="0.3">
      <c r="B36" s="100"/>
      <c r="C36" s="119"/>
      <c r="D36" s="18" t="s">
        <v>15</v>
      </c>
      <c r="E36" s="128">
        <f>(+DERIVAS!E36-DERIVAS!H36)/DERIVAS!H36</f>
        <v>-2.6407080874823609E-2</v>
      </c>
      <c r="F36" s="129">
        <f>(+DERIVAS!F36-DERIVAS!I36)/DERIVAS!I36</f>
        <v>-5.060403073216975E-2</v>
      </c>
      <c r="G36" s="130">
        <f>(+DERIVAS!G36-DERIVAS!J36)/DERIVAS!J36</f>
        <v>-0.10115641855646566</v>
      </c>
      <c r="H36" s="128">
        <f>(+DERIVAS!E36-DERIVAS!F36)/DERIVAS!F36</f>
        <v>-0.14361081235521844</v>
      </c>
      <c r="I36" s="131">
        <f>(+DERIVAS!E36-DERIVAS!G36)/DERIVAS!G36</f>
        <v>-0.1906873401955044</v>
      </c>
    </row>
    <row r="37" spans="2:9" ht="15" thickBot="1" x14ac:dyDescent="0.35">
      <c r="B37" s="101"/>
      <c r="C37" s="120"/>
      <c r="D37" s="20" t="s">
        <v>5</v>
      </c>
      <c r="E37" s="132">
        <f>(+DERIVAS!E37-DERIVAS!H37)/DERIVAS!H37</f>
        <v>-8.5691567001601326E-2</v>
      </c>
      <c r="F37" s="133">
        <f>(+DERIVAS!F37-DERIVAS!I37)/DERIVAS!I37</f>
        <v>-5.3881957907353416E-2</v>
      </c>
      <c r="G37" s="134">
        <f>(+DERIVAS!G37-DERIVAS!J37)/DERIVAS!J37</f>
        <v>-8.2964639014255784E-2</v>
      </c>
      <c r="H37" s="132">
        <f>(+DERIVAS!E37-DERIVAS!F37)/DERIVAS!F37</f>
        <v>-0.13949754614186519</v>
      </c>
      <c r="I37" s="135">
        <f>(+DERIVAS!E37-DERIVAS!G37)/DERIVAS!G37</f>
        <v>-0.17933711010013403</v>
      </c>
    </row>
    <row r="38" spans="2:9" x14ac:dyDescent="0.3">
      <c r="B38" s="99" t="s">
        <v>19</v>
      </c>
      <c r="C38" s="118" t="s">
        <v>23</v>
      </c>
      <c r="D38" s="19" t="s">
        <v>6</v>
      </c>
      <c r="E38" s="124">
        <f>(+DERIVAS!E38-DERIVAS!H38)/DERIVAS!H38</f>
        <v>0.38712320179373771</v>
      </c>
      <c r="F38" s="125">
        <f>(+DERIVAS!F38-DERIVAS!I38)/DERIVAS!I38</f>
        <v>0.23982415876152516</v>
      </c>
      <c r="G38" s="126">
        <f>(+DERIVAS!G38-DERIVAS!J38)/DERIVAS!J38</f>
        <v>0.18858094351844368</v>
      </c>
      <c r="H38" s="124">
        <f>(+DERIVAS!E38-DERIVAS!F38)/DERIVAS!F38</f>
        <v>-0.36318888724568504</v>
      </c>
      <c r="I38" s="127">
        <f>(+DERIVAS!E38-DERIVAS!G38)/DERIVAS!G38</f>
        <v>-0.58199262964850973</v>
      </c>
    </row>
    <row r="39" spans="2:9" x14ac:dyDescent="0.3">
      <c r="B39" s="100"/>
      <c r="C39" s="119"/>
      <c r="D39" s="18" t="s">
        <v>7</v>
      </c>
      <c r="E39" s="128">
        <f>(+DERIVAS!E39-DERIVAS!H39)/DERIVAS!H39</f>
        <v>-4.9512701102017914E-2</v>
      </c>
      <c r="F39" s="129">
        <f>(+DERIVAS!F39-DERIVAS!I39)/DERIVAS!I39</f>
        <v>-1.4274122935675668E-3</v>
      </c>
      <c r="G39" s="130">
        <f>(+DERIVAS!G39-DERIVAS!J39)/DERIVAS!J39</f>
        <v>9.8494923030522513E-2</v>
      </c>
      <c r="H39" s="128">
        <f>(+DERIVAS!E39-DERIVAS!F39)/DERIVAS!F39</f>
        <v>-0.14383014847091663</v>
      </c>
      <c r="I39" s="131">
        <f>(+DERIVAS!E39-DERIVAS!G39)/DERIVAS!G39</f>
        <v>-0.38167554738918935</v>
      </c>
    </row>
    <row r="40" spans="2:9" x14ac:dyDescent="0.3">
      <c r="B40" s="100"/>
      <c r="C40" s="119"/>
      <c r="D40" s="18" t="s">
        <v>8</v>
      </c>
      <c r="E40" s="128">
        <f>(+DERIVAS!E40-DERIVAS!H40)/DERIVAS!H40</f>
        <v>-3.6760453633066202E-2</v>
      </c>
      <c r="F40" s="129">
        <f>(+DERIVAS!F40-DERIVAS!I40)/DERIVAS!I40</f>
        <v>1.7608120359048667E-2</v>
      </c>
      <c r="G40" s="130">
        <f>(+DERIVAS!G40-DERIVAS!J40)/DERIVAS!J40</f>
        <v>5.7101046829732887E-3</v>
      </c>
      <c r="H40" s="128">
        <f>(+DERIVAS!E40-DERIVAS!F40)/DERIVAS!F40</f>
        <v>-0.14944094416979742</v>
      </c>
      <c r="I40" s="131">
        <f>(+DERIVAS!E40-DERIVAS!G40)/DERIVAS!G40</f>
        <v>-0.20060275206432177</v>
      </c>
    </row>
    <row r="41" spans="2:9" x14ac:dyDescent="0.3">
      <c r="B41" s="100"/>
      <c r="C41" s="119"/>
      <c r="D41" s="18" t="s">
        <v>9</v>
      </c>
      <c r="E41" s="128">
        <f>(+DERIVAS!E41-DERIVAS!H41)/DERIVAS!H41</f>
        <v>-2.7750153388908138E-2</v>
      </c>
      <c r="F41" s="129">
        <f>(+DERIVAS!F41-DERIVAS!I41)/DERIVAS!I41</f>
        <v>2.8475880718607481E-2</v>
      </c>
      <c r="G41" s="130">
        <f>(+DERIVAS!G41-DERIVAS!J41)/DERIVAS!J41</f>
        <v>3.254837593733842E-2</v>
      </c>
      <c r="H41" s="128">
        <f>(+DERIVAS!E41-DERIVAS!F41)/DERIVAS!F41</f>
        <v>-0.14783765833243814</v>
      </c>
      <c r="I41" s="131">
        <f>(+DERIVAS!E41-DERIVAS!G41)/DERIVAS!G41</f>
        <v>-0.16534253126571488</v>
      </c>
    </row>
    <row r="42" spans="2:9" x14ac:dyDescent="0.3">
      <c r="B42" s="100"/>
      <c r="C42" s="119"/>
      <c r="D42" s="18" t="s">
        <v>10</v>
      </c>
      <c r="E42" s="128">
        <f>(+DERIVAS!E42-DERIVAS!H42)/DERIVAS!H42</f>
        <v>-2.1573850685120056E-2</v>
      </c>
      <c r="F42" s="129">
        <f>(+DERIVAS!F42-DERIVAS!I42)/DERIVAS!I42</f>
        <v>3.419046957795837E-2</v>
      </c>
      <c r="G42" s="130">
        <f>(+DERIVAS!G42-DERIVAS!J42)/DERIVAS!J42</f>
        <v>3.7179061822521682E-2</v>
      </c>
      <c r="H42" s="128">
        <f>(+DERIVAS!E42-DERIVAS!F42)/DERIVAS!F42</f>
        <v>-0.14349573510020522</v>
      </c>
      <c r="I42" s="131">
        <f>(+DERIVAS!E42-DERIVAS!G42)/DERIVAS!G42</f>
        <v>-0.15723031464345849</v>
      </c>
    </row>
    <row r="43" spans="2:9" x14ac:dyDescent="0.3">
      <c r="B43" s="100"/>
      <c r="C43" s="119"/>
      <c r="D43" s="18" t="s">
        <v>11</v>
      </c>
      <c r="E43" s="128">
        <f>(+DERIVAS!E43-DERIVAS!H43)/DERIVAS!H43</f>
        <v>-1.7433341961022902E-2</v>
      </c>
      <c r="F43" s="129">
        <f>(+DERIVAS!F43-DERIVAS!I43)/DERIVAS!I43</f>
        <v>3.7583391258661905E-2</v>
      </c>
      <c r="G43" s="130">
        <f>(+DERIVAS!G43-DERIVAS!J43)/DERIVAS!J43</f>
        <v>3.9739874020184307E-2</v>
      </c>
      <c r="H43" s="128">
        <f>(+DERIVAS!E43-DERIVAS!F43)/DERIVAS!F43</f>
        <v>-0.13932626570218334</v>
      </c>
      <c r="I43" s="131">
        <f>(+DERIVAS!E43-DERIVAS!G43)/DERIVAS!G43</f>
        <v>-0.14991843174769842</v>
      </c>
    </row>
    <row r="44" spans="2:9" x14ac:dyDescent="0.3">
      <c r="B44" s="100"/>
      <c r="C44" s="119"/>
      <c r="D44" s="18" t="s">
        <v>12</v>
      </c>
      <c r="E44" s="128">
        <f>(+DERIVAS!E44-DERIVAS!H44)/DERIVAS!H44</f>
        <v>-1.4831970091344356E-2</v>
      </c>
      <c r="F44" s="129">
        <f>(+DERIVAS!F44-DERIVAS!I44)/DERIVAS!I44</f>
        <v>4.0043541969863032E-2</v>
      </c>
      <c r="G44" s="130">
        <f>(+DERIVAS!G44-DERIVAS!J44)/DERIVAS!J44</f>
        <v>4.1233828127875169E-2</v>
      </c>
      <c r="H44" s="128">
        <f>(+DERIVAS!E44-DERIVAS!F44)/DERIVAS!F44</f>
        <v>-0.13708715070819369</v>
      </c>
      <c r="I44" s="131">
        <f>(+DERIVAS!E44-DERIVAS!G44)/DERIVAS!G44</f>
        <v>-0.14500286051389777</v>
      </c>
    </row>
    <row r="45" spans="2:9" x14ac:dyDescent="0.3">
      <c r="B45" s="100"/>
      <c r="C45" s="119"/>
      <c r="D45" s="18" t="s">
        <v>13</v>
      </c>
      <c r="E45" s="128">
        <f>(+DERIVAS!E45-DERIVAS!H45)/DERIVAS!H45</f>
        <v>-1.3762224233936783E-2</v>
      </c>
      <c r="F45" s="129">
        <f>(+DERIVAS!F45-DERIVAS!I45)/DERIVAS!I45</f>
        <v>4.2445625893293842E-2</v>
      </c>
      <c r="G45" s="130">
        <f>(+DERIVAS!G45-DERIVAS!J45)/DERIVAS!J45</f>
        <v>4.3307371377708674E-2</v>
      </c>
      <c r="H45" s="128">
        <f>(+DERIVAS!E45-DERIVAS!F45)/DERIVAS!F45</f>
        <v>-0.13695231043574688</v>
      </c>
      <c r="I45" s="131">
        <f>(+DERIVAS!E45-DERIVAS!G45)/DERIVAS!G45</f>
        <v>-0.14360336809739571</v>
      </c>
    </row>
    <row r="46" spans="2:9" x14ac:dyDescent="0.3">
      <c r="B46" s="100"/>
      <c r="C46" s="119"/>
      <c r="D46" s="18" t="s">
        <v>14</v>
      </c>
      <c r="E46" s="128">
        <f>(+DERIVAS!E46-DERIVAS!H46)/DERIVAS!H46</f>
        <v>-1.3580043159261486E-2</v>
      </c>
      <c r="F46" s="129">
        <f>(+DERIVAS!F46-DERIVAS!I46)/DERIVAS!I46</f>
        <v>4.4317496997956542E-2</v>
      </c>
      <c r="G46" s="130">
        <f>(+DERIVAS!G46-DERIVAS!J46)/DERIVAS!J46</f>
        <v>4.42260570137522E-2</v>
      </c>
      <c r="H46" s="128">
        <f>(+DERIVAS!E46-DERIVAS!F46)/DERIVAS!F46</f>
        <v>-0.13743374679082551</v>
      </c>
      <c r="I46" s="131">
        <f>(+DERIVAS!E46-DERIVAS!G46)/DERIVAS!G46</f>
        <v>-0.14316066276258535</v>
      </c>
    </row>
    <row r="47" spans="2:9" x14ac:dyDescent="0.3">
      <c r="B47" s="100"/>
      <c r="C47" s="119"/>
      <c r="D47" s="18" t="s">
        <v>15</v>
      </c>
      <c r="E47" s="128">
        <f>(+DERIVAS!E47-DERIVAS!H47)/DERIVAS!H47</f>
        <v>-1.3020774848703866E-2</v>
      </c>
      <c r="F47" s="129">
        <f>(+DERIVAS!F47-DERIVAS!I47)/DERIVAS!I47</f>
        <v>4.6786285720110191E-2</v>
      </c>
      <c r="G47" s="130">
        <f>(+DERIVAS!G47-DERIVAS!J47)/DERIVAS!J47</f>
        <v>4.5310501447953407E-2</v>
      </c>
      <c r="H47" s="128">
        <f>(+DERIVAS!E47-DERIVAS!F47)/DERIVAS!F47</f>
        <v>-0.1374748711470703</v>
      </c>
      <c r="I47" s="131">
        <f>(+DERIVAS!E47-DERIVAS!G47)/DERIVAS!G47</f>
        <v>-0.1419850527170757</v>
      </c>
    </row>
    <row r="48" spans="2:9" ht="15" thickBot="1" x14ac:dyDescent="0.35">
      <c r="B48" s="101"/>
      <c r="C48" s="120"/>
      <c r="D48" s="20" t="s">
        <v>5</v>
      </c>
      <c r="E48" s="132">
        <f>(+DERIVAS!E48-DERIVAS!H48)/DERIVAS!H48</f>
        <v>-1.1979454068164468E-2</v>
      </c>
      <c r="F48" s="133">
        <f>(+DERIVAS!F48-DERIVAS!I48)/DERIVAS!I48</f>
        <v>5.041064137617144E-2</v>
      </c>
      <c r="G48" s="134">
        <f>(+DERIVAS!G48-DERIVAS!J48)/DERIVAS!J48</f>
        <v>4.3943815073283432E-2</v>
      </c>
      <c r="H48" s="132">
        <f>(+DERIVAS!E48-DERIVAS!F48)/DERIVAS!F48</f>
        <v>-0.13725775027536988</v>
      </c>
      <c r="I48" s="135">
        <f>(+DERIVAS!E48-DERIVAS!G48)/DERIVAS!G48</f>
        <v>-0.13615680909873115</v>
      </c>
    </row>
    <row r="49" spans="5:9" ht="15" thickBot="1" x14ac:dyDescent="0.35">
      <c r="E49" s="105" t="s">
        <v>73</v>
      </c>
      <c r="F49" s="106"/>
      <c r="G49" s="107"/>
      <c r="H49" s="105" t="s">
        <v>74</v>
      </c>
      <c r="I49" s="107"/>
    </row>
  </sheetData>
  <mergeCells count="15">
    <mergeCell ref="E49:G49"/>
    <mergeCell ref="H49:I49"/>
    <mergeCell ref="B16:B26"/>
    <mergeCell ref="C16:C26"/>
    <mergeCell ref="B27:B37"/>
    <mergeCell ref="C27:C37"/>
    <mergeCell ref="B38:B48"/>
    <mergeCell ref="C38:C48"/>
    <mergeCell ref="B3:B4"/>
    <mergeCell ref="C3:C4"/>
    <mergeCell ref="D3:D4"/>
    <mergeCell ref="E3:G3"/>
    <mergeCell ref="H3:I3"/>
    <mergeCell ref="B5:B15"/>
    <mergeCell ref="C5:C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I49"/>
  <sheetViews>
    <sheetView topLeftCell="B5" zoomScale="55" zoomScaleNormal="55" workbookViewId="0">
      <selection activeCell="X69" sqref="X69"/>
    </sheetView>
  </sheetViews>
  <sheetFormatPr baseColWidth="10" defaultRowHeight="14.4" x14ac:dyDescent="0.3"/>
  <cols>
    <col min="1" max="1" width="9.21875" customWidth="1"/>
    <col min="2" max="2" width="15.5546875" customWidth="1"/>
    <col min="3" max="3" width="10.21875" customWidth="1"/>
    <col min="5" max="7" width="22.77734375" customWidth="1"/>
    <col min="8" max="8" width="27.77734375" customWidth="1"/>
    <col min="9" max="9" width="28.5546875" customWidth="1"/>
  </cols>
  <sheetData>
    <row r="3" spans="2:9" x14ac:dyDescent="0.3">
      <c r="B3" s="111" t="s">
        <v>2</v>
      </c>
      <c r="C3" s="111" t="s">
        <v>18</v>
      </c>
      <c r="D3" s="111" t="s">
        <v>4</v>
      </c>
      <c r="E3" s="114" t="s">
        <v>72</v>
      </c>
      <c r="F3" s="114"/>
      <c r="G3" s="114"/>
      <c r="H3" s="114" t="s">
        <v>75</v>
      </c>
      <c r="I3" s="114"/>
    </row>
    <row r="4" spans="2:9" ht="15" thickBot="1" x14ac:dyDescent="0.35">
      <c r="B4" s="121"/>
      <c r="C4" s="121"/>
      <c r="D4" s="121"/>
      <c r="E4" s="28" t="s">
        <v>30</v>
      </c>
      <c r="F4" s="28" t="s">
        <v>31</v>
      </c>
      <c r="G4" s="28" t="s">
        <v>32</v>
      </c>
      <c r="H4" s="28" t="s">
        <v>79</v>
      </c>
      <c r="I4" s="28" t="s">
        <v>71</v>
      </c>
    </row>
    <row r="5" spans="2:9" x14ac:dyDescent="0.3">
      <c r="B5" s="99" t="s">
        <v>33</v>
      </c>
      <c r="C5" s="118" t="s">
        <v>20</v>
      </c>
      <c r="D5" s="19" t="s">
        <v>6</v>
      </c>
      <c r="E5" s="124">
        <f>(+'IRRE TORSIONAL'!E5-'IRRE TORSIONAL'!H5)/'IRRE TORSIONAL'!H5</f>
        <v>6.2453399447520569E-3</v>
      </c>
      <c r="F5" s="125">
        <f>(+'IRRE TORSIONAL'!F5-'IRRE TORSIONAL'!I5)/'IRRE TORSIONAL'!I5</f>
        <v>6.3616293939871491E-3</v>
      </c>
      <c r="G5" s="126">
        <f>(+'IRRE TORSIONAL'!G5-'IRRE TORSIONAL'!J5)/'IRRE TORSIONAL'!J5</f>
        <v>1.3593160238284389E-2</v>
      </c>
      <c r="H5" s="124">
        <f>(+'IRRE TORSIONAL'!E5-'IRRE TORSIONAL'!F5)/'IRRE TORSIONAL'!E5</f>
        <v>5.609209620073931E-3</v>
      </c>
      <c r="I5" s="127">
        <f>(+'IRRE TORSIONAL'!E5-'IRRE TORSIONAL'!G5)/'IRRE TORSIONAL'!E5</f>
        <v>-1.742552471380711E-3</v>
      </c>
    </row>
    <row r="6" spans="2:9" x14ac:dyDescent="0.3">
      <c r="B6" s="100"/>
      <c r="C6" s="119"/>
      <c r="D6" s="18" t="s">
        <v>7</v>
      </c>
      <c r="E6" s="128">
        <f>(+'IRRE TORSIONAL'!E6-'IRRE TORSIONAL'!H6)/'IRRE TORSIONAL'!H6</f>
        <v>2.0176179340364062E-2</v>
      </c>
      <c r="F6" s="129">
        <f>(+'IRRE TORSIONAL'!F6-'IRRE TORSIONAL'!I6)/'IRRE TORSIONAL'!I6</f>
        <v>2.4418782998165019E-2</v>
      </c>
      <c r="G6" s="130">
        <f>(+'IRRE TORSIONAL'!G6-'IRRE TORSIONAL'!J6)/'IRRE TORSIONAL'!J6</f>
        <v>4.7271409471714231E-2</v>
      </c>
      <c r="H6" s="128">
        <f>(+'IRRE TORSIONAL'!E6-'IRRE TORSIONAL'!F6)/'IRRE TORSIONAL'!E6</f>
        <v>-5.8664779429062714E-3</v>
      </c>
      <c r="I6" s="131">
        <f>(+'IRRE TORSIONAL'!E6-'IRRE TORSIONAL'!G6)/'IRRE TORSIONAL'!E6</f>
        <v>-2.7952863093719936E-2</v>
      </c>
    </row>
    <row r="7" spans="2:9" x14ac:dyDescent="0.3">
      <c r="B7" s="100"/>
      <c r="C7" s="119"/>
      <c r="D7" s="18" t="s">
        <v>8</v>
      </c>
      <c r="E7" s="128">
        <f>(+'IRRE TORSIONAL'!E7-'IRRE TORSIONAL'!H7)/'IRRE TORSIONAL'!H7</f>
        <v>2.1083194343683914E-2</v>
      </c>
      <c r="F7" s="129">
        <f>(+'IRRE TORSIONAL'!F7-'IRRE TORSIONAL'!I7)/'IRRE TORSIONAL'!I7</f>
        <v>2.6173646359079403E-2</v>
      </c>
      <c r="G7" s="130">
        <f>(+'IRRE TORSIONAL'!G7-'IRRE TORSIONAL'!J7)/'IRRE TORSIONAL'!J7</f>
        <v>5.3109863015915727E-2</v>
      </c>
      <c r="H7" s="128">
        <f>(+'IRRE TORSIONAL'!E7-'IRRE TORSIONAL'!F7)/'IRRE TORSIONAL'!E7</f>
        <v>-7.2524816445579303E-3</v>
      </c>
      <c r="I7" s="131">
        <f>(+'IRRE TORSIONAL'!E7-'IRRE TORSIONAL'!G7)/'IRRE TORSIONAL'!E7</f>
        <v>-3.5090700067358663E-2</v>
      </c>
    </row>
    <row r="8" spans="2:9" x14ac:dyDescent="0.3">
      <c r="B8" s="100"/>
      <c r="C8" s="119"/>
      <c r="D8" s="18" t="s">
        <v>9</v>
      </c>
      <c r="E8" s="128">
        <f>(+'IRRE TORSIONAL'!E8-'IRRE TORSIONAL'!H8)/'IRRE TORSIONAL'!H8</f>
        <v>2.2018157792684543E-2</v>
      </c>
      <c r="F8" s="129">
        <f>(+'IRRE TORSIONAL'!F8-'IRRE TORSIONAL'!I8)/'IRRE TORSIONAL'!I8</f>
        <v>2.7868099254171434E-2</v>
      </c>
      <c r="G8" s="130">
        <f>(+'IRRE TORSIONAL'!G8-'IRRE TORSIONAL'!J8)/'IRRE TORSIONAL'!J8</f>
        <v>5.8491931350777973E-2</v>
      </c>
      <c r="H8" s="128">
        <f>(+'IRRE TORSIONAL'!E8-'IRRE TORSIONAL'!F8)/'IRRE TORSIONAL'!E8</f>
        <v>-8.6760608191861349E-3</v>
      </c>
      <c r="I8" s="131">
        <f>(+'IRRE TORSIONAL'!E8-'IRRE TORSIONAL'!G8)/'IRRE TORSIONAL'!E8</f>
        <v>-4.1769512053545468E-2</v>
      </c>
    </row>
    <row r="9" spans="2:9" x14ac:dyDescent="0.3">
      <c r="B9" s="100"/>
      <c r="C9" s="119"/>
      <c r="D9" s="18" t="s">
        <v>10</v>
      </c>
      <c r="E9" s="128">
        <f>(+'IRRE TORSIONAL'!E9-'IRRE TORSIONAL'!H9)/'IRRE TORSIONAL'!H9</f>
        <v>2.296102767429635E-2</v>
      </c>
      <c r="F9" s="129">
        <f>(+'IRRE TORSIONAL'!F9-'IRRE TORSIONAL'!I9)/'IRRE TORSIONAL'!I9</f>
        <v>2.9366375095999167E-2</v>
      </c>
      <c r="G9" s="130">
        <f>(+'IRRE TORSIONAL'!G9-'IRRE TORSIONAL'!J9)/'IRRE TORSIONAL'!J9</f>
        <v>6.3267457986068795E-2</v>
      </c>
      <c r="H9" s="128">
        <f>(+'IRRE TORSIONAL'!E9-'IRRE TORSIONAL'!F9)/'IRRE TORSIONAL'!E9</f>
        <v>-1.0040509446718289E-2</v>
      </c>
      <c r="I9" s="131">
        <f>(+'IRRE TORSIONAL'!E9-'IRRE TORSIONAL'!G9)/'IRRE TORSIONAL'!E9</f>
        <v>-4.8018207197598091E-2</v>
      </c>
    </row>
    <row r="10" spans="2:9" x14ac:dyDescent="0.3">
      <c r="B10" s="100"/>
      <c r="C10" s="119"/>
      <c r="D10" s="18" t="s">
        <v>11</v>
      </c>
      <c r="E10" s="128">
        <f>(+'IRRE TORSIONAL'!E10-'IRRE TORSIONAL'!H10)/'IRRE TORSIONAL'!H10</f>
        <v>2.3944653370782418E-2</v>
      </c>
      <c r="F10" s="129">
        <f>(+'IRRE TORSIONAL'!F10-'IRRE TORSIONAL'!I10)/'IRRE TORSIONAL'!I10</f>
        <v>3.0739022177755232E-2</v>
      </c>
      <c r="G10" s="130">
        <f>(+'IRRE TORSIONAL'!G10-'IRRE TORSIONAL'!J10)/'IRRE TORSIONAL'!J10</f>
        <v>6.7680347856032427E-2</v>
      </c>
      <c r="H10" s="128">
        <f>(+'IRRE TORSIONAL'!E10-'IRRE TORSIONAL'!F10)/'IRRE TORSIONAL'!E10</f>
        <v>-1.1471875484277951E-2</v>
      </c>
      <c r="I10" s="131">
        <f>(+'IRRE TORSIONAL'!E10-'IRRE TORSIONAL'!G10)/'IRRE TORSIONAL'!E10</f>
        <v>-5.4251316005209611E-2</v>
      </c>
    </row>
    <row r="11" spans="2:9" x14ac:dyDescent="0.3">
      <c r="B11" s="100"/>
      <c r="C11" s="119"/>
      <c r="D11" s="18" t="s">
        <v>12</v>
      </c>
      <c r="E11" s="128">
        <f>(+'IRRE TORSIONAL'!E11-'IRRE TORSIONAL'!H11)/'IRRE TORSIONAL'!H11</f>
        <v>2.4994821172268627E-2</v>
      </c>
      <c r="F11" s="129">
        <f>(+'IRRE TORSIONAL'!F11-'IRRE TORSIONAL'!I11)/'IRRE TORSIONAL'!I11</f>
        <v>3.2025475145473388E-2</v>
      </c>
      <c r="G11" s="130">
        <f>(+'IRRE TORSIONAL'!G11-'IRRE TORSIONAL'!J11)/'IRRE TORSIONAL'!J11</f>
        <v>7.1868589063658894E-2</v>
      </c>
      <c r="H11" s="128">
        <f>(+'IRRE TORSIONAL'!E11-'IRRE TORSIONAL'!F11)/'IRRE TORSIONAL'!E11</f>
        <v>-1.3082123233006157E-2</v>
      </c>
      <c r="I11" s="131">
        <f>(+'IRRE TORSIONAL'!E11-'IRRE TORSIONAL'!G11)/'IRRE TORSIONAL'!E11</f>
        <v>-6.0806903688322055E-2</v>
      </c>
    </row>
    <row r="12" spans="2:9" x14ac:dyDescent="0.3">
      <c r="B12" s="100"/>
      <c r="C12" s="119"/>
      <c r="D12" s="18" t="s">
        <v>13</v>
      </c>
      <c r="E12" s="128">
        <f>(+'IRRE TORSIONAL'!E12-'IRRE TORSIONAL'!H12)/'IRRE TORSIONAL'!H12</f>
        <v>2.616784736437135E-2</v>
      </c>
      <c r="F12" s="129">
        <f>(+'IRRE TORSIONAL'!F12-'IRRE TORSIONAL'!I12)/'IRRE TORSIONAL'!I12</f>
        <v>3.3349619220789231E-2</v>
      </c>
      <c r="G12" s="130">
        <f>(+'IRRE TORSIONAL'!G12-'IRRE TORSIONAL'!J12)/'IRRE TORSIONAL'!J12</f>
        <v>7.6510671665864699E-2</v>
      </c>
      <c r="H12" s="128">
        <f>(+'IRRE TORSIONAL'!E12-'IRRE TORSIONAL'!F12)/'IRRE TORSIONAL'!E12</f>
        <v>-1.4366659509156486E-2</v>
      </c>
      <c r="I12" s="131">
        <f>(+'IRRE TORSIONAL'!E12-'IRRE TORSIONAL'!G12)/'IRRE TORSIONAL'!E12</f>
        <v>-6.6849754834509417E-2</v>
      </c>
    </row>
    <row r="13" spans="2:9" x14ac:dyDescent="0.3">
      <c r="B13" s="100"/>
      <c r="C13" s="119"/>
      <c r="D13" s="18" t="s">
        <v>14</v>
      </c>
      <c r="E13" s="128">
        <f>(+'IRRE TORSIONAL'!E13-'IRRE TORSIONAL'!H13)/'IRRE TORSIONAL'!H13</f>
        <v>2.7872951812356085E-2</v>
      </c>
      <c r="F13" s="129">
        <f>(+'IRRE TORSIONAL'!F13-'IRRE TORSIONAL'!I13)/'IRRE TORSIONAL'!I13</f>
        <v>3.4435597091490938E-2</v>
      </c>
      <c r="G13" s="130">
        <f>(+'IRRE TORSIONAL'!G13-'IRRE TORSIONAL'!J13)/'IRRE TORSIONAL'!J13</f>
        <v>8.1493965816018032E-2</v>
      </c>
      <c r="H13" s="128">
        <f>(+'IRRE TORSIONAL'!E13-'IRRE TORSIONAL'!F13)/'IRRE TORSIONAL'!E13</f>
        <v>-1.4317541030472938E-2</v>
      </c>
      <c r="I13" s="131">
        <f>(+'IRRE TORSIONAL'!E13-'IRRE TORSIONAL'!G13)/'IRRE TORSIONAL'!E13</f>
        <v>-7.0900268232181526E-2</v>
      </c>
    </row>
    <row r="14" spans="2:9" x14ac:dyDescent="0.3">
      <c r="B14" s="100"/>
      <c r="C14" s="119"/>
      <c r="D14" s="18" t="s">
        <v>15</v>
      </c>
      <c r="E14" s="128">
        <f>(+'IRRE TORSIONAL'!E14-'IRRE TORSIONAL'!H14)/'IRRE TORSIONAL'!H14</f>
        <v>3.0269621305430046E-2</v>
      </c>
      <c r="F14" s="129">
        <f>(+'IRRE TORSIONAL'!F14-'IRRE TORSIONAL'!I14)/'IRRE TORSIONAL'!I14</f>
        <v>3.4378012536948312E-2</v>
      </c>
      <c r="G14" s="130">
        <f>(+'IRRE TORSIONAL'!G14-'IRRE TORSIONAL'!J14)/'IRRE TORSIONAL'!J14</f>
        <v>8.5259089689596002E-2</v>
      </c>
      <c r="H14" s="128">
        <f>(+'IRRE TORSIONAL'!E14-'IRRE TORSIONAL'!F14)/'IRRE TORSIONAL'!E14</f>
        <v>-1.2320032987778382E-2</v>
      </c>
      <c r="I14" s="131">
        <f>(+'IRRE TORSIONAL'!E14-'IRRE TORSIONAL'!G14)/'IRRE TORSIONAL'!E14</f>
        <v>-7.2075866912273134E-2</v>
      </c>
    </row>
    <row r="15" spans="2:9" ht="15" thickBot="1" x14ac:dyDescent="0.35">
      <c r="B15" s="101"/>
      <c r="C15" s="120"/>
      <c r="D15" s="20" t="s">
        <v>5</v>
      </c>
      <c r="E15" s="132">
        <f>(+'IRRE TORSIONAL'!E15-'IRRE TORSIONAL'!H15)/'IRRE TORSIONAL'!H15</f>
        <v>3.4753915575412991E-2</v>
      </c>
      <c r="F15" s="133">
        <f>(+'IRRE TORSIONAL'!F15-'IRRE TORSIONAL'!I15)/'IRRE TORSIONAL'!I15</f>
        <v>3.0053943741695351E-2</v>
      </c>
      <c r="G15" s="134">
        <f>(+'IRRE TORSIONAL'!G15-'IRRE TORSIONAL'!J15)/'IRRE TORSIONAL'!J15</f>
        <v>8.3034171629635098E-2</v>
      </c>
      <c r="H15" s="132">
        <f>(+'IRRE TORSIONAL'!E15-'IRRE TORSIONAL'!F15)/'IRRE TORSIONAL'!E15</f>
        <v>-3.5433195690175107E-3</v>
      </c>
      <c r="I15" s="135">
        <f>(+'IRRE TORSIONAL'!E15-'IRRE TORSIONAL'!G15)/'IRRE TORSIONAL'!E15</f>
        <v>-6.2325573178934814E-2</v>
      </c>
    </row>
    <row r="16" spans="2:9" x14ac:dyDescent="0.3">
      <c r="B16" s="99" t="s">
        <v>33</v>
      </c>
      <c r="C16" s="118" t="s">
        <v>21</v>
      </c>
      <c r="D16" s="19" t="s">
        <v>6</v>
      </c>
      <c r="E16" s="124">
        <f>(+'IRRE TORSIONAL'!E16-'IRRE TORSIONAL'!H16)/'IRRE TORSIONAL'!H16</f>
        <v>-5.2626244445023052E-3</v>
      </c>
      <c r="F16" s="125">
        <f>(+'IRRE TORSIONAL'!F16-'IRRE TORSIONAL'!I16)/'IRRE TORSIONAL'!I16</f>
        <v>-8.6843954405400135E-3</v>
      </c>
      <c r="G16" s="126">
        <f>(+'IRRE TORSIONAL'!G16-'IRRE TORSIONAL'!J16)/'IRRE TORSIONAL'!J16</f>
        <v>-1.3684068139816411E-2</v>
      </c>
      <c r="H16" s="124">
        <f>(+'IRRE TORSIONAL'!E16-'IRRE TORSIONAL'!F16)/'IRRE TORSIONAL'!E16</f>
        <v>1.1506548989440904E-2</v>
      </c>
      <c r="I16" s="127">
        <f>(+'IRRE TORSIONAL'!E16-'IRRE TORSIONAL'!G16)/'IRRE TORSIONAL'!E16</f>
        <v>1.8630114028987503E-2</v>
      </c>
    </row>
    <row r="17" spans="2:9" x14ac:dyDescent="0.3">
      <c r="B17" s="100"/>
      <c r="C17" s="119"/>
      <c r="D17" s="18" t="s">
        <v>7</v>
      </c>
      <c r="E17" s="128">
        <f>(+'IRRE TORSIONAL'!E17-'IRRE TORSIONAL'!H17)/'IRRE TORSIONAL'!H17</f>
        <v>-1.5467717205778555E-2</v>
      </c>
      <c r="F17" s="129">
        <f>(+'IRRE TORSIONAL'!F17-'IRRE TORSIONAL'!I17)/'IRRE TORSIONAL'!I17</f>
        <v>-3.2117476228577101E-2</v>
      </c>
      <c r="G17" s="130">
        <f>(+'IRRE TORSIONAL'!G17-'IRRE TORSIONAL'!J17)/'IRRE TORSIONAL'!J17</f>
        <v>-4.5999141842486858E-2</v>
      </c>
      <c r="H17" s="128">
        <f>(+'IRRE TORSIONAL'!E17-'IRRE TORSIONAL'!F17)/'IRRE TORSIONAL'!E17</f>
        <v>3.3127592893200247E-2</v>
      </c>
      <c r="I17" s="131">
        <f>(+'IRRE TORSIONAL'!E17-'IRRE TORSIONAL'!G17)/'IRRE TORSIONAL'!E17</f>
        <v>5.2662789469909516E-2</v>
      </c>
    </row>
    <row r="18" spans="2:9" x14ac:dyDescent="0.3">
      <c r="B18" s="100"/>
      <c r="C18" s="119"/>
      <c r="D18" s="18" t="s">
        <v>8</v>
      </c>
      <c r="E18" s="128">
        <f>(+'IRRE TORSIONAL'!E18-'IRRE TORSIONAL'!H18)/'IRRE TORSIONAL'!H18</f>
        <v>-1.5241351315893594E-2</v>
      </c>
      <c r="F18" s="129">
        <f>(+'IRRE TORSIONAL'!F18-'IRRE TORSIONAL'!I18)/'IRRE TORSIONAL'!I18</f>
        <v>-3.3426403419859738E-2</v>
      </c>
      <c r="G18" s="130">
        <f>(+'IRRE TORSIONAL'!G18-'IRRE TORSIONAL'!J18)/'IRRE TORSIONAL'!J18</f>
        <v>-3.4042887077107647E-2</v>
      </c>
      <c r="H18" s="128">
        <f>(+'IRRE TORSIONAL'!E18-'IRRE TORSIONAL'!F18)/'IRRE TORSIONAL'!E18</f>
        <v>3.6279767596021063E-2</v>
      </c>
      <c r="I18" s="131">
        <f>(+'IRRE TORSIONAL'!E18-'IRRE TORSIONAL'!G18)/'IRRE TORSIONAL'!E18</f>
        <v>4.4937810121676879E-2</v>
      </c>
    </row>
    <row r="19" spans="2:9" x14ac:dyDescent="0.3">
      <c r="B19" s="100"/>
      <c r="C19" s="119"/>
      <c r="D19" s="18" t="s">
        <v>9</v>
      </c>
      <c r="E19" s="128">
        <f>(+'IRRE TORSIONAL'!E19-'IRRE TORSIONAL'!H19)/'IRRE TORSIONAL'!H19</f>
        <v>-1.5057477979083527E-2</v>
      </c>
      <c r="F19" s="129">
        <f>(+'IRRE TORSIONAL'!F19-'IRRE TORSIONAL'!I19)/'IRRE TORSIONAL'!I19</f>
        <v>-3.4688748478137299E-2</v>
      </c>
      <c r="G19" s="130">
        <f>(+'IRRE TORSIONAL'!G19-'IRRE TORSIONAL'!J19)/'IRRE TORSIONAL'!J19</f>
        <v>-2.2788144033943341E-2</v>
      </c>
      <c r="H19" s="128">
        <f>(+'IRRE TORSIONAL'!E19-'IRRE TORSIONAL'!F19)/'IRRE TORSIONAL'!E19</f>
        <v>3.9267736748231419E-2</v>
      </c>
      <c r="I19" s="131">
        <f>(+'IRRE TORSIONAL'!E19-'IRRE TORSIONAL'!G19)/'IRRE TORSIONAL'!E19</f>
        <v>3.7715055622639097E-2</v>
      </c>
    </row>
    <row r="20" spans="2:9" x14ac:dyDescent="0.3">
      <c r="B20" s="100"/>
      <c r="C20" s="119"/>
      <c r="D20" s="18" t="s">
        <v>10</v>
      </c>
      <c r="E20" s="128">
        <f>(+'IRRE TORSIONAL'!E20-'IRRE TORSIONAL'!H20)/'IRRE TORSIONAL'!H20</f>
        <v>-1.4859687217647997E-2</v>
      </c>
      <c r="F20" s="129">
        <f>(+'IRRE TORSIONAL'!F20-'IRRE TORSIONAL'!I20)/'IRRE TORSIONAL'!I20</f>
        <v>-3.5854963391991769E-2</v>
      </c>
      <c r="G20" s="130">
        <f>(+'IRRE TORSIONAL'!G20-'IRRE TORSIONAL'!J20)/'IRRE TORSIONAL'!J20</f>
        <v>-1.1998509800915677E-2</v>
      </c>
      <c r="H20" s="128">
        <f>(+'IRRE TORSIONAL'!E20-'IRRE TORSIONAL'!F20)/'IRRE TORSIONAL'!E20</f>
        <v>4.2123309066819992E-2</v>
      </c>
      <c r="I20" s="131">
        <f>(+'IRRE TORSIONAL'!E20-'IRRE TORSIONAL'!G20)/'IRRE TORSIONAL'!E20</f>
        <v>3.1030036916651422E-2</v>
      </c>
    </row>
    <row r="21" spans="2:9" x14ac:dyDescent="0.3">
      <c r="B21" s="100"/>
      <c r="C21" s="119"/>
      <c r="D21" s="18" t="s">
        <v>11</v>
      </c>
      <c r="E21" s="128">
        <f>(+'IRRE TORSIONAL'!E21-'IRRE TORSIONAL'!H21)/'IRRE TORSIONAL'!H21</f>
        <v>-1.4590370026754089E-2</v>
      </c>
      <c r="F21" s="129">
        <f>(+'IRRE TORSIONAL'!F21-'IRRE TORSIONAL'!I21)/'IRRE TORSIONAL'!I21</f>
        <v>-3.6999529363723714E-2</v>
      </c>
      <c r="G21" s="130">
        <f>(+'IRRE TORSIONAL'!G21-'IRRE TORSIONAL'!J21)/'IRRE TORSIONAL'!J21</f>
        <v>-9.3859839442825147E-4</v>
      </c>
      <c r="H21" s="128">
        <f>(+'IRRE TORSIONAL'!E21-'IRRE TORSIONAL'!F21)/'IRRE TORSIONAL'!E21</f>
        <v>4.5071087337394553E-2</v>
      </c>
      <c r="I21" s="131">
        <f>(+'IRRE TORSIONAL'!E21-'IRRE TORSIONAL'!G21)/'IRRE TORSIONAL'!E21</f>
        <v>2.4477933487970317E-2</v>
      </c>
    </row>
    <row r="22" spans="2:9" x14ac:dyDescent="0.3">
      <c r="B22" s="100"/>
      <c r="C22" s="119"/>
      <c r="D22" s="18" t="s">
        <v>12</v>
      </c>
      <c r="E22" s="128">
        <f>(+'IRRE TORSIONAL'!E22-'IRRE TORSIONAL'!H22)/'IRRE TORSIONAL'!H22</f>
        <v>-1.4188502114004317E-2</v>
      </c>
      <c r="F22" s="129">
        <f>(+'IRRE TORSIONAL'!F22-'IRRE TORSIONAL'!I22)/'IRRE TORSIONAL'!I22</f>
        <v>-3.8191266823519893E-2</v>
      </c>
      <c r="G22" s="130">
        <f>(+'IRRE TORSIONAL'!G22-'IRRE TORSIONAL'!J22)/'IRRE TORSIONAL'!J22</f>
        <v>1.103387487695082E-2</v>
      </c>
      <c r="H22" s="128">
        <f>(+'IRRE TORSIONAL'!E22-'IRRE TORSIONAL'!F22)/'IRRE TORSIONAL'!E22</f>
        <v>4.8321102737140381E-2</v>
      </c>
      <c r="I22" s="131">
        <f>(+'IRRE TORSIONAL'!E22-'IRRE TORSIONAL'!G22)/'IRRE TORSIONAL'!E22</f>
        <v>1.7771487688950739E-2</v>
      </c>
    </row>
    <row r="23" spans="2:9" x14ac:dyDescent="0.3">
      <c r="B23" s="100"/>
      <c r="C23" s="119"/>
      <c r="D23" s="18" t="s">
        <v>13</v>
      </c>
      <c r="E23" s="128">
        <f>(+'IRRE TORSIONAL'!E23-'IRRE TORSIONAL'!H23)/'IRRE TORSIONAL'!H23</f>
        <v>-1.3692850910641288E-2</v>
      </c>
      <c r="F23" s="129">
        <f>(+'IRRE TORSIONAL'!F23-'IRRE TORSIONAL'!I23)/'IRRE TORSIONAL'!I23</f>
        <v>-3.9343732323435694E-2</v>
      </c>
      <c r="G23" s="130">
        <f>(+'IRRE TORSIONAL'!G23-'IRRE TORSIONAL'!J23)/'IRRE TORSIONAL'!J23</f>
        <v>2.20089548452275E-2</v>
      </c>
      <c r="H23" s="128">
        <f>(+'IRRE TORSIONAL'!E23-'IRRE TORSIONAL'!F23)/'IRRE TORSIONAL'!E23</f>
        <v>5.1707237364787814E-2</v>
      </c>
      <c r="I23" s="131">
        <f>(+'IRRE TORSIONAL'!E23-'IRRE TORSIONAL'!G23)/'IRRE TORSIONAL'!E23</f>
        <v>1.1714260936017649E-2</v>
      </c>
    </row>
    <row r="24" spans="2:9" x14ac:dyDescent="0.3">
      <c r="B24" s="100"/>
      <c r="C24" s="119"/>
      <c r="D24" s="18" t="s">
        <v>14</v>
      </c>
      <c r="E24" s="128">
        <f>(+'IRRE TORSIONAL'!E24-'IRRE TORSIONAL'!H24)/'IRRE TORSIONAL'!H24</f>
        <v>-1.3440181020659948E-2</v>
      </c>
      <c r="F24" s="129">
        <f>(+'IRRE TORSIONAL'!F24-'IRRE TORSIONAL'!I24)/'IRRE TORSIONAL'!I24</f>
        <v>-4.0127858146244567E-2</v>
      </c>
      <c r="G24" s="130">
        <f>(+'IRRE TORSIONAL'!G24-'IRRE TORSIONAL'!J24)/'IRRE TORSIONAL'!J24</f>
        <v>3.0115294214236782E-2</v>
      </c>
      <c r="H24" s="128">
        <f>(+'IRRE TORSIONAL'!E24-'IRRE TORSIONAL'!F24)/'IRRE TORSIONAL'!E24</f>
        <v>5.4633161369427079E-2</v>
      </c>
      <c r="I24" s="131">
        <f>(+'IRRE TORSIONAL'!E24-'IRRE TORSIONAL'!G24)/'IRRE TORSIONAL'!E24</f>
        <v>7.1239621632463663E-3</v>
      </c>
    </row>
    <row r="25" spans="2:9" x14ac:dyDescent="0.3">
      <c r="B25" s="100"/>
      <c r="C25" s="119"/>
      <c r="D25" s="18" t="s">
        <v>15</v>
      </c>
      <c r="E25" s="128">
        <f>(+'IRRE TORSIONAL'!E25-'IRRE TORSIONAL'!H25)/'IRRE TORSIONAL'!H25</f>
        <v>-1.3237023043544906E-2</v>
      </c>
      <c r="F25" s="129">
        <f>(+'IRRE TORSIONAL'!F25-'IRRE TORSIONAL'!I25)/'IRRE TORSIONAL'!I25</f>
        <v>-4.0127962420967181E-2</v>
      </c>
      <c r="G25" s="130">
        <f>(+'IRRE TORSIONAL'!G25-'IRRE TORSIONAL'!J25)/'IRRE TORSIONAL'!J25</f>
        <v>3.5288351996511792E-2</v>
      </c>
      <c r="H25" s="128">
        <f>(+'IRRE TORSIONAL'!E25-'IRRE TORSIONAL'!F25)/'IRRE TORSIONAL'!E25</f>
        <v>5.7130052148796698E-2</v>
      </c>
      <c r="I25" s="131">
        <f>(+'IRRE TORSIONAL'!E25-'IRRE TORSIONAL'!G25)/'IRRE TORSIONAL'!E25</f>
        <v>5.0571047333166997E-3</v>
      </c>
    </row>
    <row r="26" spans="2:9" ht="15" thickBot="1" x14ac:dyDescent="0.35">
      <c r="B26" s="101"/>
      <c r="C26" s="120"/>
      <c r="D26" s="20" t="s">
        <v>5</v>
      </c>
      <c r="E26" s="132">
        <f>(+'IRRE TORSIONAL'!E26-'IRRE TORSIONAL'!H26)/'IRRE TORSIONAL'!H26</f>
        <v>-1.3657868743147785E-2</v>
      </c>
      <c r="F26" s="133">
        <f>(+'IRRE TORSIONAL'!F26-'IRRE TORSIONAL'!I26)/'IRRE TORSIONAL'!I26</f>
        <v>-3.713913865528623E-2</v>
      </c>
      <c r="G26" s="134">
        <f>(+'IRRE TORSIONAL'!G26-'IRRE TORSIONAL'!J26)/'IRRE TORSIONAL'!J26</f>
        <v>2.902986970399192E-2</v>
      </c>
      <c r="H26" s="132">
        <f>(+'IRRE TORSIONAL'!E26-'IRRE TORSIONAL'!F26)/'IRRE TORSIONAL'!E26</f>
        <v>5.6913875124655844E-2</v>
      </c>
      <c r="I26" s="135">
        <f>(+'IRRE TORSIONAL'!E26-'IRRE TORSIONAL'!G26)/'IRRE TORSIONAL'!E26</f>
        <v>1.218290156045084E-2</v>
      </c>
    </row>
    <row r="27" spans="2:9" x14ac:dyDescent="0.3">
      <c r="B27" s="99" t="s">
        <v>33</v>
      </c>
      <c r="C27" s="118" t="s">
        <v>22</v>
      </c>
      <c r="D27" s="19" t="s">
        <v>6</v>
      </c>
      <c r="E27" s="124">
        <f>(+'IRRE TORSIONAL'!E27-'IRRE TORSIONAL'!H27)/'IRRE TORSIONAL'!H27</f>
        <v>3.6779964151417321E-2</v>
      </c>
      <c r="F27" s="125">
        <f>(+'IRRE TORSIONAL'!F27-'IRRE TORSIONAL'!I27)/'IRRE TORSIONAL'!I27</f>
        <v>-6.8102790513581701E-3</v>
      </c>
      <c r="G27" s="126">
        <f>(+'IRRE TORSIONAL'!G27-'IRRE TORSIONAL'!J27)/'IRRE TORSIONAL'!J27</f>
        <v>-2.7886510646685656E-2</v>
      </c>
      <c r="H27" s="124">
        <f>(+'IRRE TORSIONAL'!E27-'IRRE TORSIONAL'!F27)/'IRRE TORSIONAL'!E27</f>
        <v>2.4803261418723785E-2</v>
      </c>
      <c r="I27" s="127">
        <f>(+'IRRE TORSIONAL'!E27-'IRRE TORSIONAL'!G27)/'IRRE TORSIONAL'!E27</f>
        <v>3.4963356417035699E-2</v>
      </c>
    </row>
    <row r="28" spans="2:9" x14ac:dyDescent="0.3">
      <c r="B28" s="100"/>
      <c r="C28" s="119"/>
      <c r="D28" s="18" t="s">
        <v>7</v>
      </c>
      <c r="E28" s="128">
        <f>(+'IRRE TORSIONAL'!E28-'IRRE TORSIONAL'!H28)/'IRRE TORSIONAL'!H28</f>
        <v>0.13084548335143945</v>
      </c>
      <c r="F28" s="129">
        <f>(+'IRRE TORSIONAL'!F28-'IRRE TORSIONAL'!I28)/'IRRE TORSIONAL'!I28</f>
        <v>-1.1141542396777295E-3</v>
      </c>
      <c r="G28" s="130">
        <f>(+'IRRE TORSIONAL'!G28-'IRRE TORSIONAL'!J28)/'IRRE TORSIONAL'!J28</f>
        <v>-0.12084653862031915</v>
      </c>
      <c r="H28" s="128">
        <f>(+'IRRE TORSIONAL'!E28-'IRRE TORSIONAL'!F28)/'IRRE TORSIONAL'!E28</f>
        <v>5.8949340393141869E-2</v>
      </c>
      <c r="I28" s="131">
        <f>(+'IRRE TORSIONAL'!E28-'IRRE TORSIONAL'!G28)/'IRRE TORSIONAL'!E28</f>
        <v>0.12172847032966974</v>
      </c>
    </row>
    <row r="29" spans="2:9" x14ac:dyDescent="0.3">
      <c r="B29" s="100"/>
      <c r="C29" s="119"/>
      <c r="D29" s="18" t="s">
        <v>8</v>
      </c>
      <c r="E29" s="128">
        <f>(+'IRRE TORSIONAL'!E29-'IRRE TORSIONAL'!H29)/'IRRE TORSIONAL'!H29</f>
        <v>0.13394300933126299</v>
      </c>
      <c r="F29" s="129">
        <f>(+'IRRE TORSIONAL'!F29-'IRRE TORSIONAL'!I29)/'IRRE TORSIONAL'!I29</f>
        <v>1.0416115259835488E-2</v>
      </c>
      <c r="G29" s="130">
        <f>(+'IRRE TORSIONAL'!G29-'IRRE TORSIONAL'!J29)/'IRRE TORSIONAL'!J29</f>
        <v>-0.10319295850197818</v>
      </c>
      <c r="H29" s="128">
        <f>(+'IRRE TORSIONAL'!E29-'IRRE TORSIONAL'!F29)/'IRRE TORSIONAL'!E29</f>
        <v>5.1527014804363135E-2</v>
      </c>
      <c r="I29" s="131">
        <f>(+'IRRE TORSIONAL'!E29-'IRRE TORSIONAL'!G29)/'IRRE TORSIONAL'!E29</f>
        <v>0.11057212084297255</v>
      </c>
    </row>
    <row r="30" spans="2:9" x14ac:dyDescent="0.3">
      <c r="B30" s="100"/>
      <c r="C30" s="119"/>
      <c r="D30" s="18" t="s">
        <v>9</v>
      </c>
      <c r="E30" s="128">
        <f>(+'IRRE TORSIONAL'!E30-'IRRE TORSIONAL'!H30)/'IRRE TORSIONAL'!H30</f>
        <v>0.13686559760134689</v>
      </c>
      <c r="F30" s="129">
        <f>(+'IRRE TORSIONAL'!F30-'IRRE TORSIONAL'!I30)/'IRRE TORSIONAL'!I30</f>
        <v>2.1531610975952301E-2</v>
      </c>
      <c r="G30" s="130">
        <f>(+'IRRE TORSIONAL'!G30-'IRRE TORSIONAL'!J30)/'IRRE TORSIONAL'!J30</f>
        <v>-8.4162018493723054E-2</v>
      </c>
      <c r="H30" s="128">
        <f>(+'IRRE TORSIONAL'!E30-'IRRE TORSIONAL'!F30)/'IRRE TORSIONAL'!E30</f>
        <v>4.4659985658062451E-2</v>
      </c>
      <c r="I30" s="131">
        <f>(+'IRRE TORSIONAL'!E30-'IRRE TORSIONAL'!G30)/'IRRE TORSIONAL'!E30</f>
        <v>9.8034549195455734E-2</v>
      </c>
    </row>
    <row r="31" spans="2:9" x14ac:dyDescent="0.3">
      <c r="B31" s="100"/>
      <c r="C31" s="119"/>
      <c r="D31" s="18" t="s">
        <v>10</v>
      </c>
      <c r="E31" s="128">
        <f>(+'IRRE TORSIONAL'!E31-'IRRE TORSIONAL'!H31)/'IRRE TORSIONAL'!H31</f>
        <v>0.13928240893297902</v>
      </c>
      <c r="F31" s="129">
        <f>(+'IRRE TORSIONAL'!F31-'IRRE TORSIONAL'!I31)/'IRRE TORSIONAL'!I31</f>
        <v>3.2165714742957319E-2</v>
      </c>
      <c r="G31" s="130">
        <f>(+'IRRE TORSIONAL'!G31-'IRRE TORSIONAL'!J31)/'IRRE TORSIONAL'!J31</f>
        <v>-6.5650516112913296E-2</v>
      </c>
      <c r="H31" s="128">
        <f>(+'IRRE TORSIONAL'!E31-'IRRE TORSIONAL'!F31)/'IRRE TORSIONAL'!E31</f>
        <v>3.7797501096047535E-2</v>
      </c>
      <c r="I31" s="131">
        <f>(+'IRRE TORSIONAL'!E31-'IRRE TORSIONAL'!G31)/'IRRE TORSIONAL'!E31</f>
        <v>8.5672311134123866E-2</v>
      </c>
    </row>
    <row r="32" spans="2:9" x14ac:dyDescent="0.3">
      <c r="B32" s="100"/>
      <c r="C32" s="119"/>
      <c r="D32" s="18" t="s">
        <v>11</v>
      </c>
      <c r="E32" s="128">
        <f>(+'IRRE TORSIONAL'!E32-'IRRE TORSIONAL'!H32)/'IRRE TORSIONAL'!H32</f>
        <v>0.14124541471309562</v>
      </c>
      <c r="F32" s="129">
        <f>(+'IRRE TORSIONAL'!F32-'IRRE TORSIONAL'!I32)/'IRRE TORSIONAL'!I32</f>
        <v>4.3040017883871504E-2</v>
      </c>
      <c r="G32" s="130">
        <f>(+'IRRE TORSIONAL'!G32-'IRRE TORSIONAL'!J32)/'IRRE TORSIONAL'!J32</f>
        <v>-4.6529966410926653E-2</v>
      </c>
      <c r="H32" s="128">
        <f>(+'IRRE TORSIONAL'!E32-'IRRE TORSIONAL'!F32)/'IRRE TORSIONAL'!E32</f>
        <v>3.0357932165457849E-2</v>
      </c>
      <c r="I32" s="131">
        <f>(+'IRRE TORSIONAL'!E32-'IRRE TORSIONAL'!G32)/'IRRE TORSIONAL'!E32</f>
        <v>7.2616518404527916E-2</v>
      </c>
    </row>
    <row r="33" spans="2:9" x14ac:dyDescent="0.3">
      <c r="B33" s="100"/>
      <c r="C33" s="119"/>
      <c r="D33" s="18" t="s">
        <v>12</v>
      </c>
      <c r="E33" s="128">
        <f>(+'IRRE TORSIONAL'!E33-'IRRE TORSIONAL'!H33)/'IRRE TORSIONAL'!H33</f>
        <v>0.14276512041837289</v>
      </c>
      <c r="F33" s="129">
        <f>(+'IRRE TORSIONAL'!F33-'IRRE TORSIONAL'!I33)/'IRRE TORSIONAL'!I33</f>
        <v>5.480235264514953E-2</v>
      </c>
      <c r="G33" s="130">
        <f>(+'IRRE TORSIONAL'!G33-'IRRE TORSIONAL'!J33)/'IRRE TORSIONAL'!J33</f>
        <v>-2.5760703044017952E-2</v>
      </c>
      <c r="H33" s="128">
        <f>(+'IRRE TORSIONAL'!E33-'IRRE TORSIONAL'!F33)/'IRRE TORSIONAL'!E33</f>
        <v>2.1721243693089969E-2</v>
      </c>
      <c r="I33" s="131">
        <f>(+'IRRE TORSIONAL'!E33-'IRRE TORSIONAL'!G33)/'IRRE TORSIONAL'!E33</f>
        <v>5.8000152605148056E-2</v>
      </c>
    </row>
    <row r="34" spans="2:9" x14ac:dyDescent="0.3">
      <c r="B34" s="100"/>
      <c r="C34" s="119"/>
      <c r="D34" s="18" t="s">
        <v>13</v>
      </c>
      <c r="E34" s="128">
        <f>(+'IRRE TORSIONAL'!E34-'IRRE TORSIONAL'!H34)/'IRRE TORSIONAL'!H34</f>
        <v>0.14447881980144586</v>
      </c>
      <c r="F34" s="129">
        <f>(+'IRRE TORSIONAL'!F34-'IRRE TORSIONAL'!I34)/'IRRE TORSIONAL'!I34</f>
        <v>6.6492443820163089E-2</v>
      </c>
      <c r="G34" s="130">
        <f>(+'IRRE TORSIONAL'!G34-'IRRE TORSIONAL'!J34)/'IRRE TORSIONAL'!J34</f>
        <v>-3.7689511014162734E-3</v>
      </c>
      <c r="H34" s="128">
        <f>(+'IRRE TORSIONAL'!E34-'IRRE TORSIONAL'!F34)/'IRRE TORSIONAL'!E34</f>
        <v>1.1402421647465679E-2</v>
      </c>
      <c r="I34" s="131">
        <f>(+'IRRE TORSIONAL'!E34-'IRRE TORSIONAL'!G34)/'IRRE TORSIONAL'!E34</f>
        <v>4.1015158148739642E-2</v>
      </c>
    </row>
    <row r="35" spans="2:9" x14ac:dyDescent="0.3">
      <c r="B35" s="100"/>
      <c r="C35" s="119"/>
      <c r="D35" s="18" t="s">
        <v>14</v>
      </c>
      <c r="E35" s="128">
        <f>(+'IRRE TORSIONAL'!E35-'IRRE TORSIONAL'!H35)/'IRRE TORSIONAL'!H35</f>
        <v>0.13553015824724388</v>
      </c>
      <c r="F35" s="129">
        <f>(+'IRRE TORSIONAL'!F35-'IRRE TORSIONAL'!I35)/'IRRE TORSIONAL'!I35</f>
        <v>7.7277108861379368E-2</v>
      </c>
      <c r="G35" s="130">
        <f>(+'IRRE TORSIONAL'!G35-'IRRE TORSIONAL'!J35)/'IRRE TORSIONAL'!J35</f>
        <v>1.8862939818313246E-2</v>
      </c>
      <c r="H35" s="128">
        <f>(+'IRRE TORSIONAL'!E35-'IRRE TORSIONAL'!F35)/'IRRE TORSIONAL'!E35</f>
        <v>-1.7042442546172543E-3</v>
      </c>
      <c r="I35" s="131">
        <f>(+'IRRE TORSIONAL'!E35-'IRRE TORSIONAL'!G35)/'IRRE TORSIONAL'!E35</f>
        <v>2.0503875199211808E-2</v>
      </c>
    </row>
    <row r="36" spans="2:9" x14ac:dyDescent="0.3">
      <c r="B36" s="100"/>
      <c r="C36" s="119"/>
      <c r="D36" s="18" t="s">
        <v>15</v>
      </c>
      <c r="E36" s="128">
        <f>(+'IRRE TORSIONAL'!E36-'IRRE TORSIONAL'!H36)/'IRRE TORSIONAL'!H36</f>
        <v>0.11500796785496141</v>
      </c>
      <c r="F36" s="129">
        <f>(+'IRRE TORSIONAL'!F36-'IRRE TORSIONAL'!I36)/'IRRE TORSIONAL'!I36</f>
        <v>8.7892323531139599E-2</v>
      </c>
      <c r="G36" s="130">
        <f>(+'IRRE TORSIONAL'!G36-'IRRE TORSIONAL'!J36)/'IRRE TORSIONAL'!J36</f>
        <v>4.3436810605954647E-2</v>
      </c>
      <c r="H36" s="128">
        <f>(+'IRRE TORSIONAL'!E36-'IRRE TORSIONAL'!F36)/'IRRE TORSIONAL'!E36</f>
        <v>-2.1404932765625745E-2</v>
      </c>
      <c r="I36" s="131">
        <f>(+'IRRE TORSIONAL'!E36-'IRRE TORSIONAL'!G36)/'IRRE TORSIONAL'!E36</f>
        <v>-7.4967370925941692E-3</v>
      </c>
    </row>
    <row r="37" spans="2:9" ht="15" thickBot="1" x14ac:dyDescent="0.35">
      <c r="B37" s="101"/>
      <c r="C37" s="120"/>
      <c r="D37" s="20" t="s">
        <v>5</v>
      </c>
      <c r="E37" s="132">
        <f>(+'IRRE TORSIONAL'!E37-'IRRE TORSIONAL'!H37)/'IRRE TORSIONAL'!H37</f>
        <v>6.7057831396734574E-2</v>
      </c>
      <c r="F37" s="133">
        <f>(+'IRRE TORSIONAL'!F37-'IRRE TORSIONAL'!I37)/'IRRE TORSIONAL'!I37</f>
        <v>9.6274472551969525E-2</v>
      </c>
      <c r="G37" s="134">
        <f>(+'IRRE TORSIONAL'!G37-'IRRE TORSIONAL'!J37)/'IRRE TORSIONAL'!J37</f>
        <v>6.8410131505791269E-2</v>
      </c>
      <c r="H37" s="132">
        <f>(+'IRRE TORSIONAL'!E37-'IRRE TORSIONAL'!F37)/'IRRE TORSIONAL'!E37</f>
        <v>-5.8793044496664941E-2</v>
      </c>
      <c r="I37" s="135">
        <f>(+'IRRE TORSIONAL'!E37-'IRRE TORSIONAL'!G37)/'IRRE TORSIONAL'!E37</f>
        <v>-5.3687072458126532E-2</v>
      </c>
    </row>
    <row r="38" spans="2:9" x14ac:dyDescent="0.3">
      <c r="B38" s="99" t="s">
        <v>33</v>
      </c>
      <c r="C38" s="118" t="s">
        <v>23</v>
      </c>
      <c r="D38" s="19" t="s">
        <v>6</v>
      </c>
      <c r="E38" s="124">
        <f>(+'IRRE TORSIONAL'!E38-'IRRE TORSIONAL'!H38)/'IRRE TORSIONAL'!H38</f>
        <v>4.7509171815403761E-2</v>
      </c>
      <c r="F38" s="125">
        <f>(+'IRRE TORSIONAL'!F38-'IRRE TORSIONAL'!I38)/'IRRE TORSIONAL'!I38</f>
        <v>4.0482827645693505E-2</v>
      </c>
      <c r="G38" s="126">
        <f>(+'IRRE TORSIONAL'!G38-'IRRE TORSIONAL'!J38)/'IRRE TORSIONAL'!J38</f>
        <v>2.7166719008243093E-2</v>
      </c>
      <c r="H38" s="124">
        <f>(+'IRRE TORSIONAL'!E38-'IRRE TORSIONAL'!F38)/'IRRE TORSIONAL'!E38</f>
        <v>1.7325054343129899E-2</v>
      </c>
      <c r="I38" s="127">
        <f>(+'IRRE TORSIONAL'!E38-'IRRE TORSIONAL'!G38)/'IRRE TORSIONAL'!E38</f>
        <v>5.4122629395656832E-2</v>
      </c>
    </row>
    <row r="39" spans="2:9" x14ac:dyDescent="0.3">
      <c r="B39" s="100"/>
      <c r="C39" s="119"/>
      <c r="D39" s="18" t="s">
        <v>7</v>
      </c>
      <c r="E39" s="128">
        <f>(+'IRRE TORSIONAL'!E39-'IRRE TORSIONAL'!H39)/'IRRE TORSIONAL'!H39</f>
        <v>0.11479069414253423</v>
      </c>
      <c r="F39" s="129">
        <f>(+'IRRE TORSIONAL'!F39-'IRRE TORSIONAL'!I39)/'IRRE TORSIONAL'!I39</f>
        <v>0.10942163576772605</v>
      </c>
      <c r="G39" s="130">
        <f>(+'IRRE TORSIONAL'!G39-'IRRE TORSIONAL'!J39)/'IRRE TORSIONAL'!J39</f>
        <v>9.4383901486873548E-2</v>
      </c>
      <c r="H39" s="128">
        <f>(+'IRRE TORSIONAL'!E39-'IRRE TORSIONAL'!F39)/'IRRE TORSIONAL'!E39</f>
        <v>1.6704213636092369E-2</v>
      </c>
      <c r="I39" s="131">
        <f>(+'IRRE TORSIONAL'!E39-'IRRE TORSIONAL'!G39)/'IRRE TORSIONAL'!E39</f>
        <v>0.10952379105919537</v>
      </c>
    </row>
    <row r="40" spans="2:9" x14ac:dyDescent="0.3">
      <c r="B40" s="100"/>
      <c r="C40" s="119"/>
      <c r="D40" s="18" t="s">
        <v>8</v>
      </c>
      <c r="E40" s="128">
        <f>(+'IRRE TORSIONAL'!E40-'IRRE TORSIONAL'!H40)/'IRRE TORSIONAL'!H40</f>
        <v>0.11739673994713659</v>
      </c>
      <c r="F40" s="129">
        <f>(+'IRRE TORSIONAL'!F40-'IRRE TORSIONAL'!I40)/'IRRE TORSIONAL'!I40</f>
        <v>0.11489712467876387</v>
      </c>
      <c r="G40" s="130">
        <f>(+'IRRE TORSIONAL'!G40-'IRRE TORSIONAL'!J40)/'IRRE TORSIONAL'!J40</f>
        <v>0.10219950549362292</v>
      </c>
      <c r="H40" s="128">
        <f>(+'IRRE TORSIONAL'!E40-'IRRE TORSIONAL'!F40)/'IRRE TORSIONAL'!E40</f>
        <v>1.071627575440879E-2</v>
      </c>
      <c r="I40" s="131">
        <f>(+'IRRE TORSIONAL'!E40-'IRRE TORSIONAL'!G40)/'IRRE TORSIONAL'!E40</f>
        <v>9.8333020528939677E-2</v>
      </c>
    </row>
    <row r="41" spans="2:9" x14ac:dyDescent="0.3">
      <c r="B41" s="100"/>
      <c r="C41" s="119"/>
      <c r="D41" s="18" t="s">
        <v>9</v>
      </c>
      <c r="E41" s="128">
        <f>(+'IRRE TORSIONAL'!E41-'IRRE TORSIONAL'!H41)/'IRRE TORSIONAL'!H41</f>
        <v>0.11986555286153439</v>
      </c>
      <c r="F41" s="129">
        <f>(+'IRRE TORSIONAL'!F41-'IRRE TORSIONAL'!I41)/'IRRE TORSIONAL'!I41</f>
        <v>0.12001862383310156</v>
      </c>
      <c r="G41" s="130">
        <f>(+'IRRE TORSIONAL'!G41-'IRRE TORSIONAL'!J41)/'IRRE TORSIONAL'!J41</f>
        <v>0.10968964927760386</v>
      </c>
      <c r="H41" s="128">
        <f>(+'IRRE TORSIONAL'!E41-'IRRE TORSIONAL'!F41)/'IRRE TORSIONAL'!E41</f>
        <v>5.2463982306325003E-3</v>
      </c>
      <c r="I41" s="131">
        <f>(+'IRRE TORSIONAL'!E41-'IRRE TORSIONAL'!G41)/'IRRE TORSIONAL'!E41</f>
        <v>8.7972183995115791E-2</v>
      </c>
    </row>
    <row r="42" spans="2:9" x14ac:dyDescent="0.3">
      <c r="B42" s="100"/>
      <c r="C42" s="119"/>
      <c r="D42" s="18" t="s">
        <v>10</v>
      </c>
      <c r="E42" s="128">
        <f>(+'IRRE TORSIONAL'!E42-'IRRE TORSIONAL'!H42)/'IRRE TORSIONAL'!H42</f>
        <v>0.1219158720584638</v>
      </c>
      <c r="F42" s="129">
        <f>(+'IRRE TORSIONAL'!F42-'IRRE TORSIONAL'!I42)/'IRRE TORSIONAL'!I42</f>
        <v>0.12498832293191395</v>
      </c>
      <c r="G42" s="130">
        <f>(+'IRRE TORSIONAL'!G42-'IRRE TORSIONAL'!J42)/'IRRE TORSIONAL'!J42</f>
        <v>0.11696035193362442</v>
      </c>
      <c r="H42" s="128">
        <f>(+'IRRE TORSIONAL'!E42-'IRRE TORSIONAL'!F42)/'IRRE TORSIONAL'!E42</f>
        <v>-1.9408347764546545E-4</v>
      </c>
      <c r="I42" s="131">
        <f>(+'IRRE TORSIONAL'!E42-'IRRE TORSIONAL'!G42)/'IRRE TORSIONAL'!E42</f>
        <v>7.7803589966686751E-2</v>
      </c>
    </row>
    <row r="43" spans="2:9" x14ac:dyDescent="0.3">
      <c r="B43" s="100"/>
      <c r="C43" s="119"/>
      <c r="D43" s="18" t="s">
        <v>11</v>
      </c>
      <c r="E43" s="128">
        <f>(+'IRRE TORSIONAL'!E43-'IRRE TORSIONAL'!H43)/'IRRE TORSIONAL'!H43</f>
        <v>0.123592067978171</v>
      </c>
      <c r="F43" s="129">
        <f>(+'IRRE TORSIONAL'!F43-'IRRE TORSIONAL'!I43)/'IRRE TORSIONAL'!I43</f>
        <v>0.13019169683448845</v>
      </c>
      <c r="G43" s="130">
        <f>(+'IRRE TORSIONAL'!G43-'IRRE TORSIONAL'!J43)/'IRRE TORSIONAL'!J43</f>
        <v>0.12451386599182217</v>
      </c>
      <c r="H43" s="128">
        <f>(+'IRRE TORSIONAL'!E43-'IRRE TORSIONAL'!F43)/'IRRE TORSIONAL'!E43</f>
        <v>-6.0673216957086683E-3</v>
      </c>
      <c r="I43" s="131">
        <f>(+'IRRE TORSIONAL'!E43-'IRRE TORSIONAL'!G43)/'IRRE TORSIONAL'!E43</f>
        <v>6.7122795211635444E-2</v>
      </c>
    </row>
    <row r="44" spans="2:9" x14ac:dyDescent="0.3">
      <c r="B44" s="100"/>
      <c r="C44" s="119"/>
      <c r="D44" s="18" t="s">
        <v>12</v>
      </c>
      <c r="E44" s="128">
        <f>(+'IRRE TORSIONAL'!E44-'IRRE TORSIONAL'!H44)/'IRRE TORSIONAL'!H44</f>
        <v>0.12490585065988215</v>
      </c>
      <c r="F44" s="129">
        <f>(+'IRRE TORSIONAL'!F44-'IRRE TORSIONAL'!I44)/'IRRE TORSIONAL'!I44</f>
        <v>0.13598200227406204</v>
      </c>
      <c r="G44" s="130">
        <f>(+'IRRE TORSIONAL'!G44-'IRRE TORSIONAL'!J44)/'IRRE TORSIONAL'!J44</f>
        <v>0.13279449996984591</v>
      </c>
      <c r="H44" s="128">
        <f>(+'IRRE TORSIONAL'!E44-'IRRE TORSIONAL'!F44)/'IRRE TORSIONAL'!E44</f>
        <v>-1.2855812873588198E-2</v>
      </c>
      <c r="I44" s="131">
        <f>(+'IRRE TORSIONAL'!E44-'IRRE TORSIONAL'!G44)/'IRRE TORSIONAL'!E44</f>
        <v>5.5239467124156408E-2</v>
      </c>
    </row>
    <row r="45" spans="2:9" x14ac:dyDescent="0.3">
      <c r="B45" s="100"/>
      <c r="C45" s="119"/>
      <c r="D45" s="18" t="s">
        <v>13</v>
      </c>
      <c r="E45" s="128">
        <f>(+'IRRE TORSIONAL'!E45-'IRRE TORSIONAL'!H45)/'IRRE TORSIONAL'!H45</f>
        <v>0.12640942215597969</v>
      </c>
      <c r="F45" s="129">
        <f>(+'IRRE TORSIONAL'!F45-'IRRE TORSIONAL'!I45)/'IRRE TORSIONAL'!I45</f>
        <v>0.14246635872872845</v>
      </c>
      <c r="G45" s="130">
        <f>(+'IRRE TORSIONAL'!G45-'IRRE TORSIONAL'!J45)/'IRRE TORSIONAL'!J45</f>
        <v>0.14203199013917259</v>
      </c>
      <c r="H45" s="128">
        <f>(+'IRRE TORSIONAL'!E45-'IRRE TORSIONAL'!F45)/'IRRE TORSIONAL'!E45</f>
        <v>-2.0990754449222274E-2</v>
      </c>
      <c r="I45" s="131">
        <f>(+'IRRE TORSIONAL'!E45-'IRRE TORSIONAL'!G45)/'IRRE TORSIONAL'!E45</f>
        <v>4.1476529713057264E-2</v>
      </c>
    </row>
    <row r="46" spans="2:9" x14ac:dyDescent="0.3">
      <c r="B46" s="100"/>
      <c r="C46" s="119"/>
      <c r="D46" s="18" t="s">
        <v>14</v>
      </c>
      <c r="E46" s="128">
        <f>(+'IRRE TORSIONAL'!E46-'IRRE TORSIONAL'!H46)/'IRRE TORSIONAL'!H46</f>
        <v>0.12783094139170234</v>
      </c>
      <c r="F46" s="129">
        <f>(+'IRRE TORSIONAL'!F46-'IRRE TORSIONAL'!I46)/'IRRE TORSIONAL'!I46</f>
        <v>0.14953041073432402</v>
      </c>
      <c r="G46" s="130">
        <f>(+'IRRE TORSIONAL'!G46-'IRRE TORSIONAL'!J46)/'IRRE TORSIONAL'!J46</f>
        <v>0.15194593285559718</v>
      </c>
      <c r="H46" s="128">
        <f>(+'IRRE TORSIONAL'!E46-'IRRE TORSIONAL'!F46)/'IRRE TORSIONAL'!E46</f>
        <v>-3.1488837935284106E-2</v>
      </c>
      <c r="I46" s="131">
        <f>(+'IRRE TORSIONAL'!E46-'IRRE TORSIONAL'!G46)/'IRRE TORSIONAL'!E46</f>
        <v>2.4780836280238007E-2</v>
      </c>
    </row>
    <row r="47" spans="2:9" x14ac:dyDescent="0.3">
      <c r="B47" s="100"/>
      <c r="C47" s="119"/>
      <c r="D47" s="18" t="s">
        <v>15</v>
      </c>
      <c r="E47" s="128">
        <f>(+'IRRE TORSIONAL'!E47-'IRRE TORSIONAL'!H47)/'IRRE TORSIONAL'!H47</f>
        <v>0.12744391399356159</v>
      </c>
      <c r="F47" s="129">
        <f>(+'IRRE TORSIONAL'!F47-'IRRE TORSIONAL'!I47)/'IRRE TORSIONAL'!I47</f>
        <v>0.15783553482545201</v>
      </c>
      <c r="G47" s="130">
        <f>(+'IRRE TORSIONAL'!G47-'IRRE TORSIONAL'!J47)/'IRRE TORSIONAL'!J47</f>
        <v>0.16296496885353021</v>
      </c>
      <c r="H47" s="128">
        <f>(+'IRRE TORSIONAL'!E47-'IRRE TORSIONAL'!F47)/'IRRE TORSIONAL'!E47</f>
        <v>-4.7489505687218367E-2</v>
      </c>
      <c r="I47" s="131">
        <f>(+'IRRE TORSIONAL'!E47-'IRRE TORSIONAL'!G47)/'IRRE TORSIONAL'!E47</f>
        <v>1.8536575919233325E-3</v>
      </c>
    </row>
    <row r="48" spans="2:9" ht="15" thickBot="1" x14ac:dyDescent="0.35">
      <c r="B48" s="101"/>
      <c r="C48" s="120"/>
      <c r="D48" s="20" t="s">
        <v>5</v>
      </c>
      <c r="E48" s="132">
        <f>(+'IRRE TORSIONAL'!E48-'IRRE TORSIONAL'!H48)/'IRRE TORSIONAL'!H48</f>
        <v>0.1209384702375666</v>
      </c>
      <c r="F48" s="133">
        <f>(+'IRRE TORSIONAL'!F48-'IRRE TORSIONAL'!I48)/'IRRE TORSIONAL'!I48</f>
        <v>0.16806395845027738</v>
      </c>
      <c r="G48" s="134">
        <f>(+'IRRE TORSIONAL'!G48-'IRRE TORSIONAL'!J48)/'IRRE TORSIONAL'!J48</f>
        <v>0.17446540802658667</v>
      </c>
      <c r="H48" s="132">
        <f>(+'IRRE TORSIONAL'!E48-'IRRE TORSIONAL'!F48)/'IRRE TORSIONAL'!E48</f>
        <v>-7.8467957607078337E-2</v>
      </c>
      <c r="I48" s="135">
        <f>(+'IRRE TORSIONAL'!E48-'IRRE TORSIONAL'!G48)/'IRRE TORSIONAL'!E48</f>
        <v>-3.6658343419487725E-2</v>
      </c>
    </row>
    <row r="49" spans="5:9" ht="15" thickBot="1" x14ac:dyDescent="0.35">
      <c r="E49" s="105" t="s">
        <v>73</v>
      </c>
      <c r="F49" s="106"/>
      <c r="G49" s="107"/>
      <c r="H49" s="105" t="s">
        <v>74</v>
      </c>
      <c r="I49" s="107"/>
    </row>
  </sheetData>
  <mergeCells count="15">
    <mergeCell ref="E49:G49"/>
    <mergeCell ref="H49:I49"/>
    <mergeCell ref="B16:B26"/>
    <mergeCell ref="C16:C26"/>
    <mergeCell ref="B27:B37"/>
    <mergeCell ref="C27:C37"/>
    <mergeCell ref="B38:B48"/>
    <mergeCell ref="C38:C48"/>
    <mergeCell ref="B3:B4"/>
    <mergeCell ref="C3:C4"/>
    <mergeCell ref="D3:D4"/>
    <mergeCell ref="E3:G3"/>
    <mergeCell ref="H3:I3"/>
    <mergeCell ref="B5:B15"/>
    <mergeCell ref="C5:C15"/>
  </mergeCells>
  <conditionalFormatting sqref="E5:E48">
    <cfRule type="cellIs" dxfId="34" priority="24" operator="greaterThan">
      <formula>1.2</formula>
    </cfRule>
  </conditionalFormatting>
  <conditionalFormatting sqref="H5:H48">
    <cfRule type="cellIs" dxfId="33" priority="20" operator="greaterThan">
      <formula>1.2</formula>
    </cfRule>
  </conditionalFormatting>
  <conditionalFormatting sqref="F5:F48">
    <cfRule type="cellIs" dxfId="29" priority="16" operator="greaterThan">
      <formula>1.2</formula>
    </cfRule>
  </conditionalFormatting>
  <conditionalFormatting sqref="I5:I48">
    <cfRule type="cellIs" dxfId="28" priority="12" operator="greaterThan">
      <formula>1.2</formula>
    </cfRule>
  </conditionalFormatting>
  <conditionalFormatting sqref="G5:G48">
    <cfRule type="cellIs" dxfId="24" priority="8" operator="greaterThan">
      <formula>1.2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M30"/>
  <sheetViews>
    <sheetView topLeftCell="B40" zoomScale="40" zoomScaleNormal="40" workbookViewId="0">
      <selection activeCell="AC143" sqref="AC143"/>
    </sheetView>
  </sheetViews>
  <sheetFormatPr baseColWidth="10" defaultRowHeight="14.4" x14ac:dyDescent="0.3"/>
  <cols>
    <col min="2" max="2" width="22.88671875" customWidth="1"/>
    <col min="10" max="10" width="16.33203125" customWidth="1"/>
    <col min="11" max="11" width="14.88671875" customWidth="1"/>
    <col min="12" max="12" width="15.77734375" customWidth="1"/>
    <col min="13" max="13" width="14.6640625" customWidth="1"/>
  </cols>
  <sheetData>
    <row r="1" spans="2:13" ht="15" thickBot="1" x14ac:dyDescent="0.35"/>
    <row r="2" spans="2:13" x14ac:dyDescent="0.3">
      <c r="B2" s="2"/>
      <c r="C2" s="81"/>
      <c r="D2" s="108" t="s">
        <v>72</v>
      </c>
      <c r="E2" s="109"/>
      <c r="F2" s="109"/>
      <c r="G2" s="109"/>
      <c r="H2" s="109"/>
      <c r="I2" s="110"/>
      <c r="J2" s="102" t="s">
        <v>75</v>
      </c>
      <c r="K2" s="103"/>
      <c r="L2" s="103"/>
      <c r="M2" s="104"/>
    </row>
    <row r="3" spans="2:13" x14ac:dyDescent="0.3">
      <c r="B3" s="111" t="s">
        <v>2</v>
      </c>
      <c r="C3" s="112" t="s">
        <v>4</v>
      </c>
      <c r="D3" s="113" t="s">
        <v>30</v>
      </c>
      <c r="E3" s="114"/>
      <c r="F3" s="114" t="s">
        <v>31</v>
      </c>
      <c r="G3" s="114"/>
      <c r="H3" s="114" t="s">
        <v>32</v>
      </c>
      <c r="I3" s="115"/>
      <c r="J3" s="113" t="s">
        <v>70</v>
      </c>
      <c r="K3" s="114"/>
      <c r="L3" s="114" t="s">
        <v>71</v>
      </c>
      <c r="M3" s="115"/>
    </row>
    <row r="4" spans="2:13" x14ac:dyDescent="0.3">
      <c r="B4" s="111"/>
      <c r="C4" s="112"/>
      <c r="D4" s="85" t="s">
        <v>27</v>
      </c>
      <c r="E4" s="3" t="s">
        <v>28</v>
      </c>
      <c r="F4" s="3" t="s">
        <v>27</v>
      </c>
      <c r="G4" s="3" t="s">
        <v>28</v>
      </c>
      <c r="H4" s="3" t="s">
        <v>27</v>
      </c>
      <c r="I4" s="86" t="s">
        <v>28</v>
      </c>
      <c r="J4" s="85" t="s">
        <v>27</v>
      </c>
      <c r="K4" s="3" t="s">
        <v>28</v>
      </c>
      <c r="L4" s="3" t="s">
        <v>27</v>
      </c>
      <c r="M4" s="86" t="s">
        <v>28</v>
      </c>
    </row>
    <row r="5" spans="2:13" x14ac:dyDescent="0.3">
      <c r="B5" s="17" t="s">
        <v>0</v>
      </c>
      <c r="C5" s="82"/>
      <c r="D5" s="87">
        <f>(+GENERALES!D5-GENERALES!J5)/GENERALES!J5</f>
        <v>0</v>
      </c>
      <c r="E5" s="69">
        <f>(+GENERALES!E5-GENERALES!K5)/GENERALES!K5</f>
        <v>0</v>
      </c>
      <c r="F5" s="70">
        <f>(+GENERALES!F5-GENERALES!L5)/GENERALES!L5</f>
        <v>0</v>
      </c>
      <c r="G5" s="70">
        <f>(+GENERALES!G5-GENERALES!M5)/GENERALES!M5</f>
        <v>0</v>
      </c>
      <c r="H5" s="71">
        <f>(+GENERALES!H5-GENERALES!N5)/GENERALES!N5</f>
        <v>0</v>
      </c>
      <c r="I5" s="76">
        <f>(+GENERALES!I5-GENERALES!O5)/GENERALES!O5</f>
        <v>0</v>
      </c>
      <c r="J5" s="87">
        <f>(+GENERALES!D5-GENERALES!F5)/GENERALES!D5</f>
        <v>0</v>
      </c>
      <c r="K5" s="69">
        <f>(+GENERALES!E5-GENERALES!G5)/GENERALES!E5</f>
        <v>0</v>
      </c>
      <c r="L5" s="70">
        <f>(+GENERALES!D5-GENERALES!H5)/GENERALES!D5</f>
        <v>0</v>
      </c>
      <c r="M5" s="93">
        <f>(+GENERALES!E5-GENERALES!I5)/GENERALES!E5</f>
        <v>0</v>
      </c>
    </row>
    <row r="6" spans="2:13" x14ac:dyDescent="0.3">
      <c r="B6" s="17" t="s">
        <v>29</v>
      </c>
      <c r="C6" s="82"/>
      <c r="D6" s="87">
        <f>(+GENERALES!D6-GENERALES!J6)/GENERALES!J6</f>
        <v>-5.0617416105924011E-2</v>
      </c>
      <c r="E6" s="69">
        <f>(+GENERALES!E6-GENERALES!K6)/GENERALES!K6</f>
        <v>-2.8806787645209036E-2</v>
      </c>
      <c r="F6" s="70">
        <f>(+GENERALES!F6-GENERALES!L6)/GENERALES!L6</f>
        <v>-6.0019729927087664E-2</v>
      </c>
      <c r="G6" s="70">
        <f>(+GENERALES!G6-GENERALES!M6)/GENERALES!M6</f>
        <v>-1.4927635667930501E-2</v>
      </c>
      <c r="H6" s="71">
        <f>(+GENERALES!H6-GENERALES!N6)/GENERALES!N6</f>
        <v>-5.1099511580594059E-2</v>
      </c>
      <c r="I6" s="76">
        <f>(+GENERALES!I6-GENERALES!O6)/GENERALES!O6</f>
        <v>-2.0017148614306323E-2</v>
      </c>
      <c r="J6" s="87">
        <f>(+GENERALES!D6-GENERALES!F6)/GENERALES!D6</f>
        <v>2.2915093922905558E-2</v>
      </c>
      <c r="K6" s="69">
        <f>(+GENERALES!E6-GENERALES!G6)/GENERALES!E6</f>
        <v>-6.8492380803658173E-2</v>
      </c>
      <c r="L6" s="70">
        <f>(+GENERALES!D6-GENERALES!H6)/GENERALES!D6</f>
        <v>4.2925208848477907E-3</v>
      </c>
      <c r="M6" s="93">
        <f>(+GENERALES!E6-GENERALES!I6)/GENERALES!E6</f>
        <v>-8.809162548336455E-2</v>
      </c>
    </row>
    <row r="7" spans="2:13" ht="15" thickBot="1" x14ac:dyDescent="0.35">
      <c r="B7" s="97" t="s">
        <v>24</v>
      </c>
      <c r="C7" s="98"/>
      <c r="D7" s="88" t="s">
        <v>25</v>
      </c>
      <c r="E7" s="16" t="s">
        <v>26</v>
      </c>
      <c r="F7" s="16" t="s">
        <v>25</v>
      </c>
      <c r="G7" s="16" t="s">
        <v>26</v>
      </c>
      <c r="H7" s="16" t="s">
        <v>25</v>
      </c>
      <c r="I7" s="89" t="s">
        <v>26</v>
      </c>
      <c r="J7" s="88" t="s">
        <v>25</v>
      </c>
      <c r="K7" s="16" t="s">
        <v>26</v>
      </c>
      <c r="L7" s="16" t="s">
        <v>25</v>
      </c>
      <c r="M7" s="89" t="s">
        <v>26</v>
      </c>
    </row>
    <row r="8" spans="2:13" x14ac:dyDescent="0.3">
      <c r="B8" s="99" t="s">
        <v>1</v>
      </c>
      <c r="C8" s="83" t="s">
        <v>5</v>
      </c>
      <c r="D8" s="90">
        <f>(+GENERALES!D8-GENERALES!J8)/GENERALES!J8</f>
        <v>2.4173739522390224E-3</v>
      </c>
      <c r="E8" s="72">
        <f>(+GENERALES!E8-GENERALES!K8)/GENERALES!K8</f>
        <v>-1.7602588470295484E-4</v>
      </c>
      <c r="F8" s="73">
        <f>(+GENERALES!F8-GENERALES!L8)/GENERALES!L8</f>
        <v>4.351935896364483E-3</v>
      </c>
      <c r="G8" s="73">
        <f>(+GENERALES!G8-GENERALES!M8)/GENERALES!M8</f>
        <v>-7.742507794538002E-4</v>
      </c>
      <c r="H8" s="74">
        <f>(+GENERALES!H8-GENERALES!N8)/GENERALES!N8</f>
        <v>4.5260240289137915E-3</v>
      </c>
      <c r="I8" s="75">
        <f>(+GENERALES!I8-GENERALES!O8)/GENERALES!O8</f>
        <v>-3.1704894163775369E-3</v>
      </c>
      <c r="J8" s="90">
        <f>(+GENERALES!D8-GENERALES!F8)/GENERALES!D8</f>
        <v>-0.13467689587616499</v>
      </c>
      <c r="K8" s="72">
        <f>(+GENERALES!E8-GENERALES!G8)/GENERALES!E8</f>
        <v>2.8857165811527526E-2</v>
      </c>
      <c r="L8" s="73">
        <f>(+GENERALES!D8-GENERALES!H8)/GENERALES!D8</f>
        <v>-0.12254078759171959</v>
      </c>
      <c r="M8" s="92">
        <f>(+GENERALES!E8-GENERALES!I8)/GENERALES!E8</f>
        <v>0.11300069289820799</v>
      </c>
    </row>
    <row r="9" spans="2:13" x14ac:dyDescent="0.3">
      <c r="B9" s="100"/>
      <c r="C9" s="82" t="s">
        <v>15</v>
      </c>
      <c r="D9" s="87">
        <f>(+GENERALES!D9-GENERALES!J9)/GENERALES!J9</f>
        <v>2.0450529726529581E-3</v>
      </c>
      <c r="E9" s="69">
        <f>(+GENERALES!E9-GENERALES!K9)/GENERALES!K9</f>
        <v>-2.221658626552967E-4</v>
      </c>
      <c r="F9" s="70">
        <f>(+GENERALES!F9-GENERALES!L9)/GENERALES!L9</f>
        <v>3.705306006838111E-3</v>
      </c>
      <c r="G9" s="70">
        <f>(+GENERALES!G9-GENERALES!M9)/GENERALES!M9</f>
        <v>-6.891289800734574E-4</v>
      </c>
      <c r="H9" s="71">
        <f>(+GENERALES!H9-GENERALES!N9)/GENERALES!N9</f>
        <v>3.8542981182349469E-3</v>
      </c>
      <c r="I9" s="76">
        <f>(+GENERALES!I9-GENERALES!O9)/GENERALES!O9</f>
        <v>-2.7242452060852575E-3</v>
      </c>
      <c r="J9" s="87">
        <f>(+GENERALES!D9-GENERALES!F9)/GENERALES!D9</f>
        <v>-0.13127546327172518</v>
      </c>
      <c r="K9" s="69">
        <f>(+GENERALES!E9-GENERALES!G9)/GENERALES!E9</f>
        <v>2.8111020204950384E-2</v>
      </c>
      <c r="L9" s="70">
        <f>(+GENERALES!D9-GENERALES!H9)/GENERALES!D9</f>
        <v>-0.11896221672602021</v>
      </c>
      <c r="M9" s="93">
        <f>(+GENERALES!E9-GENERALES!I9)/GENERALES!E9</f>
        <v>0.10919825874394994</v>
      </c>
    </row>
    <row r="10" spans="2:13" x14ac:dyDescent="0.3">
      <c r="B10" s="100"/>
      <c r="C10" s="82" t="s">
        <v>14</v>
      </c>
      <c r="D10" s="87">
        <f>(+GENERALES!D10-GENERALES!J10)/GENERALES!J10</f>
        <v>2.0450529726529581E-3</v>
      </c>
      <c r="E10" s="69">
        <f>(+GENERALES!E10-GENERALES!K10)/GENERALES!K10</f>
        <v>-2.221658626552967E-4</v>
      </c>
      <c r="F10" s="70">
        <f>(+GENERALES!F10-GENERALES!L10)/GENERALES!L10</f>
        <v>3.705306006838111E-3</v>
      </c>
      <c r="G10" s="70">
        <f>(+GENERALES!G10-GENERALES!M10)/GENERALES!M10</f>
        <v>-6.891289800734574E-4</v>
      </c>
      <c r="H10" s="71">
        <f>(+GENERALES!H10-GENERALES!N10)/GENERALES!N10</f>
        <v>3.8542981182349469E-3</v>
      </c>
      <c r="I10" s="76">
        <f>(+GENERALES!I10-GENERALES!O10)/GENERALES!O10</f>
        <v>-2.7242452060852575E-3</v>
      </c>
      <c r="J10" s="87">
        <f>(+GENERALES!D10-GENERALES!F10)/GENERALES!D10</f>
        <v>-0.13127546327172518</v>
      </c>
      <c r="K10" s="69">
        <f>(+GENERALES!E10-GENERALES!G10)/GENERALES!E10</f>
        <v>2.8111020204950384E-2</v>
      </c>
      <c r="L10" s="70">
        <f>(+GENERALES!D10-GENERALES!H10)/GENERALES!D10</f>
        <v>-0.11896221672602021</v>
      </c>
      <c r="M10" s="93">
        <f>(+GENERALES!E10-GENERALES!I10)/GENERALES!E10</f>
        <v>0.10919825874394994</v>
      </c>
    </row>
    <row r="11" spans="2:13" x14ac:dyDescent="0.3">
      <c r="B11" s="100"/>
      <c r="C11" s="82" t="s">
        <v>13</v>
      </c>
      <c r="D11" s="87">
        <f>(+GENERALES!D11-GENERALES!J11)/GENERALES!J11</f>
        <v>2.0450529726529581E-3</v>
      </c>
      <c r="E11" s="69">
        <f>(+GENERALES!E11-GENERALES!K11)/GENERALES!K11</f>
        <v>-2.221658626552967E-4</v>
      </c>
      <c r="F11" s="70">
        <f>(+GENERALES!F11-GENERALES!L11)/GENERALES!L11</f>
        <v>3.705306006838111E-3</v>
      </c>
      <c r="G11" s="70">
        <f>(+GENERALES!G11-GENERALES!M11)/GENERALES!M11</f>
        <v>-6.891289800734574E-4</v>
      </c>
      <c r="H11" s="71">
        <f>(+GENERALES!H11-GENERALES!N11)/GENERALES!N11</f>
        <v>3.8542981182349469E-3</v>
      </c>
      <c r="I11" s="76">
        <f>(+GENERALES!I11-GENERALES!O11)/GENERALES!O11</f>
        <v>-2.7242452060852575E-3</v>
      </c>
      <c r="J11" s="87">
        <f>(+GENERALES!D11-GENERALES!F11)/GENERALES!D11</f>
        <v>-0.13127546327172518</v>
      </c>
      <c r="K11" s="69">
        <f>(+GENERALES!E11-GENERALES!G11)/GENERALES!E11</f>
        <v>2.8111020204950384E-2</v>
      </c>
      <c r="L11" s="70">
        <f>(+GENERALES!D11-GENERALES!H11)/GENERALES!D11</f>
        <v>-0.11896221672602021</v>
      </c>
      <c r="M11" s="93">
        <f>(+GENERALES!E11-GENERALES!I11)/GENERALES!E11</f>
        <v>0.10919825874394994</v>
      </c>
    </row>
    <row r="12" spans="2:13" x14ac:dyDescent="0.3">
      <c r="B12" s="100"/>
      <c r="C12" s="82" t="s">
        <v>12</v>
      </c>
      <c r="D12" s="87">
        <f>(+GENERALES!D12-GENERALES!J12)/GENERALES!J12</f>
        <v>2.0918823853095765E-3</v>
      </c>
      <c r="E12" s="69">
        <f>(+GENERALES!E12-GENERALES!K12)/GENERALES!K12</f>
        <v>-2.2656247491424414E-4</v>
      </c>
      <c r="F12" s="70">
        <f>(+GENERALES!F12-GENERALES!L12)/GENERALES!L12</f>
        <v>3.8499989024079247E-3</v>
      </c>
      <c r="G12" s="70">
        <f>(+GENERALES!G12-GENERALES!M12)/GENERALES!M12</f>
        <v>-7.062215220206867E-4</v>
      </c>
      <c r="H12" s="71">
        <f>(+GENERALES!H12-GENERALES!N12)/GENERALES!N12</f>
        <v>4.0087337389542914E-3</v>
      </c>
      <c r="I12" s="76">
        <f>(+GENERALES!I12-GENERALES!O12)/GENERALES!O12</f>
        <v>-2.7732160790087295E-3</v>
      </c>
      <c r="J12" s="87">
        <f>(+GENERALES!D12-GENERALES!F12)/GENERALES!D12</f>
        <v>-0.12447178068061675</v>
      </c>
      <c r="K12" s="69">
        <f>(+GENERALES!E12-GENERALES!G12)/GENERALES!E12</f>
        <v>2.6684921050577414E-2</v>
      </c>
      <c r="L12" s="70">
        <f>(+GENERALES!D12-GENERALES!H12)/GENERALES!D12</f>
        <v>-0.1116708323889869</v>
      </c>
      <c r="M12" s="93">
        <f>(+GENERALES!E12-GENERALES!I12)/GENERALES!E12</f>
        <v>0.10140413224344764</v>
      </c>
    </row>
    <row r="13" spans="2:13" x14ac:dyDescent="0.3">
      <c r="B13" s="100"/>
      <c r="C13" s="82" t="s">
        <v>11</v>
      </c>
      <c r="D13" s="87">
        <f>(+GENERALES!D13-GENERALES!J13)/GENERALES!J13</f>
        <v>2.0918823853095765E-3</v>
      </c>
      <c r="E13" s="69">
        <f>(+GENERALES!E13-GENERALES!K13)/GENERALES!K13</f>
        <v>-2.2656247491424414E-4</v>
      </c>
      <c r="F13" s="70">
        <f>(+GENERALES!F13-GENERALES!L13)/GENERALES!L13</f>
        <v>3.8499989024079247E-3</v>
      </c>
      <c r="G13" s="70">
        <f>(+GENERALES!G13-GENERALES!M13)/GENERALES!M13</f>
        <v>-7.062215220206867E-4</v>
      </c>
      <c r="H13" s="71">
        <f>(+GENERALES!H13-GENERALES!N13)/GENERALES!N13</f>
        <v>4.0087337389542914E-3</v>
      </c>
      <c r="I13" s="76">
        <f>(+GENERALES!I13-GENERALES!O13)/GENERALES!O13</f>
        <v>-2.7732160790087295E-3</v>
      </c>
      <c r="J13" s="87">
        <f>(+GENERALES!D13-GENERALES!F13)/GENERALES!D13</f>
        <v>-0.12447178068061675</v>
      </c>
      <c r="K13" s="69">
        <f>(+GENERALES!E13-GENERALES!G13)/GENERALES!E13</f>
        <v>2.6684921050577414E-2</v>
      </c>
      <c r="L13" s="70">
        <f>(+GENERALES!D13-GENERALES!H13)/GENERALES!D13</f>
        <v>-0.1116708323889869</v>
      </c>
      <c r="M13" s="93">
        <f>(+GENERALES!E13-GENERALES!I13)/GENERALES!E13</f>
        <v>0.10140413224344764</v>
      </c>
    </row>
    <row r="14" spans="2:13" x14ac:dyDescent="0.3">
      <c r="B14" s="100"/>
      <c r="C14" s="82" t="s">
        <v>10</v>
      </c>
      <c r="D14" s="87">
        <f>(+GENERALES!D14-GENERALES!J14)/GENERALES!J14</f>
        <v>2.0918823853095765E-3</v>
      </c>
      <c r="E14" s="69">
        <f>(+GENERALES!E14-GENERALES!K14)/GENERALES!K14</f>
        <v>-2.2656247491424414E-4</v>
      </c>
      <c r="F14" s="70">
        <f>(+GENERALES!F14-GENERALES!L14)/GENERALES!L14</f>
        <v>3.8499989024079247E-3</v>
      </c>
      <c r="G14" s="70">
        <f>(+GENERALES!G14-GENERALES!M14)/GENERALES!M14</f>
        <v>-7.062215220206867E-4</v>
      </c>
      <c r="H14" s="71">
        <f>(+GENERALES!H14-GENERALES!N14)/GENERALES!N14</f>
        <v>4.0087337389542914E-3</v>
      </c>
      <c r="I14" s="76">
        <f>(+GENERALES!I14-GENERALES!O14)/GENERALES!O14</f>
        <v>-2.7732160790087295E-3</v>
      </c>
      <c r="J14" s="87">
        <f>(+GENERALES!D14-GENERALES!F14)/GENERALES!D14</f>
        <v>-0.12447178068061675</v>
      </c>
      <c r="K14" s="69">
        <f>(+GENERALES!E14-GENERALES!G14)/GENERALES!E14</f>
        <v>2.6684921050577414E-2</v>
      </c>
      <c r="L14" s="70">
        <f>(+GENERALES!D14-GENERALES!H14)/GENERALES!D14</f>
        <v>-0.1116708323889869</v>
      </c>
      <c r="M14" s="93">
        <f>(+GENERALES!E14-GENERALES!I14)/GENERALES!E14</f>
        <v>0.10140413224344764</v>
      </c>
    </row>
    <row r="15" spans="2:13" x14ac:dyDescent="0.3">
      <c r="B15" s="100"/>
      <c r="C15" s="82" t="s">
        <v>9</v>
      </c>
      <c r="D15" s="87">
        <f>(+GENERALES!D15-GENERALES!J15)/GENERALES!J15</f>
        <v>2.0918823853095765E-3</v>
      </c>
      <c r="E15" s="69">
        <f>(+GENERALES!E15-GENERALES!K15)/GENERALES!K15</f>
        <v>-2.2656247491424414E-4</v>
      </c>
      <c r="F15" s="70">
        <f>(+GENERALES!F15-GENERALES!L15)/GENERALES!L15</f>
        <v>3.8499989024079247E-3</v>
      </c>
      <c r="G15" s="70">
        <f>(+GENERALES!G15-GENERALES!M15)/GENERALES!M15</f>
        <v>-7.062215220206867E-4</v>
      </c>
      <c r="H15" s="71">
        <f>(+GENERALES!H15-GENERALES!N15)/GENERALES!N15</f>
        <v>4.0087337389542914E-3</v>
      </c>
      <c r="I15" s="76">
        <f>(+GENERALES!I15-GENERALES!O15)/GENERALES!O15</f>
        <v>-2.7732160790087295E-3</v>
      </c>
      <c r="J15" s="87">
        <f>(+GENERALES!D15-GENERALES!F15)/GENERALES!D15</f>
        <v>-0.12447178068061675</v>
      </c>
      <c r="K15" s="69">
        <f>(+GENERALES!E15-GENERALES!G15)/GENERALES!E15</f>
        <v>2.6684921050577414E-2</v>
      </c>
      <c r="L15" s="70">
        <f>(+GENERALES!D15-GENERALES!H15)/GENERALES!D15</f>
        <v>-0.1116708323889869</v>
      </c>
      <c r="M15" s="93">
        <f>(+GENERALES!E15-GENERALES!I15)/GENERALES!E15</f>
        <v>0.10140413224344764</v>
      </c>
    </row>
    <row r="16" spans="2:13" x14ac:dyDescent="0.3">
      <c r="B16" s="100"/>
      <c r="C16" s="82" t="s">
        <v>8</v>
      </c>
      <c r="D16" s="87">
        <f>(+GENERALES!D16-GENERALES!J16)/GENERALES!J16</f>
        <v>2.0918823853095765E-3</v>
      </c>
      <c r="E16" s="69">
        <f>(+GENERALES!E16-GENERALES!K16)/GENERALES!K16</f>
        <v>-2.2656247491424414E-4</v>
      </c>
      <c r="F16" s="70">
        <f>(+GENERALES!F16-GENERALES!L16)/GENERALES!L16</f>
        <v>3.8499989024079247E-3</v>
      </c>
      <c r="G16" s="70">
        <f>(+GENERALES!G16-GENERALES!M16)/GENERALES!M16</f>
        <v>-7.062215220206867E-4</v>
      </c>
      <c r="H16" s="71">
        <f>(+GENERALES!H16-GENERALES!N16)/GENERALES!N16</f>
        <v>4.0087337389542914E-3</v>
      </c>
      <c r="I16" s="76">
        <f>(+GENERALES!I16-GENERALES!O16)/GENERALES!O16</f>
        <v>-2.7732160790087295E-3</v>
      </c>
      <c r="J16" s="87">
        <f>(+GENERALES!D16-GENERALES!F16)/GENERALES!D16</f>
        <v>-0.12447178068061675</v>
      </c>
      <c r="K16" s="69">
        <f>(+GENERALES!E16-GENERALES!G16)/GENERALES!E16</f>
        <v>2.6684921050577414E-2</v>
      </c>
      <c r="L16" s="70">
        <f>(+GENERALES!D16-GENERALES!H16)/GENERALES!D16</f>
        <v>-0.1116708323889869</v>
      </c>
      <c r="M16" s="93">
        <f>(+GENERALES!E16-GENERALES!I16)/GENERALES!E16</f>
        <v>0.10140413224344764</v>
      </c>
    </row>
    <row r="17" spans="2:13" x14ac:dyDescent="0.3">
      <c r="B17" s="100"/>
      <c r="C17" s="82" t="s">
        <v>7</v>
      </c>
      <c r="D17" s="87">
        <f>(+GENERALES!D17-GENERALES!J17)/GENERALES!J17</f>
        <v>1.4039434138748883E-3</v>
      </c>
      <c r="E17" s="69">
        <f>(+GENERALES!E17-GENERALES!K17)/GENERALES!K17</f>
        <v>-1.3771989335964617E-4</v>
      </c>
      <c r="F17" s="70">
        <f>(+GENERALES!F17-GENERALES!L17)/GENERALES!L17</f>
        <v>2.2121053726113695E-3</v>
      </c>
      <c r="G17" s="70">
        <f>(+GENERALES!G17-GENERALES!M17)/GENERALES!M17</f>
        <v>-5.9831621950267135E-4</v>
      </c>
      <c r="H17" s="71">
        <f>(+GENERALES!H17-GENERALES!N17)/GENERALES!N17</f>
        <v>2.2638899449951106E-3</v>
      </c>
      <c r="I17" s="76">
        <f>(+GENERALES!I17-GENERALES!O17)/GENERALES!O17</f>
        <v>-1.8484354628362182E-3</v>
      </c>
      <c r="J17" s="87">
        <f>(+GENERALES!D17-GENERALES!F17)/GENERALES!D17</f>
        <v>-0.13063388972425174</v>
      </c>
      <c r="K17" s="69">
        <f>(+GENERALES!E17-GENERALES!G17)/GENERALES!E17</f>
        <v>2.621623164709027E-2</v>
      </c>
      <c r="L17" s="70">
        <f>(+GENERALES!D17-GENERALES!H17)/GENERALES!D17</f>
        <v>-0.12349403840570539</v>
      </c>
      <c r="M17" s="93">
        <f>(+GENERALES!E17-GENERALES!I17)/GENERALES!E17</f>
        <v>0.11446821654862038</v>
      </c>
    </row>
    <row r="18" spans="2:13" ht="15" thickBot="1" x14ac:dyDescent="0.35">
      <c r="B18" s="101"/>
      <c r="C18" s="84" t="s">
        <v>6</v>
      </c>
      <c r="D18" s="91">
        <f>(+GENERALES!D18-GENERALES!J18)/GENERALES!J18</f>
        <v>0</v>
      </c>
      <c r="E18" s="77">
        <f>(+GENERALES!E18-GENERALES!K18)/GENERALES!K18</f>
        <v>0</v>
      </c>
      <c r="F18" s="78">
        <f>(+GENERALES!F18-GENERALES!L18)/GENERALES!L18</f>
        <v>0</v>
      </c>
      <c r="G18" s="78">
        <f>(+GENERALES!G18-GENERALES!M18)/GENERALES!M18</f>
        <v>0</v>
      </c>
      <c r="H18" s="79">
        <f>(+GENERALES!H18-GENERALES!N18)/GENERALES!N18</f>
        <v>0</v>
      </c>
      <c r="I18" s="80">
        <f>(+GENERALES!I18-GENERALES!O18)/GENERALES!O18</f>
        <v>0</v>
      </c>
      <c r="J18" s="91">
        <f>(+GENERALES!D18-GENERALES!F18)/GENERALES!D18</f>
        <v>-0.32142857166270006</v>
      </c>
      <c r="K18" s="77">
        <f>(+GENERALES!E18-GENERALES!G18)/GENERALES!E18</f>
        <v>6.5331966097212965E-2</v>
      </c>
      <c r="L18" s="78">
        <f>(+GENERALES!D18-GENERALES!H18)/GENERALES!D18</f>
        <v>-0.32142857166270006</v>
      </c>
      <c r="M18" s="94">
        <f>(+GENERALES!E18-GENERALES!I18)/GENERALES!E18</f>
        <v>0.68844398869907097</v>
      </c>
    </row>
    <row r="19" spans="2:13" x14ac:dyDescent="0.3">
      <c r="B19" s="99" t="s">
        <v>17</v>
      </c>
      <c r="C19" s="83" t="s">
        <v>5</v>
      </c>
      <c r="D19" s="90">
        <f>(+GENERALES!D19-GENERALES!J19)/GENERALES!J19</f>
        <v>9.6730998620570885E-2</v>
      </c>
      <c r="E19" s="72">
        <f>(+GENERALES!E19-GENERALES!K19)/GENERALES!K19</f>
        <v>-1.5199772135498843E-2</v>
      </c>
      <c r="F19" s="73">
        <f>(+GENERALES!F19-GENERALES!L19)/GENERALES!L19</f>
        <v>0.16434845858510722</v>
      </c>
      <c r="G19" s="73">
        <f>(+GENERALES!G19-GENERALES!M19)/GENERALES!M19</f>
        <v>-1.9169104626278865E-2</v>
      </c>
      <c r="H19" s="74">
        <f>(+GENERALES!H19-GENERALES!N19)/GENERALES!N19</f>
        <v>0.17691968307439909</v>
      </c>
      <c r="I19" s="75">
        <f>(+GENERALES!I19-GENERALES!O19)/GENERALES!O19</f>
        <v>-0.10812678829062712</v>
      </c>
      <c r="J19" s="90">
        <f>(+GENERALES!D19-GENERALES!F19)/GENERALES!D19</f>
        <v>-0.20626125608739809</v>
      </c>
      <c r="K19" s="72">
        <f>(+GENERALES!E19-GENERALES!G19)/GENERALES!E19</f>
        <v>5.6426271225927201E-2</v>
      </c>
      <c r="L19" s="73">
        <f>(+GENERALES!D19-GENERALES!H19)/GENERALES!D19</f>
        <v>-0.18553684660662639</v>
      </c>
      <c r="M19" s="92">
        <f>(+GENERALES!E19-GENERALES!I19)/GENERALES!E19</f>
        <v>0.23035462068636417</v>
      </c>
    </row>
    <row r="20" spans="2:13" x14ac:dyDescent="0.3">
      <c r="B20" s="100"/>
      <c r="C20" s="82" t="s">
        <v>15</v>
      </c>
      <c r="D20" s="87">
        <f>(+GENERALES!D20-GENERALES!J20)/GENERALES!J20</f>
        <v>0.1102697515960461</v>
      </c>
      <c r="E20" s="69">
        <f>(+GENERALES!E20-GENERALES!K20)/GENERALES!K20</f>
        <v>-1.3000441610434361E-2</v>
      </c>
      <c r="F20" s="70">
        <f>(+GENERALES!F20-GENERALES!L20)/GENERALES!L20</f>
        <v>0.16855279297227976</v>
      </c>
      <c r="G20" s="70">
        <f>(+GENERALES!G20-GENERALES!M20)/GENERALES!M20</f>
        <v>-2.9267123523660763E-2</v>
      </c>
      <c r="H20" s="71">
        <f>(+GENERALES!H20-GENERALES!N20)/GENERALES!N20</f>
        <v>0.18377919308870483</v>
      </c>
      <c r="I20" s="76">
        <f>(+GENERALES!I20-GENERALES!O20)/GENERALES!O20</f>
        <v>-0.1305198901013685</v>
      </c>
      <c r="J20" s="87">
        <f>(+GENERALES!D20-GENERALES!F20)/GENERALES!D20</f>
        <v>-0.17520221008379408</v>
      </c>
      <c r="K20" s="69">
        <f>(+GENERALES!E20-GENERALES!G20)/GENERALES!E20</f>
        <v>6.9654733226245838E-2</v>
      </c>
      <c r="L20" s="70">
        <f>(+GENERALES!D20-GENERALES!H20)/GENERALES!D20</f>
        <v>-0.15083364878029301</v>
      </c>
      <c r="M20" s="93">
        <f>(+GENERALES!E20-GENERALES!I20)/GENERALES!E20</f>
        <v>0.26033383839675689</v>
      </c>
    </row>
    <row r="21" spans="2:13" x14ac:dyDescent="0.3">
      <c r="B21" s="100"/>
      <c r="C21" s="82" t="s">
        <v>14</v>
      </c>
      <c r="D21" s="87">
        <f>(+GENERALES!D21-GENERALES!J21)/GENERALES!J21</f>
        <v>0.11359852172001707</v>
      </c>
      <c r="E21" s="69">
        <f>(+GENERALES!E21-GENERALES!K21)/GENERALES!K21</f>
        <v>-1.2607672744527863E-2</v>
      </c>
      <c r="F21" s="70">
        <f>(+GENERALES!F21-GENERALES!L21)/GENERALES!L21</f>
        <v>0.16457160852041108</v>
      </c>
      <c r="G21" s="70">
        <f>(+GENERALES!G21-GENERALES!M21)/GENERALES!M21</f>
        <v>-3.1975441251715614E-2</v>
      </c>
      <c r="H21" s="71">
        <f>(+GENERALES!H21-GENERALES!N21)/GENERALES!N21</f>
        <v>0.17825953293956462</v>
      </c>
      <c r="I21" s="76">
        <f>(+GENERALES!I21-GENERALES!O21)/GENERALES!O21</f>
        <v>-0.13251609953172785</v>
      </c>
      <c r="J21" s="87">
        <f>(+GENERALES!D21-GENERALES!F21)/GENERALES!D21</f>
        <v>-0.15720671493191962</v>
      </c>
      <c r="K21" s="69">
        <f>(+GENERALES!E21-GENERALES!G21)/GENERALES!E21</f>
        <v>7.2141852541141208E-2</v>
      </c>
      <c r="L21" s="70">
        <f>(+GENERALES!D21-GENERALES!H21)/GENERALES!D21</f>
        <v>-0.12624138927492004</v>
      </c>
      <c r="M21" s="93">
        <f>(+GENERALES!E21-GENERALES!I21)/GENERALES!E21</f>
        <v>0.26414171909268092</v>
      </c>
    </row>
    <row r="22" spans="2:13" x14ac:dyDescent="0.3">
      <c r="B22" s="100"/>
      <c r="C22" s="82" t="s">
        <v>13</v>
      </c>
      <c r="D22" s="87">
        <f>(+GENERALES!D22-GENERALES!J22)/GENERALES!J22</f>
        <v>0.11364893306139855</v>
      </c>
      <c r="E22" s="69">
        <f>(+GENERALES!E22-GENERALES!K22)/GENERALES!K22</f>
        <v>-1.2580189527748765E-2</v>
      </c>
      <c r="F22" s="70">
        <f>(+GENERALES!F22-GENERALES!L22)/GENERALES!L22</f>
        <v>0.15839271781981792</v>
      </c>
      <c r="G22" s="70">
        <f>(+GENERALES!G22-GENERALES!M22)/GENERALES!M22</f>
        <v>-3.2465629062812702E-2</v>
      </c>
      <c r="H22" s="71">
        <f>(+GENERALES!H22-GENERALES!N22)/GENERALES!N22</f>
        <v>0.16880182969051738</v>
      </c>
      <c r="I22" s="76">
        <f>(+GENERALES!I22-GENERALES!O22)/GENERALES!O22</f>
        <v>-0.12789202062533578</v>
      </c>
      <c r="J22" s="87">
        <f>(+GENERALES!D22-GENERALES!F22)/GENERALES!D22</f>
        <v>-0.14331824193791864</v>
      </c>
      <c r="K22" s="69">
        <f>(+GENERALES!E22-GENERALES!G22)/GENERALES!E22</f>
        <v>7.1525582447098793E-2</v>
      </c>
      <c r="L22" s="70">
        <f>(+GENERALES!D22-GENERALES!H22)/GENERALES!D22</f>
        <v>-0.10400889240251908</v>
      </c>
      <c r="M22" s="93">
        <f>(+GENERALES!E22-GENERALES!I22)/GENERALES!E22</f>
        <v>0.2598480485647941</v>
      </c>
    </row>
    <row r="23" spans="2:13" x14ac:dyDescent="0.3">
      <c r="B23" s="100"/>
      <c r="C23" s="82" t="s">
        <v>12</v>
      </c>
      <c r="D23" s="87">
        <f>(+GENERALES!D23-GENERALES!J23)/GENERALES!J23</f>
        <v>0.11272386068168956</v>
      </c>
      <c r="E23" s="69">
        <f>(+GENERALES!E23-GENERALES!K23)/GENERALES!K23</f>
        <v>-1.2911485585655044E-2</v>
      </c>
      <c r="F23" s="70">
        <f>(+GENERALES!F23-GENERALES!L23)/GENERALES!L23</f>
        <v>0.15102215200392247</v>
      </c>
      <c r="G23" s="70">
        <f>(+GENERALES!G23-GENERALES!M23)/GENERALES!M23</f>
        <v>-3.1934111862875002E-2</v>
      </c>
      <c r="H23" s="71">
        <f>(+GENERALES!H23-GENERALES!N23)/GENERALES!N23</f>
        <v>0.1571950108791218</v>
      </c>
      <c r="I23" s="76">
        <f>(+GENERALES!I23-GENERALES!O23)/GENERALES!O23</f>
        <v>-0.12059184324615471</v>
      </c>
      <c r="J23" s="87">
        <f>(+GENERALES!D23-GENERALES!F23)/GENERALES!D23</f>
        <v>-0.13067223693857111</v>
      </c>
      <c r="K23" s="69">
        <f>(+GENERALES!E23-GENERALES!G23)/GENERALES!E23</f>
        <v>6.9030970664851671E-2</v>
      </c>
      <c r="L23" s="70">
        <f>(+GENERALES!D23-GENERALES!H23)/GENERALES!D23</f>
        <v>-8.1716340138984739E-2</v>
      </c>
      <c r="M23" s="93">
        <f>(+GENERALES!E23-GENERALES!I23)/GENERALES!E23</f>
        <v>0.2510099607533216</v>
      </c>
    </row>
    <row r="24" spans="2:13" x14ac:dyDescent="0.3">
      <c r="B24" s="100"/>
      <c r="C24" s="82" t="s">
        <v>11</v>
      </c>
      <c r="D24" s="87">
        <f>(+GENERALES!D24-GENERALES!J24)/GENERALES!J24</f>
        <v>0.11204687493261081</v>
      </c>
      <c r="E24" s="69">
        <f>(+GENERALES!E24-GENERALES!K24)/GENERALES!K24</f>
        <v>-1.3277875793309715E-2</v>
      </c>
      <c r="F24" s="70">
        <f>(+GENERALES!F24-GENERALES!L24)/GENERALES!L24</f>
        <v>0.14314551927699304</v>
      </c>
      <c r="G24" s="70">
        <f>(+GENERALES!G24-GENERALES!M24)/GENERALES!M24</f>
        <v>-3.1455982504966958E-2</v>
      </c>
      <c r="H24" s="71">
        <f>(+GENERALES!H24-GENERALES!N24)/GENERALES!N24</f>
        <v>0.14470150162023879</v>
      </c>
      <c r="I24" s="76">
        <f>(+GENERALES!I24-GENERALES!O24)/GENERALES!O24</f>
        <v>-0.1133786557339186</v>
      </c>
      <c r="J24" s="87">
        <f>(+GENERALES!D24-GENERALES!F24)/GENERALES!D24</f>
        <v>-0.11861570034688562</v>
      </c>
      <c r="K24" s="69">
        <f>(+GENERALES!E24-GENERALES!G24)/GENERALES!E24</f>
        <v>6.5797139206677097E-2</v>
      </c>
      <c r="L24" s="70">
        <f>(+GENERALES!D24-GENERALES!H24)/GENERALES!D24</f>
        <v>-5.9250255441461938E-2</v>
      </c>
      <c r="M24" s="93">
        <f>(+GENERALES!E24-GENERALES!I24)/GENERALES!E24</f>
        <v>0.23958857521825355</v>
      </c>
    </row>
    <row r="25" spans="2:13" x14ac:dyDescent="0.3">
      <c r="B25" s="100"/>
      <c r="C25" s="82" t="s">
        <v>10</v>
      </c>
      <c r="D25" s="87">
        <f>(+GENERALES!D25-GENERALES!J25)/GENERALES!J25</f>
        <v>0.11083636361158354</v>
      </c>
      <c r="E25" s="69">
        <f>(+GENERALES!E25-GENERALES!K25)/GENERALES!K25</f>
        <v>-1.3472606443520567E-2</v>
      </c>
      <c r="F25" s="70">
        <f>(+GENERALES!F25-GENERALES!L25)/GENERALES!L25</f>
        <v>0.13541081930736115</v>
      </c>
      <c r="G25" s="70">
        <f>(+GENERALES!G25-GENERALES!M25)/GENERALES!M25</f>
        <v>-3.0730367625972539E-2</v>
      </c>
      <c r="H25" s="71">
        <f>(+GENERALES!H25-GENERALES!N25)/GENERALES!N25</f>
        <v>0.13208501874887094</v>
      </c>
      <c r="I25" s="76">
        <f>(+GENERALES!I25-GENERALES!O25)/GENERALES!O25</f>
        <v>-0.10529085711913867</v>
      </c>
      <c r="J25" s="87">
        <f>(+GENERALES!D25-GENERALES!F25)/GENERALES!D25</f>
        <v>-0.10699050913976049</v>
      </c>
      <c r="K25" s="69">
        <f>(+GENERALES!E25-GENERALES!G25)/GENERALES!E25</f>
        <v>6.2611280030503924E-2</v>
      </c>
      <c r="L25" s="70">
        <f>(+GENERALES!D25-GENERALES!H25)/GENERALES!D25</f>
        <v>-3.6606846154411316E-2</v>
      </c>
      <c r="M25" s="93">
        <f>(+GENERALES!E25-GENERALES!I25)/GENERALES!E25</f>
        <v>0.2281689457304997</v>
      </c>
    </row>
    <row r="26" spans="2:13" x14ac:dyDescent="0.3">
      <c r="B26" s="100"/>
      <c r="C26" s="82" t="s">
        <v>9</v>
      </c>
      <c r="D26" s="87">
        <f>(+GENERALES!D26-GENERALES!J26)/GENERALES!J26</f>
        <v>0.10908322364149656</v>
      </c>
      <c r="E26" s="69">
        <f>(+GENERALES!E26-GENERALES!K26)/GENERALES!K26</f>
        <v>-1.3576170649334736E-2</v>
      </c>
      <c r="F26" s="70">
        <f>(+GENERALES!F26-GENERALES!L26)/GENERALES!L26</f>
        <v>0.1275642662985598</v>
      </c>
      <c r="G26" s="70">
        <f>(+GENERALES!G26-GENERALES!M26)/GENERALES!M26</f>
        <v>-2.9706552168200121E-2</v>
      </c>
      <c r="H26" s="71">
        <f>(+GENERALES!H26-GENERALES!N26)/GENERALES!N26</f>
        <v>0.11922322679380754</v>
      </c>
      <c r="I26" s="76">
        <f>(+GENERALES!I26-GENERALES!O26)/GENERALES!O26</f>
        <v>-9.6392061546781829E-2</v>
      </c>
      <c r="J26" s="87">
        <f>(+GENERALES!D26-GENERALES!F26)/GENERALES!D26</f>
        <v>-9.5353135940283676E-2</v>
      </c>
      <c r="K26" s="69">
        <f>(+GENERALES!E26-GENERALES!G26)/GENERALES!E26</f>
        <v>5.9311145912922678E-2</v>
      </c>
      <c r="L26" s="70">
        <f>(+GENERALES!D26-GENERALES!H26)/GENERALES!D26</f>
        <v>-1.351761656769262E-2</v>
      </c>
      <c r="M26" s="93">
        <f>(+GENERALES!E26-GENERALES!I26)/GENERALES!E26</f>
        <v>0.21659128000660985</v>
      </c>
    </row>
    <row r="27" spans="2:13" x14ac:dyDescent="0.3">
      <c r="B27" s="100"/>
      <c r="C27" s="82" t="s">
        <v>8</v>
      </c>
      <c r="D27" s="87">
        <f>(+GENERALES!D27-GENERALES!J27)/GENERALES!J27</f>
        <v>0.10682757701943492</v>
      </c>
      <c r="E27" s="69">
        <f>(+GENERALES!E27-GENERALES!K27)/GENERALES!K27</f>
        <v>-1.3649063083923857E-2</v>
      </c>
      <c r="F27" s="70">
        <f>(+GENERALES!F27-GENERALES!L27)/GENERALES!L27</f>
        <v>0.11925063856043552</v>
      </c>
      <c r="G27" s="70">
        <f>(+GENERALES!G27-GENERALES!M27)/GENERALES!M27</f>
        <v>-2.8414328920489652E-2</v>
      </c>
      <c r="H27" s="71">
        <f>(+GENERALES!H27-GENERALES!N27)/GENERALES!N27</f>
        <v>0.1059133052521416</v>
      </c>
      <c r="I27" s="76">
        <f>(+GENERALES!I27-GENERALES!O27)/GENERALES!O27</f>
        <v>-8.6764566547873456E-2</v>
      </c>
      <c r="J27" s="87">
        <f>(+GENERALES!D27-GENERALES!F27)/GENERALES!D27</f>
        <v>-8.3285041756932104E-2</v>
      </c>
      <c r="K27" s="69">
        <f>(+GENERALES!E27-GENERALES!G27)/GENERALES!E27</f>
        <v>5.5772939474957643E-2</v>
      </c>
      <c r="L27" s="70">
        <f>(+GENERALES!D27-GENERALES!H27)/GENERALES!D27</f>
        <v>1.0201233079447718E-2</v>
      </c>
      <c r="M27" s="93">
        <f>(+GENERALES!E27-GENERALES!I27)/GENERALES!E27</f>
        <v>0.20465382867415377</v>
      </c>
    </row>
    <row r="28" spans="2:13" x14ac:dyDescent="0.3">
      <c r="B28" s="100"/>
      <c r="C28" s="82" t="s">
        <v>7</v>
      </c>
      <c r="D28" s="87">
        <f>(+GENERALES!D28-GENERALES!J28)/GENERALES!J28</f>
        <v>0.10496158646074366</v>
      </c>
      <c r="E28" s="69">
        <f>(+GENERALES!E28-GENERALES!K28)/GENERALES!K28</f>
        <v>-1.3644750007738645E-2</v>
      </c>
      <c r="F28" s="70">
        <f>(+GENERALES!F28-GENERALES!L28)/GENERALES!L28</f>
        <v>0.11069116295696807</v>
      </c>
      <c r="G28" s="70">
        <f>(+GENERALES!G28-GENERALES!M28)/GENERALES!M28</f>
        <v>-2.7403829893524672E-2</v>
      </c>
      <c r="H28" s="71">
        <f>(+GENERALES!H28-GENERALES!N28)/GENERALES!N28</f>
        <v>9.2778274885442824E-2</v>
      </c>
      <c r="I28" s="76">
        <f>(+GENERALES!I28-GENERALES!O28)/GENERALES!O28</f>
        <v>-7.7560842383262149E-2</v>
      </c>
      <c r="J28" s="87">
        <f>(+GENERALES!D28-GENERALES!F28)/GENERALES!D28</f>
        <v>-7.0531850019475206E-2</v>
      </c>
      <c r="K28" s="69">
        <f>(+GENERALES!E28-GENERALES!G28)/GENERALES!E28</f>
        <v>5.281104847768673E-2</v>
      </c>
      <c r="L28" s="70">
        <f>(+GENERALES!D28-GENERALES!H28)/GENERALES!D28</f>
        <v>3.4406171627874377E-2</v>
      </c>
      <c r="M28" s="93">
        <f>(+GENERALES!E28-GENERALES!I28)/GENERALES!E28</f>
        <v>0.19351178658020149</v>
      </c>
    </row>
    <row r="29" spans="2:13" ht="15" thickBot="1" x14ac:dyDescent="0.35">
      <c r="B29" s="101"/>
      <c r="C29" s="84" t="s">
        <v>6</v>
      </c>
      <c r="D29" s="91">
        <f>(+GENERALES!D29-GENERALES!J29)/GENERALES!J29</f>
        <v>3.674753398488774E-2</v>
      </c>
      <c r="E29" s="77">
        <f>(+GENERALES!E29-GENERALES!K29)/GENERALES!K29</f>
        <v>-8.2742252224687549E-3</v>
      </c>
      <c r="F29" s="78">
        <f>(+GENERALES!F29-GENERALES!L29)/GENERALES!L29</f>
        <v>3.3293685391590645E-2</v>
      </c>
      <c r="G29" s="78">
        <f>(+GENERALES!G29-GENERALES!M29)/GENERALES!M29</f>
        <v>-1.9080960785777694E-2</v>
      </c>
      <c r="H29" s="79">
        <f>(+GENERALES!H29-GENERALES!N29)/GENERALES!N29</f>
        <v>3.1588762622078999E-2</v>
      </c>
      <c r="I29" s="80">
        <f>(+GENERALES!I29-GENERALES!O29)/GENERALES!O29</f>
        <v>-8.3293430401577495E-2</v>
      </c>
      <c r="J29" s="91">
        <f>(+GENERALES!D29-GENERALES!F29)/GENERALES!D29</f>
        <v>-0.25983013034927188</v>
      </c>
      <c r="K29" s="77">
        <f>(+GENERALES!E29-GENERALES!G29)/GENERALES!E29</f>
        <v>5.8490332913313348E-2</v>
      </c>
      <c r="L29" s="78">
        <f>(+GENERALES!D29-GENERALES!H29)/GENERALES!D29</f>
        <v>-0.23578438138361393</v>
      </c>
      <c r="M29" s="94">
        <f>(+GENERALES!E29-GENERALES!I29)/GENERALES!E29</f>
        <v>0.51931048278131098</v>
      </c>
    </row>
    <row r="30" spans="2:13" ht="15" thickBot="1" x14ac:dyDescent="0.35">
      <c r="D30" s="105" t="s">
        <v>73</v>
      </c>
      <c r="E30" s="106"/>
      <c r="F30" s="106"/>
      <c r="G30" s="106"/>
      <c r="H30" s="106"/>
      <c r="I30" s="107"/>
      <c r="J30" s="105" t="s">
        <v>74</v>
      </c>
      <c r="K30" s="106"/>
      <c r="L30" s="106"/>
      <c r="M30" s="107"/>
    </row>
  </sheetData>
  <mergeCells count="14">
    <mergeCell ref="B7:C7"/>
    <mergeCell ref="B8:B18"/>
    <mergeCell ref="B19:B29"/>
    <mergeCell ref="J2:M2"/>
    <mergeCell ref="D30:I30"/>
    <mergeCell ref="J30:M30"/>
    <mergeCell ref="D2:I2"/>
    <mergeCell ref="B3:B4"/>
    <mergeCell ref="C3:C4"/>
    <mergeCell ref="D3:E3"/>
    <mergeCell ref="F3:G3"/>
    <mergeCell ref="H3:I3"/>
    <mergeCell ref="J3:K3"/>
    <mergeCell ref="L3:M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AS119"/>
  <sheetViews>
    <sheetView zoomScale="85" zoomScaleNormal="85" workbookViewId="0">
      <selection activeCell="T19" sqref="T19"/>
    </sheetView>
  </sheetViews>
  <sheetFormatPr baseColWidth="10" defaultRowHeight="14.4" x14ac:dyDescent="0.3"/>
  <cols>
    <col min="2" max="2" width="16.77734375" customWidth="1"/>
    <col min="3" max="3" width="10.77734375" customWidth="1"/>
    <col min="4" max="4" width="19.44140625" bestFit="1" customWidth="1"/>
    <col min="5" max="16" width="8.77734375" customWidth="1"/>
    <col min="17" max="17" width="32.109375" customWidth="1"/>
  </cols>
  <sheetData>
    <row r="3" spans="2:21" x14ac:dyDescent="0.3">
      <c r="B3" s="111" t="s">
        <v>2</v>
      </c>
      <c r="C3" s="111" t="s">
        <v>4</v>
      </c>
      <c r="D3" s="111" t="s">
        <v>57</v>
      </c>
      <c r="E3" s="114" t="s">
        <v>3</v>
      </c>
      <c r="F3" s="114"/>
      <c r="G3" s="114"/>
      <c r="H3" s="114"/>
      <c r="I3" s="114"/>
      <c r="J3" s="114"/>
      <c r="K3" s="114" t="s">
        <v>16</v>
      </c>
      <c r="L3" s="114"/>
      <c r="M3" s="114"/>
      <c r="N3" s="114"/>
      <c r="O3" s="114"/>
      <c r="P3" s="114"/>
    </row>
    <row r="4" spans="2:21" x14ac:dyDescent="0.3">
      <c r="B4" s="111"/>
      <c r="C4" s="111"/>
      <c r="D4" s="111"/>
      <c r="E4" s="114" t="s">
        <v>30</v>
      </c>
      <c r="F4" s="114"/>
      <c r="G4" s="114" t="s">
        <v>31</v>
      </c>
      <c r="H4" s="114"/>
      <c r="I4" s="114" t="s">
        <v>32</v>
      </c>
      <c r="J4" s="114"/>
      <c r="K4" s="114" t="s">
        <v>30</v>
      </c>
      <c r="L4" s="114"/>
      <c r="M4" s="114" t="s">
        <v>31</v>
      </c>
      <c r="N4" s="114"/>
      <c r="O4" s="114" t="s">
        <v>32</v>
      </c>
      <c r="P4" s="114"/>
    </row>
    <row r="5" spans="2:21" x14ac:dyDescent="0.3">
      <c r="B5" s="62"/>
      <c r="C5" s="62"/>
      <c r="D5" s="62"/>
      <c r="E5" s="27" t="s">
        <v>68</v>
      </c>
      <c r="F5" s="27" t="s">
        <v>69</v>
      </c>
      <c r="G5" s="27" t="s">
        <v>68</v>
      </c>
      <c r="H5" s="27" t="s">
        <v>69</v>
      </c>
      <c r="I5" s="27" t="s">
        <v>68</v>
      </c>
      <c r="J5" s="27" t="s">
        <v>69</v>
      </c>
      <c r="K5" s="27" t="s">
        <v>68</v>
      </c>
      <c r="L5" s="27" t="s">
        <v>69</v>
      </c>
      <c r="M5" s="27" t="s">
        <v>68</v>
      </c>
      <c r="N5" s="27" t="s">
        <v>69</v>
      </c>
      <c r="O5" s="27" t="s">
        <v>68</v>
      </c>
      <c r="P5" s="27" t="s">
        <v>69</v>
      </c>
    </row>
    <row r="6" spans="2:21" x14ac:dyDescent="0.3">
      <c r="B6" s="116" t="s">
        <v>34</v>
      </c>
      <c r="C6" s="117" t="s">
        <v>5</v>
      </c>
      <c r="D6" s="63" t="s">
        <v>58</v>
      </c>
      <c r="E6" s="64" t="s">
        <v>41</v>
      </c>
      <c r="F6" s="64">
        <v>0.77</v>
      </c>
      <c r="G6" s="66" t="s">
        <v>60</v>
      </c>
      <c r="H6" s="66">
        <v>0.84099999999999997</v>
      </c>
      <c r="I6" s="67" t="s">
        <v>60</v>
      </c>
      <c r="J6" s="67">
        <v>0.84099999999999997</v>
      </c>
      <c r="K6" s="64" t="s">
        <v>41</v>
      </c>
      <c r="L6" s="64">
        <v>0.59699999999999998</v>
      </c>
      <c r="M6" s="66" t="s">
        <v>60</v>
      </c>
      <c r="N6" s="66">
        <v>0.84199999999999997</v>
      </c>
      <c r="O6" s="67" t="s">
        <v>60</v>
      </c>
      <c r="P6" s="67">
        <v>0.84199999999999997</v>
      </c>
      <c r="R6" s="1"/>
      <c r="S6" s="1"/>
      <c r="T6" s="1"/>
      <c r="U6" s="1"/>
    </row>
    <row r="7" spans="2:21" x14ac:dyDescent="0.3">
      <c r="B7" s="116"/>
      <c r="C7" s="117"/>
      <c r="D7" s="63" t="s">
        <v>58</v>
      </c>
      <c r="E7" s="64" t="s">
        <v>40</v>
      </c>
      <c r="F7" s="64">
        <v>0.79</v>
      </c>
      <c r="G7" s="66" t="s">
        <v>41</v>
      </c>
      <c r="H7" s="66">
        <v>0.84199999999999997</v>
      </c>
      <c r="I7" s="67" t="s">
        <v>41</v>
      </c>
      <c r="J7" s="67">
        <v>0.84199999999999997</v>
      </c>
      <c r="K7" s="64" t="s">
        <v>40</v>
      </c>
      <c r="L7" s="64">
        <v>0.65800000000000003</v>
      </c>
      <c r="M7" s="66" t="s">
        <v>41</v>
      </c>
      <c r="N7" s="66">
        <v>0.84199999999999997</v>
      </c>
      <c r="O7" s="67" t="s">
        <v>41</v>
      </c>
      <c r="P7" s="67">
        <v>0.84099999999999997</v>
      </c>
      <c r="R7" s="1"/>
      <c r="S7" s="1"/>
      <c r="T7" s="1"/>
      <c r="U7" s="1"/>
    </row>
    <row r="8" spans="2:21" x14ac:dyDescent="0.3">
      <c r="B8" s="116"/>
      <c r="C8" s="117"/>
      <c r="D8" s="63" t="s">
        <v>58</v>
      </c>
      <c r="E8" s="64" t="s">
        <v>36</v>
      </c>
      <c r="F8" s="64">
        <v>0.83799999999999997</v>
      </c>
      <c r="G8" s="66" t="s">
        <v>59</v>
      </c>
      <c r="H8" s="66">
        <v>0.871</v>
      </c>
      <c r="I8" s="67" t="s">
        <v>59</v>
      </c>
      <c r="J8" s="67">
        <v>0.875</v>
      </c>
      <c r="K8" s="64" t="s">
        <v>36</v>
      </c>
      <c r="L8" s="64">
        <v>0.83699999999999997</v>
      </c>
      <c r="M8" s="66" t="s">
        <v>59</v>
      </c>
      <c r="N8" s="66">
        <v>0.87</v>
      </c>
      <c r="O8" s="67" t="s">
        <v>59</v>
      </c>
      <c r="P8" s="67">
        <v>0.874</v>
      </c>
      <c r="R8" s="1"/>
      <c r="S8" s="1"/>
      <c r="T8" s="1"/>
      <c r="U8" s="1"/>
    </row>
    <row r="9" spans="2:21" x14ac:dyDescent="0.3">
      <c r="B9" s="116"/>
      <c r="C9" s="117"/>
      <c r="D9" s="63" t="s">
        <v>58</v>
      </c>
      <c r="E9" s="64" t="s">
        <v>37</v>
      </c>
      <c r="F9" s="64">
        <v>0.83599999999999997</v>
      </c>
      <c r="G9" s="66" t="s">
        <v>40</v>
      </c>
      <c r="H9" s="66">
        <v>0.87</v>
      </c>
      <c r="I9" s="67" t="s">
        <v>40</v>
      </c>
      <c r="J9" s="67">
        <v>0.872</v>
      </c>
      <c r="K9" s="64" t="s">
        <v>37</v>
      </c>
      <c r="L9" s="64">
        <v>0.83499999999999996</v>
      </c>
      <c r="M9" s="66" t="s">
        <v>40</v>
      </c>
      <c r="N9" s="66">
        <v>0.86899999999999999</v>
      </c>
      <c r="O9" s="67" t="s">
        <v>40</v>
      </c>
      <c r="P9" s="67">
        <v>0.872</v>
      </c>
      <c r="R9" s="1"/>
      <c r="S9" s="1"/>
      <c r="T9" s="1"/>
      <c r="U9" s="1"/>
    </row>
    <row r="10" spans="2:21" x14ac:dyDescent="0.3">
      <c r="B10" s="116"/>
      <c r="C10" s="117"/>
      <c r="D10" s="63" t="s">
        <v>58</v>
      </c>
      <c r="E10" s="64" t="s">
        <v>35</v>
      </c>
      <c r="F10" s="64">
        <v>0.84599999999999997</v>
      </c>
      <c r="G10" s="66" t="s">
        <v>36</v>
      </c>
      <c r="H10" s="66">
        <v>0.63300000000000001</v>
      </c>
      <c r="I10" s="67" t="s">
        <v>36</v>
      </c>
      <c r="J10" s="67">
        <v>0.65300000000000002</v>
      </c>
      <c r="K10" s="64" t="s">
        <v>35</v>
      </c>
      <c r="L10" s="64">
        <v>0.83599999999999997</v>
      </c>
      <c r="M10" s="66" t="s">
        <v>36</v>
      </c>
      <c r="N10" s="66">
        <v>0.61299999999999999</v>
      </c>
      <c r="O10" s="67" t="s">
        <v>36</v>
      </c>
      <c r="P10" s="67">
        <v>0.623</v>
      </c>
      <c r="R10" s="1"/>
      <c r="S10" s="1"/>
      <c r="T10" s="1"/>
      <c r="U10" s="1"/>
    </row>
    <row r="11" spans="2:21" x14ac:dyDescent="0.3">
      <c r="B11" s="116"/>
      <c r="C11" s="117"/>
      <c r="D11" s="63" t="s">
        <v>58</v>
      </c>
      <c r="E11" s="64" t="s">
        <v>38</v>
      </c>
      <c r="F11" s="64">
        <v>0.81699999999999995</v>
      </c>
      <c r="G11" s="66" t="s">
        <v>37</v>
      </c>
      <c r="H11" s="66">
        <v>0.68500000000000005</v>
      </c>
      <c r="I11" s="67" t="s">
        <v>37</v>
      </c>
      <c r="J11" s="67">
        <v>0.69899999999999995</v>
      </c>
      <c r="K11" s="64" t="s">
        <v>38</v>
      </c>
      <c r="L11" s="64">
        <v>0.80600000000000005</v>
      </c>
      <c r="M11" s="66" t="s">
        <v>37</v>
      </c>
      <c r="N11" s="66">
        <v>0.66</v>
      </c>
      <c r="O11" s="67" t="s">
        <v>37</v>
      </c>
      <c r="P11" s="67">
        <v>0.66700000000000004</v>
      </c>
      <c r="R11" s="1"/>
      <c r="S11" s="1"/>
      <c r="T11" s="1"/>
      <c r="U11" s="1"/>
    </row>
    <row r="12" spans="2:21" x14ac:dyDescent="0.3">
      <c r="B12" s="116"/>
      <c r="C12" s="117"/>
      <c r="D12" s="63" t="s">
        <v>58</v>
      </c>
      <c r="E12" s="64" t="s">
        <v>49</v>
      </c>
      <c r="F12" s="64">
        <v>0.55900000000000005</v>
      </c>
      <c r="G12" s="66" t="s">
        <v>35</v>
      </c>
      <c r="H12" s="66">
        <v>0.72899999999999998</v>
      </c>
      <c r="I12" s="67" t="s">
        <v>35</v>
      </c>
      <c r="J12" s="67">
        <v>0.748</v>
      </c>
      <c r="K12" s="64" t="s">
        <v>49</v>
      </c>
      <c r="L12" s="64">
        <v>0.57299999999999995</v>
      </c>
      <c r="M12" s="66" t="s">
        <v>35</v>
      </c>
      <c r="N12" s="66">
        <v>0.69899999999999995</v>
      </c>
      <c r="O12" s="67" t="s">
        <v>35</v>
      </c>
      <c r="P12" s="67">
        <v>0.70099999999999996</v>
      </c>
      <c r="R12" s="1"/>
      <c r="S12" s="1"/>
      <c r="T12" s="1"/>
      <c r="U12" s="1"/>
    </row>
    <row r="13" spans="2:21" x14ac:dyDescent="0.3">
      <c r="B13" s="116"/>
      <c r="C13" s="117"/>
      <c r="D13" s="63" t="s">
        <v>58</v>
      </c>
      <c r="E13" s="64" t="s">
        <v>44</v>
      </c>
      <c r="F13" s="64">
        <v>0.621</v>
      </c>
      <c r="G13" s="66" t="s">
        <v>38</v>
      </c>
      <c r="H13" s="66">
        <v>0.58799999999999997</v>
      </c>
      <c r="I13" s="67" t="s">
        <v>38</v>
      </c>
      <c r="J13" s="67">
        <v>0.63</v>
      </c>
      <c r="K13" s="64" t="s">
        <v>44</v>
      </c>
      <c r="L13" s="64">
        <v>0.64300000000000002</v>
      </c>
      <c r="M13" s="66" t="s">
        <v>38</v>
      </c>
      <c r="N13" s="66">
        <v>0.53300000000000003</v>
      </c>
      <c r="O13" s="67" t="s">
        <v>38</v>
      </c>
      <c r="P13" s="67">
        <v>0.54300000000000004</v>
      </c>
      <c r="R13" s="1"/>
      <c r="S13" s="1"/>
      <c r="T13" s="1"/>
      <c r="U13" s="1"/>
    </row>
    <row r="14" spans="2:21" x14ac:dyDescent="0.3">
      <c r="B14" s="116"/>
      <c r="C14" s="117"/>
      <c r="D14" s="63" t="s">
        <v>58</v>
      </c>
      <c r="E14" s="64" t="s">
        <v>43</v>
      </c>
      <c r="F14" s="64">
        <v>0.66400000000000003</v>
      </c>
      <c r="G14" s="66" t="s">
        <v>49</v>
      </c>
      <c r="H14" s="66">
        <v>0.65200000000000002</v>
      </c>
      <c r="I14" s="67" t="s">
        <v>49</v>
      </c>
      <c r="J14" s="67">
        <v>0.69799999999999995</v>
      </c>
      <c r="K14" s="64" t="s">
        <v>43</v>
      </c>
      <c r="L14" s="64">
        <v>0.66700000000000004</v>
      </c>
      <c r="M14" s="66" t="s">
        <v>49</v>
      </c>
      <c r="N14" s="66">
        <v>0.60799999999999998</v>
      </c>
      <c r="O14" s="67" t="s">
        <v>49</v>
      </c>
      <c r="P14" s="67">
        <v>0.626</v>
      </c>
      <c r="R14" s="1"/>
      <c r="S14" s="1"/>
      <c r="T14" s="1"/>
      <c r="U14" s="1"/>
    </row>
    <row r="15" spans="2:21" x14ac:dyDescent="0.3">
      <c r="B15" s="116"/>
      <c r="C15" s="117"/>
      <c r="D15" s="63" t="s">
        <v>58</v>
      </c>
      <c r="E15" s="64" t="s">
        <v>54</v>
      </c>
      <c r="F15" s="64">
        <v>0.503</v>
      </c>
      <c r="G15" s="66" t="s">
        <v>44</v>
      </c>
      <c r="H15" s="66">
        <v>0.62</v>
      </c>
      <c r="I15" s="67" t="s">
        <v>44</v>
      </c>
      <c r="J15" s="67">
        <v>0.67200000000000004</v>
      </c>
      <c r="K15" s="64" t="s">
        <v>54</v>
      </c>
      <c r="L15" s="64">
        <v>0.50600000000000001</v>
      </c>
      <c r="M15" s="66" t="s">
        <v>44</v>
      </c>
      <c r="N15" s="66">
        <v>0.61399999999999999</v>
      </c>
      <c r="O15" s="67" t="s">
        <v>44</v>
      </c>
      <c r="P15" s="67">
        <v>0.63500000000000001</v>
      </c>
      <c r="R15" s="1"/>
      <c r="S15" s="1"/>
      <c r="T15" s="1"/>
      <c r="U15" s="1"/>
    </row>
    <row r="16" spans="2:21" x14ac:dyDescent="0.3">
      <c r="B16" s="116"/>
      <c r="C16" s="117"/>
      <c r="D16" s="63" t="s">
        <v>58</v>
      </c>
      <c r="E16" s="64" t="s">
        <v>48</v>
      </c>
      <c r="F16" s="64">
        <v>0.57699999999999996</v>
      </c>
      <c r="G16" s="66" t="s">
        <v>43</v>
      </c>
      <c r="H16" s="66">
        <v>0.57599999999999996</v>
      </c>
      <c r="I16" s="67" t="s">
        <v>43</v>
      </c>
      <c r="J16" s="67">
        <v>0.63200000000000001</v>
      </c>
      <c r="K16" s="64" t="s">
        <v>48</v>
      </c>
      <c r="L16" s="64">
        <v>0.57499999999999996</v>
      </c>
      <c r="M16" s="66" t="s">
        <v>43</v>
      </c>
      <c r="N16" s="66">
        <v>0.60799999999999998</v>
      </c>
      <c r="O16" s="67" t="s">
        <v>43</v>
      </c>
      <c r="P16" s="67">
        <v>0.63500000000000001</v>
      </c>
      <c r="R16" s="1"/>
      <c r="S16" s="1"/>
      <c r="T16" s="1"/>
      <c r="U16" s="1"/>
    </row>
    <row r="17" spans="2:45" x14ac:dyDescent="0.3">
      <c r="B17" s="116"/>
      <c r="C17" s="117"/>
      <c r="D17" s="63" t="s">
        <v>58</v>
      </c>
      <c r="E17" s="64" t="s">
        <v>51</v>
      </c>
      <c r="F17" s="64">
        <v>0.55000000000000004</v>
      </c>
      <c r="G17" s="66" t="s">
        <v>54</v>
      </c>
      <c r="H17" s="66">
        <v>0.59899999999999998</v>
      </c>
      <c r="I17" s="67" t="s">
        <v>54</v>
      </c>
      <c r="J17" s="67">
        <v>0.63900000000000001</v>
      </c>
      <c r="K17" s="64" t="s">
        <v>51</v>
      </c>
      <c r="L17" s="64">
        <v>0.55900000000000005</v>
      </c>
      <c r="M17" s="66" t="s">
        <v>54</v>
      </c>
      <c r="N17" s="66">
        <v>0.63600000000000001</v>
      </c>
      <c r="O17" s="67" t="s">
        <v>54</v>
      </c>
      <c r="P17" s="67">
        <v>0.67100000000000004</v>
      </c>
      <c r="R17" s="1"/>
      <c r="S17" s="1"/>
      <c r="T17" s="1"/>
      <c r="U17" s="1"/>
    </row>
    <row r="18" spans="2:45" x14ac:dyDescent="0.3">
      <c r="B18" s="116"/>
      <c r="C18" s="117"/>
      <c r="D18" s="63" t="s">
        <v>58</v>
      </c>
      <c r="E18" s="64" t="s">
        <v>53</v>
      </c>
      <c r="F18" s="64">
        <v>0.51400000000000001</v>
      </c>
      <c r="G18" s="66" t="s">
        <v>48</v>
      </c>
      <c r="H18" s="66">
        <v>0.83199999999999996</v>
      </c>
      <c r="I18" s="67" t="s">
        <v>48</v>
      </c>
      <c r="J18" s="67">
        <v>0.87</v>
      </c>
      <c r="K18" s="64" t="s">
        <v>53</v>
      </c>
      <c r="L18" s="64">
        <v>0.53800000000000003</v>
      </c>
      <c r="M18" s="66" t="s">
        <v>65</v>
      </c>
      <c r="N18" s="66">
        <v>0.71499999999999997</v>
      </c>
      <c r="O18" s="67" t="s">
        <v>48</v>
      </c>
      <c r="P18" s="67">
        <v>0.85899999999999999</v>
      </c>
      <c r="R18" s="1"/>
      <c r="S18" s="1"/>
      <c r="T18" s="1"/>
      <c r="U18" s="1"/>
    </row>
    <row r="19" spans="2:45" x14ac:dyDescent="0.3">
      <c r="B19" s="116"/>
      <c r="C19" s="117"/>
      <c r="D19" s="63" t="s">
        <v>58</v>
      </c>
      <c r="E19" s="64" t="s">
        <v>52</v>
      </c>
      <c r="F19" s="64">
        <v>0.54600000000000004</v>
      </c>
      <c r="G19" s="66" t="s">
        <v>51</v>
      </c>
      <c r="H19" s="66">
        <v>0.80800000000000005</v>
      </c>
      <c r="I19" s="67" t="s">
        <v>51</v>
      </c>
      <c r="J19" s="67">
        <v>0.84099999999999997</v>
      </c>
      <c r="K19" s="64" t="s">
        <v>52</v>
      </c>
      <c r="L19" s="64">
        <v>0.60399999999999998</v>
      </c>
      <c r="M19" s="66" t="s">
        <v>48</v>
      </c>
      <c r="N19" s="66">
        <v>0.81699999999999995</v>
      </c>
      <c r="O19" s="67" t="s">
        <v>51</v>
      </c>
      <c r="P19" s="67">
        <v>0.85</v>
      </c>
      <c r="R19" s="1"/>
      <c r="S19" s="1"/>
      <c r="T19" s="1"/>
      <c r="U19" s="1"/>
    </row>
    <row r="20" spans="2:45" x14ac:dyDescent="0.3">
      <c r="B20" s="116"/>
      <c r="C20" s="117"/>
      <c r="D20" s="63" t="s">
        <v>58</v>
      </c>
      <c r="E20" s="64" t="s">
        <v>46</v>
      </c>
      <c r="F20" s="64">
        <v>0.60599999999999998</v>
      </c>
      <c r="G20" s="66" t="s">
        <v>53</v>
      </c>
      <c r="H20" s="66">
        <v>0.878</v>
      </c>
      <c r="I20" s="67" t="s">
        <v>62</v>
      </c>
      <c r="J20" s="67">
        <v>0.68400000000000005</v>
      </c>
      <c r="K20" s="64" t="s">
        <v>46</v>
      </c>
      <c r="L20" s="64">
        <v>0.56599999999999995</v>
      </c>
      <c r="M20" s="66" t="s">
        <v>51</v>
      </c>
      <c r="N20" s="66">
        <v>0.80100000000000005</v>
      </c>
      <c r="O20" s="67" t="s">
        <v>62</v>
      </c>
      <c r="P20" s="67">
        <v>0.68300000000000005</v>
      </c>
      <c r="R20" s="1"/>
      <c r="S20" s="1"/>
      <c r="T20" s="1"/>
      <c r="U20" s="1"/>
    </row>
    <row r="21" spans="2:45" x14ac:dyDescent="0.3">
      <c r="B21" s="116"/>
      <c r="C21" s="117"/>
      <c r="D21" s="63" t="s">
        <v>58</v>
      </c>
      <c r="E21" s="64" t="s">
        <v>45</v>
      </c>
      <c r="F21" s="64">
        <v>0.60699999999999998</v>
      </c>
      <c r="G21" s="66" t="s">
        <v>62</v>
      </c>
      <c r="H21" s="66">
        <v>0.67500000000000004</v>
      </c>
      <c r="I21" s="67" t="s">
        <v>64</v>
      </c>
      <c r="J21" s="67">
        <v>0.65900000000000003</v>
      </c>
      <c r="K21" s="64" t="s">
        <v>45</v>
      </c>
      <c r="L21" s="64">
        <v>0.63500000000000001</v>
      </c>
      <c r="M21" s="66" t="s">
        <v>52</v>
      </c>
      <c r="N21" s="66">
        <v>0.69199999999999995</v>
      </c>
      <c r="O21" s="67" t="s">
        <v>64</v>
      </c>
      <c r="P21" s="67">
        <v>0.68200000000000005</v>
      </c>
      <c r="R21" s="1"/>
      <c r="S21" s="1"/>
      <c r="T21" s="1"/>
      <c r="U21" s="1"/>
    </row>
    <row r="22" spans="2:45" x14ac:dyDescent="0.3">
      <c r="B22" s="116"/>
      <c r="C22" s="117"/>
      <c r="D22" s="63" t="s">
        <v>58</v>
      </c>
      <c r="E22" s="64" t="s">
        <v>47</v>
      </c>
      <c r="F22" s="64">
        <v>0.58099999999999996</v>
      </c>
      <c r="G22" s="66" t="s">
        <v>64</v>
      </c>
      <c r="H22" s="66">
        <v>0.64300000000000002</v>
      </c>
      <c r="I22" s="67" t="s">
        <v>47</v>
      </c>
      <c r="J22" s="67">
        <v>0.76700000000000002</v>
      </c>
      <c r="K22" s="64" t="s">
        <v>47</v>
      </c>
      <c r="L22" s="64">
        <v>0.627</v>
      </c>
      <c r="M22" s="66" t="s">
        <v>62</v>
      </c>
      <c r="N22" s="66">
        <v>0.67200000000000004</v>
      </c>
      <c r="O22" s="67" t="s">
        <v>47</v>
      </c>
      <c r="P22" s="67">
        <v>0.66500000000000004</v>
      </c>
      <c r="R22" s="1"/>
      <c r="S22" s="1"/>
      <c r="T22" s="1"/>
      <c r="U22" s="1"/>
    </row>
    <row r="23" spans="2:45" x14ac:dyDescent="0.3">
      <c r="B23" s="116"/>
      <c r="C23" s="117"/>
      <c r="D23" s="63" t="s">
        <v>58</v>
      </c>
      <c r="E23" s="64" t="s">
        <v>55</v>
      </c>
      <c r="F23" s="64">
        <v>0.48699999999999999</v>
      </c>
      <c r="G23" s="66" t="s">
        <v>46</v>
      </c>
      <c r="H23" s="66">
        <v>0.874</v>
      </c>
      <c r="I23" s="67" t="s">
        <v>55</v>
      </c>
      <c r="J23" s="67">
        <v>0.629</v>
      </c>
      <c r="K23" s="64" t="s">
        <v>55</v>
      </c>
      <c r="L23" s="64">
        <v>0.504</v>
      </c>
      <c r="M23" s="66" t="s">
        <v>64</v>
      </c>
      <c r="N23" s="66">
        <v>0.66300000000000003</v>
      </c>
      <c r="O23" s="67" t="s">
        <v>55</v>
      </c>
      <c r="P23" s="67">
        <v>0.66200000000000003</v>
      </c>
      <c r="R23" s="1"/>
      <c r="S23" s="1"/>
      <c r="T23" s="1"/>
      <c r="U23" s="1"/>
    </row>
    <row r="24" spans="2:45" x14ac:dyDescent="0.3">
      <c r="B24" s="116"/>
      <c r="C24" s="117"/>
      <c r="D24" s="63" t="s">
        <v>58</v>
      </c>
      <c r="E24" s="64" t="s">
        <v>50</v>
      </c>
      <c r="F24" s="64">
        <v>0.55500000000000005</v>
      </c>
      <c r="G24" s="66" t="s">
        <v>47</v>
      </c>
      <c r="H24" s="66">
        <v>0.50900000000000001</v>
      </c>
      <c r="I24" s="67" t="s">
        <v>50</v>
      </c>
      <c r="J24" s="67">
        <v>0.56200000000000006</v>
      </c>
      <c r="K24" s="64" t="s">
        <v>50</v>
      </c>
      <c r="L24" s="64">
        <v>0.51600000000000001</v>
      </c>
      <c r="M24" s="66" t="s">
        <v>47</v>
      </c>
      <c r="N24" s="66">
        <v>0.54800000000000004</v>
      </c>
      <c r="O24" s="67" t="s">
        <v>50</v>
      </c>
      <c r="P24" s="67">
        <v>0.56399999999999995</v>
      </c>
      <c r="R24" s="1"/>
      <c r="S24" s="1"/>
      <c r="T24" s="1"/>
      <c r="U24" s="1"/>
    </row>
    <row r="25" spans="2:45" x14ac:dyDescent="0.3">
      <c r="B25" s="116"/>
      <c r="C25" s="117"/>
      <c r="D25" s="63" t="s">
        <v>58</v>
      </c>
      <c r="E25" s="64" t="s">
        <v>56</v>
      </c>
      <c r="F25" s="64">
        <v>0.47199999999999998</v>
      </c>
      <c r="G25" s="66" t="s">
        <v>55</v>
      </c>
      <c r="H25" s="66">
        <v>0.54400000000000004</v>
      </c>
      <c r="I25" s="67" t="s">
        <v>67</v>
      </c>
      <c r="J25" s="67">
        <v>0.81799999999999995</v>
      </c>
      <c r="K25" s="64" t="s">
        <v>56</v>
      </c>
      <c r="L25" s="64">
        <v>0.48499999999999999</v>
      </c>
      <c r="M25" s="66" t="s">
        <v>55</v>
      </c>
      <c r="N25" s="66">
        <v>0.58099999999999996</v>
      </c>
      <c r="O25" s="67" t="s">
        <v>67</v>
      </c>
      <c r="P25" s="67">
        <v>0.84499999999999997</v>
      </c>
      <c r="R25" s="1"/>
      <c r="S25" s="1"/>
      <c r="T25" s="1"/>
      <c r="U25" s="1"/>
    </row>
    <row r="26" spans="2:45" x14ac:dyDescent="0.3">
      <c r="B26" s="116"/>
      <c r="C26" s="117"/>
      <c r="D26" s="63" t="s">
        <v>58</v>
      </c>
      <c r="E26" s="64" t="s">
        <v>39</v>
      </c>
      <c r="F26" s="64">
        <v>0.79300000000000004</v>
      </c>
      <c r="G26" s="66" t="s">
        <v>50</v>
      </c>
      <c r="H26" s="66">
        <v>0.51</v>
      </c>
      <c r="I26" s="67" t="s">
        <v>66</v>
      </c>
      <c r="J26" s="67">
        <v>0.92900000000000005</v>
      </c>
      <c r="K26" s="64" t="s">
        <v>39</v>
      </c>
      <c r="L26" s="64">
        <v>0.73699999999999999</v>
      </c>
      <c r="M26" s="66" t="s">
        <v>50</v>
      </c>
      <c r="N26" s="66">
        <v>0.53800000000000003</v>
      </c>
      <c r="O26" s="67" t="s">
        <v>66</v>
      </c>
      <c r="P26" s="67">
        <v>0.79700000000000004</v>
      </c>
      <c r="R26" s="1"/>
      <c r="S26" s="1"/>
      <c r="T26" s="1"/>
      <c r="U26" s="1"/>
    </row>
    <row r="27" spans="2:45" x14ac:dyDescent="0.3">
      <c r="B27" s="116"/>
      <c r="C27" s="117"/>
      <c r="D27" s="63" t="s">
        <v>58</v>
      </c>
      <c r="E27" s="64" t="s">
        <v>42</v>
      </c>
      <c r="F27" s="64">
        <v>0.70099999999999996</v>
      </c>
      <c r="G27" s="66" t="s">
        <v>63</v>
      </c>
      <c r="H27" s="66">
        <v>0.67500000000000004</v>
      </c>
      <c r="I27" s="67" t="s">
        <v>61</v>
      </c>
      <c r="J27" s="67">
        <v>0.81399999999999995</v>
      </c>
      <c r="K27" s="64" t="s">
        <v>42</v>
      </c>
      <c r="L27" s="64">
        <v>0.61099999999999999</v>
      </c>
      <c r="M27" s="66" t="s">
        <v>63</v>
      </c>
      <c r="N27" s="66">
        <v>0.63</v>
      </c>
      <c r="O27" s="67" t="s">
        <v>61</v>
      </c>
      <c r="P27" s="67">
        <v>0.73899999999999999</v>
      </c>
      <c r="R27" s="1"/>
      <c r="S27" s="1"/>
      <c r="T27" s="1"/>
      <c r="U27" s="1"/>
    </row>
    <row r="28" spans="2:45" x14ac:dyDescent="0.3">
      <c r="B28" s="116"/>
      <c r="C28" s="117"/>
      <c r="D28" s="63" t="s">
        <v>58</v>
      </c>
      <c r="E28" s="65"/>
      <c r="F28" s="65"/>
      <c r="G28" s="66" t="s">
        <v>61</v>
      </c>
      <c r="H28" s="66">
        <v>0.73099999999999998</v>
      </c>
      <c r="I28" s="68"/>
      <c r="J28" s="68"/>
      <c r="K28" s="65"/>
      <c r="L28" s="65"/>
      <c r="M28" s="66" t="s">
        <v>61</v>
      </c>
      <c r="N28" s="66">
        <v>0.64700000000000002</v>
      </c>
      <c r="O28" s="68"/>
      <c r="P28" s="68"/>
    </row>
    <row r="29" spans="2:45" x14ac:dyDescent="0.3">
      <c r="N29" s="1"/>
      <c r="P29" s="1"/>
      <c r="Q29" s="1"/>
      <c r="R29" s="1"/>
      <c r="S29" s="1"/>
      <c r="T29" s="1"/>
      <c r="U29" s="1"/>
      <c r="V29" s="1"/>
    </row>
    <row r="30" spans="2:45" x14ac:dyDescent="0.3">
      <c r="N30" s="1"/>
      <c r="P30" s="1"/>
      <c r="Q30" s="1"/>
      <c r="R30" s="1"/>
      <c r="S30" s="1"/>
      <c r="T30" s="1"/>
      <c r="U30" s="1"/>
      <c r="V30" s="1"/>
    </row>
    <row r="31" spans="2:45" x14ac:dyDescent="0.3">
      <c r="B31" s="95"/>
      <c r="C31" s="95"/>
      <c r="D31" s="95"/>
      <c r="E31" s="95"/>
      <c r="F31" s="95"/>
      <c r="G31" s="95"/>
      <c r="H31" s="96"/>
      <c r="I31" s="96"/>
      <c r="J31" s="96"/>
      <c r="K31" s="96"/>
      <c r="L31" s="96"/>
      <c r="M31" s="95"/>
      <c r="N31" s="96"/>
      <c r="O31" s="96"/>
      <c r="P31" s="96"/>
      <c r="Q31" s="1"/>
      <c r="R31" s="96"/>
      <c r="S31" s="96"/>
      <c r="T31" s="96"/>
      <c r="U31" s="95"/>
      <c r="V31" s="96"/>
      <c r="W31" s="95"/>
      <c r="X31" s="95"/>
      <c r="Y31" s="95"/>
      <c r="Z31" s="95"/>
      <c r="AA31" s="95"/>
      <c r="AB31" s="95"/>
      <c r="AC31" s="95"/>
      <c r="AD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</row>
    <row r="32" spans="2:45" x14ac:dyDescent="0.3">
      <c r="B32" s="95"/>
      <c r="C32" s="95"/>
      <c r="D32" s="95"/>
      <c r="E32" s="95"/>
      <c r="F32" s="95"/>
      <c r="G32" s="95"/>
      <c r="H32" s="96"/>
      <c r="I32" s="96"/>
      <c r="J32" s="96"/>
      <c r="K32" s="96"/>
      <c r="L32" s="96"/>
      <c r="M32" s="95"/>
      <c r="N32" s="96"/>
      <c r="O32" s="96"/>
      <c r="P32" s="96"/>
      <c r="Q32" s="1"/>
      <c r="R32" s="96"/>
      <c r="S32" s="96"/>
      <c r="T32" s="96"/>
      <c r="U32" s="95"/>
      <c r="V32" s="96"/>
      <c r="W32" s="95"/>
      <c r="X32" s="95"/>
      <c r="Y32" s="95"/>
      <c r="Z32" s="95"/>
      <c r="AA32" s="95"/>
      <c r="AB32" s="95"/>
      <c r="AC32" s="95"/>
      <c r="AD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</row>
    <row r="33" spans="2:45" x14ac:dyDescent="0.3">
      <c r="B33" s="95"/>
      <c r="C33" s="95"/>
      <c r="D33" s="136"/>
      <c r="E33" s="137"/>
      <c r="F33" s="137"/>
      <c r="G33" s="137"/>
      <c r="H33" s="137"/>
      <c r="I33" s="137"/>
      <c r="J33" s="137"/>
      <c r="K33" s="137"/>
      <c r="L33" s="96"/>
      <c r="M33" s="95"/>
      <c r="N33" s="96"/>
      <c r="O33" s="96"/>
      <c r="P33" s="96"/>
      <c r="Q33" s="1"/>
      <c r="R33" s="96"/>
      <c r="S33" s="96"/>
      <c r="T33" s="96"/>
      <c r="U33" s="136"/>
      <c r="V33" s="137"/>
      <c r="W33" s="137"/>
      <c r="X33" s="137"/>
      <c r="Y33" s="137"/>
      <c r="Z33" s="137"/>
      <c r="AA33" s="137"/>
      <c r="AB33" s="137"/>
      <c r="AC33" s="95"/>
      <c r="AD33" s="95"/>
      <c r="AF33" s="95"/>
      <c r="AG33" s="95"/>
      <c r="AH33" s="95"/>
      <c r="AI33" s="136"/>
      <c r="AJ33" s="137"/>
      <c r="AK33" s="137"/>
      <c r="AL33" s="137"/>
      <c r="AM33" s="137"/>
      <c r="AN33" s="137"/>
      <c r="AO33" s="137"/>
      <c r="AP33" s="137"/>
      <c r="AQ33" s="95"/>
      <c r="AR33" s="95"/>
      <c r="AS33" s="95"/>
    </row>
    <row r="34" spans="2:45" ht="15" customHeight="1" x14ac:dyDescent="0.3">
      <c r="B34" s="95"/>
      <c r="C34" s="95"/>
      <c r="D34" s="137"/>
      <c r="E34" s="137"/>
      <c r="F34" s="137"/>
      <c r="G34" s="137"/>
      <c r="H34" s="137"/>
      <c r="I34" s="137"/>
      <c r="J34" s="137"/>
      <c r="K34" s="137"/>
      <c r="L34" s="96"/>
      <c r="M34" s="95"/>
      <c r="N34" s="96"/>
      <c r="O34" s="96"/>
      <c r="P34" s="96"/>
      <c r="Q34" s="1"/>
      <c r="R34" s="96"/>
      <c r="S34" s="96"/>
      <c r="T34" s="96"/>
      <c r="U34" s="137"/>
      <c r="V34" s="137"/>
      <c r="W34" s="137"/>
      <c r="X34" s="137"/>
      <c r="Y34" s="137"/>
      <c r="Z34" s="137"/>
      <c r="AA34" s="137"/>
      <c r="AB34" s="137"/>
      <c r="AC34" s="95"/>
      <c r="AD34" s="95"/>
      <c r="AF34" s="95"/>
      <c r="AG34" s="95"/>
      <c r="AH34" s="95"/>
      <c r="AI34" s="137"/>
      <c r="AJ34" s="137"/>
      <c r="AK34" s="137"/>
      <c r="AL34" s="137"/>
      <c r="AM34" s="137"/>
      <c r="AN34" s="137"/>
      <c r="AO34" s="137"/>
      <c r="AP34" s="137"/>
      <c r="AQ34" s="95"/>
      <c r="AR34" s="95"/>
      <c r="AS34" s="95"/>
    </row>
    <row r="35" spans="2:45" x14ac:dyDescent="0.3">
      <c r="B35" s="95"/>
      <c r="C35" s="95"/>
      <c r="D35" s="95"/>
      <c r="E35" s="95"/>
      <c r="F35" s="95"/>
      <c r="G35" s="95"/>
      <c r="H35" s="96"/>
      <c r="I35" s="96"/>
      <c r="J35" s="96"/>
      <c r="K35" s="96"/>
      <c r="L35" s="96"/>
      <c r="M35" s="95"/>
      <c r="N35" s="96"/>
      <c r="O35" s="96"/>
      <c r="P35" s="96"/>
      <c r="Q35" s="1"/>
      <c r="R35" s="96"/>
      <c r="S35" s="96"/>
      <c r="T35" s="96"/>
      <c r="U35" s="95"/>
      <c r="V35" s="96"/>
      <c r="W35" s="95"/>
      <c r="X35" s="95"/>
      <c r="Y35" s="95"/>
      <c r="Z35" s="95"/>
      <c r="AA35" s="95"/>
      <c r="AB35" s="95"/>
      <c r="AC35" s="95"/>
      <c r="AD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</row>
    <row r="36" spans="2:45" x14ac:dyDescent="0.3">
      <c r="B36" s="95"/>
      <c r="C36" s="95"/>
      <c r="D36" s="95"/>
      <c r="E36" s="95"/>
      <c r="F36" s="95"/>
      <c r="G36" s="95"/>
      <c r="H36" s="96"/>
      <c r="I36" s="96"/>
      <c r="J36" s="96"/>
      <c r="K36" s="96"/>
      <c r="L36" s="96"/>
      <c r="M36" s="95"/>
      <c r="N36" s="96"/>
      <c r="O36" s="96"/>
      <c r="P36" s="96"/>
      <c r="Q36" s="1"/>
      <c r="R36" s="96"/>
      <c r="S36" s="96"/>
      <c r="T36" s="96"/>
      <c r="U36" s="95"/>
      <c r="V36" s="96"/>
      <c r="W36" s="95"/>
      <c r="X36" s="95"/>
      <c r="Y36" s="95"/>
      <c r="Z36" s="95"/>
      <c r="AA36" s="95"/>
      <c r="AB36" s="95"/>
      <c r="AC36" s="95"/>
      <c r="AD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</row>
    <row r="37" spans="2:45" x14ac:dyDescent="0.3">
      <c r="B37" s="95"/>
      <c r="C37" s="95"/>
      <c r="D37" s="95"/>
      <c r="E37" s="95"/>
      <c r="F37" s="95"/>
      <c r="G37" s="95"/>
      <c r="H37" s="96"/>
      <c r="I37" s="96"/>
      <c r="J37" s="96"/>
      <c r="K37" s="96"/>
      <c r="L37" s="96"/>
      <c r="M37" s="95"/>
      <c r="N37" s="96"/>
      <c r="O37" s="96"/>
      <c r="P37" s="96"/>
      <c r="Q37" s="1"/>
      <c r="R37" s="96"/>
      <c r="S37" s="96"/>
      <c r="T37" s="96"/>
      <c r="U37" s="95"/>
      <c r="V37" s="96"/>
      <c r="W37" s="95"/>
      <c r="X37" s="95"/>
      <c r="Y37" s="95"/>
      <c r="Z37" s="95"/>
      <c r="AA37" s="95"/>
      <c r="AB37" s="95"/>
      <c r="AC37" s="95"/>
      <c r="AD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</row>
    <row r="38" spans="2:45" x14ac:dyDescent="0.3">
      <c r="B38" s="95"/>
      <c r="C38" s="95"/>
      <c r="D38" s="95"/>
      <c r="E38" s="95"/>
      <c r="F38" s="95"/>
      <c r="G38" s="95"/>
      <c r="H38" s="96"/>
      <c r="I38" s="96"/>
      <c r="J38" s="96"/>
      <c r="K38" s="96"/>
      <c r="L38" s="96"/>
      <c r="M38" s="95"/>
      <c r="N38" s="96"/>
      <c r="O38" s="96"/>
      <c r="P38" s="96"/>
      <c r="Q38" s="1"/>
      <c r="R38" s="96"/>
      <c r="S38" s="96"/>
      <c r="T38" s="96"/>
      <c r="U38" s="95"/>
      <c r="V38" s="96"/>
      <c r="W38" s="95"/>
      <c r="X38" s="95"/>
      <c r="Y38" s="95"/>
      <c r="Z38" s="95"/>
      <c r="AA38" s="95"/>
      <c r="AB38" s="95"/>
      <c r="AC38" s="95"/>
      <c r="AD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</row>
    <row r="39" spans="2:45" x14ac:dyDescent="0.3">
      <c r="B39" s="95"/>
      <c r="C39" s="95"/>
      <c r="D39" s="95"/>
      <c r="E39" s="95"/>
      <c r="F39" s="95"/>
      <c r="G39" s="95"/>
      <c r="H39" s="96"/>
      <c r="I39" s="96"/>
      <c r="J39" s="96"/>
      <c r="K39" s="96"/>
      <c r="L39" s="96"/>
      <c r="M39" s="95"/>
      <c r="N39" s="96"/>
      <c r="O39" s="96"/>
      <c r="P39" s="96"/>
      <c r="Q39" s="1"/>
      <c r="R39" s="96"/>
      <c r="S39" s="96"/>
      <c r="T39" s="96"/>
      <c r="U39" s="95"/>
      <c r="V39" s="96"/>
      <c r="W39" s="95"/>
      <c r="X39" s="95"/>
      <c r="Y39" s="95"/>
      <c r="Z39" s="95"/>
      <c r="AA39" s="95"/>
      <c r="AB39" s="95"/>
      <c r="AC39" s="95"/>
      <c r="AD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</row>
    <row r="40" spans="2:45" x14ac:dyDescent="0.3">
      <c r="B40" s="95"/>
      <c r="C40" s="95"/>
      <c r="D40" s="95"/>
      <c r="E40" s="95"/>
      <c r="F40" s="95"/>
      <c r="G40" s="95"/>
      <c r="H40" s="96"/>
      <c r="I40" s="96"/>
      <c r="J40" s="96"/>
      <c r="K40" s="96"/>
      <c r="L40" s="96"/>
      <c r="M40" s="95"/>
      <c r="N40" s="96"/>
      <c r="O40" s="96"/>
      <c r="P40" s="96"/>
      <c r="Q40" s="1"/>
      <c r="R40" s="96"/>
      <c r="S40" s="96"/>
      <c r="T40" s="96"/>
      <c r="U40" s="95"/>
      <c r="V40" s="96"/>
      <c r="W40" s="95"/>
      <c r="X40" s="95"/>
      <c r="Y40" s="95"/>
      <c r="Z40" s="95"/>
      <c r="AA40" s="95"/>
      <c r="AB40" s="95"/>
      <c r="AC40" s="95"/>
      <c r="AD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</row>
    <row r="41" spans="2:45" x14ac:dyDescent="0.3">
      <c r="B41" s="95"/>
      <c r="C41" s="95"/>
      <c r="D41" s="95"/>
      <c r="E41" s="95"/>
      <c r="F41" s="95"/>
      <c r="G41" s="95"/>
      <c r="H41" s="96"/>
      <c r="I41" s="96"/>
      <c r="J41" s="96"/>
      <c r="K41" s="96"/>
      <c r="L41" s="96"/>
      <c r="M41" s="95"/>
      <c r="N41" s="96"/>
      <c r="O41" s="96"/>
      <c r="P41" s="96"/>
      <c r="Q41" s="1"/>
      <c r="R41" s="96"/>
      <c r="S41" s="96"/>
      <c r="T41" s="96"/>
      <c r="U41" s="95"/>
      <c r="V41" s="96"/>
      <c r="W41" s="95"/>
      <c r="X41" s="95"/>
      <c r="Y41" s="95"/>
      <c r="Z41" s="95"/>
      <c r="AA41" s="95"/>
      <c r="AB41" s="95"/>
      <c r="AC41" s="95"/>
      <c r="AD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</row>
    <row r="42" spans="2:45" x14ac:dyDescent="0.3">
      <c r="B42" s="95"/>
      <c r="C42" s="95"/>
      <c r="D42" s="95"/>
      <c r="E42" s="95"/>
      <c r="F42" s="95"/>
      <c r="G42" s="95"/>
      <c r="H42" s="96"/>
      <c r="I42" s="96"/>
      <c r="J42" s="96"/>
      <c r="K42" s="96"/>
      <c r="L42" s="96"/>
      <c r="M42" s="95"/>
      <c r="N42" s="96"/>
      <c r="O42" s="96"/>
      <c r="P42" s="96"/>
      <c r="Q42" s="1"/>
      <c r="R42" s="96"/>
      <c r="S42" s="96"/>
      <c r="T42" s="96"/>
      <c r="U42" s="95"/>
      <c r="V42" s="96"/>
      <c r="W42" s="95"/>
      <c r="X42" s="95"/>
      <c r="Y42" s="95"/>
      <c r="Z42" s="95"/>
      <c r="AA42" s="95"/>
      <c r="AB42" s="95"/>
      <c r="AC42" s="95"/>
      <c r="AD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</row>
    <row r="43" spans="2:45" x14ac:dyDescent="0.3">
      <c r="B43" s="95"/>
      <c r="C43" s="95"/>
      <c r="D43" s="95"/>
      <c r="E43" s="95"/>
      <c r="F43" s="95"/>
      <c r="G43" s="95"/>
      <c r="H43" s="96"/>
      <c r="I43" s="96"/>
      <c r="J43" s="96"/>
      <c r="K43" s="96"/>
      <c r="L43" s="96"/>
      <c r="M43" s="95"/>
      <c r="N43" s="96"/>
      <c r="O43" s="96"/>
      <c r="P43" s="96"/>
      <c r="Q43" s="1"/>
      <c r="R43" s="96"/>
      <c r="S43" s="96"/>
      <c r="T43" s="96"/>
      <c r="U43" s="95"/>
      <c r="V43" s="96"/>
      <c r="W43" s="95"/>
      <c r="X43" s="95"/>
      <c r="Y43" s="95"/>
      <c r="Z43" s="95"/>
      <c r="AA43" s="95"/>
      <c r="AB43" s="95"/>
      <c r="AC43" s="95"/>
      <c r="AD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</row>
    <row r="44" spans="2:45" x14ac:dyDescent="0.3">
      <c r="B44" s="95"/>
      <c r="C44" s="95"/>
      <c r="D44" s="95"/>
      <c r="E44" s="95"/>
      <c r="F44" s="95"/>
      <c r="G44" s="95"/>
      <c r="H44" s="96"/>
      <c r="I44" s="96"/>
      <c r="J44" s="96"/>
      <c r="K44" s="96"/>
      <c r="L44" s="96"/>
      <c r="M44" s="95"/>
      <c r="N44" s="96"/>
      <c r="O44" s="96"/>
      <c r="P44" s="96"/>
      <c r="Q44" s="1"/>
      <c r="R44" s="96"/>
      <c r="S44" s="96"/>
      <c r="T44" s="96"/>
      <c r="U44" s="95"/>
      <c r="V44" s="96"/>
      <c r="W44" s="95"/>
      <c r="X44" s="95"/>
      <c r="Y44" s="95"/>
      <c r="Z44" s="95"/>
      <c r="AA44" s="95"/>
      <c r="AB44" s="95"/>
      <c r="AC44" s="95"/>
      <c r="AD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</row>
    <row r="45" spans="2:45" x14ac:dyDescent="0.3">
      <c r="B45" s="95"/>
      <c r="C45" s="95"/>
      <c r="D45" s="95"/>
      <c r="E45" s="95"/>
      <c r="F45" s="95"/>
      <c r="G45" s="95"/>
      <c r="H45" s="96"/>
      <c r="I45" s="96"/>
      <c r="J45" s="96"/>
      <c r="K45" s="96"/>
      <c r="L45" s="96"/>
      <c r="M45" s="95"/>
      <c r="N45" s="96"/>
      <c r="O45" s="96"/>
      <c r="P45" s="96"/>
      <c r="Q45" s="1"/>
      <c r="R45" s="96"/>
      <c r="S45" s="96"/>
      <c r="T45" s="96"/>
      <c r="U45" s="95"/>
      <c r="V45" s="96"/>
      <c r="W45" s="95"/>
      <c r="X45" s="95"/>
      <c r="Y45" s="95"/>
      <c r="Z45" s="95"/>
      <c r="AA45" s="95"/>
      <c r="AB45" s="95"/>
      <c r="AC45" s="95"/>
      <c r="AD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</row>
    <row r="46" spans="2:45" x14ac:dyDescent="0.3">
      <c r="B46" s="95"/>
      <c r="C46" s="95"/>
      <c r="D46" s="95"/>
      <c r="E46" s="95"/>
      <c r="F46" s="95"/>
      <c r="G46" s="95"/>
      <c r="H46" s="96"/>
      <c r="I46" s="96"/>
      <c r="J46" s="96"/>
      <c r="K46" s="96"/>
      <c r="L46" s="96"/>
      <c r="M46" s="95"/>
      <c r="N46" s="96"/>
      <c r="O46" s="96"/>
      <c r="P46" s="96"/>
      <c r="Q46" s="1"/>
      <c r="R46" s="96"/>
      <c r="S46" s="96"/>
      <c r="T46" s="96"/>
      <c r="U46" s="95"/>
      <c r="V46" s="96"/>
      <c r="W46" s="95"/>
      <c r="X46" s="95"/>
      <c r="Y46" s="95"/>
      <c r="Z46" s="95"/>
      <c r="AA46" s="95"/>
      <c r="AB46" s="95"/>
      <c r="AC46" s="95"/>
      <c r="AD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</row>
    <row r="47" spans="2:45" x14ac:dyDescent="0.3">
      <c r="B47" s="95"/>
      <c r="C47" s="95"/>
      <c r="D47" s="95"/>
      <c r="E47" s="95"/>
      <c r="F47" s="95"/>
      <c r="G47" s="95"/>
      <c r="H47" s="96"/>
      <c r="I47" s="96"/>
      <c r="J47" s="96"/>
      <c r="K47" s="96"/>
      <c r="L47" s="96"/>
      <c r="M47" s="95"/>
      <c r="N47" s="96"/>
      <c r="O47" s="96"/>
      <c r="P47" s="96"/>
      <c r="Q47" s="1"/>
      <c r="R47" s="96"/>
      <c r="S47" s="96"/>
      <c r="T47" s="96"/>
      <c r="U47" s="95"/>
      <c r="V47" s="96"/>
      <c r="W47" s="95"/>
      <c r="X47" s="95"/>
      <c r="Y47" s="95"/>
      <c r="Z47" s="95"/>
      <c r="AA47" s="95"/>
      <c r="AB47" s="95"/>
      <c r="AC47" s="95"/>
      <c r="AD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</row>
    <row r="48" spans="2:45" x14ac:dyDescent="0.3">
      <c r="B48" s="95"/>
      <c r="C48" s="95"/>
      <c r="D48" s="95"/>
      <c r="E48" s="95"/>
      <c r="F48" s="95"/>
      <c r="G48" s="95"/>
      <c r="H48" s="96"/>
      <c r="I48" s="96"/>
      <c r="J48" s="96"/>
      <c r="K48" s="96"/>
      <c r="L48" s="96"/>
      <c r="M48" s="95"/>
      <c r="N48" s="96"/>
      <c r="O48" s="96"/>
      <c r="P48" s="96"/>
      <c r="Q48" s="1"/>
      <c r="R48" s="96"/>
      <c r="S48" s="96"/>
      <c r="T48" s="96"/>
      <c r="U48" s="95"/>
      <c r="V48" s="96"/>
      <c r="W48" s="95"/>
      <c r="X48" s="95"/>
      <c r="Y48" s="95"/>
      <c r="Z48" s="95"/>
      <c r="AA48" s="95"/>
      <c r="AB48" s="95"/>
      <c r="AC48" s="95"/>
      <c r="AD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</row>
    <row r="49" spans="2:45" x14ac:dyDescent="0.3">
      <c r="B49" s="95"/>
      <c r="C49" s="95"/>
      <c r="D49" s="95"/>
      <c r="E49" s="95"/>
      <c r="F49" s="95"/>
      <c r="G49" s="95"/>
      <c r="H49" s="96"/>
      <c r="I49" s="96"/>
      <c r="J49" s="96"/>
      <c r="K49" s="96"/>
      <c r="L49" s="96"/>
      <c r="M49" s="95"/>
      <c r="N49" s="96"/>
      <c r="O49" s="96"/>
      <c r="P49" s="96"/>
      <c r="Q49" s="1"/>
      <c r="R49" s="96"/>
      <c r="S49" s="96"/>
      <c r="T49" s="96"/>
      <c r="U49" s="95"/>
      <c r="V49" s="96"/>
      <c r="W49" s="95"/>
      <c r="X49" s="95"/>
      <c r="Y49" s="95"/>
      <c r="Z49" s="95"/>
      <c r="AA49" s="95"/>
      <c r="AB49" s="95"/>
      <c r="AC49" s="95"/>
      <c r="AD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</row>
    <row r="50" spans="2:45" x14ac:dyDescent="0.3">
      <c r="B50" s="95"/>
      <c r="C50" s="95"/>
      <c r="D50" s="95"/>
      <c r="E50" s="95"/>
      <c r="F50" s="95"/>
      <c r="G50" s="95"/>
      <c r="H50" s="96"/>
      <c r="I50" s="96"/>
      <c r="J50" s="96"/>
      <c r="K50" s="96"/>
      <c r="L50" s="96"/>
      <c r="M50" s="95"/>
      <c r="N50" s="96"/>
      <c r="O50" s="96"/>
      <c r="P50" s="96"/>
      <c r="Q50" s="1"/>
      <c r="R50" s="96"/>
      <c r="S50" s="96"/>
      <c r="T50" s="96"/>
      <c r="U50" s="95"/>
      <c r="V50" s="96"/>
      <c r="W50" s="95"/>
      <c r="X50" s="95"/>
      <c r="Y50" s="95"/>
      <c r="Z50" s="95"/>
      <c r="AA50" s="95"/>
      <c r="AB50" s="95"/>
      <c r="AC50" s="95"/>
      <c r="AD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</row>
    <row r="51" spans="2:45" x14ac:dyDescent="0.3">
      <c r="B51" s="95"/>
      <c r="C51" s="95"/>
      <c r="D51" s="95"/>
      <c r="E51" s="95"/>
      <c r="F51" s="95"/>
      <c r="G51" s="95"/>
      <c r="H51" s="96"/>
      <c r="I51" s="96"/>
      <c r="J51" s="96"/>
      <c r="K51" s="96"/>
      <c r="L51" s="96"/>
      <c r="M51" s="95"/>
      <c r="N51" s="96"/>
      <c r="O51" s="96"/>
      <c r="P51" s="96"/>
      <c r="Q51" s="1"/>
      <c r="R51" s="96"/>
      <c r="S51" s="96"/>
      <c r="T51" s="96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</row>
    <row r="52" spans="2:45" x14ac:dyDescent="0.3">
      <c r="B52" s="95"/>
      <c r="C52" s="95"/>
      <c r="D52" s="95"/>
      <c r="E52" s="95"/>
      <c r="F52" s="95"/>
      <c r="G52" s="95"/>
      <c r="H52" s="96"/>
      <c r="I52" s="96"/>
      <c r="J52" s="96"/>
      <c r="K52" s="96"/>
      <c r="L52" s="96"/>
      <c r="M52" s="95"/>
      <c r="N52" s="96"/>
      <c r="O52" s="96"/>
      <c r="P52" s="96"/>
      <c r="Q52" s="1"/>
      <c r="R52" s="96"/>
      <c r="S52" s="96"/>
      <c r="T52" s="96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</row>
    <row r="53" spans="2:45" x14ac:dyDescent="0.3">
      <c r="B53" s="95"/>
      <c r="C53" s="95"/>
      <c r="D53" s="95"/>
      <c r="E53" s="95"/>
      <c r="F53" s="95"/>
      <c r="G53" s="95"/>
      <c r="H53" s="96"/>
      <c r="I53" s="96"/>
      <c r="J53" s="96"/>
      <c r="K53" s="96"/>
      <c r="L53" s="96"/>
      <c r="M53" s="96"/>
      <c r="N53" s="96"/>
      <c r="O53" s="95"/>
      <c r="P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</row>
    <row r="54" spans="2:45" x14ac:dyDescent="0.3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</row>
    <row r="55" spans="2:45" x14ac:dyDescent="0.3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</row>
    <row r="56" spans="2:45" x14ac:dyDescent="0.3"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</row>
    <row r="57" spans="2:45" x14ac:dyDescent="0.3"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</row>
    <row r="58" spans="2:45" x14ac:dyDescent="0.3"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</row>
    <row r="59" spans="2:45" x14ac:dyDescent="0.3"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</row>
    <row r="60" spans="2:45" x14ac:dyDescent="0.3"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</row>
    <row r="61" spans="2:45" x14ac:dyDescent="0.3"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</row>
    <row r="62" spans="2:45" x14ac:dyDescent="0.3"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</row>
    <row r="63" spans="2:45" x14ac:dyDescent="0.3"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</row>
    <row r="64" spans="2:45" x14ac:dyDescent="0.3"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</row>
    <row r="65" spans="2:45" x14ac:dyDescent="0.3"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</row>
    <row r="66" spans="2:45" x14ac:dyDescent="0.3"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</row>
    <row r="67" spans="2:45" x14ac:dyDescent="0.3"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</row>
    <row r="68" spans="2:45" x14ac:dyDescent="0.3"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</row>
    <row r="69" spans="2:45" x14ac:dyDescent="0.3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</row>
    <row r="70" spans="2:45" x14ac:dyDescent="0.3"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</row>
    <row r="71" spans="2:45" x14ac:dyDescent="0.3"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</row>
    <row r="72" spans="2:45" x14ac:dyDescent="0.3"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</row>
    <row r="73" spans="2:45" x14ac:dyDescent="0.3"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</row>
    <row r="74" spans="2:45" x14ac:dyDescent="0.3"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</row>
    <row r="75" spans="2:45" x14ac:dyDescent="0.3"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</row>
    <row r="76" spans="2:45" x14ac:dyDescent="0.3"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</row>
    <row r="77" spans="2:45" x14ac:dyDescent="0.3"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</row>
    <row r="78" spans="2:45" x14ac:dyDescent="0.3"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</row>
    <row r="79" spans="2:45" x14ac:dyDescent="0.3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</row>
    <row r="80" spans="2:45" x14ac:dyDescent="0.3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</row>
    <row r="81" spans="2:45" x14ac:dyDescent="0.3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</row>
    <row r="82" spans="2:45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</row>
    <row r="83" spans="2:45" x14ac:dyDescent="0.3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</row>
    <row r="84" spans="2:45" x14ac:dyDescent="0.3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</row>
    <row r="85" spans="2:45" x14ac:dyDescent="0.3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F85" s="95"/>
      <c r="AG85" s="95"/>
      <c r="AH85" s="95"/>
      <c r="AI85" s="95"/>
      <c r="AJ85" s="95"/>
      <c r="AK85" s="95"/>
      <c r="AL85" s="95"/>
      <c r="AM85" s="95"/>
      <c r="AN85" s="95"/>
      <c r="AO85" s="95"/>
      <c r="AP85" s="95"/>
      <c r="AQ85" s="95"/>
      <c r="AR85" s="95"/>
      <c r="AS85" s="95"/>
    </row>
    <row r="86" spans="2:45" x14ac:dyDescent="0.3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/>
      <c r="AP86" s="95"/>
      <c r="AQ86" s="95"/>
      <c r="AR86" s="95"/>
      <c r="AS86" s="95"/>
    </row>
    <row r="87" spans="2:45" x14ac:dyDescent="0.3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/>
      <c r="AP87" s="95"/>
      <c r="AQ87" s="95"/>
      <c r="AR87" s="95"/>
      <c r="AS87" s="95"/>
    </row>
    <row r="88" spans="2:45" x14ac:dyDescent="0.3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/>
      <c r="AP88" s="95"/>
      <c r="AQ88" s="95"/>
      <c r="AR88" s="95"/>
      <c r="AS88" s="95"/>
    </row>
    <row r="89" spans="2:45" x14ac:dyDescent="0.3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F89" s="95"/>
      <c r="AG89" s="95"/>
      <c r="AH89" s="95"/>
      <c r="AI89" s="95"/>
      <c r="AJ89" s="95"/>
      <c r="AK89" s="95"/>
      <c r="AL89" s="95"/>
      <c r="AM89" s="95"/>
      <c r="AN89" s="95"/>
      <c r="AO89" s="95"/>
      <c r="AP89" s="95"/>
      <c r="AQ89" s="95"/>
      <c r="AR89" s="95"/>
      <c r="AS89" s="95"/>
    </row>
    <row r="90" spans="2:45" x14ac:dyDescent="0.3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</row>
    <row r="91" spans="2:45" x14ac:dyDescent="0.3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</row>
    <row r="92" spans="2:45" x14ac:dyDescent="0.3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</row>
    <row r="93" spans="2:45" x14ac:dyDescent="0.3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</row>
    <row r="94" spans="2:45" x14ac:dyDescent="0.3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</row>
    <row r="95" spans="2:45" x14ac:dyDescent="0.3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</row>
    <row r="96" spans="2:45" x14ac:dyDescent="0.3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</row>
    <row r="97" spans="2:45" x14ac:dyDescent="0.3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</row>
    <row r="98" spans="2:45" x14ac:dyDescent="0.3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</row>
    <row r="99" spans="2:45" x14ac:dyDescent="0.3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</row>
    <row r="100" spans="2:45" x14ac:dyDescent="0.3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</row>
    <row r="101" spans="2:45" x14ac:dyDescent="0.3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</row>
    <row r="102" spans="2:45" x14ac:dyDescent="0.3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/>
      <c r="AP102" s="95"/>
      <c r="AQ102" s="95"/>
      <c r="AR102" s="95"/>
      <c r="AS102" s="95"/>
    </row>
    <row r="103" spans="2:45" x14ac:dyDescent="0.3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  <c r="AR103" s="95"/>
      <c r="AS103" s="95"/>
    </row>
    <row r="104" spans="2:45" x14ac:dyDescent="0.3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/>
      <c r="AP104" s="95"/>
      <c r="AQ104" s="95"/>
      <c r="AR104" s="95"/>
      <c r="AS104" s="95"/>
    </row>
    <row r="105" spans="2:45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</row>
    <row r="106" spans="2:45" x14ac:dyDescent="0.3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</row>
    <row r="107" spans="2:45" x14ac:dyDescent="0.3"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/>
      <c r="AP107" s="95"/>
      <c r="AQ107" s="95"/>
      <c r="AR107" s="95"/>
      <c r="AS107" s="95"/>
    </row>
    <row r="108" spans="2:45" x14ac:dyDescent="0.3"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</row>
    <row r="109" spans="2:45" x14ac:dyDescent="0.3"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F109" s="95"/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</row>
    <row r="110" spans="2:45" x14ac:dyDescent="0.3"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</row>
    <row r="111" spans="2:45" x14ac:dyDescent="0.3"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</row>
    <row r="112" spans="2:45" x14ac:dyDescent="0.3"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5"/>
    </row>
    <row r="113" spans="2:45" x14ac:dyDescent="0.3"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</row>
    <row r="114" spans="2:45" x14ac:dyDescent="0.3"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/>
      <c r="AP114" s="95"/>
      <c r="AQ114" s="95"/>
      <c r="AR114" s="95"/>
      <c r="AS114" s="95"/>
    </row>
    <row r="115" spans="2:45" x14ac:dyDescent="0.3"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</row>
    <row r="116" spans="2:45" x14ac:dyDescent="0.3"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/>
      <c r="AP116" s="95"/>
      <c r="AQ116" s="95"/>
      <c r="AR116" s="95"/>
      <c r="AS116" s="95"/>
    </row>
    <row r="117" spans="2:45" x14ac:dyDescent="0.3"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/>
      <c r="AP117" s="95"/>
      <c r="AQ117" s="95"/>
      <c r="AR117" s="95"/>
      <c r="AS117" s="95"/>
    </row>
    <row r="118" spans="2:45" x14ac:dyDescent="0.3"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/>
      <c r="AP118" s="95"/>
      <c r="AQ118" s="95"/>
      <c r="AR118" s="95"/>
      <c r="AS118" s="95"/>
    </row>
    <row r="119" spans="2:45" x14ac:dyDescent="0.3"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/>
      <c r="AP119" s="95"/>
      <c r="AQ119" s="95"/>
      <c r="AR119" s="95"/>
      <c r="AS119" s="95"/>
    </row>
  </sheetData>
  <sortState ref="E6:F28">
    <sortCondition ref="E6:E28" customList="C1,C2,C3,C4,C5,C6,C7,C8,C9,C10,C11,C12,C13,C14,C15,C16,C17,C18,C19,C20,C21,C22,C23,C24,C25,C26,C27,C28,C29,C30,C31,C32,C33,C34,C35,C36,C37,C38,C39,C40,C41,C42,C43,C44,C45,C46,C47,C48,C49,C50,C51,C52,C53,C54,C55,C56,C57,C58,C59,C60"/>
  </sortState>
  <mergeCells count="16">
    <mergeCell ref="U33:AB34"/>
    <mergeCell ref="AI33:AP34"/>
    <mergeCell ref="M4:N4"/>
    <mergeCell ref="O4:P4"/>
    <mergeCell ref="B6:B28"/>
    <mergeCell ref="C6:C28"/>
    <mergeCell ref="B3:B4"/>
    <mergeCell ref="C3:C4"/>
    <mergeCell ref="D33:K34"/>
    <mergeCell ref="K3:P3"/>
    <mergeCell ref="D3:D4"/>
    <mergeCell ref="K4:L4"/>
    <mergeCell ref="E4:F4"/>
    <mergeCell ref="G4:H4"/>
    <mergeCell ref="I4:J4"/>
    <mergeCell ref="E3:J3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J48"/>
  <sheetViews>
    <sheetView zoomScaleNormal="100" workbookViewId="0">
      <selection activeCell="K8" sqref="K8"/>
    </sheetView>
  </sheetViews>
  <sheetFormatPr baseColWidth="10" defaultRowHeight="14.4" x14ac:dyDescent="0.3"/>
  <cols>
    <col min="1" max="1" width="9.21875" customWidth="1"/>
    <col min="2" max="2" width="15.5546875" customWidth="1"/>
    <col min="3" max="3" width="10.21875" customWidth="1"/>
    <col min="5" max="10" width="22.77734375" customWidth="1"/>
  </cols>
  <sheetData>
    <row r="3" spans="2:10" x14ac:dyDescent="0.3">
      <c r="B3" s="111" t="s">
        <v>2</v>
      </c>
      <c r="C3" s="111" t="s">
        <v>18</v>
      </c>
      <c r="D3" s="111" t="s">
        <v>4</v>
      </c>
      <c r="E3" s="114" t="s">
        <v>3</v>
      </c>
      <c r="F3" s="114"/>
      <c r="G3" s="114"/>
      <c r="H3" s="114" t="s">
        <v>16</v>
      </c>
      <c r="I3" s="114"/>
      <c r="J3" s="114"/>
    </row>
    <row r="4" spans="2:10" ht="15" thickBot="1" x14ac:dyDescent="0.35">
      <c r="B4" s="121"/>
      <c r="C4" s="121"/>
      <c r="D4" s="121"/>
      <c r="E4" s="28" t="s">
        <v>30</v>
      </c>
      <c r="F4" s="28" t="s">
        <v>31</v>
      </c>
      <c r="G4" s="28" t="s">
        <v>32</v>
      </c>
      <c r="H4" s="28" t="s">
        <v>30</v>
      </c>
      <c r="I4" s="28" t="s">
        <v>31</v>
      </c>
      <c r="J4" s="28" t="s">
        <v>32</v>
      </c>
    </row>
    <row r="5" spans="2:10" x14ac:dyDescent="0.3">
      <c r="B5" s="99" t="s">
        <v>33</v>
      </c>
      <c r="C5" s="118" t="s">
        <v>20</v>
      </c>
      <c r="D5" s="19" t="s">
        <v>6</v>
      </c>
      <c r="E5" s="46">
        <v>1.0304975012012401</v>
      </c>
      <c r="F5" s="47">
        <v>1.0247172247040399</v>
      </c>
      <c r="G5" s="48">
        <v>1.0322931971687099</v>
      </c>
      <c r="H5" s="46">
        <v>1.0241016383318799</v>
      </c>
      <c r="I5" s="47">
        <v>1.0182395619764499</v>
      </c>
      <c r="J5" s="49">
        <v>1.0184492532743901</v>
      </c>
    </row>
    <row r="6" spans="2:10" x14ac:dyDescent="0.3">
      <c r="B6" s="100"/>
      <c r="C6" s="119"/>
      <c r="D6" s="18" t="s">
        <v>7</v>
      </c>
      <c r="E6" s="50">
        <v>1.0881511981169301</v>
      </c>
      <c r="F6" s="51">
        <v>1.0945348131192301</v>
      </c>
      <c r="G6" s="52">
        <v>1.1185681395831599</v>
      </c>
      <c r="H6" s="50">
        <v>1.0666306664997001</v>
      </c>
      <c r="I6" s="51">
        <v>1.0684446939911201</v>
      </c>
      <c r="J6" s="53">
        <v>1.0680785605972101</v>
      </c>
    </row>
    <row r="7" spans="2:10" x14ac:dyDescent="0.3">
      <c r="B7" s="100"/>
      <c r="C7" s="119"/>
      <c r="D7" s="18" t="s">
        <v>8</v>
      </c>
      <c r="E7" s="50">
        <v>1.0894801463605499</v>
      </c>
      <c r="F7" s="51">
        <v>1.0973815811241401</v>
      </c>
      <c r="G7" s="52">
        <v>1.12771076740583</v>
      </c>
      <c r="H7" s="50">
        <v>1.0669847005569699</v>
      </c>
      <c r="I7" s="51">
        <v>1.0693917009248</v>
      </c>
      <c r="J7" s="53">
        <v>1.0708386722124801</v>
      </c>
    </row>
    <row r="8" spans="2:10" x14ac:dyDescent="0.3">
      <c r="B8" s="100"/>
      <c r="C8" s="119"/>
      <c r="D8" s="18" t="s">
        <v>9</v>
      </c>
      <c r="E8" s="50">
        <v>1.09074268492712</v>
      </c>
      <c r="F8" s="51">
        <v>1.1002060347996301</v>
      </c>
      <c r="G8" s="52">
        <v>1.1363024746524999</v>
      </c>
      <c r="H8" s="50">
        <v>1.0672439394647</v>
      </c>
      <c r="I8" s="51">
        <v>1.07037667147949</v>
      </c>
      <c r="J8" s="53">
        <v>1.0735107571414599</v>
      </c>
    </row>
    <row r="9" spans="2:10" x14ac:dyDescent="0.3">
      <c r="B9" s="100"/>
      <c r="C9" s="119"/>
      <c r="D9" s="18" t="s">
        <v>10</v>
      </c>
      <c r="E9" s="50">
        <v>1.0919024220492499</v>
      </c>
      <c r="F9" s="51">
        <v>1.10286567863273</v>
      </c>
      <c r="G9" s="52">
        <v>1.14433361879077</v>
      </c>
      <c r="H9" s="50">
        <v>1.0673939597989299</v>
      </c>
      <c r="I9" s="51">
        <v>1.07140247176801</v>
      </c>
      <c r="J9" s="53">
        <v>1.07624249213669</v>
      </c>
    </row>
    <row r="10" spans="2:10" x14ac:dyDescent="0.3">
      <c r="B10" s="100"/>
      <c r="C10" s="119"/>
      <c r="D10" s="18" t="s">
        <v>11</v>
      </c>
      <c r="E10" s="50">
        <v>1.0929858029111399</v>
      </c>
      <c r="F10" s="51">
        <v>1.10552439994822</v>
      </c>
      <c r="G10" s="52">
        <v>1.1522817210940799</v>
      </c>
      <c r="H10" s="50">
        <v>1.0674266419704199</v>
      </c>
      <c r="I10" s="51">
        <v>1.0725551047950601</v>
      </c>
      <c r="J10" s="53">
        <v>1.07923848500905</v>
      </c>
    </row>
    <row r="11" spans="2:10" x14ac:dyDescent="0.3">
      <c r="B11" s="100"/>
      <c r="C11" s="119"/>
      <c r="D11" s="18" t="s">
        <v>12</v>
      </c>
      <c r="E11" s="50">
        <v>1.0940021072711801</v>
      </c>
      <c r="F11" s="51">
        <v>1.1083139776556701</v>
      </c>
      <c r="G11" s="52">
        <v>1.1605249880428401</v>
      </c>
      <c r="H11" s="50">
        <v>1.06732452171806</v>
      </c>
      <c r="I11" s="51">
        <v>1.07392114278908</v>
      </c>
      <c r="J11" s="53">
        <v>1.0827120039562199</v>
      </c>
    </row>
    <row r="12" spans="2:10" x14ac:dyDescent="0.3">
      <c r="B12" s="100"/>
      <c r="C12" s="119"/>
      <c r="D12" s="18" t="s">
        <v>13</v>
      </c>
      <c r="E12" s="50">
        <v>1.09503189822891</v>
      </c>
      <c r="F12" s="51">
        <v>1.1107638486624301</v>
      </c>
      <c r="G12" s="52">
        <v>1.1682345121614801</v>
      </c>
      <c r="H12" s="50">
        <v>1.06710797950005</v>
      </c>
      <c r="I12" s="51">
        <v>1.0749158155204199</v>
      </c>
      <c r="J12" s="53">
        <v>1.08520476657577</v>
      </c>
    </row>
    <row r="13" spans="2:10" x14ac:dyDescent="0.3">
      <c r="B13" s="100"/>
      <c r="C13" s="119"/>
      <c r="D13" s="18" t="s">
        <v>14</v>
      </c>
      <c r="E13" s="50">
        <v>1.09647171095911</v>
      </c>
      <c r="F13" s="51">
        <v>1.1121704896695199</v>
      </c>
      <c r="G13" s="52">
        <v>1.1742118493751099</v>
      </c>
      <c r="H13" s="50">
        <v>1.06673855852107</v>
      </c>
      <c r="I13" s="51">
        <v>1.0751471554117</v>
      </c>
      <c r="J13" s="53">
        <v>1.08573129993299</v>
      </c>
    </row>
    <row r="14" spans="2:10" x14ac:dyDescent="0.3">
      <c r="B14" s="100"/>
      <c r="C14" s="119"/>
      <c r="D14" s="18" t="s">
        <v>15</v>
      </c>
      <c r="E14" s="50">
        <v>1.0982334032710901</v>
      </c>
      <c r="F14" s="51">
        <v>1.11176367502767</v>
      </c>
      <c r="G14" s="52">
        <v>1.17738952788387</v>
      </c>
      <c r="H14" s="50">
        <v>1.0659669862725301</v>
      </c>
      <c r="I14" s="51">
        <v>1.07481371563663</v>
      </c>
      <c r="J14" s="53">
        <v>1.0848925745654201</v>
      </c>
    </row>
    <row r="15" spans="2:10" ht="15" thickBot="1" x14ac:dyDescent="0.35">
      <c r="B15" s="100"/>
      <c r="C15" s="119"/>
      <c r="D15" s="21" t="s">
        <v>5</v>
      </c>
      <c r="E15" s="54">
        <v>1.1010616817641099</v>
      </c>
      <c r="F15" s="55">
        <v>1.1049630951678</v>
      </c>
      <c r="G15" s="56">
        <v>1.16968598218542</v>
      </c>
      <c r="H15" s="54">
        <v>1.0640807105830801</v>
      </c>
      <c r="I15" s="55">
        <v>1.07272352276425</v>
      </c>
      <c r="J15" s="57">
        <v>1.0800083809224601</v>
      </c>
    </row>
    <row r="16" spans="2:10" x14ac:dyDescent="0.3">
      <c r="B16" s="99" t="s">
        <v>33</v>
      </c>
      <c r="C16" s="118" t="s">
        <v>21</v>
      </c>
      <c r="D16" s="19" t="s">
        <v>6</v>
      </c>
      <c r="E16" s="46">
        <v>1.02279713244169</v>
      </c>
      <c r="F16" s="47">
        <v>1.01102826713099</v>
      </c>
      <c r="G16" s="48">
        <v>1.0037423052357799</v>
      </c>
      <c r="H16" s="46">
        <v>1.02820820608105</v>
      </c>
      <c r="I16" s="47">
        <v>1.0198853548565801</v>
      </c>
      <c r="J16" s="49">
        <v>1.01766814548228</v>
      </c>
    </row>
    <row r="17" spans="2:10" x14ac:dyDescent="0.3">
      <c r="B17" s="100"/>
      <c r="C17" s="119"/>
      <c r="D17" s="18" t="s">
        <v>7</v>
      </c>
      <c r="E17" s="50">
        <v>1.07560708364367</v>
      </c>
      <c r="F17" s="51">
        <v>1.0399748100636801</v>
      </c>
      <c r="G17" s="52">
        <v>1.0189626142454</v>
      </c>
      <c r="H17" s="50">
        <v>1.0925056521163199</v>
      </c>
      <c r="I17" s="51">
        <v>1.07448454179268</v>
      </c>
      <c r="J17" s="53">
        <v>1.0680940226965301</v>
      </c>
    </row>
    <row r="18" spans="2:10" x14ac:dyDescent="0.3">
      <c r="B18" s="100"/>
      <c r="C18" s="119"/>
      <c r="D18" s="18" t="s">
        <v>8</v>
      </c>
      <c r="E18" s="50">
        <v>1.0770370199277499</v>
      </c>
      <c r="F18" s="51">
        <v>1.03796236715246</v>
      </c>
      <c r="G18" s="52">
        <v>1.02863733483222</v>
      </c>
      <c r="H18" s="50">
        <v>1.09370658624522</v>
      </c>
      <c r="I18" s="51">
        <v>1.07385756327806</v>
      </c>
      <c r="J18" s="53">
        <v>1.0648892389431901</v>
      </c>
    </row>
    <row r="19" spans="2:10" x14ac:dyDescent="0.3">
      <c r="B19" s="100"/>
      <c r="C19" s="119"/>
      <c r="D19" s="18" t="s">
        <v>9</v>
      </c>
      <c r="E19" s="50">
        <v>1.07831073091161</v>
      </c>
      <c r="F19" s="51">
        <v>1.0359679089973799</v>
      </c>
      <c r="G19" s="52">
        <v>1.03764218171679</v>
      </c>
      <c r="H19" s="50">
        <v>1.0947955914210299</v>
      </c>
      <c r="I19" s="51">
        <v>1.0731957255901901</v>
      </c>
      <c r="J19" s="53">
        <v>1.0618395339575499</v>
      </c>
    </row>
    <row r="20" spans="2:10" x14ac:dyDescent="0.3">
      <c r="B20" s="100"/>
      <c r="C20" s="119"/>
      <c r="D20" s="18" t="s">
        <v>10</v>
      </c>
      <c r="E20" s="50">
        <v>1.0795617079148201</v>
      </c>
      <c r="F20" s="51">
        <v>1.0340869964356201</v>
      </c>
      <c r="G20" s="52">
        <v>1.04606286826442</v>
      </c>
      <c r="H20" s="50">
        <v>1.0958456312337801</v>
      </c>
      <c r="I20" s="51">
        <v>1.0725429859325699</v>
      </c>
      <c r="J20" s="53">
        <v>1.05876648835179</v>
      </c>
    </row>
    <row r="21" spans="2:10" x14ac:dyDescent="0.3">
      <c r="B21" s="100"/>
      <c r="C21" s="119"/>
      <c r="D21" s="18" t="s">
        <v>11</v>
      </c>
      <c r="E21" s="50">
        <v>1.08090506005676</v>
      </c>
      <c r="F21" s="51">
        <v>1.0321874936915101</v>
      </c>
      <c r="G21" s="52">
        <v>1.0544467378898801</v>
      </c>
      <c r="H21" s="50">
        <v>1.09690937370493</v>
      </c>
      <c r="I21" s="51">
        <v>1.07184526401064</v>
      </c>
      <c r="J21" s="53">
        <v>1.0554373697105099</v>
      </c>
    </row>
    <row r="22" spans="2:10" x14ac:dyDescent="0.3">
      <c r="B22" s="100"/>
      <c r="C22" s="119"/>
      <c r="D22" s="18" t="s">
        <v>12</v>
      </c>
      <c r="E22" s="50">
        <v>1.08246043835206</v>
      </c>
      <c r="F22" s="51">
        <v>1.0301547563015601</v>
      </c>
      <c r="G22" s="52">
        <v>1.0632235059981101</v>
      </c>
      <c r="H22" s="50">
        <v>1.09803998094293</v>
      </c>
      <c r="I22" s="51">
        <v>1.0710598903582</v>
      </c>
      <c r="J22" s="53">
        <v>1.0516200618179199</v>
      </c>
    </row>
    <row r="23" spans="2:10" x14ac:dyDescent="0.3">
      <c r="B23" s="100"/>
      <c r="C23" s="119"/>
      <c r="D23" s="18" t="s">
        <v>13</v>
      </c>
      <c r="E23" s="50">
        <v>1.0843422374017999</v>
      </c>
      <c r="F23" s="51">
        <v>1.0282738959477999</v>
      </c>
      <c r="G23" s="52">
        <v>1.07163996948893</v>
      </c>
      <c r="H23" s="50">
        <v>1.0993961043504099</v>
      </c>
      <c r="I23" s="51">
        <v>1.0703869120999701</v>
      </c>
      <c r="J23" s="53">
        <v>1.0485622111317201</v>
      </c>
    </row>
    <row r="24" spans="2:10" x14ac:dyDescent="0.3">
      <c r="B24" s="100"/>
      <c r="C24" s="119"/>
      <c r="D24" s="18" t="s">
        <v>14</v>
      </c>
      <c r="E24" s="50">
        <v>1.0863134604484299</v>
      </c>
      <c r="F24" s="51">
        <v>1.0269647218659701</v>
      </c>
      <c r="G24" s="52">
        <v>1.0785746044587701</v>
      </c>
      <c r="H24" s="50">
        <v>1.10111261329525</v>
      </c>
      <c r="I24" s="51">
        <v>1.0698974135061801</v>
      </c>
      <c r="J24" s="53">
        <v>1.04704260825629</v>
      </c>
    </row>
    <row r="25" spans="2:10" x14ac:dyDescent="0.3">
      <c r="B25" s="100"/>
      <c r="C25" s="119"/>
      <c r="D25" s="18" t="s">
        <v>15</v>
      </c>
      <c r="E25" s="50">
        <v>1.0887219392921601</v>
      </c>
      <c r="F25" s="51">
        <v>1.0265231981248599</v>
      </c>
      <c r="G25" s="52">
        <v>1.0832161584197</v>
      </c>
      <c r="H25" s="50">
        <v>1.1033267002478999</v>
      </c>
      <c r="I25" s="51">
        <v>1.0694375478568301</v>
      </c>
      <c r="J25" s="53">
        <v>1.0462941617480399</v>
      </c>
    </row>
    <row r="26" spans="2:10" ht="15" thickBot="1" x14ac:dyDescent="0.35">
      <c r="B26" s="100"/>
      <c r="C26" s="119"/>
      <c r="D26" s="21" t="s">
        <v>5</v>
      </c>
      <c r="E26" s="54">
        <v>1.0915595197436601</v>
      </c>
      <c r="F26" s="55">
        <v>1.0294346375458401</v>
      </c>
      <c r="G26" s="56">
        <v>1.0782611575672501</v>
      </c>
      <c r="H26" s="54">
        <v>1.1066743325186099</v>
      </c>
      <c r="I26" s="55">
        <v>1.0691416370462401</v>
      </c>
      <c r="J26" s="57">
        <v>1.0478424284004699</v>
      </c>
    </row>
    <row r="27" spans="2:10" x14ac:dyDescent="0.3">
      <c r="B27" s="99" t="s">
        <v>33</v>
      </c>
      <c r="C27" s="118" t="s">
        <v>22</v>
      </c>
      <c r="D27" s="19" t="s">
        <v>6</v>
      </c>
      <c r="E27" s="46">
        <v>1.0390986493023899</v>
      </c>
      <c r="F27" s="47">
        <v>1.0133256138639</v>
      </c>
      <c r="G27" s="48">
        <v>1.0027682728743701</v>
      </c>
      <c r="H27" s="46">
        <v>1.00223642935931</v>
      </c>
      <c r="I27" s="47">
        <v>1.0202739642694101</v>
      </c>
      <c r="J27" s="49">
        <v>1.0315341612443301</v>
      </c>
    </row>
    <row r="28" spans="2:10" x14ac:dyDescent="0.3">
      <c r="B28" s="100"/>
      <c r="C28" s="119"/>
      <c r="D28" s="18" t="s">
        <v>7</v>
      </c>
      <c r="E28" s="50">
        <v>1.14010339796099</v>
      </c>
      <c r="F28" s="51">
        <v>1.0728950546712099</v>
      </c>
      <c r="G28" s="52">
        <v>1.00132035530954</v>
      </c>
      <c r="H28" s="50">
        <v>1.00818671935808</v>
      </c>
      <c r="I28" s="51">
        <v>1.07409175855781</v>
      </c>
      <c r="J28" s="53">
        <v>1.1389596916767399</v>
      </c>
    </row>
    <row r="29" spans="2:10" x14ac:dyDescent="0.3">
      <c r="B29" s="100"/>
      <c r="C29" s="119"/>
      <c r="D29" s="18" t="s">
        <v>8</v>
      </c>
      <c r="E29" s="50">
        <v>1.1416950341106999</v>
      </c>
      <c r="F29" s="51">
        <v>1.08286689718601</v>
      </c>
      <c r="G29" s="52">
        <v>1.01545539283319</v>
      </c>
      <c r="H29" s="50">
        <v>1.00683634425685</v>
      </c>
      <c r="I29" s="51">
        <v>1.0717039057790001</v>
      </c>
      <c r="J29" s="53">
        <v>1.1323008694679499</v>
      </c>
    </row>
    <row r="30" spans="2:10" x14ac:dyDescent="0.3">
      <c r="B30" s="100"/>
      <c r="C30" s="119"/>
      <c r="D30" s="18" t="s">
        <v>9</v>
      </c>
      <c r="E30" s="50">
        <v>1.1434524882352</v>
      </c>
      <c r="F30" s="51">
        <v>1.0923859165099401</v>
      </c>
      <c r="G30" s="52">
        <v>1.03135463902464</v>
      </c>
      <c r="H30" s="50">
        <v>1.0057939044402</v>
      </c>
      <c r="I30" s="51">
        <v>1.0693608545958699</v>
      </c>
      <c r="J30" s="53">
        <v>1.12613219788982</v>
      </c>
    </row>
    <row r="31" spans="2:10" x14ac:dyDescent="0.3">
      <c r="B31" s="100"/>
      <c r="C31" s="119"/>
      <c r="D31" s="18" t="s">
        <v>10</v>
      </c>
      <c r="E31" s="50">
        <v>1.1448050277713899</v>
      </c>
      <c r="F31" s="51">
        <v>1.1015342584794401</v>
      </c>
      <c r="G31" s="52">
        <v>1.0467269352442501</v>
      </c>
      <c r="H31" s="50">
        <v>1.00484745379645</v>
      </c>
      <c r="I31" s="51">
        <v>1.06720678932235</v>
      </c>
      <c r="J31" s="53">
        <v>1.12027346650811</v>
      </c>
    </row>
    <row r="32" spans="2:10" x14ac:dyDescent="0.3">
      <c r="B32" s="100"/>
      <c r="C32" s="119"/>
      <c r="D32" s="18" t="s">
        <v>11</v>
      </c>
      <c r="E32" s="50">
        <v>1.14575039174726</v>
      </c>
      <c r="F32" s="51">
        <v>1.1109677790760499</v>
      </c>
      <c r="G32" s="52">
        <v>1.06254998733795</v>
      </c>
      <c r="H32" s="50">
        <v>1.00394742180436</v>
      </c>
      <c r="I32" s="51">
        <v>1.06512478910444</v>
      </c>
      <c r="J32" s="53">
        <v>1.1144031274252799</v>
      </c>
    </row>
    <row r="33" spans="2:10" x14ac:dyDescent="0.3">
      <c r="B33" s="100"/>
      <c r="C33" s="119"/>
      <c r="D33" s="18" t="s">
        <v>12</v>
      </c>
      <c r="E33" s="50">
        <v>1.14617854652402</v>
      </c>
      <c r="F33" s="51">
        <v>1.1212821229991801</v>
      </c>
      <c r="G33" s="52">
        <v>1.07970001591288</v>
      </c>
      <c r="H33" s="50">
        <v>1.00298698835365</v>
      </c>
      <c r="I33" s="51">
        <v>1.06302580780875</v>
      </c>
      <c r="J33" s="53">
        <v>1.1082492969503599</v>
      </c>
    </row>
    <row r="34" spans="2:10" x14ac:dyDescent="0.3">
      <c r="B34" s="100"/>
      <c r="C34" s="119"/>
      <c r="D34" s="18" t="s">
        <v>13</v>
      </c>
      <c r="E34" s="50">
        <v>1.14509244468714</v>
      </c>
      <c r="F34" s="51">
        <v>1.13203561780749</v>
      </c>
      <c r="G34" s="52">
        <v>1.0981262969733701</v>
      </c>
      <c r="H34" s="50">
        <v>1.00053616098007</v>
      </c>
      <c r="I34" s="51">
        <v>1.0614567635871399</v>
      </c>
      <c r="J34" s="53">
        <v>1.1022807391793701</v>
      </c>
    </row>
    <row r="35" spans="2:10" x14ac:dyDescent="0.3">
      <c r="B35" s="100"/>
      <c r="C35" s="119"/>
      <c r="D35" s="18" t="s">
        <v>14</v>
      </c>
      <c r="E35" s="50">
        <v>1.14075989297473</v>
      </c>
      <c r="F35" s="51">
        <v>1.14270402646823</v>
      </c>
      <c r="G35" s="52">
        <v>1.1173698944969099</v>
      </c>
      <c r="H35" s="50">
        <v>1.00460554454631</v>
      </c>
      <c r="I35" s="51">
        <v>1.06073360054592</v>
      </c>
      <c r="J35" s="53">
        <v>1.09668322482724</v>
      </c>
    </row>
    <row r="36" spans="2:10" x14ac:dyDescent="0.3">
      <c r="B36" s="100"/>
      <c r="C36" s="119"/>
      <c r="D36" s="18" t="s">
        <v>15</v>
      </c>
      <c r="E36" s="50">
        <v>1.1299459641592999</v>
      </c>
      <c r="F36" s="51">
        <v>1.1541323815509199</v>
      </c>
      <c r="G36" s="52">
        <v>1.13841687198144</v>
      </c>
      <c r="H36" s="50">
        <v>1.0133972103652999</v>
      </c>
      <c r="I36" s="51">
        <v>1.06088843223452</v>
      </c>
      <c r="J36" s="53">
        <v>1.0910261746663199</v>
      </c>
    </row>
    <row r="37" spans="2:10" ht="15" thickBot="1" x14ac:dyDescent="0.35">
      <c r="B37" s="100"/>
      <c r="C37" s="119"/>
      <c r="D37" s="21" t="s">
        <v>5</v>
      </c>
      <c r="E37" s="54">
        <v>1.10080171923128</v>
      </c>
      <c r="F37" s="55">
        <v>1.1655212036920499</v>
      </c>
      <c r="G37" s="56">
        <v>1.15990054089368</v>
      </c>
      <c r="H37" s="54">
        <v>1.0316232980459701</v>
      </c>
      <c r="I37" s="55">
        <v>1.0631655054220901</v>
      </c>
      <c r="J37" s="57">
        <v>1.08563229296501</v>
      </c>
    </row>
    <row r="38" spans="2:10" x14ac:dyDescent="0.3">
      <c r="B38" s="99" t="s">
        <v>33</v>
      </c>
      <c r="C38" s="118" t="s">
        <v>23</v>
      </c>
      <c r="D38" s="19" t="s">
        <v>6</v>
      </c>
      <c r="E38" s="46">
        <v>1.1023730712183</v>
      </c>
      <c r="F38" s="47">
        <v>1.0832743978530399</v>
      </c>
      <c r="G38" s="48">
        <v>1.0427097420289999</v>
      </c>
      <c r="H38" s="46">
        <v>1.05237557902029</v>
      </c>
      <c r="I38" s="47">
        <v>1.04112664723566</v>
      </c>
      <c r="J38" s="49">
        <v>1.01513193791536</v>
      </c>
    </row>
    <row r="39" spans="2:10" x14ac:dyDescent="0.3">
      <c r="B39" s="100"/>
      <c r="C39" s="119"/>
      <c r="D39" s="18" t="s">
        <v>7</v>
      </c>
      <c r="E39" s="50">
        <v>1.31697678836118</v>
      </c>
      <c r="F39" s="51">
        <v>1.2949777267346201</v>
      </c>
      <c r="G39" s="52">
        <v>1.1727364977629</v>
      </c>
      <c r="H39" s="50">
        <v>1.1813668657991101</v>
      </c>
      <c r="I39" s="51">
        <v>1.16725479744091</v>
      </c>
      <c r="J39" s="53">
        <v>1.07159516525195</v>
      </c>
    </row>
    <row r="40" spans="2:10" x14ac:dyDescent="0.3">
      <c r="B40" s="100"/>
      <c r="C40" s="119"/>
      <c r="D40" s="18" t="s">
        <v>8</v>
      </c>
      <c r="E40" s="50">
        <v>1.32082764661191</v>
      </c>
      <c r="F40" s="51">
        <v>1.30667329332677</v>
      </c>
      <c r="G40" s="52">
        <v>1.19094667452243</v>
      </c>
      <c r="H40" s="50">
        <v>1.1820579024370499</v>
      </c>
      <c r="I40" s="51">
        <v>1.17201243451342</v>
      </c>
      <c r="J40" s="53">
        <v>1.08051824428016</v>
      </c>
    </row>
    <row r="41" spans="2:10" x14ac:dyDescent="0.3">
      <c r="B41" s="100"/>
      <c r="C41" s="119"/>
      <c r="D41" s="18" t="s">
        <v>9</v>
      </c>
      <c r="E41" s="50">
        <v>1.3245774028237101</v>
      </c>
      <c r="F41" s="51">
        <v>1.3176281422812</v>
      </c>
      <c r="G41" s="52">
        <v>1.20805143582673</v>
      </c>
      <c r="H41" s="50">
        <v>1.18280038120566</v>
      </c>
      <c r="I41" s="51">
        <v>1.1764341362216</v>
      </c>
      <c r="J41" s="53">
        <v>1.08863900516073</v>
      </c>
    </row>
    <row r="42" spans="2:10" x14ac:dyDescent="0.3">
      <c r="B42" s="100"/>
      <c r="C42" s="119"/>
      <c r="D42" s="18" t="s">
        <v>10</v>
      </c>
      <c r="E42" s="50">
        <v>1.3277884744050099</v>
      </c>
      <c r="F42" s="51">
        <v>1.3280461762097</v>
      </c>
      <c r="G42" s="52">
        <v>1.22448176437991</v>
      </c>
      <c r="H42" s="50">
        <v>1.18350092682869</v>
      </c>
      <c r="I42" s="51">
        <v>1.1804977430775301</v>
      </c>
      <c r="J42" s="53">
        <v>1.09626251483336</v>
      </c>
    </row>
    <row r="43" spans="2:10" x14ac:dyDescent="0.3">
      <c r="B43" s="100"/>
      <c r="C43" s="119"/>
      <c r="D43" s="18" t="s">
        <v>11</v>
      </c>
      <c r="E43" s="50">
        <v>1.33055383220734</v>
      </c>
      <c r="F43" s="51">
        <v>1.3386267303407999</v>
      </c>
      <c r="G43" s="52">
        <v>1.24124333981003</v>
      </c>
      <c r="H43" s="50">
        <v>1.1841965337131499</v>
      </c>
      <c r="I43" s="51">
        <v>1.1844244954994001</v>
      </c>
      <c r="J43" s="53">
        <v>1.10380438814354</v>
      </c>
    </row>
    <row r="44" spans="2:10" x14ac:dyDescent="0.3">
      <c r="B44" s="100"/>
      <c r="C44" s="119"/>
      <c r="D44" s="18" t="s">
        <v>12</v>
      </c>
      <c r="E44" s="50">
        <v>1.33283983294769</v>
      </c>
      <c r="F44" s="51">
        <v>1.3499745724305301</v>
      </c>
      <c r="G44" s="52">
        <v>1.25921447081381</v>
      </c>
      <c r="H44" s="50">
        <v>1.1848456758988599</v>
      </c>
      <c r="I44" s="51">
        <v>1.18837672580031</v>
      </c>
      <c r="J44" s="53">
        <v>1.1116000923798</v>
      </c>
    </row>
    <row r="45" spans="2:10" x14ac:dyDescent="0.3">
      <c r="B45" s="100"/>
      <c r="C45" s="119"/>
      <c r="D45" s="18" t="s">
        <v>13</v>
      </c>
      <c r="E45" s="50">
        <v>1.3338204032184</v>
      </c>
      <c r="F45" s="51">
        <v>1.3618182997817201</v>
      </c>
      <c r="G45" s="52">
        <v>1.27849816163243</v>
      </c>
      <c r="H45" s="50">
        <v>1.1841346290103201</v>
      </c>
      <c r="I45" s="51">
        <v>1.19199859967612</v>
      </c>
      <c r="J45" s="53">
        <v>1.11949417588261</v>
      </c>
    </row>
    <row r="46" spans="2:10" x14ac:dyDescent="0.3">
      <c r="B46" s="100"/>
      <c r="C46" s="119"/>
      <c r="D46" s="18" t="s">
        <v>14</v>
      </c>
      <c r="E46" s="50">
        <v>1.33189882190461</v>
      </c>
      <c r="F46" s="51">
        <v>1.37383876805376</v>
      </c>
      <c r="G46" s="52">
        <v>1.2988932552571499</v>
      </c>
      <c r="H46" s="50">
        <v>1.1809383596632801</v>
      </c>
      <c r="I46" s="51">
        <v>1.1951304247585299</v>
      </c>
      <c r="J46" s="53">
        <v>1.12756442660228</v>
      </c>
    </row>
    <row r="47" spans="2:10" x14ac:dyDescent="0.3">
      <c r="B47" s="100"/>
      <c r="C47" s="119"/>
      <c r="D47" s="18" t="s">
        <v>15</v>
      </c>
      <c r="E47" s="50">
        <v>1.32397785469838</v>
      </c>
      <c r="F47" s="51">
        <v>1.3868529085588299</v>
      </c>
      <c r="G47" s="52">
        <v>1.32152365309648</v>
      </c>
      <c r="H47" s="50">
        <v>1.1743181530056499</v>
      </c>
      <c r="I47" s="51">
        <v>1.1977978450695099</v>
      </c>
      <c r="J47" s="53">
        <v>1.1363400347297301</v>
      </c>
    </row>
    <row r="48" spans="2:10" ht="15" thickBot="1" x14ac:dyDescent="0.35">
      <c r="B48" s="101"/>
      <c r="C48" s="120"/>
      <c r="D48" s="20" t="s">
        <v>5</v>
      </c>
      <c r="E48" s="58">
        <v>1.2986896536975401</v>
      </c>
      <c r="F48" s="59">
        <v>1.4005951783886299</v>
      </c>
      <c r="G48" s="60">
        <v>1.3462974650181201</v>
      </c>
      <c r="H48" s="58">
        <v>1.1585735418843299</v>
      </c>
      <c r="I48" s="59">
        <v>1.19907404749211</v>
      </c>
      <c r="J48" s="61">
        <v>1.1463066139004101</v>
      </c>
    </row>
  </sheetData>
  <mergeCells count="13">
    <mergeCell ref="B3:B4"/>
    <mergeCell ref="C3:C4"/>
    <mergeCell ref="D3:D4"/>
    <mergeCell ref="E3:G3"/>
    <mergeCell ref="H3:J3"/>
    <mergeCell ref="B38:B48"/>
    <mergeCell ref="C38:C48"/>
    <mergeCell ref="B5:B15"/>
    <mergeCell ref="C5:C15"/>
    <mergeCell ref="B16:B26"/>
    <mergeCell ref="C16:C26"/>
    <mergeCell ref="B27:B37"/>
    <mergeCell ref="C27:C37"/>
  </mergeCells>
  <conditionalFormatting sqref="E5:E15">
    <cfRule type="cellIs" dxfId="23" priority="24" operator="greaterThan">
      <formula>1.2</formula>
    </cfRule>
  </conditionalFormatting>
  <conditionalFormatting sqref="E16:E26">
    <cfRule type="cellIs" dxfId="22" priority="23" operator="greaterThan">
      <formula>1.2</formula>
    </cfRule>
  </conditionalFormatting>
  <conditionalFormatting sqref="E27:E37">
    <cfRule type="cellIs" dxfId="21" priority="22" operator="greaterThan">
      <formula>1.2</formula>
    </cfRule>
  </conditionalFormatting>
  <conditionalFormatting sqref="E38:E48">
    <cfRule type="cellIs" dxfId="20" priority="21" operator="greaterThan">
      <formula>1.2</formula>
    </cfRule>
  </conditionalFormatting>
  <conditionalFormatting sqref="H5:H15">
    <cfRule type="cellIs" dxfId="19" priority="20" operator="greaterThan">
      <formula>1.2</formula>
    </cfRule>
  </conditionalFormatting>
  <conditionalFormatting sqref="H16:H26">
    <cfRule type="cellIs" dxfId="18" priority="19" operator="greaterThan">
      <formula>1.2</formula>
    </cfRule>
  </conditionalFormatting>
  <conditionalFormatting sqref="H27:H37">
    <cfRule type="cellIs" dxfId="17" priority="18" operator="greaterThan">
      <formula>1.2</formula>
    </cfRule>
  </conditionalFormatting>
  <conditionalFormatting sqref="H38:H48">
    <cfRule type="cellIs" dxfId="16" priority="17" operator="greaterThan">
      <formula>1.2</formula>
    </cfRule>
  </conditionalFormatting>
  <conditionalFormatting sqref="F5:F15">
    <cfRule type="cellIs" dxfId="15" priority="16" operator="greaterThan">
      <formula>1.2</formula>
    </cfRule>
  </conditionalFormatting>
  <conditionalFormatting sqref="F16:F26">
    <cfRule type="cellIs" dxfId="14" priority="15" operator="greaterThan">
      <formula>1.2</formula>
    </cfRule>
  </conditionalFormatting>
  <conditionalFormatting sqref="F27:F37">
    <cfRule type="cellIs" dxfId="13" priority="14" operator="greaterThan">
      <formula>1.2</formula>
    </cfRule>
  </conditionalFormatting>
  <conditionalFormatting sqref="F38:F48">
    <cfRule type="cellIs" dxfId="12" priority="13" operator="greaterThan">
      <formula>1.2</formula>
    </cfRule>
  </conditionalFormatting>
  <conditionalFormatting sqref="I5:I15">
    <cfRule type="cellIs" dxfId="11" priority="12" operator="greaterThan">
      <formula>1.2</formula>
    </cfRule>
  </conditionalFormatting>
  <conditionalFormatting sqref="I16">
    <cfRule type="cellIs" dxfId="10" priority="11" operator="greaterThan">
      <formula>1.2</formula>
    </cfRule>
  </conditionalFormatting>
  <conditionalFormatting sqref="I27">
    <cfRule type="cellIs" dxfId="9" priority="10" operator="greaterThan">
      <formula>1.2</formula>
    </cfRule>
  </conditionalFormatting>
  <conditionalFormatting sqref="I38">
    <cfRule type="cellIs" dxfId="8" priority="9" operator="greaterThan">
      <formula>1.2</formula>
    </cfRule>
  </conditionalFormatting>
  <conditionalFormatting sqref="G5:G15">
    <cfRule type="cellIs" dxfId="7" priority="8" operator="greaterThan">
      <formula>1.2</formula>
    </cfRule>
  </conditionalFormatting>
  <conditionalFormatting sqref="G16:G26">
    <cfRule type="cellIs" dxfId="6" priority="7" operator="greaterThan">
      <formula>1.2</formula>
    </cfRule>
  </conditionalFormatting>
  <conditionalFormatting sqref="G27:G37">
    <cfRule type="cellIs" dxfId="5" priority="6" operator="greaterThan">
      <formula>1.2</formula>
    </cfRule>
  </conditionalFormatting>
  <conditionalFormatting sqref="G38:G48">
    <cfRule type="cellIs" dxfId="4" priority="5" operator="greaterThan">
      <formula>1.2</formula>
    </cfRule>
  </conditionalFormatting>
  <conditionalFormatting sqref="J5:J15">
    <cfRule type="cellIs" dxfId="3" priority="4" operator="greaterThan">
      <formula>1.2</formula>
    </cfRule>
  </conditionalFormatting>
  <conditionalFormatting sqref="J16:J26">
    <cfRule type="cellIs" dxfId="2" priority="3" operator="greaterThan">
      <formula>1.2</formula>
    </cfRule>
  </conditionalFormatting>
  <conditionalFormatting sqref="J27:J37">
    <cfRule type="cellIs" dxfId="1" priority="2" operator="greaterThan">
      <formula>1.2</formula>
    </cfRule>
  </conditionalFormatting>
  <conditionalFormatting sqref="J38:J48">
    <cfRule type="cellIs" dxfId="0" priority="1" operator="greaterThan">
      <formula>1.2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48"/>
  <sheetViews>
    <sheetView zoomScale="55" zoomScaleNormal="55" workbookViewId="0">
      <selection activeCell="K60" sqref="K60"/>
    </sheetView>
  </sheetViews>
  <sheetFormatPr baseColWidth="10" defaultRowHeight="14.4" x14ac:dyDescent="0.3"/>
  <cols>
    <col min="1" max="1" width="10.5546875" customWidth="1"/>
    <col min="2" max="2" width="13.77734375" customWidth="1"/>
    <col min="3" max="3" width="10.21875" customWidth="1"/>
    <col min="5" max="10" width="22.77734375" customWidth="1"/>
  </cols>
  <sheetData>
    <row r="3" spans="2:11" x14ac:dyDescent="0.3">
      <c r="B3" s="111" t="s">
        <v>2</v>
      </c>
      <c r="C3" s="111" t="s">
        <v>18</v>
      </c>
      <c r="D3" s="111" t="s">
        <v>4</v>
      </c>
      <c r="E3" s="114" t="s">
        <v>3</v>
      </c>
      <c r="F3" s="114"/>
      <c r="G3" s="114"/>
      <c r="H3" s="114" t="s">
        <v>16</v>
      </c>
      <c r="I3" s="114"/>
      <c r="J3" s="114"/>
    </row>
    <row r="4" spans="2:11" ht="15" thickBot="1" x14ac:dyDescent="0.35">
      <c r="B4" s="121"/>
      <c r="C4" s="121"/>
      <c r="D4" s="111"/>
      <c r="E4" s="28" t="s">
        <v>30</v>
      </c>
      <c r="F4" s="28" t="s">
        <v>31</v>
      </c>
      <c r="G4" s="28" t="s">
        <v>32</v>
      </c>
      <c r="H4" s="28" t="s">
        <v>30</v>
      </c>
      <c r="I4" s="28" t="s">
        <v>31</v>
      </c>
      <c r="J4" s="28" t="s">
        <v>32</v>
      </c>
    </row>
    <row r="5" spans="2:11" x14ac:dyDescent="0.3">
      <c r="B5" s="99" t="s">
        <v>19</v>
      </c>
      <c r="C5" s="118" t="s">
        <v>20</v>
      </c>
      <c r="D5" s="22" t="s">
        <v>6</v>
      </c>
      <c r="E5" s="30">
        <v>3.7094975606526798E-4</v>
      </c>
      <c r="F5" s="31">
        <v>3.4891847500224401E-4</v>
      </c>
      <c r="G5" s="32">
        <v>3.2035881177986899E-4</v>
      </c>
      <c r="H5" s="30">
        <v>2.8303505338285299E-4</v>
      </c>
      <c r="I5" s="31">
        <v>2.48049617596731E-4</v>
      </c>
      <c r="J5" s="33">
        <v>2.22291767087146E-4</v>
      </c>
    </row>
    <row r="6" spans="2:11" x14ac:dyDescent="0.3">
      <c r="B6" s="100"/>
      <c r="C6" s="119"/>
      <c r="D6" s="18" t="s">
        <v>7</v>
      </c>
      <c r="E6" s="34">
        <v>3.2206346319462798E-4</v>
      </c>
      <c r="F6" s="35">
        <v>2.9729719020979E-4</v>
      </c>
      <c r="G6" s="36">
        <v>2.8931633828743698E-4</v>
      </c>
      <c r="H6" s="34">
        <v>2.8171356669469898E-4</v>
      </c>
      <c r="I6" s="35">
        <v>2.5718220880069403E-4</v>
      </c>
      <c r="J6" s="37">
        <v>2.38234917259921E-4</v>
      </c>
      <c r="K6" s="29"/>
    </row>
    <row r="7" spans="2:11" x14ac:dyDescent="0.3">
      <c r="B7" s="100"/>
      <c r="C7" s="119"/>
      <c r="D7" s="18" t="s">
        <v>8</v>
      </c>
      <c r="E7" s="34">
        <v>4.6054996644220999E-4</v>
      </c>
      <c r="F7" s="35">
        <v>4.40776416771831E-4</v>
      </c>
      <c r="G7" s="36">
        <v>3.95079118517071E-4</v>
      </c>
      <c r="H7" s="34">
        <v>4.2891518226022399E-4</v>
      </c>
      <c r="I7" s="35">
        <v>4.1039639312808298E-4</v>
      </c>
      <c r="J7" s="37">
        <v>3.8964639712814699E-4</v>
      </c>
    </row>
    <row r="8" spans="2:11" x14ac:dyDescent="0.3">
      <c r="B8" s="100"/>
      <c r="C8" s="119"/>
      <c r="D8" s="18" t="s">
        <v>9</v>
      </c>
      <c r="E8" s="34">
        <v>5.8477836199833896E-4</v>
      </c>
      <c r="F8" s="35">
        <v>5.6839478780654695E-4</v>
      </c>
      <c r="G8" s="36">
        <v>5.3724172119639995E-4</v>
      </c>
      <c r="H8" s="34">
        <v>5.6418377691208903E-4</v>
      </c>
      <c r="I8" s="35">
        <v>5.5298515768966805E-4</v>
      </c>
      <c r="J8" s="37">
        <v>5.3299634216003304E-4</v>
      </c>
    </row>
    <row r="9" spans="2:11" x14ac:dyDescent="0.3">
      <c r="B9" s="100"/>
      <c r="C9" s="119"/>
      <c r="D9" s="18" t="s">
        <v>10</v>
      </c>
      <c r="E9" s="34">
        <v>6.88772738721801E-4</v>
      </c>
      <c r="F9" s="35">
        <v>6.7561736359901504E-4</v>
      </c>
      <c r="G9" s="36">
        <v>6.5773942106748899E-4</v>
      </c>
      <c r="H9" s="34">
        <v>6.7843552368281902E-4</v>
      </c>
      <c r="I9" s="35">
        <v>6.7413679905960503E-4</v>
      </c>
      <c r="J9" s="37">
        <v>6.5498783748358801E-4</v>
      </c>
    </row>
    <row r="10" spans="2:11" x14ac:dyDescent="0.3">
      <c r="B10" s="100"/>
      <c r="C10" s="119"/>
      <c r="D10" s="18" t="s">
        <v>11</v>
      </c>
      <c r="E10" s="34">
        <v>7.7396605066589396E-4</v>
      </c>
      <c r="F10" s="35">
        <v>7.6340762765778601E-4</v>
      </c>
      <c r="G10" s="36">
        <v>7.5873346457583802E-4</v>
      </c>
      <c r="H10" s="34">
        <v>7.7401365229352805E-4</v>
      </c>
      <c r="I10" s="35">
        <v>7.7572539859524796E-4</v>
      </c>
      <c r="J10" s="37">
        <v>7.5799423287777295E-4</v>
      </c>
    </row>
    <row r="11" spans="2:11" x14ac:dyDescent="0.3">
      <c r="B11" s="100"/>
      <c r="C11" s="119"/>
      <c r="D11" s="18" t="s">
        <v>12</v>
      </c>
      <c r="E11" s="34">
        <v>8.3988374502206404E-4</v>
      </c>
      <c r="F11" s="35">
        <v>8.2566347019302495E-4</v>
      </c>
      <c r="G11" s="36">
        <v>8.3877218430680701E-4</v>
      </c>
      <c r="H11" s="34">
        <v>8.5208622337824998E-4</v>
      </c>
      <c r="I11" s="35">
        <v>8.4698001013086598E-4</v>
      </c>
      <c r="J11" s="37">
        <v>8.3814112846233803E-4</v>
      </c>
    </row>
    <row r="12" spans="2:11" x14ac:dyDescent="0.3">
      <c r="B12" s="100"/>
      <c r="C12" s="119"/>
      <c r="D12" s="18" t="s">
        <v>13</v>
      </c>
      <c r="E12" s="34">
        <v>8.85415655378501E-4</v>
      </c>
      <c r="F12" s="35">
        <v>8.6778648908320899E-4</v>
      </c>
      <c r="G12" s="36">
        <v>9.0123156549779101E-4</v>
      </c>
      <c r="H12" s="34">
        <v>9.14111773850167E-4</v>
      </c>
      <c r="I12" s="35">
        <v>9.0053423057188497E-4</v>
      </c>
      <c r="J12" s="37">
        <v>9.0204322797912803E-4</v>
      </c>
    </row>
    <row r="13" spans="2:11" x14ac:dyDescent="0.3">
      <c r="B13" s="100"/>
      <c r="C13" s="119"/>
      <c r="D13" s="18" t="s">
        <v>14</v>
      </c>
      <c r="E13" s="34">
        <v>9.1269526244003199E-4</v>
      </c>
      <c r="F13" s="35">
        <v>8.9692079525168097E-4</v>
      </c>
      <c r="G13" s="36">
        <v>9.4873421815185402E-4</v>
      </c>
      <c r="H13" s="34">
        <v>9.5894425359434299E-4</v>
      </c>
      <c r="I13" s="35">
        <v>9.4919027741321603E-4</v>
      </c>
      <c r="J13" s="37">
        <v>9.5542481481134098E-4</v>
      </c>
    </row>
    <row r="14" spans="2:11" x14ac:dyDescent="0.3">
      <c r="B14" s="100"/>
      <c r="C14" s="119"/>
      <c r="D14" s="18" t="s">
        <v>15</v>
      </c>
      <c r="E14" s="34">
        <v>9.1194493971074805E-4</v>
      </c>
      <c r="F14" s="35">
        <v>9.0266246027092005E-4</v>
      </c>
      <c r="G14" s="36">
        <v>9.7242484278345202E-4</v>
      </c>
      <c r="H14" s="34">
        <v>9.7848734947703206E-4</v>
      </c>
      <c r="I14" s="35">
        <v>9.7544487692011802E-4</v>
      </c>
      <c r="J14" s="37">
        <v>9.8639713299354908E-4</v>
      </c>
    </row>
    <row r="15" spans="2:11" ht="15" thickBot="1" x14ac:dyDescent="0.35">
      <c r="B15" s="100"/>
      <c r="C15" s="119"/>
      <c r="D15" s="21" t="s">
        <v>5</v>
      </c>
      <c r="E15" s="38">
        <v>7.39180250818525E-4</v>
      </c>
      <c r="F15" s="39">
        <v>7.6444063787450595E-4</v>
      </c>
      <c r="G15" s="40">
        <v>8.2170523625523602E-4</v>
      </c>
      <c r="H15" s="38">
        <v>8.1211308096613196E-4</v>
      </c>
      <c r="I15" s="39">
        <v>8.2700576676696103E-4</v>
      </c>
      <c r="J15" s="41">
        <v>8.3869050415027199E-4</v>
      </c>
    </row>
    <row r="16" spans="2:11" x14ac:dyDescent="0.3">
      <c r="B16" s="99" t="s">
        <v>19</v>
      </c>
      <c r="C16" s="118" t="s">
        <v>21</v>
      </c>
      <c r="D16" s="19" t="s">
        <v>6</v>
      </c>
      <c r="E16" s="30">
        <v>3.6072554961746802E-4</v>
      </c>
      <c r="F16" s="31">
        <v>3.5713137482635198E-4</v>
      </c>
      <c r="G16" s="32">
        <v>3.3839945795123598E-4</v>
      </c>
      <c r="H16" s="30">
        <v>2.73526436639881E-4</v>
      </c>
      <c r="I16" s="31">
        <v>2.5590088743604797E-4</v>
      </c>
      <c r="J16" s="33">
        <v>2.43329727959041E-4</v>
      </c>
    </row>
    <row r="17" spans="2:10" x14ac:dyDescent="0.3">
      <c r="B17" s="100"/>
      <c r="C17" s="119"/>
      <c r="D17" s="18" t="s">
        <v>7</v>
      </c>
      <c r="E17" s="34">
        <v>3.1651976805549699E-4</v>
      </c>
      <c r="F17" s="35">
        <v>3.1034715957626002E-4</v>
      </c>
      <c r="G17" s="36">
        <v>3.1528434873341301E-4</v>
      </c>
      <c r="H17" s="34">
        <v>2.8288788624289499E-4</v>
      </c>
      <c r="I17" s="35">
        <v>2.6858445681592698E-4</v>
      </c>
      <c r="J17" s="37">
        <v>2.6919862808300499E-4</v>
      </c>
    </row>
    <row r="18" spans="2:10" x14ac:dyDescent="0.3">
      <c r="B18" s="100"/>
      <c r="C18" s="119"/>
      <c r="D18" s="18" t="s">
        <v>8</v>
      </c>
      <c r="E18" s="34">
        <v>4.5434591555211398E-4</v>
      </c>
      <c r="F18" s="35">
        <v>4.4169600823424997E-4</v>
      </c>
      <c r="G18" s="36">
        <v>4.28226960199382E-4</v>
      </c>
      <c r="H18" s="34">
        <v>4.3528906773580199E-4</v>
      </c>
      <c r="I18" s="35">
        <v>4.2149850460428899E-4</v>
      </c>
      <c r="J18" s="37">
        <v>4.1567430115536301E-4</v>
      </c>
    </row>
    <row r="19" spans="2:10" x14ac:dyDescent="0.3">
      <c r="B19" s="100"/>
      <c r="C19" s="119"/>
      <c r="D19" s="18" t="s">
        <v>9</v>
      </c>
      <c r="E19" s="34">
        <v>5.7702669809353503E-4</v>
      </c>
      <c r="F19" s="35">
        <v>5.5499451901086896E-4</v>
      </c>
      <c r="G19" s="36">
        <v>5.2482693797157795E-4</v>
      </c>
      <c r="H19" s="34">
        <v>5.7516259966166098E-4</v>
      </c>
      <c r="I19" s="35">
        <v>5.6266303910433503E-4</v>
      </c>
      <c r="J19" s="37">
        <v>5.5025154911549404E-4</v>
      </c>
    </row>
    <row r="20" spans="2:10" x14ac:dyDescent="0.3">
      <c r="B20" s="100"/>
      <c r="C20" s="119"/>
      <c r="D20" s="18" t="s">
        <v>10</v>
      </c>
      <c r="E20" s="34">
        <v>6.7940643244466701E-4</v>
      </c>
      <c r="F20" s="35">
        <v>6.49653418379528E-4</v>
      </c>
      <c r="G20" s="36">
        <v>6.0484670643128405E-4</v>
      </c>
      <c r="H20" s="34">
        <v>6.9349680932493003E-4</v>
      </c>
      <c r="I20" s="35">
        <v>6.8244335583959404E-4</v>
      </c>
      <c r="J20" s="37">
        <v>6.6405196634488402E-4</v>
      </c>
    </row>
    <row r="21" spans="2:10" x14ac:dyDescent="0.3">
      <c r="B21" s="100"/>
      <c r="C21" s="119"/>
      <c r="D21" s="18" t="s">
        <v>11</v>
      </c>
      <c r="E21" s="34">
        <v>7.6312814182369197E-4</v>
      </c>
      <c r="F21" s="35">
        <v>7.26068605244553E-4</v>
      </c>
      <c r="G21" s="36">
        <v>6.7379552401995301E-4</v>
      </c>
      <c r="H21" s="34">
        <v>7.9283686428242405E-4</v>
      </c>
      <c r="I21" s="35">
        <v>7.8233371380805202E-4</v>
      </c>
      <c r="J21" s="37">
        <v>7.5849664042792499E-4</v>
      </c>
    </row>
    <row r="22" spans="2:10" x14ac:dyDescent="0.3">
      <c r="B22" s="100"/>
      <c r="C22" s="119"/>
      <c r="D22" s="18" t="s">
        <v>12</v>
      </c>
      <c r="E22" s="34">
        <v>8.2852826521487299E-4</v>
      </c>
      <c r="F22" s="35">
        <v>7.7509309326089003E-4</v>
      </c>
      <c r="G22" s="36">
        <v>7.4567754579220596E-4</v>
      </c>
      <c r="H22" s="34">
        <v>8.74352536936099E-4</v>
      </c>
      <c r="I22" s="35">
        <v>8.4778598860670799E-4</v>
      </c>
      <c r="J22" s="37">
        <v>8.1673204890456597E-4</v>
      </c>
    </row>
    <row r="23" spans="2:10" x14ac:dyDescent="0.3">
      <c r="B23" s="100"/>
      <c r="C23" s="119"/>
      <c r="D23" s="18" t="s">
        <v>13</v>
      </c>
      <c r="E23" s="34">
        <v>8.7638316013417296E-4</v>
      </c>
      <c r="F23" s="35">
        <v>8.03207013964658E-4</v>
      </c>
      <c r="G23" s="36">
        <v>8.0194007114043199E-4</v>
      </c>
      <c r="H23" s="34">
        <v>9.39995931566869E-4</v>
      </c>
      <c r="I23" s="35">
        <v>8.9525263398075995E-4</v>
      </c>
      <c r="J23" s="37">
        <v>8.5777958299234301E-4</v>
      </c>
    </row>
    <row r="24" spans="2:10" x14ac:dyDescent="0.3">
      <c r="B24" s="100"/>
      <c r="C24" s="119"/>
      <c r="D24" s="18" t="s">
        <v>14</v>
      </c>
      <c r="E24" s="34">
        <v>9.0453619952106097E-4</v>
      </c>
      <c r="F24" s="35">
        <v>8.2139317353150396E-4</v>
      </c>
      <c r="G24" s="36">
        <v>8.4532940391292505E-4</v>
      </c>
      <c r="H24" s="34">
        <v>9.8888167854625309E-4</v>
      </c>
      <c r="I24" s="35">
        <v>9.4098174318284602E-4</v>
      </c>
      <c r="J24" s="37">
        <v>9.0040037011278004E-4</v>
      </c>
    </row>
    <row r="25" spans="2:10" x14ac:dyDescent="0.3">
      <c r="B25" s="100"/>
      <c r="C25" s="119"/>
      <c r="D25" s="18" t="s">
        <v>15</v>
      </c>
      <c r="E25" s="34">
        <v>9.0586389841409499E-4</v>
      </c>
      <c r="F25" s="35">
        <v>8.1912055875471503E-4</v>
      </c>
      <c r="G25" s="36">
        <v>8.6836155500499498E-4</v>
      </c>
      <c r="H25" s="34">
        <v>1.0131491008380899E-3</v>
      </c>
      <c r="I25" s="35">
        <v>9.6493024573369795E-4</v>
      </c>
      <c r="J25" s="37">
        <v>9.2055185657962605E-4</v>
      </c>
    </row>
    <row r="26" spans="2:10" ht="15" thickBot="1" x14ac:dyDescent="0.35">
      <c r="B26" s="100"/>
      <c r="C26" s="119"/>
      <c r="D26" s="21" t="s">
        <v>5</v>
      </c>
      <c r="E26" s="38">
        <v>7.3447928812514496E-4</v>
      </c>
      <c r="F26" s="39">
        <v>7.0825963869582597E-4</v>
      </c>
      <c r="G26" s="40">
        <v>7.4177872723460198E-4</v>
      </c>
      <c r="H26" s="38">
        <v>8.4859448042749405E-4</v>
      </c>
      <c r="I26" s="39">
        <v>8.2114716445413395E-4</v>
      </c>
      <c r="J26" s="41">
        <v>7.7940498946278702E-4</v>
      </c>
    </row>
    <row r="27" spans="2:10" x14ac:dyDescent="0.3">
      <c r="B27" s="99" t="s">
        <v>19</v>
      </c>
      <c r="C27" s="118" t="s">
        <v>22</v>
      </c>
      <c r="D27" s="19" t="s">
        <v>6</v>
      </c>
      <c r="E27" s="30">
        <v>2.3112179620697799E-4</v>
      </c>
      <c r="F27" s="31">
        <v>4.2258061159154502E-4</v>
      </c>
      <c r="G27" s="32">
        <v>6.2502286922491105E-4</v>
      </c>
      <c r="H27" s="30">
        <v>1.6189315073755401E-4</v>
      </c>
      <c r="I27" s="31">
        <v>3.4625371760071901E-4</v>
      </c>
      <c r="J27" s="33">
        <v>5.3881830236663297E-4</v>
      </c>
    </row>
    <row r="28" spans="2:10" x14ac:dyDescent="0.3">
      <c r="B28" s="100"/>
      <c r="C28" s="119"/>
      <c r="D28" s="18" t="s">
        <v>7</v>
      </c>
      <c r="E28" s="34">
        <v>2.72216139213506E-4</v>
      </c>
      <c r="F28" s="35">
        <v>3.9831384449833998E-4</v>
      </c>
      <c r="G28" s="36">
        <v>6.0020387498859904E-4</v>
      </c>
      <c r="H28" s="34">
        <v>2.8806850486906002E-4</v>
      </c>
      <c r="I28" s="35">
        <v>3.9885022354100398E-4</v>
      </c>
      <c r="J28" s="37">
        <v>5.6040536704659205E-4</v>
      </c>
    </row>
    <row r="29" spans="2:10" x14ac:dyDescent="0.3">
      <c r="B29" s="100"/>
      <c r="C29" s="119"/>
      <c r="D29" s="18" t="s">
        <v>8</v>
      </c>
      <c r="E29" s="34">
        <v>4.04545003121249E-4</v>
      </c>
      <c r="F29" s="35">
        <v>5.1181920129710805E-4</v>
      </c>
      <c r="G29" s="36">
        <v>7.1697456325239101E-4</v>
      </c>
      <c r="H29" s="34">
        <v>4.2331183946565801E-4</v>
      </c>
      <c r="I29" s="35">
        <v>5.6325410877158799E-4</v>
      </c>
      <c r="J29" s="37">
        <v>7.3583119096251495E-4</v>
      </c>
    </row>
    <row r="30" spans="2:10" x14ac:dyDescent="0.3">
      <c r="B30" s="100"/>
      <c r="C30" s="119"/>
      <c r="D30" s="18" t="s">
        <v>9</v>
      </c>
      <c r="E30" s="34">
        <v>5.2746084868054305E-4</v>
      </c>
      <c r="F30" s="35">
        <v>6.1505724869407295E-4</v>
      </c>
      <c r="G30" s="36">
        <v>8.1282247349050705E-4</v>
      </c>
      <c r="H30" s="34">
        <v>5.4783483104154003E-4</v>
      </c>
      <c r="I30" s="35">
        <v>7.0786324786893196E-4</v>
      </c>
      <c r="J30" s="37">
        <v>8.8912532643959004E-4</v>
      </c>
    </row>
    <row r="31" spans="2:10" x14ac:dyDescent="0.3">
      <c r="B31" s="100"/>
      <c r="C31" s="119"/>
      <c r="D31" s="18" t="s">
        <v>10</v>
      </c>
      <c r="E31" s="34">
        <v>6.3076249635109303E-4</v>
      </c>
      <c r="F31" s="35">
        <v>7.3402656507011595E-4</v>
      </c>
      <c r="G31" s="36">
        <v>8.8497333578156699E-4</v>
      </c>
      <c r="H31" s="34">
        <v>6.5169744953751097E-4</v>
      </c>
      <c r="I31" s="35">
        <v>8.2563152877679498E-4</v>
      </c>
      <c r="J31" s="37">
        <v>1.0104070293470099E-3</v>
      </c>
    </row>
    <row r="32" spans="2:10" x14ac:dyDescent="0.3">
      <c r="B32" s="100"/>
      <c r="C32" s="119"/>
      <c r="D32" s="18" t="s">
        <v>11</v>
      </c>
      <c r="E32" s="34">
        <v>7.1596174111360298E-4</v>
      </c>
      <c r="F32" s="35">
        <v>8.3091603464959104E-4</v>
      </c>
      <c r="G32" s="36">
        <v>9.3370938285529295E-4</v>
      </c>
      <c r="H32" s="34">
        <v>7.3714041617737604E-4</v>
      </c>
      <c r="I32" s="35">
        <v>9.2008260293993096E-4</v>
      </c>
      <c r="J32" s="37">
        <v>1.10364630983959E-3</v>
      </c>
    </row>
    <row r="33" spans="2:10" x14ac:dyDescent="0.3">
      <c r="B33" s="100"/>
      <c r="C33" s="119"/>
      <c r="D33" s="18" t="s">
        <v>12</v>
      </c>
      <c r="E33" s="34">
        <v>7.8502186799425005E-4</v>
      </c>
      <c r="F33" s="35">
        <v>9.1080868231569996E-4</v>
      </c>
      <c r="G33" s="36">
        <v>9.6579348836180797E-4</v>
      </c>
      <c r="H33" s="34">
        <v>8.0655101190130597E-4</v>
      </c>
      <c r="I33" s="35">
        <v>9.9073482333601206E-4</v>
      </c>
      <c r="J33" s="37">
        <v>1.1676574589086E-3</v>
      </c>
    </row>
    <row r="34" spans="2:10" x14ac:dyDescent="0.3">
      <c r="B34" s="100"/>
      <c r="C34" s="119"/>
      <c r="D34" s="18" t="s">
        <v>13</v>
      </c>
      <c r="E34" s="34">
        <v>8.3789779317104197E-4</v>
      </c>
      <c r="F34" s="35">
        <v>9.7439253574426398E-4</v>
      </c>
      <c r="G34" s="36">
        <v>1.0324569463526401E-3</v>
      </c>
      <c r="H34" s="34">
        <v>8.6044496138753504E-4</v>
      </c>
      <c r="I34" s="35">
        <v>1.0436180678514101E-3</v>
      </c>
      <c r="J34" s="37">
        <v>1.20961300971416E-3</v>
      </c>
    </row>
    <row r="35" spans="2:10" x14ac:dyDescent="0.3">
      <c r="B35" s="100"/>
      <c r="C35" s="119"/>
      <c r="D35" s="18" t="s">
        <v>14</v>
      </c>
      <c r="E35" s="34">
        <v>8.7316280752995699E-4</v>
      </c>
      <c r="F35" s="35">
        <v>1.01780191720667E-3</v>
      </c>
      <c r="G35" s="36">
        <v>1.07802504992882E-3</v>
      </c>
      <c r="H35" s="34">
        <v>8.9697495289813999E-4</v>
      </c>
      <c r="I35" s="35">
        <v>1.0798570851283801E-3</v>
      </c>
      <c r="J35" s="37">
        <v>1.2310530617680401E-3</v>
      </c>
    </row>
    <row r="36" spans="2:10" x14ac:dyDescent="0.3">
      <c r="B36" s="100"/>
      <c r="C36" s="119"/>
      <c r="D36" s="18" t="s">
        <v>15</v>
      </c>
      <c r="E36" s="34">
        <v>8.8283948506271098E-4</v>
      </c>
      <c r="F36" s="35">
        <v>1.0308858376536401E-3</v>
      </c>
      <c r="G36" s="36">
        <v>1.0908509515667E-3</v>
      </c>
      <c r="H36" s="34">
        <v>9.0678503070460695E-4</v>
      </c>
      <c r="I36" s="35">
        <v>1.0858333835656101E-3</v>
      </c>
      <c r="J36" s="37">
        <v>1.21361599958783E-3</v>
      </c>
    </row>
    <row r="37" spans="2:10" ht="15" thickBot="1" x14ac:dyDescent="0.35">
      <c r="B37" s="100"/>
      <c r="C37" s="119"/>
      <c r="D37" s="21" t="s">
        <v>5</v>
      </c>
      <c r="E37" s="38">
        <v>7.1350332723373695E-4</v>
      </c>
      <c r="F37" s="39">
        <v>8.2917058985094701E-4</v>
      </c>
      <c r="G37" s="40">
        <v>8.6942316512057197E-4</v>
      </c>
      <c r="H37" s="38">
        <v>7.8037487294507605E-4</v>
      </c>
      <c r="I37" s="39">
        <v>8.7639232417232801E-4</v>
      </c>
      <c r="J37" s="41">
        <v>9.4808030541592998E-4</v>
      </c>
    </row>
    <row r="38" spans="2:10" x14ac:dyDescent="0.3">
      <c r="B38" s="99" t="s">
        <v>19</v>
      </c>
      <c r="C38" s="118" t="s">
        <v>23</v>
      </c>
      <c r="D38" s="19" t="s">
        <v>6</v>
      </c>
      <c r="E38" s="30">
        <v>2.27358027012763E-4</v>
      </c>
      <c r="F38" s="31">
        <v>3.5702584716117998E-4</v>
      </c>
      <c r="G38" s="32">
        <v>5.43909134476706E-4</v>
      </c>
      <c r="H38" s="30">
        <v>1.6390615247352099E-4</v>
      </c>
      <c r="I38" s="31">
        <v>2.87964905860374E-4</v>
      </c>
      <c r="J38" s="33">
        <v>4.5761219498154099E-4</v>
      </c>
    </row>
    <row r="39" spans="2:10" x14ac:dyDescent="0.3">
      <c r="B39" s="100"/>
      <c r="C39" s="119"/>
      <c r="D39" s="18" t="s">
        <v>7</v>
      </c>
      <c r="E39" s="34">
        <v>3.18946853487777E-4</v>
      </c>
      <c r="F39" s="35">
        <v>3.7252754569452699E-4</v>
      </c>
      <c r="G39" s="36">
        <v>5.1582442218006599E-4</v>
      </c>
      <c r="H39" s="34">
        <v>3.3556140503673398E-4</v>
      </c>
      <c r="I39" s="35">
        <v>3.7306005620499301E-4</v>
      </c>
      <c r="J39" s="37">
        <v>4.6957378806723298E-4</v>
      </c>
    </row>
    <row r="40" spans="2:10" x14ac:dyDescent="0.3">
      <c r="B40" s="100"/>
      <c r="C40" s="119"/>
      <c r="D40" s="18" t="s">
        <v>8</v>
      </c>
      <c r="E40" s="34">
        <v>4.8527876823240901E-4</v>
      </c>
      <c r="F40" s="35">
        <v>5.7054094587088305E-4</v>
      </c>
      <c r="G40" s="36">
        <v>6.0705584049178002E-4</v>
      </c>
      <c r="H40" s="34">
        <v>5.0379863457926204E-4</v>
      </c>
      <c r="I40" s="35">
        <v>5.6066862523618201E-4</v>
      </c>
      <c r="J40" s="37">
        <v>6.0360916894947601E-4</v>
      </c>
    </row>
    <row r="41" spans="2:10" x14ac:dyDescent="0.3">
      <c r="B41" s="100"/>
      <c r="C41" s="119"/>
      <c r="D41" s="18" t="s">
        <v>9</v>
      </c>
      <c r="E41" s="34">
        <v>6.4054312179129605E-4</v>
      </c>
      <c r="F41" s="35">
        <v>7.5166795159927304E-4</v>
      </c>
      <c r="G41" s="36">
        <v>7.6743232497834899E-4</v>
      </c>
      <c r="H41" s="34">
        <v>6.5882563419680199E-4</v>
      </c>
      <c r="I41" s="35">
        <v>7.3085617824510802E-4</v>
      </c>
      <c r="J41" s="37">
        <v>7.4324103631627004E-4</v>
      </c>
    </row>
    <row r="42" spans="2:10" x14ac:dyDescent="0.3">
      <c r="B42" s="100"/>
      <c r="C42" s="119"/>
      <c r="D42" s="18" t="s">
        <v>10</v>
      </c>
      <c r="E42" s="34">
        <v>7.7151381525499495E-4</v>
      </c>
      <c r="F42" s="35">
        <v>9.0077054706231598E-4</v>
      </c>
      <c r="G42" s="36">
        <v>9.1545036403225502E-4</v>
      </c>
      <c r="H42" s="34">
        <v>7.8852534327218205E-4</v>
      </c>
      <c r="I42" s="35">
        <v>8.7099095723625303E-4</v>
      </c>
      <c r="J42" s="37">
        <v>8.8263482915248396E-4</v>
      </c>
    </row>
    <row r="43" spans="2:10" x14ac:dyDescent="0.3">
      <c r="B43" s="100"/>
      <c r="C43" s="119"/>
      <c r="D43" s="18" t="s">
        <v>11</v>
      </c>
      <c r="E43" s="34">
        <v>8.8019142888008E-4</v>
      </c>
      <c r="F43" s="35">
        <v>1.0226772280882801E-3</v>
      </c>
      <c r="G43" s="36">
        <v>1.03541996645061E-3</v>
      </c>
      <c r="H43" s="34">
        <v>8.9580836239322502E-4</v>
      </c>
      <c r="I43" s="35">
        <v>9.8563376852794492E-4</v>
      </c>
      <c r="J43" s="37">
        <v>9.9584520351915398E-4</v>
      </c>
    </row>
    <row r="44" spans="2:10" x14ac:dyDescent="0.3">
      <c r="B44" s="100"/>
      <c r="C44" s="119"/>
      <c r="D44" s="18" t="s">
        <v>12</v>
      </c>
      <c r="E44" s="34">
        <v>9.6908513422147504E-4</v>
      </c>
      <c r="F44" s="35">
        <v>1.12303940660613E-3</v>
      </c>
      <c r="G44" s="36">
        <v>1.13343669758234E-3</v>
      </c>
      <c r="H44" s="34">
        <v>9.8367497198556899E-4</v>
      </c>
      <c r="I44" s="35">
        <v>1.0798003749718701E-3</v>
      </c>
      <c r="J44" s="37">
        <v>1.0885515500588801E-3</v>
      </c>
    </row>
    <row r="45" spans="2:10" x14ac:dyDescent="0.3">
      <c r="B45" s="100"/>
      <c r="C45" s="119"/>
      <c r="D45" s="18" t="s">
        <v>13</v>
      </c>
      <c r="E45" s="34">
        <v>1.0385703741569599E-3</v>
      </c>
      <c r="F45" s="35">
        <v>1.2033754179694601E-3</v>
      </c>
      <c r="G45" s="36">
        <v>1.21272122690351E-3</v>
      </c>
      <c r="H45" s="34">
        <v>1.05306286138781E-3</v>
      </c>
      <c r="I45" s="35">
        <v>1.15437715702271E-3</v>
      </c>
      <c r="J45" s="37">
        <v>1.1623815379566301E-3</v>
      </c>
    </row>
    <row r="46" spans="2:10" x14ac:dyDescent="0.3">
      <c r="B46" s="100"/>
      <c r="C46" s="119"/>
      <c r="D46" s="18" t="s">
        <v>14</v>
      </c>
      <c r="E46" s="34">
        <v>1.08682881262032E-3</v>
      </c>
      <c r="F46" s="35">
        <v>1.2599945900697801E-3</v>
      </c>
      <c r="G46" s="36">
        <v>1.2684161025151199E-3</v>
      </c>
      <c r="H46" s="34">
        <v>1.10179118445775E-3</v>
      </c>
      <c r="I46" s="35">
        <v>1.20652444653261E-3</v>
      </c>
      <c r="J46" s="37">
        <v>1.2146949350627201E-3</v>
      </c>
    </row>
    <row r="47" spans="2:10" x14ac:dyDescent="0.3">
      <c r="B47" s="100"/>
      <c r="C47" s="119"/>
      <c r="D47" s="18" t="s">
        <v>15</v>
      </c>
      <c r="E47" s="34">
        <v>1.10368729263822E-3</v>
      </c>
      <c r="F47" s="35">
        <v>1.2796001597147799E-3</v>
      </c>
      <c r="G47" s="36">
        <v>1.28632641672883E-3</v>
      </c>
      <c r="H47" s="34">
        <v>1.11824774474765E-3</v>
      </c>
      <c r="I47" s="35">
        <v>1.22240821949106E-3</v>
      </c>
      <c r="J47" s="37">
        <v>1.23056873048441E-3</v>
      </c>
    </row>
    <row r="48" spans="2:10" ht="15" thickBot="1" x14ac:dyDescent="0.35">
      <c r="B48" s="101"/>
      <c r="C48" s="120"/>
      <c r="D48" s="20" t="s">
        <v>5</v>
      </c>
      <c r="E48" s="42">
        <v>8.91711200141229E-4</v>
      </c>
      <c r="F48" s="43">
        <v>1.0335777579292601E-3</v>
      </c>
      <c r="G48" s="44">
        <v>1.03226049534625E-3</v>
      </c>
      <c r="H48" s="42">
        <v>9.0252293215241396E-4</v>
      </c>
      <c r="I48" s="43">
        <v>9.8397494962079008E-4</v>
      </c>
      <c r="J48" s="45">
        <v>9.8880847842734406E-4</v>
      </c>
    </row>
  </sheetData>
  <mergeCells count="13">
    <mergeCell ref="B3:B4"/>
    <mergeCell ref="E3:G3"/>
    <mergeCell ref="H3:J3"/>
    <mergeCell ref="C3:C4"/>
    <mergeCell ref="D3:D4"/>
    <mergeCell ref="B38:B48"/>
    <mergeCell ref="C38:C48"/>
    <mergeCell ref="B5:B15"/>
    <mergeCell ref="C5:C15"/>
    <mergeCell ref="B16:B26"/>
    <mergeCell ref="C16:C26"/>
    <mergeCell ref="B27:B37"/>
    <mergeCell ref="C27:C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O29"/>
  <sheetViews>
    <sheetView workbookViewId="0">
      <selection activeCell="J7" sqref="J7"/>
    </sheetView>
  </sheetViews>
  <sheetFormatPr baseColWidth="10" defaultRowHeight="14.4" x14ac:dyDescent="0.3"/>
  <cols>
    <col min="2" max="2" width="22.88671875" customWidth="1"/>
  </cols>
  <sheetData>
    <row r="2" spans="2:15" x14ac:dyDescent="0.3">
      <c r="B2" s="2"/>
      <c r="C2" s="2"/>
      <c r="D2" s="114" t="s">
        <v>3</v>
      </c>
      <c r="E2" s="114"/>
      <c r="F2" s="114"/>
      <c r="G2" s="114"/>
      <c r="H2" s="114"/>
      <c r="I2" s="114"/>
      <c r="J2" s="114" t="s">
        <v>16</v>
      </c>
      <c r="K2" s="114"/>
      <c r="L2" s="114"/>
      <c r="M2" s="114"/>
      <c r="N2" s="114"/>
      <c r="O2" s="114"/>
    </row>
    <row r="3" spans="2:15" x14ac:dyDescent="0.3">
      <c r="B3" s="111" t="s">
        <v>2</v>
      </c>
      <c r="C3" s="111" t="s">
        <v>4</v>
      </c>
      <c r="D3" s="114" t="s">
        <v>30</v>
      </c>
      <c r="E3" s="114"/>
      <c r="F3" s="114" t="s">
        <v>31</v>
      </c>
      <c r="G3" s="114"/>
      <c r="H3" s="114" t="s">
        <v>32</v>
      </c>
      <c r="I3" s="114"/>
      <c r="J3" s="114" t="s">
        <v>30</v>
      </c>
      <c r="K3" s="114"/>
      <c r="L3" s="114" t="s">
        <v>31</v>
      </c>
      <c r="M3" s="114"/>
      <c r="N3" s="114" t="s">
        <v>32</v>
      </c>
      <c r="O3" s="114"/>
    </row>
    <row r="4" spans="2:15" x14ac:dyDescent="0.3">
      <c r="B4" s="111"/>
      <c r="C4" s="111"/>
      <c r="D4" s="3" t="s">
        <v>27</v>
      </c>
      <c r="E4" s="3" t="s">
        <v>28</v>
      </c>
      <c r="F4" s="3" t="s">
        <v>27</v>
      </c>
      <c r="G4" s="3" t="s">
        <v>28</v>
      </c>
      <c r="H4" s="3" t="s">
        <v>27</v>
      </c>
      <c r="I4" s="3" t="s">
        <v>28</v>
      </c>
      <c r="J4" s="3" t="s">
        <v>27</v>
      </c>
      <c r="K4" s="3" t="s">
        <v>28</v>
      </c>
      <c r="L4" s="3" t="s">
        <v>27</v>
      </c>
      <c r="M4" s="3" t="s">
        <v>28</v>
      </c>
      <c r="N4" s="3" t="s">
        <v>27</v>
      </c>
      <c r="O4" s="3" t="s">
        <v>28</v>
      </c>
    </row>
    <row r="5" spans="2:15" x14ac:dyDescent="0.3">
      <c r="B5" s="17" t="s">
        <v>0</v>
      </c>
      <c r="C5" s="18"/>
      <c r="D5" s="4">
        <v>1.1301138167587033</v>
      </c>
      <c r="E5" s="4">
        <f>+D5</f>
        <v>1.1301138167587033</v>
      </c>
      <c r="F5" s="5">
        <v>1.1301138167587033</v>
      </c>
      <c r="G5" s="5">
        <f>+F5</f>
        <v>1.1301138167587033</v>
      </c>
      <c r="H5" s="6">
        <v>1.1301138167587033</v>
      </c>
      <c r="I5" s="6">
        <f>+H5</f>
        <v>1.1301138167587033</v>
      </c>
      <c r="J5" s="4">
        <v>1.1301138167587033</v>
      </c>
      <c r="K5" s="4">
        <f>+J5</f>
        <v>1.1301138167587033</v>
      </c>
      <c r="L5" s="5">
        <v>1.1301138167587033</v>
      </c>
      <c r="M5" s="5">
        <f>+L5</f>
        <v>1.1301138167587033</v>
      </c>
      <c r="N5" s="6">
        <v>1.1301138167587033</v>
      </c>
      <c r="O5" s="6">
        <f>+N5</f>
        <v>1.1301138167587033</v>
      </c>
    </row>
    <row r="6" spans="2:15" x14ac:dyDescent="0.3">
      <c r="B6" s="17" t="s">
        <v>29</v>
      </c>
      <c r="C6" s="18"/>
      <c r="D6" s="4">
        <v>1.3049145720227699</v>
      </c>
      <c r="E6" s="4">
        <v>1.3944966508806</v>
      </c>
      <c r="F6" s="5">
        <v>1.2750123320435001</v>
      </c>
      <c r="G6" s="5">
        <v>1.4900090465221401</v>
      </c>
      <c r="H6" s="6">
        <v>1.29931319896942</v>
      </c>
      <c r="I6" s="6">
        <v>1.51734012758778</v>
      </c>
      <c r="J6" s="4">
        <v>1.3744875818875999</v>
      </c>
      <c r="K6" s="4">
        <v>1.4358591402213901</v>
      </c>
      <c r="L6" s="5">
        <v>1.3564245682992899</v>
      </c>
      <c r="M6" s="5">
        <v>1.5125884153012901</v>
      </c>
      <c r="N6" s="6">
        <v>1.3692828856413599</v>
      </c>
      <c r="O6" s="6">
        <v>1.5483333462848501</v>
      </c>
    </row>
    <row r="7" spans="2:15" ht="15" thickBot="1" x14ac:dyDescent="0.35">
      <c r="B7" s="97" t="s">
        <v>24</v>
      </c>
      <c r="C7" s="122"/>
      <c r="D7" s="16" t="s">
        <v>25</v>
      </c>
      <c r="E7" s="16" t="s">
        <v>26</v>
      </c>
      <c r="F7" s="16" t="s">
        <v>25</v>
      </c>
      <c r="G7" s="16" t="s">
        <v>26</v>
      </c>
      <c r="H7" s="16" t="s">
        <v>25</v>
      </c>
      <c r="I7" s="16" t="s">
        <v>26</v>
      </c>
      <c r="J7" s="16" t="s">
        <v>25</v>
      </c>
      <c r="K7" s="16" t="s">
        <v>26</v>
      </c>
      <c r="L7" s="16" t="s">
        <v>25</v>
      </c>
      <c r="M7" s="16" t="s">
        <v>26</v>
      </c>
      <c r="N7" s="16" t="s">
        <v>25</v>
      </c>
      <c r="O7" s="16" t="s">
        <v>26</v>
      </c>
    </row>
    <row r="8" spans="2:15" x14ac:dyDescent="0.3">
      <c r="B8" s="99" t="s">
        <v>1</v>
      </c>
      <c r="C8" s="19" t="s">
        <v>5</v>
      </c>
      <c r="D8" s="7">
        <v>8.6984645142101709</v>
      </c>
      <c r="E8" s="7">
        <v>7.5184742043059902</v>
      </c>
      <c r="F8" s="8">
        <v>9.8699467138729702</v>
      </c>
      <c r="G8" s="8">
        <v>7.3015123475426398</v>
      </c>
      <c r="H8" s="9">
        <v>9.7643812066201097</v>
      </c>
      <c r="I8" s="9">
        <v>6.6688814096821103</v>
      </c>
      <c r="J8" s="7">
        <v>8.6774877812768398</v>
      </c>
      <c r="K8" s="7">
        <v>7.5197978833811998</v>
      </c>
      <c r="L8" s="8">
        <v>9.8271794588260892</v>
      </c>
      <c r="M8" s="8">
        <v>7.3071699295562</v>
      </c>
      <c r="N8" s="9">
        <v>9.7203865037338808</v>
      </c>
      <c r="O8" s="10">
        <v>6.6900922764391497</v>
      </c>
    </row>
    <row r="9" spans="2:15" x14ac:dyDescent="0.3">
      <c r="B9" s="100"/>
      <c r="C9" s="18" t="s">
        <v>15</v>
      </c>
      <c r="D9" s="4">
        <v>8.6668103140341604</v>
      </c>
      <c r="E9" s="4">
        <v>7.5143351407001502</v>
      </c>
      <c r="F9" s="5">
        <v>9.8045498530971606</v>
      </c>
      <c r="G9" s="5">
        <v>7.3030995137331596</v>
      </c>
      <c r="H9" s="6">
        <v>9.6978332809355994</v>
      </c>
      <c r="I9" s="6">
        <v>6.6937828277172198</v>
      </c>
      <c r="J9" s="4">
        <v>8.6491224005580598</v>
      </c>
      <c r="K9" s="4">
        <v>7.5160049404214604</v>
      </c>
      <c r="L9" s="5">
        <v>9.7683551082376798</v>
      </c>
      <c r="M9" s="5">
        <v>7.3081357618769802</v>
      </c>
      <c r="N9" s="6">
        <v>9.6605984544914296</v>
      </c>
      <c r="O9" s="11">
        <v>6.71206814719012</v>
      </c>
    </row>
    <row r="10" spans="2:15" x14ac:dyDescent="0.3">
      <c r="B10" s="100"/>
      <c r="C10" s="18" t="s">
        <v>14</v>
      </c>
      <c r="D10" s="4">
        <v>8.6668103140341604</v>
      </c>
      <c r="E10" s="4">
        <v>7.5143351407001502</v>
      </c>
      <c r="F10" s="5">
        <v>9.8045498530971606</v>
      </c>
      <c r="G10" s="5">
        <v>7.3030995137331596</v>
      </c>
      <c r="H10" s="6">
        <v>9.6978332809355994</v>
      </c>
      <c r="I10" s="6">
        <v>6.6937828277172198</v>
      </c>
      <c r="J10" s="4">
        <v>8.6491224005580598</v>
      </c>
      <c r="K10" s="4">
        <v>7.5160049404214604</v>
      </c>
      <c r="L10" s="5">
        <v>9.7683551082376798</v>
      </c>
      <c r="M10" s="5">
        <v>7.3081357618769802</v>
      </c>
      <c r="N10" s="6">
        <v>9.6605984544914296</v>
      </c>
      <c r="O10" s="11">
        <v>6.71206814719012</v>
      </c>
    </row>
    <row r="11" spans="2:15" x14ac:dyDescent="0.3">
      <c r="B11" s="100"/>
      <c r="C11" s="18" t="s">
        <v>13</v>
      </c>
      <c r="D11" s="4">
        <v>8.6668103140341604</v>
      </c>
      <c r="E11" s="4">
        <v>7.5143351407001502</v>
      </c>
      <c r="F11" s="5">
        <v>9.8045498530971606</v>
      </c>
      <c r="G11" s="5">
        <v>7.3030995137331596</v>
      </c>
      <c r="H11" s="6">
        <v>9.6978332809355994</v>
      </c>
      <c r="I11" s="6">
        <v>6.6937828277172198</v>
      </c>
      <c r="J11" s="4">
        <v>8.6491224005580598</v>
      </c>
      <c r="K11" s="4">
        <v>7.5160049404214604</v>
      </c>
      <c r="L11" s="5">
        <v>9.7683551082376798</v>
      </c>
      <c r="M11" s="5">
        <v>7.3081357618769802</v>
      </c>
      <c r="N11" s="6">
        <v>9.6605984544914296</v>
      </c>
      <c r="O11" s="11">
        <v>6.71206814719012</v>
      </c>
    </row>
    <row r="12" spans="2:15" x14ac:dyDescent="0.3">
      <c r="B12" s="100"/>
      <c r="C12" s="18" t="s">
        <v>12</v>
      </c>
      <c r="D12" s="4">
        <v>8.6138513463239494</v>
      </c>
      <c r="E12" s="4">
        <v>7.5215652796955297</v>
      </c>
      <c r="F12" s="5">
        <v>9.6860327619190194</v>
      </c>
      <c r="G12" s="5">
        <v>7.3208529040300903</v>
      </c>
      <c r="H12" s="6">
        <v>9.5757672962429403</v>
      </c>
      <c r="I12" s="6">
        <v>6.75884747939556</v>
      </c>
      <c r="J12" s="4">
        <v>8.5958697977077101</v>
      </c>
      <c r="K12" s="4">
        <v>7.5232697703141396</v>
      </c>
      <c r="L12" s="5">
        <v>9.6488845669268901</v>
      </c>
      <c r="M12" s="5">
        <v>7.3260267017577698</v>
      </c>
      <c r="N12" s="6">
        <v>9.5375338624620696</v>
      </c>
      <c r="O12" s="11">
        <v>6.7776433489085397</v>
      </c>
    </row>
    <row r="13" spans="2:15" x14ac:dyDescent="0.3">
      <c r="B13" s="100"/>
      <c r="C13" s="18" t="s">
        <v>11</v>
      </c>
      <c r="D13" s="4">
        <v>8.6138513463239494</v>
      </c>
      <c r="E13" s="4">
        <v>7.5215652796955297</v>
      </c>
      <c r="F13" s="5">
        <v>9.6860327619190194</v>
      </c>
      <c r="G13" s="5">
        <v>7.3208529040300903</v>
      </c>
      <c r="H13" s="6">
        <v>9.5757672962429403</v>
      </c>
      <c r="I13" s="6">
        <v>6.75884747939556</v>
      </c>
      <c r="J13" s="4">
        <v>8.5958697977077101</v>
      </c>
      <c r="K13" s="4">
        <v>7.5232697703141396</v>
      </c>
      <c r="L13" s="5">
        <v>9.6488845669268901</v>
      </c>
      <c r="M13" s="5">
        <v>7.3260267017577698</v>
      </c>
      <c r="N13" s="6">
        <v>9.5375338624620696</v>
      </c>
      <c r="O13" s="11">
        <v>6.7776433489085397</v>
      </c>
    </row>
    <row r="14" spans="2:15" x14ac:dyDescent="0.3">
      <c r="B14" s="100"/>
      <c r="C14" s="18" t="s">
        <v>10</v>
      </c>
      <c r="D14" s="4">
        <v>8.6138513463239494</v>
      </c>
      <c r="E14" s="4">
        <v>7.5215652796955297</v>
      </c>
      <c r="F14" s="5">
        <v>9.6860327619190194</v>
      </c>
      <c r="G14" s="5">
        <v>7.3208529040300903</v>
      </c>
      <c r="H14" s="6">
        <v>9.5757672962429403</v>
      </c>
      <c r="I14" s="6">
        <v>6.75884747939556</v>
      </c>
      <c r="J14" s="4">
        <v>8.5958697977077101</v>
      </c>
      <c r="K14" s="4">
        <v>7.5232697703141396</v>
      </c>
      <c r="L14" s="5">
        <v>9.6488845669268901</v>
      </c>
      <c r="M14" s="5">
        <v>7.3260267017577698</v>
      </c>
      <c r="N14" s="6">
        <v>9.5375338624620696</v>
      </c>
      <c r="O14" s="11">
        <v>6.7776433489085397</v>
      </c>
    </row>
    <row r="15" spans="2:15" x14ac:dyDescent="0.3">
      <c r="B15" s="100"/>
      <c r="C15" s="18" t="s">
        <v>9</v>
      </c>
      <c r="D15" s="4">
        <v>8.6138513463239494</v>
      </c>
      <c r="E15" s="4">
        <v>7.5215652796955297</v>
      </c>
      <c r="F15" s="5">
        <v>9.6860327619190194</v>
      </c>
      <c r="G15" s="5">
        <v>7.3208529040300903</v>
      </c>
      <c r="H15" s="6">
        <v>9.5757672962429403</v>
      </c>
      <c r="I15" s="6">
        <v>6.75884747939556</v>
      </c>
      <c r="J15" s="4">
        <v>8.5958697977077101</v>
      </c>
      <c r="K15" s="4">
        <v>7.5232697703141396</v>
      </c>
      <c r="L15" s="5">
        <v>9.6488845669268901</v>
      </c>
      <c r="M15" s="5">
        <v>7.3260267017577698</v>
      </c>
      <c r="N15" s="6">
        <v>9.5375338624620696</v>
      </c>
      <c r="O15" s="11">
        <v>6.7776433489085397</v>
      </c>
    </row>
    <row r="16" spans="2:15" x14ac:dyDescent="0.3">
      <c r="B16" s="100"/>
      <c r="C16" s="18" t="s">
        <v>8</v>
      </c>
      <c r="D16" s="4">
        <v>8.6138513463239494</v>
      </c>
      <c r="E16" s="4">
        <v>7.5215652796955297</v>
      </c>
      <c r="F16" s="5">
        <v>9.6860327619190194</v>
      </c>
      <c r="G16" s="5">
        <v>7.3208529040300903</v>
      </c>
      <c r="H16" s="6">
        <v>9.5757672962429403</v>
      </c>
      <c r="I16" s="6">
        <v>6.75884747939556</v>
      </c>
      <c r="J16" s="4">
        <v>8.5958697977077101</v>
      </c>
      <c r="K16" s="4">
        <v>7.5232697703141396</v>
      </c>
      <c r="L16" s="5">
        <v>9.6488845669268901</v>
      </c>
      <c r="M16" s="5">
        <v>7.3260267017577698</v>
      </c>
      <c r="N16" s="6">
        <v>9.5375338624620696</v>
      </c>
      <c r="O16" s="11">
        <v>6.7776433489085397</v>
      </c>
    </row>
    <row r="17" spans="2:15" x14ac:dyDescent="0.3">
      <c r="B17" s="100"/>
      <c r="C17" s="18" t="s">
        <v>7</v>
      </c>
      <c r="D17" s="4">
        <v>8.7256093402281891</v>
      </c>
      <c r="E17" s="4">
        <v>7.4637095437775196</v>
      </c>
      <c r="F17" s="5">
        <v>9.8654696285564594</v>
      </c>
      <c r="G17" s="5">
        <v>7.2680392054312497</v>
      </c>
      <c r="H17" s="6">
        <v>9.8031700752035107</v>
      </c>
      <c r="I17" s="6">
        <v>6.6093520234643899</v>
      </c>
      <c r="J17" s="4">
        <v>8.7133762530251406</v>
      </c>
      <c r="K17" s="4">
        <v>7.4647375866419097</v>
      </c>
      <c r="L17" s="5">
        <v>9.8436943394218801</v>
      </c>
      <c r="M17" s="5">
        <v>7.2723903945588697</v>
      </c>
      <c r="N17" s="6">
        <v>9.7810269067376208</v>
      </c>
      <c r="O17" s="11">
        <v>6.6215916082134303</v>
      </c>
    </row>
    <row r="18" spans="2:15" ht="15" thickBot="1" x14ac:dyDescent="0.35">
      <c r="B18" s="101"/>
      <c r="C18" s="20" t="s">
        <v>6</v>
      </c>
      <c r="D18" s="12">
        <v>14</v>
      </c>
      <c r="E18" s="12">
        <v>6.4193914655949902</v>
      </c>
      <c r="F18" s="13">
        <v>18.500000003277801</v>
      </c>
      <c r="G18" s="13">
        <v>6</v>
      </c>
      <c r="H18" s="14">
        <v>18.500000003277801</v>
      </c>
      <c r="I18" s="14">
        <v>2</v>
      </c>
      <c r="J18" s="12">
        <v>14</v>
      </c>
      <c r="K18" s="12">
        <v>6.4193914655949902</v>
      </c>
      <c r="L18" s="13">
        <v>18.500000003277801</v>
      </c>
      <c r="M18" s="13">
        <v>6</v>
      </c>
      <c r="N18" s="14">
        <v>18.500000003277801</v>
      </c>
      <c r="O18" s="15">
        <v>2</v>
      </c>
    </row>
    <row r="19" spans="2:15" x14ac:dyDescent="0.3">
      <c r="B19" s="100" t="s">
        <v>17</v>
      </c>
      <c r="C19" s="22" t="s">
        <v>5</v>
      </c>
      <c r="D19" s="23">
        <v>9.9056598377227196</v>
      </c>
      <c r="E19" s="23">
        <v>7.6000195203955503</v>
      </c>
      <c r="F19" s="24">
        <v>11.9488136782259</v>
      </c>
      <c r="G19" s="24">
        <v>7.1711787576153698</v>
      </c>
      <c r="H19" s="25">
        <v>11.7435247275717</v>
      </c>
      <c r="I19" s="25">
        <v>5.8493199065658699</v>
      </c>
      <c r="J19" s="23">
        <v>9.0319867407611394</v>
      </c>
      <c r="K19" s="23">
        <v>7.7173210417262803</v>
      </c>
      <c r="L19" s="24">
        <v>10.2622317143322</v>
      </c>
      <c r="M19" s="24">
        <v>7.3113304153036198</v>
      </c>
      <c r="N19" s="25">
        <v>9.9781870389785396</v>
      </c>
      <c r="O19" s="26">
        <v>6.5584657435276101</v>
      </c>
    </row>
    <row r="20" spans="2:15" x14ac:dyDescent="0.3">
      <c r="B20" s="100"/>
      <c r="C20" s="18" t="s">
        <v>15</v>
      </c>
      <c r="D20" s="4">
        <v>10.2681453627896</v>
      </c>
      <c r="E20" s="4">
        <v>7.6054761497700696</v>
      </c>
      <c r="F20" s="5">
        <v>12.067147123811999</v>
      </c>
      <c r="G20" s="5">
        <v>7.0757187374992601</v>
      </c>
      <c r="H20" s="6">
        <v>11.816927194065601</v>
      </c>
      <c r="I20" s="6">
        <v>5.6255133508654396</v>
      </c>
      <c r="J20" s="4">
        <v>9.2483338828503907</v>
      </c>
      <c r="K20" s="4">
        <v>7.7056530422156602</v>
      </c>
      <c r="L20" s="5">
        <v>10.326574200484799</v>
      </c>
      <c r="M20" s="5">
        <v>7.2890482118864597</v>
      </c>
      <c r="N20" s="6">
        <v>9.9823744690367402</v>
      </c>
      <c r="O20" s="11">
        <v>6.4699735932099598</v>
      </c>
    </row>
    <row r="21" spans="2:15" x14ac:dyDescent="0.3">
      <c r="B21" s="100"/>
      <c r="C21" s="18" t="s">
        <v>14</v>
      </c>
      <c r="D21" s="4">
        <v>10.408324327412499</v>
      </c>
      <c r="E21" s="4">
        <v>7.6005796589925696</v>
      </c>
      <c r="F21" s="5">
        <v>12.044582802871</v>
      </c>
      <c r="G21" s="5">
        <v>7.0522597620063303</v>
      </c>
      <c r="H21" s="6">
        <v>11.722285650529001</v>
      </c>
      <c r="I21" s="6">
        <v>5.5929494817654097</v>
      </c>
      <c r="J21" s="4">
        <v>9.3465680174720802</v>
      </c>
      <c r="K21" s="4">
        <v>7.6976288443712404</v>
      </c>
      <c r="L21" s="5">
        <v>10.342500808665299</v>
      </c>
      <c r="M21" s="5">
        <v>7.2852074859808704</v>
      </c>
      <c r="N21" s="6">
        <v>9.9488146056275202</v>
      </c>
      <c r="O21" s="11">
        <v>6.4473236664637898</v>
      </c>
    </row>
    <row r="22" spans="2:15" x14ac:dyDescent="0.3">
      <c r="B22" s="100"/>
      <c r="C22" s="18" t="s">
        <v>13</v>
      </c>
      <c r="D22" s="4">
        <v>10.475217955608301</v>
      </c>
      <c r="E22" s="4">
        <v>7.5936294197790302</v>
      </c>
      <c r="F22" s="5">
        <v>11.976507776922601</v>
      </c>
      <c r="G22" s="5">
        <v>7.0504906526419102</v>
      </c>
      <c r="H22" s="6">
        <v>11.5647337728461</v>
      </c>
      <c r="I22" s="6">
        <v>5.6204396335252396</v>
      </c>
      <c r="J22" s="4">
        <v>9.4062119978978807</v>
      </c>
      <c r="K22" s="4">
        <v>7.6903758049448498</v>
      </c>
      <c r="L22" s="5">
        <v>10.338901127989899</v>
      </c>
      <c r="M22" s="5">
        <v>7.2870699630159503</v>
      </c>
      <c r="N22" s="6">
        <v>9.8945205928607098</v>
      </c>
      <c r="O22" s="11">
        <v>6.4446602558955099</v>
      </c>
    </row>
    <row r="23" spans="2:15" x14ac:dyDescent="0.3">
      <c r="B23" s="100"/>
      <c r="C23" s="18" t="s">
        <v>12</v>
      </c>
      <c r="D23" s="4">
        <v>10.510713512267801</v>
      </c>
      <c r="E23" s="4">
        <v>7.5837848020030396</v>
      </c>
      <c r="F23" s="5">
        <v>11.8841719587363</v>
      </c>
      <c r="G23" s="5">
        <v>7.0602687758074198</v>
      </c>
      <c r="H23" s="6">
        <v>11.369610552739699</v>
      </c>
      <c r="I23" s="6">
        <v>5.6801792764906196</v>
      </c>
      <c r="J23" s="4">
        <v>9.4459316310774604</v>
      </c>
      <c r="K23" s="4">
        <v>7.6829835331460803</v>
      </c>
      <c r="L23" s="5">
        <v>10.3248855272212</v>
      </c>
      <c r="M23" s="5">
        <v>7.2931696719462797</v>
      </c>
      <c r="N23" s="6">
        <v>9.82514653610734</v>
      </c>
      <c r="O23" s="11">
        <v>6.4590932354526203</v>
      </c>
    </row>
    <row r="24" spans="2:15" x14ac:dyDescent="0.3">
      <c r="B24" s="100"/>
      <c r="C24" s="18" t="s">
        <v>11</v>
      </c>
      <c r="D24" s="4">
        <v>10.529123119316401</v>
      </c>
      <c r="E24" s="4">
        <v>7.5733922148230999</v>
      </c>
      <c r="F24" s="5">
        <v>11.7780424321527</v>
      </c>
      <c r="G24" s="5">
        <v>7.0750846729976198</v>
      </c>
      <c r="H24" s="6">
        <v>11.1529763537105</v>
      </c>
      <c r="I24" s="6">
        <v>5.7588939645046198</v>
      </c>
      <c r="J24" s="4">
        <v>9.4682367772981308</v>
      </c>
      <c r="K24" s="4">
        <v>7.6753039473114004</v>
      </c>
      <c r="L24" s="5">
        <v>10.303187331392399</v>
      </c>
      <c r="M24" s="5">
        <v>7.3048664234136398</v>
      </c>
      <c r="N24" s="6">
        <v>9.7431307095555493</v>
      </c>
      <c r="O24" s="11">
        <v>6.4953252047768597</v>
      </c>
    </row>
    <row r="25" spans="2:15" x14ac:dyDescent="0.3">
      <c r="B25" s="100"/>
      <c r="C25" s="18" t="s">
        <v>10</v>
      </c>
      <c r="D25" s="4">
        <v>10.5445190095674</v>
      </c>
      <c r="E25" s="4">
        <v>7.5640077324135202</v>
      </c>
      <c r="F25" s="5">
        <v>11.6726824670349</v>
      </c>
      <c r="G25" s="5">
        <v>7.0904155261264803</v>
      </c>
      <c r="H25" s="6">
        <v>10.9305205947229</v>
      </c>
      <c r="I25" s="6">
        <v>5.8381360626113796</v>
      </c>
      <c r="J25" s="4">
        <v>9.4924143240006593</v>
      </c>
      <c r="K25" s="4">
        <v>7.6673063331215801</v>
      </c>
      <c r="L25" s="5">
        <v>10.280580622047999</v>
      </c>
      <c r="M25" s="5">
        <v>7.3152147651216097</v>
      </c>
      <c r="N25" s="6">
        <v>9.6552117674013704</v>
      </c>
      <c r="O25" s="11">
        <v>6.5251776055548598</v>
      </c>
    </row>
    <row r="26" spans="2:15" x14ac:dyDescent="0.3">
      <c r="B26" s="100"/>
      <c r="C26" s="18" t="s">
        <v>9</v>
      </c>
      <c r="D26" s="4">
        <v>10.558859124575999</v>
      </c>
      <c r="E26" s="4">
        <v>7.5549148098305396</v>
      </c>
      <c r="F26" s="5">
        <v>11.565679454055999</v>
      </c>
      <c r="G26" s="5">
        <v>7.10682415518498</v>
      </c>
      <c r="H26" s="6">
        <v>10.7015897336143</v>
      </c>
      <c r="I26" s="6">
        <v>5.9185861408284497</v>
      </c>
      <c r="J26" s="4">
        <v>9.5203487885315603</v>
      </c>
      <c r="K26" s="4">
        <v>7.6588932515992898</v>
      </c>
      <c r="L26" s="5">
        <v>10.257224177582801</v>
      </c>
      <c r="M26" s="5">
        <v>7.3244070348674004</v>
      </c>
      <c r="N26" s="6">
        <v>9.5616222728603493</v>
      </c>
      <c r="O26" s="11">
        <v>6.54994925228279</v>
      </c>
    </row>
    <row r="27" spans="2:15" x14ac:dyDescent="0.3">
      <c r="B27" s="100"/>
      <c r="C27" s="18" t="s">
        <v>8</v>
      </c>
      <c r="D27" s="4">
        <v>10.572263228872201</v>
      </c>
      <c r="E27" s="4">
        <v>7.54544294667462</v>
      </c>
      <c r="F27" s="5">
        <v>11.4527746133541</v>
      </c>
      <c r="G27" s="5">
        <v>7.1246114138979904</v>
      </c>
      <c r="H27" s="6">
        <v>10.464413107497201</v>
      </c>
      <c r="I27" s="6">
        <v>6.0012391585952702</v>
      </c>
      <c r="J27" s="4">
        <v>9.5518610562108908</v>
      </c>
      <c r="K27" s="4">
        <v>7.6498563181439199</v>
      </c>
      <c r="L27" s="5">
        <v>10.2325379309897</v>
      </c>
      <c r="M27" s="5">
        <v>7.3329729183654697</v>
      </c>
      <c r="N27" s="6">
        <v>9.46223637766197</v>
      </c>
      <c r="O27" s="11">
        <v>6.5714041952029296</v>
      </c>
    </row>
    <row r="28" spans="2:15" x14ac:dyDescent="0.3">
      <c r="B28" s="100"/>
      <c r="C28" s="18" t="s">
        <v>7</v>
      </c>
      <c r="D28" s="4">
        <v>10.595622945859899</v>
      </c>
      <c r="E28" s="4">
        <v>7.5360418395717597</v>
      </c>
      <c r="F28" s="5">
        <v>11.3429518343402</v>
      </c>
      <c r="G28" s="5">
        <v>7.13805556865226</v>
      </c>
      <c r="H28" s="6">
        <v>10.2310681242804</v>
      </c>
      <c r="I28" s="6">
        <v>6.0777289194530804</v>
      </c>
      <c r="J28" s="4">
        <v>9.5891323967182398</v>
      </c>
      <c r="K28" s="4">
        <v>7.6402917099400902</v>
      </c>
      <c r="L28" s="5">
        <v>10.2125165056163</v>
      </c>
      <c r="M28" s="5">
        <v>7.3391771302891504</v>
      </c>
      <c r="N28" s="6">
        <v>9.3624373392241296</v>
      </c>
      <c r="O28" s="11">
        <v>6.5887585856131903</v>
      </c>
    </row>
    <row r="29" spans="2:15" ht="15" thickBot="1" x14ac:dyDescent="0.35">
      <c r="B29" s="101"/>
      <c r="C29" s="20" t="s">
        <v>6</v>
      </c>
      <c r="D29" s="12">
        <v>12.844605750152001</v>
      </c>
      <c r="E29" s="12">
        <v>6.6706313630085603</v>
      </c>
      <c r="F29" s="13">
        <v>16.182021336499002</v>
      </c>
      <c r="G29" s="13">
        <v>6.2804639138442004</v>
      </c>
      <c r="H29" s="14">
        <v>15.873163171068001</v>
      </c>
      <c r="I29" s="14">
        <v>3.2065025694284301</v>
      </c>
      <c r="J29" s="12">
        <v>12.3893284807555</v>
      </c>
      <c r="K29" s="12">
        <v>6.72628616968733</v>
      </c>
      <c r="L29" s="13">
        <v>15.6606215302346</v>
      </c>
      <c r="M29" s="13">
        <v>6.4026322894856298</v>
      </c>
      <c r="N29" s="14">
        <v>15.3871036077611</v>
      </c>
      <c r="O29" s="15">
        <v>3.4978505399313198</v>
      </c>
    </row>
  </sheetData>
  <mergeCells count="13">
    <mergeCell ref="B7:C7"/>
    <mergeCell ref="B8:B18"/>
    <mergeCell ref="B19:B29"/>
    <mergeCell ref="J2:O2"/>
    <mergeCell ref="B3:B4"/>
    <mergeCell ref="D2:I2"/>
    <mergeCell ref="D3:E3"/>
    <mergeCell ref="F3:G3"/>
    <mergeCell ref="H3:I3"/>
    <mergeCell ref="C3:C4"/>
    <mergeCell ref="N3:O3"/>
    <mergeCell ref="J3:K3"/>
    <mergeCell ref="L3:M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C8:N32"/>
  <sheetViews>
    <sheetView topLeftCell="A4" workbookViewId="0">
      <selection activeCell="I23" sqref="I23"/>
    </sheetView>
  </sheetViews>
  <sheetFormatPr baseColWidth="10" defaultRowHeight="14.4" x14ac:dyDescent="0.3"/>
  <sheetData>
    <row r="8" spans="9:14" x14ac:dyDescent="0.3">
      <c r="I8" s="123" t="s">
        <v>76</v>
      </c>
      <c r="J8" s="123"/>
      <c r="K8" s="123"/>
      <c r="L8" s="123"/>
      <c r="M8" s="123"/>
      <c r="N8" s="123"/>
    </row>
    <row r="9" spans="9:14" x14ac:dyDescent="0.3">
      <c r="I9" s="123"/>
      <c r="J9" s="123"/>
      <c r="K9" s="123"/>
      <c r="L9" s="123"/>
      <c r="M9" s="123"/>
      <c r="N9" s="123"/>
    </row>
    <row r="10" spans="9:14" x14ac:dyDescent="0.3">
      <c r="I10" s="123"/>
      <c r="J10" s="123"/>
      <c r="K10" s="123"/>
      <c r="L10" s="123"/>
      <c r="M10" s="123"/>
      <c r="N10" s="123"/>
    </row>
    <row r="11" spans="9:14" x14ac:dyDescent="0.3">
      <c r="I11" s="123"/>
      <c r="J11" s="123"/>
      <c r="K11" s="123"/>
      <c r="L11" s="123"/>
      <c r="M11" s="123"/>
      <c r="N11" s="123"/>
    </row>
    <row r="19" spans="3:14" x14ac:dyDescent="0.3">
      <c r="I19" s="123" t="s">
        <v>77</v>
      </c>
      <c r="J19" s="123"/>
      <c r="K19" s="123"/>
      <c r="L19" s="123"/>
      <c r="M19" s="123"/>
      <c r="N19" s="123"/>
    </row>
    <row r="20" spans="3:14" x14ac:dyDescent="0.3">
      <c r="I20" s="123"/>
      <c r="J20" s="123"/>
      <c r="K20" s="123"/>
      <c r="L20" s="123"/>
      <c r="M20" s="123"/>
      <c r="N20" s="123"/>
    </row>
    <row r="21" spans="3:14" x14ac:dyDescent="0.3">
      <c r="I21" s="123"/>
      <c r="J21" s="123"/>
      <c r="K21" s="123"/>
      <c r="L21" s="123"/>
      <c r="M21" s="123"/>
      <c r="N21" s="123"/>
    </row>
    <row r="27" spans="3:14" ht="14.4" customHeight="1" x14ac:dyDescent="0.3">
      <c r="C27" s="123" t="s">
        <v>78</v>
      </c>
      <c r="D27" s="123"/>
      <c r="E27" s="123"/>
      <c r="F27" s="123"/>
      <c r="G27" s="123"/>
      <c r="H27" s="123"/>
    </row>
    <row r="28" spans="3:14" x14ac:dyDescent="0.3">
      <c r="C28" s="123"/>
      <c r="D28" s="123"/>
      <c r="E28" s="123"/>
      <c r="F28" s="123"/>
      <c r="G28" s="123"/>
      <c r="H28" s="123"/>
    </row>
    <row r="29" spans="3:14" x14ac:dyDescent="0.3">
      <c r="C29" s="123"/>
      <c r="D29" s="123"/>
      <c r="E29" s="123"/>
      <c r="F29" s="123"/>
      <c r="G29" s="123"/>
      <c r="H29" s="123"/>
    </row>
    <row r="30" spans="3:14" x14ac:dyDescent="0.3">
      <c r="C30" s="123"/>
      <c r="D30" s="123"/>
      <c r="E30" s="123"/>
      <c r="F30" s="123"/>
      <c r="G30" s="123"/>
      <c r="H30" s="123"/>
    </row>
    <row r="31" spans="3:14" x14ac:dyDescent="0.3">
      <c r="C31" s="123"/>
      <c r="D31" s="123"/>
      <c r="E31" s="123"/>
      <c r="F31" s="123"/>
      <c r="G31" s="123"/>
      <c r="H31" s="123"/>
    </row>
    <row r="32" spans="3:14" x14ac:dyDescent="0.3">
      <c r="C32" s="123"/>
      <c r="D32" s="123"/>
      <c r="E32" s="123"/>
      <c r="F32" s="123"/>
      <c r="G32" s="123"/>
      <c r="H32" s="123"/>
    </row>
  </sheetData>
  <mergeCells count="3">
    <mergeCell ref="I8:N11"/>
    <mergeCell ref="I19:N21"/>
    <mergeCell ref="C27:H3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ARACION">
                <anchor moveWithCells="1" sizeWithCells="1">
                  <from>
                    <xdr:col>1</xdr:col>
                    <xdr:colOff>754380</xdr:colOff>
                    <xdr:row>6</xdr:row>
                    <xdr:rowOff>0</xdr:rowOff>
                  </from>
                  <to>
                    <xdr:col>6</xdr:col>
                    <xdr:colOff>678180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FORMATO_TOTAL">
                <anchor moveWithCells="1" sizeWithCells="1">
                  <from>
                    <xdr:col>2</xdr:col>
                    <xdr:colOff>99060</xdr:colOff>
                    <xdr:row>17</xdr:row>
                    <xdr:rowOff>22860</xdr:rowOff>
                  </from>
                  <to>
                    <xdr:col>6</xdr:col>
                    <xdr:colOff>655320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D-DERIVAS</vt:lpstr>
      <vt:lpstr>D-IRRE TORSIONAL</vt:lpstr>
      <vt:lpstr>D-PCMCR</vt:lpstr>
      <vt:lpstr>COLUMNAS N1</vt:lpstr>
      <vt:lpstr>IRRE TORSIONAL</vt:lpstr>
      <vt:lpstr>DERIVAS</vt:lpstr>
      <vt:lpstr>GENERALES</vt:lpstr>
      <vt:lpstr>DIRECTOR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dcterms:created xsi:type="dcterms:W3CDTF">2021-05-21T15:35:27Z</dcterms:created>
  <dcterms:modified xsi:type="dcterms:W3CDTF">2021-05-28T20:32:09Z</dcterms:modified>
</cp:coreProperties>
</file>