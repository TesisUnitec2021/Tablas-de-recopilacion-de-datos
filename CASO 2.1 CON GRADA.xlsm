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2\"/>
    </mc:Choice>
  </mc:AlternateContent>
  <bookViews>
    <workbookView xWindow="0" yWindow="0" windowWidth="23040" windowHeight="9972" tabRatio="830" firstSheet="6" activeTab="11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definedNames>
    <definedName name="_xlnm._FilterDatabase" localSheetId="7" hidden="1">'Story Forces Final'!$B$5:$L$115</definedName>
    <definedName name="_xlnm._FilterDatabase" localSheetId="4" hidden="1">'Story Forces Inicial'!$B$5:$K$49</definedName>
    <definedName name="_xlnm._FilterDatabase" localSheetId="6" hidden="1">'Story Stiffness'!$B$5:$I$49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I13" i="6"/>
  <c r="I14" i="6"/>
  <c r="I15" i="6"/>
  <c r="I16" i="6"/>
  <c r="I17" i="6"/>
  <c r="I32" i="6"/>
  <c r="I33" i="6"/>
  <c r="I34" i="6"/>
  <c r="I35" i="6"/>
  <c r="I36" i="6"/>
  <c r="I51" i="6"/>
  <c r="I52" i="6"/>
  <c r="I53" i="6"/>
  <c r="I54" i="6"/>
  <c r="I55" i="6"/>
  <c r="I72" i="6"/>
  <c r="I73" i="6"/>
  <c r="I74" i="6"/>
  <c r="I75" i="6"/>
  <c r="I76" i="6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L83" i="11" s="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46" i="11" l="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J83" i="1"/>
  <c r="J82" i="1"/>
  <c r="J81" i="1"/>
  <c r="J80" i="1"/>
  <c r="K83" i="1"/>
  <c r="N83" i="1" s="1"/>
  <c r="L83" i="1"/>
  <c r="O83" i="1" s="1"/>
  <c r="J77" i="1"/>
  <c r="J76" i="1"/>
  <c r="J75" i="1"/>
  <c r="J74" i="1"/>
  <c r="J71" i="1"/>
  <c r="K71" i="1" s="1"/>
  <c r="N71" i="1" s="1"/>
  <c r="J70" i="1"/>
  <c r="J69" i="1"/>
  <c r="J68" i="1"/>
  <c r="J65" i="1"/>
  <c r="J64" i="1"/>
  <c r="L64" i="1" s="1"/>
  <c r="O64" i="1" s="1"/>
  <c r="J63" i="1"/>
  <c r="J62" i="1"/>
  <c r="I83" i="1"/>
  <c r="H83" i="1"/>
  <c r="I82" i="1"/>
  <c r="H82" i="1"/>
  <c r="I81" i="1"/>
  <c r="H81" i="1"/>
  <c r="I80" i="1"/>
  <c r="H80" i="1"/>
  <c r="I77" i="1"/>
  <c r="H77" i="1"/>
  <c r="K76" i="1"/>
  <c r="I76" i="1"/>
  <c r="H76" i="1"/>
  <c r="I75" i="1"/>
  <c r="H75" i="1"/>
  <c r="I74" i="1"/>
  <c r="H74" i="1"/>
  <c r="I71" i="1"/>
  <c r="H71" i="1"/>
  <c r="I70" i="1"/>
  <c r="H70" i="1"/>
  <c r="I69" i="1"/>
  <c r="H69" i="1"/>
  <c r="I68" i="1"/>
  <c r="H68" i="1"/>
  <c r="I65" i="1"/>
  <c r="H65" i="1"/>
  <c r="I64" i="1"/>
  <c r="H64" i="1"/>
  <c r="I63" i="1"/>
  <c r="H63" i="1"/>
  <c r="I62" i="1"/>
  <c r="H62" i="1"/>
  <c r="L71" i="1" l="1"/>
  <c r="O71" i="1" s="1"/>
  <c r="K80" i="1"/>
  <c r="L80" i="1"/>
  <c r="O80" i="1" s="1"/>
  <c r="L62" i="1"/>
  <c r="O62" i="1" s="1"/>
  <c r="K62" i="1"/>
  <c r="N76" i="1"/>
  <c r="K68" i="1"/>
  <c r="L68" i="1"/>
  <c r="O68" i="1" s="1"/>
  <c r="L82" i="1"/>
  <c r="O82" i="1" s="1"/>
  <c r="K82" i="1"/>
  <c r="K77" i="1"/>
  <c r="L77" i="1"/>
  <c r="O77" i="1" s="1"/>
  <c r="L70" i="1"/>
  <c r="O70" i="1" s="1"/>
  <c r="K70" i="1"/>
  <c r="K65" i="1"/>
  <c r="L65" i="1"/>
  <c r="O65" i="1" s="1"/>
  <c r="K81" i="1"/>
  <c r="L81" i="1"/>
  <c r="O81" i="1" s="1"/>
  <c r="L63" i="1"/>
  <c r="O63" i="1" s="1"/>
  <c r="K63" i="1"/>
  <c r="L69" i="1"/>
  <c r="O69" i="1" s="1"/>
  <c r="K69" i="1"/>
  <c r="L74" i="1"/>
  <c r="O74" i="1" s="1"/>
  <c r="K74" i="1"/>
  <c r="L75" i="1"/>
  <c r="O75" i="1" s="1"/>
  <c r="K75" i="1"/>
  <c r="K64" i="1"/>
  <c r="L76" i="1"/>
  <c r="O76" i="1" s="1"/>
  <c r="M83" i="1"/>
  <c r="P83" i="1" s="1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M71" i="1" l="1"/>
  <c r="P71" i="1" s="1"/>
  <c r="Q71" i="1" s="1"/>
  <c r="N65" i="1"/>
  <c r="M65" i="1"/>
  <c r="P65" i="1" s="1"/>
  <c r="N68" i="1"/>
  <c r="M68" i="1"/>
  <c r="P68" i="1" s="1"/>
  <c r="R83" i="1"/>
  <c r="Q83" i="1"/>
  <c r="M69" i="1"/>
  <c r="P69" i="1" s="1"/>
  <c r="N69" i="1"/>
  <c r="M70" i="1"/>
  <c r="P70" i="1" s="1"/>
  <c r="N70" i="1"/>
  <c r="M76" i="1"/>
  <c r="P76" i="1" s="1"/>
  <c r="N74" i="1"/>
  <c r="M74" i="1"/>
  <c r="P74" i="1" s="1"/>
  <c r="N63" i="1"/>
  <c r="M63" i="1"/>
  <c r="P63" i="1" s="1"/>
  <c r="N62" i="1"/>
  <c r="M62" i="1"/>
  <c r="P62" i="1" s="1"/>
  <c r="M80" i="1"/>
  <c r="P80" i="1" s="1"/>
  <c r="N80" i="1"/>
  <c r="M64" i="1"/>
  <c r="P64" i="1" s="1"/>
  <c r="N64" i="1"/>
  <c r="N77" i="1"/>
  <c r="M77" i="1"/>
  <c r="P77" i="1" s="1"/>
  <c r="N81" i="1"/>
  <c r="M81" i="1"/>
  <c r="P81" i="1" s="1"/>
  <c r="N75" i="1"/>
  <c r="M75" i="1"/>
  <c r="P75" i="1" s="1"/>
  <c r="M82" i="1"/>
  <c r="P82" i="1" s="1"/>
  <c r="N82" i="1"/>
  <c r="L54" i="1"/>
  <c r="L53" i="1"/>
  <c r="L52" i="1"/>
  <c r="L51" i="1"/>
  <c r="L48" i="1"/>
  <c r="L47" i="1"/>
  <c r="L46" i="1"/>
  <c r="L45" i="1"/>
  <c r="L42" i="1"/>
  <c r="L41" i="1"/>
  <c r="O41" i="1" s="1"/>
  <c r="L40" i="1"/>
  <c r="L39" i="1"/>
  <c r="O39" i="1" s="1"/>
  <c r="L34" i="1"/>
  <c r="O34" i="1" s="1"/>
  <c r="L35" i="1"/>
  <c r="O35" i="1" s="1"/>
  <c r="L36" i="1"/>
  <c r="O36" i="1" s="1"/>
  <c r="L33" i="1"/>
  <c r="O33" i="1" s="1"/>
  <c r="K54" i="1"/>
  <c r="K53" i="1"/>
  <c r="K52" i="1"/>
  <c r="N52" i="1" s="1"/>
  <c r="K51" i="1"/>
  <c r="N51" i="1" s="1"/>
  <c r="K48" i="1"/>
  <c r="K47" i="1"/>
  <c r="O47" i="1" s="1"/>
  <c r="K46" i="1"/>
  <c r="N46" i="1" s="1"/>
  <c r="K45" i="1"/>
  <c r="N45" i="1" s="1"/>
  <c r="K42" i="1"/>
  <c r="K41" i="1"/>
  <c r="K40" i="1"/>
  <c r="K39" i="1"/>
  <c r="K34" i="1"/>
  <c r="K35" i="1"/>
  <c r="N35" i="1" s="1"/>
  <c r="K36" i="1"/>
  <c r="K33" i="1"/>
  <c r="N33" i="1" s="1"/>
  <c r="N53" i="1"/>
  <c r="N47" i="1"/>
  <c r="N41" i="1"/>
  <c r="N40" i="1"/>
  <c r="N39" i="1"/>
  <c r="N34" i="1"/>
  <c r="N36" i="1"/>
  <c r="H52" i="1"/>
  <c r="H53" i="1"/>
  <c r="H54" i="1"/>
  <c r="H51" i="1"/>
  <c r="I52" i="1"/>
  <c r="I53" i="1"/>
  <c r="I54" i="1"/>
  <c r="I51" i="1"/>
  <c r="I46" i="1"/>
  <c r="I47" i="1"/>
  <c r="I48" i="1"/>
  <c r="I45" i="1"/>
  <c r="H46" i="1"/>
  <c r="H47" i="1"/>
  <c r="H48" i="1"/>
  <c r="J48" i="1" s="1"/>
  <c r="H45" i="1"/>
  <c r="J54" i="1"/>
  <c r="I40" i="1"/>
  <c r="I41" i="1"/>
  <c r="I42" i="1"/>
  <c r="I39" i="1"/>
  <c r="I34" i="1"/>
  <c r="I35" i="1"/>
  <c r="I36" i="1"/>
  <c r="I33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R71" i="1" l="1"/>
  <c r="R69" i="1"/>
  <c r="Q69" i="1"/>
  <c r="Q75" i="1"/>
  <c r="R75" i="1"/>
  <c r="R80" i="1"/>
  <c r="Q80" i="1"/>
  <c r="R68" i="1"/>
  <c r="Q68" i="1"/>
  <c r="R82" i="1"/>
  <c r="Q82" i="1"/>
  <c r="Q74" i="1"/>
  <c r="R74" i="1"/>
  <c r="R81" i="1"/>
  <c r="Q81" i="1"/>
  <c r="R62" i="1"/>
  <c r="Q62" i="1"/>
  <c r="Q76" i="1"/>
  <c r="R76" i="1"/>
  <c r="Q64" i="1"/>
  <c r="R64" i="1"/>
  <c r="R65" i="1"/>
  <c r="Q65" i="1"/>
  <c r="Q77" i="1"/>
  <c r="R77" i="1"/>
  <c r="Q63" i="1"/>
  <c r="R63" i="1"/>
  <c r="Q70" i="1"/>
  <c r="R70" i="1"/>
  <c r="O53" i="1"/>
  <c r="O54" i="1"/>
  <c r="O48" i="1"/>
  <c r="O42" i="1"/>
  <c r="O40" i="1"/>
  <c r="O51" i="1"/>
  <c r="N54" i="1"/>
  <c r="O52" i="1"/>
  <c r="O45" i="1"/>
  <c r="N48" i="1"/>
  <c r="O46" i="1"/>
  <c r="N42" i="1"/>
  <c r="J47" i="1"/>
  <c r="J53" i="1"/>
  <c r="J52" i="1"/>
  <c r="J51" i="1"/>
  <c r="J46" i="1"/>
  <c r="J45" i="1"/>
  <c r="J41" i="1"/>
  <c r="J36" i="1"/>
  <c r="J40" i="1"/>
  <c r="J42" i="1"/>
  <c r="J39" i="1"/>
  <c r="M41" i="1"/>
  <c r="P41" i="1" s="1"/>
  <c r="J34" i="1"/>
  <c r="J35" i="1"/>
  <c r="J33" i="1"/>
  <c r="D80" i="12"/>
  <c r="C80" i="12"/>
  <c r="D79" i="12"/>
  <c r="C79" i="12"/>
  <c r="C78" i="12"/>
  <c r="D78" i="12" s="1"/>
  <c r="C77" i="12"/>
  <c r="D77" i="12" s="1"/>
  <c r="D76" i="12"/>
  <c r="C76" i="12"/>
  <c r="D75" i="12"/>
  <c r="C75" i="12"/>
  <c r="C74" i="12"/>
  <c r="D74" i="12" s="1"/>
  <c r="C73" i="12"/>
  <c r="D73" i="12" s="1"/>
  <c r="D72" i="12"/>
  <c r="C72" i="12"/>
  <c r="D71" i="12"/>
  <c r="C71" i="12"/>
  <c r="C70" i="12"/>
  <c r="D70" i="12" s="1"/>
  <c r="C69" i="12"/>
  <c r="D69" i="12" s="1"/>
  <c r="D68" i="12"/>
  <c r="C68" i="12"/>
  <c r="D67" i="12"/>
  <c r="C67" i="12"/>
  <c r="C66" i="12"/>
  <c r="D66" i="12" s="1"/>
  <c r="C65" i="12"/>
  <c r="D65" i="12" s="1"/>
  <c r="D64" i="12"/>
  <c r="C64" i="12"/>
  <c r="D63" i="12"/>
  <c r="C63" i="12"/>
  <c r="C62" i="12"/>
  <c r="D62" i="12" s="1"/>
  <c r="C61" i="12"/>
  <c r="D61" i="12" s="1"/>
  <c r="D60" i="12"/>
  <c r="C60" i="12"/>
  <c r="D59" i="12"/>
  <c r="C59" i="12"/>
  <c r="C58" i="12"/>
  <c r="D58" i="12" s="1"/>
  <c r="C57" i="12"/>
  <c r="D57" i="12" s="1"/>
  <c r="D56" i="12"/>
  <c r="C56" i="12"/>
  <c r="D55" i="12"/>
  <c r="C55" i="12"/>
  <c r="C54" i="12"/>
  <c r="D54" i="12" s="1"/>
  <c r="C53" i="12"/>
  <c r="D53" i="12" s="1"/>
  <c r="D52" i="12"/>
  <c r="C52" i="12"/>
  <c r="D51" i="12"/>
  <c r="C51" i="12"/>
  <c r="C50" i="12"/>
  <c r="D50" i="12" s="1"/>
  <c r="V38" i="12"/>
  <c r="S38" i="12"/>
  <c r="T38" i="12" s="1"/>
  <c r="P38" i="12"/>
  <c r="Q38" i="12" s="1"/>
  <c r="F38" i="12"/>
  <c r="C38" i="12"/>
  <c r="V37" i="12"/>
  <c r="T37" i="12"/>
  <c r="S37" i="12"/>
  <c r="P37" i="12"/>
  <c r="Q37" i="12" s="1"/>
  <c r="F37" i="12"/>
  <c r="C37" i="12"/>
  <c r="V36" i="12"/>
  <c r="S36" i="12"/>
  <c r="T36" i="12" s="1"/>
  <c r="P36" i="12"/>
  <c r="Q36" i="12" s="1"/>
  <c r="F36" i="12"/>
  <c r="C36" i="12"/>
  <c r="V35" i="12"/>
  <c r="S35" i="12"/>
  <c r="T35" i="12" s="1"/>
  <c r="Q35" i="12"/>
  <c r="P35" i="12"/>
  <c r="F35" i="12"/>
  <c r="C35" i="12"/>
  <c r="V34" i="12"/>
  <c r="S34" i="12"/>
  <c r="T34" i="12" s="1"/>
  <c r="P34" i="12"/>
  <c r="Q34" i="12" s="1"/>
  <c r="F34" i="12"/>
  <c r="C34" i="12"/>
  <c r="V33" i="12"/>
  <c r="S33" i="12"/>
  <c r="T33" i="12" s="1"/>
  <c r="P33" i="12"/>
  <c r="Q33" i="12" s="1"/>
  <c r="F33" i="12"/>
  <c r="C33" i="12"/>
  <c r="V32" i="12"/>
  <c r="S32" i="12"/>
  <c r="T32" i="12" s="1"/>
  <c r="P32" i="12"/>
  <c r="Q32" i="12" s="1"/>
  <c r="F32" i="12"/>
  <c r="C32" i="12"/>
  <c r="V31" i="12"/>
  <c r="S31" i="12"/>
  <c r="T31" i="12" s="1"/>
  <c r="Q31" i="12"/>
  <c r="P31" i="12"/>
  <c r="F31" i="12"/>
  <c r="C31" i="12"/>
  <c r="V30" i="12"/>
  <c r="S30" i="12"/>
  <c r="T30" i="12" s="1"/>
  <c r="P30" i="12"/>
  <c r="Q30" i="12" s="1"/>
  <c r="F30" i="12"/>
  <c r="C30" i="12"/>
  <c r="V29" i="12"/>
  <c r="T29" i="12"/>
  <c r="S29" i="12"/>
  <c r="P29" i="12"/>
  <c r="Q29" i="12" s="1"/>
  <c r="F29" i="12"/>
  <c r="C29" i="12"/>
  <c r="V28" i="12"/>
  <c r="S28" i="12"/>
  <c r="T28" i="12" s="1"/>
  <c r="P28" i="12"/>
  <c r="Q28" i="12" s="1"/>
  <c r="F28" i="12"/>
  <c r="C28" i="12"/>
  <c r="V27" i="12"/>
  <c r="S27" i="12"/>
  <c r="T27" i="12" s="1"/>
  <c r="Q27" i="12"/>
  <c r="P27" i="12"/>
  <c r="F27" i="12"/>
  <c r="C27" i="12"/>
  <c r="V26" i="12"/>
  <c r="S26" i="12"/>
  <c r="T26" i="12" s="1"/>
  <c r="P26" i="12"/>
  <c r="Q26" i="12" s="1"/>
  <c r="F26" i="12"/>
  <c r="C26" i="12"/>
  <c r="V25" i="12"/>
  <c r="T25" i="12"/>
  <c r="S25" i="12"/>
  <c r="P25" i="12"/>
  <c r="Q25" i="12" s="1"/>
  <c r="F25" i="12"/>
  <c r="C25" i="12"/>
  <c r="V24" i="12"/>
  <c r="T24" i="12"/>
  <c r="S24" i="12"/>
  <c r="P24" i="12"/>
  <c r="Q24" i="12" s="1"/>
  <c r="F24" i="12"/>
  <c r="C24" i="12"/>
  <c r="V23" i="12"/>
  <c r="S23" i="12"/>
  <c r="T23" i="12" s="1"/>
  <c r="Q23" i="12"/>
  <c r="P23" i="12"/>
  <c r="F23" i="12"/>
  <c r="C23" i="12"/>
  <c r="V22" i="12"/>
  <c r="S22" i="12"/>
  <c r="T22" i="12" s="1"/>
  <c r="Q22" i="12"/>
  <c r="P22" i="12"/>
  <c r="F22" i="12"/>
  <c r="C22" i="12"/>
  <c r="V21" i="12"/>
  <c r="T21" i="12"/>
  <c r="S21" i="12"/>
  <c r="P21" i="12"/>
  <c r="Q21" i="12" s="1"/>
  <c r="F21" i="12"/>
  <c r="C21" i="12"/>
  <c r="V20" i="12"/>
  <c r="S20" i="12"/>
  <c r="T20" i="12" s="1"/>
  <c r="P20" i="12"/>
  <c r="Q20" i="12" s="1"/>
  <c r="F20" i="12"/>
  <c r="C20" i="12"/>
  <c r="V19" i="12"/>
  <c r="S19" i="12"/>
  <c r="T19" i="12" s="1"/>
  <c r="Q19" i="12"/>
  <c r="P19" i="12"/>
  <c r="F19" i="12"/>
  <c r="C19" i="12"/>
  <c r="V18" i="12"/>
  <c r="S18" i="12"/>
  <c r="T18" i="12" s="1"/>
  <c r="P18" i="12"/>
  <c r="Q18" i="12" s="1"/>
  <c r="F18" i="12"/>
  <c r="C18" i="12"/>
  <c r="V17" i="12"/>
  <c r="S17" i="12"/>
  <c r="T17" i="12" s="1"/>
  <c r="P17" i="12"/>
  <c r="Q17" i="12" s="1"/>
  <c r="F17" i="12"/>
  <c r="C17" i="12"/>
  <c r="V16" i="12"/>
  <c r="S16" i="12"/>
  <c r="T16" i="12" s="1"/>
  <c r="P16" i="12"/>
  <c r="Q16" i="12" s="1"/>
  <c r="F16" i="12"/>
  <c r="C16" i="12"/>
  <c r="V15" i="12"/>
  <c r="S15" i="12"/>
  <c r="T15" i="12" s="1"/>
  <c r="P15" i="12"/>
  <c r="Q15" i="12" s="1"/>
  <c r="F15" i="12"/>
  <c r="C15" i="12"/>
  <c r="V14" i="12"/>
  <c r="S14" i="12"/>
  <c r="T14" i="12" s="1"/>
  <c r="P14" i="12"/>
  <c r="Q14" i="12" s="1"/>
  <c r="F14" i="12"/>
  <c r="C14" i="12"/>
  <c r="V13" i="12"/>
  <c r="S13" i="12"/>
  <c r="T13" i="12" s="1"/>
  <c r="P13" i="12"/>
  <c r="Q13" i="12" s="1"/>
  <c r="F13" i="12"/>
  <c r="C13" i="12"/>
  <c r="V12" i="12"/>
  <c r="S12" i="12"/>
  <c r="T12" i="12" s="1"/>
  <c r="P12" i="12"/>
  <c r="Q12" i="12" s="1"/>
  <c r="F12" i="12"/>
  <c r="C12" i="12"/>
  <c r="V11" i="12"/>
  <c r="S11" i="12"/>
  <c r="T11" i="12" s="1"/>
  <c r="P11" i="12"/>
  <c r="Q11" i="12" s="1"/>
  <c r="F11" i="12"/>
  <c r="C11" i="12"/>
  <c r="V10" i="12"/>
  <c r="S10" i="12"/>
  <c r="T10" i="12" s="1"/>
  <c r="P10" i="12"/>
  <c r="Q10" i="12" s="1"/>
  <c r="F10" i="12"/>
  <c r="C10" i="12"/>
  <c r="Q41" i="1" l="1"/>
  <c r="R41" i="1"/>
  <c r="M45" i="1"/>
  <c r="P45" i="1" s="1"/>
  <c r="M53" i="1"/>
  <c r="P53" i="1" s="1"/>
  <c r="M47" i="1"/>
  <c r="P47" i="1" s="1"/>
  <c r="M46" i="1"/>
  <c r="P46" i="1" s="1"/>
  <c r="M48" i="1"/>
  <c r="P48" i="1" s="1"/>
  <c r="M52" i="1"/>
  <c r="P52" i="1" s="1"/>
  <c r="M51" i="1"/>
  <c r="P51" i="1" s="1"/>
  <c r="M54" i="1"/>
  <c r="P54" i="1" s="1"/>
  <c r="M40" i="1"/>
  <c r="P40" i="1" s="1"/>
  <c r="M42" i="1"/>
  <c r="P42" i="1" s="1"/>
  <c r="M39" i="1"/>
  <c r="P39" i="1" s="1"/>
  <c r="M35" i="1"/>
  <c r="P35" i="1" s="1"/>
  <c r="M33" i="1"/>
  <c r="P33" i="1" s="1"/>
  <c r="M34" i="1"/>
  <c r="P34" i="1" s="1"/>
  <c r="M36" i="1"/>
  <c r="P36" i="1" s="1"/>
  <c r="N51" i="4"/>
  <c r="R51" i="1" l="1"/>
  <c r="Q51" i="1"/>
  <c r="R54" i="1"/>
  <c r="Q54" i="1"/>
  <c r="Q52" i="1"/>
  <c r="R52" i="1"/>
  <c r="R53" i="1"/>
  <c r="Q53" i="1"/>
  <c r="Q48" i="1"/>
  <c r="R48" i="1"/>
  <c r="R46" i="1"/>
  <c r="Q46" i="1"/>
  <c r="R47" i="1"/>
  <c r="Q47" i="1"/>
  <c r="R45" i="1"/>
  <c r="Q45" i="1"/>
  <c r="R39" i="1"/>
  <c r="Q39" i="1"/>
  <c r="Q42" i="1"/>
  <c r="R42" i="1"/>
  <c r="R40" i="1"/>
  <c r="Q40" i="1"/>
  <c r="Q36" i="1"/>
  <c r="R36" i="1"/>
  <c r="R34" i="1"/>
  <c r="Q34" i="1"/>
  <c r="R35" i="1"/>
  <c r="Q35" i="1"/>
  <c r="Q33" i="1"/>
  <c r="R33" i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I79" i="11"/>
  <c r="L77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I67" i="6"/>
  <c r="I68" i="6"/>
  <c r="I66" i="6"/>
  <c r="I47" i="6"/>
  <c r="I48" i="6"/>
  <c r="I49" i="6"/>
  <c r="H66" i="6"/>
  <c r="H45" i="6"/>
  <c r="I31" i="6"/>
  <c r="I30" i="6"/>
  <c r="I29" i="6"/>
  <c r="I28" i="6"/>
  <c r="H26" i="6"/>
  <c r="I8" i="6"/>
  <c r="I9" i="6"/>
  <c r="I10" i="6"/>
  <c r="I11" i="6"/>
  <c r="I12" i="6"/>
  <c r="H7" i="6"/>
  <c r="I69" i="6" s="1"/>
  <c r="I46" i="6" l="1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H29" i="9" s="1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8" i="9" l="1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R69" i="8" l="1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13" i="8" l="1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M31" i="11" l="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16" i="8" l="1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<sst xmlns="http://schemas.openxmlformats.org/spreadsheetml/2006/main" count="3632" uniqueCount="262">
  <si>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</si>
  <si>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</si>
  <si>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</si>
  <si>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</si>
  <si>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</si>
  <si>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</si>
  <si>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</si>
  <si>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</si>
  <si>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</si>
  <si>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</si>
  <si>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</si>
  <si>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</si>
  <si>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</si>
  <si>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</si>
  <si>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</si>
  <si>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</si>
  <si>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</si>
  <si>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</si>
  <si>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</si>
  <si>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</si>
  <si>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</si>
  <si>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</si>
  <si>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</si>
  <si>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</si>
  <si>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</si>
  <si>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</si>
  <si>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</si>
  <si>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</si>
  <si>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</si>
  <si>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</si>
  <si>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</si>
  <si>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</si>
  <si>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</si>
  <si>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</si>
  <si>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</si>
  <si>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</si>
  <si>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</si>
  <si>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</si>
  <si>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</si>
  <si>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</si>
  <si>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</si>
  <si>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</si>
  <si>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</si>
  <si>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</si>
  <si>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</si>
  <si>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</si>
  <si>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</si>
  <si>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</si>
  <si>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</si>
  <si>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</si>
  <si>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</si>
  <si>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</si>
  <si>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</si>
  <si>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</si>
  <si>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</si>
  <si>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</si>
  <si>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</si>
  <si>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</si>
  <si>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</si>
  <si>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</si>
  <si>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</si>
  <si>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</si>
  <si>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</si>
  <si>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</si>
  <si>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</si>
  <si>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</si>
  <si>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</si>
  <si>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</si>
  <si>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</si>
  <si>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</si>
  <si>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</si>
  <si>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</si>
  <si>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</si>
  <si>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</si>
  <si>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</si>
  <si>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</si>
  <si>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</si>
  <si>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</si>
  <si>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</si>
  <si>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</si>
  <si>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</si>
  <si>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</si>
  <si>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</si>
  <si>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</si>
  <si>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</si>
  <si>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</si>
  <si>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</si>
  <si>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</si>
  <si>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</si>
  <si>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</si>
  <si>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</si>
  <si>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</si>
  <si>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</si>
  <si>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</si>
  <si>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</si>
  <si>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</si>
  <si>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</si>
  <si>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</si>
  <si>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</si>
  <si>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</si>
  <si>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</si>
  <si>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</si>
  <si>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</si>
  <si>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</si>
  <si>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</si>
  <si>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</si>
  <si>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</si>
  <si>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</si>
  <si>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</si>
  <si>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</si>
  <si>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</si>
  <si>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</si>
  <si>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</si>
  <si>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</si>
  <si>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</si>
  <si>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</si>
  <si>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</si>
  <si>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</si>
  <si>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</si>
  <si>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</si>
  <si>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</si>
  <si>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</si>
  <si>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</si>
  <si>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</si>
  <si>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</si>
  <si>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</si>
  <si>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</si>
  <si>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</si>
  <si>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</si>
  <si>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</si>
  <si>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</si>
  <si>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</si>
  <si>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</si>
  <si>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</si>
  <si>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</si>
  <si>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</si>
  <si>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</si>
  <si>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</si>
  <si>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</si>
  <si>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</si>
  <si>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</si>
  <si>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</si>
  <si>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</si>
  <si>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</si>
  <si>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</si>
  <si>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</si>
  <si>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</si>
  <si>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</si>
  <si>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</si>
  <si>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</si>
  <si>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</si>
  <si>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</si>
  <si>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</si>
  <si>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</si>
  <si>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</si>
  <si>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</si>
  <si>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</si>
  <si>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</si>
  <si>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</si>
  <si>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</si>
  <si>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</si>
  <si>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</si>
  <si>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</si>
  <si>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</si>
  <si>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</si>
  <si>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</si>
  <si>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</si>
  <si>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</si>
  <si>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</si>
  <si>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</si>
  <si>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</si>
  <si>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</si>
  <si>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</si>
  <si>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</si>
  <si>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</si>
  <si>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</si>
  <si>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</si>
  <si>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</si>
  <si>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</si>
  <si>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</si>
  <si>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</si>
  <si>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</si>
  <si>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</si>
  <si>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</si>
  <si>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</si>
  <si>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</si>
  <si>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</si>
  <si>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</si>
  <si>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</si>
  <si>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</si>
  <si>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</si>
  <si>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</si>
  <si>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</si>
  <si>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</si>
  <si>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</si>
  <si>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ESTE BOTON SE DEBE PRESIONAR 2 VECES, LUEGO DE HABER CORRIDO TODAS LAS MACROS DENTRO DE CADA UNA DE LAS HOJAS DEL EXCEL</t>
  </si>
  <si>
    <t>ESTE BOTON SE DEBE PRESIONAR UNA VEZ QUE SE HA CORRIDO EL MODELO DE ETABS CON LAS CARGAS SISMICAS DEL DINAMICO MAYORADO  Y EXPORTADO LAS TABLAS DE DISEÑO Y GUARDADO COMO LIBRO2.XLSX</t>
  </si>
  <si>
    <t>ESTE BOTON SE DEBE PRESIONAR CUANDO SE HA CORRIDO EL MODELO DE ETABS POR PRIMERA VEZ, CARGADO CON EL ESPECTRO, Y EXPORTADO LAS TABLAS INICIALES Y GUARDADO COMO LIBRO1.XLSX</t>
  </si>
  <si>
    <t>TABLE:  Auto Seismic - UBC 94</t>
  </si>
  <si>
    <t>Load Pattern</t>
  </si>
  <si>
    <t>Type</t>
  </si>
  <si>
    <t>Period Method</t>
  </si>
  <si>
    <t>Ct</t>
  </si>
  <si>
    <t>Top Story</t>
  </si>
  <si>
    <t>Bottom Story</t>
  </si>
  <si>
    <t>Rw</t>
  </si>
  <si>
    <t>Z</t>
  </si>
  <si>
    <t>S</t>
  </si>
  <si>
    <t>I</t>
  </si>
  <si>
    <t>Period Used</t>
  </si>
  <si>
    <t>Coeff Used</t>
  </si>
  <si>
    <t>Weight Used</t>
  </si>
  <si>
    <t>Base Shear</t>
  </si>
  <si>
    <t>Ft Used</t>
  </si>
  <si>
    <t>ft</t>
  </si>
  <si>
    <t>sec</t>
  </si>
  <si>
    <t>SX</t>
  </si>
  <si>
    <t>Seismic</t>
  </si>
  <si>
    <t>X</t>
  </si>
  <si>
    <t>Program Calculated</t>
  </si>
  <si>
    <t>SY</t>
  </si>
  <si>
    <t>Y</t>
  </si>
  <si>
    <t>TABLE:  Modal Participating Mass Ratios</t>
  </si>
  <si>
    <t>Case</t>
  </si>
  <si>
    <t>Mode</t>
  </si>
  <si>
    <t>Period</t>
  </si>
  <si>
    <t>UX</t>
  </si>
  <si>
    <t>UY</t>
  </si>
  <si>
    <t>UZ</t>
  </si>
  <si>
    <t>Sum UX</t>
  </si>
  <si>
    <t>Sum UY</t>
  </si>
  <si>
    <t>Sum UZ</t>
  </si>
  <si>
    <t>RX</t>
  </si>
  <si>
    <t>RY</t>
  </si>
  <si>
    <t>RZ</t>
  </si>
  <si>
    <t>Sum RX</t>
  </si>
  <si>
    <t>Sum RY</t>
  </si>
  <si>
    <t>Sum RZ</t>
  </si>
  <si>
    <t>Modal</t>
  </si>
  <si>
    <t>Step Type</t>
  </si>
  <si>
    <t>ESPECTRO X</t>
  </si>
  <si>
    <t>Max</t>
  </si>
  <si>
    <t>Bottom</t>
  </si>
  <si>
    <t>ESPECTRO Y</t>
  </si>
  <si>
    <t>Step</t>
  </si>
  <si>
    <t>Single Step</t>
  </si>
  <si>
    <t>S D+L</t>
  </si>
  <si>
    <t>Shear X</t>
  </si>
  <si>
    <t>Drift X</t>
  </si>
  <si>
    <t>Shear Y</t>
  </si>
  <si>
    <t>Drift Y</t>
  </si>
  <si>
    <t>TABLE:  Story Drifts</t>
  </si>
  <si>
    <t>Drift</t>
  </si>
  <si>
    <t>Label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</si>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</sst>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/>
  </cellStyles>
  <dxfs count="21"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121920</xdr:rowOff>
        </xdr:from>
        <xdr:to>
          <xdr:col>5</xdr:col>
          <xdr:colOff>449580</xdr:colOff>
          <xdr:row>8</xdr:row>
          <xdr:rowOff>45720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10</xdr:row>
          <xdr:rowOff>83820</xdr:rowOff>
        </xdr:from>
        <xdr:to>
          <xdr:col>5</xdr:col>
          <xdr:colOff>449580</xdr:colOff>
          <xdr:row>16</xdr:row>
          <xdr:rowOff>144780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19</xdr:row>
          <xdr:rowOff>38100</xdr:rowOff>
        </xdr:from>
        <xdr:to>
          <xdr:col>5</xdr:col>
          <xdr:colOff>472440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99060</xdr:rowOff>
        </xdr:from>
        <xdr:to>
          <xdr:col>15</xdr:col>
          <xdr:colOff>38100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3</xdr:row>
          <xdr:rowOff>83820</xdr:rowOff>
        </xdr:from>
        <xdr:to>
          <xdr:col>12</xdr:col>
          <xdr:colOff>152400</xdr:colOff>
          <xdr:row>39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9</xdr:row>
          <xdr:rowOff>0</xdr:rowOff>
        </xdr:from>
        <xdr:to>
          <xdr:col>15</xdr:col>
          <xdr:colOff>510540</xdr:colOff>
          <xdr:row>49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784860</xdr:colOff>
          <xdr:row>0</xdr:row>
          <xdr:rowOff>99060</xdr:rowOff>
        </xdr:from>
        <xdr:to>
          <xdr:col>11</xdr:col>
          <xdr:colOff>381000</xdr:colOff>
          <xdr:row>10</xdr:row>
          <xdr:rowOff>45720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708660</xdr:colOff>
      <xdr:row>3</xdr:row>
      <xdr:rowOff>30480</xdr:rowOff>
    </xdr:from>
    <xdr:to>
      <xdr:col>14</xdr:col>
      <xdr:colOff>137160</xdr:colOff>
      <xdr:row>6</xdr:row>
      <xdr:rowOff>137160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1010900" y="5791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152400</xdr:rowOff>
        </xdr:from>
        <xdr:to>
          <xdr:col>13</xdr:col>
          <xdr:colOff>274320</xdr:colOff>
          <xdr:row>10</xdr:row>
          <xdr:rowOff>99060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3</xdr:row>
      <xdr:rowOff>0</xdr:rowOff>
    </xdr:from>
    <xdr:to>
      <xdr:col>16</xdr:col>
      <xdr:colOff>220980</xdr:colOff>
      <xdr:row>6</xdr:row>
      <xdr:rowOff>106680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2679680" y="5486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5:G132" totalsRowShown="0" headerRowDxfId="19" tableBorderDxfId="20">
  <autoFilter ref="B5:G132">
    <filterColumn colId="1">
      <filters>
        <filter val="EQXEP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137:G264" totalsRowShown="0" headerRowDxfId="17" tableBorderDxfId="18">
  <autoFilter ref="B137:G264">
    <filterColumn colId="1">
      <filters>
        <filter val="EQXEN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B269:G396" totalsRowShown="0" headerRowDxfId="15" tableBorderDxfId="16">
  <autoFilter ref="B269:G396">
    <filterColumn colId="1">
      <filters>
        <filter val="EQYEP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B401:G528" totalsRowShown="0" headerRowDxfId="13" tableBorderDxfId="14">
  <autoFilter ref="B401:G528">
    <filterColumn colId="1">
      <filters>
        <filter val="EQYEN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B5:I132" totalsRowShown="0" headerRowDxfId="11" tableBorderDxfId="12">
  <autoFilter ref="B5:I132">
    <filterColumn colId="1">
      <filters>
        <filter val="EQXEP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B137:I264" totalsRowShown="0" headerRowDxfId="9" tableBorderDxfId="10">
  <autoFilter ref="B137:I264">
    <filterColumn colId="1">
      <filters>
        <filter val="EQXEN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B269:I396" totalsRowShown="0" headerRowDxfId="7" tableBorderDxfId="8">
  <autoFilter ref="B269:I396">
    <filterColumn colId="1">
      <filters>
        <filter val="EQYEP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Tabla8" displayName="Tabla8" ref="B401:I528" totalsRowShown="0" headerRowDxfId="0" tableBorderDxfId="1">
  <autoFilter ref="B401:I528">
    <filterColumn colId="1">
      <filters>
        <filter val="EQYEN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4:M33"/>
  <sheetViews>
    <sheetView workbookViewId="0"/>
  </sheetViews>
  <sheetFormatPr baseColWidth="10" defaultRowHeight="14.4" x14ac:dyDescent="0.3"/>
  <sheetData>
    <row r="4" spans="7:13" x14ac:dyDescent="0.3">
      <c r="G4" s="191" t="s">
        <v>197</v>
      </c>
      <c r="H4" s="191"/>
      <c r="I4" s="191"/>
      <c r="J4" s="191"/>
      <c r="K4" s="191"/>
      <c r="L4" s="191"/>
      <c r="M4" s="191"/>
    </row>
    <row r="5" spans="7:13" x14ac:dyDescent="0.3">
      <c r="G5" s="191"/>
      <c r="H5" s="191"/>
      <c r="I5" s="191"/>
      <c r="J5" s="191"/>
      <c r="K5" s="191"/>
      <c r="L5" s="191"/>
      <c r="M5" s="191"/>
    </row>
    <row r="6" spans="7:13" x14ac:dyDescent="0.3">
      <c r="G6" s="191"/>
      <c r="H6" s="191"/>
      <c r="I6" s="191"/>
      <c r="J6" s="191"/>
      <c r="K6" s="191"/>
      <c r="L6" s="191"/>
      <c r="M6" s="191"/>
    </row>
    <row r="13" spans="7:13" x14ac:dyDescent="0.3">
      <c r="G13" s="191" t="s">
        <v>196</v>
      </c>
      <c r="H13" s="191"/>
      <c r="I13" s="191"/>
      <c r="J13" s="191"/>
      <c r="K13" s="191"/>
      <c r="L13" s="191"/>
      <c r="M13" s="191"/>
    </row>
    <row r="14" spans="7:13" x14ac:dyDescent="0.3">
      <c r="G14" s="191"/>
      <c r="H14" s="191"/>
      <c r="I14" s="191"/>
      <c r="J14" s="191"/>
      <c r="K14" s="191"/>
      <c r="L14" s="191"/>
      <c r="M14" s="191"/>
    </row>
    <row r="15" spans="7:13" x14ac:dyDescent="0.3">
      <c r="G15" s="191"/>
      <c r="H15" s="191"/>
      <c r="I15" s="191"/>
      <c r="J15" s="191"/>
      <c r="K15" s="191"/>
      <c r="L15" s="191"/>
      <c r="M15" s="191"/>
    </row>
    <row r="20" spans="2:13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ht="14.4" customHeight="1" x14ac:dyDescent="0.3">
      <c r="B21" s="75"/>
      <c r="C21" s="75"/>
      <c r="D21" s="75"/>
      <c r="E21" s="75"/>
      <c r="F21" s="75"/>
      <c r="G21" s="192" t="s">
        <v>195</v>
      </c>
      <c r="H21" s="192"/>
      <c r="I21" s="192"/>
      <c r="J21" s="192"/>
      <c r="K21" s="192"/>
      <c r="L21" s="192"/>
      <c r="M21" s="192"/>
    </row>
    <row r="22" spans="2:13" x14ac:dyDescent="0.3">
      <c r="B22" s="75"/>
      <c r="C22" s="75"/>
      <c r="D22" s="75"/>
      <c r="E22" s="75"/>
      <c r="F22" s="75"/>
      <c r="G22" s="192"/>
      <c r="H22" s="192"/>
      <c r="I22" s="192"/>
      <c r="J22" s="192"/>
      <c r="K22" s="192"/>
      <c r="L22" s="192"/>
      <c r="M22" s="192"/>
    </row>
    <row r="23" spans="2:13" x14ac:dyDescent="0.3">
      <c r="B23" s="75"/>
      <c r="C23" s="75"/>
      <c r="D23" s="75"/>
      <c r="E23" s="75"/>
      <c r="F23" s="75"/>
      <c r="G23" s="192"/>
      <c r="H23" s="192"/>
      <c r="I23" s="192"/>
      <c r="J23" s="192"/>
      <c r="K23" s="192"/>
      <c r="L23" s="192"/>
      <c r="M23" s="192"/>
    </row>
    <row r="24" spans="2:13" x14ac:dyDescent="0.3">
      <c r="B24" s="75"/>
      <c r="C24" s="75"/>
      <c r="D24" s="75"/>
      <c r="E24" s="75"/>
      <c r="F24" s="75"/>
      <c r="G24" s="190"/>
      <c r="H24" s="190"/>
      <c r="I24" s="190"/>
      <c r="J24" s="190"/>
      <c r="K24" s="190"/>
      <c r="L24" s="190"/>
      <c r="M24" s="75"/>
    </row>
    <row r="25" spans="2:13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13:M15"/>
    <mergeCell ref="G21:M23"/>
    <mergeCell ref="G4:M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350520</xdr:colOff>
                    <xdr:row>1</xdr:row>
                    <xdr:rowOff>121920</xdr:rowOff>
                  </from>
                  <to>
                    <xdr:col>5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350520</xdr:colOff>
                    <xdr:row>10</xdr:row>
                    <xdr:rowOff>83820</xdr:rowOff>
                  </from>
                  <to>
                    <xdr:col>5</xdr:col>
                    <xdr:colOff>449580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396240</xdr:colOff>
                    <xdr:row>19</xdr:row>
                    <xdr:rowOff>38100</xdr:rowOff>
                  </from>
                  <to>
                    <xdr:col>5</xdr:col>
                    <xdr:colOff>472440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83"/>
  <sheetViews>
    <sheetView workbookViewId="0">
      <selection activeCell="K17" sqref="K17"/>
    </sheetView>
  </sheetViews>
  <sheetFormatPr baseColWidth="10" defaultRowHeight="14.4" x14ac:dyDescent="0.3"/>
  <cols>
    <col min="2" max="2" width="28.88671875" customWidth="1"/>
    <col min="6" max="6" width="29.88671875" customWidth="1"/>
    <col min="7" max="7" width="11.33203125" customWidth="1"/>
    <col min="8" max="8" width="11.21875" customWidth="1"/>
    <col min="9" max="9" width="13.44140625" customWidth="1"/>
    <col min="10" max="10" width="34.109375" customWidth="1"/>
    <col min="13" max="13" width="14.21875" customWidth="1"/>
    <col min="17" max="17" width="12.5546875" bestFit="1" customWidth="1"/>
  </cols>
  <sheetData>
    <row r="2" spans="2:12" x14ac:dyDescent="0.3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3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3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3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3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3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3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3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3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3">
      <c r="E11" s="1">
        <v>9</v>
      </c>
      <c r="F11" s="1" t="s">
        <v>142</v>
      </c>
      <c r="G11" s="1">
        <v>200</v>
      </c>
      <c r="H11" s="1"/>
    </row>
    <row r="12" spans="2:12" x14ac:dyDescent="0.3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3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3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3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3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3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3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3">
      <c r="F20" s="1"/>
      <c r="G20" s="1" t="s">
        <v>37</v>
      </c>
    </row>
    <row r="21" spans="2:18" x14ac:dyDescent="0.3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3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3">
      <c r="B23" s="1" t="s">
        <v>32</v>
      </c>
      <c r="C23" s="1">
        <v>200</v>
      </c>
      <c r="D23" s="1">
        <v>200</v>
      </c>
    </row>
    <row r="24" spans="2:18" x14ac:dyDescent="0.3">
      <c r="B24" s="1" t="s">
        <v>2</v>
      </c>
      <c r="C24" s="1">
        <v>25</v>
      </c>
      <c r="D24" s="1">
        <v>25</v>
      </c>
    </row>
    <row r="25" spans="2:18" x14ac:dyDescent="0.3">
      <c r="B25" s="1" t="s">
        <v>33</v>
      </c>
      <c r="C25" s="1">
        <v>50</v>
      </c>
      <c r="D25" s="1">
        <v>50</v>
      </c>
    </row>
    <row r="26" spans="2:18" s="5" customFormat="1" x14ac:dyDescent="0.3">
      <c r="B26" s="1" t="s">
        <v>34</v>
      </c>
      <c r="C26" s="1">
        <v>10</v>
      </c>
      <c r="D26" s="1">
        <v>10</v>
      </c>
    </row>
    <row r="27" spans="2:18" x14ac:dyDescent="0.3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3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3">
      <c r="B29" s="193" t="s">
        <v>38</v>
      </c>
      <c r="C29" s="195">
        <f>+G22*3.23</f>
        <v>952.85</v>
      </c>
      <c r="D29" s="195"/>
      <c r="G29" s="9" t="s">
        <v>152</v>
      </c>
      <c r="H29">
        <v>4</v>
      </c>
      <c r="I29" t="s">
        <v>155</v>
      </c>
    </row>
    <row r="30" spans="2:18" x14ac:dyDescent="0.3">
      <c r="B30" s="194"/>
      <c r="C30" s="196"/>
      <c r="D30" s="196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3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3">
      <c r="B32" s="197" t="s">
        <v>163</v>
      </c>
      <c r="C32" s="1"/>
      <c r="D32" s="1"/>
      <c r="F32" t="s">
        <v>164</v>
      </c>
    </row>
    <row r="33" spans="2:18" x14ac:dyDescent="0.3">
      <c r="B33" s="197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3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3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3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3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3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3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3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3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3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3">
      <c r="P43" s="100"/>
    </row>
    <row r="44" spans="2:18" x14ac:dyDescent="0.3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3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3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3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3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3">
      <c r="P49" s="100"/>
    </row>
    <row r="50" spans="6:18" x14ac:dyDescent="0.3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3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3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3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3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3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3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3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3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3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3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3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3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3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3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3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3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3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3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3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3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3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3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3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3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3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3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3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3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3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3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3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128"/>
  <sheetViews>
    <sheetView topLeftCell="B1" workbookViewId="0">
      <selection activeCell="X50" sqref="X50"/>
    </sheetView>
  </sheetViews>
  <sheetFormatPr baseColWidth="10" defaultRowHeight="14.4" x14ac:dyDescent="0.3"/>
  <sheetData>
    <row r="1" spans="1:25" x14ac:dyDescent="0.3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3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3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3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3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3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3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3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3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3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3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3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3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3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3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3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3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3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3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3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3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3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3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3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3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3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3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3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3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3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3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3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3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3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3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3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3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3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3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3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3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3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3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3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3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3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3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3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3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3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3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3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3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3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3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3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3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3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3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3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3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3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3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3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3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3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3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3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3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3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3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3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3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3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3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3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3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3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3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3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3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3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3">
      <c r="P89">
        <v>5.2</v>
      </c>
      <c r="Q89">
        <v>0.12115384615384614</v>
      </c>
    </row>
    <row r="90" spans="1:25" x14ac:dyDescent="0.3">
      <c r="P90">
        <v>5.3</v>
      </c>
      <c r="Q90">
        <v>0.1188679245283019</v>
      </c>
    </row>
    <row r="91" spans="1:25" x14ac:dyDescent="0.3">
      <c r="P91">
        <v>5.4</v>
      </c>
      <c r="Q91">
        <v>0.11666666666666667</v>
      </c>
    </row>
    <row r="92" spans="1:25" x14ac:dyDescent="0.3">
      <c r="P92">
        <v>5.5</v>
      </c>
      <c r="Q92">
        <v>0.11454545454545456</v>
      </c>
    </row>
    <row r="93" spans="1:25" x14ac:dyDescent="0.3">
      <c r="P93">
        <v>5.6</v>
      </c>
      <c r="Q93">
        <v>0.1125</v>
      </c>
    </row>
    <row r="94" spans="1:25" x14ac:dyDescent="0.3">
      <c r="P94">
        <v>5.7</v>
      </c>
      <c r="Q94">
        <v>0.11052631578947369</v>
      </c>
    </row>
    <row r="95" spans="1:25" x14ac:dyDescent="0.3">
      <c r="P95">
        <v>5.8</v>
      </c>
      <c r="Q95">
        <v>0.10862068965517242</v>
      </c>
    </row>
    <row r="96" spans="1:25" x14ac:dyDescent="0.3">
      <c r="P96">
        <v>5.9</v>
      </c>
      <c r="Q96">
        <v>0.10677966101694916</v>
      </c>
    </row>
    <row r="97" spans="16:17" x14ac:dyDescent="0.3">
      <c r="P97">
        <v>6</v>
      </c>
      <c r="Q97">
        <v>0.10500000000000001</v>
      </c>
    </row>
    <row r="98" spans="16:17" x14ac:dyDescent="0.3">
      <c r="P98">
        <v>6.1</v>
      </c>
      <c r="Q98">
        <v>0.10327868852459018</v>
      </c>
    </row>
    <row r="99" spans="16:17" x14ac:dyDescent="0.3">
      <c r="P99">
        <v>6.2</v>
      </c>
      <c r="Q99">
        <v>0.10161290322580646</v>
      </c>
    </row>
    <row r="100" spans="16:17" x14ac:dyDescent="0.3">
      <c r="P100">
        <v>6.3</v>
      </c>
      <c r="Q100">
        <v>0.1</v>
      </c>
    </row>
    <row r="101" spans="16:17" x14ac:dyDescent="0.3">
      <c r="P101">
        <v>6.4</v>
      </c>
      <c r="Q101">
        <v>9.8437500000000011E-2</v>
      </c>
    </row>
    <row r="102" spans="16:17" x14ac:dyDescent="0.3">
      <c r="P102">
        <v>6.5</v>
      </c>
      <c r="Q102">
        <v>9.6923076923076931E-2</v>
      </c>
    </row>
    <row r="103" spans="16:17" x14ac:dyDescent="0.3">
      <c r="P103">
        <v>6.6</v>
      </c>
      <c r="Q103">
        <v>9.5454545454545472E-2</v>
      </c>
    </row>
    <row r="104" spans="16:17" x14ac:dyDescent="0.3">
      <c r="P104">
        <v>6.7</v>
      </c>
      <c r="Q104">
        <v>9.4029850746268656E-2</v>
      </c>
    </row>
    <row r="105" spans="16:17" x14ac:dyDescent="0.3">
      <c r="P105">
        <v>6.8</v>
      </c>
      <c r="Q105">
        <v>9.2647058823529416E-2</v>
      </c>
    </row>
    <row r="106" spans="16:17" x14ac:dyDescent="0.3">
      <c r="P106">
        <v>6.9</v>
      </c>
      <c r="Q106">
        <v>9.1304347826086971E-2</v>
      </c>
    </row>
    <row r="107" spans="16:17" x14ac:dyDescent="0.3">
      <c r="P107">
        <v>7</v>
      </c>
      <c r="Q107">
        <v>9.0000000000000011E-2</v>
      </c>
    </row>
    <row r="108" spans="16:17" x14ac:dyDescent="0.3">
      <c r="P108">
        <v>7.1</v>
      </c>
      <c r="Q108">
        <v>8.873239436619719E-2</v>
      </c>
    </row>
    <row r="109" spans="16:17" x14ac:dyDescent="0.3">
      <c r="P109">
        <v>7.2</v>
      </c>
      <c r="Q109">
        <v>8.7500000000000008E-2</v>
      </c>
    </row>
    <row r="110" spans="16:17" x14ac:dyDescent="0.3">
      <c r="P110">
        <v>7.3000000000000096</v>
      </c>
      <c r="Q110">
        <v>8.6301369863013594E-2</v>
      </c>
    </row>
    <row r="111" spans="16:17" x14ac:dyDescent="0.3">
      <c r="P111">
        <v>7.4000000000000101</v>
      </c>
      <c r="Q111">
        <v>8.5135135135135015E-2</v>
      </c>
    </row>
    <row r="112" spans="16:17" x14ac:dyDescent="0.3">
      <c r="P112">
        <v>7.5000000000000098</v>
      </c>
      <c r="Q112">
        <v>8.3999999999999894E-2</v>
      </c>
    </row>
    <row r="113" spans="16:17" x14ac:dyDescent="0.3">
      <c r="P113">
        <v>7.6000000000000103</v>
      </c>
      <c r="Q113">
        <v>8.289473684210516E-2</v>
      </c>
    </row>
    <row r="114" spans="16:17" x14ac:dyDescent="0.3">
      <c r="P114">
        <v>7.7000000000000099</v>
      </c>
      <c r="Q114">
        <v>8.1818181818181707E-2</v>
      </c>
    </row>
    <row r="115" spans="16:17" x14ac:dyDescent="0.3">
      <c r="P115">
        <v>7.8000000000000096</v>
      </c>
      <c r="Q115">
        <v>8.0769230769230677E-2</v>
      </c>
    </row>
    <row r="116" spans="16:17" x14ac:dyDescent="0.3">
      <c r="P116">
        <v>7.9000000000000101</v>
      </c>
      <c r="Q116">
        <v>7.9746835443037872E-2</v>
      </c>
    </row>
    <row r="117" spans="16:17" x14ac:dyDescent="0.3">
      <c r="P117">
        <v>8.0000000000000107</v>
      </c>
      <c r="Q117">
        <v>7.874999999999989E-2</v>
      </c>
    </row>
    <row r="118" spans="16:17" x14ac:dyDescent="0.3">
      <c r="P118">
        <v>8.1000000000000103</v>
      </c>
      <c r="Q118">
        <v>7.7777777777777668E-2</v>
      </c>
    </row>
    <row r="119" spans="16:17" x14ac:dyDescent="0.3">
      <c r="P119">
        <v>8.2000000000000099</v>
      </c>
      <c r="Q119">
        <v>7.6829268292682856E-2</v>
      </c>
    </row>
    <row r="120" spans="16:17" x14ac:dyDescent="0.3">
      <c r="P120">
        <v>8.3000000000000096</v>
      </c>
      <c r="Q120">
        <v>7.5903614457831253E-2</v>
      </c>
    </row>
    <row r="121" spans="16:17" x14ac:dyDescent="0.3">
      <c r="P121">
        <v>8.4000000000000092</v>
      </c>
      <c r="Q121">
        <v>7.4999999999999928E-2</v>
      </c>
    </row>
    <row r="122" spans="16:17" x14ac:dyDescent="0.3">
      <c r="P122">
        <v>8.5000000000000107</v>
      </c>
      <c r="Q122">
        <v>7.4117647058823441E-2</v>
      </c>
    </row>
    <row r="123" spans="16:17" x14ac:dyDescent="0.3">
      <c r="P123">
        <v>8.6000000000000103</v>
      </c>
      <c r="Q123">
        <v>7.3255813953488291E-2</v>
      </c>
    </row>
    <row r="124" spans="16:17" x14ac:dyDescent="0.3">
      <c r="P124">
        <v>8.7000000000000099</v>
      </c>
      <c r="Q124">
        <v>7.2413793103448199E-2</v>
      </c>
    </row>
    <row r="125" spans="16:17" x14ac:dyDescent="0.3">
      <c r="P125">
        <v>8.8000000000000096</v>
      </c>
      <c r="Q125">
        <v>7.1590909090909025E-2</v>
      </c>
    </row>
    <row r="126" spans="16:17" x14ac:dyDescent="0.3">
      <c r="P126">
        <v>8.9000000000000092</v>
      </c>
      <c r="Q126">
        <v>7.0786516853932516E-2</v>
      </c>
    </row>
    <row r="127" spans="16:17" x14ac:dyDescent="0.3">
      <c r="P127">
        <v>9.0000000000000107</v>
      </c>
      <c r="Q127">
        <v>6.999999999999991E-2</v>
      </c>
    </row>
    <row r="128" spans="16:17" x14ac:dyDescent="0.3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33"/>
  <sheetViews>
    <sheetView zoomScaleNormal="100" workbookViewId="0">
      <selection activeCell="B20" sqref="B20:M33"/>
    </sheetView>
  </sheetViews>
  <sheetFormatPr baseColWidth="10" defaultRowHeight="14.4" x14ac:dyDescent="0.3"/>
  <cols>
    <col min="6" max="6" width="14" style="35" bestFit="1" customWidth="1"/>
    <col min="7" max="7" width="11.5546875" style="12"/>
  </cols>
  <sheetData>
    <row r="1" spans="2:15" x14ac:dyDescent="0.3">
      <c r="C1" s="6" t="s">
        <v>27</v>
      </c>
    </row>
    <row r="2" spans="2:15" x14ac:dyDescent="0.3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3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3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3">
      <c r="B5" s="172" t="str">
        <f>+B33</f>
        <v>Story11</v>
      </c>
      <c r="C5" s="172" t="str">
        <f t="shared" ref="C5:M5" si="0">+C33</f>
        <v>D11</v>
      </c>
      <c r="D5" s="172">
        <f t="shared" si="0"/>
        <v>848.73018227297905</v>
      </c>
      <c r="E5" s="172">
        <f t="shared" si="0"/>
        <v>848.73018227297905</v>
      </c>
      <c r="F5" s="172">
        <f t="shared" si="0"/>
        <v>16.908304498395498</v>
      </c>
      <c r="G5" s="172">
        <f t="shared" si="0"/>
        <v>8.1247837405592698</v>
      </c>
      <c r="H5" s="172">
        <f t="shared" si="0"/>
        <v>848.73018227297905</v>
      </c>
      <c r="I5" s="172">
        <f t="shared" si="0"/>
        <v>848.73018227297905</v>
      </c>
      <c r="J5" s="172">
        <f t="shared" si="0"/>
        <v>16.908304498395498</v>
      </c>
      <c r="K5" s="172">
        <f t="shared" si="0"/>
        <v>8.1247837405592698</v>
      </c>
      <c r="L5" s="172">
        <f t="shared" si="0"/>
        <v>15.8442949667532</v>
      </c>
      <c r="M5" s="172">
        <f t="shared" si="0"/>
        <v>7.9017729004131203</v>
      </c>
      <c r="N5" s="76"/>
      <c r="O5" s="75"/>
    </row>
    <row r="6" spans="2:15" x14ac:dyDescent="0.3">
      <c r="B6" s="172" t="str">
        <f>+B32</f>
        <v>Story10</v>
      </c>
      <c r="C6" s="172" t="str">
        <f t="shared" ref="C6:M6" si="1">+C32</f>
        <v>D10</v>
      </c>
      <c r="D6" s="172">
        <f t="shared" si="1"/>
        <v>10185.569029953</v>
      </c>
      <c r="E6" s="172">
        <f t="shared" si="1"/>
        <v>10185.569029953</v>
      </c>
      <c r="F6" s="172">
        <f t="shared" si="1"/>
        <v>10.3219249626005</v>
      </c>
      <c r="G6" s="172">
        <f t="shared" si="1"/>
        <v>9.4382883364711994</v>
      </c>
      <c r="H6" s="172">
        <f t="shared" si="1"/>
        <v>10185.569029953</v>
      </c>
      <c r="I6" s="172">
        <f t="shared" si="1"/>
        <v>10185.569029953</v>
      </c>
      <c r="J6" s="172">
        <f t="shared" si="1"/>
        <v>10.3219249626005</v>
      </c>
      <c r="K6" s="172">
        <f t="shared" si="1"/>
        <v>9.4382883364711994</v>
      </c>
      <c r="L6" s="172">
        <f t="shared" si="1"/>
        <v>12.267017819330899</v>
      </c>
      <c r="M6" s="172">
        <f t="shared" si="1"/>
        <v>9.5114624488438793</v>
      </c>
      <c r="N6" s="77"/>
      <c r="O6" s="75"/>
    </row>
    <row r="7" spans="2:15" x14ac:dyDescent="0.3">
      <c r="B7" s="172" t="str">
        <f>+B31</f>
        <v>Story9</v>
      </c>
      <c r="C7" s="172" t="str">
        <f t="shared" ref="C7:M7" si="2">+C31</f>
        <v>D9</v>
      </c>
      <c r="D7" s="172">
        <f t="shared" si="2"/>
        <v>12695.6851639781</v>
      </c>
      <c r="E7" s="172">
        <f t="shared" si="2"/>
        <v>12695.6851639781</v>
      </c>
      <c r="F7" s="172">
        <f t="shared" si="2"/>
        <v>10.2322803212378</v>
      </c>
      <c r="G7" s="172">
        <f t="shared" si="2"/>
        <v>9.5106872757403096</v>
      </c>
      <c r="H7" s="172">
        <f t="shared" si="2"/>
        <v>12695.6851639781</v>
      </c>
      <c r="I7" s="172">
        <f t="shared" si="2"/>
        <v>12695.6851639781</v>
      </c>
      <c r="J7" s="172">
        <f t="shared" si="2"/>
        <v>10.2322803212378</v>
      </c>
      <c r="K7" s="172">
        <f t="shared" si="2"/>
        <v>9.5106872757403096</v>
      </c>
      <c r="L7" s="172">
        <f t="shared" si="2"/>
        <v>12.287059990020699</v>
      </c>
      <c r="M7" s="172">
        <f t="shared" si="2"/>
        <v>9.5175194792858395</v>
      </c>
      <c r="N7" s="75"/>
      <c r="O7" s="75"/>
    </row>
    <row r="8" spans="2:15" x14ac:dyDescent="0.3">
      <c r="B8" s="172" t="str">
        <f>+B30</f>
        <v>Story8</v>
      </c>
      <c r="C8" s="172" t="str">
        <f t="shared" ref="C8:M8" si="3">+C30</f>
        <v>D8</v>
      </c>
      <c r="D8" s="172">
        <f t="shared" si="3"/>
        <v>12695.6851639781</v>
      </c>
      <c r="E8" s="172">
        <f t="shared" si="3"/>
        <v>12695.6851639781</v>
      </c>
      <c r="F8" s="172">
        <f t="shared" si="3"/>
        <v>10.2322803212378</v>
      </c>
      <c r="G8" s="172">
        <f t="shared" si="3"/>
        <v>9.5106872757403096</v>
      </c>
      <c r="H8" s="172">
        <f t="shared" si="3"/>
        <v>12695.6851639781</v>
      </c>
      <c r="I8" s="172">
        <f t="shared" si="3"/>
        <v>12695.6851639781</v>
      </c>
      <c r="J8" s="172">
        <f t="shared" si="3"/>
        <v>10.2322803212378</v>
      </c>
      <c r="K8" s="172">
        <f t="shared" si="3"/>
        <v>9.5106872757403096</v>
      </c>
      <c r="L8" s="172">
        <f t="shared" si="3"/>
        <v>12.315274331185501</v>
      </c>
      <c r="M8" s="172">
        <f t="shared" si="3"/>
        <v>9.52318543139382</v>
      </c>
      <c r="N8" s="75"/>
      <c r="O8" s="75"/>
    </row>
    <row r="9" spans="2:15" x14ac:dyDescent="0.3">
      <c r="B9" s="172" t="str">
        <f>+B29</f>
        <v>Story7</v>
      </c>
      <c r="C9" s="172" t="str">
        <f t="shared" ref="C9:M9" si="4">+C29</f>
        <v>D7</v>
      </c>
      <c r="D9" s="172">
        <f t="shared" si="4"/>
        <v>12695.6851639781</v>
      </c>
      <c r="E9" s="172">
        <f t="shared" si="4"/>
        <v>12695.6851639781</v>
      </c>
      <c r="F9" s="172">
        <f t="shared" si="4"/>
        <v>10.2322803212378</v>
      </c>
      <c r="G9" s="172">
        <f t="shared" si="4"/>
        <v>9.5106872757403096</v>
      </c>
      <c r="H9" s="172">
        <f t="shared" si="4"/>
        <v>12695.6851639781</v>
      </c>
      <c r="I9" s="172">
        <f t="shared" si="4"/>
        <v>12695.6851639781</v>
      </c>
      <c r="J9" s="172">
        <f t="shared" si="4"/>
        <v>10.2322803212378</v>
      </c>
      <c r="K9" s="172">
        <f t="shared" si="4"/>
        <v>9.5106872757403096</v>
      </c>
      <c r="L9" s="172">
        <f t="shared" si="4"/>
        <v>12.332958916237599</v>
      </c>
      <c r="M9" s="172">
        <f t="shared" si="4"/>
        <v>9.5281355991296195</v>
      </c>
      <c r="N9" s="75"/>
      <c r="O9" s="75"/>
    </row>
    <row r="10" spans="2:15" x14ac:dyDescent="0.3">
      <c r="B10" s="172" t="str">
        <f>+B28</f>
        <v>Story6</v>
      </c>
      <c r="C10" s="172" t="str">
        <f t="shared" ref="C10:M10" si="5">+C28</f>
        <v>D6</v>
      </c>
      <c r="D10" s="172">
        <f t="shared" si="5"/>
        <v>12695.6851639781</v>
      </c>
      <c r="E10" s="172">
        <f t="shared" si="5"/>
        <v>12695.6851639781</v>
      </c>
      <c r="F10" s="172">
        <f t="shared" si="5"/>
        <v>10.2322803212378</v>
      </c>
      <c r="G10" s="172">
        <f t="shared" si="5"/>
        <v>9.5106872757403096</v>
      </c>
      <c r="H10" s="172">
        <f t="shared" si="5"/>
        <v>12695.6851639781</v>
      </c>
      <c r="I10" s="172">
        <f t="shared" si="5"/>
        <v>12695.6851639781</v>
      </c>
      <c r="J10" s="172">
        <f t="shared" si="5"/>
        <v>10.2322803212378</v>
      </c>
      <c r="K10" s="172">
        <f t="shared" si="5"/>
        <v>9.5106872757403096</v>
      </c>
      <c r="L10" s="172">
        <f t="shared" si="5"/>
        <v>12.337565439881701</v>
      </c>
      <c r="M10" s="172">
        <f t="shared" si="5"/>
        <v>9.53273946475184</v>
      </c>
      <c r="N10" s="75"/>
      <c r="O10" s="75"/>
    </row>
    <row r="11" spans="2:15" x14ac:dyDescent="0.3">
      <c r="B11" s="172" t="str">
        <f>+B27</f>
        <v>Story5</v>
      </c>
      <c r="C11" s="172" t="str">
        <f t="shared" ref="C11:M11" si="6">+C27</f>
        <v>D5</v>
      </c>
      <c r="D11" s="172">
        <f t="shared" si="6"/>
        <v>12695.6851639781</v>
      </c>
      <c r="E11" s="172">
        <f t="shared" si="6"/>
        <v>12695.6851639781</v>
      </c>
      <c r="F11" s="172">
        <f t="shared" si="6"/>
        <v>10.2322803212378</v>
      </c>
      <c r="G11" s="172">
        <f t="shared" si="6"/>
        <v>9.5106872757403096</v>
      </c>
      <c r="H11" s="172">
        <f t="shared" si="6"/>
        <v>12695.6851639781</v>
      </c>
      <c r="I11" s="172">
        <f t="shared" si="6"/>
        <v>12695.6851639781</v>
      </c>
      <c r="J11" s="172">
        <f t="shared" si="6"/>
        <v>10.2322803212378</v>
      </c>
      <c r="K11" s="172">
        <f t="shared" si="6"/>
        <v>9.5106872757403096</v>
      </c>
      <c r="L11" s="172">
        <f t="shared" si="6"/>
        <v>12.323617095028901</v>
      </c>
      <c r="M11" s="172">
        <f t="shared" si="6"/>
        <v>9.5371235821489009</v>
      </c>
      <c r="N11" s="75"/>
      <c r="O11" s="75"/>
    </row>
    <row r="12" spans="2:15" x14ac:dyDescent="0.3">
      <c r="B12" s="172" t="str">
        <f>+B26</f>
        <v>Story4</v>
      </c>
      <c r="C12" s="172" t="str">
        <f t="shared" ref="C12:M12" si="7">+C26</f>
        <v>D4</v>
      </c>
      <c r="D12" s="172">
        <f t="shared" si="7"/>
        <v>12695.6851639781</v>
      </c>
      <c r="E12" s="172">
        <f t="shared" si="7"/>
        <v>12695.6851639781</v>
      </c>
      <c r="F12" s="172">
        <f t="shared" si="7"/>
        <v>10.2322803212378</v>
      </c>
      <c r="G12" s="172">
        <f t="shared" si="7"/>
        <v>9.5106872757403096</v>
      </c>
      <c r="H12" s="172">
        <f t="shared" si="7"/>
        <v>12695.6851639781</v>
      </c>
      <c r="I12" s="172">
        <f t="shared" si="7"/>
        <v>12695.6851639781</v>
      </c>
      <c r="J12" s="172">
        <f t="shared" si="7"/>
        <v>10.2322803212378</v>
      </c>
      <c r="K12" s="172">
        <f t="shared" si="7"/>
        <v>9.5106872757403096</v>
      </c>
      <c r="L12" s="172">
        <f t="shared" si="7"/>
        <v>12.278943705724799</v>
      </c>
      <c r="M12" s="172">
        <f t="shared" si="7"/>
        <v>9.5411266411828208</v>
      </c>
      <c r="N12" s="75"/>
      <c r="O12" s="75"/>
    </row>
    <row r="13" spans="2:15" x14ac:dyDescent="0.3">
      <c r="B13" s="172" t="str">
        <f>+B25</f>
        <v>Story3</v>
      </c>
      <c r="C13" s="172" t="str">
        <f t="shared" ref="C13:M13" si="8">+C25</f>
        <v>D3</v>
      </c>
      <c r="D13" s="172">
        <f t="shared" si="8"/>
        <v>12695.6851639781</v>
      </c>
      <c r="E13" s="172">
        <f t="shared" si="8"/>
        <v>12695.6851639781</v>
      </c>
      <c r="F13" s="172">
        <f t="shared" si="8"/>
        <v>10.2322803212378</v>
      </c>
      <c r="G13" s="172">
        <f t="shared" si="8"/>
        <v>9.5106872757403096</v>
      </c>
      <c r="H13" s="172">
        <f t="shared" si="8"/>
        <v>12695.6851639781</v>
      </c>
      <c r="I13" s="172">
        <f t="shared" si="8"/>
        <v>12695.6851639781</v>
      </c>
      <c r="J13" s="172">
        <f t="shared" si="8"/>
        <v>10.2322803212378</v>
      </c>
      <c r="K13" s="172">
        <f t="shared" si="8"/>
        <v>9.5106872757403096</v>
      </c>
      <c r="L13" s="172">
        <f t="shared" si="8"/>
        <v>12.1742844773856</v>
      </c>
      <c r="M13" s="172">
        <f t="shared" si="8"/>
        <v>9.5438885663588504</v>
      </c>
      <c r="N13" s="75"/>
      <c r="O13" s="75"/>
    </row>
    <row r="14" spans="2:15" x14ac:dyDescent="0.3">
      <c r="B14" s="172" t="str">
        <f>+B24</f>
        <v>Story2</v>
      </c>
      <c r="C14" s="172" t="str">
        <f t="shared" ref="C14:M14" si="9">+C24</f>
        <v>D2</v>
      </c>
      <c r="D14" s="172">
        <f t="shared" si="9"/>
        <v>12695.6851639781</v>
      </c>
      <c r="E14" s="172">
        <f t="shared" si="9"/>
        <v>12695.6851639781</v>
      </c>
      <c r="F14" s="172">
        <f t="shared" si="9"/>
        <v>10.2322803212378</v>
      </c>
      <c r="G14" s="172">
        <f t="shared" si="9"/>
        <v>9.5106872757403096</v>
      </c>
      <c r="H14" s="172">
        <f t="shared" si="9"/>
        <v>12695.6851639781</v>
      </c>
      <c r="I14" s="172">
        <f t="shared" si="9"/>
        <v>12695.6851639781</v>
      </c>
      <c r="J14" s="172">
        <f t="shared" si="9"/>
        <v>10.2322803212378</v>
      </c>
      <c r="K14" s="172">
        <f t="shared" si="9"/>
        <v>9.5106872757403096</v>
      </c>
      <c r="L14" s="172">
        <f t="shared" si="9"/>
        <v>11.9261159190307</v>
      </c>
      <c r="M14" s="172">
        <f t="shared" si="9"/>
        <v>9.5420066283851899</v>
      </c>
      <c r="N14" s="75"/>
      <c r="O14" s="75"/>
    </row>
    <row r="15" spans="2:15" x14ac:dyDescent="0.3">
      <c r="B15" s="172" t="str">
        <f>+B23</f>
        <v>Story1</v>
      </c>
      <c r="C15" s="172" t="str">
        <f t="shared" ref="C15:M15" si="10">+C23</f>
        <v>D1</v>
      </c>
      <c r="D15" s="172">
        <f t="shared" si="10"/>
        <v>13135.605752945199</v>
      </c>
      <c r="E15" s="172">
        <f t="shared" si="10"/>
        <v>13135.605752945199</v>
      </c>
      <c r="F15" s="172">
        <f t="shared" si="10"/>
        <v>10.268607663722101</v>
      </c>
      <c r="G15" s="172">
        <f t="shared" si="10"/>
        <v>9.5129311767428604</v>
      </c>
      <c r="H15" s="172">
        <f t="shared" si="10"/>
        <v>13135.605752945199</v>
      </c>
      <c r="I15" s="172">
        <f t="shared" si="10"/>
        <v>13135.605752945199</v>
      </c>
      <c r="J15" s="172">
        <f t="shared" si="10"/>
        <v>10.268607663722101</v>
      </c>
      <c r="K15" s="172">
        <f t="shared" si="10"/>
        <v>9.5129311767428604</v>
      </c>
      <c r="L15" s="172">
        <f t="shared" si="10"/>
        <v>11.317187945683999</v>
      </c>
      <c r="M15" s="172">
        <f t="shared" si="10"/>
        <v>9.5271252135309705</v>
      </c>
      <c r="N15" s="75"/>
      <c r="O15" s="75"/>
    </row>
    <row r="16" spans="2:15" x14ac:dyDescent="0.3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3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3">
      <c r="B20" s="167" t="s">
        <v>8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</row>
    <row r="21" spans="2:15" x14ac:dyDescent="0.3">
      <c r="B21" s="169" t="s">
        <v>9</v>
      </c>
      <c r="C21" s="169" t="s">
        <v>10</v>
      </c>
      <c r="D21" s="169" t="s">
        <v>11</v>
      </c>
      <c r="E21" s="169" t="s">
        <v>12</v>
      </c>
      <c r="F21" s="169" t="s">
        <v>13</v>
      </c>
      <c r="G21" s="169" t="s">
        <v>14</v>
      </c>
      <c r="H21" s="169" t="s">
        <v>15</v>
      </c>
      <c r="I21" s="169" t="s">
        <v>16</v>
      </c>
      <c r="J21" s="169" t="s">
        <v>17</v>
      </c>
      <c r="K21" s="169" t="s">
        <v>18</v>
      </c>
      <c r="L21" s="169" t="s">
        <v>19</v>
      </c>
      <c r="M21" s="170" t="s">
        <v>20</v>
      </c>
    </row>
    <row r="22" spans="2:15" x14ac:dyDescent="0.3">
      <c r="B22" s="173"/>
      <c r="C22" s="173"/>
      <c r="D22" s="173" t="s">
        <v>21</v>
      </c>
      <c r="E22" s="173" t="s">
        <v>21</v>
      </c>
      <c r="F22" s="173" t="s">
        <v>7</v>
      </c>
      <c r="G22" s="173" t="s">
        <v>7</v>
      </c>
      <c r="H22" s="173" t="s">
        <v>21</v>
      </c>
      <c r="I22" s="173" t="s">
        <v>21</v>
      </c>
      <c r="J22" s="173" t="s">
        <v>7</v>
      </c>
      <c r="K22" s="173" t="s">
        <v>7</v>
      </c>
      <c r="L22" s="173" t="s">
        <v>7</v>
      </c>
      <c r="M22" s="174" t="s">
        <v>7</v>
      </c>
    </row>
    <row r="23" spans="2:15" x14ac:dyDescent="0.3">
      <c r="B23" s="172" t="s">
        <v>22</v>
      </c>
      <c r="C23" s="172" t="s">
        <v>23</v>
      </c>
      <c r="D23" s="172">
        <v>13135.605752945199</v>
      </c>
      <c r="E23" s="172">
        <v>13135.605752945199</v>
      </c>
      <c r="F23" s="172">
        <v>10.268607663722101</v>
      </c>
      <c r="G23" s="172">
        <v>9.5129311767428604</v>
      </c>
      <c r="H23" s="172">
        <v>13135.605752945199</v>
      </c>
      <c r="I23" s="172">
        <v>13135.605752945199</v>
      </c>
      <c r="J23" s="172">
        <v>10.268607663722101</v>
      </c>
      <c r="K23" s="172">
        <v>9.5129311767428604</v>
      </c>
      <c r="L23" s="172">
        <v>11.317187945683999</v>
      </c>
      <c r="M23" s="172">
        <v>9.5271252135309705</v>
      </c>
    </row>
    <row r="24" spans="2:15" x14ac:dyDescent="0.3">
      <c r="B24" s="172" t="s">
        <v>24</v>
      </c>
      <c r="C24" s="172" t="s">
        <v>175</v>
      </c>
      <c r="D24" s="172">
        <v>12695.6851639781</v>
      </c>
      <c r="E24" s="172">
        <v>12695.6851639781</v>
      </c>
      <c r="F24" s="172">
        <v>10.2322803212378</v>
      </c>
      <c r="G24" s="172">
        <v>9.5106872757403096</v>
      </c>
      <c r="H24" s="172">
        <v>12695.6851639781</v>
      </c>
      <c r="I24" s="172">
        <v>12695.6851639781</v>
      </c>
      <c r="J24" s="172">
        <v>10.2322803212378</v>
      </c>
      <c r="K24" s="172">
        <v>9.5106872757403096</v>
      </c>
      <c r="L24" s="172">
        <v>11.9261159190307</v>
      </c>
      <c r="M24" s="172">
        <v>9.5420066283851899</v>
      </c>
    </row>
    <row r="25" spans="2:15" x14ac:dyDescent="0.3">
      <c r="B25" s="172" t="s">
        <v>25</v>
      </c>
      <c r="C25" s="172" t="s">
        <v>176</v>
      </c>
      <c r="D25" s="172">
        <v>12695.6851639781</v>
      </c>
      <c r="E25" s="172">
        <v>12695.6851639781</v>
      </c>
      <c r="F25" s="172">
        <v>10.2322803212378</v>
      </c>
      <c r="G25" s="172">
        <v>9.5106872757403096</v>
      </c>
      <c r="H25" s="172">
        <v>12695.6851639781</v>
      </c>
      <c r="I25" s="172">
        <v>12695.6851639781</v>
      </c>
      <c r="J25" s="172">
        <v>10.2322803212378</v>
      </c>
      <c r="K25" s="172">
        <v>9.5106872757403096</v>
      </c>
      <c r="L25" s="172">
        <v>12.1742844773856</v>
      </c>
      <c r="M25" s="172">
        <v>9.5438885663588504</v>
      </c>
    </row>
    <row r="26" spans="2:15" x14ac:dyDescent="0.3">
      <c r="B26" s="172" t="s">
        <v>26</v>
      </c>
      <c r="C26" s="172" t="s">
        <v>177</v>
      </c>
      <c r="D26" s="172">
        <v>12695.6851639781</v>
      </c>
      <c r="E26" s="172">
        <v>12695.6851639781</v>
      </c>
      <c r="F26" s="172">
        <v>10.2322803212378</v>
      </c>
      <c r="G26" s="172">
        <v>9.5106872757403096</v>
      </c>
      <c r="H26" s="172">
        <v>12695.6851639781</v>
      </c>
      <c r="I26" s="172">
        <v>12695.6851639781</v>
      </c>
      <c r="J26" s="172">
        <v>10.2322803212378</v>
      </c>
      <c r="K26" s="172">
        <v>9.5106872757403096</v>
      </c>
      <c r="L26" s="172">
        <v>12.278943705724799</v>
      </c>
      <c r="M26" s="172">
        <v>9.5411266411828208</v>
      </c>
    </row>
    <row r="27" spans="2:15" x14ac:dyDescent="0.3">
      <c r="B27" s="172" t="s">
        <v>39</v>
      </c>
      <c r="C27" s="172" t="s">
        <v>178</v>
      </c>
      <c r="D27" s="172">
        <v>12695.6851639781</v>
      </c>
      <c r="E27" s="172">
        <v>12695.6851639781</v>
      </c>
      <c r="F27" s="172">
        <v>10.2322803212378</v>
      </c>
      <c r="G27" s="172">
        <v>9.5106872757403096</v>
      </c>
      <c r="H27" s="172">
        <v>12695.6851639781</v>
      </c>
      <c r="I27" s="172">
        <v>12695.6851639781</v>
      </c>
      <c r="J27" s="172">
        <v>10.2322803212378</v>
      </c>
      <c r="K27" s="172">
        <v>9.5106872757403096</v>
      </c>
      <c r="L27" s="172">
        <v>12.323617095028901</v>
      </c>
      <c r="M27" s="172">
        <v>9.5371235821489009</v>
      </c>
    </row>
    <row r="28" spans="2:15" x14ac:dyDescent="0.3">
      <c r="B28" s="172" t="s">
        <v>179</v>
      </c>
      <c r="C28" s="172" t="s">
        <v>180</v>
      </c>
      <c r="D28" s="172">
        <v>12695.6851639781</v>
      </c>
      <c r="E28" s="172">
        <v>12695.6851639781</v>
      </c>
      <c r="F28" s="172">
        <v>10.2322803212378</v>
      </c>
      <c r="G28" s="172">
        <v>9.5106872757403096</v>
      </c>
      <c r="H28" s="172">
        <v>12695.6851639781</v>
      </c>
      <c r="I28" s="172">
        <v>12695.6851639781</v>
      </c>
      <c r="J28" s="172">
        <v>10.2322803212378</v>
      </c>
      <c r="K28" s="172">
        <v>9.5106872757403096</v>
      </c>
      <c r="L28" s="172">
        <v>12.337565439881701</v>
      </c>
      <c r="M28" s="172">
        <v>9.53273946475184</v>
      </c>
    </row>
    <row r="29" spans="2:15" x14ac:dyDescent="0.3">
      <c r="B29" s="172" t="s">
        <v>181</v>
      </c>
      <c r="C29" s="172" t="s">
        <v>182</v>
      </c>
      <c r="D29" s="172">
        <v>12695.6851639781</v>
      </c>
      <c r="E29" s="172">
        <v>12695.6851639781</v>
      </c>
      <c r="F29" s="172">
        <v>10.2322803212378</v>
      </c>
      <c r="G29" s="172">
        <v>9.5106872757403096</v>
      </c>
      <c r="H29" s="172">
        <v>12695.6851639781</v>
      </c>
      <c r="I29" s="172">
        <v>12695.6851639781</v>
      </c>
      <c r="J29" s="172">
        <v>10.2322803212378</v>
      </c>
      <c r="K29" s="172">
        <v>9.5106872757403096</v>
      </c>
      <c r="L29" s="172">
        <v>12.332958916237599</v>
      </c>
      <c r="M29" s="172">
        <v>9.5281355991296195</v>
      </c>
    </row>
    <row r="30" spans="2:15" x14ac:dyDescent="0.3">
      <c r="B30" s="172" t="s">
        <v>183</v>
      </c>
      <c r="C30" s="172" t="s">
        <v>184</v>
      </c>
      <c r="D30" s="172">
        <v>12695.6851639781</v>
      </c>
      <c r="E30" s="172">
        <v>12695.6851639781</v>
      </c>
      <c r="F30" s="172">
        <v>10.2322803212378</v>
      </c>
      <c r="G30" s="172">
        <v>9.5106872757403096</v>
      </c>
      <c r="H30" s="172">
        <v>12695.6851639781</v>
      </c>
      <c r="I30" s="172">
        <v>12695.6851639781</v>
      </c>
      <c r="J30" s="172">
        <v>10.2322803212378</v>
      </c>
      <c r="K30" s="172">
        <v>9.5106872757403096</v>
      </c>
      <c r="L30" s="172">
        <v>12.315274331185501</v>
      </c>
      <c r="M30" s="172">
        <v>9.52318543139382</v>
      </c>
    </row>
    <row r="31" spans="2:15" x14ac:dyDescent="0.3">
      <c r="B31" s="172" t="s">
        <v>185</v>
      </c>
      <c r="C31" s="172" t="s">
        <v>186</v>
      </c>
      <c r="D31" s="172">
        <v>12695.6851639781</v>
      </c>
      <c r="E31" s="172">
        <v>12695.6851639781</v>
      </c>
      <c r="F31" s="172">
        <v>10.2322803212378</v>
      </c>
      <c r="G31" s="172">
        <v>9.5106872757403096</v>
      </c>
      <c r="H31" s="172">
        <v>12695.6851639781</v>
      </c>
      <c r="I31" s="172">
        <v>12695.6851639781</v>
      </c>
      <c r="J31" s="172">
        <v>10.2322803212378</v>
      </c>
      <c r="K31" s="172">
        <v>9.5106872757403096</v>
      </c>
      <c r="L31" s="172">
        <v>12.287059990020699</v>
      </c>
      <c r="M31" s="172">
        <v>9.5175194792858395</v>
      </c>
    </row>
    <row r="32" spans="2:15" x14ac:dyDescent="0.3">
      <c r="B32" s="172" t="s">
        <v>187</v>
      </c>
      <c r="C32" s="172" t="s">
        <v>188</v>
      </c>
      <c r="D32" s="172">
        <v>10185.569029953</v>
      </c>
      <c r="E32" s="172">
        <v>10185.569029953</v>
      </c>
      <c r="F32" s="172">
        <v>10.3219249626005</v>
      </c>
      <c r="G32" s="172">
        <v>9.4382883364711994</v>
      </c>
      <c r="H32" s="172">
        <v>10185.569029953</v>
      </c>
      <c r="I32" s="172">
        <v>10185.569029953</v>
      </c>
      <c r="J32" s="172">
        <v>10.3219249626005</v>
      </c>
      <c r="K32" s="172">
        <v>9.4382883364711994</v>
      </c>
      <c r="L32" s="172">
        <v>12.267017819330899</v>
      </c>
      <c r="M32" s="172">
        <v>9.5114624488438793</v>
      </c>
    </row>
    <row r="33" spans="2:13" x14ac:dyDescent="0.3">
      <c r="B33" s="172" t="s">
        <v>189</v>
      </c>
      <c r="C33" s="172" t="s">
        <v>190</v>
      </c>
      <c r="D33" s="172">
        <v>848.73018227297905</v>
      </c>
      <c r="E33" s="172">
        <v>848.73018227297905</v>
      </c>
      <c r="F33" s="172">
        <v>16.908304498395498</v>
      </c>
      <c r="G33" s="172">
        <v>8.1247837405592698</v>
      </c>
      <c r="H33" s="172">
        <v>848.73018227297905</v>
      </c>
      <c r="I33" s="172">
        <v>848.73018227297905</v>
      </c>
      <c r="J33" s="172">
        <v>16.908304498395498</v>
      </c>
      <c r="K33" s="172">
        <v>8.1247837405592698</v>
      </c>
      <c r="L33" s="172">
        <v>15.8442949667532</v>
      </c>
      <c r="M33" s="172">
        <v>7.9017729004131203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filterMode="1"/>
  <dimension ref="B2:L53"/>
  <sheetViews>
    <sheetView workbookViewId="0">
      <selection activeCell="B8" sqref="B8:K48"/>
    </sheetView>
  </sheetViews>
  <sheetFormatPr baseColWidth="10" defaultRowHeight="14.4" x14ac:dyDescent="0.3"/>
  <cols>
    <col min="4" max="4" width="0" hidden="1" customWidth="1"/>
  </cols>
  <sheetData>
    <row r="2" spans="2:12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2" x14ac:dyDescent="0.3">
      <c r="B3" s="169" t="s">
        <v>9</v>
      </c>
      <c r="C3" s="169" t="s">
        <v>46</v>
      </c>
      <c r="D3" s="169" t="s">
        <v>239</v>
      </c>
      <c r="E3" s="169" t="s">
        <v>47</v>
      </c>
      <c r="F3" s="169" t="s">
        <v>48</v>
      </c>
      <c r="G3" s="169" t="s">
        <v>49</v>
      </c>
      <c r="H3" s="169" t="s">
        <v>50</v>
      </c>
      <c r="I3" s="169" t="s">
        <v>51</v>
      </c>
      <c r="J3" s="169" t="s">
        <v>52</v>
      </c>
      <c r="K3" s="170" t="s">
        <v>53</v>
      </c>
      <c r="L3" s="14"/>
    </row>
    <row r="4" spans="2:12" x14ac:dyDescent="0.3">
      <c r="B4" s="173"/>
      <c r="C4" s="173"/>
      <c r="D4" s="173"/>
      <c r="E4" s="173"/>
      <c r="F4" s="173" t="s">
        <v>43</v>
      </c>
      <c r="G4" s="173" t="s">
        <v>43</v>
      </c>
      <c r="H4" s="173" t="s">
        <v>43</v>
      </c>
      <c r="I4" s="173" t="s">
        <v>54</v>
      </c>
      <c r="J4" s="173" t="s">
        <v>54</v>
      </c>
      <c r="K4" s="174" t="s">
        <v>54</v>
      </c>
      <c r="L4" s="14"/>
    </row>
    <row r="5" spans="2:12" s="172" customForma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14"/>
    </row>
    <row r="6" spans="2:12" s="172" customFormat="1" hidden="1" x14ac:dyDescent="0.3">
      <c r="B6" s="172" t="s">
        <v>189</v>
      </c>
      <c r="C6" s="172" t="s">
        <v>240</v>
      </c>
      <c r="D6" s="172" t="s">
        <v>241</v>
      </c>
      <c r="E6" s="172" t="s">
        <v>72</v>
      </c>
      <c r="F6" s="172">
        <v>6.41894705004732E-10</v>
      </c>
      <c r="G6" s="172">
        <v>1142.6976359302701</v>
      </c>
      <c r="H6" s="172">
        <v>49.927071877438699</v>
      </c>
      <c r="I6" s="172">
        <v>9314.0033806506708</v>
      </c>
      <c r="J6" s="172">
        <v>5.46407653404221E-9</v>
      </c>
      <c r="K6" s="172">
        <v>1.18022612290841E-8</v>
      </c>
      <c r="L6" s="14"/>
    </row>
    <row r="7" spans="2:12" s="172" customFormat="1" hidden="1" x14ac:dyDescent="0.3">
      <c r="B7" s="172" t="s">
        <v>189</v>
      </c>
      <c r="C7" s="172" t="s">
        <v>240</v>
      </c>
      <c r="D7" s="172" t="s">
        <v>241</v>
      </c>
      <c r="E7" s="172" t="s">
        <v>242</v>
      </c>
      <c r="F7" s="172">
        <v>4.9575001407235896E-10</v>
      </c>
      <c r="G7" s="172">
        <v>1142.6976359308401</v>
      </c>
      <c r="H7" s="172">
        <v>49.927071877440902</v>
      </c>
      <c r="I7" s="172">
        <v>9314.0033806571992</v>
      </c>
      <c r="J7" s="172">
        <v>149.78121563168199</v>
      </c>
      <c r="K7" s="172">
        <v>3428.0929077840601</v>
      </c>
      <c r="L7" s="14"/>
    </row>
    <row r="8" spans="2:12" x14ac:dyDescent="0.3">
      <c r="B8" s="172" t="s">
        <v>189</v>
      </c>
      <c r="C8" s="172" t="s">
        <v>243</v>
      </c>
      <c r="D8" s="172" t="s">
        <v>241</v>
      </c>
      <c r="E8" s="172" t="s">
        <v>72</v>
      </c>
      <c r="F8" s="172">
        <v>1.6884427682869099E-10</v>
      </c>
      <c r="G8" s="172">
        <v>111.655775153089</v>
      </c>
      <c r="H8" s="172">
        <v>831.73472155564798</v>
      </c>
      <c r="I8" s="172">
        <v>14083.7007035847</v>
      </c>
      <c r="J8" s="172">
        <v>9.9898559583449703E-10</v>
      </c>
      <c r="K8" s="172">
        <v>2.8568050726884201E-9</v>
      </c>
    </row>
    <row r="9" spans="2:12" hidden="1" x14ac:dyDescent="0.3">
      <c r="B9" s="172" t="s">
        <v>189</v>
      </c>
      <c r="C9" s="172" t="s">
        <v>243</v>
      </c>
      <c r="D9" s="172" t="s">
        <v>241</v>
      </c>
      <c r="E9" s="172" t="s">
        <v>242</v>
      </c>
      <c r="F9" s="172">
        <v>1.9120733122277899E-10</v>
      </c>
      <c r="G9" s="172">
        <v>111.65577515313799</v>
      </c>
      <c r="H9" s="172">
        <v>831.734721555644</v>
      </c>
      <c r="I9" s="172">
        <v>14083.7007035851</v>
      </c>
      <c r="J9" s="172">
        <v>2495.2041646673201</v>
      </c>
      <c r="K9" s="172">
        <v>334.967325457958</v>
      </c>
    </row>
    <row r="10" spans="2:12" hidden="1" x14ac:dyDescent="0.3">
      <c r="B10" s="172" t="s">
        <v>187</v>
      </c>
      <c r="C10" s="172" t="s">
        <v>240</v>
      </c>
      <c r="D10" s="172" t="s">
        <v>241</v>
      </c>
      <c r="E10" s="172" t="s">
        <v>72</v>
      </c>
      <c r="F10" s="172">
        <v>5.42680533946547E-8</v>
      </c>
      <c r="G10" s="172">
        <v>17515.623449586299</v>
      </c>
      <c r="H10" s="172">
        <v>700.91253240882804</v>
      </c>
      <c r="I10" s="172">
        <v>162357.855610286</v>
      </c>
      <c r="J10" s="172">
        <v>149.78121570617401</v>
      </c>
      <c r="K10" s="172">
        <v>3428.09290864376</v>
      </c>
    </row>
    <row r="11" spans="2:12" hidden="1" x14ac:dyDescent="0.3">
      <c r="B11" s="172" t="s">
        <v>187</v>
      </c>
      <c r="C11" s="172" t="s">
        <v>240</v>
      </c>
      <c r="D11" s="172" t="s">
        <v>241</v>
      </c>
      <c r="E11" s="172" t="s">
        <v>242</v>
      </c>
      <c r="F11" s="172">
        <v>6.6945645924813196E-8</v>
      </c>
      <c r="G11" s="172">
        <v>18076.3771491474</v>
      </c>
      <c r="H11" s="172">
        <v>709.23181877599802</v>
      </c>
      <c r="I11" s="172">
        <v>167587.64555925701</v>
      </c>
      <c r="J11" s="172">
        <v>2548.90365575243</v>
      </c>
      <c r="K11" s="172">
        <v>65558.174538880106</v>
      </c>
    </row>
    <row r="12" spans="2:12" x14ac:dyDescent="0.3">
      <c r="B12" s="172" t="s">
        <v>187</v>
      </c>
      <c r="C12" s="172" t="s">
        <v>243</v>
      </c>
      <c r="D12" s="172" t="s">
        <v>241</v>
      </c>
      <c r="E12" s="172" t="s">
        <v>72</v>
      </c>
      <c r="F12" s="172">
        <v>2.09119048012744E-7</v>
      </c>
      <c r="G12" s="172">
        <v>715.50234932643502</v>
      </c>
      <c r="H12" s="172">
        <v>13702.4564168663</v>
      </c>
      <c r="I12" s="172">
        <v>141322.87516812101</v>
      </c>
      <c r="J12" s="172">
        <v>2495.2041660386799</v>
      </c>
      <c r="K12" s="172">
        <v>334.96732608038701</v>
      </c>
    </row>
    <row r="13" spans="2:12" hidden="1" x14ac:dyDescent="0.3">
      <c r="B13" s="172" t="s">
        <v>187</v>
      </c>
      <c r="C13" s="172" t="s">
        <v>243</v>
      </c>
      <c r="D13" s="172" t="s">
        <v>241</v>
      </c>
      <c r="E13" s="172" t="s">
        <v>242</v>
      </c>
      <c r="F13" s="172">
        <v>3.4747272173920502E-7</v>
      </c>
      <c r="G13" s="172">
        <v>738.577416066517</v>
      </c>
      <c r="H13" s="172">
        <v>14070.771554516899</v>
      </c>
      <c r="I13" s="172">
        <v>149265.700505997</v>
      </c>
      <c r="J13" s="172">
        <v>50611.856326853202</v>
      </c>
      <c r="K13" s="172">
        <v>2794.2062585356898</v>
      </c>
    </row>
    <row r="14" spans="2:12" hidden="1" x14ac:dyDescent="0.3">
      <c r="B14" s="172" t="s">
        <v>185</v>
      </c>
      <c r="C14" s="172" t="s">
        <v>240</v>
      </c>
      <c r="D14" s="172" t="s">
        <v>241</v>
      </c>
      <c r="E14" s="172" t="s">
        <v>72</v>
      </c>
      <c r="F14" s="172">
        <v>2.0680102866770201E-7</v>
      </c>
      <c r="G14" s="172">
        <v>36077.7942965478</v>
      </c>
      <c r="H14" s="172">
        <v>1431.80512483499</v>
      </c>
      <c r="I14" s="172">
        <v>337333.97060454398</v>
      </c>
      <c r="J14" s="172">
        <v>2548.9036548921099</v>
      </c>
      <c r="K14" s="172">
        <v>65558.174534458201</v>
      </c>
    </row>
    <row r="15" spans="2:12" hidden="1" x14ac:dyDescent="0.3">
      <c r="B15" s="172" t="s">
        <v>185</v>
      </c>
      <c r="C15" s="172" t="s">
        <v>240</v>
      </c>
      <c r="D15" s="172" t="s">
        <v>241</v>
      </c>
      <c r="E15" s="172" t="s">
        <v>242</v>
      </c>
      <c r="F15" s="172">
        <v>2.1369171801726599E-7</v>
      </c>
      <c r="G15" s="172">
        <v>36555.536359853999</v>
      </c>
      <c r="H15" s="172">
        <v>1437.5070783547101</v>
      </c>
      <c r="I15" s="172">
        <v>341854.06443875999</v>
      </c>
      <c r="J15" s="172">
        <v>7525.0722679861001</v>
      </c>
      <c r="K15" s="172">
        <v>192152.67758456699</v>
      </c>
    </row>
    <row r="16" spans="2:12" x14ac:dyDescent="0.3">
      <c r="B16" s="172" t="s">
        <v>185</v>
      </c>
      <c r="C16" s="172" t="s">
        <v>243</v>
      </c>
      <c r="D16" s="172" t="s">
        <v>241</v>
      </c>
      <c r="E16" s="172" t="s">
        <v>72</v>
      </c>
      <c r="F16" s="172">
        <v>4.2632290217373902E-7</v>
      </c>
      <c r="G16" s="172">
        <v>1428.4939851899901</v>
      </c>
      <c r="H16" s="172">
        <v>28687.732840828801</v>
      </c>
      <c r="I16" s="172">
        <v>295291.91846774099</v>
      </c>
      <c r="J16" s="172">
        <v>50611.856327050002</v>
      </c>
      <c r="K16" s="172">
        <v>2794.2062579871999</v>
      </c>
    </row>
    <row r="17" spans="2:11" hidden="1" x14ac:dyDescent="0.3">
      <c r="B17" s="172" t="s">
        <v>185</v>
      </c>
      <c r="C17" s="172" t="s">
        <v>243</v>
      </c>
      <c r="D17" s="172" t="s">
        <v>241</v>
      </c>
      <c r="E17" s="172" t="s">
        <v>242</v>
      </c>
      <c r="F17" s="172">
        <v>5.4253578144660297E-7</v>
      </c>
      <c r="G17" s="172">
        <v>1448.2929561359001</v>
      </c>
      <c r="H17" s="172">
        <v>29010.306635835401</v>
      </c>
      <c r="I17" s="172">
        <v>302356.651012355</v>
      </c>
      <c r="J17" s="172">
        <v>151311.23669108699</v>
      </c>
      <c r="K17" s="172">
        <v>7777.12052375856</v>
      </c>
    </row>
    <row r="18" spans="2:11" hidden="1" x14ac:dyDescent="0.3">
      <c r="B18" s="172" t="s">
        <v>183</v>
      </c>
      <c r="C18" s="172" t="s">
        <v>240</v>
      </c>
      <c r="D18" s="172" t="s">
        <v>241</v>
      </c>
      <c r="E18" s="172" t="s">
        <v>72</v>
      </c>
      <c r="F18" s="172">
        <v>4.1145440944702598E-7</v>
      </c>
      <c r="G18" s="172">
        <v>51704.5068408058</v>
      </c>
      <c r="H18" s="172">
        <v>2052.1732825227</v>
      </c>
      <c r="I18" s="172">
        <v>485061.47979851399</v>
      </c>
      <c r="J18" s="172">
        <v>7525.0722674314402</v>
      </c>
      <c r="K18" s="172">
        <v>192152.677581342</v>
      </c>
    </row>
    <row r="19" spans="2:11" hidden="1" x14ac:dyDescent="0.3">
      <c r="B19" s="172" t="s">
        <v>183</v>
      </c>
      <c r="C19" s="172" t="s">
        <v>240</v>
      </c>
      <c r="D19" s="172" t="s">
        <v>241</v>
      </c>
      <c r="E19" s="172" t="s">
        <v>242</v>
      </c>
      <c r="F19" s="172">
        <v>4.1124215005180198E-7</v>
      </c>
      <c r="G19" s="172">
        <v>52106.928559131702</v>
      </c>
      <c r="H19" s="172">
        <v>2056.8138503397199</v>
      </c>
      <c r="I19" s="172">
        <v>488896.37154283299</v>
      </c>
      <c r="J19" s="172">
        <v>14617.1603263254</v>
      </c>
      <c r="K19" s="172">
        <v>372132.15996198799</v>
      </c>
    </row>
    <row r="20" spans="2:11" x14ac:dyDescent="0.3">
      <c r="B20" s="172" t="s">
        <v>183</v>
      </c>
      <c r="C20" s="172" t="s">
        <v>243</v>
      </c>
      <c r="D20" s="172" t="s">
        <v>241</v>
      </c>
      <c r="E20" s="172" t="s">
        <v>72</v>
      </c>
      <c r="F20" s="172">
        <v>1.1785687656218E-6</v>
      </c>
      <c r="G20" s="172">
        <v>2043.33795860499</v>
      </c>
      <c r="H20" s="172">
        <v>41456.112537884102</v>
      </c>
      <c r="I20" s="172">
        <v>430155.86562829401</v>
      </c>
      <c r="J20" s="172">
        <v>151311.23669463399</v>
      </c>
      <c r="K20" s="172">
        <v>7777.1205223797097</v>
      </c>
    </row>
    <row r="21" spans="2:11" hidden="1" x14ac:dyDescent="0.3">
      <c r="B21" s="172" t="s">
        <v>183</v>
      </c>
      <c r="C21" s="172" t="s">
        <v>243</v>
      </c>
      <c r="D21" s="172" t="s">
        <v>241</v>
      </c>
      <c r="E21" s="172" t="s">
        <v>242</v>
      </c>
      <c r="F21" s="172">
        <v>1.0783612510023701E-6</v>
      </c>
      <c r="G21" s="172">
        <v>2060.2836517216701</v>
      </c>
      <c r="H21" s="172">
        <v>41733.0528230622</v>
      </c>
      <c r="I21" s="172">
        <v>436295.36446903303</v>
      </c>
      <c r="J21" s="172">
        <v>295852.15772624803</v>
      </c>
      <c r="K21" s="172">
        <v>14880.5612872044</v>
      </c>
    </row>
    <row r="22" spans="2:11" hidden="1" x14ac:dyDescent="0.3">
      <c r="B22" s="172" t="s">
        <v>181</v>
      </c>
      <c r="C22" s="172" t="s">
        <v>240</v>
      </c>
      <c r="D22" s="172" t="s">
        <v>241</v>
      </c>
      <c r="E22" s="172" t="s">
        <v>72</v>
      </c>
      <c r="F22" s="172">
        <v>4.4490771462844402E-7</v>
      </c>
      <c r="G22" s="172">
        <v>64915.889486735403</v>
      </c>
      <c r="H22" s="172">
        <v>2582.4423105618098</v>
      </c>
      <c r="I22" s="172">
        <v>610125.89319111605</v>
      </c>
      <c r="J22" s="172">
        <v>14617.1603260513</v>
      </c>
      <c r="K22" s="172">
        <v>372132.15996150603</v>
      </c>
    </row>
    <row r="23" spans="2:11" hidden="1" x14ac:dyDescent="0.3">
      <c r="B23" s="172" t="s">
        <v>181</v>
      </c>
      <c r="C23" s="172" t="s">
        <v>240</v>
      </c>
      <c r="D23" s="172" t="s">
        <v>241</v>
      </c>
      <c r="E23" s="172" t="s">
        <v>242</v>
      </c>
      <c r="F23" s="172">
        <v>4.5079883176515099E-7</v>
      </c>
      <c r="G23" s="172">
        <v>65259.189630800698</v>
      </c>
      <c r="H23" s="172">
        <v>2586.3756131145001</v>
      </c>
      <c r="I23" s="172">
        <v>613410.07172846596</v>
      </c>
      <c r="J23" s="172">
        <v>23487.976724549299</v>
      </c>
      <c r="K23" s="172">
        <v>596176.29133251205</v>
      </c>
    </row>
    <row r="24" spans="2:11" x14ac:dyDescent="0.3">
      <c r="B24" s="172" t="s">
        <v>181</v>
      </c>
      <c r="C24" s="172" t="s">
        <v>243</v>
      </c>
      <c r="D24" s="172" t="s">
        <v>241</v>
      </c>
      <c r="E24" s="172" t="s">
        <v>72</v>
      </c>
      <c r="F24" s="172">
        <v>5.7829764330036705E-7</v>
      </c>
      <c r="G24" s="172">
        <v>2572.41802913011</v>
      </c>
      <c r="H24" s="172">
        <v>52286.402853196501</v>
      </c>
      <c r="I24" s="172">
        <v>546972.91323908302</v>
      </c>
      <c r="J24" s="172">
        <v>295852.15772299899</v>
      </c>
      <c r="K24" s="172">
        <v>14880.5612882513</v>
      </c>
    </row>
    <row r="25" spans="2:11" hidden="1" x14ac:dyDescent="0.3">
      <c r="B25" s="172" t="s">
        <v>181</v>
      </c>
      <c r="C25" s="172" t="s">
        <v>243</v>
      </c>
      <c r="D25" s="172" t="s">
        <v>241</v>
      </c>
      <c r="E25" s="172" t="s">
        <v>242</v>
      </c>
      <c r="F25" s="172">
        <v>6.0932386563570902E-7</v>
      </c>
      <c r="G25" s="172">
        <v>2587.0718398398499</v>
      </c>
      <c r="H25" s="172">
        <v>52524.568342618899</v>
      </c>
      <c r="I25" s="172">
        <v>552301.73875038396</v>
      </c>
      <c r="J25" s="172">
        <v>476686.66351104202</v>
      </c>
      <c r="K25" s="172">
        <v>23769.354296188099</v>
      </c>
    </row>
    <row r="26" spans="2:11" hidden="1" x14ac:dyDescent="0.3">
      <c r="B26" s="172" t="s">
        <v>179</v>
      </c>
      <c r="C26" s="172" t="s">
        <v>240</v>
      </c>
      <c r="D26" s="172" t="s">
        <v>241</v>
      </c>
      <c r="E26" s="172" t="s">
        <v>72</v>
      </c>
      <c r="F26" s="172">
        <v>6.5656517499207503E-7</v>
      </c>
      <c r="G26" s="172">
        <v>76267.258050918696</v>
      </c>
      <c r="H26" s="172">
        <v>3040.0047909555901</v>
      </c>
      <c r="I26" s="172">
        <v>717635.48161102005</v>
      </c>
      <c r="J26" s="172">
        <v>23487.976723802702</v>
      </c>
      <c r="K26" s="172">
        <v>596176.29132898594</v>
      </c>
    </row>
    <row r="27" spans="2:11" hidden="1" x14ac:dyDescent="0.3">
      <c r="B27" s="172" t="s">
        <v>179</v>
      </c>
      <c r="C27" s="172" t="s">
        <v>240</v>
      </c>
      <c r="D27" s="172" t="s">
        <v>241</v>
      </c>
      <c r="E27" s="172" t="s">
        <v>242</v>
      </c>
      <c r="F27" s="172">
        <v>6.5673208084064103E-7</v>
      </c>
      <c r="G27" s="172">
        <v>76564.355692358498</v>
      </c>
      <c r="H27" s="172">
        <v>3043.2216087279999</v>
      </c>
      <c r="I27" s="172">
        <v>720488.12225137302</v>
      </c>
      <c r="J27" s="172">
        <v>33864.682483232398</v>
      </c>
      <c r="K27" s="172">
        <v>857056.85096103302</v>
      </c>
    </row>
    <row r="28" spans="2:11" x14ac:dyDescent="0.3">
      <c r="B28" s="172" t="s">
        <v>179</v>
      </c>
      <c r="C28" s="172" t="s">
        <v>243</v>
      </c>
      <c r="D28" s="172" t="s">
        <v>241</v>
      </c>
      <c r="E28" s="172" t="s">
        <v>72</v>
      </c>
      <c r="F28" s="172">
        <v>7.05826124333483E-7</v>
      </c>
      <c r="G28" s="172">
        <v>3030.4345537121899</v>
      </c>
      <c r="H28" s="172">
        <v>61595.070589532399</v>
      </c>
      <c r="I28" s="172">
        <v>648505.92858680605</v>
      </c>
      <c r="J28" s="172">
        <v>476686.66351113399</v>
      </c>
      <c r="K28" s="172">
        <v>23769.354296156402</v>
      </c>
    </row>
    <row r="29" spans="2:11" hidden="1" x14ac:dyDescent="0.3">
      <c r="B29" s="172" t="s">
        <v>179</v>
      </c>
      <c r="C29" s="172" t="s">
        <v>243</v>
      </c>
      <c r="D29" s="172" t="s">
        <v>241</v>
      </c>
      <c r="E29" s="172" t="s">
        <v>242</v>
      </c>
      <c r="F29" s="172">
        <v>6.7167720781527098E-7</v>
      </c>
      <c r="G29" s="172">
        <v>3043.1608334982502</v>
      </c>
      <c r="H29" s="172">
        <v>61801.847296176697</v>
      </c>
      <c r="I29" s="172">
        <v>653144.69849603099</v>
      </c>
      <c r="J29" s="172">
        <v>687795.84397450904</v>
      </c>
      <c r="K29" s="172">
        <v>34172.646189869898</v>
      </c>
    </row>
    <row r="30" spans="2:11" hidden="1" x14ac:dyDescent="0.3">
      <c r="B30" s="172" t="s">
        <v>39</v>
      </c>
      <c r="C30" s="172" t="s">
        <v>240</v>
      </c>
      <c r="D30" s="172" t="s">
        <v>241</v>
      </c>
      <c r="E30" s="172" t="s">
        <v>72</v>
      </c>
      <c r="F30" s="172">
        <v>6.2155066122504804E-7</v>
      </c>
      <c r="G30" s="172">
        <v>86128.022605054095</v>
      </c>
      <c r="H30" s="172">
        <v>3435.94915001141</v>
      </c>
      <c r="I30" s="172">
        <v>811048.00413715898</v>
      </c>
      <c r="J30" s="172">
        <v>33864.682483144097</v>
      </c>
      <c r="K30" s="172">
        <v>857056.85096177098</v>
      </c>
    </row>
    <row r="31" spans="2:11" hidden="1" x14ac:dyDescent="0.3">
      <c r="B31" s="172" t="s">
        <v>39</v>
      </c>
      <c r="C31" s="172" t="s">
        <v>240</v>
      </c>
      <c r="D31" s="172" t="s">
        <v>241</v>
      </c>
      <c r="E31" s="172" t="s">
        <v>242</v>
      </c>
      <c r="F31" s="172">
        <v>6.20108478983218E-7</v>
      </c>
      <c r="G31" s="172">
        <v>86386.177601903604</v>
      </c>
      <c r="H31" s="172">
        <v>3438.4425157916598</v>
      </c>
      <c r="I31" s="172">
        <v>813540.21996123402</v>
      </c>
      <c r="J31" s="172">
        <v>45520.520415512001</v>
      </c>
      <c r="K31" s="172">
        <v>1149145.1160119399</v>
      </c>
    </row>
    <row r="32" spans="2:11" x14ac:dyDescent="0.3">
      <c r="B32" s="172" t="s">
        <v>39</v>
      </c>
      <c r="C32" s="172" t="s">
        <v>243</v>
      </c>
      <c r="D32" s="172" t="s">
        <v>241</v>
      </c>
      <c r="E32" s="172" t="s">
        <v>72</v>
      </c>
      <c r="F32" s="172">
        <v>3.7867965390672199E-7</v>
      </c>
      <c r="G32" s="172">
        <v>3427.0377985054301</v>
      </c>
      <c r="H32" s="172">
        <v>69702.771844331306</v>
      </c>
      <c r="I32" s="172">
        <v>736806.27732287603</v>
      </c>
      <c r="J32" s="172">
        <v>687795.84397234803</v>
      </c>
      <c r="K32" s="172">
        <v>34172.646190523803</v>
      </c>
    </row>
    <row r="33" spans="2:11" hidden="1" x14ac:dyDescent="0.3">
      <c r="B33" s="172" t="s">
        <v>39</v>
      </c>
      <c r="C33" s="172" t="s">
        <v>243</v>
      </c>
      <c r="D33" s="172" t="s">
        <v>241</v>
      </c>
      <c r="E33" s="172" t="s">
        <v>242</v>
      </c>
      <c r="F33" s="172">
        <v>3.4504844123228798E-7</v>
      </c>
      <c r="G33" s="172">
        <v>3438.0157626253299</v>
      </c>
      <c r="H33" s="172">
        <v>69882.404291005907</v>
      </c>
      <c r="I33" s="172">
        <v>740817.61580291705</v>
      </c>
      <c r="J33" s="172">
        <v>924520.65369372605</v>
      </c>
      <c r="K33" s="172">
        <v>45863.7129432367</v>
      </c>
    </row>
    <row r="34" spans="2:11" hidden="1" x14ac:dyDescent="0.3">
      <c r="B34" s="172" t="s">
        <v>26</v>
      </c>
      <c r="C34" s="172" t="s">
        <v>240</v>
      </c>
      <c r="D34" s="172" t="s">
        <v>241</v>
      </c>
      <c r="E34" s="172" t="s">
        <v>72</v>
      </c>
      <c r="F34" s="172">
        <v>5.7982842990932602E-7</v>
      </c>
      <c r="G34" s="172">
        <v>94668.381019451495</v>
      </c>
      <c r="H34" s="172">
        <v>3775.6504359269802</v>
      </c>
      <c r="I34" s="172">
        <v>891970.20710638398</v>
      </c>
      <c r="J34" s="172">
        <v>45520.520415617299</v>
      </c>
      <c r="K34" s="172">
        <v>1149145.1160126701</v>
      </c>
    </row>
    <row r="35" spans="2:11" hidden="1" x14ac:dyDescent="0.3">
      <c r="B35" s="172" t="s">
        <v>26</v>
      </c>
      <c r="C35" s="172" t="s">
        <v>240</v>
      </c>
      <c r="D35" s="172" t="s">
        <v>241</v>
      </c>
      <c r="E35" s="172" t="s">
        <v>242</v>
      </c>
      <c r="F35" s="172">
        <v>5.8450189675601796E-7</v>
      </c>
      <c r="G35" s="172">
        <v>94889.485812086496</v>
      </c>
      <c r="H35" s="172">
        <v>3777.33212872077</v>
      </c>
      <c r="I35" s="172">
        <v>894124.29142381903</v>
      </c>
      <c r="J35" s="172">
        <v>58257.272704393203</v>
      </c>
      <c r="K35" s="172">
        <v>1467760.6944705599</v>
      </c>
    </row>
    <row r="36" spans="2:11" x14ac:dyDescent="0.3">
      <c r="B36" s="172" t="s">
        <v>26</v>
      </c>
      <c r="C36" s="172" t="s">
        <v>243</v>
      </c>
      <c r="D36" s="172" t="s">
        <v>241</v>
      </c>
      <c r="E36" s="172" t="s">
        <v>72</v>
      </c>
      <c r="F36" s="172">
        <v>3.2264932783848399E-7</v>
      </c>
      <c r="G36" s="172">
        <v>3765.7405227539798</v>
      </c>
      <c r="H36" s="172">
        <v>76758.561765989696</v>
      </c>
      <c r="I36" s="172">
        <v>812576.09823554498</v>
      </c>
      <c r="J36" s="172">
        <v>924520.65369294898</v>
      </c>
      <c r="K36" s="172">
        <v>45863.712944050501</v>
      </c>
    </row>
    <row r="37" spans="2:11" hidden="1" x14ac:dyDescent="0.3">
      <c r="B37" s="172" t="s">
        <v>26</v>
      </c>
      <c r="C37" s="172" t="s">
        <v>243</v>
      </c>
      <c r="D37" s="172" t="s">
        <v>241</v>
      </c>
      <c r="E37" s="172" t="s">
        <v>242</v>
      </c>
      <c r="F37" s="172">
        <v>3.3165474467325502E-7</v>
      </c>
      <c r="G37" s="172">
        <v>3774.9555379307399</v>
      </c>
      <c r="H37" s="172">
        <v>76911.391444044901</v>
      </c>
      <c r="I37" s="172">
        <v>815956.69213332201</v>
      </c>
      <c r="J37" s="172">
        <v>1183070.73559164</v>
      </c>
      <c r="K37" s="172">
        <v>58639.450287485</v>
      </c>
    </row>
    <row r="38" spans="2:11" hidden="1" x14ac:dyDescent="0.3">
      <c r="B38" s="172" t="s">
        <v>25</v>
      </c>
      <c r="C38" s="172" t="s">
        <v>240</v>
      </c>
      <c r="D38" s="172" t="s">
        <v>241</v>
      </c>
      <c r="E38" s="172" t="s">
        <v>72</v>
      </c>
      <c r="F38" s="172">
        <v>6.0865654421103297E-7</v>
      </c>
      <c r="G38" s="172">
        <v>101856.32537494499</v>
      </c>
      <c r="H38" s="172">
        <v>4055.0829363531702</v>
      </c>
      <c r="I38" s="172">
        <v>960100.776097583</v>
      </c>
      <c r="J38" s="172">
        <v>58257.272704238203</v>
      </c>
      <c r="K38" s="172">
        <v>1467760.6944703199</v>
      </c>
    </row>
    <row r="39" spans="2:11" hidden="1" x14ac:dyDescent="0.3">
      <c r="B39" s="172" t="s">
        <v>25</v>
      </c>
      <c r="C39" s="172" t="s">
        <v>240</v>
      </c>
      <c r="D39" s="172" t="s">
        <v>241</v>
      </c>
      <c r="E39" s="172" t="s">
        <v>242</v>
      </c>
      <c r="F39" s="172">
        <v>6.0881113583095197E-7</v>
      </c>
      <c r="G39" s="172">
        <v>102035.34392913499</v>
      </c>
      <c r="H39" s="172">
        <v>4055.57318529744</v>
      </c>
      <c r="I39" s="172">
        <v>961879.62226867303</v>
      </c>
      <c r="J39" s="172">
        <v>71882.613260401806</v>
      </c>
      <c r="K39" s="172">
        <v>1808560.0534331701</v>
      </c>
    </row>
    <row r="40" spans="2:11" x14ac:dyDescent="0.3">
      <c r="B40" s="172" t="s">
        <v>25</v>
      </c>
      <c r="C40" s="172" t="s">
        <v>243</v>
      </c>
      <c r="D40" s="172" t="s">
        <v>241</v>
      </c>
      <c r="E40" s="172" t="s">
        <v>72</v>
      </c>
      <c r="F40" s="172">
        <v>4.69021577859852E-7</v>
      </c>
      <c r="G40" s="172">
        <v>4042.88373738576</v>
      </c>
      <c r="H40" s="172">
        <v>82715.649899158394</v>
      </c>
      <c r="I40" s="172">
        <v>875164.55030306603</v>
      </c>
      <c r="J40" s="172">
        <v>1183070.7355925001</v>
      </c>
      <c r="K40" s="172">
        <v>58639.450287271698</v>
      </c>
    </row>
    <row r="41" spans="2:11" hidden="1" x14ac:dyDescent="0.3">
      <c r="B41" s="172" t="s">
        <v>25</v>
      </c>
      <c r="C41" s="172" t="s">
        <v>243</v>
      </c>
      <c r="D41" s="172" t="s">
        <v>241</v>
      </c>
      <c r="E41" s="172" t="s">
        <v>242</v>
      </c>
      <c r="F41" s="172">
        <v>4.4752796222703999E-7</v>
      </c>
      <c r="G41" s="172">
        <v>4050.07582357809</v>
      </c>
      <c r="H41" s="172">
        <v>82838.229247390002</v>
      </c>
      <c r="I41" s="172">
        <v>877843.42761963897</v>
      </c>
      <c r="J41" s="172">
        <v>1459939.3842631101</v>
      </c>
      <c r="K41" s="172">
        <v>72300.359073242798</v>
      </c>
    </row>
    <row r="42" spans="2:11" hidden="1" x14ac:dyDescent="0.3">
      <c r="B42" s="172" t="s">
        <v>24</v>
      </c>
      <c r="C42" s="172" t="s">
        <v>240</v>
      </c>
      <c r="D42" s="172" t="s">
        <v>241</v>
      </c>
      <c r="E42" s="172" t="s">
        <v>72</v>
      </c>
      <c r="F42" s="172">
        <v>6.0051420281370799E-7</v>
      </c>
      <c r="G42" s="172">
        <v>107351.237984486</v>
      </c>
      <c r="H42" s="172">
        <v>4257.6107263908598</v>
      </c>
      <c r="I42" s="172">
        <v>1012268.07188142</v>
      </c>
      <c r="J42" s="172">
        <v>71882.613260329104</v>
      </c>
      <c r="K42" s="172">
        <v>1808560.05343348</v>
      </c>
    </row>
    <row r="43" spans="2:11" hidden="1" x14ac:dyDescent="0.3">
      <c r="B43" s="172" t="s">
        <v>24</v>
      </c>
      <c r="C43" s="172" t="s">
        <v>240</v>
      </c>
      <c r="D43" s="172" t="s">
        <v>241</v>
      </c>
      <c r="E43" s="172" t="s">
        <v>242</v>
      </c>
      <c r="F43" s="172">
        <v>6.0671972085520005E-7</v>
      </c>
      <c r="G43" s="172">
        <v>107472.529909381</v>
      </c>
      <c r="H43" s="172">
        <v>4256.1876310872804</v>
      </c>
      <c r="I43" s="172">
        <v>1013541.5394293</v>
      </c>
      <c r="J43" s="172">
        <v>86181.0616595826</v>
      </c>
      <c r="K43" s="172">
        <v>2166834.9353311602</v>
      </c>
    </row>
    <row r="44" spans="2:11" x14ac:dyDescent="0.3">
      <c r="B44" s="172" t="s">
        <v>24</v>
      </c>
      <c r="C44" s="172" t="s">
        <v>243</v>
      </c>
      <c r="D44" s="172" t="s">
        <v>241</v>
      </c>
      <c r="E44" s="172" t="s">
        <v>72</v>
      </c>
      <c r="F44" s="172">
        <v>1.9439858409158699E-7</v>
      </c>
      <c r="G44" s="172">
        <v>4245.6305952016401</v>
      </c>
      <c r="H44" s="172">
        <v>87298.809038764201</v>
      </c>
      <c r="I44" s="172">
        <v>922395.96957019402</v>
      </c>
      <c r="J44" s="172">
        <v>1459939.38426123</v>
      </c>
      <c r="K44" s="172">
        <v>72300.359073593805</v>
      </c>
    </row>
    <row r="45" spans="2:11" hidden="1" x14ac:dyDescent="0.3">
      <c r="B45" s="172" t="s">
        <v>24</v>
      </c>
      <c r="C45" s="172" t="s">
        <v>243</v>
      </c>
      <c r="D45" s="172" t="s">
        <v>241</v>
      </c>
      <c r="E45" s="172" t="s">
        <v>242</v>
      </c>
      <c r="F45" s="172">
        <v>1.9555927403854E-7</v>
      </c>
      <c r="G45" s="172">
        <v>4250.2468999439898</v>
      </c>
      <c r="H45" s="172">
        <v>87382.610542262497</v>
      </c>
      <c r="I45" s="172">
        <v>924202.17126757395</v>
      </c>
      <c r="J45" s="172">
        <v>1751285.8418989701</v>
      </c>
      <c r="K45" s="172">
        <v>86628.1492219028</v>
      </c>
    </row>
    <row r="46" spans="2:11" hidden="1" x14ac:dyDescent="0.3">
      <c r="B46" s="172" t="s">
        <v>22</v>
      </c>
      <c r="C46" s="172" t="s">
        <v>240</v>
      </c>
      <c r="D46" s="172" t="s">
        <v>241</v>
      </c>
      <c r="E46" s="172" t="s">
        <v>72</v>
      </c>
      <c r="F46" s="172">
        <v>6.7805490269229698E-7</v>
      </c>
      <c r="G46" s="172">
        <v>110437.96321694</v>
      </c>
      <c r="H46" s="172">
        <v>4358.0744597362</v>
      </c>
      <c r="I46" s="172">
        <v>1041773.8424564</v>
      </c>
      <c r="J46" s="172">
        <v>86181.061659284198</v>
      </c>
      <c r="K46" s="172">
        <v>2166834.93532999</v>
      </c>
    </row>
    <row r="47" spans="2:11" hidden="1" x14ac:dyDescent="0.3">
      <c r="B47" s="172" t="s">
        <v>22</v>
      </c>
      <c r="C47" s="172" t="s">
        <v>240</v>
      </c>
      <c r="D47" s="172" t="s">
        <v>241</v>
      </c>
      <c r="E47" s="172" t="s">
        <v>242</v>
      </c>
      <c r="F47" s="172">
        <v>6.8366498378964799E-7</v>
      </c>
      <c r="G47" s="172">
        <v>110481.248332025</v>
      </c>
      <c r="H47" s="172">
        <v>4354.4840131521196</v>
      </c>
      <c r="I47" s="172">
        <v>1042367.58721248</v>
      </c>
      <c r="J47" s="172">
        <v>103002.606575956</v>
      </c>
      <c r="K47" s="172">
        <v>2589954.8082031002</v>
      </c>
    </row>
    <row r="48" spans="2:11" x14ac:dyDescent="0.3">
      <c r="B48" s="172" t="s">
        <v>22</v>
      </c>
      <c r="C48" s="172" t="s">
        <v>243</v>
      </c>
      <c r="D48" s="172" t="s">
        <v>241</v>
      </c>
      <c r="E48" s="172" t="s">
        <v>72</v>
      </c>
      <c r="F48" s="172">
        <v>1.80671050708856E-7</v>
      </c>
      <c r="G48" s="172">
        <v>4352.9937998344903</v>
      </c>
      <c r="H48" s="172">
        <v>89924.400433707502</v>
      </c>
      <c r="I48" s="172">
        <v>949844.60231586697</v>
      </c>
      <c r="J48" s="172">
        <v>1751285.8418987</v>
      </c>
      <c r="K48" s="172">
        <v>86628.149221894506</v>
      </c>
    </row>
    <row r="49" spans="2:11" hidden="1" x14ac:dyDescent="0.3">
      <c r="B49" s="172" t="s">
        <v>22</v>
      </c>
      <c r="C49" s="172" t="s">
        <v>243</v>
      </c>
      <c r="D49" s="172" t="s">
        <v>241</v>
      </c>
      <c r="E49" s="172" t="s">
        <v>242</v>
      </c>
      <c r="F49" s="172">
        <v>1.8553612538257901E-7</v>
      </c>
      <c r="G49" s="172">
        <v>4354.4844200795596</v>
      </c>
      <c r="H49" s="172">
        <v>89959.661212747698</v>
      </c>
      <c r="I49" s="172">
        <v>950596.60734412796</v>
      </c>
      <c r="J49" s="172">
        <v>2095633.6870486699</v>
      </c>
      <c r="K49" s="172">
        <v>103484.260514842</v>
      </c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2:11" x14ac:dyDescent="0.3">
      <c r="B53" s="75"/>
      <c r="C53" s="75"/>
      <c r="D53" s="75"/>
      <c r="E53" s="75"/>
      <c r="F53" s="75"/>
      <c r="G53" s="75"/>
      <c r="H53" s="75"/>
      <c r="I53" s="75"/>
      <c r="J53" s="75"/>
      <c r="K53" s="75"/>
    </row>
  </sheetData>
  <autoFilter ref="B5:K49">
    <filterColumn colId="1">
      <filters>
        <filter val="ESPECTRO Y"/>
      </filters>
    </filterColumn>
    <filterColumn colId="3">
      <filters>
        <filter val="Top"/>
      </filters>
    </filterColumn>
  </autoFilter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693420</xdr:colOff>
                    <xdr:row>3</xdr:row>
                    <xdr:rowOff>99060</xdr:rowOff>
                  </from>
                  <to>
                    <xdr:col>15</xdr:col>
                    <xdr:colOff>38100</xdr:colOff>
                    <xdr:row>17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Q76"/>
  <sheetViews>
    <sheetView topLeftCell="A16" zoomScale="80" zoomScaleNormal="80" workbookViewId="0">
      <selection activeCell="O34" sqref="O34:P44"/>
    </sheetView>
  </sheetViews>
  <sheetFormatPr baseColWidth="10" defaultRowHeight="14.4" x14ac:dyDescent="0.3"/>
  <cols>
    <col min="3" max="3" width="17.109375" customWidth="1"/>
    <col min="4" max="4" width="10" customWidth="1"/>
    <col min="5" max="5" width="17.6640625" customWidth="1"/>
    <col min="6" max="6" width="16.5546875" customWidth="1"/>
    <col min="12" max="12" width="15.33203125" customWidth="1"/>
    <col min="13" max="13" width="14.88671875" customWidth="1"/>
    <col min="14" max="14" width="18.109375" customWidth="1"/>
    <col min="16" max="16" width="14.5546875" customWidth="1"/>
  </cols>
  <sheetData>
    <row r="2" spans="2:17" x14ac:dyDescent="0.3">
      <c r="B2" s="167" t="s">
        <v>198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2:17" x14ac:dyDescent="0.3">
      <c r="B3" s="169" t="s">
        <v>199</v>
      </c>
      <c r="C3" s="169" t="s">
        <v>200</v>
      </c>
      <c r="D3" s="169" t="s">
        <v>42</v>
      </c>
      <c r="E3" s="169" t="s">
        <v>201</v>
      </c>
      <c r="F3" s="169" t="s">
        <v>202</v>
      </c>
      <c r="G3" s="169" t="s">
        <v>203</v>
      </c>
      <c r="H3" s="169" t="s">
        <v>204</v>
      </c>
      <c r="I3" s="169" t="s">
        <v>205</v>
      </c>
      <c r="J3" s="169" t="s">
        <v>206</v>
      </c>
      <c r="K3" s="169" t="s">
        <v>207</v>
      </c>
      <c r="L3" s="169" t="s">
        <v>208</v>
      </c>
      <c r="M3" s="169" t="s">
        <v>209</v>
      </c>
      <c r="N3" s="169" t="s">
        <v>210</v>
      </c>
      <c r="O3" s="169" t="s">
        <v>211</v>
      </c>
      <c r="P3" s="169" t="s">
        <v>212</v>
      </c>
      <c r="Q3" s="170" t="s">
        <v>213</v>
      </c>
    </row>
    <row r="4" spans="2:17" x14ac:dyDescent="0.3">
      <c r="B4" s="173"/>
      <c r="C4" s="173"/>
      <c r="D4" s="173"/>
      <c r="E4" s="173"/>
      <c r="F4" s="173" t="s">
        <v>214</v>
      </c>
      <c r="G4" s="173"/>
      <c r="H4" s="173"/>
      <c r="I4" s="173"/>
      <c r="J4" s="173"/>
      <c r="K4" s="173"/>
      <c r="L4" s="173"/>
      <c r="M4" s="173" t="s">
        <v>215</v>
      </c>
      <c r="N4" s="173"/>
      <c r="O4" s="173" t="s">
        <v>43</v>
      </c>
      <c r="P4" s="173" t="s">
        <v>43</v>
      </c>
      <c r="Q4" s="174" t="s">
        <v>43</v>
      </c>
    </row>
    <row r="5" spans="2:17" x14ac:dyDescent="0.3">
      <c r="B5" s="172" t="s">
        <v>216</v>
      </c>
      <c r="C5" s="172" t="s">
        <v>217</v>
      </c>
      <c r="D5" s="172" t="s">
        <v>218</v>
      </c>
      <c r="E5" s="172" t="s">
        <v>219</v>
      </c>
      <c r="F5" s="172">
        <v>0.03</v>
      </c>
      <c r="G5" s="172" t="s">
        <v>189</v>
      </c>
      <c r="H5" s="172" t="s">
        <v>44</v>
      </c>
      <c r="I5" s="172">
        <v>12</v>
      </c>
      <c r="J5" s="172">
        <v>0.28000000000000003</v>
      </c>
      <c r="K5" s="172">
        <v>1.5</v>
      </c>
      <c r="L5" s="172">
        <v>1</v>
      </c>
      <c r="M5" s="172">
        <v>1.3514829560605199</v>
      </c>
      <c r="N5" s="172">
        <v>1.5338900255396899</v>
      </c>
      <c r="O5" s="172">
        <v>3391451.21249271</v>
      </c>
      <c r="P5" s="172">
        <v>121382.641028764</v>
      </c>
      <c r="Q5" s="172">
        <v>11483.2599358392</v>
      </c>
    </row>
    <row r="6" spans="2:17" x14ac:dyDescent="0.3">
      <c r="B6" s="172" t="s">
        <v>220</v>
      </c>
      <c r="C6" s="172" t="s">
        <v>217</v>
      </c>
      <c r="D6" s="172" t="s">
        <v>221</v>
      </c>
      <c r="E6" s="172" t="s">
        <v>219</v>
      </c>
      <c r="F6" s="172">
        <v>0.03</v>
      </c>
      <c r="G6" s="172" t="s">
        <v>189</v>
      </c>
      <c r="H6" s="172" t="s">
        <v>44</v>
      </c>
      <c r="I6" s="172">
        <v>12</v>
      </c>
      <c r="J6" s="172">
        <v>0.28000000000000003</v>
      </c>
      <c r="K6" s="172">
        <v>1.5</v>
      </c>
      <c r="L6" s="172">
        <v>1</v>
      </c>
      <c r="M6" s="172">
        <v>1.4414686340881899</v>
      </c>
      <c r="N6" s="172">
        <v>1.4693699061980601</v>
      </c>
      <c r="O6" s="172">
        <v>3391451.21249271</v>
      </c>
      <c r="P6" s="172">
        <v>116276.91483276599</v>
      </c>
      <c r="Q6" s="172">
        <v>11732.666791998299</v>
      </c>
    </row>
    <row r="7" spans="2:17" x14ac:dyDescent="0.3">
      <c r="B7" s="198" t="s">
        <v>192</v>
      </c>
      <c r="C7" s="198"/>
      <c r="D7">
        <v>38.5</v>
      </c>
      <c r="E7" t="s">
        <v>7</v>
      </c>
      <c r="H7" t="s">
        <v>119</v>
      </c>
      <c r="I7">
        <f>+(1.25*K5)/M7^(2/3)</f>
        <v>1.7281700817164016</v>
      </c>
      <c r="L7" t="s">
        <v>55</v>
      </c>
      <c r="M7">
        <f>+F6*POWER(D7*3.28,3/4)</f>
        <v>1.1301138167587033</v>
      </c>
    </row>
    <row r="8" spans="2:17" x14ac:dyDescent="0.3">
      <c r="H8" t="s">
        <v>120</v>
      </c>
      <c r="I8">
        <f>+(J5*I7)/I5</f>
        <v>4.0323968573382711E-2</v>
      </c>
      <c r="L8" t="s">
        <v>56</v>
      </c>
      <c r="M8">
        <f>+M7*1.4</f>
        <v>1.5821593434621846</v>
      </c>
    </row>
    <row r="9" spans="2:17" s="13" customFormat="1" x14ac:dyDescent="0.3">
      <c r="H9" s="13" t="s">
        <v>121</v>
      </c>
      <c r="I9" s="13">
        <f>0.8*I8</f>
        <v>3.225917485870617E-2</v>
      </c>
      <c r="J9" s="13" t="s">
        <v>122</v>
      </c>
    </row>
    <row r="10" spans="2:17" s="13" customFormat="1" x14ac:dyDescent="0.3">
      <c r="C10" s="199" t="s">
        <v>125</v>
      </c>
      <c r="D10" s="199"/>
      <c r="E10" s="199" t="s">
        <v>124</v>
      </c>
      <c r="F10" s="199"/>
      <c r="G10" s="199"/>
      <c r="H10" s="9" t="s">
        <v>126</v>
      </c>
      <c r="I10" s="9">
        <f>+$I$9*O5</f>
        <v>109405.41768857339</v>
      </c>
      <c r="J10" s="9" t="s">
        <v>123</v>
      </c>
      <c r="K10" s="103" t="str">
        <f>+IF(I10&gt;N51,"USAR TA","USAR  TB")</f>
        <v>USAR TA</v>
      </c>
      <c r="L10" s="101"/>
      <c r="M10" s="101"/>
      <c r="N10" s="101"/>
    </row>
    <row r="11" spans="2:17" s="100" customFormat="1" ht="15" thickBot="1" x14ac:dyDescent="0.35">
      <c r="C11" s="199" t="s">
        <v>125</v>
      </c>
      <c r="D11" s="199"/>
      <c r="E11" s="199" t="s">
        <v>124</v>
      </c>
      <c r="F11" s="199"/>
      <c r="G11" s="199"/>
      <c r="H11" s="9" t="s">
        <v>127</v>
      </c>
      <c r="I11" s="9">
        <f>+$I$9*O6</f>
        <v>109405.41768857339</v>
      </c>
      <c r="J11" s="9" t="s">
        <v>123</v>
      </c>
      <c r="K11" s="103" t="str">
        <f>+IF(I11&gt;N52,"USAR TA","USAR TB")</f>
        <v>USAR TA</v>
      </c>
      <c r="L11" s="102"/>
      <c r="M11" s="102"/>
      <c r="N11" s="102"/>
    </row>
    <row r="12" spans="2:17" x14ac:dyDescent="0.3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6" t="s">
        <v>61</v>
      </c>
      <c r="M12" s="196"/>
      <c r="N12" s="196"/>
      <c r="O12" s="29" t="s">
        <v>67</v>
      </c>
      <c r="P12" s="17"/>
    </row>
    <row r="13" spans="2:17" x14ac:dyDescent="0.3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6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3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6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3">
      <c r="B15" s="172" t="s">
        <v>189</v>
      </c>
      <c r="C15" s="172" t="s">
        <v>240</v>
      </c>
      <c r="D15" s="172" t="s">
        <v>72</v>
      </c>
      <c r="E15" s="172">
        <v>6.41894705004732E-10</v>
      </c>
      <c r="F15" s="172">
        <v>1142.6976359302701</v>
      </c>
      <c r="G15" s="172">
        <v>49.927071877438699</v>
      </c>
      <c r="H15" s="172">
        <v>9314.0033806506708</v>
      </c>
      <c r="I15" s="172">
        <v>5.46407653404221E-9</v>
      </c>
      <c r="J15" s="172">
        <v>1.18022612290841E-8</v>
      </c>
      <c r="K15" s="166"/>
      <c r="L15" s="166" t="s">
        <v>189</v>
      </c>
      <c r="M15">
        <f>+F15</f>
        <v>1142.6976359302701</v>
      </c>
      <c r="N15">
        <f>+G15</f>
        <v>49.927071877438699</v>
      </c>
      <c r="O15" s="18">
        <f t="shared" ref="O15:P19" si="0">+M15*$O$55</f>
        <v>0</v>
      </c>
      <c r="P15" s="19">
        <f t="shared" si="0"/>
        <v>0</v>
      </c>
    </row>
    <row r="16" spans="2:17" x14ac:dyDescent="0.3">
      <c r="B16" s="172" t="s">
        <v>187</v>
      </c>
      <c r="C16" s="172" t="s">
        <v>240</v>
      </c>
      <c r="D16" s="172" t="s">
        <v>72</v>
      </c>
      <c r="E16" s="172">
        <v>5.42680533946547E-8</v>
      </c>
      <c r="F16" s="172">
        <v>17515.623449586299</v>
      </c>
      <c r="G16" s="172">
        <v>700.91253240882804</v>
      </c>
      <c r="H16" s="172">
        <v>162357.855610286</v>
      </c>
      <c r="I16" s="172">
        <v>149.78121570617401</v>
      </c>
      <c r="J16" s="172">
        <v>3428.09290864376</v>
      </c>
      <c r="K16" s="166"/>
      <c r="L16" s="166" t="s">
        <v>187</v>
      </c>
      <c r="M16" s="13">
        <f>+F16-F15</f>
        <v>16372.925813656029</v>
      </c>
      <c r="N16">
        <f>+G16-G15</f>
        <v>650.98546053138932</v>
      </c>
      <c r="O16" s="18">
        <f t="shared" si="0"/>
        <v>0</v>
      </c>
      <c r="P16" s="19">
        <f t="shared" si="0"/>
        <v>0</v>
      </c>
    </row>
    <row r="17" spans="2:16" x14ac:dyDescent="0.3">
      <c r="B17" s="172" t="s">
        <v>185</v>
      </c>
      <c r="C17" s="172" t="s">
        <v>240</v>
      </c>
      <c r="D17" s="172" t="s">
        <v>72</v>
      </c>
      <c r="E17" s="172">
        <v>2.0680102866770201E-7</v>
      </c>
      <c r="F17" s="172">
        <v>36077.7942965478</v>
      </c>
      <c r="G17" s="172">
        <v>1431.80512483499</v>
      </c>
      <c r="H17" s="172">
        <v>337333.97060454398</v>
      </c>
      <c r="I17" s="172">
        <v>2548.9036548921099</v>
      </c>
      <c r="J17" s="172">
        <v>65558.174534458201</v>
      </c>
      <c r="K17" s="166"/>
      <c r="L17" s="166" t="s">
        <v>185</v>
      </c>
      <c r="M17" s="13">
        <f t="shared" ref="M17:M25" si="1">+F17-F16</f>
        <v>18562.170846961501</v>
      </c>
      <c r="N17" s="13">
        <f t="shared" ref="N17:N25" si="2">+G17-G16</f>
        <v>730.89259242616197</v>
      </c>
      <c r="O17" s="18">
        <f t="shared" si="0"/>
        <v>0</v>
      </c>
      <c r="P17" s="19">
        <f t="shared" si="0"/>
        <v>0</v>
      </c>
    </row>
    <row r="18" spans="2:16" x14ac:dyDescent="0.3">
      <c r="B18" s="172" t="s">
        <v>183</v>
      </c>
      <c r="C18" s="172" t="s">
        <v>240</v>
      </c>
      <c r="D18" s="172" t="s">
        <v>72</v>
      </c>
      <c r="E18" s="172">
        <v>4.1145440944702598E-7</v>
      </c>
      <c r="F18" s="172">
        <v>51704.5068408058</v>
      </c>
      <c r="G18" s="172">
        <v>2052.1732825227</v>
      </c>
      <c r="H18" s="172">
        <v>485061.47979851399</v>
      </c>
      <c r="I18" s="172">
        <v>7525.0722674314402</v>
      </c>
      <c r="J18" s="172">
        <v>192152.677581342</v>
      </c>
      <c r="K18" s="166"/>
      <c r="L18" s="166" t="s">
        <v>183</v>
      </c>
      <c r="M18" s="13">
        <f t="shared" si="1"/>
        <v>15626.712544258</v>
      </c>
      <c r="N18" s="13">
        <f t="shared" si="2"/>
        <v>620.36815768770998</v>
      </c>
      <c r="O18" s="18">
        <f t="shared" si="0"/>
        <v>0</v>
      </c>
      <c r="P18" s="19">
        <f t="shared" si="0"/>
        <v>0</v>
      </c>
    </row>
    <row r="19" spans="2:16" x14ac:dyDescent="0.3">
      <c r="B19" s="172" t="s">
        <v>181</v>
      </c>
      <c r="C19" s="172" t="s">
        <v>240</v>
      </c>
      <c r="D19" s="172" t="s">
        <v>72</v>
      </c>
      <c r="E19" s="172">
        <v>4.4490771462844402E-7</v>
      </c>
      <c r="F19" s="172">
        <v>64915.889486735403</v>
      </c>
      <c r="G19" s="172">
        <v>2582.4423105618098</v>
      </c>
      <c r="H19" s="172">
        <v>610125.89319111605</v>
      </c>
      <c r="I19" s="172">
        <v>14617.1603260513</v>
      </c>
      <c r="J19" s="172">
        <v>372132.15996150603</v>
      </c>
      <c r="K19" s="166"/>
      <c r="L19" s="166" t="s">
        <v>181</v>
      </c>
      <c r="M19" s="13">
        <f t="shared" si="1"/>
        <v>13211.382645929603</v>
      </c>
      <c r="N19" s="13">
        <f t="shared" si="2"/>
        <v>530.2690280391098</v>
      </c>
      <c r="O19" s="18">
        <f t="shared" si="0"/>
        <v>0</v>
      </c>
      <c r="P19" s="19">
        <f t="shared" si="0"/>
        <v>0</v>
      </c>
    </row>
    <row r="20" spans="2:16" s="100" customFormat="1" x14ac:dyDescent="0.3">
      <c r="B20" s="172" t="s">
        <v>179</v>
      </c>
      <c r="C20" s="172" t="s">
        <v>240</v>
      </c>
      <c r="D20" s="172" t="s">
        <v>72</v>
      </c>
      <c r="E20" s="172">
        <v>6.5656517499207503E-7</v>
      </c>
      <c r="F20" s="172">
        <v>76267.258050918696</v>
      </c>
      <c r="G20" s="172">
        <v>3040.0047909555901</v>
      </c>
      <c r="H20" s="172">
        <v>717635.48161102005</v>
      </c>
      <c r="I20" s="172">
        <v>23487.976723802702</v>
      </c>
      <c r="J20" s="172">
        <v>596176.29132898594</v>
      </c>
      <c r="K20" s="166"/>
      <c r="L20" s="166" t="s">
        <v>179</v>
      </c>
      <c r="M20" s="113">
        <f t="shared" si="1"/>
        <v>11351.368564183293</v>
      </c>
      <c r="N20" s="113">
        <f t="shared" si="2"/>
        <v>457.56248039378033</v>
      </c>
      <c r="O20" s="18">
        <f t="shared" ref="O20:O25" si="3">+M20*$O$55</f>
        <v>0</v>
      </c>
      <c r="P20" s="19">
        <f t="shared" ref="P20:P25" si="4">+N20*$O$55</f>
        <v>0</v>
      </c>
    </row>
    <row r="21" spans="2:16" s="100" customFormat="1" x14ac:dyDescent="0.3">
      <c r="B21" s="172" t="s">
        <v>39</v>
      </c>
      <c r="C21" s="172" t="s">
        <v>240</v>
      </c>
      <c r="D21" s="172" t="s">
        <v>72</v>
      </c>
      <c r="E21" s="172">
        <v>6.2155066122504804E-7</v>
      </c>
      <c r="F21" s="172">
        <v>86128.022605054095</v>
      </c>
      <c r="G21" s="172">
        <v>3435.94915001141</v>
      </c>
      <c r="H21" s="172">
        <v>811048.00413715898</v>
      </c>
      <c r="I21" s="172">
        <v>33864.682483144097</v>
      </c>
      <c r="J21" s="172">
        <v>857056.85096177098</v>
      </c>
      <c r="K21" s="166"/>
      <c r="L21" s="166" t="s">
        <v>39</v>
      </c>
      <c r="M21" s="113">
        <f t="shared" si="1"/>
        <v>9860.7645541353995</v>
      </c>
      <c r="N21" s="113">
        <f t="shared" si="2"/>
        <v>395.94435905581986</v>
      </c>
      <c r="O21" s="18">
        <f t="shared" si="3"/>
        <v>0</v>
      </c>
      <c r="P21" s="19">
        <f t="shared" si="4"/>
        <v>0</v>
      </c>
    </row>
    <row r="22" spans="2:16" s="100" customFormat="1" x14ac:dyDescent="0.3">
      <c r="B22" s="172" t="s">
        <v>26</v>
      </c>
      <c r="C22" s="172" t="s">
        <v>240</v>
      </c>
      <c r="D22" s="172" t="s">
        <v>72</v>
      </c>
      <c r="E22" s="172">
        <v>5.7982842990932602E-7</v>
      </c>
      <c r="F22" s="172">
        <v>94668.381019451495</v>
      </c>
      <c r="G22" s="172">
        <v>3775.6504359269802</v>
      </c>
      <c r="H22" s="172">
        <v>891970.20710638398</v>
      </c>
      <c r="I22" s="172">
        <v>45520.520415617299</v>
      </c>
      <c r="J22" s="172">
        <v>1149145.1160126701</v>
      </c>
      <c r="K22" s="166"/>
      <c r="L22" s="166" t="s">
        <v>26</v>
      </c>
      <c r="M22" s="113">
        <f t="shared" si="1"/>
        <v>8540.3584143974003</v>
      </c>
      <c r="N22" s="113">
        <f t="shared" si="2"/>
        <v>339.70128591557022</v>
      </c>
      <c r="O22" s="18">
        <f t="shared" si="3"/>
        <v>0</v>
      </c>
      <c r="P22" s="19">
        <f t="shared" si="4"/>
        <v>0</v>
      </c>
    </row>
    <row r="23" spans="2:16" s="100" customFormat="1" x14ac:dyDescent="0.3">
      <c r="B23" s="172" t="s">
        <v>25</v>
      </c>
      <c r="C23" s="172" t="s">
        <v>240</v>
      </c>
      <c r="D23" s="172" t="s">
        <v>72</v>
      </c>
      <c r="E23" s="172">
        <v>6.0865654421103297E-7</v>
      </c>
      <c r="F23" s="172">
        <v>101856.32537494499</v>
      </c>
      <c r="G23" s="172">
        <v>4055.0829363531702</v>
      </c>
      <c r="H23" s="172">
        <v>960100.776097583</v>
      </c>
      <c r="I23" s="172">
        <v>58257.272704238203</v>
      </c>
      <c r="J23" s="172">
        <v>1467760.6944703199</v>
      </c>
      <c r="K23" s="166"/>
      <c r="L23" s="166" t="s">
        <v>25</v>
      </c>
      <c r="M23" s="113">
        <f t="shared" si="1"/>
        <v>7187.9443554934987</v>
      </c>
      <c r="N23" s="113">
        <f t="shared" si="2"/>
        <v>279.43250042619002</v>
      </c>
      <c r="O23" s="18">
        <f t="shared" si="3"/>
        <v>0</v>
      </c>
      <c r="P23" s="19">
        <f t="shared" si="4"/>
        <v>0</v>
      </c>
    </row>
    <row r="24" spans="2:16" s="100" customFormat="1" x14ac:dyDescent="0.3">
      <c r="B24" s="172" t="s">
        <v>24</v>
      </c>
      <c r="C24" s="172" t="s">
        <v>240</v>
      </c>
      <c r="D24" s="172" t="s">
        <v>72</v>
      </c>
      <c r="E24" s="172">
        <v>6.0051420281370799E-7</v>
      </c>
      <c r="F24" s="172">
        <v>107351.237984486</v>
      </c>
      <c r="G24" s="172">
        <v>4257.6107263908598</v>
      </c>
      <c r="H24" s="172">
        <v>1012268.07188142</v>
      </c>
      <c r="I24" s="172">
        <v>71882.613260329104</v>
      </c>
      <c r="J24" s="172">
        <v>1808560.05343348</v>
      </c>
      <c r="K24" s="166"/>
      <c r="L24" s="166" t="s">
        <v>24</v>
      </c>
      <c r="M24" s="113">
        <f t="shared" si="1"/>
        <v>5494.9126095410029</v>
      </c>
      <c r="N24" s="113">
        <f t="shared" si="2"/>
        <v>202.52779003768956</v>
      </c>
      <c r="O24" s="18">
        <f t="shared" si="3"/>
        <v>0</v>
      </c>
      <c r="P24" s="19">
        <f t="shared" si="4"/>
        <v>0</v>
      </c>
    </row>
    <row r="25" spans="2:16" s="100" customFormat="1" ht="15" thickBot="1" x14ac:dyDescent="0.35">
      <c r="B25" s="172" t="s">
        <v>22</v>
      </c>
      <c r="C25" s="172" t="s">
        <v>240</v>
      </c>
      <c r="D25" s="172" t="s">
        <v>72</v>
      </c>
      <c r="E25" s="172">
        <v>6.7805490269229698E-7</v>
      </c>
      <c r="F25" s="172">
        <v>110437.96321694</v>
      </c>
      <c r="G25" s="172">
        <v>4358.0744597362</v>
      </c>
      <c r="H25" s="172">
        <v>1041773.8424564</v>
      </c>
      <c r="I25" s="172">
        <v>86181.061659284198</v>
      </c>
      <c r="J25" s="172">
        <v>2166834.93532999</v>
      </c>
      <c r="K25" s="166"/>
      <c r="L25" s="166" t="s">
        <v>22</v>
      </c>
      <c r="M25" s="113">
        <f t="shared" si="1"/>
        <v>3086.7252324540023</v>
      </c>
      <c r="N25" s="113">
        <f t="shared" si="2"/>
        <v>100.46373334534019</v>
      </c>
      <c r="O25" s="30">
        <f t="shared" si="3"/>
        <v>0</v>
      </c>
      <c r="P25" s="24">
        <f t="shared" si="4"/>
        <v>0</v>
      </c>
    </row>
    <row r="26" spans="2:16" s="100" customFormat="1" x14ac:dyDescent="0.3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3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3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" thickBot="1" x14ac:dyDescent="0.35"/>
    <row r="31" spans="2:16" x14ac:dyDescent="0.3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6" t="s">
        <v>61</v>
      </c>
      <c r="M31" s="196"/>
      <c r="N31" s="196"/>
      <c r="O31" s="175" t="s">
        <v>66</v>
      </c>
      <c r="P31" s="176"/>
    </row>
    <row r="32" spans="2:16" x14ac:dyDescent="0.3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6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3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6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3">
      <c r="B34" s="172" t="s">
        <v>189</v>
      </c>
      <c r="C34" s="172" t="s">
        <v>243</v>
      </c>
      <c r="D34" s="172" t="s">
        <v>72</v>
      </c>
      <c r="E34" s="172">
        <v>1.6884427682869099E-10</v>
      </c>
      <c r="F34" s="172">
        <v>111.655775153089</v>
      </c>
      <c r="G34" s="172">
        <v>831.73472155564798</v>
      </c>
      <c r="H34" s="172">
        <v>14083.7007035847</v>
      </c>
      <c r="I34" s="172">
        <v>9.9898559583449703E-10</v>
      </c>
      <c r="J34" s="172">
        <v>2.8568050726884201E-9</v>
      </c>
      <c r="L34" s="113" t="s">
        <v>189</v>
      </c>
      <c r="M34" s="13">
        <f>+F34</f>
        <v>111.655775153089</v>
      </c>
      <c r="N34" s="13">
        <f>+G34</f>
        <v>831.73472155564798</v>
      </c>
      <c r="O34" s="18">
        <f>+M34*$O$56</f>
        <v>135.84462792132393</v>
      </c>
      <c r="P34" s="19">
        <f>+N34*$O$56</f>
        <v>1011.9198368741713</v>
      </c>
    </row>
    <row r="35" spans="2:16" x14ac:dyDescent="0.3">
      <c r="B35" s="172" t="s">
        <v>187</v>
      </c>
      <c r="C35" s="172" t="s">
        <v>243</v>
      </c>
      <c r="D35" s="172" t="s">
        <v>72</v>
      </c>
      <c r="E35" s="172">
        <v>2.09119048012744E-7</v>
      </c>
      <c r="F35" s="172">
        <v>715.50234932643502</v>
      </c>
      <c r="G35" s="172">
        <v>13702.4564168663</v>
      </c>
      <c r="H35" s="172">
        <v>141322.87516812101</v>
      </c>
      <c r="I35" s="172">
        <v>2495.2041660386799</v>
      </c>
      <c r="J35" s="172">
        <v>334.96732608038701</v>
      </c>
      <c r="L35" s="113" t="s">
        <v>187</v>
      </c>
      <c r="M35" s="13">
        <f>+F35-F34</f>
        <v>603.84657417334597</v>
      </c>
      <c r="N35" s="13">
        <f>+G35-G34</f>
        <v>12870.721695310653</v>
      </c>
      <c r="O35" s="18">
        <f t="shared" ref="O35:P44" si="5">+M35*$O$56</f>
        <v>734.66252039068809</v>
      </c>
      <c r="P35" s="19">
        <f t="shared" si="5"/>
        <v>15659.005522832706</v>
      </c>
    </row>
    <row r="36" spans="2:16" x14ac:dyDescent="0.3">
      <c r="B36" s="172" t="s">
        <v>185</v>
      </c>
      <c r="C36" s="172" t="s">
        <v>243</v>
      </c>
      <c r="D36" s="172" t="s">
        <v>72</v>
      </c>
      <c r="E36" s="172">
        <v>4.2632290217373902E-7</v>
      </c>
      <c r="F36" s="172">
        <v>1428.4939851899901</v>
      </c>
      <c r="G36" s="172">
        <v>28687.732840828801</v>
      </c>
      <c r="H36" s="172">
        <v>295291.91846774099</v>
      </c>
      <c r="I36" s="172">
        <v>50611.856327050002</v>
      </c>
      <c r="J36" s="172">
        <v>2794.2062579871999</v>
      </c>
      <c r="L36" s="113" t="s">
        <v>185</v>
      </c>
      <c r="M36" s="13">
        <f t="shared" ref="M36:M44" si="6">+F36-F35</f>
        <v>712.99163586355508</v>
      </c>
      <c r="N36" s="13">
        <f t="shared" ref="N36:N44" si="7">+G36-G35</f>
        <v>14985.276423962501</v>
      </c>
      <c r="O36" s="18">
        <f t="shared" si="5"/>
        <v>867.45251960414316</v>
      </c>
      <c r="P36" s="19">
        <f t="shared" si="5"/>
        <v>18231.652570772167</v>
      </c>
    </row>
    <row r="37" spans="2:16" x14ac:dyDescent="0.3">
      <c r="B37" s="172" t="s">
        <v>183</v>
      </c>
      <c r="C37" s="172" t="s">
        <v>243</v>
      </c>
      <c r="D37" s="172" t="s">
        <v>72</v>
      </c>
      <c r="E37" s="172">
        <v>1.1785687656218E-6</v>
      </c>
      <c r="F37" s="172">
        <v>2043.33795860499</v>
      </c>
      <c r="G37" s="172">
        <v>41456.112537884102</v>
      </c>
      <c r="H37" s="172">
        <v>430155.86562829401</v>
      </c>
      <c r="I37" s="172">
        <v>151311.23669463399</v>
      </c>
      <c r="J37" s="172">
        <v>7777.1205223797097</v>
      </c>
      <c r="L37" s="113" t="s">
        <v>183</v>
      </c>
      <c r="M37" s="13">
        <f t="shared" si="6"/>
        <v>614.84397341499994</v>
      </c>
      <c r="N37" s="13">
        <f t="shared" si="7"/>
        <v>12768.379697055301</v>
      </c>
      <c r="O37" s="18">
        <f t="shared" si="5"/>
        <v>748.04237115108469</v>
      </c>
      <c r="P37" s="19">
        <f t="shared" si="5"/>
        <v>15534.492387218705</v>
      </c>
    </row>
    <row r="38" spans="2:16" x14ac:dyDescent="0.3">
      <c r="B38" s="172" t="s">
        <v>181</v>
      </c>
      <c r="C38" s="172" t="s">
        <v>243</v>
      </c>
      <c r="D38" s="172" t="s">
        <v>72</v>
      </c>
      <c r="E38" s="172">
        <v>5.7829764330036705E-7</v>
      </c>
      <c r="F38" s="172">
        <v>2572.41802913011</v>
      </c>
      <c r="G38" s="172">
        <v>52286.402853196501</v>
      </c>
      <c r="H38" s="172">
        <v>546972.91323908302</v>
      </c>
      <c r="I38" s="172">
        <v>295852.15772299899</v>
      </c>
      <c r="J38" s="172">
        <v>14880.5612882513</v>
      </c>
      <c r="L38" s="113" t="s">
        <v>181</v>
      </c>
      <c r="M38" s="13">
        <f t="shared" si="6"/>
        <v>529.08007052511994</v>
      </c>
      <c r="N38" s="13">
        <f t="shared" si="7"/>
        <v>10830.290315312399</v>
      </c>
      <c r="O38" s="18">
        <f t="shared" si="5"/>
        <v>643.69877171628207</v>
      </c>
      <c r="P38" s="19">
        <f t="shared" si="5"/>
        <v>13176.539736940143</v>
      </c>
    </row>
    <row r="39" spans="2:16" s="100" customFormat="1" x14ac:dyDescent="0.3">
      <c r="B39" s="172" t="s">
        <v>179</v>
      </c>
      <c r="C39" s="172" t="s">
        <v>243</v>
      </c>
      <c r="D39" s="172" t="s">
        <v>72</v>
      </c>
      <c r="E39" s="172">
        <v>7.05826124333483E-7</v>
      </c>
      <c r="F39" s="172">
        <v>3030.4345537121899</v>
      </c>
      <c r="G39" s="172">
        <v>61595.070589532399</v>
      </c>
      <c r="H39" s="172">
        <v>648505.92858680605</v>
      </c>
      <c r="I39" s="172">
        <v>476686.66351113399</v>
      </c>
      <c r="J39" s="172">
        <v>23769.354296156402</v>
      </c>
      <c r="L39" s="113" t="s">
        <v>179</v>
      </c>
      <c r="M39" s="113">
        <f t="shared" si="6"/>
        <v>458.01652458207991</v>
      </c>
      <c r="N39" s="113">
        <f t="shared" si="7"/>
        <v>9308.6677363358976</v>
      </c>
      <c r="O39" s="18">
        <f t="shared" si="5"/>
        <v>557.24018106867493</v>
      </c>
      <c r="P39" s="19">
        <f t="shared" si="5"/>
        <v>11325.276308834073</v>
      </c>
    </row>
    <row r="40" spans="2:16" s="100" customFormat="1" x14ac:dyDescent="0.3">
      <c r="B40" s="172" t="s">
        <v>39</v>
      </c>
      <c r="C40" s="172" t="s">
        <v>243</v>
      </c>
      <c r="D40" s="172" t="s">
        <v>72</v>
      </c>
      <c r="E40" s="172">
        <v>3.7867965390672199E-7</v>
      </c>
      <c r="F40" s="172">
        <v>3427.0377985054301</v>
      </c>
      <c r="G40" s="172">
        <v>69702.771844331306</v>
      </c>
      <c r="H40" s="172">
        <v>736806.27732287603</v>
      </c>
      <c r="I40" s="172">
        <v>687795.84397234803</v>
      </c>
      <c r="J40" s="172">
        <v>34172.646190523803</v>
      </c>
      <c r="L40" s="13" t="s">
        <v>39</v>
      </c>
      <c r="M40" s="113">
        <f t="shared" si="6"/>
        <v>396.60324479324026</v>
      </c>
      <c r="N40" s="113">
        <f t="shared" si="7"/>
        <v>8107.701254798907</v>
      </c>
      <c r="O40" s="18">
        <f t="shared" si="5"/>
        <v>482.52246825082358</v>
      </c>
      <c r="P40" s="19">
        <f t="shared" si="5"/>
        <v>9864.1351846361576</v>
      </c>
    </row>
    <row r="41" spans="2:16" s="100" customFormat="1" x14ac:dyDescent="0.3">
      <c r="B41" s="172" t="s">
        <v>26</v>
      </c>
      <c r="C41" s="172" t="s">
        <v>243</v>
      </c>
      <c r="D41" s="172" t="s">
        <v>72</v>
      </c>
      <c r="E41" s="172">
        <v>3.2264932783848399E-7</v>
      </c>
      <c r="F41" s="172">
        <v>3765.7405227539798</v>
      </c>
      <c r="G41" s="172">
        <v>76758.561765989696</v>
      </c>
      <c r="H41" s="172">
        <v>812576.09823554498</v>
      </c>
      <c r="I41" s="172">
        <v>924520.65369294898</v>
      </c>
      <c r="J41" s="172">
        <v>45863.712944050501</v>
      </c>
      <c r="L41" s="13" t="s">
        <v>26</v>
      </c>
      <c r="M41" s="113">
        <f t="shared" si="6"/>
        <v>338.70272424854966</v>
      </c>
      <c r="N41" s="113">
        <f t="shared" si="7"/>
        <v>7055.7899216583901</v>
      </c>
      <c r="O41" s="18">
        <f t="shared" si="5"/>
        <v>412.0785108374227</v>
      </c>
      <c r="P41" s="19">
        <f t="shared" si="5"/>
        <v>8584.3401766235856</v>
      </c>
    </row>
    <row r="42" spans="2:16" s="100" customFormat="1" x14ac:dyDescent="0.3">
      <c r="B42" s="172" t="s">
        <v>25</v>
      </c>
      <c r="C42" s="172" t="s">
        <v>243</v>
      </c>
      <c r="D42" s="172" t="s">
        <v>72</v>
      </c>
      <c r="E42" s="172">
        <v>4.69021577859852E-7</v>
      </c>
      <c r="F42" s="172">
        <v>4042.88373738576</v>
      </c>
      <c r="G42" s="172">
        <v>82715.649899158394</v>
      </c>
      <c r="H42" s="172">
        <v>875164.55030306603</v>
      </c>
      <c r="I42" s="172">
        <v>1183070.7355925001</v>
      </c>
      <c r="J42" s="172">
        <v>58639.450287271698</v>
      </c>
      <c r="L42" s="13" t="s">
        <v>25</v>
      </c>
      <c r="M42" s="113">
        <f t="shared" si="6"/>
        <v>277.14321463178021</v>
      </c>
      <c r="N42" s="113">
        <f t="shared" si="7"/>
        <v>5957.0881331686978</v>
      </c>
      <c r="O42" s="18">
        <f t="shared" si="5"/>
        <v>337.18288929484225</v>
      </c>
      <c r="P42" s="19">
        <f t="shared" si="5"/>
        <v>7247.6181356074549</v>
      </c>
    </row>
    <row r="43" spans="2:16" s="100" customFormat="1" x14ac:dyDescent="0.3">
      <c r="B43" s="172" t="s">
        <v>24</v>
      </c>
      <c r="C43" s="172" t="s">
        <v>243</v>
      </c>
      <c r="D43" s="172" t="s">
        <v>72</v>
      </c>
      <c r="E43" s="172">
        <v>1.9439858409158699E-7</v>
      </c>
      <c r="F43" s="172">
        <v>4245.6305952016401</v>
      </c>
      <c r="G43" s="172">
        <v>87298.809038764201</v>
      </c>
      <c r="H43" s="172">
        <v>922395.96957019402</v>
      </c>
      <c r="I43" s="172">
        <v>1459939.38426123</v>
      </c>
      <c r="J43" s="172">
        <v>72300.359073593805</v>
      </c>
      <c r="L43" s="13" t="s">
        <v>24</v>
      </c>
      <c r="M43" s="113">
        <f t="shared" si="6"/>
        <v>202.74685781588005</v>
      </c>
      <c r="N43" s="113">
        <f t="shared" si="7"/>
        <v>4583.1591396058066</v>
      </c>
      <c r="O43" s="18">
        <f t="shared" si="5"/>
        <v>246.66947521929262</v>
      </c>
      <c r="P43" s="19">
        <f t="shared" si="5"/>
        <v>5576.0442948010077</v>
      </c>
    </row>
    <row r="44" spans="2:16" s="100" customFormat="1" ht="15" thickBot="1" x14ac:dyDescent="0.35">
      <c r="B44" s="172" t="s">
        <v>22</v>
      </c>
      <c r="C44" s="172" t="s">
        <v>243</v>
      </c>
      <c r="D44" s="172" t="s">
        <v>72</v>
      </c>
      <c r="E44" s="172">
        <v>1.80671050708856E-7</v>
      </c>
      <c r="F44" s="172">
        <v>4352.9937998344903</v>
      </c>
      <c r="G44" s="172">
        <v>89924.400433707502</v>
      </c>
      <c r="H44" s="172">
        <v>949844.60231586697</v>
      </c>
      <c r="I44" s="172">
        <v>1751285.8418987</v>
      </c>
      <c r="J44" s="172">
        <v>86628.149221894506</v>
      </c>
      <c r="L44" s="13" t="s">
        <v>22</v>
      </c>
      <c r="M44" s="113">
        <f t="shared" si="6"/>
        <v>107.36320463285028</v>
      </c>
      <c r="N44" s="113">
        <f t="shared" si="7"/>
        <v>2625.5913949433016</v>
      </c>
      <c r="O44" s="30">
        <f t="shared" si="5"/>
        <v>130.62212470240522</v>
      </c>
      <c r="P44" s="24">
        <f t="shared" si="5"/>
        <v>3194.3935334332346</v>
      </c>
    </row>
    <row r="45" spans="2:16" s="100" customFormat="1" x14ac:dyDescent="0.3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3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" thickBot="1" x14ac:dyDescent="0.35"/>
    <row r="49" spans="2:16" x14ac:dyDescent="0.3">
      <c r="B49" s="97"/>
      <c r="C49" s="75"/>
      <c r="D49" s="75"/>
      <c r="E49" s="75"/>
      <c r="F49" s="75"/>
      <c r="G49" s="75"/>
      <c r="L49" s="200" t="s">
        <v>57</v>
      </c>
      <c r="M49" s="201"/>
      <c r="N49" s="201"/>
      <c r="O49" s="201"/>
      <c r="P49" s="105"/>
    </row>
    <row r="50" spans="2:16" x14ac:dyDescent="0.3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3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109244.3769258876</v>
      </c>
      <c r="O51" s="14" t="str">
        <f>+K10</f>
        <v>USAR TA</v>
      </c>
      <c r="P51" s="107">
        <f>+IF(O51="USAR TA",(I10),N51)</f>
        <v>109405.41768857339</v>
      </c>
    </row>
    <row r="52" spans="2:16" x14ac:dyDescent="0.3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104649.2233494894</v>
      </c>
      <c r="O52" s="14" t="str">
        <f>+K11</f>
        <v>USAR TA</v>
      </c>
      <c r="P52" s="107">
        <f>+IF(O52="USAR TB",(N52),I11)</f>
        <v>109405.41768857339</v>
      </c>
    </row>
    <row r="53" spans="2:16" x14ac:dyDescent="0.3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3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3">
      <c r="B55" s="75"/>
      <c r="C55" s="75"/>
      <c r="D55" s="75"/>
      <c r="E55" s="75"/>
      <c r="F55" s="75"/>
      <c r="G55" s="75"/>
      <c r="L55" s="21" t="s">
        <v>49</v>
      </c>
      <c r="M55" s="15">
        <f>+F25</f>
        <v>110437.96321694</v>
      </c>
      <c r="N55" s="16">
        <f>+IF(M55&lt;P51,"ESCALAR",N51)</f>
        <v>109244.3769258876</v>
      </c>
      <c r="O55" s="14" t="b">
        <f>+IF(N55="ESCALAR",(P51/M55))</f>
        <v>0</v>
      </c>
      <c r="P55" s="19">
        <f>+M55*O55</f>
        <v>0</v>
      </c>
    </row>
    <row r="56" spans="2:16" ht="15" thickBot="1" x14ac:dyDescent="0.35">
      <c r="B56" s="75"/>
      <c r="C56" s="75"/>
      <c r="D56" s="75"/>
      <c r="E56" s="75"/>
      <c r="F56" s="75"/>
      <c r="G56" s="75"/>
      <c r="L56" s="22" t="s">
        <v>50</v>
      </c>
      <c r="M56" s="26">
        <f>+G44</f>
        <v>89924.400433707502</v>
      </c>
      <c r="N56" s="112" t="str">
        <f>+IF(M56&lt;P52,"ESCALAR",M56)</f>
        <v>ESCALAR</v>
      </c>
      <c r="O56" s="23">
        <f>+IF(N56="ESCALAR",(P52/M56))</f>
        <v>1.2166377219187283</v>
      </c>
      <c r="P56" s="24">
        <f>+M56*O56</f>
        <v>109405.41768857341</v>
      </c>
    </row>
    <row r="57" spans="2:16" x14ac:dyDescent="0.3">
      <c r="B57" s="75"/>
      <c r="C57" s="75"/>
      <c r="D57" s="75"/>
      <c r="E57" s="75"/>
      <c r="F57" s="75"/>
      <c r="G57" s="75"/>
    </row>
    <row r="58" spans="2:16" x14ac:dyDescent="0.3">
      <c r="B58" s="75"/>
      <c r="C58" s="75"/>
      <c r="D58" s="75"/>
      <c r="E58" s="75"/>
      <c r="F58" s="75"/>
      <c r="G58" s="75"/>
    </row>
    <row r="59" spans="2:16" x14ac:dyDescent="0.3">
      <c r="B59" s="167" t="s">
        <v>222</v>
      </c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</row>
    <row r="60" spans="2:16" x14ac:dyDescent="0.3">
      <c r="B60" s="169" t="s">
        <v>223</v>
      </c>
      <c r="C60" s="169" t="s">
        <v>224</v>
      </c>
      <c r="D60" s="169" t="s">
        <v>225</v>
      </c>
      <c r="E60" s="169" t="s">
        <v>226</v>
      </c>
      <c r="F60" s="169" t="s">
        <v>227</v>
      </c>
      <c r="G60" s="169" t="s">
        <v>228</v>
      </c>
      <c r="H60" s="169" t="s">
        <v>229</v>
      </c>
      <c r="I60" s="169" t="s">
        <v>230</v>
      </c>
      <c r="J60" s="169" t="s">
        <v>231</v>
      </c>
      <c r="K60" s="169" t="s">
        <v>232</v>
      </c>
      <c r="L60" s="169" t="s">
        <v>233</v>
      </c>
      <c r="M60" s="169" t="s">
        <v>234</v>
      </c>
      <c r="N60" s="169" t="s">
        <v>235</v>
      </c>
      <c r="O60" s="169" t="s">
        <v>236</v>
      </c>
      <c r="P60" s="170" t="s">
        <v>237</v>
      </c>
    </row>
    <row r="61" spans="2:16" x14ac:dyDescent="0.3">
      <c r="B61" s="173"/>
      <c r="C61" s="173"/>
      <c r="D61" s="173" t="s">
        <v>215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4"/>
    </row>
    <row r="62" spans="2:16" x14ac:dyDescent="0.3">
      <c r="B62" s="172" t="s">
        <v>238</v>
      </c>
      <c r="C62" s="172">
        <v>1</v>
      </c>
      <c r="D62" s="172">
        <v>1.4414686340881899</v>
      </c>
      <c r="E62" s="172">
        <v>3.0571103608434398E-3</v>
      </c>
      <c r="F62" s="172">
        <v>0.63510197445785499</v>
      </c>
      <c r="G62" s="172">
        <v>0</v>
      </c>
      <c r="H62" s="172">
        <v>3.0571103608434398E-3</v>
      </c>
      <c r="I62" s="172">
        <v>0.63510197445785499</v>
      </c>
      <c r="J62" s="172">
        <v>0</v>
      </c>
      <c r="K62" s="172">
        <v>0.14074364397570999</v>
      </c>
      <c r="L62" s="172">
        <v>7.8808111145354403E-4</v>
      </c>
      <c r="M62" s="172">
        <v>0.187259440251861</v>
      </c>
      <c r="N62" s="172">
        <v>0.14074364397570999</v>
      </c>
      <c r="O62" s="172">
        <v>7.8808111145354403E-4</v>
      </c>
      <c r="P62" s="172">
        <v>0.187259440251861</v>
      </c>
    </row>
    <row r="63" spans="2:16" x14ac:dyDescent="0.3">
      <c r="B63" s="172" t="s">
        <v>238</v>
      </c>
      <c r="C63" s="172">
        <v>2</v>
      </c>
      <c r="D63" s="172">
        <v>1.3514829560605199</v>
      </c>
      <c r="E63" s="172">
        <v>0.810394138247856</v>
      </c>
      <c r="F63" s="172">
        <v>2.2389077360250101E-3</v>
      </c>
      <c r="G63" s="172">
        <v>0</v>
      </c>
      <c r="H63" s="172">
        <v>0.813451248608699</v>
      </c>
      <c r="I63" s="172">
        <v>0.63734088219387997</v>
      </c>
      <c r="J63" s="172">
        <v>0</v>
      </c>
      <c r="K63" s="172">
        <v>5.5472387677751205E-4</v>
      </c>
      <c r="L63" s="172">
        <v>0.19498037931811801</v>
      </c>
      <c r="M63" s="172">
        <v>8.3281277360912603E-4</v>
      </c>
      <c r="N63" s="172">
        <v>0.14129836785248701</v>
      </c>
      <c r="O63" s="172">
        <v>0.195768460429571</v>
      </c>
      <c r="P63" s="172">
        <v>0.18809225302547</v>
      </c>
    </row>
    <row r="64" spans="2:16" x14ac:dyDescent="0.3">
      <c r="B64" s="172" t="s">
        <v>238</v>
      </c>
      <c r="C64" s="172">
        <v>3</v>
      </c>
      <c r="D64" s="172">
        <v>1.06842969349714</v>
      </c>
      <c r="E64" s="172">
        <v>8.4997713300563407E-6</v>
      </c>
      <c r="F64" s="172">
        <v>0.18298194605549301</v>
      </c>
      <c r="G64" s="172">
        <v>0</v>
      </c>
      <c r="H64" s="172">
        <v>0.81345974838002899</v>
      </c>
      <c r="I64" s="172">
        <v>0.82032282824937297</v>
      </c>
      <c r="J64" s="172">
        <v>0</v>
      </c>
      <c r="K64" s="172">
        <v>4.6883611790210201E-2</v>
      </c>
      <c r="L64" s="172">
        <v>2.5696171232919599E-6</v>
      </c>
      <c r="M64" s="172">
        <v>0.64918503178623599</v>
      </c>
      <c r="N64" s="172">
        <v>0.18818197964269701</v>
      </c>
      <c r="O64" s="172">
        <v>0.19577103004669399</v>
      </c>
      <c r="P64" s="172">
        <v>0.83727728481170705</v>
      </c>
    </row>
    <row r="65" spans="2:16" x14ac:dyDescent="0.3">
      <c r="B65" s="172" t="s">
        <v>238</v>
      </c>
      <c r="C65" s="172">
        <v>4</v>
      </c>
      <c r="D65" s="172">
        <v>0.46984244335868802</v>
      </c>
      <c r="E65" s="172">
        <v>2.68755409269381E-4</v>
      </c>
      <c r="F65" s="172">
        <v>8.1775753711224794E-2</v>
      </c>
      <c r="G65" s="172">
        <v>0</v>
      </c>
      <c r="H65" s="172">
        <v>0.81372850378929895</v>
      </c>
      <c r="I65" s="172">
        <v>0.902098581960598</v>
      </c>
      <c r="J65" s="172">
        <v>0</v>
      </c>
      <c r="K65" s="172">
        <v>0.45443944749251902</v>
      </c>
      <c r="L65" s="172">
        <v>1.5894122750612499E-3</v>
      </c>
      <c r="M65" s="172">
        <v>1.95733280973725E-2</v>
      </c>
      <c r="N65" s="172">
        <v>0.64262142713521597</v>
      </c>
      <c r="O65" s="172">
        <v>0.19736044232175601</v>
      </c>
      <c r="P65" s="172">
        <v>0.85685061290907905</v>
      </c>
    </row>
    <row r="66" spans="2:16" x14ac:dyDescent="0.3">
      <c r="B66" s="172" t="s">
        <v>238</v>
      </c>
      <c r="C66" s="172">
        <v>5</v>
      </c>
      <c r="D66" s="172">
        <v>0.43736187008848498</v>
      </c>
      <c r="E66" s="172">
        <v>0.11165844771127301</v>
      </c>
      <c r="F66" s="172">
        <v>1.8616856918589699E-4</v>
      </c>
      <c r="G66" s="172">
        <v>0</v>
      </c>
      <c r="H66" s="172">
        <v>0.92538695150057204</v>
      </c>
      <c r="I66" s="172">
        <v>0.90228475052978396</v>
      </c>
      <c r="J66" s="172">
        <v>0</v>
      </c>
      <c r="K66" s="172">
        <v>1.2367545606144701E-3</v>
      </c>
      <c r="L66" s="172">
        <v>0.58638999016834703</v>
      </c>
      <c r="M66" s="172">
        <v>6.6891264240028601E-5</v>
      </c>
      <c r="N66" s="172">
        <v>0.64385818169583098</v>
      </c>
      <c r="O66" s="172">
        <v>0.78375043249010301</v>
      </c>
      <c r="P66" s="172">
        <v>0.85691750417331902</v>
      </c>
    </row>
    <row r="67" spans="2:16" x14ac:dyDescent="0.3">
      <c r="B67" s="172" t="s">
        <v>238</v>
      </c>
      <c r="C67" s="172">
        <v>6</v>
      </c>
      <c r="D67" s="172">
        <v>0.35182241741807502</v>
      </c>
      <c r="E67" s="172">
        <v>4.19537392506812E-8</v>
      </c>
      <c r="F67" s="172">
        <v>2.4654455693571099E-2</v>
      </c>
      <c r="G67" s="172">
        <v>0</v>
      </c>
      <c r="H67" s="172">
        <v>0.92538699345431097</v>
      </c>
      <c r="I67" s="172">
        <v>0.92693920622335502</v>
      </c>
      <c r="J67" s="172">
        <v>0</v>
      </c>
      <c r="K67" s="172">
        <v>0.14326364534861399</v>
      </c>
      <c r="L67" s="172">
        <v>3.7175355011262502E-6</v>
      </c>
      <c r="M67" s="172">
        <v>7.7359222959753504E-2</v>
      </c>
      <c r="N67" s="172">
        <v>0.787121827044445</v>
      </c>
      <c r="O67" s="172">
        <v>0.783754150025604</v>
      </c>
      <c r="P67" s="172">
        <v>0.93427672713307297</v>
      </c>
    </row>
    <row r="68" spans="2:16" x14ac:dyDescent="0.3">
      <c r="B68" s="172" t="s">
        <v>238</v>
      </c>
      <c r="C68" s="172">
        <v>7</v>
      </c>
      <c r="D68" s="172">
        <v>0.26920821031222297</v>
      </c>
      <c r="E68" s="172">
        <v>5.2623952437481701E-5</v>
      </c>
      <c r="F68" s="172">
        <v>2.6488982005418601E-2</v>
      </c>
      <c r="G68" s="172">
        <v>0</v>
      </c>
      <c r="H68" s="172">
        <v>0.92543961740674896</v>
      </c>
      <c r="I68" s="172">
        <v>0.95342818822877395</v>
      </c>
      <c r="J68" s="172">
        <v>0</v>
      </c>
      <c r="K68" s="172">
        <v>5.4716674365475802E-2</v>
      </c>
      <c r="L68" s="172">
        <v>1.03599184465491E-4</v>
      </c>
      <c r="M68" s="172">
        <v>8.0585287306621997E-3</v>
      </c>
      <c r="N68" s="172">
        <v>0.841838501409921</v>
      </c>
      <c r="O68" s="172">
        <v>0.78385774921007001</v>
      </c>
      <c r="P68" s="172">
        <v>0.94233525586373501</v>
      </c>
    </row>
    <row r="69" spans="2:16" x14ac:dyDescent="0.3">
      <c r="B69" s="172" t="s">
        <v>238</v>
      </c>
      <c r="C69" s="172">
        <v>8</v>
      </c>
      <c r="D69" s="172">
        <v>0.24666350043430399</v>
      </c>
      <c r="E69" s="172">
        <v>3.5411535682234797E-2</v>
      </c>
      <c r="F69" s="172">
        <v>4.1021799184800903E-5</v>
      </c>
      <c r="G69" s="172">
        <v>0</v>
      </c>
      <c r="H69" s="172">
        <v>0.96085115308898295</v>
      </c>
      <c r="I69" s="172">
        <v>0.95346921002795804</v>
      </c>
      <c r="J69" s="172">
        <v>0</v>
      </c>
      <c r="K69" s="172">
        <v>5.3034914054771903E-5</v>
      </c>
      <c r="L69" s="172">
        <v>7.4529735200059996E-2</v>
      </c>
      <c r="M69" s="172">
        <v>1.5714728382505399E-5</v>
      </c>
      <c r="N69" s="172">
        <v>0.84189153632397595</v>
      </c>
      <c r="O69" s="172">
        <v>0.85838748441013002</v>
      </c>
      <c r="P69" s="172">
        <v>0.94235097059211703</v>
      </c>
    </row>
    <row r="70" spans="2:16" x14ac:dyDescent="0.3">
      <c r="B70" s="172" t="s">
        <v>238</v>
      </c>
      <c r="C70" s="172">
        <v>9</v>
      </c>
      <c r="D70" s="172">
        <v>0.20427620658832099</v>
      </c>
      <c r="E70" s="172">
        <v>3.1487101215858302E-7</v>
      </c>
      <c r="F70" s="172">
        <v>7.5660741926206997E-3</v>
      </c>
      <c r="G70" s="172">
        <v>0</v>
      </c>
      <c r="H70" s="172">
        <v>0.96085146795999499</v>
      </c>
      <c r="I70" s="172">
        <v>0.96103528422057904</v>
      </c>
      <c r="J70" s="172">
        <v>0</v>
      </c>
      <c r="K70" s="172">
        <v>1.5174621776835699E-2</v>
      </c>
      <c r="L70" s="172">
        <v>2.54636499505649E-6</v>
      </c>
      <c r="M70" s="172">
        <v>2.47008831315918E-2</v>
      </c>
      <c r="N70" s="172">
        <v>0.85706615810081099</v>
      </c>
      <c r="O70" s="172">
        <v>0.85839003077512499</v>
      </c>
      <c r="P70" s="172">
        <v>0.96705185372370905</v>
      </c>
    </row>
    <row r="71" spans="2:16" x14ac:dyDescent="0.3">
      <c r="B71" s="172" t="s">
        <v>238</v>
      </c>
      <c r="C71" s="172">
        <v>10</v>
      </c>
      <c r="D71" s="172">
        <v>0.184669261157107</v>
      </c>
      <c r="E71" s="172">
        <v>2.56688887211684E-5</v>
      </c>
      <c r="F71" s="172">
        <v>1.38215217835106E-2</v>
      </c>
      <c r="G71" s="172">
        <v>0</v>
      </c>
      <c r="H71" s="172">
        <v>0.96087713684871701</v>
      </c>
      <c r="I71" s="172">
        <v>0.97485680600408997</v>
      </c>
      <c r="J71" s="172">
        <v>0</v>
      </c>
      <c r="K71" s="172">
        <v>5.7517511290677698E-2</v>
      </c>
      <c r="L71" s="172">
        <v>1.2328657118582399E-4</v>
      </c>
      <c r="M71" s="172">
        <v>3.4453060394150298E-3</v>
      </c>
      <c r="N71" s="172">
        <v>0.91458366939148905</v>
      </c>
      <c r="O71" s="172">
        <v>0.85851331734631098</v>
      </c>
      <c r="P71" s="172">
        <v>0.97049715976312401</v>
      </c>
    </row>
    <row r="72" spans="2:16" x14ac:dyDescent="0.3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3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3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3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3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B2:I53"/>
  <sheetViews>
    <sheetView workbookViewId="0">
      <selection activeCell="I39" sqref="I39:I49"/>
    </sheetView>
  </sheetViews>
  <sheetFormatPr baseColWidth="10" defaultRowHeight="14.4" x14ac:dyDescent="0.3"/>
  <sheetData>
    <row r="2" spans="2:9" x14ac:dyDescent="0.3">
      <c r="B2" s="167" t="s">
        <v>93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94</v>
      </c>
      <c r="D3" s="169" t="s">
        <v>247</v>
      </c>
      <c r="E3" s="169" t="s">
        <v>248</v>
      </c>
      <c r="F3" s="169" t="s">
        <v>95</v>
      </c>
      <c r="G3" s="169" t="s">
        <v>249</v>
      </c>
      <c r="H3" s="169" t="s">
        <v>250</v>
      </c>
      <c r="I3" s="170" t="s">
        <v>96</v>
      </c>
    </row>
    <row r="4" spans="2:9" x14ac:dyDescent="0.3">
      <c r="B4" s="173"/>
      <c r="C4" s="173"/>
      <c r="D4" s="173" t="s">
        <v>43</v>
      </c>
      <c r="E4" s="173" t="s">
        <v>7</v>
      </c>
      <c r="F4" s="173" t="s">
        <v>97</v>
      </c>
      <c r="G4" s="173" t="s">
        <v>43</v>
      </c>
      <c r="H4" s="173" t="s">
        <v>7</v>
      </c>
      <c r="I4" s="174" t="s">
        <v>97</v>
      </c>
    </row>
    <row r="5" spans="2:9" s="172" customFormat="1" x14ac:dyDescent="0.3">
      <c r="B5" s="27"/>
      <c r="C5" s="27"/>
      <c r="D5" s="27"/>
      <c r="E5" s="27"/>
      <c r="F5" s="27"/>
      <c r="G5" s="27"/>
      <c r="H5" s="27"/>
      <c r="I5" s="27"/>
    </row>
    <row r="6" spans="2:9" hidden="1" x14ac:dyDescent="0.3">
      <c r="B6" s="172" t="s">
        <v>189</v>
      </c>
      <c r="C6" s="172" t="s">
        <v>79</v>
      </c>
      <c r="D6" s="172">
        <v>1142.6976360783999</v>
      </c>
      <c r="E6" s="172">
        <v>1.04722675981443E-3</v>
      </c>
      <c r="F6" s="172">
        <v>1091165.42847023</v>
      </c>
      <c r="G6" s="172">
        <v>49.927071873132498</v>
      </c>
      <c r="H6" s="172">
        <v>3.8121143271398099E-5</v>
      </c>
      <c r="I6" s="172">
        <v>0</v>
      </c>
    </row>
    <row r="7" spans="2:9" hidden="1" x14ac:dyDescent="0.3">
      <c r="B7" s="172" t="s">
        <v>187</v>
      </c>
      <c r="C7" s="172" t="s">
        <v>79</v>
      </c>
      <c r="D7" s="172">
        <v>17515.623357872399</v>
      </c>
      <c r="E7" s="172">
        <v>1.2083620126815901E-3</v>
      </c>
      <c r="F7" s="172">
        <v>14495344.2544936</v>
      </c>
      <c r="G7" s="172">
        <v>700.91253192303998</v>
      </c>
      <c r="H7" s="172">
        <v>5.2591674323648303E-5</v>
      </c>
      <c r="I7" s="172">
        <v>0</v>
      </c>
    </row>
    <row r="8" spans="2:9" hidden="1" x14ac:dyDescent="0.3">
      <c r="B8" s="172" t="s">
        <v>185</v>
      </c>
      <c r="C8" s="172" t="s">
        <v>79</v>
      </c>
      <c r="D8" s="172">
        <v>36077.794108620299</v>
      </c>
      <c r="E8" s="172">
        <v>1.6394727966194901E-3</v>
      </c>
      <c r="F8" s="172">
        <v>22005729.0264351</v>
      </c>
      <c r="G8" s="172">
        <v>1431.8051239485701</v>
      </c>
      <c r="H8" s="172">
        <v>9.1856532591822406E-5</v>
      </c>
      <c r="I8" s="172">
        <v>0</v>
      </c>
    </row>
    <row r="9" spans="2:9" hidden="1" x14ac:dyDescent="0.3">
      <c r="B9" s="172" t="s">
        <v>183</v>
      </c>
      <c r="C9" s="172" t="s">
        <v>79</v>
      </c>
      <c r="D9" s="172">
        <v>51704.506520942799</v>
      </c>
      <c r="E9" s="172">
        <v>2.0131968594391801E-3</v>
      </c>
      <c r="F9" s="172">
        <v>25682787.194167498</v>
      </c>
      <c r="G9" s="172">
        <v>2052.1732813087101</v>
      </c>
      <c r="H9" s="172">
        <v>1.3139496766034E-4</v>
      </c>
      <c r="I9" s="172">
        <v>0</v>
      </c>
    </row>
    <row r="10" spans="2:9" hidden="1" x14ac:dyDescent="0.3">
      <c r="B10" s="172" t="s">
        <v>181</v>
      </c>
      <c r="C10" s="172" t="s">
        <v>79</v>
      </c>
      <c r="D10" s="172">
        <v>64915.889074577302</v>
      </c>
      <c r="E10" s="172">
        <v>2.3252448274755002E-3</v>
      </c>
      <c r="F10" s="172">
        <v>27917872.6934557</v>
      </c>
      <c r="G10" s="172">
        <v>2582.4423088601602</v>
      </c>
      <c r="H10" s="172">
        <v>1.6568730938055099E-4</v>
      </c>
      <c r="I10" s="172">
        <v>0</v>
      </c>
    </row>
    <row r="11" spans="2:9" hidden="1" x14ac:dyDescent="0.3">
      <c r="B11" s="172" t="s">
        <v>179</v>
      </c>
      <c r="C11" s="172" t="s">
        <v>79</v>
      </c>
      <c r="D11" s="172">
        <v>76267.257536465899</v>
      </c>
      <c r="E11" s="172">
        <v>2.5945396155491701E-3</v>
      </c>
      <c r="F11" s="172">
        <v>29395295.057124399</v>
      </c>
      <c r="G11" s="172">
        <v>3040.0047896610899</v>
      </c>
      <c r="H11" s="172">
        <v>1.9523226161114401E-4</v>
      </c>
      <c r="I11" s="172">
        <v>0</v>
      </c>
    </row>
    <row r="12" spans="2:9" hidden="1" x14ac:dyDescent="0.3">
      <c r="B12" s="172" t="s">
        <v>39</v>
      </c>
      <c r="C12" s="172" t="s">
        <v>79</v>
      </c>
      <c r="D12" s="172">
        <v>86128.022062084405</v>
      </c>
      <c r="E12" s="172">
        <v>2.8253090233954299E-3</v>
      </c>
      <c r="F12" s="172">
        <v>30484460.761243202</v>
      </c>
      <c r="G12" s="172">
        <v>3435.9491487227201</v>
      </c>
      <c r="H12" s="172">
        <v>2.2060709346741799E-4</v>
      </c>
      <c r="I12" s="172">
        <v>0</v>
      </c>
    </row>
    <row r="13" spans="2:9" hidden="1" x14ac:dyDescent="0.3">
      <c r="B13" s="172" t="s">
        <v>26</v>
      </c>
      <c r="C13" s="172" t="s">
        <v>79</v>
      </c>
      <c r="D13" s="172">
        <v>94668.380404752097</v>
      </c>
      <c r="E13" s="172">
        <v>2.99570322225986E-3</v>
      </c>
      <c r="F13" s="172">
        <v>31601388.182016701</v>
      </c>
      <c r="G13" s="172">
        <v>3775.65043443887</v>
      </c>
      <c r="H13" s="172">
        <v>2.4023341253433399E-4</v>
      </c>
      <c r="I13" s="172">
        <v>0</v>
      </c>
    </row>
    <row r="14" spans="2:9" hidden="1" x14ac:dyDescent="0.3">
      <c r="B14" s="172" t="s">
        <v>25</v>
      </c>
      <c r="C14" s="172" t="s">
        <v>79</v>
      </c>
      <c r="D14" s="172">
        <v>101856.32469348</v>
      </c>
      <c r="E14" s="172">
        <v>3.0942749764463701E-3</v>
      </c>
      <c r="F14" s="172">
        <v>32917670.688226201</v>
      </c>
      <c r="G14" s="172">
        <v>4055.0829347532799</v>
      </c>
      <c r="H14" s="172">
        <v>2.4709023269534801E-4</v>
      </c>
      <c r="I14" s="172">
        <v>0</v>
      </c>
    </row>
    <row r="15" spans="2:9" hidden="1" x14ac:dyDescent="0.3">
      <c r="B15" s="172" t="s">
        <v>24</v>
      </c>
      <c r="C15" s="172" t="s">
        <v>79</v>
      </c>
      <c r="D15" s="172">
        <v>107351.237273982</v>
      </c>
      <c r="E15" s="172">
        <v>3.07399951340311E-3</v>
      </c>
      <c r="F15" s="172">
        <v>34922333.853962697</v>
      </c>
      <c r="G15" s="172">
        <v>4257.6107248873004</v>
      </c>
      <c r="H15" s="172">
        <v>2.5239163542533499E-4</v>
      </c>
      <c r="I15" s="172">
        <v>0</v>
      </c>
    </row>
    <row r="16" spans="2:9" hidden="1" x14ac:dyDescent="0.3">
      <c r="B16" s="172" t="s">
        <v>22</v>
      </c>
      <c r="C16" s="172" t="s">
        <v>79</v>
      </c>
      <c r="D16" s="172">
        <v>110437.962488249</v>
      </c>
      <c r="E16" s="172">
        <v>2.61517323848539E-3</v>
      </c>
      <c r="F16" s="172">
        <v>42229692.803147197</v>
      </c>
      <c r="G16" s="172">
        <v>4358.0744580373002</v>
      </c>
      <c r="H16" s="172">
        <v>2.2445062276026101E-4</v>
      </c>
      <c r="I16" s="172">
        <v>0</v>
      </c>
    </row>
    <row r="17" spans="2:9" hidden="1" x14ac:dyDescent="0.3">
      <c r="B17" s="172" t="s">
        <v>189</v>
      </c>
      <c r="C17" s="172" t="s">
        <v>80</v>
      </c>
      <c r="D17" s="172">
        <v>1142.69763608011</v>
      </c>
      <c r="E17" s="172">
        <v>1.0241973606881899E-3</v>
      </c>
      <c r="F17" s="172">
        <v>1115700.6256219</v>
      </c>
      <c r="G17" s="172">
        <v>49.927071862774397</v>
      </c>
      <c r="H17" s="172">
        <v>3.1443627782764098E-5</v>
      </c>
      <c r="I17" s="172">
        <v>0</v>
      </c>
    </row>
    <row r="18" spans="2:9" hidden="1" x14ac:dyDescent="0.3">
      <c r="B18" s="172" t="s">
        <v>187</v>
      </c>
      <c r="C18" s="172" t="s">
        <v>80</v>
      </c>
      <c r="D18" s="172">
        <v>17515.6233582323</v>
      </c>
      <c r="E18" s="172">
        <v>1.2016127376372201E-3</v>
      </c>
      <c r="F18" s="172">
        <v>14576762.387417801</v>
      </c>
      <c r="G18" s="172">
        <v>700.91253367608203</v>
      </c>
      <c r="H18" s="172">
        <v>9.9179990057883896E-5</v>
      </c>
      <c r="I18" s="172">
        <v>0</v>
      </c>
    </row>
    <row r="19" spans="2:9" hidden="1" x14ac:dyDescent="0.3">
      <c r="B19" s="172" t="s">
        <v>185</v>
      </c>
      <c r="C19" s="172" t="s">
        <v>80</v>
      </c>
      <c r="D19" s="172">
        <v>36077.794109390903</v>
      </c>
      <c r="E19" s="172">
        <v>1.6360895943734301E-3</v>
      </c>
      <c r="F19" s="172">
        <v>22051233.767064899</v>
      </c>
      <c r="G19" s="172">
        <v>1431.80512758944</v>
      </c>
      <c r="H19" s="172">
        <v>1.19249208006653E-4</v>
      </c>
      <c r="I19" s="172">
        <v>0</v>
      </c>
    </row>
    <row r="20" spans="2:9" hidden="1" x14ac:dyDescent="0.3">
      <c r="B20" s="172" t="s">
        <v>183</v>
      </c>
      <c r="C20" s="172" t="s">
        <v>80</v>
      </c>
      <c r="D20" s="172">
        <v>51704.506522267598</v>
      </c>
      <c r="E20" s="172">
        <v>2.0185209862074202E-3</v>
      </c>
      <c r="F20" s="172">
        <v>25615045.310683001</v>
      </c>
      <c r="G20" s="172">
        <v>2052.1732857427701</v>
      </c>
      <c r="H20" s="172">
        <v>1.3129256244266501E-4</v>
      </c>
      <c r="I20" s="172">
        <v>0</v>
      </c>
    </row>
    <row r="21" spans="2:9" hidden="1" x14ac:dyDescent="0.3">
      <c r="B21" s="172" t="s">
        <v>181</v>
      </c>
      <c r="C21" s="172" t="s">
        <v>80</v>
      </c>
      <c r="D21" s="172">
        <v>64915.889076144798</v>
      </c>
      <c r="E21" s="172">
        <v>2.3417137378199501E-3</v>
      </c>
      <c r="F21" s="172">
        <v>27721530.615684502</v>
      </c>
      <c r="G21" s="172">
        <v>2582.4423143304198</v>
      </c>
      <c r="H21" s="172">
        <v>1.4171279909745601E-4</v>
      </c>
      <c r="I21" s="172">
        <v>0</v>
      </c>
    </row>
    <row r="22" spans="2:9" hidden="1" x14ac:dyDescent="0.3">
      <c r="B22" s="172" t="s">
        <v>179</v>
      </c>
      <c r="C22" s="172" t="s">
        <v>80</v>
      </c>
      <c r="D22" s="172">
        <v>76267.257538190403</v>
      </c>
      <c r="E22" s="172">
        <v>2.6043245075556701E-3</v>
      </c>
      <c r="F22" s="172">
        <v>29284851.9133939</v>
      </c>
      <c r="G22" s="172">
        <v>3040.00479361824</v>
      </c>
      <c r="H22" s="172">
        <v>1.5087029752713899E-4</v>
      </c>
      <c r="I22" s="172">
        <v>0</v>
      </c>
    </row>
    <row r="23" spans="2:9" hidden="1" x14ac:dyDescent="0.3">
      <c r="B23" s="172" t="s">
        <v>39</v>
      </c>
      <c r="C23" s="172" t="s">
        <v>80</v>
      </c>
      <c r="D23" s="172">
        <v>86128.022064012999</v>
      </c>
      <c r="E23" s="172">
        <v>2.8262466719673899E-3</v>
      </c>
      <c r="F23" s="172">
        <v>30474347.0972609</v>
      </c>
      <c r="G23" s="172">
        <v>3435.9491537613299</v>
      </c>
      <c r="H23" s="172">
        <v>1.5832268667807201E-4</v>
      </c>
      <c r="I23" s="172">
        <v>0</v>
      </c>
    </row>
    <row r="24" spans="2:9" hidden="1" x14ac:dyDescent="0.3">
      <c r="B24" s="172" t="s">
        <v>26</v>
      </c>
      <c r="C24" s="172" t="s">
        <v>80</v>
      </c>
      <c r="D24" s="172">
        <v>94668.3804067819</v>
      </c>
      <c r="E24" s="172">
        <v>2.99735190958171E-3</v>
      </c>
      <c r="F24" s="172">
        <v>31584005.903395299</v>
      </c>
      <c r="G24" s="172">
        <v>3775.6504400632398</v>
      </c>
      <c r="H24" s="172">
        <v>1.6321026418774501E-4</v>
      </c>
      <c r="I24" s="172">
        <v>0</v>
      </c>
    </row>
    <row r="25" spans="2:9" hidden="1" x14ac:dyDescent="0.3">
      <c r="B25" s="172" t="s">
        <v>25</v>
      </c>
      <c r="C25" s="172" t="s">
        <v>80</v>
      </c>
      <c r="D25" s="172">
        <v>101856.32469552</v>
      </c>
      <c r="E25" s="172">
        <v>3.0967238991233899E-3</v>
      </c>
      <c r="F25" s="172">
        <v>32891639.039681099</v>
      </c>
      <c r="G25" s="172">
        <v>4055.0829410180399</v>
      </c>
      <c r="H25" s="172">
        <v>1.62916053941439E-4</v>
      </c>
      <c r="I25" s="172">
        <v>0</v>
      </c>
    </row>
    <row r="26" spans="2:9" hidden="1" x14ac:dyDescent="0.3">
      <c r="B26" s="172" t="s">
        <v>24</v>
      </c>
      <c r="C26" s="172" t="s">
        <v>80</v>
      </c>
      <c r="D26" s="172">
        <v>107351.237276035</v>
      </c>
      <c r="E26" s="172">
        <v>3.06252324036523E-3</v>
      </c>
      <c r="F26" s="172">
        <v>35053199.225104399</v>
      </c>
      <c r="G26" s="172">
        <v>4257.6107306262802</v>
      </c>
      <c r="H26" s="172">
        <v>1.63035787860238E-4</v>
      </c>
      <c r="I26" s="172">
        <v>0</v>
      </c>
    </row>
    <row r="27" spans="2:9" hidden="1" x14ac:dyDescent="0.3">
      <c r="B27" s="172" t="s">
        <v>22</v>
      </c>
      <c r="C27" s="172" t="s">
        <v>80</v>
      </c>
      <c r="D27" s="172">
        <v>110437.962490338</v>
      </c>
      <c r="E27" s="172">
        <v>2.6172563699649399E-3</v>
      </c>
      <c r="F27" s="172">
        <v>42196081.2695693</v>
      </c>
      <c r="G27" s="172">
        <v>4358.0744641554402</v>
      </c>
      <c r="H27" s="172">
        <v>1.4206257694980901E-4</v>
      </c>
      <c r="I27" s="172">
        <v>0</v>
      </c>
    </row>
    <row r="28" spans="2:9" hidden="1" x14ac:dyDescent="0.3">
      <c r="B28" s="172" t="s">
        <v>189</v>
      </c>
      <c r="C28" s="172" t="s">
        <v>81</v>
      </c>
      <c r="D28" s="172">
        <v>135.84462789467199</v>
      </c>
      <c r="E28" s="172">
        <v>2.9185372780432902E-5</v>
      </c>
      <c r="F28" s="172">
        <v>4654544.8953712797</v>
      </c>
      <c r="G28" s="172">
        <v>1011.9198368885</v>
      </c>
      <c r="H28" s="172">
        <v>7.2474145838021301E-4</v>
      </c>
      <c r="I28" s="172">
        <v>1396249.4144465299</v>
      </c>
    </row>
    <row r="29" spans="2:9" hidden="1" x14ac:dyDescent="0.3">
      <c r="B29" s="172" t="s">
        <v>187</v>
      </c>
      <c r="C29" s="172" t="s">
        <v>81</v>
      </c>
      <c r="D29" s="172">
        <v>870.50714429900597</v>
      </c>
      <c r="E29" s="172">
        <v>4.3653581468585199E-5</v>
      </c>
      <c r="F29" s="172">
        <v>0</v>
      </c>
      <c r="G29" s="172">
        <v>16670.925373801401</v>
      </c>
      <c r="H29" s="172">
        <v>1.0220112120812701E-3</v>
      </c>
      <c r="I29" s="172">
        <v>16311881.099476499</v>
      </c>
    </row>
    <row r="30" spans="2:9" hidden="1" x14ac:dyDescent="0.3">
      <c r="B30" s="172" t="s">
        <v>185</v>
      </c>
      <c r="C30" s="172" t="s">
        <v>81</v>
      </c>
      <c r="D30" s="172">
        <v>1737.9596593926699</v>
      </c>
      <c r="E30" s="172">
        <v>6.9811860163819606E-5</v>
      </c>
      <c r="F30" s="172">
        <v>0</v>
      </c>
      <c r="G30" s="172">
        <v>34902.577963860604</v>
      </c>
      <c r="H30" s="172">
        <v>1.43746873266788E-3</v>
      </c>
      <c r="I30" s="172">
        <v>24280582.3672303</v>
      </c>
    </row>
    <row r="31" spans="2:9" hidden="1" x14ac:dyDescent="0.3">
      <c r="B31" s="172" t="s">
        <v>183</v>
      </c>
      <c r="C31" s="172" t="s">
        <v>81</v>
      </c>
      <c r="D31" s="172">
        <v>2486.0020247252601</v>
      </c>
      <c r="E31" s="172">
        <v>1.19795592086498E-4</v>
      </c>
      <c r="F31" s="172">
        <v>0</v>
      </c>
      <c r="G31" s="172">
        <v>50437.070359306097</v>
      </c>
      <c r="H31" s="172">
        <v>1.7932350132917199E-3</v>
      </c>
      <c r="I31" s="172">
        <v>28126302.456431601</v>
      </c>
    </row>
    <row r="32" spans="2:9" hidden="1" x14ac:dyDescent="0.3">
      <c r="B32" s="172" t="s">
        <v>181</v>
      </c>
      <c r="C32" s="172" t="s">
        <v>81</v>
      </c>
      <c r="D32" s="172">
        <v>3129.7007920279302</v>
      </c>
      <c r="E32" s="172">
        <v>1.5804317326023799E-4</v>
      </c>
      <c r="F32" s="172">
        <v>0</v>
      </c>
      <c r="G32" s="172">
        <v>63613.610105320498</v>
      </c>
      <c r="H32" s="172">
        <v>2.15066279616742E-3</v>
      </c>
      <c r="I32" s="172">
        <v>29578607.217590202</v>
      </c>
    </row>
    <row r="33" spans="2:9" hidden="1" x14ac:dyDescent="0.3">
      <c r="B33" s="172" t="s">
        <v>179</v>
      </c>
      <c r="C33" s="172" t="s">
        <v>81</v>
      </c>
      <c r="D33" s="172">
        <v>3686.9409686879198</v>
      </c>
      <c r="E33" s="172">
        <v>1.9135606578209001E-4</v>
      </c>
      <c r="F33" s="172">
        <v>0</v>
      </c>
      <c r="G33" s="172">
        <v>74938.886408489794</v>
      </c>
      <c r="H33" s="172">
        <v>2.4574452385003002E-3</v>
      </c>
      <c r="I33" s="172">
        <v>30494631.267642301</v>
      </c>
    </row>
    <row r="34" spans="2:9" hidden="1" x14ac:dyDescent="0.3">
      <c r="B34" s="172" t="s">
        <v>39</v>
      </c>
      <c r="C34" s="172" t="s">
        <v>81</v>
      </c>
      <c r="D34" s="172">
        <v>4169.4634355472399</v>
      </c>
      <c r="E34" s="172">
        <v>2.2059099677097999E-4</v>
      </c>
      <c r="F34" s="172">
        <v>0</v>
      </c>
      <c r="G34" s="172">
        <v>84803.021611377306</v>
      </c>
      <c r="H34" s="172">
        <v>2.71035260387277E-3</v>
      </c>
      <c r="I34" s="172">
        <v>31288556.8800915</v>
      </c>
    </row>
    <row r="35" spans="2:9" hidden="1" x14ac:dyDescent="0.3">
      <c r="B35" s="172" t="s">
        <v>26</v>
      </c>
      <c r="C35" s="172" t="s">
        <v>81</v>
      </c>
      <c r="D35" s="172">
        <v>4581.54194309386</v>
      </c>
      <c r="E35" s="172">
        <v>2.5011377135486301E-4</v>
      </c>
      <c r="F35" s="172">
        <v>0</v>
      </c>
      <c r="G35" s="172">
        <v>93387.361794674303</v>
      </c>
      <c r="H35" s="172">
        <v>2.9111543468862402E-3</v>
      </c>
      <c r="I35" s="172">
        <v>32079151.6583657</v>
      </c>
    </row>
    <row r="36" spans="2:9" hidden="1" x14ac:dyDescent="0.3">
      <c r="B36" s="172" t="s">
        <v>25</v>
      </c>
      <c r="C36" s="172" t="s">
        <v>81</v>
      </c>
      <c r="D36" s="172">
        <v>4918.7248294354004</v>
      </c>
      <c r="E36" s="172">
        <v>2.7582084614655899E-4</v>
      </c>
      <c r="F36" s="172">
        <v>0</v>
      </c>
      <c r="G36" s="172">
        <v>100634.979939902</v>
      </c>
      <c r="H36" s="172">
        <v>3.0488796601494299E-3</v>
      </c>
      <c r="I36" s="172">
        <v>33007199.744633399</v>
      </c>
    </row>
    <row r="37" spans="2:9" hidden="1" x14ac:dyDescent="0.3">
      <c r="B37" s="172" t="s">
        <v>24</v>
      </c>
      <c r="C37" s="172" t="s">
        <v>81</v>
      </c>
      <c r="D37" s="172">
        <v>5165.3943033147198</v>
      </c>
      <c r="E37" s="172">
        <v>2.6768844588334698E-4</v>
      </c>
      <c r="F37" s="172">
        <v>0</v>
      </c>
      <c r="G37" s="172">
        <v>106211.02423275499</v>
      </c>
      <c r="H37" s="172">
        <v>2.9217613292301802E-3</v>
      </c>
      <c r="I37" s="172">
        <v>36351711.267511196</v>
      </c>
    </row>
    <row r="38" spans="2:9" hidden="1" x14ac:dyDescent="0.3">
      <c r="B38" s="172" t="s">
        <v>22</v>
      </c>
      <c r="C38" s="172" t="s">
        <v>81</v>
      </c>
      <c r="D38" s="172">
        <v>5296.0164272413604</v>
      </c>
      <c r="E38" s="172">
        <v>1.6196861514946199E-4</v>
      </c>
      <c r="F38" s="172">
        <v>0</v>
      </c>
      <c r="G38" s="172">
        <v>109405.41776768101</v>
      </c>
      <c r="H38" s="172">
        <v>2.66596047000156E-3</v>
      </c>
      <c r="I38" s="172">
        <v>41037899.473287001</v>
      </c>
    </row>
    <row r="39" spans="2:9" x14ac:dyDescent="0.3">
      <c r="B39" s="172" t="s">
        <v>189</v>
      </c>
      <c r="C39" s="172" t="s">
        <v>82</v>
      </c>
      <c r="D39" s="172">
        <v>135.844627892982</v>
      </c>
      <c r="E39" s="172">
        <v>4.2287794988687399E-5</v>
      </c>
      <c r="F39" s="172">
        <v>3212383.8078888301</v>
      </c>
      <c r="G39" s="172">
        <v>1011.9198368987099</v>
      </c>
      <c r="H39" s="172">
        <v>6.8883743720885395E-4</v>
      </c>
      <c r="I39" s="172">
        <v>1469025.61074348</v>
      </c>
    </row>
    <row r="40" spans="2:9" x14ac:dyDescent="0.3">
      <c r="B40" s="172" t="s">
        <v>187</v>
      </c>
      <c r="C40" s="172" t="s">
        <v>82</v>
      </c>
      <c r="D40" s="172">
        <v>870.50714394921295</v>
      </c>
      <c r="E40" s="172">
        <v>8.8100040268259295E-5</v>
      </c>
      <c r="F40" s="172">
        <v>0</v>
      </c>
      <c r="G40" s="172">
        <v>16670.925372067999</v>
      </c>
      <c r="H40" s="172">
        <v>9.5131676083379105E-4</v>
      </c>
      <c r="I40" s="172">
        <v>17524053.037241399</v>
      </c>
    </row>
    <row r="41" spans="2:9" x14ac:dyDescent="0.3">
      <c r="B41" s="172" t="s">
        <v>185</v>
      </c>
      <c r="C41" s="172" t="s">
        <v>82</v>
      </c>
      <c r="D41" s="172">
        <v>1737.95965862821</v>
      </c>
      <c r="E41" s="172">
        <v>1.7175005845328301E-4</v>
      </c>
      <c r="F41" s="172">
        <v>0</v>
      </c>
      <c r="G41" s="172">
        <v>34902.577960257797</v>
      </c>
      <c r="H41" s="172">
        <v>1.4026362157838199E-3</v>
      </c>
      <c r="I41" s="172">
        <v>24883556.8107398</v>
      </c>
    </row>
    <row r="42" spans="2:9" x14ac:dyDescent="0.3">
      <c r="B42" s="172" t="s">
        <v>183</v>
      </c>
      <c r="C42" s="172" t="s">
        <v>82</v>
      </c>
      <c r="D42" s="172">
        <v>2486.0020234113299</v>
      </c>
      <c r="E42" s="172">
        <v>2.6825609135856001E-4</v>
      </c>
      <c r="F42" s="172">
        <v>0</v>
      </c>
      <c r="G42" s="172">
        <v>50437.0703549178</v>
      </c>
      <c r="H42" s="172">
        <v>1.8639193396430801E-3</v>
      </c>
      <c r="I42" s="172">
        <v>27059685.085179701</v>
      </c>
    </row>
    <row r="43" spans="2:9" x14ac:dyDescent="0.3">
      <c r="B43" s="172" t="s">
        <v>181</v>
      </c>
      <c r="C43" s="172" t="s">
        <v>82</v>
      </c>
      <c r="D43" s="172">
        <v>3129.7007904767902</v>
      </c>
      <c r="E43" s="172">
        <v>3.5279309578933199E-4</v>
      </c>
      <c r="F43" s="172">
        <v>0</v>
      </c>
      <c r="G43" s="172">
        <v>63613.610099899801</v>
      </c>
      <c r="H43" s="172">
        <v>2.2564302770709298E-3</v>
      </c>
      <c r="I43" s="172">
        <v>28192145.242119599</v>
      </c>
    </row>
    <row r="44" spans="2:9" x14ac:dyDescent="0.3">
      <c r="B44" s="172" t="s">
        <v>179</v>
      </c>
      <c r="C44" s="172" t="s">
        <v>82</v>
      </c>
      <c r="D44" s="172">
        <v>3686.9409669807001</v>
      </c>
      <c r="E44" s="172">
        <v>4.2647163093917199E-4</v>
      </c>
      <c r="F44" s="172">
        <v>0</v>
      </c>
      <c r="G44" s="172">
        <v>74938.886404574907</v>
      </c>
      <c r="H44" s="172">
        <v>2.5848185490870098E-3</v>
      </c>
      <c r="I44" s="172">
        <v>28991933.082128499</v>
      </c>
    </row>
    <row r="45" spans="2:9" x14ac:dyDescent="0.3">
      <c r="B45" s="172" t="s">
        <v>39</v>
      </c>
      <c r="C45" s="172" t="s">
        <v>82</v>
      </c>
      <c r="D45" s="172">
        <v>4169.4634336362196</v>
      </c>
      <c r="E45" s="172">
        <v>4.9125664584882302E-4</v>
      </c>
      <c r="F45" s="172">
        <v>0</v>
      </c>
      <c r="G45" s="172">
        <v>84803.021606387294</v>
      </c>
      <c r="H45" s="172">
        <v>2.8567585509730398E-3</v>
      </c>
      <c r="I45" s="172">
        <v>29685050.414044399</v>
      </c>
    </row>
    <row r="46" spans="2:9" x14ac:dyDescent="0.3">
      <c r="B46" s="172" t="s">
        <v>26</v>
      </c>
      <c r="C46" s="172" t="s">
        <v>82</v>
      </c>
      <c r="D46" s="172">
        <v>4581.5419410840504</v>
      </c>
      <c r="E46" s="172">
        <v>5.4791651643090896E-4</v>
      </c>
      <c r="F46" s="172">
        <v>0</v>
      </c>
      <c r="G46" s="172">
        <v>93387.361789101895</v>
      </c>
      <c r="H46" s="172">
        <v>3.0742503241123101E-3</v>
      </c>
      <c r="I46" s="172">
        <v>30377279.643311899</v>
      </c>
    </row>
    <row r="47" spans="2:9" x14ac:dyDescent="0.3">
      <c r="B47" s="172" t="s">
        <v>25</v>
      </c>
      <c r="C47" s="172" t="s">
        <v>82</v>
      </c>
      <c r="D47" s="172">
        <v>4918.7248274146004</v>
      </c>
      <c r="E47" s="172">
        <v>5.9290474765549004E-4</v>
      </c>
      <c r="F47" s="172">
        <v>0</v>
      </c>
      <c r="G47" s="172">
        <v>100634.979933692</v>
      </c>
      <c r="H47" s="172">
        <v>3.2253045841849899E-3</v>
      </c>
      <c r="I47" s="172">
        <v>31201698.105396699</v>
      </c>
    </row>
    <row r="48" spans="2:9" x14ac:dyDescent="0.3">
      <c r="B48" s="172" t="s">
        <v>24</v>
      </c>
      <c r="C48" s="172" t="s">
        <v>82</v>
      </c>
      <c r="D48" s="172">
        <v>5165.3943012808404</v>
      </c>
      <c r="E48" s="172">
        <v>5.9806582538234402E-4</v>
      </c>
      <c r="F48" s="172">
        <v>0</v>
      </c>
      <c r="G48" s="172">
        <v>106211.02422706901</v>
      </c>
      <c r="H48" s="172">
        <v>3.1209746783787602E-3</v>
      </c>
      <c r="I48" s="172">
        <v>34031363.651512399</v>
      </c>
    </row>
    <row r="49" spans="2:9" x14ac:dyDescent="0.3">
      <c r="B49" s="172" t="s">
        <v>22</v>
      </c>
      <c r="C49" s="172" t="s">
        <v>82</v>
      </c>
      <c r="D49" s="172">
        <v>5296.0164251709202</v>
      </c>
      <c r="E49" s="172">
        <v>4.3145807106454001E-4</v>
      </c>
      <c r="F49" s="172">
        <v>0</v>
      </c>
      <c r="G49" s="172">
        <v>109405.41776161701</v>
      </c>
      <c r="H49" s="172">
        <v>2.7958743075794999E-3</v>
      </c>
      <c r="I49" s="172">
        <v>39131021.543072701</v>
      </c>
    </row>
    <row r="50" spans="2:9" x14ac:dyDescent="0.3">
      <c r="B50" s="75"/>
      <c r="C50" s="75"/>
      <c r="D50" s="75"/>
      <c r="E50" s="75"/>
      <c r="F50" s="75"/>
      <c r="G50" s="75"/>
      <c r="H50" s="75"/>
      <c r="I50" s="75"/>
    </row>
    <row r="51" spans="2:9" x14ac:dyDescent="0.3">
      <c r="B51" s="75"/>
      <c r="C51" s="75"/>
      <c r="D51" s="75"/>
      <c r="E51" s="75"/>
      <c r="F51" s="75"/>
      <c r="G51" s="75"/>
      <c r="H51" s="75"/>
      <c r="I51" s="75"/>
    </row>
    <row r="52" spans="2:9" x14ac:dyDescent="0.3">
      <c r="B52" s="75"/>
      <c r="C52" s="75"/>
      <c r="D52" s="75"/>
      <c r="E52" s="75"/>
      <c r="F52" s="75"/>
      <c r="G52" s="75"/>
      <c r="H52" s="75"/>
      <c r="I52" s="75"/>
    </row>
    <row r="53" spans="2:9" x14ac:dyDescent="0.3">
      <c r="B53" s="75"/>
      <c r="C53" s="75"/>
      <c r="D53" s="75"/>
      <c r="E53" s="75"/>
      <c r="F53" s="75"/>
      <c r="G53" s="75"/>
      <c r="H53" s="75"/>
      <c r="I53" s="75"/>
    </row>
  </sheetData>
  <autoFilter ref="B5:I49">
    <filterColumn colId="1">
      <filters>
        <filter val="EQYEN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556260</xdr:colOff>
                    <xdr:row>3</xdr:row>
                    <xdr:rowOff>83820</xdr:rowOff>
                  </from>
                  <to>
                    <xdr:col>12</xdr:col>
                    <xdr:colOff>152400</xdr:colOff>
                    <xdr:row>39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/>
  <dimension ref="A2:M115"/>
  <sheetViews>
    <sheetView workbookViewId="0">
      <selection activeCell="B15" sqref="B15:L115"/>
    </sheetView>
  </sheetViews>
  <sheetFormatPr baseColWidth="10" defaultRowHeight="14.4" x14ac:dyDescent="0.3"/>
  <cols>
    <col min="1" max="3" width="11.5546875" style="91"/>
    <col min="4" max="5" width="0" style="91" hidden="1" customWidth="1"/>
    <col min="6" max="13" width="11.5546875" style="91"/>
  </cols>
  <sheetData>
    <row r="2" spans="1:13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3" x14ac:dyDescent="0.3">
      <c r="B3" s="169" t="s">
        <v>9</v>
      </c>
      <c r="C3" s="169" t="s">
        <v>46</v>
      </c>
      <c r="D3" s="169" t="s">
        <v>239</v>
      </c>
      <c r="E3" s="169" t="s">
        <v>244</v>
      </c>
      <c r="F3" s="169" t="s">
        <v>47</v>
      </c>
      <c r="G3" s="169" t="s">
        <v>48</v>
      </c>
      <c r="H3" s="169" t="s">
        <v>49</v>
      </c>
      <c r="I3" s="169" t="s">
        <v>50</v>
      </c>
      <c r="J3" s="169" t="s">
        <v>51</v>
      </c>
      <c r="K3" s="169" t="s">
        <v>52</v>
      </c>
      <c r="L3" s="170" t="s">
        <v>53</v>
      </c>
    </row>
    <row r="4" spans="1:13" x14ac:dyDescent="0.3">
      <c r="B4" s="173"/>
      <c r="C4" s="173"/>
      <c r="D4" s="173"/>
      <c r="E4" s="173"/>
      <c r="F4" s="173"/>
      <c r="G4" s="173" t="s">
        <v>43</v>
      </c>
      <c r="H4" s="173" t="s">
        <v>43</v>
      </c>
      <c r="I4" s="173" t="s">
        <v>43</v>
      </c>
      <c r="J4" s="173" t="s">
        <v>54</v>
      </c>
      <c r="K4" s="173" t="s">
        <v>54</v>
      </c>
      <c r="L4" s="174" t="s">
        <v>54</v>
      </c>
    </row>
    <row r="5" spans="1:13" s="172" customFormat="1" x14ac:dyDescent="0.3">
      <c r="A5" s="91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91"/>
    </row>
    <row r="6" spans="1:13" hidden="1" x14ac:dyDescent="0.3">
      <c r="B6" s="172" t="s">
        <v>189</v>
      </c>
      <c r="C6" s="172" t="s">
        <v>79</v>
      </c>
      <c r="D6" s="172" t="s">
        <v>245</v>
      </c>
      <c r="E6" s="172"/>
      <c r="F6" s="172" t="s">
        <v>72</v>
      </c>
      <c r="G6" s="172">
        <v>-1.30967237055302E-10</v>
      </c>
      <c r="H6" s="172">
        <v>-1142.6976360772401</v>
      </c>
      <c r="I6" s="172">
        <v>-49.927071873117903</v>
      </c>
      <c r="J6" s="172">
        <v>8715.6780346353498</v>
      </c>
      <c r="K6" s="172">
        <v>-8.6333784565795203E-10</v>
      </c>
      <c r="L6" s="172">
        <v>2.35922925639898E-9</v>
      </c>
    </row>
    <row r="7" spans="1:13" hidden="1" x14ac:dyDescent="0.3">
      <c r="B7" s="172" t="s">
        <v>189</v>
      </c>
      <c r="C7" s="172" t="s">
        <v>79</v>
      </c>
      <c r="D7" s="172" t="s">
        <v>245</v>
      </c>
      <c r="E7" s="172"/>
      <c r="F7" s="172" t="s">
        <v>242</v>
      </c>
      <c r="G7" s="172">
        <v>1.45519152283669E-11</v>
      </c>
      <c r="H7" s="172">
        <v>-1142.6976360783999</v>
      </c>
      <c r="I7" s="172">
        <v>-49.927071873132498</v>
      </c>
      <c r="J7" s="172">
        <v>8715.6780346478608</v>
      </c>
      <c r="K7" s="172">
        <v>149.78121562011299</v>
      </c>
      <c r="L7" s="172">
        <v>-3428.09290823322</v>
      </c>
    </row>
    <row r="8" spans="1:13" hidden="1" x14ac:dyDescent="0.3">
      <c r="B8" s="172" t="s">
        <v>189</v>
      </c>
      <c r="C8" s="172" t="s">
        <v>80</v>
      </c>
      <c r="D8" s="172" t="s">
        <v>245</v>
      </c>
      <c r="E8" s="172"/>
      <c r="F8" s="172" t="s">
        <v>72</v>
      </c>
      <c r="G8" s="172">
        <v>-1.89174897968769E-10</v>
      </c>
      <c r="H8" s="172">
        <v>-1142.6976360787901</v>
      </c>
      <c r="I8" s="172">
        <v>-49.927071862716502</v>
      </c>
      <c r="J8" s="172">
        <v>8164.3000455634801</v>
      </c>
      <c r="K8" s="172">
        <v>-1.3488374861481101E-9</v>
      </c>
      <c r="L8" s="172">
        <v>3.4233380574732998E-9</v>
      </c>
    </row>
    <row r="9" spans="1:13" hidden="1" x14ac:dyDescent="0.3">
      <c r="B9" s="172" t="s">
        <v>189</v>
      </c>
      <c r="C9" s="172" t="s">
        <v>80</v>
      </c>
      <c r="D9" s="172" t="s">
        <v>245</v>
      </c>
      <c r="E9" s="172"/>
      <c r="F9" s="172" t="s">
        <v>242</v>
      </c>
      <c r="G9" s="172">
        <v>-2.91038304567337E-11</v>
      </c>
      <c r="H9" s="172">
        <v>-1142.69763608011</v>
      </c>
      <c r="I9" s="172">
        <v>-49.927071862774397</v>
      </c>
      <c r="J9" s="172">
        <v>8164.3000455768997</v>
      </c>
      <c r="K9" s="172">
        <v>149.78121558866101</v>
      </c>
      <c r="L9" s="172">
        <v>-3428.0929082374701</v>
      </c>
    </row>
    <row r="10" spans="1:13" hidden="1" x14ac:dyDescent="0.3">
      <c r="B10" s="172" t="s">
        <v>189</v>
      </c>
      <c r="C10" s="172" t="s">
        <v>81</v>
      </c>
      <c r="D10" s="172" t="s">
        <v>245</v>
      </c>
      <c r="E10" s="172"/>
      <c r="F10" s="172" t="s">
        <v>72</v>
      </c>
      <c r="G10" s="172">
        <v>9.4587448984384498E-11</v>
      </c>
      <c r="H10" s="172">
        <v>-135.84462789462901</v>
      </c>
      <c r="I10" s="172">
        <v>-1011.91983688635</v>
      </c>
      <c r="J10" s="172">
        <v>-16174.563316510001</v>
      </c>
      <c r="K10" s="172">
        <v>6.9849193096160899E-10</v>
      </c>
      <c r="L10" s="172">
        <v>-1.67688085639384E-9</v>
      </c>
    </row>
    <row r="11" spans="1:13" hidden="1" x14ac:dyDescent="0.3">
      <c r="B11" s="172" t="s">
        <v>189</v>
      </c>
      <c r="C11" s="172" t="s">
        <v>81</v>
      </c>
      <c r="D11" s="172" t="s">
        <v>245</v>
      </c>
      <c r="E11" s="172"/>
      <c r="F11" s="172" t="s">
        <v>242</v>
      </c>
      <c r="G11" s="172">
        <v>2.4738255888223602E-10</v>
      </c>
      <c r="H11" s="172">
        <v>-135.84462789467199</v>
      </c>
      <c r="I11" s="172">
        <v>-1011.9198368885</v>
      </c>
      <c r="J11" s="172">
        <v>-16174.5633165462</v>
      </c>
      <c r="K11" s="172">
        <v>3035.75951066371</v>
      </c>
      <c r="L11" s="172">
        <v>-407.53388368829701</v>
      </c>
    </row>
    <row r="12" spans="1:13" hidden="1" x14ac:dyDescent="0.3">
      <c r="B12" s="172" t="s">
        <v>189</v>
      </c>
      <c r="C12" s="172" t="s">
        <v>82</v>
      </c>
      <c r="D12" s="172" t="s">
        <v>245</v>
      </c>
      <c r="E12" s="172"/>
      <c r="F12" s="172" t="s">
        <v>72</v>
      </c>
      <c r="G12" s="172">
        <v>5.0931703299284001E-11</v>
      </c>
      <c r="H12" s="172">
        <v>-135.84462789294599</v>
      </c>
      <c r="I12" s="172">
        <v>-1011.91983689663</v>
      </c>
      <c r="J12" s="172">
        <v>-15837.717695834601</v>
      </c>
      <c r="K12" s="172">
        <v>5.0931703299284002E-10</v>
      </c>
      <c r="L12" s="172">
        <v>-1.16324372356758E-9</v>
      </c>
    </row>
    <row r="13" spans="1:13" hidden="1" x14ac:dyDescent="0.3">
      <c r="B13" s="172" t="s">
        <v>189</v>
      </c>
      <c r="C13" s="172" t="s">
        <v>82</v>
      </c>
      <c r="D13" s="172" t="s">
        <v>245</v>
      </c>
      <c r="E13" s="172"/>
      <c r="F13" s="172" t="s">
        <v>242</v>
      </c>
      <c r="G13" s="172">
        <v>1.4551915228366901E-10</v>
      </c>
      <c r="H13" s="172">
        <v>-135.844627892982</v>
      </c>
      <c r="I13" s="172">
        <v>-1011.9198368987099</v>
      </c>
      <c r="J13" s="172">
        <v>-15837.7176958693</v>
      </c>
      <c r="K13" s="172">
        <v>3035.7595106932599</v>
      </c>
      <c r="L13" s="172">
        <v>-407.53388368166401</v>
      </c>
    </row>
    <row r="14" spans="1:13" hidden="1" x14ac:dyDescent="0.3">
      <c r="B14" s="172" t="s">
        <v>189</v>
      </c>
      <c r="C14" s="172" t="s">
        <v>246</v>
      </c>
      <c r="D14" s="172" t="s">
        <v>245</v>
      </c>
      <c r="E14" s="172"/>
      <c r="F14" s="172" t="s">
        <v>72</v>
      </c>
      <c r="G14" s="172">
        <v>12085.199999996599</v>
      </c>
      <c r="H14" s="172">
        <v>8.4672251432493795E-9</v>
      </c>
      <c r="I14" s="172">
        <v>-1.73906755662756E-9</v>
      </c>
      <c r="J14" s="172">
        <v>-9.5969994617917096E-8</v>
      </c>
      <c r="K14" s="172">
        <v>102308.75999997099</v>
      </c>
      <c r="L14" s="172">
        <v>-205508.24999994101</v>
      </c>
    </row>
    <row r="15" spans="1:13" x14ac:dyDescent="0.3">
      <c r="B15" s="172" t="s">
        <v>189</v>
      </c>
      <c r="C15" s="172" t="s">
        <v>246</v>
      </c>
      <c r="D15" s="172" t="s">
        <v>245</v>
      </c>
      <c r="E15" s="172"/>
      <c r="F15" s="172" t="s">
        <v>242</v>
      </c>
      <c r="G15" s="172">
        <v>18781.1999999988</v>
      </c>
      <c r="H15" s="172">
        <v>8.53714254844817E-9</v>
      </c>
      <c r="I15" s="172">
        <v>-1.74046022038965E-9</v>
      </c>
      <c r="J15" s="172">
        <v>-9.6754547485033995E-8</v>
      </c>
      <c r="K15" s="172">
        <v>154004.760000001</v>
      </c>
      <c r="L15" s="172">
        <v>-317756.24999995303</v>
      </c>
    </row>
    <row r="16" spans="1:13" hidden="1" x14ac:dyDescent="0.3">
      <c r="B16" s="172" t="s">
        <v>187</v>
      </c>
      <c r="C16" s="172" t="s">
        <v>79</v>
      </c>
      <c r="D16" s="172" t="s">
        <v>245</v>
      </c>
      <c r="E16" s="172"/>
      <c r="F16" s="172" t="s">
        <v>72</v>
      </c>
      <c r="G16" s="172">
        <v>-2.9904833809268899E-7</v>
      </c>
      <c r="H16" s="172">
        <v>-17515.623357886801</v>
      </c>
      <c r="I16" s="172">
        <v>-700.912531936802</v>
      </c>
      <c r="J16" s="172">
        <v>171456.43960577599</v>
      </c>
      <c r="K16" s="172">
        <v>149.781213070592</v>
      </c>
      <c r="L16" s="172">
        <v>-3428.0929028372698</v>
      </c>
    </row>
    <row r="17" spans="2:12" hidden="1" x14ac:dyDescent="0.3">
      <c r="B17" s="172" t="s">
        <v>187</v>
      </c>
      <c r="C17" s="172" t="s">
        <v>79</v>
      </c>
      <c r="D17" s="172" t="s">
        <v>245</v>
      </c>
      <c r="E17" s="172"/>
      <c r="F17" s="172" t="s">
        <v>242</v>
      </c>
      <c r="G17" s="172">
        <v>-2.88883967414222E-7</v>
      </c>
      <c r="H17" s="172">
        <v>-17515.623357872399</v>
      </c>
      <c r="I17" s="172">
        <v>-700.91253192303998</v>
      </c>
      <c r="J17" s="172">
        <v>171456.439605886</v>
      </c>
      <c r="K17" s="172">
        <v>2602.9750749248601</v>
      </c>
      <c r="L17" s="172">
        <v>-64732.774655628702</v>
      </c>
    </row>
    <row r="18" spans="2:12" hidden="1" x14ac:dyDescent="0.3">
      <c r="B18" s="172" t="s">
        <v>187</v>
      </c>
      <c r="C18" s="172" t="s">
        <v>80</v>
      </c>
      <c r="D18" s="172" t="s">
        <v>245</v>
      </c>
      <c r="E18" s="172"/>
      <c r="F18" s="172" t="s">
        <v>72</v>
      </c>
      <c r="G18" s="172">
        <v>-2.8512920380308102E-7</v>
      </c>
      <c r="H18" s="172">
        <v>-17515.623358245299</v>
      </c>
      <c r="I18" s="172">
        <v>-700.91253368821594</v>
      </c>
      <c r="J18" s="172">
        <v>141049.649568372</v>
      </c>
      <c r="K18" s="172">
        <v>149.78121310033501</v>
      </c>
      <c r="L18" s="172">
        <v>-3428.0929031034998</v>
      </c>
    </row>
    <row r="19" spans="2:12" hidden="1" x14ac:dyDescent="0.3">
      <c r="B19" s="172" t="s">
        <v>187</v>
      </c>
      <c r="C19" s="172" t="s">
        <v>80</v>
      </c>
      <c r="D19" s="172" t="s">
        <v>245</v>
      </c>
      <c r="E19" s="172"/>
      <c r="F19" s="172" t="s">
        <v>242</v>
      </c>
      <c r="G19" s="172">
        <v>-2.74873571015632E-7</v>
      </c>
      <c r="H19" s="172">
        <v>-17515.6233582323</v>
      </c>
      <c r="I19" s="172">
        <v>-700.91253367608203</v>
      </c>
      <c r="J19" s="172">
        <v>141049.64956845401</v>
      </c>
      <c r="K19" s="172">
        <v>2602.9750810917899</v>
      </c>
      <c r="L19" s="172">
        <v>-64732.7746571475</v>
      </c>
    </row>
    <row r="20" spans="2:12" hidden="1" x14ac:dyDescent="0.3">
      <c r="B20" s="172" t="s">
        <v>187</v>
      </c>
      <c r="C20" s="172" t="s">
        <v>81</v>
      </c>
      <c r="D20" s="172" t="s">
        <v>245</v>
      </c>
      <c r="E20" s="172"/>
      <c r="F20" s="172" t="s">
        <v>72</v>
      </c>
      <c r="G20" s="172">
        <v>1.16201675837146E-7</v>
      </c>
      <c r="H20" s="172">
        <v>-870.50714431102006</v>
      </c>
      <c r="I20" s="172">
        <v>-16670.9253737945</v>
      </c>
      <c r="J20" s="172">
        <v>-185256.713199324</v>
      </c>
      <c r="K20" s="172">
        <v>3035.7595108630899</v>
      </c>
      <c r="L20" s="172">
        <v>-407.533885874703</v>
      </c>
    </row>
    <row r="21" spans="2:12" hidden="1" x14ac:dyDescent="0.3">
      <c r="B21" s="172" t="s">
        <v>187</v>
      </c>
      <c r="C21" s="172" t="s">
        <v>81</v>
      </c>
      <c r="D21" s="172" t="s">
        <v>245</v>
      </c>
      <c r="E21" s="172"/>
      <c r="F21" s="172" t="s">
        <v>242</v>
      </c>
      <c r="G21" s="172">
        <v>1.12941904717445E-7</v>
      </c>
      <c r="H21" s="172">
        <v>-870.50714429900597</v>
      </c>
      <c r="I21" s="172">
        <v>-16670.925373801401</v>
      </c>
      <c r="J21" s="172">
        <v>-185256.713199619</v>
      </c>
      <c r="K21" s="172">
        <v>61383.998319143502</v>
      </c>
      <c r="L21" s="172">
        <v>-3454.3088908957802</v>
      </c>
    </row>
    <row r="22" spans="2:12" hidden="1" x14ac:dyDescent="0.3">
      <c r="B22" s="172" t="s">
        <v>187</v>
      </c>
      <c r="C22" s="172" t="s">
        <v>82</v>
      </c>
      <c r="D22" s="172" t="s">
        <v>245</v>
      </c>
      <c r="E22" s="172"/>
      <c r="F22" s="172" t="s">
        <v>72</v>
      </c>
      <c r="G22" s="172">
        <v>1.01877887459523E-7</v>
      </c>
      <c r="H22" s="172">
        <v>-870.50714395974705</v>
      </c>
      <c r="I22" s="172">
        <v>-16670.925372061</v>
      </c>
      <c r="J22" s="172">
        <v>-156172.14072078301</v>
      </c>
      <c r="K22" s="172">
        <v>3035.7595108300102</v>
      </c>
      <c r="L22" s="172">
        <v>-407.53388560014099</v>
      </c>
    </row>
    <row r="23" spans="2:12" hidden="1" x14ac:dyDescent="0.3">
      <c r="B23" s="172" t="s">
        <v>187</v>
      </c>
      <c r="C23" s="172" t="s">
        <v>82</v>
      </c>
      <c r="D23" s="172" t="s">
        <v>245</v>
      </c>
      <c r="E23" s="172"/>
      <c r="F23" s="172" t="s">
        <v>242</v>
      </c>
      <c r="G23" s="172">
        <v>9.7661370546120505E-8</v>
      </c>
      <c r="H23" s="172">
        <v>-870.50714394921295</v>
      </c>
      <c r="I23" s="172">
        <v>-16670.925372067999</v>
      </c>
      <c r="J23" s="172">
        <v>-156172.14072106301</v>
      </c>
      <c r="K23" s="172">
        <v>61383.9983130357</v>
      </c>
      <c r="L23" s="172">
        <v>-3454.30888937892</v>
      </c>
    </row>
    <row r="24" spans="2:12" hidden="1" x14ac:dyDescent="0.3">
      <c r="B24" s="172" t="s">
        <v>187</v>
      </c>
      <c r="C24" s="172" t="s">
        <v>246</v>
      </c>
      <c r="D24" s="172" t="s">
        <v>245</v>
      </c>
      <c r="E24" s="172"/>
      <c r="F24" s="172" t="s">
        <v>72</v>
      </c>
      <c r="G24" s="172">
        <v>381105.97874886799</v>
      </c>
      <c r="H24" s="172">
        <v>-7.7776196336642994E-6</v>
      </c>
      <c r="I24" s="172">
        <v>-1.0917666770637901E-7</v>
      </c>
      <c r="J24" s="172">
        <v>7.4108909707604198E-5</v>
      </c>
      <c r="K24" s="172">
        <v>3592723.7228826</v>
      </c>
      <c r="L24" s="172">
        <v>-3710130.0477856998</v>
      </c>
    </row>
    <row r="25" spans="2:12" x14ac:dyDescent="0.3">
      <c r="B25" s="172" t="s">
        <v>187</v>
      </c>
      <c r="C25" s="172" t="s">
        <v>246</v>
      </c>
      <c r="D25" s="172" t="s">
        <v>245</v>
      </c>
      <c r="E25" s="172"/>
      <c r="F25" s="172" t="s">
        <v>242</v>
      </c>
      <c r="G25" s="172">
        <v>452326.36389667902</v>
      </c>
      <c r="H25" s="172">
        <v>-7.7816106909267495E-6</v>
      </c>
      <c r="I25" s="172">
        <v>-1.10337850856013E-7</v>
      </c>
      <c r="J25" s="172">
        <v>7.4124857974311494E-5</v>
      </c>
      <c r="K25" s="172">
        <v>4268458.15423383</v>
      </c>
      <c r="L25" s="172">
        <v>-4580141.07104515</v>
      </c>
    </row>
    <row r="26" spans="2:12" hidden="1" x14ac:dyDescent="0.3">
      <c r="B26" s="172" t="s">
        <v>185</v>
      </c>
      <c r="C26" s="172" t="s">
        <v>79</v>
      </c>
      <c r="D26" s="172" t="s">
        <v>245</v>
      </c>
      <c r="E26" s="172"/>
      <c r="F26" s="172" t="s">
        <v>72</v>
      </c>
      <c r="G26" s="172">
        <v>-3.7661942542399603E-7</v>
      </c>
      <c r="H26" s="172">
        <v>-36077.794108661801</v>
      </c>
      <c r="I26" s="172">
        <v>-1431.8051239567601</v>
      </c>
      <c r="J26" s="172">
        <v>357447.07449483097</v>
      </c>
      <c r="K26" s="172">
        <v>2602.9750737424902</v>
      </c>
      <c r="L26" s="172">
        <v>-64732.774654134701</v>
      </c>
    </row>
    <row r="27" spans="2:12" hidden="1" x14ac:dyDescent="0.3">
      <c r="B27" s="172" t="s">
        <v>185</v>
      </c>
      <c r="C27" s="172" t="s">
        <v>79</v>
      </c>
      <c r="D27" s="172" t="s">
        <v>245</v>
      </c>
      <c r="E27" s="172"/>
      <c r="F27" s="172" t="s">
        <v>242</v>
      </c>
      <c r="G27" s="172">
        <v>-3.7996869650669401E-7</v>
      </c>
      <c r="H27" s="172">
        <v>-36077.794108620299</v>
      </c>
      <c r="I27" s="172">
        <v>-1431.8051239485701</v>
      </c>
      <c r="J27" s="172">
        <v>357447.07449457998</v>
      </c>
      <c r="K27" s="172">
        <v>7614.2930075455897</v>
      </c>
      <c r="L27" s="172">
        <v>-191005.05403439401</v>
      </c>
    </row>
    <row r="28" spans="2:12" hidden="1" x14ac:dyDescent="0.3">
      <c r="B28" s="172" t="s">
        <v>185</v>
      </c>
      <c r="C28" s="172" t="s">
        <v>80</v>
      </c>
      <c r="D28" s="172" t="s">
        <v>245</v>
      </c>
      <c r="E28" s="172"/>
      <c r="F28" s="172" t="s">
        <v>72</v>
      </c>
      <c r="G28" s="172">
        <v>-3.6385432622410002E-7</v>
      </c>
      <c r="H28" s="172">
        <v>-36077.794109434202</v>
      </c>
      <c r="I28" s="172">
        <v>-1431.8051275994901</v>
      </c>
      <c r="J28" s="172">
        <v>293179.12805436703</v>
      </c>
      <c r="K28" s="172">
        <v>2602.97507987985</v>
      </c>
      <c r="L28" s="172">
        <v>-64732.7746556563</v>
      </c>
    </row>
    <row r="29" spans="2:12" hidden="1" x14ac:dyDescent="0.3">
      <c r="B29" s="172" t="s">
        <v>185</v>
      </c>
      <c r="C29" s="172" t="s">
        <v>80</v>
      </c>
      <c r="D29" s="172" t="s">
        <v>245</v>
      </c>
      <c r="E29" s="172"/>
      <c r="F29" s="172" t="s">
        <v>242</v>
      </c>
      <c r="G29" s="172">
        <v>-3.69124904864293E-7</v>
      </c>
      <c r="H29" s="172">
        <v>-36077.794109390903</v>
      </c>
      <c r="I29" s="172">
        <v>-1431.80512758944</v>
      </c>
      <c r="J29" s="172">
        <v>293179.12805413199</v>
      </c>
      <c r="K29" s="172">
        <v>7614.29302641088</v>
      </c>
      <c r="L29" s="172">
        <v>-191005.05403858601</v>
      </c>
    </row>
    <row r="30" spans="2:12" hidden="1" x14ac:dyDescent="0.3">
      <c r="B30" s="172" t="s">
        <v>185</v>
      </c>
      <c r="C30" s="172" t="s">
        <v>81</v>
      </c>
      <c r="D30" s="172" t="s">
        <v>245</v>
      </c>
      <c r="E30" s="172"/>
      <c r="F30" s="172" t="s">
        <v>72</v>
      </c>
      <c r="G30" s="172">
        <v>2.5379203805187E-7</v>
      </c>
      <c r="H30" s="172">
        <v>-1737.9596594023999</v>
      </c>
      <c r="I30" s="172">
        <v>-34902.577963914198</v>
      </c>
      <c r="J30" s="172">
        <v>-380308.86014760099</v>
      </c>
      <c r="K30" s="172">
        <v>61383.9983198509</v>
      </c>
      <c r="L30" s="172">
        <v>-3454.3088932723999</v>
      </c>
    </row>
    <row r="31" spans="2:12" hidden="1" x14ac:dyDescent="0.3">
      <c r="B31" s="172" t="s">
        <v>185</v>
      </c>
      <c r="C31" s="172" t="s">
        <v>81</v>
      </c>
      <c r="D31" s="172" t="s">
        <v>245</v>
      </c>
      <c r="E31" s="172"/>
      <c r="F31" s="172" t="s">
        <v>242</v>
      </c>
      <c r="G31" s="172">
        <v>2.5120334612438498E-7</v>
      </c>
      <c r="H31" s="172">
        <v>-1737.9596593926699</v>
      </c>
      <c r="I31" s="172">
        <v>-34902.577963860604</v>
      </c>
      <c r="J31" s="172">
        <v>-380308.86014687602</v>
      </c>
      <c r="K31" s="172">
        <v>183543.02119344601</v>
      </c>
      <c r="L31" s="172">
        <v>-9537.1677011292195</v>
      </c>
    </row>
    <row r="32" spans="2:12" hidden="1" x14ac:dyDescent="0.3">
      <c r="B32" s="172" t="s">
        <v>185</v>
      </c>
      <c r="C32" s="172" t="s">
        <v>82</v>
      </c>
      <c r="D32" s="172" t="s">
        <v>245</v>
      </c>
      <c r="E32" s="172"/>
      <c r="F32" s="172" t="s">
        <v>72</v>
      </c>
      <c r="G32" s="172">
        <v>2.4284630484316902E-7</v>
      </c>
      <c r="H32" s="172">
        <v>-1737.9596586364901</v>
      </c>
      <c r="I32" s="172">
        <v>-34902.577960308299</v>
      </c>
      <c r="J32" s="172">
        <v>-317776.516230963</v>
      </c>
      <c r="K32" s="172">
        <v>61383.998313791999</v>
      </c>
      <c r="L32" s="172">
        <v>-3454.3088918066401</v>
      </c>
    </row>
    <row r="33" spans="2:12" hidden="1" x14ac:dyDescent="0.3">
      <c r="B33" s="172" t="s">
        <v>185</v>
      </c>
      <c r="C33" s="172" t="s">
        <v>82</v>
      </c>
      <c r="D33" s="172" t="s">
        <v>245</v>
      </c>
      <c r="E33" s="172"/>
      <c r="F33" s="172" t="s">
        <v>242</v>
      </c>
      <c r="G33" s="172">
        <v>2.37960932736314E-7</v>
      </c>
      <c r="H33" s="172">
        <v>-1737.95965862821</v>
      </c>
      <c r="I33" s="172">
        <v>-34902.577960257797</v>
      </c>
      <c r="J33" s="172">
        <v>-317776.51623026701</v>
      </c>
      <c r="K33" s="172">
        <v>183543.021174753</v>
      </c>
      <c r="L33" s="172">
        <v>-9537.1676969443306</v>
      </c>
    </row>
    <row r="34" spans="2:12" hidden="1" x14ac:dyDescent="0.3">
      <c r="B34" s="172" t="s">
        <v>185</v>
      </c>
      <c r="C34" s="172" t="s">
        <v>246</v>
      </c>
      <c r="D34" s="172" t="s">
        <v>245</v>
      </c>
      <c r="E34" s="172"/>
      <c r="F34" s="172" t="s">
        <v>72</v>
      </c>
      <c r="G34" s="172">
        <v>808315.14264689304</v>
      </c>
      <c r="H34" s="172">
        <v>-1.5632761800610199E-5</v>
      </c>
      <c r="I34" s="172">
        <v>-3.3159201962007501E-7</v>
      </c>
      <c r="J34" s="172">
        <v>1.47238559634055E-4</v>
      </c>
      <c r="K34" s="172">
        <v>7646493.7171256198</v>
      </c>
      <c r="L34" s="172">
        <v>-7920203.4938557902</v>
      </c>
    </row>
    <row r="35" spans="2:12" x14ac:dyDescent="0.3">
      <c r="B35" s="172" t="s">
        <v>185</v>
      </c>
      <c r="C35" s="172" t="s">
        <v>246</v>
      </c>
      <c r="D35" s="172" t="s">
        <v>245</v>
      </c>
      <c r="E35" s="172"/>
      <c r="F35" s="172" t="s">
        <v>242</v>
      </c>
      <c r="G35" s="172">
        <v>879535.52779469895</v>
      </c>
      <c r="H35" s="172">
        <v>-1.5634647866136199E-5</v>
      </c>
      <c r="I35" s="172">
        <v>-3.3042249469872299E-7</v>
      </c>
      <c r="J35" s="172">
        <v>1.47272259482634E-4</v>
      </c>
      <c r="K35" s="172">
        <v>8322228.1484775804</v>
      </c>
      <c r="L35" s="172">
        <v>-8790214.5171426404</v>
      </c>
    </row>
    <row r="36" spans="2:12" hidden="1" x14ac:dyDescent="0.3">
      <c r="B36" s="172" t="s">
        <v>183</v>
      </c>
      <c r="C36" s="172" t="s">
        <v>79</v>
      </c>
      <c r="D36" s="172" t="s">
        <v>245</v>
      </c>
      <c r="E36" s="172"/>
      <c r="F36" s="172" t="s">
        <v>72</v>
      </c>
      <c r="G36" s="172">
        <v>-5.7280885812360804E-7</v>
      </c>
      <c r="H36" s="172">
        <v>-51704.506520949501</v>
      </c>
      <c r="I36" s="172">
        <v>-2052.1732813225299</v>
      </c>
      <c r="J36" s="172">
        <v>513968.12597405602</v>
      </c>
      <c r="K36" s="172">
        <v>7614.29300604122</v>
      </c>
      <c r="L36" s="172">
        <v>-191005.05403096601</v>
      </c>
    </row>
    <row r="37" spans="2:12" hidden="1" x14ac:dyDescent="0.3">
      <c r="B37" s="172" t="s">
        <v>183</v>
      </c>
      <c r="C37" s="172" t="s">
        <v>79</v>
      </c>
      <c r="D37" s="172" t="s">
        <v>245</v>
      </c>
      <c r="E37" s="172"/>
      <c r="F37" s="172" t="s">
        <v>242</v>
      </c>
      <c r="G37" s="172">
        <v>-5.7516513152222604E-7</v>
      </c>
      <c r="H37" s="172">
        <v>-51704.506520942799</v>
      </c>
      <c r="I37" s="172">
        <v>-2052.1732813087101</v>
      </c>
      <c r="J37" s="172">
        <v>513968.12597419601</v>
      </c>
      <c r="K37" s="172">
        <v>14796.8994906275</v>
      </c>
      <c r="L37" s="172">
        <v>-371970.82685420901</v>
      </c>
    </row>
    <row r="38" spans="2:12" hidden="1" x14ac:dyDescent="0.3">
      <c r="B38" s="172" t="s">
        <v>183</v>
      </c>
      <c r="C38" s="172" t="s">
        <v>80</v>
      </c>
      <c r="D38" s="172" t="s">
        <v>245</v>
      </c>
      <c r="E38" s="172"/>
      <c r="F38" s="172" t="s">
        <v>72</v>
      </c>
      <c r="G38" s="172">
        <v>-4.5325737119128499E-7</v>
      </c>
      <c r="H38" s="172">
        <v>-51704.506522279</v>
      </c>
      <c r="I38" s="172">
        <v>-2052.17328575795</v>
      </c>
      <c r="J38" s="172">
        <v>421203.63441139</v>
      </c>
      <c r="K38" s="172">
        <v>7614.2930256988602</v>
      </c>
      <c r="L38" s="172">
        <v>-191005.05403711399</v>
      </c>
    </row>
    <row r="39" spans="2:12" hidden="1" x14ac:dyDescent="0.3">
      <c r="B39" s="172" t="s">
        <v>183</v>
      </c>
      <c r="C39" s="172" t="s">
        <v>80</v>
      </c>
      <c r="D39" s="172" t="s">
        <v>245</v>
      </c>
      <c r="E39" s="172"/>
      <c r="F39" s="172" t="s">
        <v>242</v>
      </c>
      <c r="G39" s="172">
        <v>-4.5635033529833901E-7</v>
      </c>
      <c r="H39" s="172">
        <v>-51704.506522267598</v>
      </c>
      <c r="I39" s="172">
        <v>-2052.1732857427701</v>
      </c>
      <c r="J39" s="172">
        <v>421203.63441151602</v>
      </c>
      <c r="K39" s="172">
        <v>14796.8995258014</v>
      </c>
      <c r="L39" s="172">
        <v>-371970.82686498598</v>
      </c>
    </row>
    <row r="40" spans="2:12" hidden="1" x14ac:dyDescent="0.3">
      <c r="B40" s="172" t="s">
        <v>183</v>
      </c>
      <c r="C40" s="172" t="s">
        <v>81</v>
      </c>
      <c r="D40" s="172" t="s">
        <v>245</v>
      </c>
      <c r="E40" s="172"/>
      <c r="F40" s="172" t="s">
        <v>72</v>
      </c>
      <c r="G40" s="172">
        <v>1.01747139380493E-6</v>
      </c>
      <c r="H40" s="172">
        <v>-2486.0020247381599</v>
      </c>
      <c r="I40" s="172">
        <v>-50437.070359332698</v>
      </c>
      <c r="J40" s="172">
        <v>-546412.01595234103</v>
      </c>
      <c r="K40" s="172">
        <v>183543.02119895199</v>
      </c>
      <c r="L40" s="172">
        <v>-9537.1677150762407</v>
      </c>
    </row>
    <row r="41" spans="2:12" hidden="1" x14ac:dyDescent="0.3">
      <c r="B41" s="172" t="s">
        <v>183</v>
      </c>
      <c r="C41" s="172" t="s">
        <v>81</v>
      </c>
      <c r="D41" s="172" t="s">
        <v>245</v>
      </c>
      <c r="E41" s="172"/>
      <c r="F41" s="172" t="s">
        <v>242</v>
      </c>
      <c r="G41" s="172">
        <v>1.0125660310222901E-6</v>
      </c>
      <c r="H41" s="172">
        <v>-2486.0020247252601</v>
      </c>
      <c r="I41" s="172">
        <v>-50437.070359306097</v>
      </c>
      <c r="J41" s="172">
        <v>-546412.01595206896</v>
      </c>
      <c r="K41" s="172">
        <v>360072.76745653799</v>
      </c>
      <c r="L41" s="172">
        <v>-18238.174801559599</v>
      </c>
    </row>
    <row r="42" spans="2:12" hidden="1" x14ac:dyDescent="0.3">
      <c r="B42" s="172" t="s">
        <v>183</v>
      </c>
      <c r="C42" s="172" t="s">
        <v>82</v>
      </c>
      <c r="D42" s="172" t="s">
        <v>245</v>
      </c>
      <c r="E42" s="172"/>
      <c r="F42" s="172" t="s">
        <v>72</v>
      </c>
      <c r="G42" s="172">
        <v>8.9981660877924696E-7</v>
      </c>
      <c r="H42" s="172">
        <v>-2486.0020234241401</v>
      </c>
      <c r="I42" s="172">
        <v>-50437.070354941599</v>
      </c>
      <c r="J42" s="172">
        <v>-455397.05469043099</v>
      </c>
      <c r="K42" s="172">
        <v>183543.021179498</v>
      </c>
      <c r="L42" s="172">
        <v>-9537.1677090039593</v>
      </c>
    </row>
    <row r="43" spans="2:12" hidden="1" x14ac:dyDescent="0.3">
      <c r="B43" s="172" t="s">
        <v>183</v>
      </c>
      <c r="C43" s="172" t="s">
        <v>82</v>
      </c>
      <c r="D43" s="172" t="s">
        <v>245</v>
      </c>
      <c r="E43" s="172"/>
      <c r="F43" s="172" t="s">
        <v>242</v>
      </c>
      <c r="G43" s="172">
        <v>8.9450372797728103E-7</v>
      </c>
      <c r="H43" s="172">
        <v>-2486.0020234113299</v>
      </c>
      <c r="I43" s="172">
        <v>-50437.0703549178</v>
      </c>
      <c r="J43" s="172">
        <v>-455397.05469019798</v>
      </c>
      <c r="K43" s="172">
        <v>360072.76742171502</v>
      </c>
      <c r="L43" s="172">
        <v>-18238.174790883</v>
      </c>
    </row>
    <row r="44" spans="2:12" hidden="1" x14ac:dyDescent="0.3">
      <c r="B44" s="172" t="s">
        <v>183</v>
      </c>
      <c r="C44" s="172" t="s">
        <v>246</v>
      </c>
      <c r="D44" s="172" t="s">
        <v>245</v>
      </c>
      <c r="E44" s="172"/>
      <c r="F44" s="172" t="s">
        <v>72</v>
      </c>
      <c r="G44" s="172">
        <v>1235524.3065442699</v>
      </c>
      <c r="H44" s="172">
        <v>-2.4570455412487002E-5</v>
      </c>
      <c r="I44" s="172">
        <v>-6.4156444068430595E-7</v>
      </c>
      <c r="J44" s="172">
        <v>2.29002461850314E-4</v>
      </c>
      <c r="K44" s="172">
        <v>11700263.711366</v>
      </c>
      <c r="L44" s="172">
        <v>-12130276.939941799</v>
      </c>
    </row>
    <row r="45" spans="2:12" x14ac:dyDescent="0.3">
      <c r="B45" s="172" t="s">
        <v>183</v>
      </c>
      <c r="C45" s="172" t="s">
        <v>246</v>
      </c>
      <c r="D45" s="172" t="s">
        <v>245</v>
      </c>
      <c r="E45" s="172"/>
      <c r="F45" s="172" t="s">
        <v>242</v>
      </c>
      <c r="G45" s="172">
        <v>1306744.6916920801</v>
      </c>
      <c r="H45" s="172">
        <v>-2.4569866013734999E-5</v>
      </c>
      <c r="I45" s="172">
        <v>-6.4109769937203996E-7</v>
      </c>
      <c r="J45" s="172">
        <v>2.2900480598764299E-4</v>
      </c>
      <c r="K45" s="172">
        <v>12375998.142719099</v>
      </c>
      <c r="L45" s="172">
        <v>-13000287.9632599</v>
      </c>
    </row>
    <row r="46" spans="2:12" hidden="1" x14ac:dyDescent="0.3">
      <c r="B46" s="172" t="s">
        <v>181</v>
      </c>
      <c r="C46" s="172" t="s">
        <v>79</v>
      </c>
      <c r="D46" s="172" t="s">
        <v>245</v>
      </c>
      <c r="E46" s="172"/>
      <c r="F46" s="172" t="s">
        <v>72</v>
      </c>
      <c r="G46" s="172">
        <v>-6.9759653342771302E-7</v>
      </c>
      <c r="H46" s="172">
        <v>-64915.889074553401</v>
      </c>
      <c r="I46" s="172">
        <v>-2582.4423088778999</v>
      </c>
      <c r="J46" s="172">
        <v>646231.83176296297</v>
      </c>
      <c r="K46" s="172">
        <v>14796.899489162301</v>
      </c>
      <c r="L46" s="172">
        <v>-371970.826852208</v>
      </c>
    </row>
    <row r="47" spans="2:12" hidden="1" x14ac:dyDescent="0.3">
      <c r="B47" s="172" t="s">
        <v>181</v>
      </c>
      <c r="C47" s="172" t="s">
        <v>79</v>
      </c>
      <c r="D47" s="172" t="s">
        <v>245</v>
      </c>
      <c r="E47" s="172"/>
      <c r="F47" s="172" t="s">
        <v>242</v>
      </c>
      <c r="G47" s="172">
        <v>-6.9872339736320999E-7</v>
      </c>
      <c r="H47" s="172">
        <v>-64915.889074577302</v>
      </c>
      <c r="I47" s="172">
        <v>-2582.4423088601602</v>
      </c>
      <c r="J47" s="172">
        <v>646231.83176348405</v>
      </c>
      <c r="K47" s="172">
        <v>23835.447570193999</v>
      </c>
      <c r="L47" s="172">
        <v>-599176.43861317495</v>
      </c>
    </row>
    <row r="48" spans="2:12" hidden="1" x14ac:dyDescent="0.3">
      <c r="B48" s="172" t="s">
        <v>181</v>
      </c>
      <c r="C48" s="172" t="s">
        <v>80</v>
      </c>
      <c r="D48" s="172" t="s">
        <v>245</v>
      </c>
      <c r="E48" s="172"/>
      <c r="F48" s="172" t="s">
        <v>72</v>
      </c>
      <c r="G48" s="172">
        <v>-5.3743769967695698E-7</v>
      </c>
      <c r="H48" s="172">
        <v>-64915.889076121799</v>
      </c>
      <c r="I48" s="172">
        <v>-2582.44231434732</v>
      </c>
      <c r="J48" s="172">
        <v>529386.48103112204</v>
      </c>
      <c r="K48" s="172">
        <v>14796.8995246092</v>
      </c>
      <c r="L48" s="172">
        <v>-371970.82686371001</v>
      </c>
    </row>
    <row r="49" spans="2:12" hidden="1" x14ac:dyDescent="0.3">
      <c r="B49" s="172" t="s">
        <v>181</v>
      </c>
      <c r="C49" s="172" t="s">
        <v>80</v>
      </c>
      <c r="D49" s="172" t="s">
        <v>245</v>
      </c>
      <c r="E49" s="172"/>
      <c r="F49" s="172" t="s">
        <v>242</v>
      </c>
      <c r="G49" s="172">
        <v>-5.3811163525097104E-7</v>
      </c>
      <c r="H49" s="172">
        <v>-64915.889076144798</v>
      </c>
      <c r="I49" s="172">
        <v>-2582.4423143304198</v>
      </c>
      <c r="J49" s="172">
        <v>529386.48103161401</v>
      </c>
      <c r="K49" s="172">
        <v>23835.447624792199</v>
      </c>
      <c r="L49" s="172">
        <v>-599176.43863017403</v>
      </c>
    </row>
    <row r="50" spans="2:12" hidden="1" x14ac:dyDescent="0.3">
      <c r="B50" s="172" t="s">
        <v>181</v>
      </c>
      <c r="C50" s="172" t="s">
        <v>81</v>
      </c>
      <c r="D50" s="172" t="s">
        <v>245</v>
      </c>
      <c r="E50" s="172"/>
      <c r="F50" s="172" t="s">
        <v>72</v>
      </c>
      <c r="G50" s="172">
        <v>1.06078939410281E-6</v>
      </c>
      <c r="H50" s="172">
        <v>-3129.7007920431101</v>
      </c>
      <c r="I50" s="172">
        <v>-63613.610105319603</v>
      </c>
      <c r="J50" s="172">
        <v>-687206.42963232205</v>
      </c>
      <c r="K50" s="172">
        <v>360072.76745646301</v>
      </c>
      <c r="L50" s="172">
        <v>-18238.1748025866</v>
      </c>
    </row>
    <row r="51" spans="2:12" hidden="1" x14ac:dyDescent="0.3">
      <c r="B51" s="172" t="s">
        <v>181</v>
      </c>
      <c r="C51" s="172" t="s">
        <v>81</v>
      </c>
      <c r="D51" s="172" t="s">
        <v>245</v>
      </c>
      <c r="E51" s="172"/>
      <c r="F51" s="172" t="s">
        <v>242</v>
      </c>
      <c r="G51" s="172">
        <v>1.05954018181365E-6</v>
      </c>
      <c r="H51" s="172">
        <v>-3129.7007920279302</v>
      </c>
      <c r="I51" s="172">
        <v>-63613.610105320498</v>
      </c>
      <c r="J51" s="172">
        <v>-687206.42963255104</v>
      </c>
      <c r="K51" s="172">
        <v>582720.40282507497</v>
      </c>
      <c r="L51" s="172">
        <v>-29192.127574705301</v>
      </c>
    </row>
    <row r="52" spans="2:12" hidden="1" x14ac:dyDescent="0.3">
      <c r="B52" s="172" t="s">
        <v>181</v>
      </c>
      <c r="C52" s="172" t="s">
        <v>82</v>
      </c>
      <c r="D52" s="172" t="s">
        <v>245</v>
      </c>
      <c r="E52" s="172"/>
      <c r="F52" s="172" t="s">
        <v>72</v>
      </c>
      <c r="G52" s="172">
        <v>9.0292753895937505E-7</v>
      </c>
      <c r="H52" s="172">
        <v>-3129.7007904912798</v>
      </c>
      <c r="I52" s="172">
        <v>-63613.610099901402</v>
      </c>
      <c r="J52" s="172">
        <v>-572049.65702415002</v>
      </c>
      <c r="K52" s="172">
        <v>360072.76742137398</v>
      </c>
      <c r="L52" s="172">
        <v>-18238.174791209902</v>
      </c>
    </row>
    <row r="53" spans="2:12" hidden="1" x14ac:dyDescent="0.3">
      <c r="B53" s="172" t="s">
        <v>181</v>
      </c>
      <c r="C53" s="172" t="s">
        <v>82</v>
      </c>
      <c r="D53" s="172" t="s">
        <v>245</v>
      </c>
      <c r="E53" s="172"/>
      <c r="F53" s="172" t="s">
        <v>242</v>
      </c>
      <c r="G53" s="172">
        <v>9.0097569227509698E-7</v>
      </c>
      <c r="H53" s="172">
        <v>-3129.7007904767902</v>
      </c>
      <c r="I53" s="172">
        <v>-63613.610099899801</v>
      </c>
      <c r="J53" s="172">
        <v>-572049.65702431905</v>
      </c>
      <c r="K53" s="172">
        <v>582720.40277101402</v>
      </c>
      <c r="L53" s="172">
        <v>-29192.127557884</v>
      </c>
    </row>
    <row r="54" spans="2:12" hidden="1" x14ac:dyDescent="0.3">
      <c r="B54" s="172" t="s">
        <v>181</v>
      </c>
      <c r="C54" s="172" t="s">
        <v>246</v>
      </c>
      <c r="D54" s="172" t="s">
        <v>245</v>
      </c>
      <c r="E54" s="172"/>
      <c r="F54" s="172" t="s">
        <v>72</v>
      </c>
      <c r="G54" s="172">
        <v>1662733.47044254</v>
      </c>
      <c r="H54" s="172">
        <v>-3.0488133123896001E-5</v>
      </c>
      <c r="I54" s="172">
        <v>-8.2611603602344996E-7</v>
      </c>
      <c r="J54" s="172">
        <v>2.8241718786148302E-4</v>
      </c>
      <c r="K54" s="172">
        <v>15754033.705612199</v>
      </c>
      <c r="L54" s="172">
        <v>-16340350.3860745</v>
      </c>
    </row>
    <row r="55" spans="2:12" x14ac:dyDescent="0.3">
      <c r="B55" s="172" t="s">
        <v>181</v>
      </c>
      <c r="C55" s="172" t="s">
        <v>246</v>
      </c>
      <c r="D55" s="172" t="s">
        <v>245</v>
      </c>
      <c r="E55" s="172"/>
      <c r="F55" s="172" t="s">
        <v>242</v>
      </c>
      <c r="G55" s="172">
        <v>1733953.85559035</v>
      </c>
      <c r="H55" s="172">
        <v>-3.0485932086321598E-5</v>
      </c>
      <c r="I55" s="172">
        <v>-8.2625797404034497E-7</v>
      </c>
      <c r="J55" s="172">
        <v>2.8238846925887601E-4</v>
      </c>
      <c r="K55" s="172">
        <v>16429768.136965901</v>
      </c>
      <c r="L55" s="172">
        <v>-17210361.409413401</v>
      </c>
    </row>
    <row r="56" spans="2:12" hidden="1" x14ac:dyDescent="0.3">
      <c r="B56" s="172" t="s">
        <v>179</v>
      </c>
      <c r="C56" s="172" t="s">
        <v>79</v>
      </c>
      <c r="D56" s="172" t="s">
        <v>245</v>
      </c>
      <c r="E56" s="172"/>
      <c r="F56" s="172" t="s">
        <v>72</v>
      </c>
      <c r="G56" s="172">
        <v>-8.5519423009827701E-7</v>
      </c>
      <c r="H56" s="172">
        <v>-76267.257536481804</v>
      </c>
      <c r="I56" s="172">
        <v>-3040.0047896685201</v>
      </c>
      <c r="J56" s="172">
        <v>759852.46954941005</v>
      </c>
      <c r="K56" s="172">
        <v>23835.4475687546</v>
      </c>
      <c r="L56" s="172">
        <v>-599176.43861046305</v>
      </c>
    </row>
    <row r="57" spans="2:12" hidden="1" x14ac:dyDescent="0.3">
      <c r="B57" s="172" t="s">
        <v>179</v>
      </c>
      <c r="C57" s="172" t="s">
        <v>79</v>
      </c>
      <c r="D57" s="172" t="s">
        <v>245</v>
      </c>
      <c r="E57" s="172"/>
      <c r="F57" s="172" t="s">
        <v>242</v>
      </c>
      <c r="G57" s="172">
        <v>-8.56361111800652E-7</v>
      </c>
      <c r="H57" s="172">
        <v>-76267.257536465899</v>
      </c>
      <c r="I57" s="172">
        <v>-3040.0047896610899</v>
      </c>
      <c r="J57" s="172">
        <v>759852.46954937</v>
      </c>
      <c r="K57" s="172">
        <v>34475.464332572497</v>
      </c>
      <c r="L57" s="172">
        <v>-866111.83998811594</v>
      </c>
    </row>
    <row r="58" spans="2:12" hidden="1" x14ac:dyDescent="0.3">
      <c r="B58" s="172" t="s">
        <v>179</v>
      </c>
      <c r="C58" s="172" t="s">
        <v>80</v>
      </c>
      <c r="D58" s="172" t="s">
        <v>245</v>
      </c>
      <c r="E58" s="172"/>
      <c r="F58" s="172" t="s">
        <v>72</v>
      </c>
      <c r="G58" s="172">
        <v>-6.7201972342445505E-7</v>
      </c>
      <c r="H58" s="172">
        <v>-76267.257538206104</v>
      </c>
      <c r="I58" s="172">
        <v>-3040.0047936267601</v>
      </c>
      <c r="J58" s="172">
        <v>622320.32636060799</v>
      </c>
      <c r="K58" s="172">
        <v>23835.4476234871</v>
      </c>
      <c r="L58" s="172">
        <v>-599176.43862786202</v>
      </c>
    </row>
    <row r="59" spans="2:12" hidden="1" x14ac:dyDescent="0.3">
      <c r="B59" s="172" t="s">
        <v>179</v>
      </c>
      <c r="C59" s="172" t="s">
        <v>80</v>
      </c>
      <c r="D59" s="172" t="s">
        <v>245</v>
      </c>
      <c r="E59" s="172"/>
      <c r="F59" s="172" t="s">
        <v>242</v>
      </c>
      <c r="G59" s="172">
        <v>-6.7323344410397102E-7</v>
      </c>
      <c r="H59" s="172">
        <v>-76267.257538190403</v>
      </c>
      <c r="I59" s="172">
        <v>-3040.00479361824</v>
      </c>
      <c r="J59" s="172">
        <v>622320.32636058505</v>
      </c>
      <c r="K59" s="172">
        <v>34475.464401157296</v>
      </c>
      <c r="L59" s="172">
        <v>-866111.84001154697</v>
      </c>
    </row>
    <row r="60" spans="2:12" hidden="1" x14ac:dyDescent="0.3">
      <c r="B60" s="172" t="s">
        <v>179</v>
      </c>
      <c r="C60" s="172" t="s">
        <v>81</v>
      </c>
      <c r="D60" s="172" t="s">
        <v>245</v>
      </c>
      <c r="E60" s="172"/>
      <c r="F60" s="172" t="s">
        <v>72</v>
      </c>
      <c r="G60" s="172">
        <v>1.0628338458218399E-6</v>
      </c>
      <c r="H60" s="172">
        <v>-3686.9409686949698</v>
      </c>
      <c r="I60" s="172">
        <v>-74938.886408504506</v>
      </c>
      <c r="J60" s="172">
        <v>-808178.035221481</v>
      </c>
      <c r="K60" s="172">
        <v>582720.40282467904</v>
      </c>
      <c r="L60" s="172">
        <v>-29192.127574955401</v>
      </c>
    </row>
    <row r="61" spans="2:12" hidden="1" x14ac:dyDescent="0.3">
      <c r="B61" s="172" t="s">
        <v>179</v>
      </c>
      <c r="C61" s="172" t="s">
        <v>81</v>
      </c>
      <c r="D61" s="172" t="s">
        <v>245</v>
      </c>
      <c r="E61" s="172"/>
      <c r="F61" s="172" t="s">
        <v>242</v>
      </c>
      <c r="G61" s="172">
        <v>1.06159791357641E-6</v>
      </c>
      <c r="H61" s="172">
        <v>-3686.9409686879198</v>
      </c>
      <c r="I61" s="172">
        <v>-74938.886408489794</v>
      </c>
      <c r="J61" s="172">
        <v>-808178.03522133699</v>
      </c>
      <c r="K61" s="172">
        <v>845006.50525441999</v>
      </c>
      <c r="L61" s="172">
        <v>-42096.420965359597</v>
      </c>
    </row>
    <row r="62" spans="2:12" hidden="1" x14ac:dyDescent="0.3">
      <c r="B62" s="172" t="s">
        <v>179</v>
      </c>
      <c r="C62" s="172" t="s">
        <v>82</v>
      </c>
      <c r="D62" s="172" t="s">
        <v>245</v>
      </c>
      <c r="E62" s="172"/>
      <c r="F62" s="172" t="s">
        <v>72</v>
      </c>
      <c r="G62" s="172">
        <v>8.8155179867044396E-7</v>
      </c>
      <c r="H62" s="172">
        <v>-3686.9409669883398</v>
      </c>
      <c r="I62" s="172">
        <v>-74938.886404587494</v>
      </c>
      <c r="J62" s="172">
        <v>-672278.86209270696</v>
      </c>
      <c r="K62" s="172">
        <v>582720.40277048305</v>
      </c>
      <c r="L62" s="172">
        <v>-29192.1275577286</v>
      </c>
    </row>
    <row r="63" spans="2:12" hidden="1" x14ac:dyDescent="0.3">
      <c r="B63" s="172" t="s">
        <v>179</v>
      </c>
      <c r="C63" s="172" t="s">
        <v>82</v>
      </c>
      <c r="D63" s="172" t="s">
        <v>245</v>
      </c>
      <c r="E63" s="172"/>
      <c r="F63" s="172" t="s">
        <v>242</v>
      </c>
      <c r="G63" s="172">
        <v>8.7932528458623004E-7</v>
      </c>
      <c r="H63" s="172">
        <v>-3686.9409669807001</v>
      </c>
      <c r="I63" s="172">
        <v>-74938.886404574907</v>
      </c>
      <c r="J63" s="172">
        <v>-672278.86209259497</v>
      </c>
      <c r="K63" s="172">
        <v>845006.50518650503</v>
      </c>
      <c r="L63" s="172">
        <v>-42096.420942140299</v>
      </c>
    </row>
    <row r="64" spans="2:12" hidden="1" x14ac:dyDescent="0.3">
      <c r="B64" s="172" t="s">
        <v>179</v>
      </c>
      <c r="C64" s="172" t="s">
        <v>246</v>
      </c>
      <c r="D64" s="172" t="s">
        <v>245</v>
      </c>
      <c r="E64" s="172"/>
      <c r="F64" s="172" t="s">
        <v>72</v>
      </c>
      <c r="G64" s="172">
        <v>2089942.63434013</v>
      </c>
      <c r="H64" s="172">
        <v>-3.5696381601724197E-5</v>
      </c>
      <c r="I64" s="172">
        <v>-6.4066972527143704E-7</v>
      </c>
      <c r="J64" s="172">
        <v>3.36215343281765E-4</v>
      </c>
      <c r="K64" s="172">
        <v>19807803.699855201</v>
      </c>
      <c r="L64" s="172">
        <v>-20550423.832216699</v>
      </c>
    </row>
    <row r="65" spans="2:12" x14ac:dyDescent="0.3">
      <c r="B65" s="172" t="s">
        <v>179</v>
      </c>
      <c r="C65" s="172" t="s">
        <v>246</v>
      </c>
      <c r="D65" s="172" t="s">
        <v>245</v>
      </c>
      <c r="E65" s="172"/>
      <c r="F65" s="172" t="s">
        <v>242</v>
      </c>
      <c r="G65" s="172">
        <v>2161163.0194879398</v>
      </c>
      <c r="H65" s="172">
        <v>-3.5696538475349398E-5</v>
      </c>
      <c r="I65" s="172">
        <v>-6.3949823925213401E-7</v>
      </c>
      <c r="J65" s="172">
        <v>3.3623577155594798E-4</v>
      </c>
      <c r="K65" s="172">
        <v>20483538.1312082</v>
      </c>
      <c r="L65" s="172">
        <v>-21420434.855573799</v>
      </c>
    </row>
    <row r="66" spans="2:12" hidden="1" x14ac:dyDescent="0.3">
      <c r="B66" s="172" t="s">
        <v>39</v>
      </c>
      <c r="C66" s="172" t="s">
        <v>79</v>
      </c>
      <c r="D66" s="172" t="s">
        <v>245</v>
      </c>
      <c r="E66" s="172"/>
      <c r="F66" s="172" t="s">
        <v>72</v>
      </c>
      <c r="G66" s="172">
        <v>-1.0215408110525499E-6</v>
      </c>
      <c r="H66" s="172">
        <v>-86128.022062091302</v>
      </c>
      <c r="I66" s="172">
        <v>-3435.9491487279502</v>
      </c>
      <c r="J66" s="172">
        <v>858570.19111376198</v>
      </c>
      <c r="K66" s="172">
        <v>34475.464331413597</v>
      </c>
      <c r="L66" s="172">
        <v>-866111.83998525504</v>
      </c>
    </row>
    <row r="67" spans="2:12" hidden="1" x14ac:dyDescent="0.3">
      <c r="B67" s="172" t="s">
        <v>39</v>
      </c>
      <c r="C67" s="172" t="s">
        <v>79</v>
      </c>
      <c r="D67" s="172" t="s">
        <v>245</v>
      </c>
      <c r="E67" s="172"/>
      <c r="F67" s="172" t="s">
        <v>242</v>
      </c>
      <c r="G67" s="172">
        <v>-1.01886507763993E-6</v>
      </c>
      <c r="H67" s="172">
        <v>-86128.022062084405</v>
      </c>
      <c r="I67" s="172">
        <v>-3435.9491487227201</v>
      </c>
      <c r="J67" s="172">
        <v>858570.19111379504</v>
      </c>
      <c r="K67" s="172">
        <v>46501.286351978197</v>
      </c>
      <c r="L67" s="172">
        <v>-1167559.9172026</v>
      </c>
    </row>
    <row r="68" spans="2:12" hidden="1" x14ac:dyDescent="0.3">
      <c r="B68" s="172" t="s">
        <v>39</v>
      </c>
      <c r="C68" s="172" t="s">
        <v>80</v>
      </c>
      <c r="D68" s="172" t="s">
        <v>245</v>
      </c>
      <c r="E68" s="172"/>
      <c r="F68" s="172" t="s">
        <v>72</v>
      </c>
      <c r="G68" s="172">
        <v>-8.1983853306155705E-7</v>
      </c>
      <c r="H68" s="172">
        <v>-86128.022064018995</v>
      </c>
      <c r="I68" s="172">
        <v>-3435.94915376686</v>
      </c>
      <c r="J68" s="172">
        <v>703064.788140408</v>
      </c>
      <c r="K68" s="172">
        <v>34475.464400102202</v>
      </c>
      <c r="L68" s="172">
        <v>-866111.84000901901</v>
      </c>
    </row>
    <row r="69" spans="2:12" hidden="1" x14ac:dyDescent="0.3">
      <c r="B69" s="172" t="s">
        <v>39</v>
      </c>
      <c r="C69" s="172" t="s">
        <v>80</v>
      </c>
      <c r="D69" s="172" t="s">
        <v>245</v>
      </c>
      <c r="E69" s="172"/>
      <c r="F69" s="172" t="s">
        <v>242</v>
      </c>
      <c r="G69" s="172">
        <v>-8.1723192124627499E-7</v>
      </c>
      <c r="H69" s="172">
        <v>-86128.022064012999</v>
      </c>
      <c r="I69" s="172">
        <v>-3435.9491537613299</v>
      </c>
      <c r="J69" s="172">
        <v>703064.78814044897</v>
      </c>
      <c r="K69" s="172">
        <v>46501.286438300303</v>
      </c>
      <c r="L69" s="172">
        <v>-1167559.9172331099</v>
      </c>
    </row>
    <row r="70" spans="2:12" hidden="1" x14ac:dyDescent="0.3">
      <c r="B70" s="172" t="s">
        <v>39</v>
      </c>
      <c r="C70" s="172" t="s">
        <v>81</v>
      </c>
      <c r="D70" s="172" t="s">
        <v>245</v>
      </c>
      <c r="E70" s="172"/>
      <c r="F70" s="172" t="s">
        <v>72</v>
      </c>
      <c r="G70" s="172">
        <v>1.2407857354901399E-6</v>
      </c>
      <c r="H70" s="172">
        <v>-4169.4634355524604</v>
      </c>
      <c r="I70" s="172">
        <v>-84803.021611393197</v>
      </c>
      <c r="J70" s="172">
        <v>-913571.92623906001</v>
      </c>
      <c r="K70" s="172">
        <v>845006.50525534898</v>
      </c>
      <c r="L70" s="172">
        <v>-42096.420968595099</v>
      </c>
    </row>
    <row r="71" spans="2:12" hidden="1" x14ac:dyDescent="0.3">
      <c r="B71" s="172" t="s">
        <v>39</v>
      </c>
      <c r="C71" s="172" t="s">
        <v>81</v>
      </c>
      <c r="D71" s="172" t="s">
        <v>245</v>
      </c>
      <c r="E71" s="172"/>
      <c r="F71" s="172" t="s">
        <v>242</v>
      </c>
      <c r="G71" s="172">
        <v>1.24138614410185E-6</v>
      </c>
      <c r="H71" s="172">
        <v>-4169.4634355472399</v>
      </c>
      <c r="I71" s="172">
        <v>-84803.021611377306</v>
      </c>
      <c r="J71" s="172">
        <v>-913571.92623887898</v>
      </c>
      <c r="K71" s="172">
        <v>1141817.0808951999</v>
      </c>
      <c r="L71" s="172">
        <v>-56689.542993031901</v>
      </c>
    </row>
    <row r="72" spans="2:12" hidden="1" x14ac:dyDescent="0.3">
      <c r="B72" s="172" t="s">
        <v>39</v>
      </c>
      <c r="C72" s="172" t="s">
        <v>82</v>
      </c>
      <c r="D72" s="172" t="s">
        <v>245</v>
      </c>
      <c r="E72" s="172"/>
      <c r="F72" s="172" t="s">
        <v>72</v>
      </c>
      <c r="G72" s="172">
        <v>1.03995935774037E-6</v>
      </c>
      <c r="H72" s="172">
        <v>-4169.4634336404497</v>
      </c>
      <c r="I72" s="172">
        <v>-84803.021606402006</v>
      </c>
      <c r="J72" s="172">
        <v>-759601.08554587199</v>
      </c>
      <c r="K72" s="172">
        <v>845006.50518733298</v>
      </c>
      <c r="L72" s="172">
        <v>-42096.420945042199</v>
      </c>
    </row>
    <row r="73" spans="2:12" hidden="1" x14ac:dyDescent="0.3">
      <c r="B73" s="172" t="s">
        <v>39</v>
      </c>
      <c r="C73" s="172" t="s">
        <v>82</v>
      </c>
      <c r="D73" s="172" t="s">
        <v>245</v>
      </c>
      <c r="E73" s="172"/>
      <c r="F73" s="172" t="s">
        <v>242</v>
      </c>
      <c r="G73" s="172">
        <v>1.0409098649688499E-6</v>
      </c>
      <c r="H73" s="172">
        <v>-4169.4634336362196</v>
      </c>
      <c r="I73" s="172">
        <v>-84803.021606387294</v>
      </c>
      <c r="J73" s="172">
        <v>-759601.08554569795</v>
      </c>
      <c r="K73" s="172">
        <v>1141817.0808097201</v>
      </c>
      <c r="L73" s="172">
        <v>-56689.542962799103</v>
      </c>
    </row>
    <row r="74" spans="2:12" hidden="1" x14ac:dyDescent="0.3">
      <c r="B74" s="172" t="s">
        <v>39</v>
      </c>
      <c r="C74" s="172" t="s">
        <v>246</v>
      </c>
      <c r="D74" s="172" t="s">
        <v>245</v>
      </c>
      <c r="E74" s="172"/>
      <c r="F74" s="172" t="s">
        <v>72</v>
      </c>
      <c r="G74" s="172">
        <v>2517151.7982375701</v>
      </c>
      <c r="H74" s="172">
        <v>-3.6974003698730899E-5</v>
      </c>
      <c r="I74" s="172">
        <v>-1.1094095953012601E-6</v>
      </c>
      <c r="J74" s="172">
        <v>3.4119781537356202E-4</v>
      </c>
      <c r="K74" s="172">
        <v>23861573.694097999</v>
      </c>
      <c r="L74" s="172">
        <v>-24760497.278374199</v>
      </c>
    </row>
    <row r="75" spans="2:12" x14ac:dyDescent="0.3">
      <c r="B75" s="172" t="s">
        <v>39</v>
      </c>
      <c r="C75" s="172" t="s">
        <v>246</v>
      </c>
      <c r="D75" s="172" t="s">
        <v>245</v>
      </c>
      <c r="E75" s="172"/>
      <c r="F75" s="172" t="s">
        <v>242</v>
      </c>
      <c r="G75" s="172">
        <v>2588372.1833853698</v>
      </c>
      <c r="H75" s="172">
        <v>-3.6975024272578601E-5</v>
      </c>
      <c r="I75" s="172">
        <v>-1.10963901533978E-6</v>
      </c>
      <c r="J75" s="172">
        <v>3.4120046530006199E-4</v>
      </c>
      <c r="K75" s="172">
        <v>24537308.125452701</v>
      </c>
      <c r="L75" s="172">
        <v>-25630508.3017358</v>
      </c>
    </row>
    <row r="76" spans="2:12" hidden="1" x14ac:dyDescent="0.3">
      <c r="B76" s="172" t="s">
        <v>26</v>
      </c>
      <c r="C76" s="172" t="s">
        <v>79</v>
      </c>
      <c r="D76" s="172" t="s">
        <v>245</v>
      </c>
      <c r="E76" s="172"/>
      <c r="F76" s="172" t="s">
        <v>72</v>
      </c>
      <c r="G76" s="172">
        <v>-1.0656585800461501E-6</v>
      </c>
      <c r="H76" s="172">
        <v>-94668.380404758296</v>
      </c>
      <c r="I76" s="172">
        <v>-3775.6504344499499</v>
      </c>
      <c r="J76" s="172">
        <v>944105.209245809</v>
      </c>
      <c r="K76" s="172">
        <v>46501.286351712602</v>
      </c>
      <c r="L76" s="172">
        <v>-1167559.91720194</v>
      </c>
    </row>
    <row r="77" spans="2:12" hidden="1" x14ac:dyDescent="0.3">
      <c r="B77" s="172" t="s">
        <v>26</v>
      </c>
      <c r="C77" s="172" t="s">
        <v>79</v>
      </c>
      <c r="D77" s="172" t="s">
        <v>245</v>
      </c>
      <c r="E77" s="172"/>
      <c r="F77" s="172" t="s">
        <v>242</v>
      </c>
      <c r="G77" s="172">
        <v>-1.0657222446752699E-6</v>
      </c>
      <c r="H77" s="172">
        <v>-94668.380404752097</v>
      </c>
      <c r="I77" s="172">
        <v>-3775.65043443887</v>
      </c>
      <c r="J77" s="172">
        <v>944105.20924591902</v>
      </c>
      <c r="K77" s="172">
        <v>59716.062872270501</v>
      </c>
      <c r="L77" s="172">
        <v>-1498899.2486185899</v>
      </c>
    </row>
    <row r="78" spans="2:12" hidden="1" x14ac:dyDescent="0.3">
      <c r="B78" s="172" t="s">
        <v>26</v>
      </c>
      <c r="C78" s="172" t="s">
        <v>80</v>
      </c>
      <c r="D78" s="172" t="s">
        <v>245</v>
      </c>
      <c r="E78" s="172"/>
      <c r="F78" s="172" t="s">
        <v>72</v>
      </c>
      <c r="G78" s="172">
        <v>-8.5951069195289197E-7</v>
      </c>
      <c r="H78" s="172">
        <v>-94668.380406789904</v>
      </c>
      <c r="I78" s="172">
        <v>-3775.6504400743602</v>
      </c>
      <c r="J78" s="172">
        <v>773027.05025275506</v>
      </c>
      <c r="K78" s="172">
        <v>46501.286438076102</v>
      </c>
      <c r="L78" s="172">
        <v>-1167559.91723253</v>
      </c>
    </row>
    <row r="79" spans="2:12" hidden="1" x14ac:dyDescent="0.3">
      <c r="B79" s="172" t="s">
        <v>26</v>
      </c>
      <c r="C79" s="172" t="s">
        <v>80</v>
      </c>
      <c r="D79" s="172" t="s">
        <v>245</v>
      </c>
      <c r="E79" s="172"/>
      <c r="F79" s="172" t="s">
        <v>242</v>
      </c>
      <c r="G79" s="172">
        <v>-8.5964438767405195E-7</v>
      </c>
      <c r="H79" s="172">
        <v>-94668.3804067819</v>
      </c>
      <c r="I79" s="172">
        <v>-3775.6504400632398</v>
      </c>
      <c r="J79" s="172">
        <v>773027.05025284598</v>
      </c>
      <c r="K79" s="172">
        <v>59716.062978319802</v>
      </c>
      <c r="L79" s="172">
        <v>-1498899.2486562701</v>
      </c>
    </row>
    <row r="80" spans="2:12" hidden="1" x14ac:dyDescent="0.3">
      <c r="B80" s="172" t="s">
        <v>26</v>
      </c>
      <c r="C80" s="172" t="s">
        <v>81</v>
      </c>
      <c r="D80" s="172" t="s">
        <v>245</v>
      </c>
      <c r="E80" s="172"/>
      <c r="F80" s="172" t="s">
        <v>72</v>
      </c>
      <c r="G80" s="172">
        <v>1.3116693082793101E-6</v>
      </c>
      <c r="H80" s="172">
        <v>-4581.5419431036398</v>
      </c>
      <c r="I80" s="172">
        <v>-93387.361794683893</v>
      </c>
      <c r="J80" s="172">
        <v>-1005373.79394141</v>
      </c>
      <c r="K80" s="172">
        <v>1141817.0808957799</v>
      </c>
      <c r="L80" s="172">
        <v>-56689.542994264099</v>
      </c>
    </row>
    <row r="81" spans="2:12" hidden="1" x14ac:dyDescent="0.3">
      <c r="B81" s="172" t="s">
        <v>26</v>
      </c>
      <c r="C81" s="172" t="s">
        <v>81</v>
      </c>
      <c r="D81" s="172" t="s">
        <v>245</v>
      </c>
      <c r="E81" s="172"/>
      <c r="F81" s="172" t="s">
        <v>242</v>
      </c>
      <c r="G81" s="172">
        <v>1.30581202029134E-6</v>
      </c>
      <c r="H81" s="172">
        <v>-4581.54194309386</v>
      </c>
      <c r="I81" s="172">
        <v>-93387.361794674303</v>
      </c>
      <c r="J81" s="172">
        <v>-1005373.79394138</v>
      </c>
      <c r="K81" s="172">
        <v>1468672.8471771099</v>
      </c>
      <c r="L81" s="172">
        <v>-72724.939795021201</v>
      </c>
    </row>
    <row r="82" spans="2:12" hidden="1" x14ac:dyDescent="0.3">
      <c r="B82" s="172" t="s">
        <v>26</v>
      </c>
      <c r="C82" s="172" t="s">
        <v>82</v>
      </c>
      <c r="D82" s="172" t="s">
        <v>245</v>
      </c>
      <c r="E82" s="172"/>
      <c r="F82" s="172" t="s">
        <v>72</v>
      </c>
      <c r="G82" s="172">
        <v>1.10648386453249E-6</v>
      </c>
      <c r="H82" s="172">
        <v>-4581.5419410937502</v>
      </c>
      <c r="I82" s="172">
        <v>-93387.361789110204</v>
      </c>
      <c r="J82" s="172">
        <v>-835661.04756954999</v>
      </c>
      <c r="K82" s="172">
        <v>1141817.08081026</v>
      </c>
      <c r="L82" s="172">
        <v>-56689.542963950698</v>
      </c>
    </row>
    <row r="83" spans="2:12" hidden="1" x14ac:dyDescent="0.3">
      <c r="B83" s="172" t="s">
        <v>26</v>
      </c>
      <c r="C83" s="172" t="s">
        <v>82</v>
      </c>
      <c r="D83" s="172" t="s">
        <v>245</v>
      </c>
      <c r="E83" s="172"/>
      <c r="F83" s="172" t="s">
        <v>242</v>
      </c>
      <c r="G83" s="172">
        <v>1.10162818600656E-6</v>
      </c>
      <c r="H83" s="172">
        <v>-4581.5419410840504</v>
      </c>
      <c r="I83" s="172">
        <v>-93387.361789101895</v>
      </c>
      <c r="J83" s="172">
        <v>-835661.047569533</v>
      </c>
      <c r="K83" s="172">
        <v>1468672.84707209</v>
      </c>
      <c r="L83" s="172">
        <v>-72724.939757691303</v>
      </c>
    </row>
    <row r="84" spans="2:12" hidden="1" x14ac:dyDescent="0.3">
      <c r="B84" s="172" t="s">
        <v>26</v>
      </c>
      <c r="C84" s="172" t="s">
        <v>246</v>
      </c>
      <c r="D84" s="172" t="s">
        <v>245</v>
      </c>
      <c r="E84" s="172"/>
      <c r="F84" s="172" t="s">
        <v>72</v>
      </c>
      <c r="G84" s="172">
        <v>2944360.9621358099</v>
      </c>
      <c r="H84" s="172">
        <v>-3.9568885327412297E-5</v>
      </c>
      <c r="I84" s="172">
        <v>-1.3285958857522901E-6</v>
      </c>
      <c r="J84" s="172">
        <v>3.6258474358419302E-4</v>
      </c>
      <c r="K84" s="172">
        <v>27915343.688349102</v>
      </c>
      <c r="L84" s="172">
        <v>-28970570.724551</v>
      </c>
    </row>
    <row r="85" spans="2:12" x14ac:dyDescent="0.3">
      <c r="B85" s="172" t="s">
        <v>26</v>
      </c>
      <c r="C85" s="172" t="s">
        <v>246</v>
      </c>
      <c r="D85" s="172" t="s">
        <v>245</v>
      </c>
      <c r="E85" s="172"/>
      <c r="F85" s="172" t="s">
        <v>242</v>
      </c>
      <c r="G85" s="172">
        <v>3015581.3472836101</v>
      </c>
      <c r="H85" s="172">
        <v>-3.9568460181271803E-5</v>
      </c>
      <c r="I85" s="172">
        <v>-1.32701245547651E-6</v>
      </c>
      <c r="J85" s="172">
        <v>3.6260339720683998E-4</v>
      </c>
      <c r="K85" s="172">
        <v>28591078.1197045</v>
      </c>
      <c r="L85" s="172">
        <v>-29840581.747921601</v>
      </c>
    </row>
    <row r="86" spans="2:12" hidden="1" x14ac:dyDescent="0.3">
      <c r="B86" s="172" t="s">
        <v>25</v>
      </c>
      <c r="C86" s="172" t="s">
        <v>79</v>
      </c>
      <c r="D86" s="172" t="s">
        <v>245</v>
      </c>
      <c r="E86" s="172"/>
      <c r="F86" s="172" t="s">
        <v>72</v>
      </c>
      <c r="G86" s="172">
        <v>-1.0833373380592099E-6</v>
      </c>
      <c r="H86" s="172">
        <v>-101856.324693474</v>
      </c>
      <c r="I86" s="172">
        <v>-4055.0829347570202</v>
      </c>
      <c r="J86" s="172">
        <v>1016167.77105631</v>
      </c>
      <c r="K86" s="172">
        <v>59716.062871962997</v>
      </c>
      <c r="L86" s="172">
        <v>-1498899.2486185201</v>
      </c>
    </row>
    <row r="87" spans="2:12" hidden="1" x14ac:dyDescent="0.3">
      <c r="B87" s="172" t="s">
        <v>25</v>
      </c>
      <c r="C87" s="172" t="s">
        <v>79</v>
      </c>
      <c r="D87" s="172" t="s">
        <v>245</v>
      </c>
      <c r="E87" s="172"/>
      <c r="F87" s="172" t="s">
        <v>242</v>
      </c>
      <c r="G87" s="172">
        <v>-1.0853000276256399E-6</v>
      </c>
      <c r="H87" s="172">
        <v>-101856.32469348</v>
      </c>
      <c r="I87" s="172">
        <v>-4055.0829347532799</v>
      </c>
      <c r="J87" s="172">
        <v>1016167.7710564201</v>
      </c>
      <c r="K87" s="172">
        <v>73908.853143587505</v>
      </c>
      <c r="L87" s="172">
        <v>-1855396.38504566</v>
      </c>
    </row>
    <row r="88" spans="2:12" hidden="1" x14ac:dyDescent="0.3">
      <c r="B88" s="172" t="s">
        <v>25</v>
      </c>
      <c r="C88" s="172" t="s">
        <v>80</v>
      </c>
      <c r="D88" s="172" t="s">
        <v>245</v>
      </c>
      <c r="E88" s="172"/>
      <c r="F88" s="172" t="s">
        <v>72</v>
      </c>
      <c r="G88" s="172">
        <v>-8.5253122961148598E-7</v>
      </c>
      <c r="H88" s="172">
        <v>-101856.324695513</v>
      </c>
      <c r="I88" s="172">
        <v>-4055.0829410223901</v>
      </c>
      <c r="J88" s="172">
        <v>831970.42534203595</v>
      </c>
      <c r="K88" s="172">
        <v>59716.0629781998</v>
      </c>
      <c r="L88" s="172">
        <v>-1498899.2486566401</v>
      </c>
    </row>
    <row r="89" spans="2:12" hidden="1" x14ac:dyDescent="0.3">
      <c r="B89" s="172" t="s">
        <v>25</v>
      </c>
      <c r="C89" s="172" t="s">
        <v>80</v>
      </c>
      <c r="D89" s="172" t="s">
        <v>245</v>
      </c>
      <c r="E89" s="172"/>
      <c r="F89" s="172" t="s">
        <v>242</v>
      </c>
      <c r="G89" s="172">
        <v>-8.54781319503672E-7</v>
      </c>
      <c r="H89" s="172">
        <v>-101856.32469552</v>
      </c>
      <c r="I89" s="172">
        <v>-4055.0829410180399</v>
      </c>
      <c r="J89" s="172">
        <v>831970.42534215702</v>
      </c>
      <c r="K89" s="172">
        <v>73908.853271749103</v>
      </c>
      <c r="L89" s="172">
        <v>-1855396.3850909099</v>
      </c>
    </row>
    <row r="90" spans="2:12" hidden="1" x14ac:dyDescent="0.3">
      <c r="B90" s="172" t="s">
        <v>25</v>
      </c>
      <c r="C90" s="172" t="s">
        <v>81</v>
      </c>
      <c r="D90" s="172" t="s">
        <v>245</v>
      </c>
      <c r="E90" s="172"/>
      <c r="F90" s="172" t="s">
        <v>72</v>
      </c>
      <c r="G90" s="172">
        <v>1.2587788660312099E-6</v>
      </c>
      <c r="H90" s="172">
        <v>-4918.7248294391602</v>
      </c>
      <c r="I90" s="172">
        <v>-100634.97993991199</v>
      </c>
      <c r="J90" s="172">
        <v>-1082992.83627191</v>
      </c>
      <c r="K90" s="172">
        <v>1468672.84717678</v>
      </c>
      <c r="L90" s="172">
        <v>-72724.939794403705</v>
      </c>
    </row>
    <row r="91" spans="2:12" hidden="1" x14ac:dyDescent="0.3">
      <c r="B91" s="172" t="s">
        <v>25</v>
      </c>
      <c r="C91" s="172" t="s">
        <v>81</v>
      </c>
      <c r="D91" s="172" t="s">
        <v>245</v>
      </c>
      <c r="E91" s="172"/>
      <c r="F91" s="172" t="s">
        <v>242</v>
      </c>
      <c r="G91" s="172">
        <v>1.25441079035227E-6</v>
      </c>
      <c r="H91" s="172">
        <v>-4918.7248294354004</v>
      </c>
      <c r="I91" s="172">
        <v>-100634.979939902</v>
      </c>
      <c r="J91" s="172">
        <v>-1082992.8362717901</v>
      </c>
      <c r="K91" s="172">
        <v>1820895.27696642</v>
      </c>
      <c r="L91" s="172">
        <v>-89940.476697359103</v>
      </c>
    </row>
    <row r="92" spans="2:12" hidden="1" x14ac:dyDescent="0.3">
      <c r="B92" s="172" t="s">
        <v>25</v>
      </c>
      <c r="C92" s="172" t="s">
        <v>82</v>
      </c>
      <c r="D92" s="172" t="s">
        <v>245</v>
      </c>
      <c r="E92" s="172"/>
      <c r="F92" s="172" t="s">
        <v>72</v>
      </c>
      <c r="G92" s="172">
        <v>1.0290742125107499E-6</v>
      </c>
      <c r="H92" s="172">
        <v>-4918.7248274180101</v>
      </c>
      <c r="I92" s="172">
        <v>-100634.979933701</v>
      </c>
      <c r="J92" s="172">
        <v>-899969.072468005</v>
      </c>
      <c r="K92" s="172">
        <v>1468672.8470715701</v>
      </c>
      <c r="L92" s="172">
        <v>-72724.939756627296</v>
      </c>
    </row>
    <row r="93" spans="2:12" hidden="1" x14ac:dyDescent="0.3">
      <c r="B93" s="172" t="s">
        <v>25</v>
      </c>
      <c r="C93" s="172" t="s">
        <v>82</v>
      </c>
      <c r="D93" s="172" t="s">
        <v>245</v>
      </c>
      <c r="E93" s="172"/>
      <c r="F93" s="172" t="s">
        <v>242</v>
      </c>
      <c r="G93" s="172">
        <v>1.02583771877107E-6</v>
      </c>
      <c r="H93" s="172">
        <v>-4918.7248274146004</v>
      </c>
      <c r="I93" s="172">
        <v>-100634.979933692</v>
      </c>
      <c r="J93" s="172">
        <v>-899969.07246791304</v>
      </c>
      <c r="K93" s="172">
        <v>1820895.27683948</v>
      </c>
      <c r="L93" s="172">
        <v>-89940.476652529294</v>
      </c>
    </row>
    <row r="94" spans="2:12" hidden="1" x14ac:dyDescent="0.3">
      <c r="B94" s="172" t="s">
        <v>25</v>
      </c>
      <c r="C94" s="172" t="s">
        <v>246</v>
      </c>
      <c r="D94" s="172" t="s">
        <v>245</v>
      </c>
      <c r="E94" s="172"/>
      <c r="F94" s="172" t="s">
        <v>72</v>
      </c>
      <c r="G94" s="172">
        <v>3371570.1260342398</v>
      </c>
      <c r="H94" s="172">
        <v>-4.13712054481152E-5</v>
      </c>
      <c r="I94" s="172">
        <v>-1.68647517284626E-6</v>
      </c>
      <c r="J94" s="172">
        <v>3.7367358754636398E-4</v>
      </c>
      <c r="K94" s="172">
        <v>31969113.682600301</v>
      </c>
      <c r="L94" s="172">
        <v>-33180644.1707405</v>
      </c>
    </row>
    <row r="95" spans="2:12" x14ac:dyDescent="0.3">
      <c r="B95" s="172" t="s">
        <v>25</v>
      </c>
      <c r="C95" s="172" t="s">
        <v>246</v>
      </c>
      <c r="D95" s="172" t="s">
        <v>245</v>
      </c>
      <c r="E95" s="172"/>
      <c r="F95" s="172" t="s">
        <v>242</v>
      </c>
      <c r="G95" s="172">
        <v>3442790.51118204</v>
      </c>
      <c r="H95" s="172">
        <v>-4.1370311294031099E-5</v>
      </c>
      <c r="I95" s="172">
        <v>-1.6848981658768E-6</v>
      </c>
      <c r="J95" s="172">
        <v>3.7369116080299098E-4</v>
      </c>
      <c r="K95" s="172">
        <v>32644848.113956999</v>
      </c>
      <c r="L95" s="172">
        <v>-34050655.194117397</v>
      </c>
    </row>
    <row r="96" spans="2:12" hidden="1" x14ac:dyDescent="0.3">
      <c r="B96" s="172" t="s">
        <v>24</v>
      </c>
      <c r="C96" s="172" t="s">
        <v>79</v>
      </c>
      <c r="D96" s="172" t="s">
        <v>245</v>
      </c>
      <c r="E96" s="172"/>
      <c r="F96" s="172" t="s">
        <v>72</v>
      </c>
      <c r="G96" s="172">
        <v>-1.0890362318605199E-6</v>
      </c>
      <c r="H96" s="172">
        <v>-107351.23727398099</v>
      </c>
      <c r="I96" s="172">
        <v>-4257.61072489035</v>
      </c>
      <c r="J96" s="172">
        <v>1071381.0265693101</v>
      </c>
      <c r="K96" s="172">
        <v>73908.853143406595</v>
      </c>
      <c r="L96" s="172">
        <v>-1855396.3850457601</v>
      </c>
    </row>
    <row r="97" spans="2:12" hidden="1" x14ac:dyDescent="0.3">
      <c r="B97" s="172" t="s">
        <v>24</v>
      </c>
      <c r="C97" s="172" t="s">
        <v>79</v>
      </c>
      <c r="D97" s="172" t="s">
        <v>245</v>
      </c>
      <c r="E97" s="172"/>
      <c r="F97" s="172" t="s">
        <v>242</v>
      </c>
      <c r="G97" s="172">
        <v>-1.08872518467251E-6</v>
      </c>
      <c r="H97" s="172">
        <v>-107351.237273982</v>
      </c>
      <c r="I97" s="172">
        <v>-4257.6107248873004</v>
      </c>
      <c r="J97" s="172">
        <v>1071381.0265693699</v>
      </c>
      <c r="K97" s="172">
        <v>88810.490680519302</v>
      </c>
      <c r="L97" s="172">
        <v>-2231125.7155047101</v>
      </c>
    </row>
    <row r="98" spans="2:12" hidden="1" x14ac:dyDescent="0.3">
      <c r="B98" s="172" t="s">
        <v>24</v>
      </c>
      <c r="C98" s="172" t="s">
        <v>80</v>
      </c>
      <c r="D98" s="172" t="s">
        <v>245</v>
      </c>
      <c r="E98" s="172"/>
      <c r="F98" s="172" t="s">
        <v>72</v>
      </c>
      <c r="G98" s="172">
        <v>-8.8845354184741197E-7</v>
      </c>
      <c r="H98" s="172">
        <v>-107351.23727603399</v>
      </c>
      <c r="I98" s="172">
        <v>-4257.6107306291897</v>
      </c>
      <c r="J98" s="172">
        <v>877133.21290154301</v>
      </c>
      <c r="K98" s="172">
        <v>73908.853271329397</v>
      </c>
      <c r="L98" s="172">
        <v>-1855396.3850904501</v>
      </c>
    </row>
    <row r="99" spans="2:12" hidden="1" x14ac:dyDescent="0.3">
      <c r="B99" s="172" t="s">
        <v>24</v>
      </c>
      <c r="C99" s="172" t="s">
        <v>80</v>
      </c>
      <c r="D99" s="172" t="s">
        <v>245</v>
      </c>
      <c r="E99" s="172"/>
      <c r="F99" s="172" t="s">
        <v>242</v>
      </c>
      <c r="G99" s="172">
        <v>-8.8794422481441902E-7</v>
      </c>
      <c r="H99" s="172">
        <v>-107351.237276035</v>
      </c>
      <c r="I99" s="172">
        <v>-4257.6107306262802</v>
      </c>
      <c r="J99" s="172">
        <v>877133.21290159505</v>
      </c>
      <c r="K99" s="172">
        <v>88810.490828530499</v>
      </c>
      <c r="L99" s="172">
        <v>-2231125.7155565801</v>
      </c>
    </row>
    <row r="100" spans="2:12" hidden="1" x14ac:dyDescent="0.3">
      <c r="B100" s="172" t="s">
        <v>24</v>
      </c>
      <c r="C100" s="172" t="s">
        <v>81</v>
      </c>
      <c r="D100" s="172" t="s">
        <v>245</v>
      </c>
      <c r="E100" s="172"/>
      <c r="F100" s="172" t="s">
        <v>72</v>
      </c>
      <c r="G100" s="172">
        <v>9.8455046781964505E-7</v>
      </c>
      <c r="H100" s="172">
        <v>-5165.3943033177702</v>
      </c>
      <c r="I100" s="172">
        <v>-106211.024232757</v>
      </c>
      <c r="J100" s="172">
        <v>-1142843.3384863399</v>
      </c>
      <c r="K100" s="172">
        <v>1820895.27696426</v>
      </c>
      <c r="L100" s="172">
        <v>-89940.476692391094</v>
      </c>
    </row>
    <row r="101" spans="2:12" hidden="1" x14ac:dyDescent="0.3">
      <c r="B101" s="172" t="s">
        <v>24</v>
      </c>
      <c r="C101" s="172" t="s">
        <v>81</v>
      </c>
      <c r="D101" s="172" t="s">
        <v>245</v>
      </c>
      <c r="E101" s="172"/>
      <c r="F101" s="172" t="s">
        <v>242</v>
      </c>
      <c r="G101" s="172">
        <v>9.8530563263921109E-7</v>
      </c>
      <c r="H101" s="172">
        <v>-5165.3943033147198</v>
      </c>
      <c r="I101" s="172">
        <v>-106211.02423275499</v>
      </c>
      <c r="J101" s="172">
        <v>-1142843.3384863599</v>
      </c>
      <c r="K101" s="172">
        <v>2192633.8617789201</v>
      </c>
      <c r="L101" s="172">
        <v>-108019.35675401</v>
      </c>
    </row>
    <row r="102" spans="2:12" hidden="1" x14ac:dyDescent="0.3">
      <c r="B102" s="172" t="s">
        <v>24</v>
      </c>
      <c r="C102" s="172" t="s">
        <v>82</v>
      </c>
      <c r="D102" s="172" t="s">
        <v>245</v>
      </c>
      <c r="E102" s="172"/>
      <c r="F102" s="172" t="s">
        <v>72</v>
      </c>
      <c r="G102" s="172">
        <v>7.8585139817732905E-7</v>
      </c>
      <c r="H102" s="172">
        <v>-5165.3943012832797</v>
      </c>
      <c r="I102" s="172">
        <v>-106211.02422707</v>
      </c>
      <c r="J102" s="172">
        <v>-949554.36142717802</v>
      </c>
      <c r="K102" s="172">
        <v>1820895.2768375601</v>
      </c>
      <c r="L102" s="172">
        <v>-89940.476648127995</v>
      </c>
    </row>
    <row r="103" spans="2:12" hidden="1" x14ac:dyDescent="0.3">
      <c r="B103" s="172" t="s">
        <v>24</v>
      </c>
      <c r="C103" s="172" t="s">
        <v>82</v>
      </c>
      <c r="D103" s="172" t="s">
        <v>245</v>
      </c>
      <c r="E103" s="172"/>
      <c r="F103" s="172" t="s">
        <v>242</v>
      </c>
      <c r="G103" s="172">
        <v>7.8621883403684499E-7</v>
      </c>
      <c r="H103" s="172">
        <v>-5165.3943012808404</v>
      </c>
      <c r="I103" s="172">
        <v>-106211.02422706901</v>
      </c>
      <c r="J103" s="172">
        <v>-949554.36142719304</v>
      </c>
      <c r="K103" s="172">
        <v>2192633.8616323099</v>
      </c>
      <c r="L103" s="172">
        <v>-108019.35670262099</v>
      </c>
    </row>
    <row r="104" spans="2:12" hidden="1" x14ac:dyDescent="0.3">
      <c r="B104" s="172" t="s">
        <v>24</v>
      </c>
      <c r="C104" s="172" t="s">
        <v>246</v>
      </c>
      <c r="D104" s="172" t="s">
        <v>245</v>
      </c>
      <c r="E104" s="172"/>
      <c r="F104" s="172" t="s">
        <v>72</v>
      </c>
      <c r="G104" s="172">
        <v>3798779.2899323101</v>
      </c>
      <c r="H104" s="172">
        <v>-4.1858686813611698E-5</v>
      </c>
      <c r="I104" s="172">
        <v>-1.45268097639928E-6</v>
      </c>
      <c r="J104" s="172">
        <v>3.8291257237688098E-4</v>
      </c>
      <c r="K104" s="172">
        <v>36022883.676849499</v>
      </c>
      <c r="L104" s="172">
        <v>-37390717.616930097</v>
      </c>
    </row>
    <row r="105" spans="2:12" x14ac:dyDescent="0.3">
      <c r="B105" s="172" t="s">
        <v>24</v>
      </c>
      <c r="C105" s="172" t="s">
        <v>246</v>
      </c>
      <c r="D105" s="172" t="s">
        <v>245</v>
      </c>
      <c r="E105" s="172"/>
      <c r="F105" s="172" t="s">
        <v>242</v>
      </c>
      <c r="G105" s="172">
        <v>3869999.6750801099</v>
      </c>
      <c r="H105" s="172">
        <v>-4.18585520378656E-5</v>
      </c>
      <c r="I105" s="172">
        <v>-1.45242086091457E-6</v>
      </c>
      <c r="J105" s="172">
        <v>3.8291565397230399E-4</v>
      </c>
      <c r="K105" s="172">
        <v>36698618.108205304</v>
      </c>
      <c r="L105" s="172">
        <v>-38260728.640308797</v>
      </c>
    </row>
    <row r="106" spans="2:12" hidden="1" x14ac:dyDescent="0.3">
      <c r="B106" s="172" t="s">
        <v>22</v>
      </c>
      <c r="C106" s="172" t="s">
        <v>79</v>
      </c>
      <c r="D106" s="172" t="s">
        <v>245</v>
      </c>
      <c r="E106" s="172"/>
      <c r="F106" s="172" t="s">
        <v>72</v>
      </c>
      <c r="G106" s="172">
        <v>-1.13110036181752E-6</v>
      </c>
      <c r="H106" s="172">
        <v>-110437.962488252</v>
      </c>
      <c r="I106" s="172">
        <v>-4358.0744580386299</v>
      </c>
      <c r="J106" s="172">
        <v>1102548.28648534</v>
      </c>
      <c r="K106" s="172">
        <v>88810.4906801131</v>
      </c>
      <c r="L106" s="172">
        <v>-2231125.7155040498</v>
      </c>
    </row>
    <row r="107" spans="2:12" hidden="1" x14ac:dyDescent="0.3">
      <c r="B107" s="172" t="s">
        <v>22</v>
      </c>
      <c r="C107" s="172" t="s">
        <v>79</v>
      </c>
      <c r="D107" s="172" t="s">
        <v>245</v>
      </c>
      <c r="E107" s="172"/>
      <c r="F107" s="172" t="s">
        <v>242</v>
      </c>
      <c r="G107" s="172">
        <v>-1.13153419079026E-6</v>
      </c>
      <c r="H107" s="172">
        <v>-110437.962488249</v>
      </c>
      <c r="I107" s="172">
        <v>-4358.0744580373002</v>
      </c>
      <c r="J107" s="172">
        <v>1102548.28648534</v>
      </c>
      <c r="K107" s="172">
        <v>106242.788512261</v>
      </c>
      <c r="L107" s="172">
        <v>-2672877.56545704</v>
      </c>
    </row>
    <row r="108" spans="2:12" hidden="1" x14ac:dyDescent="0.3">
      <c r="B108" s="172" t="s">
        <v>22</v>
      </c>
      <c r="C108" s="172" t="s">
        <v>80</v>
      </c>
      <c r="D108" s="172" t="s">
        <v>245</v>
      </c>
      <c r="E108" s="172"/>
      <c r="F108" s="172" t="s">
        <v>72</v>
      </c>
      <c r="G108" s="172">
        <v>-9.2494610726134905E-7</v>
      </c>
      <c r="H108" s="172">
        <v>-110437.962490341</v>
      </c>
      <c r="I108" s="172">
        <v>-4358.0744641569299</v>
      </c>
      <c r="J108" s="172">
        <v>902629.08755856496</v>
      </c>
      <c r="K108" s="172">
        <v>88810.490828130001</v>
      </c>
      <c r="L108" s="172">
        <v>-2231125.7155560199</v>
      </c>
    </row>
    <row r="109" spans="2:12" hidden="1" x14ac:dyDescent="0.3">
      <c r="B109" s="172" t="s">
        <v>22</v>
      </c>
      <c r="C109" s="172" t="s">
        <v>80</v>
      </c>
      <c r="D109" s="172" t="s">
        <v>245</v>
      </c>
      <c r="E109" s="172"/>
      <c r="F109" s="172" t="s">
        <v>242</v>
      </c>
      <c r="G109" s="172">
        <v>-9.2524805950233702E-7</v>
      </c>
      <c r="H109" s="172">
        <v>-110437.962490338</v>
      </c>
      <c r="I109" s="172">
        <v>-4358.0744641554402</v>
      </c>
      <c r="J109" s="172">
        <v>902629.08755856601</v>
      </c>
      <c r="K109" s="172">
        <v>106242.788684752</v>
      </c>
      <c r="L109" s="172">
        <v>-2672877.5655173799</v>
      </c>
    </row>
    <row r="110" spans="2:12" hidden="1" x14ac:dyDescent="0.3">
      <c r="B110" s="172" t="s">
        <v>22</v>
      </c>
      <c r="C110" s="172" t="s">
        <v>81</v>
      </c>
      <c r="D110" s="172" t="s">
        <v>245</v>
      </c>
      <c r="E110" s="172"/>
      <c r="F110" s="172" t="s">
        <v>72</v>
      </c>
      <c r="G110" s="172">
        <v>1.0048988769995E-6</v>
      </c>
      <c r="H110" s="172">
        <v>-5296.0164272434804</v>
      </c>
      <c r="I110" s="172">
        <v>-109405.41776768101</v>
      </c>
      <c r="J110" s="172">
        <v>-1177358.3282671601</v>
      </c>
      <c r="K110" s="172">
        <v>2192633.8617788102</v>
      </c>
      <c r="L110" s="172">
        <v>-108019.35675444901</v>
      </c>
    </row>
    <row r="111" spans="2:12" hidden="1" x14ac:dyDescent="0.3">
      <c r="B111" s="172" t="s">
        <v>22</v>
      </c>
      <c r="C111" s="172" t="s">
        <v>81</v>
      </c>
      <c r="D111" s="172" t="s">
        <v>245</v>
      </c>
      <c r="E111" s="172"/>
      <c r="F111" s="172" t="s">
        <v>242</v>
      </c>
      <c r="G111" s="172">
        <v>1.0063931767945199E-6</v>
      </c>
      <c r="H111" s="172">
        <v>-5296.0164272413604</v>
      </c>
      <c r="I111" s="172">
        <v>-109405.41776768101</v>
      </c>
      <c r="J111" s="172">
        <v>-1177358.3282671799</v>
      </c>
      <c r="K111" s="172">
        <v>2630255.53284954</v>
      </c>
      <c r="L111" s="172">
        <v>-129203.42246344499</v>
      </c>
    </row>
    <row r="112" spans="2:12" hidden="1" x14ac:dyDescent="0.3">
      <c r="B112" s="172" t="s">
        <v>22</v>
      </c>
      <c r="C112" s="172" t="s">
        <v>82</v>
      </c>
      <c r="D112" s="172" t="s">
        <v>245</v>
      </c>
      <c r="E112" s="172"/>
      <c r="F112" s="172" t="s">
        <v>72</v>
      </c>
      <c r="G112" s="172">
        <v>8.0049898087963801E-7</v>
      </c>
      <c r="H112" s="172">
        <v>-5296.0164251727101</v>
      </c>
      <c r="I112" s="172">
        <v>-109405.41776161701</v>
      </c>
      <c r="J112" s="172">
        <v>-978168.32568911498</v>
      </c>
      <c r="K112" s="172">
        <v>2192633.8616321902</v>
      </c>
      <c r="L112" s="172">
        <v>-108019.356702957</v>
      </c>
    </row>
    <row r="113" spans="2:12" hidden="1" x14ac:dyDescent="0.3">
      <c r="B113" s="172" t="s">
        <v>22</v>
      </c>
      <c r="C113" s="172" t="s">
        <v>82</v>
      </c>
      <c r="D113" s="172" t="s">
        <v>245</v>
      </c>
      <c r="E113" s="172"/>
      <c r="F113" s="172" t="s">
        <v>242</v>
      </c>
      <c r="G113" s="172">
        <v>8.0180370787275003E-7</v>
      </c>
      <c r="H113" s="172">
        <v>-5296.0164251709202</v>
      </c>
      <c r="I113" s="172">
        <v>-109405.41776161701</v>
      </c>
      <c r="J113" s="172">
        <v>-978168.32568913396</v>
      </c>
      <c r="K113" s="172">
        <v>2630255.5326786698</v>
      </c>
      <c r="L113" s="172">
        <v>-129203.422403668</v>
      </c>
    </row>
    <row r="114" spans="2:12" hidden="1" x14ac:dyDescent="0.3">
      <c r="B114" s="172" t="s">
        <v>22</v>
      </c>
      <c r="C114" s="172" t="s">
        <v>246</v>
      </c>
      <c r="D114" s="172" t="s">
        <v>245</v>
      </c>
      <c r="E114" s="172"/>
      <c r="F114" s="172" t="s">
        <v>72</v>
      </c>
      <c r="G114" s="172">
        <v>4333988.4538300904</v>
      </c>
      <c r="H114" s="172">
        <v>-4.1925345158233499E-5</v>
      </c>
      <c r="I114" s="172">
        <v>-1.64279254022404E-6</v>
      </c>
      <c r="J114" s="172">
        <v>3.8007712373655501E-4</v>
      </c>
      <c r="K114" s="172">
        <v>41108728.671095297</v>
      </c>
      <c r="L114" s="172">
        <v>-42579861.688116401</v>
      </c>
    </row>
    <row r="115" spans="2:12" x14ac:dyDescent="0.3">
      <c r="B115" s="172" t="s">
        <v>22</v>
      </c>
      <c r="C115" s="172" t="s">
        <v>246</v>
      </c>
      <c r="D115" s="172" t="s">
        <v>245</v>
      </c>
      <c r="E115" s="172"/>
      <c r="F115" s="172" t="s">
        <v>242</v>
      </c>
      <c r="G115" s="172">
        <v>4413196.3631882602</v>
      </c>
      <c r="H115" s="172">
        <v>-4.1924344230892502E-5</v>
      </c>
      <c r="I115" s="172">
        <v>-1.64346545261651E-6</v>
      </c>
      <c r="J115" s="172">
        <v>3.80055767664089E-4</v>
      </c>
      <c r="K115" s="172">
        <v>41860597.193925001</v>
      </c>
      <c r="L115" s="172">
        <v>-43536231.770250499</v>
      </c>
    </row>
  </sheetData>
  <autoFilter ref="B5:L115">
    <filterColumn colId="1">
      <filters>
        <filter val="S D+L"/>
      </filters>
    </filterColumn>
    <filterColumn colId="4">
      <filters>
        <filter val="Bottom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640080</xdr:colOff>
                    <xdr:row>9</xdr:row>
                    <xdr:rowOff>0</xdr:rowOff>
                  </from>
                  <to>
                    <xdr:col>15</xdr:col>
                    <xdr:colOff>510540</xdr:colOff>
                    <xdr:row>49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G528"/>
  <sheetViews>
    <sheetView topLeftCell="A295" workbookViewId="0">
      <selection activeCell="B435" sqref="B435:G445"/>
    </sheetView>
  </sheetViews>
  <sheetFormatPr baseColWidth="10" defaultRowHeight="14.4" x14ac:dyDescent="0.3"/>
  <cols>
    <col min="2" max="5" width="11.5546875" style="75"/>
  </cols>
  <sheetData>
    <row r="2" spans="2:7" x14ac:dyDescent="0.3">
      <c r="B2" s="167" t="s">
        <v>83</v>
      </c>
      <c r="C2" s="168"/>
      <c r="D2" s="168"/>
      <c r="E2" s="168"/>
      <c r="F2" s="168"/>
      <c r="G2" s="168"/>
    </row>
    <row r="3" spans="2:7" x14ac:dyDescent="0.3">
      <c r="B3" s="169" t="s">
        <v>9</v>
      </c>
      <c r="C3" s="169" t="s">
        <v>46</v>
      </c>
      <c r="D3" s="169" t="s">
        <v>42</v>
      </c>
      <c r="E3" s="169" t="s">
        <v>84</v>
      </c>
      <c r="F3" s="169" t="s">
        <v>85</v>
      </c>
      <c r="G3" s="170" t="s">
        <v>86</v>
      </c>
    </row>
    <row r="4" spans="2:7" x14ac:dyDescent="0.3">
      <c r="B4" s="205"/>
      <c r="C4" s="205"/>
      <c r="D4" s="205"/>
      <c r="E4" s="205" t="s">
        <v>7</v>
      </c>
      <c r="F4" s="205" t="s">
        <v>7</v>
      </c>
      <c r="G4" s="206"/>
    </row>
    <row r="5" spans="2:7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</row>
    <row r="6" spans="2:7" s="172" customFormat="1" x14ac:dyDescent="0.3">
      <c r="B6" s="172" t="s">
        <v>189</v>
      </c>
      <c r="C6" s="172" t="s">
        <v>79</v>
      </c>
      <c r="D6" s="172" t="s">
        <v>218</v>
      </c>
      <c r="E6" s="172">
        <v>2.5517939634516498E-2</v>
      </c>
      <c r="F6" s="172">
        <v>2.4908795478618299E-2</v>
      </c>
      <c r="G6" s="172">
        <v>1.02445498243466</v>
      </c>
    </row>
    <row r="7" spans="2:7" s="172" customFormat="1" x14ac:dyDescent="0.3">
      <c r="B7" s="172" t="s">
        <v>187</v>
      </c>
      <c r="C7" s="172" t="s">
        <v>79</v>
      </c>
      <c r="D7" s="172" t="s">
        <v>218</v>
      </c>
      <c r="E7" s="172">
        <v>2.6145927836400001E-2</v>
      </c>
      <c r="F7" s="172">
        <v>2.4046273531058201E-2</v>
      </c>
      <c r="G7" s="172">
        <v>1.08731724284139</v>
      </c>
    </row>
    <row r="8" spans="2:7" s="172" customFormat="1" x14ac:dyDescent="0.3">
      <c r="B8" s="172" t="s">
        <v>185</v>
      </c>
      <c r="C8" s="172" t="s">
        <v>79</v>
      </c>
      <c r="D8" s="172" t="s">
        <v>218</v>
      </c>
      <c r="E8" s="172">
        <v>2.5029658850912101E-2</v>
      </c>
      <c r="F8" s="172">
        <v>2.2984362164513598E-2</v>
      </c>
      <c r="G8" s="172">
        <v>1.08898644529524</v>
      </c>
    </row>
    <row r="9" spans="2:7" s="172" customFormat="1" x14ac:dyDescent="0.3">
      <c r="B9" s="172" t="s">
        <v>183</v>
      </c>
      <c r="C9" s="172" t="s">
        <v>79</v>
      </c>
      <c r="D9" s="172" t="s">
        <v>218</v>
      </c>
      <c r="E9" s="172">
        <v>2.3396964583299502E-2</v>
      </c>
      <c r="F9" s="172">
        <v>2.1454633908628801E-2</v>
      </c>
      <c r="G9" s="172">
        <v>1.0905319887042899</v>
      </c>
    </row>
    <row r="10" spans="2:7" s="172" customFormat="1" x14ac:dyDescent="0.3">
      <c r="B10" s="172" t="s">
        <v>181</v>
      </c>
      <c r="C10" s="172" t="s">
        <v>79</v>
      </c>
      <c r="D10" s="172" t="s">
        <v>218</v>
      </c>
      <c r="E10" s="172">
        <v>2.12985380757321E-2</v>
      </c>
      <c r="F10" s="172">
        <v>1.9503493785614501E-2</v>
      </c>
      <c r="G10" s="172">
        <v>1.0920370631974401</v>
      </c>
    </row>
    <row r="11" spans="2:7" s="172" customFormat="1" x14ac:dyDescent="0.3">
      <c r="B11" s="172" t="s">
        <v>179</v>
      </c>
      <c r="C11" s="172" t="s">
        <v>79</v>
      </c>
      <c r="D11" s="172" t="s">
        <v>218</v>
      </c>
      <c r="E11" s="172">
        <v>1.8808319320353699E-2</v>
      </c>
      <c r="F11" s="172">
        <v>1.7199001209061301E-2</v>
      </c>
      <c r="G11" s="172">
        <v>1.09357044003489</v>
      </c>
    </row>
    <row r="12" spans="2:7" s="172" customFormat="1" x14ac:dyDescent="0.3">
      <c r="B12" s="172" t="s">
        <v>39</v>
      </c>
      <c r="C12" s="172" t="s">
        <v>79</v>
      </c>
      <c r="D12" s="172" t="s">
        <v>218</v>
      </c>
      <c r="E12" s="172">
        <v>1.5994934930708599E-2</v>
      </c>
      <c r="F12" s="172">
        <v>1.4604461234502901E-2</v>
      </c>
      <c r="G12" s="172">
        <v>1.0952088320054401</v>
      </c>
    </row>
    <row r="13" spans="2:7" s="172" customFormat="1" x14ac:dyDescent="0.3">
      <c r="B13" s="172" t="s">
        <v>26</v>
      </c>
      <c r="C13" s="172" t="s">
        <v>79</v>
      </c>
      <c r="D13" s="172" t="s">
        <v>218</v>
      </c>
      <c r="E13" s="172">
        <v>1.29223373777127E-2</v>
      </c>
      <c r="F13" s="172">
        <v>1.17791518611613E-2</v>
      </c>
      <c r="G13" s="172">
        <v>1.0970515984534299</v>
      </c>
    </row>
    <row r="14" spans="2:7" s="172" customFormat="1" x14ac:dyDescent="0.3">
      <c r="B14" s="172" t="s">
        <v>25</v>
      </c>
      <c r="C14" s="172" t="s">
        <v>79</v>
      </c>
      <c r="D14" s="172" t="s">
        <v>218</v>
      </c>
      <c r="E14" s="172">
        <v>9.6554863611166691E-3</v>
      </c>
      <c r="F14" s="172">
        <v>8.7834482889386604E-3</v>
      </c>
      <c r="G14" s="172">
        <v>1.09928197257974</v>
      </c>
    </row>
    <row r="15" spans="2:7" x14ac:dyDescent="0.3">
      <c r="B15" s="172" t="s">
        <v>24</v>
      </c>
      <c r="C15" s="172" t="s">
        <v>79</v>
      </c>
      <c r="D15" s="172" t="s">
        <v>218</v>
      </c>
      <c r="E15" s="172">
        <v>6.2720719819323997E-3</v>
      </c>
      <c r="F15" s="172">
        <v>5.6891728785562704E-3</v>
      </c>
      <c r="G15" s="172">
        <v>1.1024576183250101</v>
      </c>
    </row>
    <row r="16" spans="2:7" x14ac:dyDescent="0.3">
      <c r="B16" s="172" t="s">
        <v>22</v>
      </c>
      <c r="C16" s="172" t="s">
        <v>79</v>
      </c>
      <c r="D16" s="172" t="s">
        <v>218</v>
      </c>
      <c r="E16" s="172">
        <v>2.8994773606483802E-3</v>
      </c>
      <c r="F16" s="172">
        <v>2.61517323848539E-3</v>
      </c>
      <c r="G16" s="172">
        <v>1.10871330356977</v>
      </c>
    </row>
    <row r="17" spans="2:7" hidden="1" x14ac:dyDescent="0.3">
      <c r="B17" s="172" t="s">
        <v>189</v>
      </c>
      <c r="C17" s="172" t="s">
        <v>80</v>
      </c>
      <c r="D17" s="172" t="s">
        <v>218</v>
      </c>
      <c r="E17" s="172">
        <v>2.58208581781279E-2</v>
      </c>
      <c r="F17" s="172">
        <v>2.53361662377572E-2</v>
      </c>
      <c r="G17" s="172">
        <v>1.0191304373290799</v>
      </c>
    </row>
    <row r="18" spans="2:7" hidden="1" x14ac:dyDescent="0.3">
      <c r="B18" s="172" t="s">
        <v>187</v>
      </c>
      <c r="C18" s="172" t="s">
        <v>80</v>
      </c>
      <c r="D18" s="172" t="s">
        <v>218</v>
      </c>
      <c r="E18" s="172">
        <v>2.6029105677915099E-2</v>
      </c>
      <c r="F18" s="172">
        <v>2.4051625387992499E-2</v>
      </c>
      <c r="G18" s="172">
        <v>1.0822181560714701</v>
      </c>
    </row>
    <row r="19" spans="2:7" hidden="1" x14ac:dyDescent="0.3">
      <c r="B19" s="172" t="s">
        <v>185</v>
      </c>
      <c r="C19" s="172" t="s">
        <v>80</v>
      </c>
      <c r="D19" s="172" t="s">
        <v>218</v>
      </c>
      <c r="E19" s="172">
        <v>2.4908768393160401E-2</v>
      </c>
      <c r="F19" s="172">
        <v>2.2991951506546301E-2</v>
      </c>
      <c r="G19" s="172">
        <v>1.0833690383379699</v>
      </c>
    </row>
    <row r="20" spans="2:7" hidden="1" x14ac:dyDescent="0.3">
      <c r="B20" s="172" t="s">
        <v>183</v>
      </c>
      <c r="C20" s="172" t="s">
        <v>80</v>
      </c>
      <c r="D20" s="172" t="s">
        <v>218</v>
      </c>
      <c r="E20" s="172">
        <v>2.3276192453039999E-2</v>
      </c>
      <c r="F20" s="172">
        <v>2.14638864757721E-2</v>
      </c>
      <c r="G20" s="172">
        <v>1.0844351268496299</v>
      </c>
    </row>
    <row r="21" spans="2:7" hidden="1" x14ac:dyDescent="0.3">
      <c r="B21" s="172" t="s">
        <v>181</v>
      </c>
      <c r="C21" s="172" t="s">
        <v>80</v>
      </c>
      <c r="D21" s="172" t="s">
        <v>218</v>
      </c>
      <c r="E21" s="172">
        <v>2.1181339809043499E-2</v>
      </c>
      <c r="F21" s="172">
        <v>1.9513694398763898E-2</v>
      </c>
      <c r="G21" s="172">
        <v>1.0854602606867301</v>
      </c>
    </row>
    <row r="22" spans="2:7" hidden="1" x14ac:dyDescent="0.3">
      <c r="B22" s="172" t="s">
        <v>179</v>
      </c>
      <c r="C22" s="172" t="s">
        <v>80</v>
      </c>
      <c r="D22" s="172" t="s">
        <v>218</v>
      </c>
      <c r="E22" s="172">
        <v>1.8698885696695401E-2</v>
      </c>
      <c r="F22" s="172">
        <v>1.72095126704974E-2</v>
      </c>
      <c r="G22" s="172">
        <v>1.0865435910193499</v>
      </c>
    </row>
    <row r="23" spans="2:7" hidden="1" x14ac:dyDescent="0.3">
      <c r="B23" s="172" t="s">
        <v>39</v>
      </c>
      <c r="C23" s="172" t="s">
        <v>80</v>
      </c>
      <c r="D23" s="172" t="s">
        <v>218</v>
      </c>
      <c r="E23" s="172">
        <v>1.5897436755922201E-2</v>
      </c>
      <c r="F23" s="172">
        <v>1.46146729120621E-2</v>
      </c>
      <c r="G23" s="172">
        <v>1.0877723265911301</v>
      </c>
    </row>
    <row r="24" spans="2:7" hidden="1" x14ac:dyDescent="0.3">
      <c r="B24" s="172" t="s">
        <v>26</v>
      </c>
      <c r="C24" s="172" t="s">
        <v>80</v>
      </c>
      <c r="D24" s="172" t="s">
        <v>218</v>
      </c>
      <c r="E24" s="172">
        <v>1.2840500968831801E-2</v>
      </c>
      <c r="F24" s="172">
        <v>1.17884263862913E-2</v>
      </c>
      <c r="G24" s="172">
        <v>1.0892463971072399</v>
      </c>
    </row>
    <row r="25" spans="2:7" hidden="1" x14ac:dyDescent="0.3">
      <c r="B25" s="172" t="s">
        <v>25</v>
      </c>
      <c r="C25" s="172" t="s">
        <v>80</v>
      </c>
      <c r="D25" s="172" t="s">
        <v>218</v>
      </c>
      <c r="E25" s="172">
        <v>9.5920674020378693E-3</v>
      </c>
      <c r="F25" s="172">
        <v>8.7910746292713393E-3</v>
      </c>
      <c r="G25" s="172">
        <v>1.0911143183905501</v>
      </c>
    </row>
    <row r="26" spans="2:7" hidden="1" x14ac:dyDescent="0.3">
      <c r="B26" s="172" t="s">
        <v>24</v>
      </c>
      <c r="C26" s="172" t="s">
        <v>80</v>
      </c>
      <c r="D26" s="172" t="s">
        <v>218</v>
      </c>
      <c r="E26" s="172">
        <v>6.2277466155633704E-3</v>
      </c>
      <c r="F26" s="172">
        <v>5.6943509163277801E-3</v>
      </c>
      <c r="G26" s="172">
        <v>1.0936710271413299</v>
      </c>
    </row>
    <row r="27" spans="2:7" hidden="1" x14ac:dyDescent="0.3">
      <c r="B27" s="172" t="s">
        <v>22</v>
      </c>
      <c r="C27" s="172" t="s">
        <v>80</v>
      </c>
      <c r="D27" s="172" t="s">
        <v>218</v>
      </c>
      <c r="E27" s="172">
        <v>2.8732805138624801E-3</v>
      </c>
      <c r="F27" s="172">
        <v>2.6172563699649399E-3</v>
      </c>
      <c r="G27" s="172">
        <v>1.0978215763788499</v>
      </c>
    </row>
    <row r="28" spans="2:7" hidden="1" x14ac:dyDescent="0.3">
      <c r="B28" s="172" t="s">
        <v>189</v>
      </c>
      <c r="C28" s="172" t="s">
        <v>81</v>
      </c>
      <c r="D28" s="172" t="s">
        <v>221</v>
      </c>
      <c r="E28" s="172">
        <v>2.2422412410531702E-2</v>
      </c>
      <c r="F28" s="172">
        <v>2.1916683313246001E-2</v>
      </c>
      <c r="G28" s="172">
        <v>1.02307507436492</v>
      </c>
    </row>
    <row r="29" spans="2:7" hidden="1" x14ac:dyDescent="0.3">
      <c r="B29" s="172" t="s">
        <v>187</v>
      </c>
      <c r="C29" s="172" t="s">
        <v>81</v>
      </c>
      <c r="D29" s="172" t="s">
        <v>221</v>
      </c>
      <c r="E29" s="172">
        <v>2.5352019624322802E-2</v>
      </c>
      <c r="F29" s="172">
        <v>2.3036119457703799E-2</v>
      </c>
      <c r="G29" s="172">
        <v>1.1005334327628999</v>
      </c>
    </row>
    <row r="30" spans="2:7" hidden="1" x14ac:dyDescent="0.3">
      <c r="B30" s="172" t="s">
        <v>185</v>
      </c>
      <c r="C30" s="172" t="s">
        <v>81</v>
      </c>
      <c r="D30" s="172" t="s">
        <v>221</v>
      </c>
      <c r="E30" s="172">
        <v>2.4459990009199201E-2</v>
      </c>
      <c r="F30" s="172">
        <v>2.2159313194632799E-2</v>
      </c>
      <c r="G30" s="172">
        <v>1.10382437372308</v>
      </c>
    </row>
    <row r="31" spans="2:7" hidden="1" x14ac:dyDescent="0.3">
      <c r="B31" s="172" t="s">
        <v>183</v>
      </c>
      <c r="C31" s="172" t="s">
        <v>81</v>
      </c>
      <c r="D31" s="172" t="s">
        <v>221</v>
      </c>
      <c r="E31" s="172">
        <v>2.3037859113385899E-2</v>
      </c>
      <c r="F31" s="172">
        <v>2.0809699268122601E-2</v>
      </c>
      <c r="G31" s="172">
        <v>1.1070731401042599</v>
      </c>
    </row>
    <row r="32" spans="2:7" hidden="1" x14ac:dyDescent="0.3">
      <c r="B32" s="172" t="s">
        <v>181</v>
      </c>
      <c r="C32" s="172" t="s">
        <v>81</v>
      </c>
      <c r="D32" s="172" t="s">
        <v>221</v>
      </c>
      <c r="E32" s="172">
        <v>2.1112270525655501E-2</v>
      </c>
      <c r="F32" s="172">
        <v>1.9026783458875401E-2</v>
      </c>
      <c r="G32" s="172">
        <v>1.1096079676991999</v>
      </c>
    </row>
    <row r="33" spans="2:7" hidden="1" x14ac:dyDescent="0.3">
      <c r="B33" s="172" t="s">
        <v>179</v>
      </c>
      <c r="C33" s="172" t="s">
        <v>81</v>
      </c>
      <c r="D33" s="172" t="s">
        <v>221</v>
      </c>
      <c r="E33" s="172">
        <v>1.8755863372460602E-2</v>
      </c>
      <c r="F33" s="172">
        <v>1.6876120511536901E-2</v>
      </c>
      <c r="G33" s="172">
        <v>1.11138477351111</v>
      </c>
    </row>
    <row r="34" spans="2:7" hidden="1" x14ac:dyDescent="0.3">
      <c r="B34" s="172" t="s">
        <v>39</v>
      </c>
      <c r="C34" s="172" t="s">
        <v>81</v>
      </c>
      <c r="D34" s="172" t="s">
        <v>221</v>
      </c>
      <c r="E34" s="172">
        <v>1.6036451211610198E-2</v>
      </c>
      <c r="F34" s="172">
        <v>1.44186751382756E-2</v>
      </c>
      <c r="G34" s="172">
        <v>1.11220005013082</v>
      </c>
    </row>
    <row r="35" spans="2:7" hidden="1" x14ac:dyDescent="0.3">
      <c r="B35" s="172" t="s">
        <v>26</v>
      </c>
      <c r="C35" s="172" t="s">
        <v>81</v>
      </c>
      <c r="D35" s="172" t="s">
        <v>221</v>
      </c>
      <c r="E35" s="172">
        <v>1.3013335420181101E-2</v>
      </c>
      <c r="F35" s="172">
        <v>1.17083224100297E-2</v>
      </c>
      <c r="G35" s="172">
        <v>1.11146028990742</v>
      </c>
    </row>
    <row r="36" spans="2:7" hidden="1" x14ac:dyDescent="0.3">
      <c r="B36" s="172" t="s">
        <v>25</v>
      </c>
      <c r="C36" s="172" t="s">
        <v>81</v>
      </c>
      <c r="D36" s="172" t="s">
        <v>221</v>
      </c>
      <c r="E36" s="172">
        <v>9.7435272446156802E-3</v>
      </c>
      <c r="F36" s="172">
        <v>8.7971679438184798E-3</v>
      </c>
      <c r="G36" s="172">
        <v>1.1075754500585799</v>
      </c>
    </row>
    <row r="37" spans="2:7" hidden="1" x14ac:dyDescent="0.3">
      <c r="B37" s="172" t="s">
        <v>24</v>
      </c>
      <c r="C37" s="172" t="s">
        <v>81</v>
      </c>
      <c r="D37" s="172" t="s">
        <v>221</v>
      </c>
      <c r="E37" s="172">
        <v>6.2991308112108103E-3</v>
      </c>
      <c r="F37" s="172">
        <v>5.7482881954872096E-3</v>
      </c>
      <c r="G37" s="172">
        <v>1.09582724404042</v>
      </c>
    </row>
    <row r="38" spans="2:7" hidden="1" x14ac:dyDescent="0.3">
      <c r="B38" s="172" t="s">
        <v>22</v>
      </c>
      <c r="C38" s="172" t="s">
        <v>81</v>
      </c>
      <c r="D38" s="172" t="s">
        <v>221</v>
      </c>
      <c r="E38" s="172">
        <v>2.8329479601458302E-3</v>
      </c>
      <c r="F38" s="172">
        <v>2.66596047000156E-3</v>
      </c>
      <c r="G38" s="172">
        <v>1.0626368965419</v>
      </c>
    </row>
    <row r="39" spans="2:7" hidden="1" x14ac:dyDescent="0.3">
      <c r="B39" s="172" t="s">
        <v>189</v>
      </c>
      <c r="C39" s="172" t="s">
        <v>82</v>
      </c>
      <c r="D39" s="172" t="s">
        <v>221</v>
      </c>
      <c r="E39" s="172">
        <v>2.1251969192644399E-2</v>
      </c>
      <c r="F39" s="172">
        <v>1.9885220260963999E-2</v>
      </c>
      <c r="G39" s="172">
        <v>1.0687318980500999</v>
      </c>
    </row>
    <row r="40" spans="2:7" hidden="1" x14ac:dyDescent="0.3">
      <c r="B40" s="172" t="s">
        <v>187</v>
      </c>
      <c r="C40" s="172" t="s">
        <v>82</v>
      </c>
      <c r="D40" s="172" t="s">
        <v>221</v>
      </c>
      <c r="E40" s="172">
        <v>3.0575034661066799E-2</v>
      </c>
      <c r="F40" s="172">
        <v>2.4224460378441399E-2</v>
      </c>
      <c r="G40" s="172">
        <v>1.2621554488073199</v>
      </c>
    </row>
    <row r="41" spans="2:7" hidden="1" x14ac:dyDescent="0.3">
      <c r="B41" s="172" t="s">
        <v>185</v>
      </c>
      <c r="C41" s="172" t="s">
        <v>82</v>
      </c>
      <c r="D41" s="172" t="s">
        <v>221</v>
      </c>
      <c r="E41" s="172">
        <v>2.9544808882046601E-2</v>
      </c>
      <c r="F41" s="172">
        <v>2.33205667362654E-2</v>
      </c>
      <c r="G41" s="172">
        <v>1.26689926605008</v>
      </c>
    </row>
    <row r="42" spans="2:7" hidden="1" x14ac:dyDescent="0.3">
      <c r="B42" s="172" t="s">
        <v>183</v>
      </c>
      <c r="C42" s="172" t="s">
        <v>82</v>
      </c>
      <c r="D42" s="172" t="s">
        <v>221</v>
      </c>
      <c r="E42" s="172">
        <v>2.7867372368763799E-2</v>
      </c>
      <c r="F42" s="172">
        <v>2.1917930313963298E-2</v>
      </c>
      <c r="G42" s="172">
        <v>1.2714417816635799</v>
      </c>
    </row>
    <row r="43" spans="2:7" hidden="1" x14ac:dyDescent="0.3">
      <c r="B43" s="172" t="s">
        <v>181</v>
      </c>
      <c r="C43" s="172" t="s">
        <v>82</v>
      </c>
      <c r="D43" s="172" t="s">
        <v>221</v>
      </c>
      <c r="E43" s="172">
        <v>2.5574243129089801E-2</v>
      </c>
      <c r="F43" s="172">
        <v>2.0054010818451099E-2</v>
      </c>
      <c r="G43" s="172">
        <v>1.2752682423787101</v>
      </c>
    </row>
    <row r="44" spans="2:7" hidden="1" x14ac:dyDescent="0.3">
      <c r="B44" s="172" t="s">
        <v>179</v>
      </c>
      <c r="C44" s="172" t="s">
        <v>82</v>
      </c>
      <c r="D44" s="172" t="s">
        <v>221</v>
      </c>
      <c r="E44" s="172">
        <v>2.2753343760268E-2</v>
      </c>
      <c r="F44" s="172">
        <v>1.7797580401104601E-2</v>
      </c>
      <c r="G44" s="172">
        <v>1.2784515224808799</v>
      </c>
    </row>
    <row r="45" spans="2:7" hidden="1" x14ac:dyDescent="0.3">
      <c r="B45" s="172" t="s">
        <v>39</v>
      </c>
      <c r="C45" s="172" t="s">
        <v>82</v>
      </c>
      <c r="D45" s="172" t="s">
        <v>221</v>
      </c>
      <c r="E45" s="172">
        <v>1.9486170478429501E-2</v>
      </c>
      <c r="F45" s="172">
        <v>1.52127617271904E-2</v>
      </c>
      <c r="G45" s="172">
        <v>1.2809094645583701</v>
      </c>
    </row>
    <row r="46" spans="2:7" hidden="1" x14ac:dyDescent="0.3">
      <c r="B46" s="172" t="s">
        <v>26</v>
      </c>
      <c r="C46" s="172" t="s">
        <v>82</v>
      </c>
      <c r="D46" s="172" t="s">
        <v>221</v>
      </c>
      <c r="E46" s="172">
        <v>1.58434011808062E-2</v>
      </c>
      <c r="F46" s="172">
        <v>1.2356003061493899E-2</v>
      </c>
      <c r="G46" s="172">
        <v>1.28224322233946</v>
      </c>
    </row>
    <row r="47" spans="2:7" hidden="1" x14ac:dyDescent="0.3">
      <c r="B47" s="172" t="s">
        <v>25</v>
      </c>
      <c r="C47" s="172" t="s">
        <v>82</v>
      </c>
      <c r="D47" s="172" t="s">
        <v>221</v>
      </c>
      <c r="E47" s="172">
        <v>1.1892484322899599E-2</v>
      </c>
      <c r="F47" s="172">
        <v>9.2817526285591603E-3</v>
      </c>
      <c r="G47" s="172">
        <v>1.28127572440441</v>
      </c>
    </row>
    <row r="48" spans="2:7" hidden="1" x14ac:dyDescent="0.3">
      <c r="B48" s="172" t="s">
        <v>24</v>
      </c>
      <c r="C48" s="172" t="s">
        <v>82</v>
      </c>
      <c r="D48" s="172" t="s">
        <v>221</v>
      </c>
      <c r="E48" s="172">
        <v>7.71853206181888E-3</v>
      </c>
      <c r="F48" s="172">
        <v>6.0564479626644199E-3</v>
      </c>
      <c r="G48" s="172">
        <v>1.27443216046774</v>
      </c>
    </row>
    <row r="49" spans="2:7" hidden="1" x14ac:dyDescent="0.3">
      <c r="B49" s="172" t="s">
        <v>22</v>
      </c>
      <c r="C49" s="172" t="s">
        <v>82</v>
      </c>
      <c r="D49" s="172" t="s">
        <v>221</v>
      </c>
      <c r="E49" s="172">
        <v>3.5010530903946601E-3</v>
      </c>
      <c r="F49" s="172">
        <v>2.7958743075794999E-3</v>
      </c>
      <c r="G49" s="172">
        <v>1.2522212035439</v>
      </c>
    </row>
    <row r="50" spans="2:7" hidden="1" x14ac:dyDescent="0.3">
      <c r="B50" s="172" t="s">
        <v>189</v>
      </c>
      <c r="C50" s="172" t="s">
        <v>246</v>
      </c>
      <c r="D50" s="172" t="s">
        <v>218</v>
      </c>
      <c r="E50" s="172">
        <v>2.83618699841298E-3</v>
      </c>
      <c r="F50" s="172">
        <v>2.7613095769120398E-3</v>
      </c>
      <c r="G50" s="172">
        <v>1.0271166341242599</v>
      </c>
    </row>
    <row r="51" spans="2:7" hidden="1" x14ac:dyDescent="0.3">
      <c r="B51" s="172" t="s">
        <v>187</v>
      </c>
      <c r="C51" s="172" t="s">
        <v>246</v>
      </c>
      <c r="D51" s="172" t="s">
        <v>218</v>
      </c>
      <c r="E51" s="172">
        <v>2.2595066827238099E-3</v>
      </c>
      <c r="F51" s="172">
        <v>2.1244680149837599E-3</v>
      </c>
      <c r="G51" s="172">
        <v>1.06356352121455</v>
      </c>
    </row>
    <row r="52" spans="2:7" hidden="1" x14ac:dyDescent="0.3">
      <c r="B52" s="172" t="s">
        <v>185</v>
      </c>
      <c r="C52" s="172" t="s">
        <v>246</v>
      </c>
      <c r="D52" s="172" t="s">
        <v>218</v>
      </c>
      <c r="E52" s="172">
        <v>1.9561059239692901E-3</v>
      </c>
      <c r="F52" s="172">
        <v>1.8197736545572699E-3</v>
      </c>
      <c r="G52" s="172">
        <v>1.0749171574556</v>
      </c>
    </row>
    <row r="53" spans="2:7" hidden="1" x14ac:dyDescent="0.3">
      <c r="B53" s="172" t="s">
        <v>183</v>
      </c>
      <c r="C53" s="172" t="s">
        <v>246</v>
      </c>
      <c r="D53" s="172" t="s">
        <v>218</v>
      </c>
      <c r="E53" s="172">
        <v>1.6464864603596501E-3</v>
      </c>
      <c r="F53" s="172">
        <v>1.50158381915537E-3</v>
      </c>
      <c r="G53" s="172">
        <v>1.0964998685759599</v>
      </c>
    </row>
    <row r="54" spans="2:7" hidden="1" x14ac:dyDescent="0.3">
      <c r="B54" s="172" t="s">
        <v>181</v>
      </c>
      <c r="C54" s="172" t="s">
        <v>246</v>
      </c>
      <c r="D54" s="172" t="s">
        <v>218</v>
      </c>
      <c r="E54" s="172">
        <v>1.3476865173572699E-3</v>
      </c>
      <c r="F54" s="172">
        <v>1.1972595136954E-3</v>
      </c>
      <c r="G54" s="172">
        <v>1.1256427716306601</v>
      </c>
    </row>
    <row r="55" spans="2:7" hidden="1" x14ac:dyDescent="0.3">
      <c r="B55" s="172" t="s">
        <v>181</v>
      </c>
      <c r="C55" s="172" t="s">
        <v>246</v>
      </c>
      <c r="D55" s="172" t="s">
        <v>221</v>
      </c>
      <c r="E55" s="172">
        <v>3.1719174875277E-4</v>
      </c>
      <c r="F55" s="172">
        <v>1.66764745090901E-4</v>
      </c>
      <c r="G55" s="172">
        <v>1.9020312031771101</v>
      </c>
    </row>
    <row r="56" spans="2:7" hidden="1" x14ac:dyDescent="0.3">
      <c r="B56" s="172" t="s">
        <v>179</v>
      </c>
      <c r="C56" s="172" t="s">
        <v>246</v>
      </c>
      <c r="D56" s="172" t="s">
        <v>218</v>
      </c>
      <c r="E56" s="172">
        <v>1.0658620065291499E-3</v>
      </c>
      <c r="F56" s="172">
        <v>9.1298774389393905E-4</v>
      </c>
      <c r="G56" s="172">
        <v>1.1674439373996299</v>
      </c>
    </row>
    <row r="57" spans="2:7" hidden="1" x14ac:dyDescent="0.3">
      <c r="B57" s="172" t="s">
        <v>179</v>
      </c>
      <c r="C57" s="172" t="s">
        <v>246</v>
      </c>
      <c r="D57" s="172" t="s">
        <v>221</v>
      </c>
      <c r="E57" s="172">
        <v>3.6103997482006398E-4</v>
      </c>
      <c r="F57" s="172">
        <v>2.0816571218485599E-4</v>
      </c>
      <c r="G57" s="172">
        <v>1.7343873351220001</v>
      </c>
    </row>
    <row r="58" spans="2:7" hidden="1" x14ac:dyDescent="0.3">
      <c r="B58" s="172" t="s">
        <v>39</v>
      </c>
      <c r="C58" s="172" t="s">
        <v>246</v>
      </c>
      <c r="D58" s="172" t="s">
        <v>218</v>
      </c>
      <c r="E58" s="172">
        <v>8.0545242019336395E-4</v>
      </c>
      <c r="F58" s="172">
        <v>6.5447505284337796E-4</v>
      </c>
      <c r="G58" s="172">
        <v>1.2306846788033601</v>
      </c>
    </row>
    <row r="59" spans="2:7" hidden="1" x14ac:dyDescent="0.3">
      <c r="B59" s="172" t="s">
        <v>39</v>
      </c>
      <c r="C59" s="172" t="s">
        <v>246</v>
      </c>
      <c r="D59" s="172" t="s">
        <v>221</v>
      </c>
      <c r="E59" s="172">
        <v>3.8528187827820598E-4</v>
      </c>
      <c r="F59" s="172">
        <v>2.3430451092821999E-4</v>
      </c>
      <c r="G59" s="172">
        <v>1.6443638953081801</v>
      </c>
    </row>
    <row r="60" spans="2:7" hidden="1" x14ac:dyDescent="0.3">
      <c r="B60" s="172" t="s">
        <v>26</v>
      </c>
      <c r="C60" s="172" t="s">
        <v>246</v>
      </c>
      <c r="D60" s="172" t="s">
        <v>218</v>
      </c>
      <c r="E60" s="172">
        <v>5.70975599693217E-4</v>
      </c>
      <c r="F60" s="172">
        <v>4.2751039454670399E-4</v>
      </c>
      <c r="G60" s="172">
        <v>1.33558296354088</v>
      </c>
    </row>
    <row r="61" spans="2:7" hidden="1" x14ac:dyDescent="0.3">
      <c r="B61" s="172" t="s">
        <v>26</v>
      </c>
      <c r="C61" s="172" t="s">
        <v>246</v>
      </c>
      <c r="D61" s="172" t="s">
        <v>221</v>
      </c>
      <c r="E61" s="172">
        <v>3.8544659546994197E-4</v>
      </c>
      <c r="F61" s="172">
        <v>2.4198139032342801E-4</v>
      </c>
      <c r="G61" s="172">
        <v>1.59287701816557</v>
      </c>
    </row>
    <row r="62" spans="2:7" hidden="1" x14ac:dyDescent="0.3">
      <c r="B62" s="172" t="s">
        <v>25</v>
      </c>
      <c r="C62" s="172" t="s">
        <v>246</v>
      </c>
      <c r="D62" s="172" t="s">
        <v>218</v>
      </c>
      <c r="E62" s="172">
        <v>3.67439348889338E-4</v>
      </c>
      <c r="F62" s="172">
        <v>2.3856371386769601E-4</v>
      </c>
      <c r="G62" s="172">
        <v>1.54021474151394</v>
      </c>
    </row>
    <row r="63" spans="2:7" hidden="1" x14ac:dyDescent="0.3">
      <c r="B63" s="172" t="s">
        <v>25</v>
      </c>
      <c r="C63" s="172" t="s">
        <v>246</v>
      </c>
      <c r="D63" s="172" t="s">
        <v>221</v>
      </c>
      <c r="E63" s="172">
        <v>3.5653353729840501E-4</v>
      </c>
      <c r="F63" s="172">
        <v>2.2765790227676299E-4</v>
      </c>
      <c r="G63" s="172">
        <v>1.5660933959804699</v>
      </c>
    </row>
    <row r="64" spans="2:7" hidden="1" x14ac:dyDescent="0.3">
      <c r="B64" s="172" t="s">
        <v>24</v>
      </c>
      <c r="C64" s="172" t="s">
        <v>246</v>
      </c>
      <c r="D64" s="172" t="s">
        <v>218</v>
      </c>
      <c r="E64" s="172">
        <v>2.00286108267597E-4</v>
      </c>
      <c r="F64" s="172">
        <v>9.3751691410527401E-5</v>
      </c>
      <c r="G64" s="172">
        <v>2.1363466115034502</v>
      </c>
    </row>
    <row r="65" spans="2:7" hidden="1" x14ac:dyDescent="0.3">
      <c r="B65" s="172" t="s">
        <v>24</v>
      </c>
      <c r="C65" s="172" t="s">
        <v>246</v>
      </c>
      <c r="D65" s="172" t="s">
        <v>221</v>
      </c>
      <c r="E65" s="172">
        <v>2.9509074506146101E-4</v>
      </c>
      <c r="F65" s="172">
        <v>1.8855632820439201E-4</v>
      </c>
      <c r="G65" s="172">
        <v>1.5650004848502801</v>
      </c>
    </row>
    <row r="66" spans="2:7" hidden="1" x14ac:dyDescent="0.3">
      <c r="B66" s="172" t="s">
        <v>22</v>
      </c>
      <c r="C66" s="172" t="s">
        <v>246</v>
      </c>
      <c r="D66" s="172" t="s">
        <v>221</v>
      </c>
      <c r="E66" s="172">
        <v>1.8854291781567501E-4</v>
      </c>
      <c r="F66" s="172">
        <v>1.16684612049434E-4</v>
      </c>
      <c r="G66" s="172">
        <v>1.61583360911204</v>
      </c>
    </row>
    <row r="67" spans="2:7" hidden="1" x14ac:dyDescent="0.3">
      <c r="B67" s="172"/>
      <c r="C67" s="172"/>
      <c r="D67" s="172"/>
      <c r="E67" s="172"/>
      <c r="F67" s="172"/>
      <c r="G67" s="172"/>
    </row>
    <row r="68" spans="2:7" hidden="1" x14ac:dyDescent="0.3">
      <c r="B68" s="172"/>
      <c r="C68" s="172"/>
      <c r="D68" s="172"/>
      <c r="E68" s="172"/>
      <c r="F68" s="172"/>
      <c r="G68" s="172"/>
    </row>
    <row r="69" spans="2:7" hidden="1" x14ac:dyDescent="0.3">
      <c r="B69" s="172"/>
      <c r="C69" s="172"/>
      <c r="D69" s="172"/>
      <c r="E69" s="172"/>
      <c r="F69" s="172"/>
      <c r="G69" s="172"/>
    </row>
    <row r="70" spans="2:7" hidden="1" x14ac:dyDescent="0.3">
      <c r="B70" s="172"/>
      <c r="C70" s="172"/>
      <c r="D70" s="172"/>
      <c r="E70" s="172"/>
      <c r="F70" s="172"/>
      <c r="G70" s="172"/>
    </row>
    <row r="71" spans="2:7" hidden="1" x14ac:dyDescent="0.3">
      <c r="B71" s="172"/>
      <c r="C71" s="172"/>
      <c r="D71" s="172"/>
      <c r="E71" s="172"/>
      <c r="F71" s="172"/>
      <c r="G71" s="172"/>
    </row>
    <row r="72" spans="2:7" hidden="1" x14ac:dyDescent="0.3">
      <c r="B72" s="172"/>
      <c r="C72" s="172"/>
      <c r="D72" s="172"/>
      <c r="E72" s="172"/>
      <c r="F72" s="172"/>
      <c r="G72" s="172"/>
    </row>
    <row r="73" spans="2:7" hidden="1" x14ac:dyDescent="0.3">
      <c r="B73" s="172"/>
      <c r="C73" s="172"/>
      <c r="D73" s="172"/>
      <c r="E73" s="172"/>
      <c r="F73" s="172"/>
      <c r="G73" s="172"/>
    </row>
    <row r="74" spans="2:7" hidden="1" x14ac:dyDescent="0.3">
      <c r="B74" s="172"/>
      <c r="C74" s="172"/>
      <c r="D74" s="172"/>
      <c r="E74" s="172"/>
      <c r="F74" s="172"/>
      <c r="G74" s="172"/>
    </row>
    <row r="75" spans="2:7" hidden="1" x14ac:dyDescent="0.3">
      <c r="B75" s="172"/>
      <c r="C75" s="172"/>
      <c r="D75" s="172"/>
      <c r="E75" s="172"/>
      <c r="F75" s="172"/>
      <c r="G75" s="172"/>
    </row>
    <row r="76" spans="2:7" hidden="1" x14ac:dyDescent="0.3">
      <c r="B76" s="172"/>
      <c r="C76" s="172"/>
      <c r="D76" s="172"/>
      <c r="E76" s="172"/>
      <c r="F76" s="172"/>
      <c r="G76" s="172"/>
    </row>
    <row r="77" spans="2:7" hidden="1" x14ac:dyDescent="0.3">
      <c r="B77" s="172"/>
      <c r="C77" s="172"/>
      <c r="D77" s="172"/>
      <c r="E77" s="172"/>
      <c r="F77" s="172"/>
      <c r="G77" s="172"/>
    </row>
    <row r="78" spans="2:7" hidden="1" x14ac:dyDescent="0.3">
      <c r="B78" s="172"/>
      <c r="C78" s="172"/>
      <c r="D78" s="172"/>
      <c r="E78" s="172"/>
      <c r="F78" s="172"/>
      <c r="G78" s="172"/>
    </row>
    <row r="79" spans="2:7" hidden="1" x14ac:dyDescent="0.3">
      <c r="B79" s="172"/>
      <c r="C79" s="172"/>
      <c r="D79" s="172"/>
      <c r="E79" s="172"/>
      <c r="F79" s="172"/>
      <c r="G79" s="172"/>
    </row>
    <row r="80" spans="2:7" hidden="1" x14ac:dyDescent="0.3">
      <c r="B80" s="172"/>
      <c r="C80" s="172"/>
      <c r="D80" s="172"/>
      <c r="E80" s="172"/>
      <c r="F80" s="172"/>
      <c r="G80" s="172"/>
    </row>
    <row r="81" spans="2:7" hidden="1" x14ac:dyDescent="0.3">
      <c r="B81" s="172"/>
      <c r="C81" s="172"/>
      <c r="D81" s="172"/>
      <c r="E81" s="172"/>
      <c r="F81" s="172"/>
      <c r="G81" s="172"/>
    </row>
    <row r="82" spans="2:7" hidden="1" x14ac:dyDescent="0.3">
      <c r="B82" s="172"/>
      <c r="C82" s="172"/>
      <c r="D82" s="172"/>
      <c r="E82" s="172"/>
      <c r="F82" s="172"/>
      <c r="G82" s="172"/>
    </row>
    <row r="83" spans="2:7" hidden="1" x14ac:dyDescent="0.3">
      <c r="B83" s="172"/>
      <c r="C83" s="172"/>
      <c r="D83" s="172"/>
      <c r="E83" s="172"/>
      <c r="F83" s="172"/>
      <c r="G83" s="172"/>
    </row>
    <row r="84" spans="2:7" hidden="1" x14ac:dyDescent="0.3">
      <c r="B84" s="172"/>
      <c r="C84" s="172"/>
      <c r="D84" s="172"/>
      <c r="E84" s="172"/>
      <c r="F84" s="172"/>
      <c r="G84" s="172"/>
    </row>
    <row r="85" spans="2:7" hidden="1" x14ac:dyDescent="0.3">
      <c r="B85" s="172"/>
      <c r="C85" s="172"/>
      <c r="D85" s="172"/>
      <c r="E85" s="172"/>
      <c r="F85" s="172"/>
      <c r="G85" s="172"/>
    </row>
    <row r="86" spans="2:7" hidden="1" x14ac:dyDescent="0.3">
      <c r="B86" s="172"/>
      <c r="C86" s="172"/>
      <c r="D86" s="172"/>
      <c r="E86" s="172"/>
      <c r="F86" s="172"/>
      <c r="G86" s="172"/>
    </row>
    <row r="87" spans="2:7" hidden="1" x14ac:dyDescent="0.3">
      <c r="B87" s="172"/>
      <c r="C87" s="172"/>
      <c r="D87" s="172"/>
      <c r="E87" s="172"/>
      <c r="F87" s="172"/>
      <c r="G87" s="172"/>
    </row>
    <row r="88" spans="2:7" hidden="1" x14ac:dyDescent="0.3">
      <c r="B88" s="172"/>
      <c r="C88" s="172"/>
      <c r="D88" s="172"/>
      <c r="E88" s="172"/>
      <c r="F88" s="172"/>
      <c r="G88" s="172"/>
    </row>
    <row r="89" spans="2:7" hidden="1" x14ac:dyDescent="0.3">
      <c r="B89" s="172"/>
      <c r="C89" s="172"/>
      <c r="D89" s="172"/>
      <c r="E89" s="172"/>
      <c r="F89" s="172"/>
      <c r="G89" s="172"/>
    </row>
    <row r="90" spans="2:7" hidden="1" x14ac:dyDescent="0.3">
      <c r="B90" s="172"/>
      <c r="C90" s="172"/>
      <c r="D90" s="172"/>
      <c r="E90" s="172"/>
      <c r="F90" s="172"/>
      <c r="G90" s="172"/>
    </row>
    <row r="91" spans="2:7" hidden="1" x14ac:dyDescent="0.3">
      <c r="B91" s="172"/>
      <c r="C91" s="172"/>
      <c r="D91" s="172"/>
      <c r="E91" s="172"/>
      <c r="F91" s="172"/>
      <c r="G91" s="172"/>
    </row>
    <row r="92" spans="2:7" hidden="1" x14ac:dyDescent="0.3">
      <c r="B92" s="172"/>
      <c r="C92" s="172"/>
      <c r="D92" s="172"/>
      <c r="E92" s="172"/>
      <c r="F92" s="172"/>
      <c r="G92" s="172"/>
    </row>
    <row r="93" spans="2:7" hidden="1" x14ac:dyDescent="0.3">
      <c r="B93" s="172"/>
      <c r="C93" s="172"/>
      <c r="D93" s="172"/>
      <c r="E93" s="172"/>
      <c r="F93" s="172"/>
      <c r="G93" s="172"/>
    </row>
    <row r="94" spans="2:7" hidden="1" x14ac:dyDescent="0.3">
      <c r="B94" s="172"/>
      <c r="C94" s="172"/>
      <c r="D94" s="172"/>
      <c r="E94" s="172"/>
      <c r="F94" s="172"/>
      <c r="G94" s="172"/>
    </row>
    <row r="95" spans="2:7" hidden="1" x14ac:dyDescent="0.3">
      <c r="B95" s="172"/>
      <c r="C95" s="172"/>
      <c r="D95" s="172"/>
      <c r="E95" s="172"/>
      <c r="F95" s="172"/>
      <c r="G95" s="172"/>
    </row>
    <row r="96" spans="2:7" hidden="1" x14ac:dyDescent="0.3">
      <c r="B96" s="172"/>
      <c r="C96" s="172"/>
      <c r="D96" s="172"/>
      <c r="E96" s="172"/>
      <c r="F96" s="172"/>
      <c r="G96" s="172"/>
    </row>
    <row r="97" spans="2:7" hidden="1" x14ac:dyDescent="0.3">
      <c r="B97" s="172"/>
      <c r="C97" s="172"/>
      <c r="D97" s="172"/>
      <c r="E97" s="172"/>
      <c r="F97" s="172"/>
      <c r="G97" s="172"/>
    </row>
    <row r="98" spans="2:7" hidden="1" x14ac:dyDescent="0.3">
      <c r="B98" s="172"/>
      <c r="C98" s="172"/>
      <c r="D98" s="172"/>
      <c r="E98" s="172"/>
      <c r="F98" s="172"/>
      <c r="G98" s="172"/>
    </row>
    <row r="99" spans="2:7" hidden="1" x14ac:dyDescent="0.3">
      <c r="B99" s="172"/>
      <c r="C99" s="172"/>
      <c r="D99" s="172"/>
      <c r="E99" s="172"/>
      <c r="F99" s="172"/>
      <c r="G99" s="172"/>
    </row>
    <row r="100" spans="2:7" hidden="1" x14ac:dyDescent="0.3">
      <c r="B100" s="172"/>
      <c r="C100" s="172"/>
      <c r="D100" s="172"/>
      <c r="E100" s="172"/>
      <c r="F100" s="172"/>
      <c r="G100" s="172"/>
    </row>
    <row r="101" spans="2:7" hidden="1" x14ac:dyDescent="0.3">
      <c r="B101" s="172"/>
      <c r="C101" s="172"/>
      <c r="D101" s="172"/>
      <c r="E101" s="172"/>
      <c r="F101" s="172"/>
      <c r="G101" s="172"/>
    </row>
    <row r="102" spans="2:7" hidden="1" x14ac:dyDescent="0.3">
      <c r="B102" s="172"/>
      <c r="C102" s="172"/>
      <c r="D102" s="172"/>
      <c r="E102" s="172"/>
      <c r="F102" s="172"/>
      <c r="G102" s="172"/>
    </row>
    <row r="103" spans="2:7" hidden="1" x14ac:dyDescent="0.3">
      <c r="B103" s="172"/>
      <c r="C103" s="172"/>
      <c r="D103" s="172"/>
      <c r="E103" s="172"/>
      <c r="F103" s="172"/>
      <c r="G103" s="172"/>
    </row>
    <row r="104" spans="2:7" hidden="1" x14ac:dyDescent="0.3">
      <c r="B104" s="172"/>
      <c r="C104" s="172"/>
      <c r="D104" s="172"/>
      <c r="E104" s="172"/>
      <c r="F104" s="172"/>
      <c r="G104" s="172"/>
    </row>
    <row r="105" spans="2:7" hidden="1" x14ac:dyDescent="0.3">
      <c r="B105" s="172"/>
      <c r="C105" s="172"/>
      <c r="D105" s="172"/>
      <c r="E105" s="172"/>
      <c r="F105" s="172"/>
      <c r="G105" s="172"/>
    </row>
    <row r="106" spans="2:7" hidden="1" x14ac:dyDescent="0.3">
      <c r="B106" s="172"/>
      <c r="C106" s="172"/>
      <c r="D106" s="172"/>
      <c r="E106" s="172"/>
      <c r="F106" s="172"/>
      <c r="G106" s="172"/>
    </row>
    <row r="107" spans="2:7" hidden="1" x14ac:dyDescent="0.3">
      <c r="B107" s="172"/>
      <c r="C107" s="172"/>
      <c r="D107" s="172"/>
      <c r="E107" s="172"/>
      <c r="F107" s="172"/>
      <c r="G107" s="172"/>
    </row>
    <row r="108" spans="2:7" hidden="1" x14ac:dyDescent="0.3">
      <c r="B108" s="172"/>
      <c r="C108" s="172"/>
      <c r="D108" s="172"/>
      <c r="E108" s="172"/>
      <c r="F108" s="172"/>
      <c r="G108" s="172"/>
    </row>
    <row r="109" spans="2:7" hidden="1" x14ac:dyDescent="0.3">
      <c r="B109" s="172"/>
      <c r="C109" s="172"/>
      <c r="D109" s="172"/>
      <c r="E109" s="172"/>
      <c r="F109" s="172"/>
      <c r="G109" s="172"/>
    </row>
    <row r="110" spans="2:7" hidden="1" x14ac:dyDescent="0.3">
      <c r="B110" s="172"/>
      <c r="C110" s="172"/>
      <c r="D110" s="172"/>
      <c r="E110" s="172"/>
      <c r="F110" s="172"/>
      <c r="G110" s="172"/>
    </row>
    <row r="111" spans="2:7" hidden="1" x14ac:dyDescent="0.3">
      <c r="B111" s="172"/>
      <c r="C111" s="172"/>
      <c r="D111" s="172"/>
      <c r="E111" s="172"/>
      <c r="F111" s="172"/>
      <c r="G111" s="172"/>
    </row>
    <row r="112" spans="2:7" hidden="1" x14ac:dyDescent="0.3">
      <c r="B112" s="172"/>
      <c r="C112" s="172"/>
      <c r="D112" s="172"/>
      <c r="E112" s="172"/>
      <c r="F112" s="172"/>
      <c r="G112" s="172"/>
    </row>
    <row r="113" spans="2:7" hidden="1" x14ac:dyDescent="0.3">
      <c r="B113" s="172"/>
      <c r="C113" s="172"/>
      <c r="D113" s="172"/>
      <c r="E113" s="172"/>
      <c r="F113" s="172"/>
      <c r="G113" s="172"/>
    </row>
    <row r="114" spans="2:7" hidden="1" x14ac:dyDescent="0.3">
      <c r="B114" s="172"/>
      <c r="C114" s="172"/>
      <c r="D114" s="172"/>
      <c r="E114" s="172"/>
      <c r="F114" s="172"/>
      <c r="G114" s="172"/>
    </row>
    <row r="115" spans="2:7" s="172" customFormat="1" hidden="1" x14ac:dyDescent="0.3"/>
    <row r="116" spans="2:7" hidden="1" x14ac:dyDescent="0.3">
      <c r="B116" s="172"/>
      <c r="C116" s="172"/>
      <c r="D116" s="172"/>
      <c r="E116" s="172"/>
      <c r="F116" s="172"/>
      <c r="G116" s="172"/>
    </row>
    <row r="117" spans="2:7" s="172" customFormat="1" hidden="1" x14ac:dyDescent="0.3"/>
    <row r="118" spans="2:7" hidden="1" x14ac:dyDescent="0.3">
      <c r="B118" s="172"/>
      <c r="C118" s="172"/>
      <c r="D118" s="172"/>
      <c r="E118" s="172"/>
      <c r="F118" s="172"/>
      <c r="G118" s="172"/>
    </row>
    <row r="119" spans="2:7" s="172" customFormat="1" hidden="1" x14ac:dyDescent="0.3"/>
    <row r="120" spans="2:7" hidden="1" x14ac:dyDescent="0.3">
      <c r="B120" s="172"/>
      <c r="C120" s="172"/>
      <c r="D120" s="172"/>
      <c r="E120" s="172"/>
      <c r="F120" s="172"/>
      <c r="G120" s="172"/>
    </row>
    <row r="121" spans="2:7" s="172" customFormat="1" hidden="1" x14ac:dyDescent="0.3"/>
    <row r="122" spans="2:7" hidden="1" x14ac:dyDescent="0.3">
      <c r="B122" s="172"/>
      <c r="C122" s="172"/>
      <c r="D122" s="172"/>
      <c r="E122" s="172"/>
      <c r="F122" s="172"/>
      <c r="G122" s="172"/>
    </row>
    <row r="123" spans="2:7" s="172" customFormat="1" hidden="1" x14ac:dyDescent="0.3"/>
    <row r="124" spans="2:7" hidden="1" x14ac:dyDescent="0.3">
      <c r="B124" s="172"/>
      <c r="C124" s="172"/>
      <c r="D124" s="172"/>
      <c r="E124" s="172"/>
      <c r="F124" s="172"/>
      <c r="G124" s="172"/>
    </row>
    <row r="125" spans="2:7" s="172" customFormat="1" hidden="1" x14ac:dyDescent="0.3"/>
    <row r="126" spans="2:7" hidden="1" x14ac:dyDescent="0.3">
      <c r="B126" s="172"/>
      <c r="C126" s="172"/>
      <c r="D126" s="172"/>
      <c r="E126" s="172"/>
      <c r="F126" s="172"/>
      <c r="G126" s="172"/>
    </row>
    <row r="127" spans="2:7" hidden="1" x14ac:dyDescent="0.3">
      <c r="B127" s="172"/>
      <c r="C127" s="172"/>
      <c r="D127" s="172"/>
      <c r="E127" s="172"/>
      <c r="F127" s="172"/>
      <c r="G127" s="172"/>
    </row>
    <row r="128" spans="2:7" hidden="1" x14ac:dyDescent="0.3">
      <c r="B128" s="172"/>
      <c r="C128" s="172"/>
      <c r="D128" s="172"/>
      <c r="E128" s="172"/>
      <c r="F128" s="172"/>
      <c r="G128" s="172"/>
    </row>
    <row r="129" spans="2:7" hidden="1" x14ac:dyDescent="0.3">
      <c r="B129" s="172"/>
      <c r="C129" s="172"/>
      <c r="D129" s="172"/>
      <c r="E129" s="172"/>
      <c r="F129" s="172"/>
      <c r="G129" s="172"/>
    </row>
    <row r="130" spans="2:7" hidden="1" x14ac:dyDescent="0.3">
      <c r="B130" s="172"/>
      <c r="C130" s="172"/>
      <c r="D130" s="172"/>
      <c r="E130" s="172"/>
      <c r="F130" s="172"/>
      <c r="G130" s="172"/>
    </row>
    <row r="131" spans="2:7" hidden="1" x14ac:dyDescent="0.3">
      <c r="B131" s="172"/>
      <c r="C131" s="172"/>
      <c r="D131" s="172"/>
      <c r="E131" s="172"/>
      <c r="F131" s="172"/>
      <c r="G131" s="172"/>
    </row>
    <row r="132" spans="2:7" hidden="1" x14ac:dyDescent="0.3">
      <c r="B132" s="172"/>
      <c r="C132" s="172"/>
      <c r="D132" s="172"/>
      <c r="E132" s="172"/>
      <c r="F132" s="172"/>
      <c r="G132" s="172"/>
    </row>
    <row r="134" spans="2:7" x14ac:dyDescent="0.3">
      <c r="B134" s="167" t="s">
        <v>83</v>
      </c>
      <c r="C134" s="168"/>
      <c r="D134" s="168"/>
      <c r="E134" s="168"/>
      <c r="F134" s="168"/>
      <c r="G134" s="168"/>
    </row>
    <row r="135" spans="2:7" x14ac:dyDescent="0.3">
      <c r="B135" s="169" t="s">
        <v>9</v>
      </c>
      <c r="C135" s="169" t="s">
        <v>46</v>
      </c>
      <c r="D135" s="169" t="s">
        <v>42</v>
      </c>
      <c r="E135" s="169" t="s">
        <v>84</v>
      </c>
      <c r="F135" s="169" t="s">
        <v>85</v>
      </c>
      <c r="G135" s="170" t="s">
        <v>86</v>
      </c>
    </row>
    <row r="136" spans="2:7" x14ac:dyDescent="0.3">
      <c r="B136" s="205"/>
      <c r="C136" s="205"/>
      <c r="D136" s="205"/>
      <c r="E136" s="205" t="s">
        <v>7</v>
      </c>
      <c r="F136" s="205" t="s">
        <v>7</v>
      </c>
      <c r="G136" s="206"/>
    </row>
    <row r="137" spans="2:7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</row>
    <row r="138" spans="2:7" hidden="1" x14ac:dyDescent="0.3">
      <c r="B138" s="172" t="s">
        <v>189</v>
      </c>
      <c r="C138" s="172" t="s">
        <v>79</v>
      </c>
      <c r="D138" s="172" t="s">
        <v>218</v>
      </c>
      <c r="E138" s="172">
        <v>2.5517939634516498E-2</v>
      </c>
      <c r="F138" s="172">
        <v>2.4908795478618299E-2</v>
      </c>
      <c r="G138" s="172">
        <v>1.02445498243466</v>
      </c>
    </row>
    <row r="139" spans="2:7" hidden="1" x14ac:dyDescent="0.3">
      <c r="B139" s="172" t="s">
        <v>187</v>
      </c>
      <c r="C139" s="172" t="s">
        <v>79</v>
      </c>
      <c r="D139" s="172" t="s">
        <v>218</v>
      </c>
      <c r="E139" s="172">
        <v>2.6145927836400001E-2</v>
      </c>
      <c r="F139" s="172">
        <v>2.4046273531058201E-2</v>
      </c>
      <c r="G139" s="172">
        <v>1.08731724284139</v>
      </c>
    </row>
    <row r="140" spans="2:7" hidden="1" x14ac:dyDescent="0.3">
      <c r="B140" s="172" t="s">
        <v>185</v>
      </c>
      <c r="C140" s="172" t="s">
        <v>79</v>
      </c>
      <c r="D140" s="172" t="s">
        <v>218</v>
      </c>
      <c r="E140" s="172">
        <v>2.5029658850912101E-2</v>
      </c>
      <c r="F140" s="172">
        <v>2.2984362164513598E-2</v>
      </c>
      <c r="G140" s="172">
        <v>1.08898644529524</v>
      </c>
    </row>
    <row r="141" spans="2:7" hidden="1" x14ac:dyDescent="0.3">
      <c r="B141" s="172" t="s">
        <v>183</v>
      </c>
      <c r="C141" s="172" t="s">
        <v>79</v>
      </c>
      <c r="D141" s="172" t="s">
        <v>218</v>
      </c>
      <c r="E141" s="172">
        <v>2.3396964583299502E-2</v>
      </c>
      <c r="F141" s="172">
        <v>2.1454633908628801E-2</v>
      </c>
      <c r="G141" s="172">
        <v>1.0905319887042899</v>
      </c>
    </row>
    <row r="142" spans="2:7" hidden="1" x14ac:dyDescent="0.3">
      <c r="B142" s="172" t="s">
        <v>181</v>
      </c>
      <c r="C142" s="172" t="s">
        <v>79</v>
      </c>
      <c r="D142" s="172" t="s">
        <v>218</v>
      </c>
      <c r="E142" s="172">
        <v>2.12985380757321E-2</v>
      </c>
      <c r="F142" s="172">
        <v>1.9503493785614501E-2</v>
      </c>
      <c r="G142" s="172">
        <v>1.0920370631974401</v>
      </c>
    </row>
    <row r="143" spans="2:7" hidden="1" x14ac:dyDescent="0.3">
      <c r="B143" s="172" t="s">
        <v>179</v>
      </c>
      <c r="C143" s="172" t="s">
        <v>79</v>
      </c>
      <c r="D143" s="172" t="s">
        <v>218</v>
      </c>
      <c r="E143" s="172">
        <v>1.8808319320353699E-2</v>
      </c>
      <c r="F143" s="172">
        <v>1.7199001209061301E-2</v>
      </c>
      <c r="G143" s="172">
        <v>1.09357044003489</v>
      </c>
    </row>
    <row r="144" spans="2:7" hidden="1" x14ac:dyDescent="0.3">
      <c r="B144" s="172" t="s">
        <v>39</v>
      </c>
      <c r="C144" s="172" t="s">
        <v>79</v>
      </c>
      <c r="D144" s="172" t="s">
        <v>218</v>
      </c>
      <c r="E144" s="172">
        <v>1.5994934930708599E-2</v>
      </c>
      <c r="F144" s="172">
        <v>1.4604461234502901E-2</v>
      </c>
      <c r="G144" s="172">
        <v>1.0952088320054401</v>
      </c>
    </row>
    <row r="145" spans="2:7" hidden="1" x14ac:dyDescent="0.3">
      <c r="B145" s="172" t="s">
        <v>26</v>
      </c>
      <c r="C145" s="172" t="s">
        <v>79</v>
      </c>
      <c r="D145" s="172" t="s">
        <v>218</v>
      </c>
      <c r="E145" s="172">
        <v>1.29223373777127E-2</v>
      </c>
      <c r="F145" s="172">
        <v>1.17791518611613E-2</v>
      </c>
      <c r="G145" s="172">
        <v>1.0970515984534299</v>
      </c>
    </row>
    <row r="146" spans="2:7" hidden="1" x14ac:dyDescent="0.3">
      <c r="B146" s="172" t="s">
        <v>25</v>
      </c>
      <c r="C146" s="172" t="s">
        <v>79</v>
      </c>
      <c r="D146" s="172" t="s">
        <v>218</v>
      </c>
      <c r="E146" s="172">
        <v>9.6554863611166691E-3</v>
      </c>
      <c r="F146" s="172">
        <v>8.7834482889386604E-3</v>
      </c>
      <c r="G146" s="172">
        <v>1.09928197257974</v>
      </c>
    </row>
    <row r="147" spans="2:7" hidden="1" x14ac:dyDescent="0.3">
      <c r="B147" s="172" t="s">
        <v>24</v>
      </c>
      <c r="C147" s="172" t="s">
        <v>79</v>
      </c>
      <c r="D147" s="172" t="s">
        <v>218</v>
      </c>
      <c r="E147" s="172">
        <v>6.2720719819323997E-3</v>
      </c>
      <c r="F147" s="172">
        <v>5.6891728785562704E-3</v>
      </c>
      <c r="G147" s="172">
        <v>1.1024576183250101</v>
      </c>
    </row>
    <row r="148" spans="2:7" hidden="1" x14ac:dyDescent="0.3">
      <c r="B148" s="172" t="s">
        <v>22</v>
      </c>
      <c r="C148" s="172" t="s">
        <v>79</v>
      </c>
      <c r="D148" s="172" t="s">
        <v>218</v>
      </c>
      <c r="E148" s="172">
        <v>2.8994773606483802E-3</v>
      </c>
      <c r="F148" s="172">
        <v>2.61517323848539E-3</v>
      </c>
      <c r="G148" s="172">
        <v>1.10871330356977</v>
      </c>
    </row>
    <row r="149" spans="2:7" x14ac:dyDescent="0.3">
      <c r="B149" s="172" t="s">
        <v>189</v>
      </c>
      <c r="C149" s="172" t="s">
        <v>80</v>
      </c>
      <c r="D149" s="172" t="s">
        <v>218</v>
      </c>
      <c r="E149" s="172">
        <v>2.58208581781279E-2</v>
      </c>
      <c r="F149" s="172">
        <v>2.53361662377572E-2</v>
      </c>
      <c r="G149" s="172">
        <v>1.0191304373290799</v>
      </c>
    </row>
    <row r="150" spans="2:7" x14ac:dyDescent="0.3">
      <c r="B150" s="172" t="s">
        <v>187</v>
      </c>
      <c r="C150" s="172" t="s">
        <v>80</v>
      </c>
      <c r="D150" s="172" t="s">
        <v>218</v>
      </c>
      <c r="E150" s="172">
        <v>2.6029105677915099E-2</v>
      </c>
      <c r="F150" s="172">
        <v>2.4051625387992499E-2</v>
      </c>
      <c r="G150" s="172">
        <v>1.0822181560714701</v>
      </c>
    </row>
    <row r="151" spans="2:7" x14ac:dyDescent="0.3">
      <c r="B151" s="172" t="s">
        <v>185</v>
      </c>
      <c r="C151" s="172" t="s">
        <v>80</v>
      </c>
      <c r="D151" s="172" t="s">
        <v>218</v>
      </c>
      <c r="E151" s="172">
        <v>2.4908768393160401E-2</v>
      </c>
      <c r="F151" s="172">
        <v>2.2991951506546301E-2</v>
      </c>
      <c r="G151" s="172">
        <v>1.0833690383379699</v>
      </c>
    </row>
    <row r="152" spans="2:7" x14ac:dyDescent="0.3">
      <c r="B152" s="172" t="s">
        <v>183</v>
      </c>
      <c r="C152" s="172" t="s">
        <v>80</v>
      </c>
      <c r="D152" s="172" t="s">
        <v>218</v>
      </c>
      <c r="E152" s="172">
        <v>2.3276192453039999E-2</v>
      </c>
      <c r="F152" s="172">
        <v>2.14638864757721E-2</v>
      </c>
      <c r="G152" s="172">
        <v>1.0844351268496299</v>
      </c>
    </row>
    <row r="153" spans="2:7" x14ac:dyDescent="0.3">
      <c r="B153" s="172" t="s">
        <v>181</v>
      </c>
      <c r="C153" s="172" t="s">
        <v>80</v>
      </c>
      <c r="D153" s="172" t="s">
        <v>218</v>
      </c>
      <c r="E153" s="172">
        <v>2.1181339809043499E-2</v>
      </c>
      <c r="F153" s="172">
        <v>1.9513694398763898E-2</v>
      </c>
      <c r="G153" s="172">
        <v>1.0854602606867301</v>
      </c>
    </row>
    <row r="154" spans="2:7" x14ac:dyDescent="0.3">
      <c r="B154" s="172" t="s">
        <v>179</v>
      </c>
      <c r="C154" s="172" t="s">
        <v>80</v>
      </c>
      <c r="D154" s="172" t="s">
        <v>218</v>
      </c>
      <c r="E154" s="172">
        <v>1.8698885696695401E-2</v>
      </c>
      <c r="F154" s="172">
        <v>1.72095126704974E-2</v>
      </c>
      <c r="G154" s="172">
        <v>1.0865435910193499</v>
      </c>
    </row>
    <row r="155" spans="2:7" x14ac:dyDescent="0.3">
      <c r="B155" s="172" t="s">
        <v>39</v>
      </c>
      <c r="C155" s="172" t="s">
        <v>80</v>
      </c>
      <c r="D155" s="172" t="s">
        <v>218</v>
      </c>
      <c r="E155" s="172">
        <v>1.5897436755922201E-2</v>
      </c>
      <c r="F155" s="172">
        <v>1.46146729120621E-2</v>
      </c>
      <c r="G155" s="172">
        <v>1.0877723265911301</v>
      </c>
    </row>
    <row r="156" spans="2:7" x14ac:dyDescent="0.3">
      <c r="B156" s="172" t="s">
        <v>26</v>
      </c>
      <c r="C156" s="172" t="s">
        <v>80</v>
      </c>
      <c r="D156" s="172" t="s">
        <v>218</v>
      </c>
      <c r="E156" s="172">
        <v>1.2840500968831801E-2</v>
      </c>
      <c r="F156" s="172">
        <v>1.17884263862913E-2</v>
      </c>
      <c r="G156" s="172">
        <v>1.0892463971072399</v>
      </c>
    </row>
    <row r="157" spans="2:7" x14ac:dyDescent="0.3">
      <c r="B157" s="172" t="s">
        <v>25</v>
      </c>
      <c r="C157" s="172" t="s">
        <v>80</v>
      </c>
      <c r="D157" s="172" t="s">
        <v>218</v>
      </c>
      <c r="E157" s="172">
        <v>9.5920674020378693E-3</v>
      </c>
      <c r="F157" s="172">
        <v>8.7910746292713393E-3</v>
      </c>
      <c r="G157" s="172">
        <v>1.0911143183905501</v>
      </c>
    </row>
    <row r="158" spans="2:7" x14ac:dyDescent="0.3">
      <c r="B158" s="172" t="s">
        <v>24</v>
      </c>
      <c r="C158" s="172" t="s">
        <v>80</v>
      </c>
      <c r="D158" s="172" t="s">
        <v>218</v>
      </c>
      <c r="E158" s="172">
        <v>6.2277466155633704E-3</v>
      </c>
      <c r="F158" s="172">
        <v>5.6943509163277801E-3</v>
      </c>
      <c r="G158" s="172">
        <v>1.0936710271413299</v>
      </c>
    </row>
    <row r="159" spans="2:7" x14ac:dyDescent="0.3">
      <c r="B159" s="172" t="s">
        <v>22</v>
      </c>
      <c r="C159" s="172" t="s">
        <v>80</v>
      </c>
      <c r="D159" s="172" t="s">
        <v>218</v>
      </c>
      <c r="E159" s="172">
        <v>2.8732805138624801E-3</v>
      </c>
      <c r="F159" s="172">
        <v>2.6172563699649399E-3</v>
      </c>
      <c r="G159" s="172">
        <v>1.0978215763788499</v>
      </c>
    </row>
    <row r="160" spans="2:7" hidden="1" x14ac:dyDescent="0.3">
      <c r="B160" s="172" t="s">
        <v>189</v>
      </c>
      <c r="C160" s="172" t="s">
        <v>81</v>
      </c>
      <c r="D160" s="172" t="s">
        <v>221</v>
      </c>
      <c r="E160" s="172">
        <v>2.2422412410531702E-2</v>
      </c>
      <c r="F160" s="172">
        <v>2.1916683313246001E-2</v>
      </c>
      <c r="G160" s="172">
        <v>1.02307507436492</v>
      </c>
    </row>
    <row r="161" spans="2:7" hidden="1" x14ac:dyDescent="0.3">
      <c r="B161" s="172" t="s">
        <v>187</v>
      </c>
      <c r="C161" s="172" t="s">
        <v>81</v>
      </c>
      <c r="D161" s="172" t="s">
        <v>221</v>
      </c>
      <c r="E161" s="172">
        <v>2.5352019624322802E-2</v>
      </c>
      <c r="F161" s="172">
        <v>2.3036119457703799E-2</v>
      </c>
      <c r="G161" s="172">
        <v>1.1005334327628999</v>
      </c>
    </row>
    <row r="162" spans="2:7" hidden="1" x14ac:dyDescent="0.3">
      <c r="B162" s="172" t="s">
        <v>185</v>
      </c>
      <c r="C162" s="172" t="s">
        <v>81</v>
      </c>
      <c r="D162" s="172" t="s">
        <v>221</v>
      </c>
      <c r="E162" s="172">
        <v>2.4459990009199201E-2</v>
      </c>
      <c r="F162" s="172">
        <v>2.2159313194632799E-2</v>
      </c>
      <c r="G162" s="172">
        <v>1.10382437372308</v>
      </c>
    </row>
    <row r="163" spans="2:7" hidden="1" x14ac:dyDescent="0.3">
      <c r="B163" s="172" t="s">
        <v>183</v>
      </c>
      <c r="C163" s="172" t="s">
        <v>81</v>
      </c>
      <c r="D163" s="172" t="s">
        <v>221</v>
      </c>
      <c r="E163" s="172">
        <v>2.3037859113385899E-2</v>
      </c>
      <c r="F163" s="172">
        <v>2.0809699268122601E-2</v>
      </c>
      <c r="G163" s="172">
        <v>1.1070731401042599</v>
      </c>
    </row>
    <row r="164" spans="2:7" hidden="1" x14ac:dyDescent="0.3">
      <c r="B164" s="172" t="s">
        <v>181</v>
      </c>
      <c r="C164" s="172" t="s">
        <v>81</v>
      </c>
      <c r="D164" s="172" t="s">
        <v>221</v>
      </c>
      <c r="E164" s="172">
        <v>2.1112270525655501E-2</v>
      </c>
      <c r="F164" s="172">
        <v>1.9026783458875401E-2</v>
      </c>
      <c r="G164" s="172">
        <v>1.1096079676991999</v>
      </c>
    </row>
    <row r="165" spans="2:7" hidden="1" x14ac:dyDescent="0.3">
      <c r="B165" s="172" t="s">
        <v>179</v>
      </c>
      <c r="C165" s="172" t="s">
        <v>81</v>
      </c>
      <c r="D165" s="172" t="s">
        <v>221</v>
      </c>
      <c r="E165" s="172">
        <v>1.8755863372460602E-2</v>
      </c>
      <c r="F165" s="172">
        <v>1.6876120511536901E-2</v>
      </c>
      <c r="G165" s="172">
        <v>1.11138477351111</v>
      </c>
    </row>
    <row r="166" spans="2:7" hidden="1" x14ac:dyDescent="0.3">
      <c r="B166" s="172" t="s">
        <v>39</v>
      </c>
      <c r="C166" s="172" t="s">
        <v>81</v>
      </c>
      <c r="D166" s="172" t="s">
        <v>221</v>
      </c>
      <c r="E166" s="172">
        <v>1.6036451211610198E-2</v>
      </c>
      <c r="F166" s="172">
        <v>1.44186751382756E-2</v>
      </c>
      <c r="G166" s="172">
        <v>1.11220005013082</v>
      </c>
    </row>
    <row r="167" spans="2:7" hidden="1" x14ac:dyDescent="0.3">
      <c r="B167" s="172" t="s">
        <v>26</v>
      </c>
      <c r="C167" s="172" t="s">
        <v>81</v>
      </c>
      <c r="D167" s="172" t="s">
        <v>221</v>
      </c>
      <c r="E167" s="172">
        <v>1.3013335420181101E-2</v>
      </c>
      <c r="F167" s="172">
        <v>1.17083224100297E-2</v>
      </c>
      <c r="G167" s="172">
        <v>1.11146028990742</v>
      </c>
    </row>
    <row r="168" spans="2:7" hidden="1" x14ac:dyDescent="0.3">
      <c r="B168" s="172" t="s">
        <v>25</v>
      </c>
      <c r="C168" s="172" t="s">
        <v>81</v>
      </c>
      <c r="D168" s="172" t="s">
        <v>221</v>
      </c>
      <c r="E168" s="172">
        <v>9.7435272446156802E-3</v>
      </c>
      <c r="F168" s="172">
        <v>8.7971679438184798E-3</v>
      </c>
      <c r="G168" s="172">
        <v>1.1075754500585799</v>
      </c>
    </row>
    <row r="169" spans="2:7" hidden="1" x14ac:dyDescent="0.3">
      <c r="B169" s="172" t="s">
        <v>24</v>
      </c>
      <c r="C169" s="172" t="s">
        <v>81</v>
      </c>
      <c r="D169" s="172" t="s">
        <v>221</v>
      </c>
      <c r="E169" s="172">
        <v>6.2991308112108103E-3</v>
      </c>
      <c r="F169" s="172">
        <v>5.7482881954872096E-3</v>
      </c>
      <c r="G169" s="172">
        <v>1.09582724404042</v>
      </c>
    </row>
    <row r="170" spans="2:7" hidden="1" x14ac:dyDescent="0.3">
      <c r="B170" s="172" t="s">
        <v>22</v>
      </c>
      <c r="C170" s="172" t="s">
        <v>81</v>
      </c>
      <c r="D170" s="172" t="s">
        <v>221</v>
      </c>
      <c r="E170" s="172">
        <v>2.8329479601458302E-3</v>
      </c>
      <c r="F170" s="172">
        <v>2.66596047000156E-3</v>
      </c>
      <c r="G170" s="172">
        <v>1.0626368965419</v>
      </c>
    </row>
    <row r="171" spans="2:7" hidden="1" x14ac:dyDescent="0.3">
      <c r="B171" s="172" t="s">
        <v>189</v>
      </c>
      <c r="C171" s="172" t="s">
        <v>82</v>
      </c>
      <c r="D171" s="172" t="s">
        <v>221</v>
      </c>
      <c r="E171" s="172">
        <v>2.1251969192644399E-2</v>
      </c>
      <c r="F171" s="172">
        <v>1.9885220260963999E-2</v>
      </c>
      <c r="G171" s="172">
        <v>1.0687318980500999</v>
      </c>
    </row>
    <row r="172" spans="2:7" hidden="1" x14ac:dyDescent="0.3">
      <c r="B172" s="172" t="s">
        <v>187</v>
      </c>
      <c r="C172" s="172" t="s">
        <v>82</v>
      </c>
      <c r="D172" s="172" t="s">
        <v>221</v>
      </c>
      <c r="E172" s="172">
        <v>3.0575034661066799E-2</v>
      </c>
      <c r="F172" s="172">
        <v>2.4224460378441399E-2</v>
      </c>
      <c r="G172" s="172">
        <v>1.2621554488073199</v>
      </c>
    </row>
    <row r="173" spans="2:7" hidden="1" x14ac:dyDescent="0.3">
      <c r="B173" s="172" t="s">
        <v>185</v>
      </c>
      <c r="C173" s="172" t="s">
        <v>82</v>
      </c>
      <c r="D173" s="172" t="s">
        <v>221</v>
      </c>
      <c r="E173" s="172">
        <v>2.9544808882046601E-2</v>
      </c>
      <c r="F173" s="172">
        <v>2.33205667362654E-2</v>
      </c>
      <c r="G173" s="172">
        <v>1.26689926605008</v>
      </c>
    </row>
    <row r="174" spans="2:7" hidden="1" x14ac:dyDescent="0.3">
      <c r="B174" s="172" t="s">
        <v>183</v>
      </c>
      <c r="C174" s="172" t="s">
        <v>82</v>
      </c>
      <c r="D174" s="172" t="s">
        <v>221</v>
      </c>
      <c r="E174" s="172">
        <v>2.7867372368763799E-2</v>
      </c>
      <c r="F174" s="172">
        <v>2.1917930313963298E-2</v>
      </c>
      <c r="G174" s="172">
        <v>1.2714417816635799</v>
      </c>
    </row>
    <row r="175" spans="2:7" hidden="1" x14ac:dyDescent="0.3">
      <c r="B175" s="172" t="s">
        <v>181</v>
      </c>
      <c r="C175" s="172" t="s">
        <v>82</v>
      </c>
      <c r="D175" s="172" t="s">
        <v>221</v>
      </c>
      <c r="E175" s="172">
        <v>2.5574243129089801E-2</v>
      </c>
      <c r="F175" s="172">
        <v>2.0054010818451099E-2</v>
      </c>
      <c r="G175" s="172">
        <v>1.2752682423787101</v>
      </c>
    </row>
    <row r="176" spans="2:7" hidden="1" x14ac:dyDescent="0.3">
      <c r="B176" s="172" t="s">
        <v>179</v>
      </c>
      <c r="C176" s="172" t="s">
        <v>82</v>
      </c>
      <c r="D176" s="172" t="s">
        <v>221</v>
      </c>
      <c r="E176" s="172">
        <v>2.2753343760268E-2</v>
      </c>
      <c r="F176" s="172">
        <v>1.7797580401104601E-2</v>
      </c>
      <c r="G176" s="172">
        <v>1.2784515224808799</v>
      </c>
    </row>
    <row r="177" spans="2:7" hidden="1" x14ac:dyDescent="0.3">
      <c r="B177" s="172" t="s">
        <v>39</v>
      </c>
      <c r="C177" s="172" t="s">
        <v>82</v>
      </c>
      <c r="D177" s="172" t="s">
        <v>221</v>
      </c>
      <c r="E177" s="172">
        <v>1.9486170478429501E-2</v>
      </c>
      <c r="F177" s="172">
        <v>1.52127617271904E-2</v>
      </c>
      <c r="G177" s="172">
        <v>1.2809094645583701</v>
      </c>
    </row>
    <row r="178" spans="2:7" hidden="1" x14ac:dyDescent="0.3">
      <c r="B178" s="172" t="s">
        <v>26</v>
      </c>
      <c r="C178" s="172" t="s">
        <v>82</v>
      </c>
      <c r="D178" s="172" t="s">
        <v>221</v>
      </c>
      <c r="E178" s="172">
        <v>1.58434011808062E-2</v>
      </c>
      <c r="F178" s="172">
        <v>1.2356003061493899E-2</v>
      </c>
      <c r="G178" s="172">
        <v>1.28224322233946</v>
      </c>
    </row>
    <row r="179" spans="2:7" hidden="1" x14ac:dyDescent="0.3">
      <c r="B179" s="172" t="s">
        <v>25</v>
      </c>
      <c r="C179" s="172" t="s">
        <v>82</v>
      </c>
      <c r="D179" s="172" t="s">
        <v>221</v>
      </c>
      <c r="E179" s="172">
        <v>1.1892484322899599E-2</v>
      </c>
      <c r="F179" s="172">
        <v>9.2817526285591603E-3</v>
      </c>
      <c r="G179" s="172">
        <v>1.28127572440441</v>
      </c>
    </row>
    <row r="180" spans="2:7" hidden="1" x14ac:dyDescent="0.3">
      <c r="B180" s="172" t="s">
        <v>24</v>
      </c>
      <c r="C180" s="172" t="s">
        <v>82</v>
      </c>
      <c r="D180" s="172" t="s">
        <v>221</v>
      </c>
      <c r="E180" s="172">
        <v>7.71853206181888E-3</v>
      </c>
      <c r="F180" s="172">
        <v>6.0564479626644199E-3</v>
      </c>
      <c r="G180" s="172">
        <v>1.27443216046774</v>
      </c>
    </row>
    <row r="181" spans="2:7" hidden="1" x14ac:dyDescent="0.3">
      <c r="B181" s="172" t="s">
        <v>22</v>
      </c>
      <c r="C181" s="172" t="s">
        <v>82</v>
      </c>
      <c r="D181" s="172" t="s">
        <v>221</v>
      </c>
      <c r="E181" s="172">
        <v>3.5010530903946601E-3</v>
      </c>
      <c r="F181" s="172">
        <v>2.7958743075794999E-3</v>
      </c>
      <c r="G181" s="172">
        <v>1.2522212035439</v>
      </c>
    </row>
    <row r="182" spans="2:7" hidden="1" x14ac:dyDescent="0.3">
      <c r="B182" s="172" t="s">
        <v>189</v>
      </c>
      <c r="C182" s="172" t="s">
        <v>246</v>
      </c>
      <c r="D182" s="172" t="s">
        <v>218</v>
      </c>
      <c r="E182" s="172">
        <v>2.83618699841298E-3</v>
      </c>
      <c r="F182" s="172">
        <v>2.7613095769120398E-3</v>
      </c>
      <c r="G182" s="172">
        <v>1.0271166341242599</v>
      </c>
    </row>
    <row r="183" spans="2:7" hidden="1" x14ac:dyDescent="0.3">
      <c r="B183" s="172" t="s">
        <v>187</v>
      </c>
      <c r="C183" s="172" t="s">
        <v>246</v>
      </c>
      <c r="D183" s="172" t="s">
        <v>218</v>
      </c>
      <c r="E183" s="172">
        <v>2.2595066827238099E-3</v>
      </c>
      <c r="F183" s="172">
        <v>2.1244680149837599E-3</v>
      </c>
      <c r="G183" s="172">
        <v>1.06356352121455</v>
      </c>
    </row>
    <row r="184" spans="2:7" hidden="1" x14ac:dyDescent="0.3">
      <c r="B184" s="172" t="s">
        <v>185</v>
      </c>
      <c r="C184" s="172" t="s">
        <v>246</v>
      </c>
      <c r="D184" s="172" t="s">
        <v>218</v>
      </c>
      <c r="E184" s="172">
        <v>1.9561059239692901E-3</v>
      </c>
      <c r="F184" s="172">
        <v>1.8197736545572699E-3</v>
      </c>
      <c r="G184" s="172">
        <v>1.0749171574556</v>
      </c>
    </row>
    <row r="185" spans="2:7" hidden="1" x14ac:dyDescent="0.3">
      <c r="B185" s="172" t="s">
        <v>183</v>
      </c>
      <c r="C185" s="172" t="s">
        <v>246</v>
      </c>
      <c r="D185" s="172" t="s">
        <v>218</v>
      </c>
      <c r="E185" s="172">
        <v>1.6464864603596501E-3</v>
      </c>
      <c r="F185" s="172">
        <v>1.50158381915537E-3</v>
      </c>
      <c r="G185" s="172">
        <v>1.0964998685759599</v>
      </c>
    </row>
    <row r="186" spans="2:7" hidden="1" x14ac:dyDescent="0.3">
      <c r="B186" s="172" t="s">
        <v>181</v>
      </c>
      <c r="C186" s="172" t="s">
        <v>246</v>
      </c>
      <c r="D186" s="172" t="s">
        <v>218</v>
      </c>
      <c r="E186" s="172">
        <v>1.3476865173572699E-3</v>
      </c>
      <c r="F186" s="172">
        <v>1.1972595136954E-3</v>
      </c>
      <c r="G186" s="172">
        <v>1.1256427716306601</v>
      </c>
    </row>
    <row r="187" spans="2:7" hidden="1" x14ac:dyDescent="0.3">
      <c r="B187" s="172" t="s">
        <v>181</v>
      </c>
      <c r="C187" s="172" t="s">
        <v>246</v>
      </c>
      <c r="D187" s="172" t="s">
        <v>221</v>
      </c>
      <c r="E187" s="172">
        <v>3.1719174875277E-4</v>
      </c>
      <c r="F187" s="172">
        <v>1.66764745090901E-4</v>
      </c>
      <c r="G187" s="172">
        <v>1.9020312031771101</v>
      </c>
    </row>
    <row r="188" spans="2:7" hidden="1" x14ac:dyDescent="0.3">
      <c r="B188" s="172" t="s">
        <v>179</v>
      </c>
      <c r="C188" s="172" t="s">
        <v>246</v>
      </c>
      <c r="D188" s="172" t="s">
        <v>218</v>
      </c>
      <c r="E188" s="172">
        <v>1.0658620065291499E-3</v>
      </c>
      <c r="F188" s="172">
        <v>9.1298774389393905E-4</v>
      </c>
      <c r="G188" s="172">
        <v>1.1674439373996299</v>
      </c>
    </row>
    <row r="189" spans="2:7" hidden="1" x14ac:dyDescent="0.3">
      <c r="B189" s="172" t="s">
        <v>179</v>
      </c>
      <c r="C189" s="172" t="s">
        <v>246</v>
      </c>
      <c r="D189" s="172" t="s">
        <v>221</v>
      </c>
      <c r="E189" s="172">
        <v>3.6103997482006398E-4</v>
      </c>
      <c r="F189" s="172">
        <v>2.0816571218485599E-4</v>
      </c>
      <c r="G189" s="172">
        <v>1.7343873351220001</v>
      </c>
    </row>
    <row r="190" spans="2:7" hidden="1" x14ac:dyDescent="0.3">
      <c r="B190" s="172" t="s">
        <v>39</v>
      </c>
      <c r="C190" s="172" t="s">
        <v>246</v>
      </c>
      <c r="D190" s="172" t="s">
        <v>218</v>
      </c>
      <c r="E190" s="172">
        <v>8.0545242019336395E-4</v>
      </c>
      <c r="F190" s="172">
        <v>6.5447505284337796E-4</v>
      </c>
      <c r="G190" s="172">
        <v>1.2306846788033601</v>
      </c>
    </row>
    <row r="191" spans="2:7" hidden="1" x14ac:dyDescent="0.3">
      <c r="B191" s="172" t="s">
        <v>39</v>
      </c>
      <c r="C191" s="172" t="s">
        <v>246</v>
      </c>
      <c r="D191" s="172" t="s">
        <v>221</v>
      </c>
      <c r="E191" s="172">
        <v>3.8528187827820598E-4</v>
      </c>
      <c r="F191" s="172">
        <v>2.3430451092821999E-4</v>
      </c>
      <c r="G191" s="172">
        <v>1.6443638953081801</v>
      </c>
    </row>
    <row r="192" spans="2:7" hidden="1" x14ac:dyDescent="0.3">
      <c r="B192" s="172" t="s">
        <v>26</v>
      </c>
      <c r="C192" s="172" t="s">
        <v>246</v>
      </c>
      <c r="D192" s="172" t="s">
        <v>218</v>
      </c>
      <c r="E192" s="172">
        <v>5.70975599693217E-4</v>
      </c>
      <c r="F192" s="172">
        <v>4.2751039454670399E-4</v>
      </c>
      <c r="G192" s="172">
        <v>1.33558296354088</v>
      </c>
    </row>
    <row r="193" spans="2:7" hidden="1" x14ac:dyDescent="0.3">
      <c r="B193" s="172" t="s">
        <v>26</v>
      </c>
      <c r="C193" s="172" t="s">
        <v>246</v>
      </c>
      <c r="D193" s="172" t="s">
        <v>221</v>
      </c>
      <c r="E193" s="172">
        <v>3.8544659546994197E-4</v>
      </c>
      <c r="F193" s="172">
        <v>2.4198139032342801E-4</v>
      </c>
      <c r="G193" s="172">
        <v>1.59287701816557</v>
      </c>
    </row>
    <row r="194" spans="2:7" hidden="1" x14ac:dyDescent="0.3">
      <c r="B194" s="172" t="s">
        <v>25</v>
      </c>
      <c r="C194" s="172" t="s">
        <v>246</v>
      </c>
      <c r="D194" s="172" t="s">
        <v>218</v>
      </c>
      <c r="E194" s="172">
        <v>3.67439348889338E-4</v>
      </c>
      <c r="F194" s="172">
        <v>2.3856371386769601E-4</v>
      </c>
      <c r="G194" s="172">
        <v>1.54021474151394</v>
      </c>
    </row>
    <row r="195" spans="2:7" hidden="1" x14ac:dyDescent="0.3">
      <c r="B195" s="172" t="s">
        <v>25</v>
      </c>
      <c r="C195" s="172" t="s">
        <v>246</v>
      </c>
      <c r="D195" s="172" t="s">
        <v>221</v>
      </c>
      <c r="E195" s="172">
        <v>3.5653353729840501E-4</v>
      </c>
      <c r="F195" s="172">
        <v>2.2765790227676299E-4</v>
      </c>
      <c r="G195" s="172">
        <v>1.5660933959804699</v>
      </c>
    </row>
    <row r="196" spans="2:7" hidden="1" x14ac:dyDescent="0.3">
      <c r="B196" s="172" t="s">
        <v>24</v>
      </c>
      <c r="C196" s="172" t="s">
        <v>246</v>
      </c>
      <c r="D196" s="172" t="s">
        <v>218</v>
      </c>
      <c r="E196" s="172">
        <v>2.00286108267597E-4</v>
      </c>
      <c r="F196" s="172">
        <v>9.3751691410527401E-5</v>
      </c>
      <c r="G196" s="172">
        <v>2.1363466115034502</v>
      </c>
    </row>
    <row r="197" spans="2:7" hidden="1" x14ac:dyDescent="0.3">
      <c r="B197" s="172" t="s">
        <v>24</v>
      </c>
      <c r="C197" s="172" t="s">
        <v>246</v>
      </c>
      <c r="D197" s="172" t="s">
        <v>221</v>
      </c>
      <c r="E197" s="172">
        <v>2.9509074506146101E-4</v>
      </c>
      <c r="F197" s="172">
        <v>1.8855632820439201E-4</v>
      </c>
      <c r="G197" s="172">
        <v>1.5650004848502801</v>
      </c>
    </row>
    <row r="198" spans="2:7" hidden="1" x14ac:dyDescent="0.3">
      <c r="B198" s="172" t="s">
        <v>22</v>
      </c>
      <c r="C198" s="172" t="s">
        <v>246</v>
      </c>
      <c r="D198" s="172" t="s">
        <v>221</v>
      </c>
      <c r="E198" s="172">
        <v>1.8854291781567501E-4</v>
      </c>
      <c r="F198" s="172">
        <v>1.16684612049434E-4</v>
      </c>
      <c r="G198" s="172">
        <v>1.61583360911204</v>
      </c>
    </row>
    <row r="199" spans="2:7" hidden="1" x14ac:dyDescent="0.3">
      <c r="B199" s="172"/>
      <c r="C199" s="172"/>
      <c r="D199" s="172"/>
      <c r="E199" s="172"/>
      <c r="F199" s="172"/>
      <c r="G199" s="172"/>
    </row>
    <row r="200" spans="2:7" hidden="1" x14ac:dyDescent="0.3">
      <c r="B200" s="172"/>
      <c r="C200" s="172"/>
      <c r="D200" s="172"/>
      <c r="E200" s="172"/>
      <c r="F200" s="172"/>
      <c r="G200" s="172"/>
    </row>
    <row r="201" spans="2:7" hidden="1" x14ac:dyDescent="0.3">
      <c r="B201" s="172"/>
      <c r="C201" s="172"/>
      <c r="D201" s="172"/>
      <c r="E201" s="172"/>
      <c r="F201" s="172"/>
      <c r="G201" s="172"/>
    </row>
    <row r="202" spans="2:7" hidden="1" x14ac:dyDescent="0.3">
      <c r="B202" s="172"/>
      <c r="C202" s="172"/>
      <c r="D202" s="172"/>
      <c r="E202" s="172"/>
      <c r="F202" s="172"/>
      <c r="G202" s="172"/>
    </row>
    <row r="203" spans="2:7" hidden="1" x14ac:dyDescent="0.3">
      <c r="B203" s="172"/>
      <c r="C203" s="172"/>
      <c r="D203" s="172"/>
      <c r="E203" s="172"/>
      <c r="F203" s="172"/>
      <c r="G203" s="172"/>
    </row>
    <row r="204" spans="2:7" hidden="1" x14ac:dyDescent="0.3">
      <c r="B204" s="172"/>
      <c r="C204" s="172"/>
      <c r="D204" s="172"/>
      <c r="E204" s="172"/>
      <c r="F204" s="172"/>
      <c r="G204" s="172"/>
    </row>
    <row r="205" spans="2:7" hidden="1" x14ac:dyDescent="0.3">
      <c r="B205" s="172"/>
      <c r="C205" s="172"/>
      <c r="D205" s="172"/>
      <c r="E205" s="172"/>
      <c r="F205" s="172"/>
      <c r="G205" s="172"/>
    </row>
    <row r="206" spans="2:7" hidden="1" x14ac:dyDescent="0.3">
      <c r="B206" s="172"/>
      <c r="C206" s="172"/>
      <c r="D206" s="172"/>
      <c r="E206" s="172"/>
      <c r="F206" s="172"/>
      <c r="G206" s="172"/>
    </row>
    <row r="207" spans="2:7" hidden="1" x14ac:dyDescent="0.3">
      <c r="B207" s="172"/>
      <c r="C207" s="172"/>
      <c r="D207" s="172"/>
      <c r="E207" s="172"/>
      <c r="F207" s="172"/>
      <c r="G207" s="172"/>
    </row>
    <row r="208" spans="2:7" hidden="1" x14ac:dyDescent="0.3">
      <c r="B208" s="172"/>
      <c r="C208" s="172"/>
      <c r="D208" s="172"/>
      <c r="E208" s="172"/>
      <c r="F208" s="172"/>
      <c r="G208" s="172"/>
    </row>
    <row r="209" spans="2:7" hidden="1" x14ac:dyDescent="0.3">
      <c r="B209" s="172"/>
      <c r="C209" s="172"/>
      <c r="D209" s="172"/>
      <c r="E209" s="172"/>
      <c r="F209" s="172"/>
      <c r="G209" s="172"/>
    </row>
    <row r="210" spans="2:7" hidden="1" x14ac:dyDescent="0.3">
      <c r="B210" s="172"/>
      <c r="C210" s="172"/>
      <c r="D210" s="172"/>
      <c r="E210" s="172"/>
      <c r="F210" s="172"/>
      <c r="G210" s="172"/>
    </row>
    <row r="211" spans="2:7" hidden="1" x14ac:dyDescent="0.3">
      <c r="B211" s="172"/>
      <c r="C211" s="172"/>
      <c r="D211" s="172"/>
      <c r="E211" s="172"/>
      <c r="F211" s="172"/>
      <c r="G211" s="172"/>
    </row>
    <row r="212" spans="2:7" hidden="1" x14ac:dyDescent="0.3">
      <c r="B212" s="172"/>
      <c r="C212" s="172"/>
      <c r="D212" s="172"/>
      <c r="E212" s="172"/>
      <c r="F212" s="172"/>
      <c r="G212" s="172"/>
    </row>
    <row r="213" spans="2:7" hidden="1" x14ac:dyDescent="0.3">
      <c r="B213" s="172"/>
      <c r="C213" s="172"/>
      <c r="D213" s="172"/>
      <c r="E213" s="172"/>
      <c r="F213" s="172"/>
      <c r="G213" s="172"/>
    </row>
    <row r="214" spans="2:7" hidden="1" x14ac:dyDescent="0.3">
      <c r="B214" s="172"/>
      <c r="C214" s="172"/>
      <c r="D214" s="172"/>
      <c r="E214" s="172"/>
      <c r="F214" s="172"/>
      <c r="G214" s="172"/>
    </row>
    <row r="215" spans="2:7" hidden="1" x14ac:dyDescent="0.3">
      <c r="B215" s="172"/>
      <c r="C215" s="172"/>
      <c r="D215" s="172"/>
      <c r="E215" s="172"/>
      <c r="F215" s="172"/>
      <c r="G215" s="172"/>
    </row>
    <row r="216" spans="2:7" hidden="1" x14ac:dyDescent="0.3">
      <c r="B216" s="172"/>
      <c r="C216" s="172"/>
      <c r="D216" s="172"/>
      <c r="E216" s="172"/>
      <c r="F216" s="172"/>
      <c r="G216" s="172"/>
    </row>
    <row r="217" spans="2:7" hidden="1" x14ac:dyDescent="0.3">
      <c r="B217" s="172"/>
      <c r="C217" s="172"/>
      <c r="D217" s="172"/>
      <c r="E217" s="172"/>
      <c r="F217" s="172"/>
      <c r="G217" s="172"/>
    </row>
    <row r="218" spans="2:7" hidden="1" x14ac:dyDescent="0.3">
      <c r="B218" s="172"/>
      <c r="C218" s="172"/>
      <c r="D218" s="172"/>
      <c r="E218" s="172"/>
      <c r="F218" s="172"/>
      <c r="G218" s="172"/>
    </row>
    <row r="219" spans="2:7" hidden="1" x14ac:dyDescent="0.3">
      <c r="B219" s="172"/>
      <c r="C219" s="172"/>
      <c r="D219" s="172"/>
      <c r="E219" s="172"/>
      <c r="F219" s="172"/>
      <c r="G219" s="172"/>
    </row>
    <row r="220" spans="2:7" hidden="1" x14ac:dyDescent="0.3">
      <c r="B220" s="172"/>
      <c r="C220" s="172"/>
      <c r="D220" s="172"/>
      <c r="E220" s="172"/>
      <c r="F220" s="172"/>
      <c r="G220" s="172"/>
    </row>
    <row r="221" spans="2:7" hidden="1" x14ac:dyDescent="0.3">
      <c r="B221" s="172"/>
      <c r="C221" s="172"/>
      <c r="D221" s="172"/>
      <c r="E221" s="172"/>
      <c r="F221" s="172"/>
      <c r="G221" s="172"/>
    </row>
    <row r="222" spans="2:7" hidden="1" x14ac:dyDescent="0.3">
      <c r="B222" s="172"/>
      <c r="C222" s="172"/>
      <c r="D222" s="172"/>
      <c r="E222" s="172"/>
      <c r="F222" s="172"/>
      <c r="G222" s="172"/>
    </row>
    <row r="223" spans="2:7" hidden="1" x14ac:dyDescent="0.3">
      <c r="B223" s="172"/>
      <c r="C223" s="172"/>
      <c r="D223" s="172"/>
      <c r="E223" s="172"/>
      <c r="F223" s="172"/>
      <c r="G223" s="172"/>
    </row>
    <row r="224" spans="2:7" hidden="1" x14ac:dyDescent="0.3">
      <c r="B224" s="172"/>
      <c r="C224" s="172"/>
      <c r="D224" s="172"/>
      <c r="E224" s="172"/>
      <c r="F224" s="172"/>
      <c r="G224" s="172"/>
    </row>
    <row r="225" spans="2:7" hidden="1" x14ac:dyDescent="0.3">
      <c r="B225" s="172"/>
      <c r="C225" s="172"/>
      <c r="D225" s="172"/>
      <c r="E225" s="172"/>
      <c r="F225" s="172"/>
      <c r="G225" s="172"/>
    </row>
    <row r="226" spans="2:7" hidden="1" x14ac:dyDescent="0.3">
      <c r="B226" s="172"/>
      <c r="C226" s="172"/>
      <c r="D226" s="172"/>
      <c r="E226" s="172"/>
      <c r="F226" s="172"/>
      <c r="G226" s="172"/>
    </row>
    <row r="227" spans="2:7" s="172" customFormat="1" hidden="1" x14ac:dyDescent="0.3"/>
    <row r="228" spans="2:7" hidden="1" x14ac:dyDescent="0.3">
      <c r="B228" s="172"/>
      <c r="C228" s="172"/>
      <c r="D228" s="172"/>
      <c r="E228" s="172"/>
      <c r="F228" s="172"/>
      <c r="G228" s="172"/>
    </row>
    <row r="229" spans="2:7" hidden="1" x14ac:dyDescent="0.3">
      <c r="B229" s="172"/>
      <c r="C229" s="172"/>
      <c r="D229" s="172"/>
      <c r="E229" s="172"/>
      <c r="F229" s="172"/>
      <c r="G229" s="172"/>
    </row>
    <row r="230" spans="2:7" s="172" customFormat="1" hidden="1" x14ac:dyDescent="0.3"/>
    <row r="231" spans="2:7" hidden="1" x14ac:dyDescent="0.3">
      <c r="B231" s="172"/>
      <c r="C231" s="172"/>
      <c r="D231" s="172"/>
      <c r="E231" s="172"/>
      <c r="F231" s="172"/>
      <c r="G231" s="172"/>
    </row>
    <row r="232" spans="2:7" hidden="1" x14ac:dyDescent="0.3">
      <c r="B232" s="172"/>
      <c r="C232" s="172"/>
      <c r="D232" s="172"/>
      <c r="E232" s="172"/>
      <c r="F232" s="172"/>
      <c r="G232" s="172"/>
    </row>
    <row r="233" spans="2:7" s="172" customFormat="1" hidden="1" x14ac:dyDescent="0.3"/>
    <row r="234" spans="2:7" hidden="1" x14ac:dyDescent="0.3">
      <c r="B234" s="172"/>
      <c r="C234" s="172"/>
      <c r="D234" s="172"/>
      <c r="E234" s="172"/>
      <c r="F234" s="172"/>
      <c r="G234" s="172"/>
    </row>
    <row r="235" spans="2:7" hidden="1" x14ac:dyDescent="0.3">
      <c r="B235" s="172"/>
      <c r="C235" s="172"/>
      <c r="D235" s="172"/>
      <c r="E235" s="172"/>
      <c r="F235" s="172"/>
      <c r="G235" s="172"/>
    </row>
    <row r="236" spans="2:7" s="172" customFormat="1" hidden="1" x14ac:dyDescent="0.3"/>
    <row r="237" spans="2:7" hidden="1" x14ac:dyDescent="0.3">
      <c r="B237" s="172"/>
      <c r="C237" s="172"/>
      <c r="D237" s="172"/>
      <c r="E237" s="172"/>
      <c r="F237" s="172"/>
      <c r="G237" s="172"/>
    </row>
    <row r="238" spans="2:7" hidden="1" x14ac:dyDescent="0.3">
      <c r="B238" s="172"/>
      <c r="C238" s="172"/>
      <c r="D238" s="172"/>
      <c r="E238" s="172"/>
      <c r="F238" s="172"/>
      <c r="G238" s="172"/>
    </row>
    <row r="239" spans="2:7" s="172" customFormat="1" hidden="1" x14ac:dyDescent="0.3"/>
    <row r="240" spans="2:7" hidden="1" x14ac:dyDescent="0.3">
      <c r="B240" s="172"/>
      <c r="C240" s="172"/>
      <c r="D240" s="172"/>
      <c r="E240" s="172"/>
      <c r="F240" s="172"/>
      <c r="G240" s="172"/>
    </row>
    <row r="241" spans="2:7" hidden="1" x14ac:dyDescent="0.3">
      <c r="B241" s="172"/>
      <c r="C241" s="172"/>
      <c r="D241" s="172"/>
      <c r="E241" s="172"/>
      <c r="F241" s="172"/>
      <c r="G241" s="172"/>
    </row>
    <row r="242" spans="2:7" s="172" customFormat="1" hidden="1" x14ac:dyDescent="0.3"/>
    <row r="243" spans="2:7" hidden="1" x14ac:dyDescent="0.3">
      <c r="B243" s="172"/>
      <c r="C243" s="172"/>
      <c r="D243" s="172"/>
      <c r="E243" s="172"/>
      <c r="F243" s="172"/>
      <c r="G243" s="172"/>
    </row>
    <row r="244" spans="2:7" hidden="1" x14ac:dyDescent="0.3">
      <c r="B244" s="172"/>
      <c r="C244" s="172"/>
      <c r="D244" s="172"/>
      <c r="E244" s="172"/>
      <c r="F244" s="172"/>
      <c r="G244" s="172"/>
    </row>
    <row r="245" spans="2:7" hidden="1" x14ac:dyDescent="0.3">
      <c r="B245" s="172"/>
      <c r="C245" s="172"/>
      <c r="D245" s="172"/>
      <c r="E245" s="172"/>
      <c r="F245" s="172"/>
      <c r="G245" s="172"/>
    </row>
    <row r="246" spans="2:7" hidden="1" x14ac:dyDescent="0.3">
      <c r="B246" s="172"/>
      <c r="C246" s="172"/>
      <c r="D246" s="172"/>
      <c r="E246" s="172"/>
      <c r="F246" s="172"/>
      <c r="G246" s="172"/>
    </row>
    <row r="247" spans="2:7" hidden="1" x14ac:dyDescent="0.3">
      <c r="B247" s="172"/>
      <c r="C247" s="172"/>
      <c r="D247" s="172"/>
      <c r="E247" s="172"/>
      <c r="F247" s="172"/>
      <c r="G247" s="172"/>
    </row>
    <row r="248" spans="2:7" hidden="1" x14ac:dyDescent="0.3">
      <c r="B248" s="172"/>
      <c r="C248" s="172"/>
      <c r="D248" s="172"/>
      <c r="E248" s="172"/>
      <c r="F248" s="172"/>
      <c r="G248" s="172"/>
    </row>
    <row r="249" spans="2:7" hidden="1" x14ac:dyDescent="0.3">
      <c r="B249" s="172"/>
      <c r="C249" s="172"/>
      <c r="D249" s="172"/>
      <c r="E249" s="172"/>
      <c r="F249" s="172"/>
      <c r="G249" s="172"/>
    </row>
    <row r="250" spans="2:7" hidden="1" x14ac:dyDescent="0.3">
      <c r="B250" s="172"/>
      <c r="C250" s="172"/>
      <c r="D250" s="172"/>
      <c r="E250" s="172"/>
      <c r="F250" s="172"/>
      <c r="G250" s="172"/>
    </row>
    <row r="251" spans="2:7" hidden="1" x14ac:dyDescent="0.3">
      <c r="B251" s="172"/>
      <c r="C251" s="172"/>
      <c r="D251" s="172"/>
      <c r="E251" s="172"/>
      <c r="F251" s="172"/>
      <c r="G251" s="172"/>
    </row>
    <row r="252" spans="2:7" hidden="1" x14ac:dyDescent="0.3">
      <c r="B252" s="172"/>
      <c r="C252" s="172"/>
      <c r="D252" s="172"/>
      <c r="E252" s="172"/>
      <c r="F252" s="172"/>
      <c r="G252" s="172"/>
    </row>
    <row r="253" spans="2:7" hidden="1" x14ac:dyDescent="0.3">
      <c r="B253" s="172"/>
      <c r="C253" s="172"/>
      <c r="D253" s="172"/>
      <c r="E253" s="172"/>
      <c r="F253" s="172"/>
      <c r="G253" s="172"/>
    </row>
    <row r="254" spans="2:7" hidden="1" x14ac:dyDescent="0.3">
      <c r="B254" s="172"/>
      <c r="C254" s="172"/>
      <c r="D254" s="172"/>
      <c r="E254" s="172"/>
      <c r="F254" s="172"/>
      <c r="G254" s="172"/>
    </row>
    <row r="255" spans="2:7" hidden="1" x14ac:dyDescent="0.3">
      <c r="B255" s="172"/>
      <c r="C255" s="172"/>
      <c r="D255" s="172"/>
      <c r="E255" s="172"/>
      <c r="F255" s="172"/>
      <c r="G255" s="172"/>
    </row>
    <row r="256" spans="2:7" hidden="1" x14ac:dyDescent="0.3">
      <c r="B256" s="172"/>
      <c r="C256" s="172"/>
      <c r="D256" s="172"/>
      <c r="E256" s="172"/>
      <c r="F256" s="172"/>
      <c r="G256" s="172"/>
    </row>
    <row r="257" spans="2:7" hidden="1" x14ac:dyDescent="0.3">
      <c r="B257" s="172"/>
      <c r="C257" s="172"/>
      <c r="D257" s="172"/>
      <c r="E257" s="172"/>
      <c r="F257" s="172"/>
      <c r="G257" s="172"/>
    </row>
    <row r="258" spans="2:7" hidden="1" x14ac:dyDescent="0.3">
      <c r="B258" s="172"/>
      <c r="C258" s="172"/>
      <c r="D258" s="172"/>
      <c r="E258" s="172"/>
      <c r="F258" s="172"/>
      <c r="G258" s="172"/>
    </row>
    <row r="259" spans="2:7" hidden="1" x14ac:dyDescent="0.3">
      <c r="B259" s="172"/>
      <c r="C259" s="172"/>
      <c r="D259" s="172"/>
      <c r="E259" s="172"/>
      <c r="F259" s="172"/>
      <c r="G259" s="172"/>
    </row>
    <row r="260" spans="2:7" hidden="1" x14ac:dyDescent="0.3">
      <c r="B260" s="172"/>
      <c r="C260" s="172"/>
      <c r="D260" s="172"/>
      <c r="E260" s="172"/>
      <c r="F260" s="172"/>
      <c r="G260" s="172"/>
    </row>
    <row r="261" spans="2:7" hidden="1" x14ac:dyDescent="0.3">
      <c r="B261" s="172"/>
      <c r="C261" s="172"/>
      <c r="D261" s="172"/>
      <c r="E261" s="172"/>
      <c r="F261" s="172"/>
      <c r="G261" s="172"/>
    </row>
    <row r="262" spans="2:7" hidden="1" x14ac:dyDescent="0.3">
      <c r="B262" s="172"/>
      <c r="C262" s="172"/>
      <c r="D262" s="172"/>
      <c r="E262" s="172"/>
      <c r="F262" s="172"/>
      <c r="G262" s="172"/>
    </row>
    <row r="263" spans="2:7" hidden="1" x14ac:dyDescent="0.3">
      <c r="B263" s="172"/>
      <c r="C263" s="172"/>
      <c r="D263" s="172"/>
      <c r="E263" s="172"/>
      <c r="F263" s="172"/>
      <c r="G263" s="172"/>
    </row>
    <row r="264" spans="2:7" hidden="1" x14ac:dyDescent="0.3">
      <c r="B264" s="172"/>
      <c r="C264" s="172"/>
      <c r="D264" s="172"/>
      <c r="E264" s="172"/>
      <c r="F264" s="172"/>
      <c r="G264" s="172"/>
    </row>
    <row r="266" spans="2:7" x14ac:dyDescent="0.3">
      <c r="B266" s="167" t="s">
        <v>83</v>
      </c>
      <c r="C266" s="168"/>
      <c r="D266" s="168"/>
      <c r="E266" s="168"/>
      <c r="F266" s="168"/>
      <c r="G266" s="168"/>
    </row>
    <row r="267" spans="2:7" x14ac:dyDescent="0.3">
      <c r="B267" s="169" t="s">
        <v>9</v>
      </c>
      <c r="C267" s="169" t="s">
        <v>46</v>
      </c>
      <c r="D267" s="169" t="s">
        <v>42</v>
      </c>
      <c r="E267" s="169" t="s">
        <v>84</v>
      </c>
      <c r="F267" s="169" t="s">
        <v>85</v>
      </c>
      <c r="G267" s="170" t="s">
        <v>86</v>
      </c>
    </row>
    <row r="268" spans="2:7" x14ac:dyDescent="0.3">
      <c r="B268" s="205"/>
      <c r="C268" s="205"/>
      <c r="D268" s="205"/>
      <c r="E268" s="205" t="s">
        <v>7</v>
      </c>
      <c r="F268" s="205" t="s">
        <v>7</v>
      </c>
      <c r="G268" s="206"/>
    </row>
    <row r="269" spans="2:7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</row>
    <row r="270" spans="2:7" hidden="1" x14ac:dyDescent="0.3">
      <c r="B270" s="172" t="s">
        <v>189</v>
      </c>
      <c r="C270" s="172" t="s">
        <v>79</v>
      </c>
      <c r="D270" s="172" t="s">
        <v>218</v>
      </c>
      <c r="E270" s="172">
        <v>2.5517939634516498E-2</v>
      </c>
      <c r="F270" s="172">
        <v>2.4908795478618299E-2</v>
      </c>
      <c r="G270" s="172">
        <v>1.02445498243466</v>
      </c>
    </row>
    <row r="271" spans="2:7" hidden="1" x14ac:dyDescent="0.3">
      <c r="B271" s="172" t="s">
        <v>187</v>
      </c>
      <c r="C271" s="172" t="s">
        <v>79</v>
      </c>
      <c r="D271" s="172" t="s">
        <v>218</v>
      </c>
      <c r="E271" s="172">
        <v>2.6145927836400001E-2</v>
      </c>
      <c r="F271" s="172">
        <v>2.4046273531058201E-2</v>
      </c>
      <c r="G271" s="172">
        <v>1.08731724284139</v>
      </c>
    </row>
    <row r="272" spans="2:7" hidden="1" x14ac:dyDescent="0.3">
      <c r="B272" s="172" t="s">
        <v>185</v>
      </c>
      <c r="C272" s="172" t="s">
        <v>79</v>
      </c>
      <c r="D272" s="172" t="s">
        <v>218</v>
      </c>
      <c r="E272" s="172">
        <v>2.5029658850912101E-2</v>
      </c>
      <c r="F272" s="172">
        <v>2.2984362164513598E-2</v>
      </c>
      <c r="G272" s="172">
        <v>1.08898644529524</v>
      </c>
    </row>
    <row r="273" spans="2:7" hidden="1" x14ac:dyDescent="0.3">
      <c r="B273" s="172" t="s">
        <v>183</v>
      </c>
      <c r="C273" s="172" t="s">
        <v>79</v>
      </c>
      <c r="D273" s="172" t="s">
        <v>218</v>
      </c>
      <c r="E273" s="172">
        <v>2.3396964583299502E-2</v>
      </c>
      <c r="F273" s="172">
        <v>2.1454633908628801E-2</v>
      </c>
      <c r="G273" s="172">
        <v>1.0905319887042899</v>
      </c>
    </row>
    <row r="274" spans="2:7" hidden="1" x14ac:dyDescent="0.3">
      <c r="B274" s="172" t="s">
        <v>181</v>
      </c>
      <c r="C274" s="172" t="s">
        <v>79</v>
      </c>
      <c r="D274" s="172" t="s">
        <v>218</v>
      </c>
      <c r="E274" s="172">
        <v>2.12985380757321E-2</v>
      </c>
      <c r="F274" s="172">
        <v>1.9503493785614501E-2</v>
      </c>
      <c r="G274" s="172">
        <v>1.0920370631974401</v>
      </c>
    </row>
    <row r="275" spans="2:7" hidden="1" x14ac:dyDescent="0.3">
      <c r="B275" s="172" t="s">
        <v>179</v>
      </c>
      <c r="C275" s="172" t="s">
        <v>79</v>
      </c>
      <c r="D275" s="172" t="s">
        <v>218</v>
      </c>
      <c r="E275" s="172">
        <v>1.8808319320353699E-2</v>
      </c>
      <c r="F275" s="172">
        <v>1.7199001209061301E-2</v>
      </c>
      <c r="G275" s="172">
        <v>1.09357044003489</v>
      </c>
    </row>
    <row r="276" spans="2:7" hidden="1" x14ac:dyDescent="0.3">
      <c r="B276" s="172" t="s">
        <v>39</v>
      </c>
      <c r="C276" s="172" t="s">
        <v>79</v>
      </c>
      <c r="D276" s="172" t="s">
        <v>218</v>
      </c>
      <c r="E276" s="172">
        <v>1.5994934930708599E-2</v>
      </c>
      <c r="F276" s="172">
        <v>1.4604461234502901E-2</v>
      </c>
      <c r="G276" s="172">
        <v>1.0952088320054401</v>
      </c>
    </row>
    <row r="277" spans="2:7" hidden="1" x14ac:dyDescent="0.3">
      <c r="B277" s="172" t="s">
        <v>26</v>
      </c>
      <c r="C277" s="172" t="s">
        <v>79</v>
      </c>
      <c r="D277" s="172" t="s">
        <v>218</v>
      </c>
      <c r="E277" s="172">
        <v>1.29223373777127E-2</v>
      </c>
      <c r="F277" s="172">
        <v>1.17791518611613E-2</v>
      </c>
      <c r="G277" s="172">
        <v>1.0970515984534299</v>
      </c>
    </row>
    <row r="278" spans="2:7" hidden="1" x14ac:dyDescent="0.3">
      <c r="B278" s="172" t="s">
        <v>25</v>
      </c>
      <c r="C278" s="172" t="s">
        <v>79</v>
      </c>
      <c r="D278" s="172" t="s">
        <v>218</v>
      </c>
      <c r="E278" s="172">
        <v>9.6554863611166691E-3</v>
      </c>
      <c r="F278" s="172">
        <v>8.7834482889386604E-3</v>
      </c>
      <c r="G278" s="172">
        <v>1.09928197257974</v>
      </c>
    </row>
    <row r="279" spans="2:7" hidden="1" x14ac:dyDescent="0.3">
      <c r="B279" s="172" t="s">
        <v>24</v>
      </c>
      <c r="C279" s="172" t="s">
        <v>79</v>
      </c>
      <c r="D279" s="172" t="s">
        <v>218</v>
      </c>
      <c r="E279" s="172">
        <v>6.2720719819323997E-3</v>
      </c>
      <c r="F279" s="172">
        <v>5.6891728785562704E-3</v>
      </c>
      <c r="G279" s="172">
        <v>1.1024576183250101</v>
      </c>
    </row>
    <row r="280" spans="2:7" hidden="1" x14ac:dyDescent="0.3">
      <c r="B280" s="172" t="s">
        <v>22</v>
      </c>
      <c r="C280" s="172" t="s">
        <v>79</v>
      </c>
      <c r="D280" s="172" t="s">
        <v>218</v>
      </c>
      <c r="E280" s="172">
        <v>2.8994773606483802E-3</v>
      </c>
      <c r="F280" s="172">
        <v>2.61517323848539E-3</v>
      </c>
      <c r="G280" s="172">
        <v>1.10871330356977</v>
      </c>
    </row>
    <row r="281" spans="2:7" hidden="1" x14ac:dyDescent="0.3">
      <c r="B281" s="172" t="s">
        <v>189</v>
      </c>
      <c r="C281" s="172" t="s">
        <v>80</v>
      </c>
      <c r="D281" s="172" t="s">
        <v>218</v>
      </c>
      <c r="E281" s="172">
        <v>2.58208581781279E-2</v>
      </c>
      <c r="F281" s="172">
        <v>2.53361662377572E-2</v>
      </c>
      <c r="G281" s="172">
        <v>1.0191304373290799</v>
      </c>
    </row>
    <row r="282" spans="2:7" hidden="1" x14ac:dyDescent="0.3">
      <c r="B282" s="172" t="s">
        <v>187</v>
      </c>
      <c r="C282" s="172" t="s">
        <v>80</v>
      </c>
      <c r="D282" s="172" t="s">
        <v>218</v>
      </c>
      <c r="E282" s="172">
        <v>2.6029105677915099E-2</v>
      </c>
      <c r="F282" s="172">
        <v>2.4051625387992499E-2</v>
      </c>
      <c r="G282" s="172">
        <v>1.0822181560714701</v>
      </c>
    </row>
    <row r="283" spans="2:7" hidden="1" x14ac:dyDescent="0.3">
      <c r="B283" s="172" t="s">
        <v>185</v>
      </c>
      <c r="C283" s="172" t="s">
        <v>80</v>
      </c>
      <c r="D283" s="172" t="s">
        <v>218</v>
      </c>
      <c r="E283" s="172">
        <v>2.4908768393160401E-2</v>
      </c>
      <c r="F283" s="172">
        <v>2.2991951506546301E-2</v>
      </c>
      <c r="G283" s="172">
        <v>1.0833690383379699</v>
      </c>
    </row>
    <row r="284" spans="2:7" hidden="1" x14ac:dyDescent="0.3">
      <c r="B284" s="172" t="s">
        <v>183</v>
      </c>
      <c r="C284" s="172" t="s">
        <v>80</v>
      </c>
      <c r="D284" s="172" t="s">
        <v>218</v>
      </c>
      <c r="E284" s="172">
        <v>2.3276192453039999E-2</v>
      </c>
      <c r="F284" s="172">
        <v>2.14638864757721E-2</v>
      </c>
      <c r="G284" s="172">
        <v>1.0844351268496299</v>
      </c>
    </row>
    <row r="285" spans="2:7" hidden="1" x14ac:dyDescent="0.3">
      <c r="B285" s="172" t="s">
        <v>181</v>
      </c>
      <c r="C285" s="172" t="s">
        <v>80</v>
      </c>
      <c r="D285" s="172" t="s">
        <v>218</v>
      </c>
      <c r="E285" s="172">
        <v>2.1181339809043499E-2</v>
      </c>
      <c r="F285" s="172">
        <v>1.9513694398763898E-2</v>
      </c>
      <c r="G285" s="172">
        <v>1.0854602606867301</v>
      </c>
    </row>
    <row r="286" spans="2:7" hidden="1" x14ac:dyDescent="0.3">
      <c r="B286" s="172" t="s">
        <v>179</v>
      </c>
      <c r="C286" s="172" t="s">
        <v>80</v>
      </c>
      <c r="D286" s="172" t="s">
        <v>218</v>
      </c>
      <c r="E286" s="172">
        <v>1.8698885696695401E-2</v>
      </c>
      <c r="F286" s="172">
        <v>1.72095126704974E-2</v>
      </c>
      <c r="G286" s="172">
        <v>1.0865435910193499</v>
      </c>
    </row>
    <row r="287" spans="2:7" hidden="1" x14ac:dyDescent="0.3">
      <c r="B287" s="172" t="s">
        <v>39</v>
      </c>
      <c r="C287" s="172" t="s">
        <v>80</v>
      </c>
      <c r="D287" s="172" t="s">
        <v>218</v>
      </c>
      <c r="E287" s="172">
        <v>1.5897436755922201E-2</v>
      </c>
      <c r="F287" s="172">
        <v>1.46146729120621E-2</v>
      </c>
      <c r="G287" s="172">
        <v>1.0877723265911301</v>
      </c>
    </row>
    <row r="288" spans="2:7" hidden="1" x14ac:dyDescent="0.3">
      <c r="B288" s="172" t="s">
        <v>26</v>
      </c>
      <c r="C288" s="172" t="s">
        <v>80</v>
      </c>
      <c r="D288" s="172" t="s">
        <v>218</v>
      </c>
      <c r="E288" s="172">
        <v>1.2840500968831801E-2</v>
      </c>
      <c r="F288" s="172">
        <v>1.17884263862913E-2</v>
      </c>
      <c r="G288" s="172">
        <v>1.0892463971072399</v>
      </c>
    </row>
    <row r="289" spans="2:7" hidden="1" x14ac:dyDescent="0.3">
      <c r="B289" s="172" t="s">
        <v>25</v>
      </c>
      <c r="C289" s="172" t="s">
        <v>80</v>
      </c>
      <c r="D289" s="172" t="s">
        <v>218</v>
      </c>
      <c r="E289" s="172">
        <v>9.5920674020378693E-3</v>
      </c>
      <c r="F289" s="172">
        <v>8.7910746292713393E-3</v>
      </c>
      <c r="G289" s="172">
        <v>1.0911143183905501</v>
      </c>
    </row>
    <row r="290" spans="2:7" hidden="1" x14ac:dyDescent="0.3">
      <c r="B290" s="172" t="s">
        <v>24</v>
      </c>
      <c r="C290" s="172" t="s">
        <v>80</v>
      </c>
      <c r="D290" s="172" t="s">
        <v>218</v>
      </c>
      <c r="E290" s="172">
        <v>6.2277466155633704E-3</v>
      </c>
      <c r="F290" s="172">
        <v>5.6943509163277801E-3</v>
      </c>
      <c r="G290" s="172">
        <v>1.0936710271413299</v>
      </c>
    </row>
    <row r="291" spans="2:7" hidden="1" x14ac:dyDescent="0.3">
      <c r="B291" s="172" t="s">
        <v>22</v>
      </c>
      <c r="C291" s="172" t="s">
        <v>80</v>
      </c>
      <c r="D291" s="172" t="s">
        <v>218</v>
      </c>
      <c r="E291" s="172">
        <v>2.8732805138624801E-3</v>
      </c>
      <c r="F291" s="172">
        <v>2.6172563699649399E-3</v>
      </c>
      <c r="G291" s="172">
        <v>1.0978215763788499</v>
      </c>
    </row>
    <row r="292" spans="2:7" x14ac:dyDescent="0.3">
      <c r="B292" s="172" t="s">
        <v>189</v>
      </c>
      <c r="C292" s="172" t="s">
        <v>81</v>
      </c>
      <c r="D292" s="172" t="s">
        <v>221</v>
      </c>
      <c r="E292" s="172">
        <v>2.2422412410531702E-2</v>
      </c>
      <c r="F292" s="172">
        <v>2.1916683313246001E-2</v>
      </c>
      <c r="G292" s="172">
        <v>1.02307507436492</v>
      </c>
    </row>
    <row r="293" spans="2:7" x14ac:dyDescent="0.3">
      <c r="B293" s="172" t="s">
        <v>187</v>
      </c>
      <c r="C293" s="172" t="s">
        <v>81</v>
      </c>
      <c r="D293" s="172" t="s">
        <v>221</v>
      </c>
      <c r="E293" s="172">
        <v>2.5352019624322802E-2</v>
      </c>
      <c r="F293" s="172">
        <v>2.3036119457703799E-2</v>
      </c>
      <c r="G293" s="172">
        <v>1.1005334327628999</v>
      </c>
    </row>
    <row r="294" spans="2:7" x14ac:dyDescent="0.3">
      <c r="B294" s="172" t="s">
        <v>185</v>
      </c>
      <c r="C294" s="172" t="s">
        <v>81</v>
      </c>
      <c r="D294" s="172" t="s">
        <v>221</v>
      </c>
      <c r="E294" s="172">
        <v>2.4459990009199201E-2</v>
      </c>
      <c r="F294" s="172">
        <v>2.2159313194632799E-2</v>
      </c>
      <c r="G294" s="172">
        <v>1.10382437372308</v>
      </c>
    </row>
    <row r="295" spans="2:7" x14ac:dyDescent="0.3">
      <c r="B295" s="172" t="s">
        <v>183</v>
      </c>
      <c r="C295" s="172" t="s">
        <v>81</v>
      </c>
      <c r="D295" s="172" t="s">
        <v>221</v>
      </c>
      <c r="E295" s="172">
        <v>2.3037859113385899E-2</v>
      </c>
      <c r="F295" s="172">
        <v>2.0809699268122601E-2</v>
      </c>
      <c r="G295" s="172">
        <v>1.1070731401042599</v>
      </c>
    </row>
    <row r="296" spans="2:7" x14ac:dyDescent="0.3">
      <c r="B296" s="172" t="s">
        <v>181</v>
      </c>
      <c r="C296" s="172" t="s">
        <v>81</v>
      </c>
      <c r="D296" s="172" t="s">
        <v>221</v>
      </c>
      <c r="E296" s="172">
        <v>2.1112270525655501E-2</v>
      </c>
      <c r="F296" s="172">
        <v>1.9026783458875401E-2</v>
      </c>
      <c r="G296" s="172">
        <v>1.1096079676991999</v>
      </c>
    </row>
    <row r="297" spans="2:7" x14ac:dyDescent="0.3">
      <c r="B297" s="172" t="s">
        <v>179</v>
      </c>
      <c r="C297" s="172" t="s">
        <v>81</v>
      </c>
      <c r="D297" s="172" t="s">
        <v>221</v>
      </c>
      <c r="E297" s="172">
        <v>1.8755863372460602E-2</v>
      </c>
      <c r="F297" s="172">
        <v>1.6876120511536901E-2</v>
      </c>
      <c r="G297" s="172">
        <v>1.11138477351111</v>
      </c>
    </row>
    <row r="298" spans="2:7" x14ac:dyDescent="0.3">
      <c r="B298" s="172" t="s">
        <v>39</v>
      </c>
      <c r="C298" s="172" t="s">
        <v>81</v>
      </c>
      <c r="D298" s="172" t="s">
        <v>221</v>
      </c>
      <c r="E298" s="172">
        <v>1.6036451211610198E-2</v>
      </c>
      <c r="F298" s="172">
        <v>1.44186751382756E-2</v>
      </c>
      <c r="G298" s="172">
        <v>1.11220005013082</v>
      </c>
    </row>
    <row r="299" spans="2:7" x14ac:dyDescent="0.3">
      <c r="B299" s="172" t="s">
        <v>26</v>
      </c>
      <c r="C299" s="172" t="s">
        <v>81</v>
      </c>
      <c r="D299" s="172" t="s">
        <v>221</v>
      </c>
      <c r="E299" s="172">
        <v>1.3013335420181101E-2</v>
      </c>
      <c r="F299" s="172">
        <v>1.17083224100297E-2</v>
      </c>
      <c r="G299" s="172">
        <v>1.11146028990742</v>
      </c>
    </row>
    <row r="300" spans="2:7" x14ac:dyDescent="0.3">
      <c r="B300" s="172" t="s">
        <v>25</v>
      </c>
      <c r="C300" s="172" t="s">
        <v>81</v>
      </c>
      <c r="D300" s="172" t="s">
        <v>221</v>
      </c>
      <c r="E300" s="172">
        <v>9.7435272446156802E-3</v>
      </c>
      <c r="F300" s="172">
        <v>8.7971679438184798E-3</v>
      </c>
      <c r="G300" s="172">
        <v>1.1075754500585799</v>
      </c>
    </row>
    <row r="301" spans="2:7" x14ac:dyDescent="0.3">
      <c r="B301" s="172" t="s">
        <v>24</v>
      </c>
      <c r="C301" s="172" t="s">
        <v>81</v>
      </c>
      <c r="D301" s="172" t="s">
        <v>221</v>
      </c>
      <c r="E301" s="172">
        <v>6.2991308112108103E-3</v>
      </c>
      <c r="F301" s="172">
        <v>5.7482881954872096E-3</v>
      </c>
      <c r="G301" s="172">
        <v>1.09582724404042</v>
      </c>
    </row>
    <row r="302" spans="2:7" x14ac:dyDescent="0.3">
      <c r="B302" s="172" t="s">
        <v>22</v>
      </c>
      <c r="C302" s="172" t="s">
        <v>81</v>
      </c>
      <c r="D302" s="172" t="s">
        <v>221</v>
      </c>
      <c r="E302" s="172">
        <v>2.8329479601458302E-3</v>
      </c>
      <c r="F302" s="172">
        <v>2.66596047000156E-3</v>
      </c>
      <c r="G302" s="172">
        <v>1.0626368965419</v>
      </c>
    </row>
    <row r="303" spans="2:7" hidden="1" x14ac:dyDescent="0.3">
      <c r="B303" s="172" t="s">
        <v>189</v>
      </c>
      <c r="C303" s="172" t="s">
        <v>82</v>
      </c>
      <c r="D303" s="172" t="s">
        <v>221</v>
      </c>
      <c r="E303" s="172">
        <v>2.1251969192644399E-2</v>
      </c>
      <c r="F303" s="172">
        <v>1.9885220260963999E-2</v>
      </c>
      <c r="G303" s="172">
        <v>1.0687318980500999</v>
      </c>
    </row>
    <row r="304" spans="2:7" hidden="1" x14ac:dyDescent="0.3">
      <c r="B304" s="172" t="s">
        <v>187</v>
      </c>
      <c r="C304" s="172" t="s">
        <v>82</v>
      </c>
      <c r="D304" s="172" t="s">
        <v>221</v>
      </c>
      <c r="E304" s="172">
        <v>3.0575034661066799E-2</v>
      </c>
      <c r="F304" s="172">
        <v>2.4224460378441399E-2</v>
      </c>
      <c r="G304" s="172">
        <v>1.2621554488073199</v>
      </c>
    </row>
    <row r="305" spans="2:7" hidden="1" x14ac:dyDescent="0.3">
      <c r="B305" s="172" t="s">
        <v>185</v>
      </c>
      <c r="C305" s="172" t="s">
        <v>82</v>
      </c>
      <c r="D305" s="172" t="s">
        <v>221</v>
      </c>
      <c r="E305" s="172">
        <v>2.9544808882046601E-2</v>
      </c>
      <c r="F305" s="172">
        <v>2.33205667362654E-2</v>
      </c>
      <c r="G305" s="172">
        <v>1.26689926605008</v>
      </c>
    </row>
    <row r="306" spans="2:7" hidden="1" x14ac:dyDescent="0.3">
      <c r="B306" s="172" t="s">
        <v>183</v>
      </c>
      <c r="C306" s="172" t="s">
        <v>82</v>
      </c>
      <c r="D306" s="172" t="s">
        <v>221</v>
      </c>
      <c r="E306" s="172">
        <v>2.7867372368763799E-2</v>
      </c>
      <c r="F306" s="172">
        <v>2.1917930313963298E-2</v>
      </c>
      <c r="G306" s="172">
        <v>1.2714417816635799</v>
      </c>
    </row>
    <row r="307" spans="2:7" hidden="1" x14ac:dyDescent="0.3">
      <c r="B307" s="172" t="s">
        <v>181</v>
      </c>
      <c r="C307" s="172" t="s">
        <v>82</v>
      </c>
      <c r="D307" s="172" t="s">
        <v>221</v>
      </c>
      <c r="E307" s="172">
        <v>2.5574243129089801E-2</v>
      </c>
      <c r="F307" s="172">
        <v>2.0054010818451099E-2</v>
      </c>
      <c r="G307" s="172">
        <v>1.2752682423787101</v>
      </c>
    </row>
    <row r="308" spans="2:7" hidden="1" x14ac:dyDescent="0.3">
      <c r="B308" s="172" t="s">
        <v>179</v>
      </c>
      <c r="C308" s="172" t="s">
        <v>82</v>
      </c>
      <c r="D308" s="172" t="s">
        <v>221</v>
      </c>
      <c r="E308" s="172">
        <v>2.2753343760268E-2</v>
      </c>
      <c r="F308" s="172">
        <v>1.7797580401104601E-2</v>
      </c>
      <c r="G308" s="172">
        <v>1.2784515224808799</v>
      </c>
    </row>
    <row r="309" spans="2:7" hidden="1" x14ac:dyDescent="0.3">
      <c r="B309" s="172" t="s">
        <v>39</v>
      </c>
      <c r="C309" s="172" t="s">
        <v>82</v>
      </c>
      <c r="D309" s="172" t="s">
        <v>221</v>
      </c>
      <c r="E309" s="172">
        <v>1.9486170478429501E-2</v>
      </c>
      <c r="F309" s="172">
        <v>1.52127617271904E-2</v>
      </c>
      <c r="G309" s="172">
        <v>1.2809094645583701</v>
      </c>
    </row>
    <row r="310" spans="2:7" hidden="1" x14ac:dyDescent="0.3">
      <c r="B310" s="172" t="s">
        <v>26</v>
      </c>
      <c r="C310" s="172" t="s">
        <v>82</v>
      </c>
      <c r="D310" s="172" t="s">
        <v>221</v>
      </c>
      <c r="E310" s="172">
        <v>1.58434011808062E-2</v>
      </c>
      <c r="F310" s="172">
        <v>1.2356003061493899E-2</v>
      </c>
      <c r="G310" s="172">
        <v>1.28224322233946</v>
      </c>
    </row>
    <row r="311" spans="2:7" hidden="1" x14ac:dyDescent="0.3">
      <c r="B311" s="172" t="s">
        <v>25</v>
      </c>
      <c r="C311" s="172" t="s">
        <v>82</v>
      </c>
      <c r="D311" s="172" t="s">
        <v>221</v>
      </c>
      <c r="E311" s="172">
        <v>1.1892484322899599E-2</v>
      </c>
      <c r="F311" s="172">
        <v>9.2817526285591603E-3</v>
      </c>
      <c r="G311" s="172">
        <v>1.28127572440441</v>
      </c>
    </row>
    <row r="312" spans="2:7" hidden="1" x14ac:dyDescent="0.3">
      <c r="B312" s="172" t="s">
        <v>24</v>
      </c>
      <c r="C312" s="172" t="s">
        <v>82</v>
      </c>
      <c r="D312" s="172" t="s">
        <v>221</v>
      </c>
      <c r="E312" s="172">
        <v>7.71853206181888E-3</v>
      </c>
      <c r="F312" s="172">
        <v>6.0564479626644199E-3</v>
      </c>
      <c r="G312" s="172">
        <v>1.27443216046774</v>
      </c>
    </row>
    <row r="313" spans="2:7" hidden="1" x14ac:dyDescent="0.3">
      <c r="B313" s="172" t="s">
        <v>22</v>
      </c>
      <c r="C313" s="172" t="s">
        <v>82</v>
      </c>
      <c r="D313" s="172" t="s">
        <v>221</v>
      </c>
      <c r="E313" s="172">
        <v>3.5010530903946601E-3</v>
      </c>
      <c r="F313" s="172">
        <v>2.7958743075794999E-3</v>
      </c>
      <c r="G313" s="172">
        <v>1.2522212035439</v>
      </c>
    </row>
    <row r="314" spans="2:7" hidden="1" x14ac:dyDescent="0.3">
      <c r="B314" s="172" t="s">
        <v>189</v>
      </c>
      <c r="C314" s="172" t="s">
        <v>246</v>
      </c>
      <c r="D314" s="172" t="s">
        <v>218</v>
      </c>
      <c r="E314" s="172">
        <v>2.83618699841298E-3</v>
      </c>
      <c r="F314" s="172">
        <v>2.7613095769120398E-3</v>
      </c>
      <c r="G314" s="172">
        <v>1.0271166341242599</v>
      </c>
    </row>
    <row r="315" spans="2:7" hidden="1" x14ac:dyDescent="0.3">
      <c r="B315" s="172" t="s">
        <v>187</v>
      </c>
      <c r="C315" s="172" t="s">
        <v>246</v>
      </c>
      <c r="D315" s="172" t="s">
        <v>218</v>
      </c>
      <c r="E315" s="172">
        <v>2.2595066827238099E-3</v>
      </c>
      <c r="F315" s="172">
        <v>2.1244680149837599E-3</v>
      </c>
      <c r="G315" s="172">
        <v>1.06356352121455</v>
      </c>
    </row>
    <row r="316" spans="2:7" hidden="1" x14ac:dyDescent="0.3">
      <c r="B316" s="172" t="s">
        <v>185</v>
      </c>
      <c r="C316" s="172" t="s">
        <v>246</v>
      </c>
      <c r="D316" s="172" t="s">
        <v>218</v>
      </c>
      <c r="E316" s="172">
        <v>1.9561059239692901E-3</v>
      </c>
      <c r="F316" s="172">
        <v>1.8197736545572699E-3</v>
      </c>
      <c r="G316" s="172">
        <v>1.0749171574556</v>
      </c>
    </row>
    <row r="317" spans="2:7" hidden="1" x14ac:dyDescent="0.3">
      <c r="B317" s="172" t="s">
        <v>183</v>
      </c>
      <c r="C317" s="172" t="s">
        <v>246</v>
      </c>
      <c r="D317" s="172" t="s">
        <v>218</v>
      </c>
      <c r="E317" s="172">
        <v>1.6464864603596501E-3</v>
      </c>
      <c r="F317" s="172">
        <v>1.50158381915537E-3</v>
      </c>
      <c r="G317" s="172">
        <v>1.0964998685759599</v>
      </c>
    </row>
    <row r="318" spans="2:7" hidden="1" x14ac:dyDescent="0.3">
      <c r="B318" s="172" t="s">
        <v>181</v>
      </c>
      <c r="C318" s="172" t="s">
        <v>246</v>
      </c>
      <c r="D318" s="172" t="s">
        <v>218</v>
      </c>
      <c r="E318" s="172">
        <v>1.3476865173572699E-3</v>
      </c>
      <c r="F318" s="172">
        <v>1.1972595136954E-3</v>
      </c>
      <c r="G318" s="172">
        <v>1.1256427716306601</v>
      </c>
    </row>
    <row r="319" spans="2:7" hidden="1" x14ac:dyDescent="0.3">
      <c r="B319" s="172" t="s">
        <v>181</v>
      </c>
      <c r="C319" s="172" t="s">
        <v>246</v>
      </c>
      <c r="D319" s="172" t="s">
        <v>221</v>
      </c>
      <c r="E319" s="172">
        <v>3.1719174875277E-4</v>
      </c>
      <c r="F319" s="172">
        <v>1.66764745090901E-4</v>
      </c>
      <c r="G319" s="172">
        <v>1.9020312031771101</v>
      </c>
    </row>
    <row r="320" spans="2:7" hidden="1" x14ac:dyDescent="0.3">
      <c r="B320" s="172" t="s">
        <v>179</v>
      </c>
      <c r="C320" s="172" t="s">
        <v>246</v>
      </c>
      <c r="D320" s="172" t="s">
        <v>218</v>
      </c>
      <c r="E320" s="172">
        <v>1.0658620065291499E-3</v>
      </c>
      <c r="F320" s="172">
        <v>9.1298774389393905E-4</v>
      </c>
      <c r="G320" s="172">
        <v>1.1674439373996299</v>
      </c>
    </row>
    <row r="321" spans="2:7" hidden="1" x14ac:dyDescent="0.3">
      <c r="B321" s="172" t="s">
        <v>179</v>
      </c>
      <c r="C321" s="172" t="s">
        <v>246</v>
      </c>
      <c r="D321" s="172" t="s">
        <v>221</v>
      </c>
      <c r="E321" s="172">
        <v>3.6103997482006398E-4</v>
      </c>
      <c r="F321" s="172">
        <v>2.0816571218485599E-4</v>
      </c>
      <c r="G321" s="172">
        <v>1.7343873351220001</v>
      </c>
    </row>
    <row r="322" spans="2:7" hidden="1" x14ac:dyDescent="0.3">
      <c r="B322" s="172" t="s">
        <v>39</v>
      </c>
      <c r="C322" s="172" t="s">
        <v>246</v>
      </c>
      <c r="D322" s="172" t="s">
        <v>218</v>
      </c>
      <c r="E322" s="172">
        <v>8.0545242019336395E-4</v>
      </c>
      <c r="F322" s="172">
        <v>6.5447505284337796E-4</v>
      </c>
      <c r="G322" s="172">
        <v>1.2306846788033601</v>
      </c>
    </row>
    <row r="323" spans="2:7" hidden="1" x14ac:dyDescent="0.3">
      <c r="B323" s="172" t="s">
        <v>39</v>
      </c>
      <c r="C323" s="172" t="s">
        <v>246</v>
      </c>
      <c r="D323" s="172" t="s">
        <v>221</v>
      </c>
      <c r="E323" s="172">
        <v>3.8528187827820598E-4</v>
      </c>
      <c r="F323" s="172">
        <v>2.3430451092821999E-4</v>
      </c>
      <c r="G323" s="172">
        <v>1.6443638953081801</v>
      </c>
    </row>
    <row r="324" spans="2:7" hidden="1" x14ac:dyDescent="0.3">
      <c r="B324" s="172" t="s">
        <v>26</v>
      </c>
      <c r="C324" s="172" t="s">
        <v>246</v>
      </c>
      <c r="D324" s="172" t="s">
        <v>218</v>
      </c>
      <c r="E324" s="172">
        <v>5.70975599693217E-4</v>
      </c>
      <c r="F324" s="172">
        <v>4.2751039454670399E-4</v>
      </c>
      <c r="G324" s="172">
        <v>1.33558296354088</v>
      </c>
    </row>
    <row r="325" spans="2:7" hidden="1" x14ac:dyDescent="0.3">
      <c r="B325" s="172" t="s">
        <v>26</v>
      </c>
      <c r="C325" s="172" t="s">
        <v>246</v>
      </c>
      <c r="D325" s="172" t="s">
        <v>221</v>
      </c>
      <c r="E325" s="172">
        <v>3.8544659546994197E-4</v>
      </c>
      <c r="F325" s="172">
        <v>2.4198139032342801E-4</v>
      </c>
      <c r="G325" s="172">
        <v>1.59287701816557</v>
      </c>
    </row>
    <row r="326" spans="2:7" hidden="1" x14ac:dyDescent="0.3">
      <c r="B326" s="172" t="s">
        <v>25</v>
      </c>
      <c r="C326" s="172" t="s">
        <v>246</v>
      </c>
      <c r="D326" s="172" t="s">
        <v>218</v>
      </c>
      <c r="E326" s="172">
        <v>3.67439348889338E-4</v>
      </c>
      <c r="F326" s="172">
        <v>2.3856371386769601E-4</v>
      </c>
      <c r="G326" s="172">
        <v>1.54021474151394</v>
      </c>
    </row>
    <row r="327" spans="2:7" hidden="1" x14ac:dyDescent="0.3">
      <c r="B327" s="172" t="s">
        <v>25</v>
      </c>
      <c r="C327" s="172" t="s">
        <v>246</v>
      </c>
      <c r="D327" s="172" t="s">
        <v>221</v>
      </c>
      <c r="E327" s="172">
        <v>3.5653353729840501E-4</v>
      </c>
      <c r="F327" s="172">
        <v>2.2765790227676299E-4</v>
      </c>
      <c r="G327" s="172">
        <v>1.5660933959804699</v>
      </c>
    </row>
    <row r="328" spans="2:7" hidden="1" x14ac:dyDescent="0.3">
      <c r="B328" s="172" t="s">
        <v>24</v>
      </c>
      <c r="C328" s="172" t="s">
        <v>246</v>
      </c>
      <c r="D328" s="172" t="s">
        <v>218</v>
      </c>
      <c r="E328" s="172">
        <v>2.00286108267597E-4</v>
      </c>
      <c r="F328" s="172">
        <v>9.3751691410527401E-5</v>
      </c>
      <c r="G328" s="172">
        <v>2.1363466115034502</v>
      </c>
    </row>
    <row r="329" spans="2:7" hidden="1" x14ac:dyDescent="0.3">
      <c r="B329" s="172" t="s">
        <v>24</v>
      </c>
      <c r="C329" s="172" t="s">
        <v>246</v>
      </c>
      <c r="D329" s="172" t="s">
        <v>221</v>
      </c>
      <c r="E329" s="172">
        <v>2.9509074506146101E-4</v>
      </c>
      <c r="F329" s="172">
        <v>1.8855632820439201E-4</v>
      </c>
      <c r="G329" s="172">
        <v>1.5650004848502801</v>
      </c>
    </row>
    <row r="330" spans="2:7" hidden="1" x14ac:dyDescent="0.3">
      <c r="B330" s="172" t="s">
        <v>22</v>
      </c>
      <c r="C330" s="172" t="s">
        <v>246</v>
      </c>
      <c r="D330" s="172" t="s">
        <v>221</v>
      </c>
      <c r="E330" s="172">
        <v>1.8854291781567501E-4</v>
      </c>
      <c r="F330" s="172">
        <v>1.16684612049434E-4</v>
      </c>
      <c r="G330" s="172">
        <v>1.61583360911204</v>
      </c>
    </row>
    <row r="331" spans="2:7" hidden="1" x14ac:dyDescent="0.3">
      <c r="B331" s="172"/>
      <c r="C331" s="172"/>
      <c r="D331" s="172"/>
      <c r="E331" s="172"/>
      <c r="F331" s="172"/>
      <c r="G331" s="172"/>
    </row>
    <row r="332" spans="2:7" hidden="1" x14ac:dyDescent="0.3">
      <c r="B332" s="172"/>
      <c r="C332" s="172"/>
      <c r="D332" s="172"/>
      <c r="E332" s="172"/>
      <c r="F332" s="172"/>
      <c r="G332" s="172"/>
    </row>
    <row r="333" spans="2:7" hidden="1" x14ac:dyDescent="0.3">
      <c r="B333" s="172"/>
      <c r="C333" s="172"/>
      <c r="D333" s="172"/>
      <c r="E333" s="172"/>
      <c r="F333" s="172"/>
      <c r="G333" s="172"/>
    </row>
    <row r="334" spans="2:7" hidden="1" x14ac:dyDescent="0.3">
      <c r="B334" s="172"/>
      <c r="C334" s="172"/>
      <c r="D334" s="172"/>
      <c r="E334" s="172"/>
      <c r="F334" s="172"/>
      <c r="G334" s="172"/>
    </row>
    <row r="335" spans="2:7" hidden="1" x14ac:dyDescent="0.3">
      <c r="B335" s="172"/>
      <c r="C335" s="172"/>
      <c r="D335" s="172"/>
      <c r="E335" s="172"/>
      <c r="F335" s="172"/>
      <c r="G335" s="172"/>
    </row>
    <row r="336" spans="2:7" hidden="1" x14ac:dyDescent="0.3">
      <c r="B336" s="172"/>
      <c r="C336" s="172"/>
      <c r="D336" s="172"/>
      <c r="E336" s="172"/>
      <c r="F336" s="172"/>
      <c r="G336" s="172"/>
    </row>
    <row r="337" spans="2:7" hidden="1" x14ac:dyDescent="0.3">
      <c r="B337" s="172"/>
      <c r="C337" s="172"/>
      <c r="D337" s="172"/>
      <c r="E337" s="172"/>
      <c r="F337" s="172"/>
      <c r="G337" s="172"/>
    </row>
    <row r="338" spans="2:7" hidden="1" x14ac:dyDescent="0.3">
      <c r="B338" s="172"/>
      <c r="C338" s="172"/>
      <c r="D338" s="172"/>
      <c r="E338" s="172"/>
      <c r="F338" s="172"/>
      <c r="G338" s="172"/>
    </row>
    <row r="339" spans="2:7" s="172" customFormat="1" hidden="1" x14ac:dyDescent="0.3"/>
    <row r="340" spans="2:7" hidden="1" x14ac:dyDescent="0.3">
      <c r="B340" s="172"/>
      <c r="C340" s="172"/>
      <c r="D340" s="172"/>
      <c r="E340" s="172"/>
      <c r="F340" s="172"/>
      <c r="G340" s="172"/>
    </row>
    <row r="341" spans="2:7" hidden="1" x14ac:dyDescent="0.3">
      <c r="B341" s="172"/>
      <c r="C341" s="172"/>
      <c r="D341" s="172"/>
      <c r="E341" s="172"/>
      <c r="F341" s="172"/>
      <c r="G341" s="172"/>
    </row>
    <row r="342" spans="2:7" hidden="1" x14ac:dyDescent="0.3">
      <c r="B342" s="172"/>
      <c r="C342" s="172"/>
      <c r="D342" s="172"/>
      <c r="E342" s="172"/>
      <c r="F342" s="172"/>
      <c r="G342" s="172"/>
    </row>
    <row r="343" spans="2:7" s="172" customFormat="1" hidden="1" x14ac:dyDescent="0.3"/>
    <row r="344" spans="2:7" hidden="1" x14ac:dyDescent="0.3">
      <c r="B344" s="172"/>
      <c r="C344" s="172"/>
      <c r="D344" s="172"/>
      <c r="E344" s="172"/>
      <c r="F344" s="172"/>
      <c r="G344" s="172"/>
    </row>
    <row r="345" spans="2:7" hidden="1" x14ac:dyDescent="0.3">
      <c r="B345" s="172"/>
      <c r="C345" s="172"/>
      <c r="D345" s="172"/>
      <c r="E345" s="172"/>
      <c r="F345" s="172"/>
      <c r="G345" s="172"/>
    </row>
    <row r="346" spans="2:7" hidden="1" x14ac:dyDescent="0.3">
      <c r="B346" s="172"/>
      <c r="C346" s="172"/>
      <c r="D346" s="172"/>
      <c r="E346" s="172"/>
      <c r="F346" s="172"/>
      <c r="G346" s="172"/>
    </row>
    <row r="347" spans="2:7" s="172" customFormat="1" hidden="1" x14ac:dyDescent="0.3"/>
    <row r="348" spans="2:7" hidden="1" x14ac:dyDescent="0.3">
      <c r="B348" s="172"/>
      <c r="C348" s="172"/>
      <c r="D348" s="172"/>
      <c r="E348" s="172"/>
      <c r="F348" s="172"/>
      <c r="G348" s="172"/>
    </row>
    <row r="349" spans="2:7" hidden="1" x14ac:dyDescent="0.3">
      <c r="B349" s="172"/>
      <c r="C349" s="172"/>
      <c r="D349" s="172"/>
      <c r="E349" s="172"/>
      <c r="F349" s="172"/>
      <c r="G349" s="172"/>
    </row>
    <row r="350" spans="2:7" hidden="1" x14ac:dyDescent="0.3">
      <c r="B350" s="172"/>
      <c r="C350" s="172"/>
      <c r="D350" s="172"/>
      <c r="E350" s="172"/>
      <c r="F350" s="172"/>
      <c r="G350" s="172"/>
    </row>
    <row r="351" spans="2:7" s="172" customFormat="1" hidden="1" x14ac:dyDescent="0.3"/>
    <row r="352" spans="2:7" hidden="1" x14ac:dyDescent="0.3">
      <c r="B352" s="172"/>
      <c r="C352" s="172"/>
      <c r="D352" s="172"/>
      <c r="E352" s="172"/>
      <c r="F352" s="172"/>
      <c r="G352" s="172"/>
    </row>
    <row r="353" spans="2:7" hidden="1" x14ac:dyDescent="0.3">
      <c r="B353" s="172"/>
      <c r="C353" s="172"/>
      <c r="D353" s="172"/>
      <c r="E353" s="172"/>
      <c r="F353" s="172"/>
      <c r="G353" s="172"/>
    </row>
    <row r="354" spans="2:7" hidden="1" x14ac:dyDescent="0.3">
      <c r="B354" s="172"/>
      <c r="C354" s="172"/>
      <c r="D354" s="172"/>
      <c r="E354" s="172"/>
      <c r="F354" s="172"/>
      <c r="G354" s="172"/>
    </row>
    <row r="355" spans="2:7" s="172" customFormat="1" hidden="1" x14ac:dyDescent="0.3"/>
    <row r="356" spans="2:7" hidden="1" x14ac:dyDescent="0.3">
      <c r="B356" s="172"/>
      <c r="C356" s="172"/>
      <c r="D356" s="172"/>
      <c r="E356" s="172"/>
      <c r="F356" s="172"/>
      <c r="G356" s="172"/>
    </row>
    <row r="357" spans="2:7" hidden="1" x14ac:dyDescent="0.3">
      <c r="B357" s="172"/>
      <c r="C357" s="172"/>
      <c r="D357" s="172"/>
      <c r="E357" s="172"/>
      <c r="F357" s="172"/>
      <c r="G357" s="172"/>
    </row>
    <row r="358" spans="2:7" hidden="1" x14ac:dyDescent="0.3">
      <c r="B358" s="172"/>
      <c r="C358" s="172"/>
      <c r="D358" s="172"/>
      <c r="E358" s="172"/>
      <c r="F358" s="172"/>
      <c r="G358" s="172"/>
    </row>
    <row r="359" spans="2:7" s="172" customFormat="1" hidden="1" x14ac:dyDescent="0.3"/>
    <row r="360" spans="2:7" hidden="1" x14ac:dyDescent="0.3">
      <c r="B360" s="172"/>
      <c r="C360" s="172"/>
      <c r="D360" s="172"/>
      <c r="E360" s="172"/>
      <c r="F360" s="172"/>
      <c r="G360" s="172"/>
    </row>
    <row r="361" spans="2:7" hidden="1" x14ac:dyDescent="0.3">
      <c r="B361" s="172"/>
      <c r="C361" s="172"/>
      <c r="D361" s="172"/>
      <c r="E361" s="172"/>
      <c r="F361" s="172"/>
      <c r="G361" s="172"/>
    </row>
    <row r="362" spans="2:7" hidden="1" x14ac:dyDescent="0.3">
      <c r="B362" s="172"/>
      <c r="C362" s="172"/>
      <c r="D362" s="172"/>
      <c r="E362" s="172"/>
      <c r="F362" s="172"/>
      <c r="G362" s="172"/>
    </row>
    <row r="363" spans="2:7" hidden="1" x14ac:dyDescent="0.3">
      <c r="B363" s="172"/>
      <c r="C363" s="172"/>
      <c r="D363" s="172"/>
      <c r="E363" s="172"/>
      <c r="F363" s="172"/>
      <c r="G363" s="172"/>
    </row>
    <row r="364" spans="2:7" hidden="1" x14ac:dyDescent="0.3">
      <c r="B364" s="172"/>
      <c r="C364" s="172"/>
      <c r="D364" s="172"/>
      <c r="E364" s="172"/>
      <c r="F364" s="172"/>
      <c r="G364" s="172"/>
    </row>
    <row r="365" spans="2:7" hidden="1" x14ac:dyDescent="0.3">
      <c r="B365" s="172"/>
      <c r="C365" s="172"/>
      <c r="D365" s="172"/>
      <c r="E365" s="172"/>
      <c r="F365" s="172"/>
      <c r="G365" s="172"/>
    </row>
    <row r="366" spans="2:7" hidden="1" x14ac:dyDescent="0.3">
      <c r="B366" s="172"/>
      <c r="C366" s="172"/>
      <c r="D366" s="172"/>
      <c r="E366" s="172"/>
      <c r="F366" s="172"/>
      <c r="G366" s="172"/>
    </row>
    <row r="367" spans="2:7" hidden="1" x14ac:dyDescent="0.3">
      <c r="B367" s="172"/>
      <c r="C367" s="172"/>
      <c r="D367" s="172"/>
      <c r="E367" s="172"/>
      <c r="F367" s="172"/>
      <c r="G367" s="172"/>
    </row>
    <row r="368" spans="2:7" hidden="1" x14ac:dyDescent="0.3">
      <c r="B368" s="172"/>
      <c r="C368" s="172"/>
      <c r="D368" s="172"/>
      <c r="E368" s="172"/>
      <c r="F368" s="172"/>
      <c r="G368" s="172"/>
    </row>
    <row r="369" spans="2:7" hidden="1" x14ac:dyDescent="0.3">
      <c r="B369" s="172"/>
      <c r="C369" s="172"/>
      <c r="D369" s="172"/>
      <c r="E369" s="172"/>
      <c r="F369" s="172"/>
      <c r="G369" s="172"/>
    </row>
    <row r="370" spans="2:7" hidden="1" x14ac:dyDescent="0.3">
      <c r="B370" s="172"/>
      <c r="C370" s="172"/>
      <c r="D370" s="172"/>
      <c r="E370" s="172"/>
      <c r="F370" s="172"/>
      <c r="G370" s="172"/>
    </row>
    <row r="371" spans="2:7" hidden="1" x14ac:dyDescent="0.3">
      <c r="B371" s="172"/>
      <c r="C371" s="172"/>
      <c r="D371" s="172"/>
      <c r="E371" s="172"/>
      <c r="F371" s="172"/>
      <c r="G371" s="172"/>
    </row>
    <row r="372" spans="2:7" hidden="1" x14ac:dyDescent="0.3">
      <c r="B372" s="172"/>
      <c r="C372" s="172"/>
      <c r="D372" s="172"/>
      <c r="E372" s="172"/>
      <c r="F372" s="172"/>
      <c r="G372" s="172"/>
    </row>
    <row r="373" spans="2:7" hidden="1" x14ac:dyDescent="0.3">
      <c r="B373" s="172"/>
      <c r="C373" s="172"/>
      <c r="D373" s="172"/>
      <c r="E373" s="172"/>
      <c r="F373" s="172"/>
      <c r="G373" s="172"/>
    </row>
    <row r="374" spans="2:7" hidden="1" x14ac:dyDescent="0.3">
      <c r="B374" s="172"/>
      <c r="C374" s="172"/>
      <c r="D374" s="172"/>
      <c r="E374" s="172"/>
      <c r="F374" s="172"/>
      <c r="G374" s="172"/>
    </row>
    <row r="375" spans="2:7" hidden="1" x14ac:dyDescent="0.3">
      <c r="B375" s="172"/>
      <c r="C375" s="172"/>
      <c r="D375" s="172"/>
      <c r="E375" s="172"/>
      <c r="F375" s="172"/>
      <c r="G375" s="172"/>
    </row>
    <row r="376" spans="2:7" hidden="1" x14ac:dyDescent="0.3">
      <c r="B376" s="172"/>
      <c r="C376" s="172"/>
      <c r="D376" s="172"/>
      <c r="E376" s="172"/>
      <c r="F376" s="172"/>
      <c r="G376" s="172"/>
    </row>
    <row r="377" spans="2:7" hidden="1" x14ac:dyDescent="0.3">
      <c r="B377" s="172"/>
      <c r="C377" s="172"/>
      <c r="D377" s="172"/>
      <c r="E377" s="172"/>
      <c r="F377" s="172"/>
      <c r="G377" s="172"/>
    </row>
    <row r="378" spans="2:7" hidden="1" x14ac:dyDescent="0.3">
      <c r="B378" s="172"/>
      <c r="C378" s="172"/>
      <c r="D378" s="172"/>
      <c r="E378" s="172"/>
      <c r="F378" s="172"/>
      <c r="G378" s="172"/>
    </row>
    <row r="379" spans="2:7" hidden="1" x14ac:dyDescent="0.3">
      <c r="B379" s="172"/>
      <c r="C379" s="172"/>
      <c r="D379" s="172"/>
      <c r="E379" s="172"/>
      <c r="F379" s="172"/>
      <c r="G379" s="172"/>
    </row>
    <row r="380" spans="2:7" hidden="1" x14ac:dyDescent="0.3">
      <c r="B380" s="172"/>
      <c r="C380" s="172"/>
      <c r="D380" s="172"/>
      <c r="E380" s="172"/>
      <c r="F380" s="172"/>
      <c r="G380" s="172"/>
    </row>
    <row r="381" spans="2:7" hidden="1" x14ac:dyDescent="0.3">
      <c r="B381" s="172"/>
      <c r="C381" s="172"/>
      <c r="D381" s="172"/>
      <c r="E381" s="172"/>
      <c r="F381" s="172"/>
      <c r="G381" s="172"/>
    </row>
    <row r="382" spans="2:7" hidden="1" x14ac:dyDescent="0.3">
      <c r="B382" s="172"/>
      <c r="C382" s="172"/>
      <c r="D382" s="172"/>
      <c r="E382" s="172"/>
      <c r="F382" s="172"/>
      <c r="G382" s="172"/>
    </row>
    <row r="383" spans="2:7" hidden="1" x14ac:dyDescent="0.3">
      <c r="B383" s="172"/>
      <c r="C383" s="172"/>
      <c r="D383" s="172"/>
      <c r="E383" s="172"/>
      <c r="F383" s="172"/>
      <c r="G383" s="172"/>
    </row>
    <row r="384" spans="2:7" hidden="1" x14ac:dyDescent="0.3">
      <c r="B384" s="172"/>
      <c r="C384" s="172"/>
      <c r="D384" s="172"/>
      <c r="E384" s="172"/>
      <c r="F384" s="172"/>
      <c r="G384" s="172"/>
    </row>
    <row r="385" spans="2:7" hidden="1" x14ac:dyDescent="0.3">
      <c r="B385" s="172"/>
      <c r="C385" s="172"/>
      <c r="D385" s="172"/>
      <c r="E385" s="172"/>
      <c r="F385" s="172"/>
      <c r="G385" s="172"/>
    </row>
    <row r="386" spans="2:7" hidden="1" x14ac:dyDescent="0.3">
      <c r="B386" s="172"/>
      <c r="C386" s="172"/>
      <c r="D386" s="172"/>
      <c r="E386" s="172"/>
      <c r="F386" s="172"/>
      <c r="G386" s="172"/>
    </row>
    <row r="387" spans="2:7" hidden="1" x14ac:dyDescent="0.3">
      <c r="B387" s="172"/>
      <c r="C387" s="172"/>
      <c r="D387" s="172"/>
      <c r="E387" s="172"/>
      <c r="F387" s="172"/>
      <c r="G387" s="172"/>
    </row>
    <row r="388" spans="2:7" hidden="1" x14ac:dyDescent="0.3">
      <c r="B388" s="172"/>
      <c r="C388" s="172"/>
      <c r="D388" s="172"/>
      <c r="E388" s="172"/>
      <c r="F388" s="172"/>
      <c r="G388" s="172"/>
    </row>
    <row r="389" spans="2:7" hidden="1" x14ac:dyDescent="0.3">
      <c r="B389" s="172"/>
      <c r="C389" s="172"/>
      <c r="D389" s="172"/>
      <c r="E389" s="172"/>
      <c r="F389" s="172"/>
      <c r="G389" s="172"/>
    </row>
    <row r="390" spans="2:7" hidden="1" x14ac:dyDescent="0.3">
      <c r="B390" s="172"/>
      <c r="C390" s="172"/>
      <c r="D390" s="172"/>
      <c r="E390" s="172"/>
      <c r="F390" s="172"/>
      <c r="G390" s="172"/>
    </row>
    <row r="391" spans="2:7" hidden="1" x14ac:dyDescent="0.3">
      <c r="B391" s="172"/>
      <c r="C391" s="172"/>
      <c r="D391" s="172"/>
      <c r="E391" s="172"/>
      <c r="F391" s="172"/>
      <c r="G391" s="172"/>
    </row>
    <row r="392" spans="2:7" hidden="1" x14ac:dyDescent="0.3">
      <c r="B392" s="172"/>
      <c r="C392" s="172"/>
      <c r="D392" s="172"/>
      <c r="E392" s="172"/>
      <c r="F392" s="172"/>
      <c r="G392" s="172"/>
    </row>
    <row r="393" spans="2:7" hidden="1" x14ac:dyDescent="0.3">
      <c r="B393" s="172"/>
      <c r="C393" s="172"/>
      <c r="D393" s="172"/>
      <c r="E393" s="172"/>
      <c r="F393" s="172"/>
      <c r="G393" s="172"/>
    </row>
    <row r="394" spans="2:7" hidden="1" x14ac:dyDescent="0.3">
      <c r="B394" s="172"/>
      <c r="C394" s="172"/>
      <c r="D394" s="172"/>
      <c r="E394" s="172"/>
      <c r="F394" s="172"/>
      <c r="G394" s="172"/>
    </row>
    <row r="395" spans="2:7" hidden="1" x14ac:dyDescent="0.3">
      <c r="B395" s="172"/>
      <c r="C395" s="172"/>
      <c r="D395" s="172"/>
      <c r="E395" s="172"/>
      <c r="F395" s="172"/>
      <c r="G395" s="172"/>
    </row>
    <row r="396" spans="2:7" hidden="1" x14ac:dyDescent="0.3">
      <c r="B396" s="172"/>
      <c r="C396" s="172"/>
      <c r="D396" s="172"/>
      <c r="E396" s="172"/>
      <c r="F396" s="172"/>
      <c r="G396" s="172"/>
    </row>
    <row r="398" spans="2:7" x14ac:dyDescent="0.3">
      <c r="B398" s="167" t="s">
        <v>83</v>
      </c>
      <c r="C398" s="168"/>
      <c r="D398" s="168"/>
      <c r="E398" s="168"/>
      <c r="F398" s="168"/>
      <c r="G398" s="168"/>
    </row>
    <row r="399" spans="2:7" x14ac:dyDescent="0.3">
      <c r="B399" s="169" t="s">
        <v>9</v>
      </c>
      <c r="C399" s="169" t="s">
        <v>46</v>
      </c>
      <c r="D399" s="169" t="s">
        <v>42</v>
      </c>
      <c r="E399" s="169" t="s">
        <v>84</v>
      </c>
      <c r="F399" s="169" t="s">
        <v>85</v>
      </c>
      <c r="G399" s="170" t="s">
        <v>86</v>
      </c>
    </row>
    <row r="400" spans="2:7" x14ac:dyDescent="0.3">
      <c r="B400" s="205"/>
      <c r="C400" s="205"/>
      <c r="D400" s="205"/>
      <c r="E400" s="205" t="s">
        <v>7</v>
      </c>
      <c r="F400" s="205" t="s">
        <v>7</v>
      </c>
      <c r="G400" s="206"/>
    </row>
    <row r="401" spans="2:7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</row>
    <row r="402" spans="2:7" hidden="1" x14ac:dyDescent="0.3">
      <c r="B402" s="172" t="s">
        <v>189</v>
      </c>
      <c r="C402" s="172" t="s">
        <v>79</v>
      </c>
      <c r="D402" s="172" t="s">
        <v>218</v>
      </c>
      <c r="E402" s="172">
        <v>2.5517939634516498E-2</v>
      </c>
      <c r="F402" s="172">
        <v>2.4908795478618299E-2</v>
      </c>
      <c r="G402" s="172">
        <v>1.02445498243466</v>
      </c>
    </row>
    <row r="403" spans="2:7" hidden="1" x14ac:dyDescent="0.3">
      <c r="B403" s="172" t="s">
        <v>187</v>
      </c>
      <c r="C403" s="172" t="s">
        <v>79</v>
      </c>
      <c r="D403" s="172" t="s">
        <v>218</v>
      </c>
      <c r="E403" s="172">
        <v>2.6145927836400001E-2</v>
      </c>
      <c r="F403" s="172">
        <v>2.4046273531058201E-2</v>
      </c>
      <c r="G403" s="172">
        <v>1.08731724284139</v>
      </c>
    </row>
    <row r="404" spans="2:7" hidden="1" x14ac:dyDescent="0.3">
      <c r="B404" s="172" t="s">
        <v>185</v>
      </c>
      <c r="C404" s="172" t="s">
        <v>79</v>
      </c>
      <c r="D404" s="172" t="s">
        <v>218</v>
      </c>
      <c r="E404" s="172">
        <v>2.5029658850912101E-2</v>
      </c>
      <c r="F404" s="172">
        <v>2.2984362164513598E-2</v>
      </c>
      <c r="G404" s="172">
        <v>1.08898644529524</v>
      </c>
    </row>
    <row r="405" spans="2:7" hidden="1" x14ac:dyDescent="0.3">
      <c r="B405" s="172" t="s">
        <v>183</v>
      </c>
      <c r="C405" s="172" t="s">
        <v>79</v>
      </c>
      <c r="D405" s="172" t="s">
        <v>218</v>
      </c>
      <c r="E405" s="172">
        <v>2.3396964583299502E-2</v>
      </c>
      <c r="F405" s="172">
        <v>2.1454633908628801E-2</v>
      </c>
      <c r="G405" s="172">
        <v>1.0905319887042899</v>
      </c>
    </row>
    <row r="406" spans="2:7" hidden="1" x14ac:dyDescent="0.3">
      <c r="B406" s="172" t="s">
        <v>181</v>
      </c>
      <c r="C406" s="172" t="s">
        <v>79</v>
      </c>
      <c r="D406" s="172" t="s">
        <v>218</v>
      </c>
      <c r="E406" s="172">
        <v>2.12985380757321E-2</v>
      </c>
      <c r="F406" s="172">
        <v>1.9503493785614501E-2</v>
      </c>
      <c r="G406" s="172">
        <v>1.0920370631974401</v>
      </c>
    </row>
    <row r="407" spans="2:7" hidden="1" x14ac:dyDescent="0.3">
      <c r="B407" s="172" t="s">
        <v>179</v>
      </c>
      <c r="C407" s="172" t="s">
        <v>79</v>
      </c>
      <c r="D407" s="172" t="s">
        <v>218</v>
      </c>
      <c r="E407" s="172">
        <v>1.8808319320353699E-2</v>
      </c>
      <c r="F407" s="172">
        <v>1.7199001209061301E-2</v>
      </c>
      <c r="G407" s="172">
        <v>1.09357044003489</v>
      </c>
    </row>
    <row r="408" spans="2:7" hidden="1" x14ac:dyDescent="0.3">
      <c r="B408" s="172" t="s">
        <v>39</v>
      </c>
      <c r="C408" s="172" t="s">
        <v>79</v>
      </c>
      <c r="D408" s="172" t="s">
        <v>218</v>
      </c>
      <c r="E408" s="172">
        <v>1.5994934930708599E-2</v>
      </c>
      <c r="F408" s="172">
        <v>1.4604461234502901E-2</v>
      </c>
      <c r="G408" s="172">
        <v>1.0952088320054401</v>
      </c>
    </row>
    <row r="409" spans="2:7" hidden="1" x14ac:dyDescent="0.3">
      <c r="B409" s="172" t="s">
        <v>26</v>
      </c>
      <c r="C409" s="172" t="s">
        <v>79</v>
      </c>
      <c r="D409" s="172" t="s">
        <v>218</v>
      </c>
      <c r="E409" s="172">
        <v>1.29223373777127E-2</v>
      </c>
      <c r="F409" s="172">
        <v>1.17791518611613E-2</v>
      </c>
      <c r="G409" s="172">
        <v>1.0970515984534299</v>
      </c>
    </row>
    <row r="410" spans="2:7" hidden="1" x14ac:dyDescent="0.3">
      <c r="B410" s="172" t="s">
        <v>25</v>
      </c>
      <c r="C410" s="172" t="s">
        <v>79</v>
      </c>
      <c r="D410" s="172" t="s">
        <v>218</v>
      </c>
      <c r="E410" s="172">
        <v>9.6554863611166691E-3</v>
      </c>
      <c r="F410" s="172">
        <v>8.7834482889386604E-3</v>
      </c>
      <c r="G410" s="172">
        <v>1.09928197257974</v>
      </c>
    </row>
    <row r="411" spans="2:7" hidden="1" x14ac:dyDescent="0.3">
      <c r="B411" s="172" t="s">
        <v>24</v>
      </c>
      <c r="C411" s="172" t="s">
        <v>79</v>
      </c>
      <c r="D411" s="172" t="s">
        <v>218</v>
      </c>
      <c r="E411" s="172">
        <v>6.2720719819323997E-3</v>
      </c>
      <c r="F411" s="172">
        <v>5.6891728785562704E-3</v>
      </c>
      <c r="G411" s="172">
        <v>1.1024576183250101</v>
      </c>
    </row>
    <row r="412" spans="2:7" hidden="1" x14ac:dyDescent="0.3">
      <c r="B412" s="172" t="s">
        <v>22</v>
      </c>
      <c r="C412" s="172" t="s">
        <v>79</v>
      </c>
      <c r="D412" s="172" t="s">
        <v>218</v>
      </c>
      <c r="E412" s="172">
        <v>2.8994773606483802E-3</v>
      </c>
      <c r="F412" s="172">
        <v>2.61517323848539E-3</v>
      </c>
      <c r="G412" s="172">
        <v>1.10871330356977</v>
      </c>
    </row>
    <row r="413" spans="2:7" hidden="1" x14ac:dyDescent="0.3">
      <c r="B413" s="172" t="s">
        <v>189</v>
      </c>
      <c r="C413" s="172" t="s">
        <v>80</v>
      </c>
      <c r="D413" s="172" t="s">
        <v>218</v>
      </c>
      <c r="E413" s="172">
        <v>2.58208581781279E-2</v>
      </c>
      <c r="F413" s="172">
        <v>2.53361662377572E-2</v>
      </c>
      <c r="G413" s="172">
        <v>1.0191304373290799</v>
      </c>
    </row>
    <row r="414" spans="2:7" hidden="1" x14ac:dyDescent="0.3">
      <c r="B414" s="172" t="s">
        <v>187</v>
      </c>
      <c r="C414" s="172" t="s">
        <v>80</v>
      </c>
      <c r="D414" s="172" t="s">
        <v>218</v>
      </c>
      <c r="E414" s="172">
        <v>2.6029105677915099E-2</v>
      </c>
      <c r="F414" s="172">
        <v>2.4051625387992499E-2</v>
      </c>
      <c r="G414" s="172">
        <v>1.0822181560714701</v>
      </c>
    </row>
    <row r="415" spans="2:7" hidden="1" x14ac:dyDescent="0.3">
      <c r="B415" s="172" t="s">
        <v>185</v>
      </c>
      <c r="C415" s="172" t="s">
        <v>80</v>
      </c>
      <c r="D415" s="172" t="s">
        <v>218</v>
      </c>
      <c r="E415" s="172">
        <v>2.4908768393160401E-2</v>
      </c>
      <c r="F415" s="172">
        <v>2.2991951506546301E-2</v>
      </c>
      <c r="G415" s="172">
        <v>1.0833690383379699</v>
      </c>
    </row>
    <row r="416" spans="2:7" hidden="1" x14ac:dyDescent="0.3">
      <c r="B416" s="172" t="s">
        <v>183</v>
      </c>
      <c r="C416" s="172" t="s">
        <v>80</v>
      </c>
      <c r="D416" s="172" t="s">
        <v>218</v>
      </c>
      <c r="E416" s="172">
        <v>2.3276192453039999E-2</v>
      </c>
      <c r="F416" s="172">
        <v>2.14638864757721E-2</v>
      </c>
      <c r="G416" s="172">
        <v>1.0844351268496299</v>
      </c>
    </row>
    <row r="417" spans="2:7" hidden="1" x14ac:dyDescent="0.3">
      <c r="B417" s="172" t="s">
        <v>181</v>
      </c>
      <c r="C417" s="172" t="s">
        <v>80</v>
      </c>
      <c r="D417" s="172" t="s">
        <v>218</v>
      </c>
      <c r="E417" s="172">
        <v>2.1181339809043499E-2</v>
      </c>
      <c r="F417" s="172">
        <v>1.9513694398763898E-2</v>
      </c>
      <c r="G417" s="172">
        <v>1.0854602606867301</v>
      </c>
    </row>
    <row r="418" spans="2:7" hidden="1" x14ac:dyDescent="0.3">
      <c r="B418" s="172" t="s">
        <v>179</v>
      </c>
      <c r="C418" s="172" t="s">
        <v>80</v>
      </c>
      <c r="D418" s="172" t="s">
        <v>218</v>
      </c>
      <c r="E418" s="172">
        <v>1.8698885696695401E-2</v>
      </c>
      <c r="F418" s="172">
        <v>1.72095126704974E-2</v>
      </c>
      <c r="G418" s="172">
        <v>1.0865435910193499</v>
      </c>
    </row>
    <row r="419" spans="2:7" hidden="1" x14ac:dyDescent="0.3">
      <c r="B419" s="172" t="s">
        <v>39</v>
      </c>
      <c r="C419" s="172" t="s">
        <v>80</v>
      </c>
      <c r="D419" s="172" t="s">
        <v>218</v>
      </c>
      <c r="E419" s="172">
        <v>1.5897436755922201E-2</v>
      </c>
      <c r="F419" s="172">
        <v>1.46146729120621E-2</v>
      </c>
      <c r="G419" s="172">
        <v>1.0877723265911301</v>
      </c>
    </row>
    <row r="420" spans="2:7" hidden="1" x14ac:dyDescent="0.3">
      <c r="B420" s="172" t="s">
        <v>26</v>
      </c>
      <c r="C420" s="172" t="s">
        <v>80</v>
      </c>
      <c r="D420" s="172" t="s">
        <v>218</v>
      </c>
      <c r="E420" s="172">
        <v>1.2840500968831801E-2</v>
      </c>
      <c r="F420" s="172">
        <v>1.17884263862913E-2</v>
      </c>
      <c r="G420" s="172">
        <v>1.0892463971072399</v>
      </c>
    </row>
    <row r="421" spans="2:7" hidden="1" x14ac:dyDescent="0.3">
      <c r="B421" s="172" t="s">
        <v>25</v>
      </c>
      <c r="C421" s="172" t="s">
        <v>80</v>
      </c>
      <c r="D421" s="172" t="s">
        <v>218</v>
      </c>
      <c r="E421" s="172">
        <v>9.5920674020378693E-3</v>
      </c>
      <c r="F421" s="172">
        <v>8.7910746292713393E-3</v>
      </c>
      <c r="G421" s="172">
        <v>1.0911143183905501</v>
      </c>
    </row>
    <row r="422" spans="2:7" hidden="1" x14ac:dyDescent="0.3">
      <c r="B422" s="172" t="s">
        <v>24</v>
      </c>
      <c r="C422" s="172" t="s">
        <v>80</v>
      </c>
      <c r="D422" s="172" t="s">
        <v>218</v>
      </c>
      <c r="E422" s="172">
        <v>6.2277466155633704E-3</v>
      </c>
      <c r="F422" s="172">
        <v>5.6943509163277801E-3</v>
      </c>
      <c r="G422" s="172">
        <v>1.0936710271413299</v>
      </c>
    </row>
    <row r="423" spans="2:7" hidden="1" x14ac:dyDescent="0.3">
      <c r="B423" s="172" t="s">
        <v>22</v>
      </c>
      <c r="C423" s="172" t="s">
        <v>80</v>
      </c>
      <c r="D423" s="172" t="s">
        <v>218</v>
      </c>
      <c r="E423" s="172">
        <v>2.8732805138624801E-3</v>
      </c>
      <c r="F423" s="172">
        <v>2.6172563699649399E-3</v>
      </c>
      <c r="G423" s="172">
        <v>1.0978215763788499</v>
      </c>
    </row>
    <row r="424" spans="2:7" hidden="1" x14ac:dyDescent="0.3">
      <c r="B424" s="172" t="s">
        <v>189</v>
      </c>
      <c r="C424" s="172" t="s">
        <v>81</v>
      </c>
      <c r="D424" s="172" t="s">
        <v>221</v>
      </c>
      <c r="E424" s="172">
        <v>2.2422412410531702E-2</v>
      </c>
      <c r="F424" s="172">
        <v>2.1916683313246001E-2</v>
      </c>
      <c r="G424" s="172">
        <v>1.02307507436492</v>
      </c>
    </row>
    <row r="425" spans="2:7" hidden="1" x14ac:dyDescent="0.3">
      <c r="B425" s="172" t="s">
        <v>187</v>
      </c>
      <c r="C425" s="172" t="s">
        <v>81</v>
      </c>
      <c r="D425" s="172" t="s">
        <v>221</v>
      </c>
      <c r="E425" s="172">
        <v>2.5352019624322802E-2</v>
      </c>
      <c r="F425" s="172">
        <v>2.3036119457703799E-2</v>
      </c>
      <c r="G425" s="172">
        <v>1.1005334327628999</v>
      </c>
    </row>
    <row r="426" spans="2:7" hidden="1" x14ac:dyDescent="0.3">
      <c r="B426" s="172" t="s">
        <v>185</v>
      </c>
      <c r="C426" s="172" t="s">
        <v>81</v>
      </c>
      <c r="D426" s="172" t="s">
        <v>221</v>
      </c>
      <c r="E426" s="172">
        <v>2.4459990009199201E-2</v>
      </c>
      <c r="F426" s="172">
        <v>2.2159313194632799E-2</v>
      </c>
      <c r="G426" s="172">
        <v>1.10382437372308</v>
      </c>
    </row>
    <row r="427" spans="2:7" hidden="1" x14ac:dyDescent="0.3">
      <c r="B427" s="172" t="s">
        <v>183</v>
      </c>
      <c r="C427" s="172" t="s">
        <v>81</v>
      </c>
      <c r="D427" s="172" t="s">
        <v>221</v>
      </c>
      <c r="E427" s="172">
        <v>2.3037859113385899E-2</v>
      </c>
      <c r="F427" s="172">
        <v>2.0809699268122601E-2</v>
      </c>
      <c r="G427" s="172">
        <v>1.1070731401042599</v>
      </c>
    </row>
    <row r="428" spans="2:7" hidden="1" x14ac:dyDescent="0.3">
      <c r="B428" s="172" t="s">
        <v>181</v>
      </c>
      <c r="C428" s="172" t="s">
        <v>81</v>
      </c>
      <c r="D428" s="172" t="s">
        <v>221</v>
      </c>
      <c r="E428" s="172">
        <v>2.1112270525655501E-2</v>
      </c>
      <c r="F428" s="172">
        <v>1.9026783458875401E-2</v>
      </c>
      <c r="G428" s="172">
        <v>1.1096079676991999</v>
      </c>
    </row>
    <row r="429" spans="2:7" hidden="1" x14ac:dyDescent="0.3">
      <c r="B429" s="172" t="s">
        <v>179</v>
      </c>
      <c r="C429" s="172" t="s">
        <v>81</v>
      </c>
      <c r="D429" s="172" t="s">
        <v>221</v>
      </c>
      <c r="E429" s="172">
        <v>1.8755863372460602E-2</v>
      </c>
      <c r="F429" s="172">
        <v>1.6876120511536901E-2</v>
      </c>
      <c r="G429" s="172">
        <v>1.11138477351111</v>
      </c>
    </row>
    <row r="430" spans="2:7" hidden="1" x14ac:dyDescent="0.3">
      <c r="B430" s="172" t="s">
        <v>39</v>
      </c>
      <c r="C430" s="172" t="s">
        <v>81</v>
      </c>
      <c r="D430" s="172" t="s">
        <v>221</v>
      </c>
      <c r="E430" s="172">
        <v>1.6036451211610198E-2</v>
      </c>
      <c r="F430" s="172">
        <v>1.44186751382756E-2</v>
      </c>
      <c r="G430" s="172">
        <v>1.11220005013082</v>
      </c>
    </row>
    <row r="431" spans="2:7" hidden="1" x14ac:dyDescent="0.3">
      <c r="B431" s="172" t="s">
        <v>26</v>
      </c>
      <c r="C431" s="172" t="s">
        <v>81</v>
      </c>
      <c r="D431" s="172" t="s">
        <v>221</v>
      </c>
      <c r="E431" s="172">
        <v>1.3013335420181101E-2</v>
      </c>
      <c r="F431" s="172">
        <v>1.17083224100297E-2</v>
      </c>
      <c r="G431" s="172">
        <v>1.11146028990742</v>
      </c>
    </row>
    <row r="432" spans="2:7" hidden="1" x14ac:dyDescent="0.3">
      <c r="B432" s="172" t="s">
        <v>25</v>
      </c>
      <c r="C432" s="172" t="s">
        <v>81</v>
      </c>
      <c r="D432" s="172" t="s">
        <v>221</v>
      </c>
      <c r="E432" s="172">
        <v>9.7435272446156802E-3</v>
      </c>
      <c r="F432" s="172">
        <v>8.7971679438184798E-3</v>
      </c>
      <c r="G432" s="172">
        <v>1.1075754500585799</v>
      </c>
    </row>
    <row r="433" spans="2:7" hidden="1" x14ac:dyDescent="0.3">
      <c r="B433" s="172" t="s">
        <v>24</v>
      </c>
      <c r="C433" s="172" t="s">
        <v>81</v>
      </c>
      <c r="D433" s="172" t="s">
        <v>221</v>
      </c>
      <c r="E433" s="172">
        <v>6.2991308112108103E-3</v>
      </c>
      <c r="F433" s="172">
        <v>5.7482881954872096E-3</v>
      </c>
      <c r="G433" s="172">
        <v>1.09582724404042</v>
      </c>
    </row>
    <row r="434" spans="2:7" hidden="1" x14ac:dyDescent="0.3">
      <c r="B434" s="172" t="s">
        <v>22</v>
      </c>
      <c r="C434" s="172" t="s">
        <v>81</v>
      </c>
      <c r="D434" s="172" t="s">
        <v>221</v>
      </c>
      <c r="E434" s="172">
        <v>2.8329479601458302E-3</v>
      </c>
      <c r="F434" s="172">
        <v>2.66596047000156E-3</v>
      </c>
      <c r="G434" s="172">
        <v>1.0626368965419</v>
      </c>
    </row>
    <row r="435" spans="2:7" x14ac:dyDescent="0.3">
      <c r="B435" s="172" t="s">
        <v>189</v>
      </c>
      <c r="C435" s="172" t="s">
        <v>82</v>
      </c>
      <c r="D435" s="172" t="s">
        <v>221</v>
      </c>
      <c r="E435" s="172">
        <v>2.1251969192644399E-2</v>
      </c>
      <c r="F435" s="172">
        <v>1.9885220260963999E-2</v>
      </c>
      <c r="G435" s="172">
        <v>1.0687318980500999</v>
      </c>
    </row>
    <row r="436" spans="2:7" x14ac:dyDescent="0.3">
      <c r="B436" s="172" t="s">
        <v>187</v>
      </c>
      <c r="C436" s="172" t="s">
        <v>82</v>
      </c>
      <c r="D436" s="172" t="s">
        <v>221</v>
      </c>
      <c r="E436" s="172">
        <v>3.0575034661066799E-2</v>
      </c>
      <c r="F436" s="172">
        <v>2.4224460378441399E-2</v>
      </c>
      <c r="G436" s="172">
        <v>1.2621554488073199</v>
      </c>
    </row>
    <row r="437" spans="2:7" x14ac:dyDescent="0.3">
      <c r="B437" s="172" t="s">
        <v>185</v>
      </c>
      <c r="C437" s="172" t="s">
        <v>82</v>
      </c>
      <c r="D437" s="172" t="s">
        <v>221</v>
      </c>
      <c r="E437" s="172">
        <v>2.9544808882046601E-2</v>
      </c>
      <c r="F437" s="172">
        <v>2.33205667362654E-2</v>
      </c>
      <c r="G437" s="172">
        <v>1.26689926605008</v>
      </c>
    </row>
    <row r="438" spans="2:7" x14ac:dyDescent="0.3">
      <c r="B438" s="172" t="s">
        <v>183</v>
      </c>
      <c r="C438" s="172" t="s">
        <v>82</v>
      </c>
      <c r="D438" s="172" t="s">
        <v>221</v>
      </c>
      <c r="E438" s="172">
        <v>2.7867372368763799E-2</v>
      </c>
      <c r="F438" s="172">
        <v>2.1917930313963298E-2</v>
      </c>
      <c r="G438" s="172">
        <v>1.2714417816635799</v>
      </c>
    </row>
    <row r="439" spans="2:7" x14ac:dyDescent="0.3">
      <c r="B439" s="172" t="s">
        <v>181</v>
      </c>
      <c r="C439" s="172" t="s">
        <v>82</v>
      </c>
      <c r="D439" s="172" t="s">
        <v>221</v>
      </c>
      <c r="E439" s="172">
        <v>2.5574243129089801E-2</v>
      </c>
      <c r="F439" s="172">
        <v>2.0054010818451099E-2</v>
      </c>
      <c r="G439" s="172">
        <v>1.2752682423787101</v>
      </c>
    </row>
    <row r="440" spans="2:7" x14ac:dyDescent="0.3">
      <c r="B440" s="172" t="s">
        <v>179</v>
      </c>
      <c r="C440" s="172" t="s">
        <v>82</v>
      </c>
      <c r="D440" s="172" t="s">
        <v>221</v>
      </c>
      <c r="E440" s="172">
        <v>2.2753343760268E-2</v>
      </c>
      <c r="F440" s="172">
        <v>1.7797580401104601E-2</v>
      </c>
      <c r="G440" s="172">
        <v>1.2784515224808799</v>
      </c>
    </row>
    <row r="441" spans="2:7" x14ac:dyDescent="0.3">
      <c r="B441" s="172" t="s">
        <v>39</v>
      </c>
      <c r="C441" s="172" t="s">
        <v>82</v>
      </c>
      <c r="D441" s="172" t="s">
        <v>221</v>
      </c>
      <c r="E441" s="172">
        <v>1.9486170478429501E-2</v>
      </c>
      <c r="F441" s="172">
        <v>1.52127617271904E-2</v>
      </c>
      <c r="G441" s="172">
        <v>1.2809094645583701</v>
      </c>
    </row>
    <row r="442" spans="2:7" x14ac:dyDescent="0.3">
      <c r="B442" s="172" t="s">
        <v>26</v>
      </c>
      <c r="C442" s="172" t="s">
        <v>82</v>
      </c>
      <c r="D442" s="172" t="s">
        <v>221</v>
      </c>
      <c r="E442" s="172">
        <v>1.58434011808062E-2</v>
      </c>
      <c r="F442" s="172">
        <v>1.2356003061493899E-2</v>
      </c>
      <c r="G442" s="172">
        <v>1.28224322233946</v>
      </c>
    </row>
    <row r="443" spans="2:7" x14ac:dyDescent="0.3">
      <c r="B443" s="172" t="s">
        <v>25</v>
      </c>
      <c r="C443" s="172" t="s">
        <v>82</v>
      </c>
      <c r="D443" s="172" t="s">
        <v>221</v>
      </c>
      <c r="E443" s="172">
        <v>1.1892484322899599E-2</v>
      </c>
      <c r="F443" s="172">
        <v>9.2817526285591603E-3</v>
      </c>
      <c r="G443" s="172">
        <v>1.28127572440441</v>
      </c>
    </row>
    <row r="444" spans="2:7" x14ac:dyDescent="0.3">
      <c r="B444" s="172" t="s">
        <v>24</v>
      </c>
      <c r="C444" s="172" t="s">
        <v>82</v>
      </c>
      <c r="D444" s="172" t="s">
        <v>221</v>
      </c>
      <c r="E444" s="172">
        <v>7.71853206181888E-3</v>
      </c>
      <c r="F444" s="172">
        <v>6.0564479626644199E-3</v>
      </c>
      <c r="G444" s="172">
        <v>1.27443216046774</v>
      </c>
    </row>
    <row r="445" spans="2:7" x14ac:dyDescent="0.3">
      <c r="B445" s="172" t="s">
        <v>22</v>
      </c>
      <c r="C445" s="172" t="s">
        <v>82</v>
      </c>
      <c r="D445" s="172" t="s">
        <v>221</v>
      </c>
      <c r="E445" s="172">
        <v>3.5010530903946601E-3</v>
      </c>
      <c r="F445" s="172">
        <v>2.7958743075794999E-3</v>
      </c>
      <c r="G445" s="172">
        <v>1.2522212035439</v>
      </c>
    </row>
    <row r="446" spans="2:7" hidden="1" x14ac:dyDescent="0.3">
      <c r="B446" s="172" t="s">
        <v>189</v>
      </c>
      <c r="C446" s="172" t="s">
        <v>246</v>
      </c>
      <c r="D446" s="172" t="s">
        <v>218</v>
      </c>
      <c r="E446" s="172">
        <v>2.83618699841298E-3</v>
      </c>
      <c r="F446" s="172">
        <v>2.7613095769120398E-3</v>
      </c>
      <c r="G446" s="172">
        <v>1.0271166341242599</v>
      </c>
    </row>
    <row r="447" spans="2:7" hidden="1" x14ac:dyDescent="0.3">
      <c r="B447" s="172" t="s">
        <v>187</v>
      </c>
      <c r="C447" s="172" t="s">
        <v>246</v>
      </c>
      <c r="D447" s="172" t="s">
        <v>218</v>
      </c>
      <c r="E447" s="172">
        <v>2.2595066827238099E-3</v>
      </c>
      <c r="F447" s="172">
        <v>2.1244680149837599E-3</v>
      </c>
      <c r="G447" s="172">
        <v>1.06356352121455</v>
      </c>
    </row>
    <row r="448" spans="2:7" hidden="1" x14ac:dyDescent="0.3">
      <c r="B448" s="172" t="s">
        <v>185</v>
      </c>
      <c r="C448" s="172" t="s">
        <v>246</v>
      </c>
      <c r="D448" s="172" t="s">
        <v>218</v>
      </c>
      <c r="E448" s="172">
        <v>1.9561059239692901E-3</v>
      </c>
      <c r="F448" s="172">
        <v>1.8197736545572699E-3</v>
      </c>
      <c r="G448" s="172">
        <v>1.0749171574556</v>
      </c>
    </row>
    <row r="449" spans="2:7" hidden="1" x14ac:dyDescent="0.3">
      <c r="B449" s="172" t="s">
        <v>183</v>
      </c>
      <c r="C449" s="172" t="s">
        <v>246</v>
      </c>
      <c r="D449" s="172" t="s">
        <v>218</v>
      </c>
      <c r="E449" s="172">
        <v>1.6464864603596501E-3</v>
      </c>
      <c r="F449" s="172">
        <v>1.50158381915537E-3</v>
      </c>
      <c r="G449" s="172">
        <v>1.0964998685759599</v>
      </c>
    </row>
    <row r="450" spans="2:7" hidden="1" x14ac:dyDescent="0.3">
      <c r="B450" s="172" t="s">
        <v>181</v>
      </c>
      <c r="C450" s="172" t="s">
        <v>246</v>
      </c>
      <c r="D450" s="172" t="s">
        <v>218</v>
      </c>
      <c r="E450" s="172">
        <v>1.3476865173572699E-3</v>
      </c>
      <c r="F450" s="172">
        <v>1.1972595136954E-3</v>
      </c>
      <c r="G450" s="172">
        <v>1.1256427716306601</v>
      </c>
    </row>
    <row r="451" spans="2:7" hidden="1" x14ac:dyDescent="0.3">
      <c r="B451" s="172" t="s">
        <v>181</v>
      </c>
      <c r="C451" s="172" t="s">
        <v>246</v>
      </c>
      <c r="D451" s="172" t="s">
        <v>221</v>
      </c>
      <c r="E451" s="172">
        <v>3.1719174875277E-4</v>
      </c>
      <c r="F451" s="172">
        <v>1.66764745090901E-4</v>
      </c>
      <c r="G451" s="172">
        <v>1.9020312031771101</v>
      </c>
    </row>
    <row r="452" spans="2:7" hidden="1" x14ac:dyDescent="0.3">
      <c r="B452" s="172" t="s">
        <v>179</v>
      </c>
      <c r="C452" s="172" t="s">
        <v>246</v>
      </c>
      <c r="D452" s="172" t="s">
        <v>218</v>
      </c>
      <c r="E452" s="172">
        <v>1.0658620065291499E-3</v>
      </c>
      <c r="F452" s="172">
        <v>9.1298774389393905E-4</v>
      </c>
      <c r="G452" s="172">
        <v>1.1674439373996299</v>
      </c>
    </row>
    <row r="453" spans="2:7" hidden="1" x14ac:dyDescent="0.3">
      <c r="B453" s="172" t="s">
        <v>179</v>
      </c>
      <c r="C453" s="172" t="s">
        <v>246</v>
      </c>
      <c r="D453" s="172" t="s">
        <v>221</v>
      </c>
      <c r="E453" s="172">
        <v>3.6103997482006398E-4</v>
      </c>
      <c r="F453" s="172">
        <v>2.0816571218485599E-4</v>
      </c>
      <c r="G453" s="172">
        <v>1.7343873351220001</v>
      </c>
    </row>
    <row r="454" spans="2:7" hidden="1" x14ac:dyDescent="0.3">
      <c r="B454" s="172" t="s">
        <v>39</v>
      </c>
      <c r="C454" s="172" t="s">
        <v>246</v>
      </c>
      <c r="D454" s="172" t="s">
        <v>218</v>
      </c>
      <c r="E454" s="172">
        <v>8.0545242019336395E-4</v>
      </c>
      <c r="F454" s="172">
        <v>6.5447505284337796E-4</v>
      </c>
      <c r="G454" s="172">
        <v>1.2306846788033601</v>
      </c>
    </row>
    <row r="455" spans="2:7" hidden="1" x14ac:dyDescent="0.3">
      <c r="B455" s="172" t="s">
        <v>39</v>
      </c>
      <c r="C455" s="172" t="s">
        <v>246</v>
      </c>
      <c r="D455" s="172" t="s">
        <v>221</v>
      </c>
      <c r="E455" s="172">
        <v>3.8528187827820598E-4</v>
      </c>
      <c r="F455" s="172">
        <v>2.3430451092821999E-4</v>
      </c>
      <c r="G455" s="172">
        <v>1.6443638953081801</v>
      </c>
    </row>
    <row r="456" spans="2:7" hidden="1" x14ac:dyDescent="0.3">
      <c r="B456" s="172" t="s">
        <v>26</v>
      </c>
      <c r="C456" s="172" t="s">
        <v>246</v>
      </c>
      <c r="D456" s="172" t="s">
        <v>218</v>
      </c>
      <c r="E456" s="172">
        <v>5.70975599693217E-4</v>
      </c>
      <c r="F456" s="172">
        <v>4.2751039454670399E-4</v>
      </c>
      <c r="G456" s="172">
        <v>1.33558296354088</v>
      </c>
    </row>
    <row r="457" spans="2:7" hidden="1" x14ac:dyDescent="0.3">
      <c r="B457" s="172" t="s">
        <v>26</v>
      </c>
      <c r="C457" s="172" t="s">
        <v>246</v>
      </c>
      <c r="D457" s="172" t="s">
        <v>221</v>
      </c>
      <c r="E457" s="172">
        <v>3.8544659546994197E-4</v>
      </c>
      <c r="F457" s="172">
        <v>2.4198139032342801E-4</v>
      </c>
      <c r="G457" s="172">
        <v>1.59287701816557</v>
      </c>
    </row>
    <row r="458" spans="2:7" hidden="1" x14ac:dyDescent="0.3">
      <c r="B458" s="172" t="s">
        <v>25</v>
      </c>
      <c r="C458" s="172" t="s">
        <v>246</v>
      </c>
      <c r="D458" s="172" t="s">
        <v>218</v>
      </c>
      <c r="E458" s="172">
        <v>3.67439348889338E-4</v>
      </c>
      <c r="F458" s="172">
        <v>2.3856371386769601E-4</v>
      </c>
      <c r="G458" s="172">
        <v>1.54021474151394</v>
      </c>
    </row>
    <row r="459" spans="2:7" hidden="1" x14ac:dyDescent="0.3">
      <c r="B459" s="172" t="s">
        <v>25</v>
      </c>
      <c r="C459" s="172" t="s">
        <v>246</v>
      </c>
      <c r="D459" s="172" t="s">
        <v>221</v>
      </c>
      <c r="E459" s="172">
        <v>3.5653353729840501E-4</v>
      </c>
      <c r="F459" s="172">
        <v>2.2765790227676299E-4</v>
      </c>
      <c r="G459" s="172">
        <v>1.5660933959804699</v>
      </c>
    </row>
    <row r="460" spans="2:7" hidden="1" x14ac:dyDescent="0.3">
      <c r="B460" s="172" t="s">
        <v>24</v>
      </c>
      <c r="C460" s="172" t="s">
        <v>246</v>
      </c>
      <c r="D460" s="172" t="s">
        <v>218</v>
      </c>
      <c r="E460" s="172">
        <v>2.00286108267597E-4</v>
      </c>
      <c r="F460" s="172">
        <v>9.3751691410527401E-5</v>
      </c>
      <c r="G460" s="172">
        <v>2.1363466115034502</v>
      </c>
    </row>
    <row r="461" spans="2:7" hidden="1" x14ac:dyDescent="0.3">
      <c r="B461" s="172" t="s">
        <v>24</v>
      </c>
      <c r="C461" s="172" t="s">
        <v>246</v>
      </c>
      <c r="D461" s="172" t="s">
        <v>221</v>
      </c>
      <c r="E461" s="172">
        <v>2.9509074506146101E-4</v>
      </c>
      <c r="F461" s="172">
        <v>1.8855632820439201E-4</v>
      </c>
      <c r="G461" s="172">
        <v>1.5650004848502801</v>
      </c>
    </row>
    <row r="462" spans="2:7" hidden="1" x14ac:dyDescent="0.3">
      <c r="B462" s="172" t="s">
        <v>22</v>
      </c>
      <c r="C462" s="172" t="s">
        <v>246</v>
      </c>
      <c r="D462" s="172" t="s">
        <v>221</v>
      </c>
      <c r="E462" s="172">
        <v>1.8854291781567501E-4</v>
      </c>
      <c r="F462" s="172">
        <v>1.16684612049434E-4</v>
      </c>
      <c r="G462" s="172">
        <v>1.61583360911204</v>
      </c>
    </row>
    <row r="463" spans="2:7" hidden="1" x14ac:dyDescent="0.3">
      <c r="B463" s="172"/>
      <c r="C463" s="172"/>
      <c r="D463" s="172"/>
      <c r="E463" s="172"/>
      <c r="F463" s="172"/>
      <c r="G463" s="172"/>
    </row>
    <row r="464" spans="2:7" hidden="1" x14ac:dyDescent="0.3">
      <c r="B464" s="172"/>
      <c r="C464" s="172"/>
      <c r="D464" s="172"/>
      <c r="E464" s="172"/>
      <c r="F464" s="172"/>
      <c r="G464" s="172"/>
    </row>
    <row r="465" spans="2:7" hidden="1" x14ac:dyDescent="0.3">
      <c r="B465" s="172"/>
      <c r="C465" s="172"/>
      <c r="D465" s="172"/>
      <c r="E465" s="172"/>
      <c r="F465" s="172"/>
      <c r="G465" s="172"/>
    </row>
    <row r="466" spans="2:7" hidden="1" x14ac:dyDescent="0.3">
      <c r="B466" s="172"/>
      <c r="C466" s="172"/>
      <c r="D466" s="172"/>
      <c r="E466" s="172"/>
      <c r="F466" s="172"/>
      <c r="G466" s="172"/>
    </row>
    <row r="467" spans="2:7" hidden="1" x14ac:dyDescent="0.3">
      <c r="B467" s="172"/>
      <c r="C467" s="172"/>
      <c r="D467" s="172"/>
      <c r="E467" s="172"/>
      <c r="F467" s="172"/>
      <c r="G467" s="172"/>
    </row>
    <row r="468" spans="2:7" hidden="1" x14ac:dyDescent="0.3">
      <c r="B468" s="172"/>
      <c r="C468" s="172"/>
      <c r="D468" s="172"/>
      <c r="E468" s="172"/>
      <c r="F468" s="172"/>
      <c r="G468" s="172"/>
    </row>
    <row r="469" spans="2:7" hidden="1" x14ac:dyDescent="0.3">
      <c r="B469" s="172"/>
      <c r="C469" s="172"/>
      <c r="D469" s="172"/>
      <c r="E469" s="172"/>
      <c r="F469" s="172"/>
      <c r="G469" s="172"/>
    </row>
    <row r="470" spans="2:7" hidden="1" x14ac:dyDescent="0.3">
      <c r="B470" s="172"/>
      <c r="C470" s="172"/>
      <c r="D470" s="172"/>
      <c r="E470" s="172"/>
      <c r="F470" s="172"/>
      <c r="G470" s="172"/>
    </row>
    <row r="471" spans="2:7" hidden="1" x14ac:dyDescent="0.3">
      <c r="B471" s="172"/>
      <c r="C471" s="172"/>
      <c r="D471" s="172"/>
      <c r="E471" s="172"/>
      <c r="F471" s="172"/>
      <c r="G471" s="172"/>
    </row>
    <row r="472" spans="2:7" hidden="1" x14ac:dyDescent="0.3">
      <c r="B472" s="172"/>
      <c r="C472" s="172"/>
      <c r="D472" s="172"/>
      <c r="E472" s="172"/>
      <c r="F472" s="172"/>
      <c r="G472" s="172"/>
    </row>
    <row r="473" spans="2:7" hidden="1" x14ac:dyDescent="0.3">
      <c r="B473" s="172"/>
      <c r="C473" s="172"/>
      <c r="D473" s="172"/>
      <c r="E473" s="172"/>
      <c r="F473" s="172"/>
      <c r="G473" s="172"/>
    </row>
    <row r="474" spans="2:7" hidden="1" x14ac:dyDescent="0.3">
      <c r="B474" s="172"/>
      <c r="C474" s="172"/>
      <c r="D474" s="172"/>
      <c r="E474" s="172"/>
      <c r="F474" s="172"/>
      <c r="G474" s="172"/>
    </row>
    <row r="475" spans="2:7" hidden="1" x14ac:dyDescent="0.3">
      <c r="B475" s="172"/>
      <c r="C475" s="172"/>
      <c r="D475" s="172"/>
      <c r="E475" s="172"/>
      <c r="F475" s="172"/>
      <c r="G475" s="172"/>
    </row>
    <row r="476" spans="2:7" hidden="1" x14ac:dyDescent="0.3">
      <c r="B476" s="172"/>
      <c r="C476" s="172"/>
      <c r="D476" s="172"/>
      <c r="E476" s="172"/>
      <c r="F476" s="172"/>
      <c r="G476" s="172"/>
    </row>
    <row r="477" spans="2:7" hidden="1" x14ac:dyDescent="0.3">
      <c r="B477" s="172"/>
      <c r="C477" s="172"/>
      <c r="D477" s="172"/>
      <c r="E477" s="172"/>
      <c r="F477" s="172"/>
      <c r="G477" s="172"/>
    </row>
    <row r="478" spans="2:7" hidden="1" x14ac:dyDescent="0.3">
      <c r="B478" s="172"/>
      <c r="C478" s="172"/>
      <c r="D478" s="172"/>
      <c r="E478" s="172"/>
      <c r="F478" s="172"/>
      <c r="G478" s="172"/>
    </row>
    <row r="479" spans="2:7" hidden="1" x14ac:dyDescent="0.3">
      <c r="B479" s="172"/>
      <c r="C479" s="172"/>
      <c r="D479" s="172"/>
      <c r="E479" s="172"/>
      <c r="F479" s="172"/>
      <c r="G479" s="172"/>
    </row>
    <row r="480" spans="2:7" hidden="1" x14ac:dyDescent="0.3">
      <c r="B480" s="172"/>
      <c r="C480" s="172"/>
      <c r="D480" s="172"/>
      <c r="E480" s="172"/>
      <c r="F480" s="172"/>
      <c r="G480" s="172"/>
    </row>
    <row r="481" spans="2:7" hidden="1" x14ac:dyDescent="0.3">
      <c r="B481" s="172"/>
      <c r="C481" s="172"/>
      <c r="D481" s="172"/>
      <c r="E481" s="172"/>
      <c r="F481" s="172"/>
      <c r="G481" s="172"/>
    </row>
    <row r="482" spans="2:7" hidden="1" x14ac:dyDescent="0.3">
      <c r="B482" s="172"/>
      <c r="C482" s="172"/>
      <c r="D482" s="172"/>
      <c r="E482" s="172"/>
      <c r="F482" s="172"/>
      <c r="G482" s="172"/>
    </row>
    <row r="483" spans="2:7" hidden="1" x14ac:dyDescent="0.3">
      <c r="B483" s="172"/>
      <c r="C483" s="172"/>
      <c r="D483" s="172"/>
      <c r="E483" s="172"/>
      <c r="F483" s="172"/>
      <c r="G483" s="172"/>
    </row>
    <row r="484" spans="2:7" hidden="1" x14ac:dyDescent="0.3">
      <c r="B484" s="172"/>
      <c r="C484" s="172"/>
      <c r="D484" s="172"/>
      <c r="E484" s="172"/>
      <c r="F484" s="172"/>
      <c r="G484" s="172"/>
    </row>
    <row r="485" spans="2:7" hidden="1" x14ac:dyDescent="0.3">
      <c r="B485" s="172"/>
      <c r="C485" s="172"/>
      <c r="D485" s="172"/>
      <c r="E485" s="172"/>
      <c r="F485" s="172"/>
      <c r="G485" s="172"/>
    </row>
    <row r="486" spans="2:7" hidden="1" x14ac:dyDescent="0.3">
      <c r="B486" s="172"/>
      <c r="C486" s="172"/>
      <c r="D486" s="172"/>
      <c r="E486" s="172"/>
      <c r="F486" s="172"/>
      <c r="G486" s="172"/>
    </row>
    <row r="487" spans="2:7" hidden="1" x14ac:dyDescent="0.3">
      <c r="B487" s="172"/>
      <c r="C487" s="172"/>
      <c r="D487" s="172"/>
      <c r="E487" s="172"/>
      <c r="F487" s="172"/>
      <c r="G487" s="172"/>
    </row>
    <row r="488" spans="2:7" hidden="1" x14ac:dyDescent="0.3">
      <c r="B488" s="172"/>
      <c r="C488" s="172"/>
      <c r="D488" s="172"/>
      <c r="E488" s="172"/>
      <c r="F488" s="172"/>
      <c r="G488" s="172"/>
    </row>
    <row r="489" spans="2:7" hidden="1" x14ac:dyDescent="0.3">
      <c r="B489" s="172"/>
      <c r="C489" s="172"/>
      <c r="D489" s="172"/>
      <c r="E489" s="172"/>
      <c r="F489" s="172"/>
      <c r="G489" s="172"/>
    </row>
    <row r="490" spans="2:7" hidden="1" x14ac:dyDescent="0.3">
      <c r="B490" s="172"/>
      <c r="C490" s="172"/>
      <c r="D490" s="172"/>
      <c r="E490" s="172"/>
      <c r="F490" s="172"/>
      <c r="G490" s="172"/>
    </row>
    <row r="491" spans="2:7" hidden="1" x14ac:dyDescent="0.3">
      <c r="B491" s="172"/>
      <c r="C491" s="172"/>
      <c r="D491" s="172"/>
      <c r="E491" s="172"/>
      <c r="F491" s="172"/>
      <c r="G491" s="172"/>
    </row>
    <row r="492" spans="2:7" hidden="1" x14ac:dyDescent="0.3">
      <c r="B492" s="172"/>
      <c r="C492" s="172"/>
      <c r="D492" s="172"/>
      <c r="E492" s="172"/>
      <c r="F492" s="172"/>
      <c r="G492" s="172"/>
    </row>
    <row r="493" spans="2:7" hidden="1" x14ac:dyDescent="0.3">
      <c r="B493" s="172"/>
      <c r="C493" s="172"/>
      <c r="D493" s="172"/>
      <c r="E493" s="172"/>
      <c r="F493" s="172"/>
      <c r="G493" s="172"/>
    </row>
    <row r="494" spans="2:7" hidden="1" x14ac:dyDescent="0.3">
      <c r="B494" s="172"/>
      <c r="C494" s="172"/>
      <c r="D494" s="172"/>
      <c r="E494" s="172"/>
      <c r="F494" s="172"/>
      <c r="G494" s="172"/>
    </row>
    <row r="495" spans="2:7" hidden="1" x14ac:dyDescent="0.3">
      <c r="B495" s="172"/>
      <c r="C495" s="172"/>
      <c r="D495" s="172"/>
      <c r="E495" s="172"/>
      <c r="F495" s="172"/>
      <c r="G495" s="172"/>
    </row>
    <row r="496" spans="2:7" hidden="1" x14ac:dyDescent="0.3">
      <c r="B496" s="172"/>
      <c r="C496" s="172"/>
      <c r="D496" s="172"/>
      <c r="E496" s="172"/>
      <c r="F496" s="172"/>
      <c r="G496" s="172"/>
    </row>
    <row r="497" spans="2:7" hidden="1" x14ac:dyDescent="0.3">
      <c r="B497" s="172"/>
      <c r="C497" s="172"/>
      <c r="D497" s="172"/>
      <c r="E497" s="172"/>
      <c r="F497" s="172"/>
      <c r="G497" s="172"/>
    </row>
    <row r="498" spans="2:7" hidden="1" x14ac:dyDescent="0.3">
      <c r="B498" s="172"/>
      <c r="C498" s="172"/>
      <c r="D498" s="172"/>
      <c r="E498" s="172"/>
      <c r="F498" s="172"/>
      <c r="G498" s="172"/>
    </row>
    <row r="499" spans="2:7" hidden="1" x14ac:dyDescent="0.3">
      <c r="B499" s="172"/>
      <c r="C499" s="172"/>
      <c r="D499" s="172"/>
      <c r="E499" s="172"/>
      <c r="F499" s="172"/>
      <c r="G499" s="172"/>
    </row>
    <row r="500" spans="2:7" hidden="1" x14ac:dyDescent="0.3">
      <c r="B500" s="172"/>
      <c r="C500" s="172"/>
      <c r="D500" s="172"/>
      <c r="E500" s="172"/>
      <c r="F500" s="172"/>
      <c r="G500" s="172"/>
    </row>
    <row r="501" spans="2:7" hidden="1" x14ac:dyDescent="0.3">
      <c r="B501" s="172"/>
      <c r="C501" s="172"/>
      <c r="D501" s="172"/>
      <c r="E501" s="172"/>
      <c r="F501" s="172"/>
      <c r="G501" s="172"/>
    </row>
    <row r="502" spans="2:7" hidden="1" x14ac:dyDescent="0.3">
      <c r="B502" s="172"/>
      <c r="C502" s="172"/>
      <c r="D502" s="172"/>
      <c r="E502" s="172"/>
      <c r="F502" s="172"/>
      <c r="G502" s="172"/>
    </row>
    <row r="503" spans="2:7" hidden="1" x14ac:dyDescent="0.3">
      <c r="B503" s="172"/>
      <c r="C503" s="172"/>
      <c r="D503" s="172"/>
      <c r="E503" s="172"/>
      <c r="F503" s="172"/>
      <c r="G503" s="172"/>
    </row>
    <row r="504" spans="2:7" hidden="1" x14ac:dyDescent="0.3">
      <c r="B504" s="172"/>
      <c r="C504" s="172"/>
      <c r="D504" s="172"/>
      <c r="E504" s="172"/>
      <c r="F504" s="172"/>
      <c r="G504" s="172"/>
    </row>
    <row r="505" spans="2:7" hidden="1" x14ac:dyDescent="0.3">
      <c r="B505" s="172"/>
      <c r="C505" s="172"/>
      <c r="D505" s="172"/>
      <c r="E505" s="172"/>
      <c r="F505" s="172"/>
      <c r="G505" s="172"/>
    </row>
    <row r="506" spans="2:7" hidden="1" x14ac:dyDescent="0.3">
      <c r="B506" s="172"/>
      <c r="C506" s="172"/>
      <c r="D506" s="172"/>
      <c r="E506" s="172"/>
      <c r="F506" s="172"/>
      <c r="G506" s="172"/>
    </row>
    <row r="507" spans="2:7" hidden="1" x14ac:dyDescent="0.3">
      <c r="B507" s="172"/>
      <c r="C507" s="172"/>
      <c r="D507" s="172"/>
      <c r="E507" s="172"/>
      <c r="F507" s="172"/>
      <c r="G507" s="172"/>
    </row>
    <row r="508" spans="2:7" hidden="1" x14ac:dyDescent="0.3">
      <c r="B508" s="172"/>
      <c r="C508" s="172"/>
      <c r="D508" s="172"/>
      <c r="E508" s="172"/>
      <c r="F508" s="172"/>
      <c r="G508" s="172"/>
    </row>
    <row r="509" spans="2:7" hidden="1" x14ac:dyDescent="0.3">
      <c r="B509" s="172"/>
      <c r="C509" s="172"/>
      <c r="D509" s="172"/>
      <c r="E509" s="172"/>
      <c r="F509" s="172"/>
      <c r="G509" s="172"/>
    </row>
    <row r="510" spans="2:7" hidden="1" x14ac:dyDescent="0.3">
      <c r="B510" s="172"/>
      <c r="C510" s="172"/>
      <c r="D510" s="172"/>
      <c r="E510" s="172"/>
      <c r="F510" s="172"/>
      <c r="G510" s="172"/>
    </row>
    <row r="511" spans="2:7" hidden="1" x14ac:dyDescent="0.3">
      <c r="B511" s="172"/>
      <c r="C511" s="172"/>
      <c r="D511" s="172"/>
      <c r="E511" s="172"/>
      <c r="F511" s="172"/>
      <c r="G511" s="172"/>
    </row>
    <row r="512" spans="2:7" hidden="1" x14ac:dyDescent="0.3">
      <c r="B512" s="172"/>
      <c r="C512" s="172"/>
      <c r="D512" s="172"/>
      <c r="E512" s="172"/>
      <c r="F512" s="172"/>
      <c r="G512" s="172"/>
    </row>
    <row r="513" spans="2:7" hidden="1" x14ac:dyDescent="0.3">
      <c r="B513" s="172"/>
      <c r="C513" s="172"/>
      <c r="D513" s="172"/>
      <c r="E513" s="172"/>
      <c r="F513" s="172"/>
      <c r="G513" s="172"/>
    </row>
    <row r="514" spans="2:7" hidden="1" x14ac:dyDescent="0.3">
      <c r="B514" s="172"/>
      <c r="C514" s="172"/>
      <c r="D514" s="172"/>
      <c r="E514" s="172"/>
      <c r="F514" s="172"/>
      <c r="G514" s="172"/>
    </row>
    <row r="515" spans="2:7" hidden="1" x14ac:dyDescent="0.3">
      <c r="B515" s="172"/>
      <c r="C515" s="172"/>
      <c r="D515" s="172"/>
      <c r="E515" s="172"/>
      <c r="F515" s="172"/>
      <c r="G515" s="172"/>
    </row>
    <row r="516" spans="2:7" hidden="1" x14ac:dyDescent="0.3">
      <c r="B516" s="172"/>
      <c r="C516" s="172"/>
      <c r="D516" s="172"/>
      <c r="E516" s="172"/>
      <c r="F516" s="172"/>
      <c r="G516" s="172"/>
    </row>
    <row r="517" spans="2:7" hidden="1" x14ac:dyDescent="0.3">
      <c r="B517" s="172"/>
      <c r="C517" s="172"/>
      <c r="D517" s="172"/>
      <c r="E517" s="172"/>
      <c r="F517" s="172"/>
      <c r="G517" s="172"/>
    </row>
    <row r="518" spans="2:7" hidden="1" x14ac:dyDescent="0.3">
      <c r="B518" s="172"/>
      <c r="C518" s="172"/>
      <c r="D518" s="172"/>
      <c r="E518" s="172"/>
      <c r="F518" s="172"/>
      <c r="G518" s="172"/>
    </row>
    <row r="519" spans="2:7" hidden="1" x14ac:dyDescent="0.3">
      <c r="B519" s="172"/>
      <c r="C519" s="172"/>
      <c r="D519" s="172"/>
      <c r="E519" s="172"/>
      <c r="F519" s="172"/>
      <c r="G519" s="172"/>
    </row>
    <row r="520" spans="2:7" hidden="1" x14ac:dyDescent="0.3">
      <c r="B520" s="172"/>
      <c r="C520" s="172"/>
      <c r="D520" s="172"/>
      <c r="E520" s="172"/>
      <c r="F520" s="172"/>
      <c r="G520" s="172"/>
    </row>
    <row r="521" spans="2:7" hidden="1" x14ac:dyDescent="0.3">
      <c r="B521" s="172"/>
      <c r="C521" s="172"/>
      <c r="D521" s="172"/>
      <c r="E521" s="172"/>
      <c r="F521" s="172"/>
      <c r="G521" s="172"/>
    </row>
    <row r="522" spans="2:7" hidden="1" x14ac:dyDescent="0.3">
      <c r="B522" s="172"/>
      <c r="C522" s="172"/>
      <c r="D522" s="172"/>
      <c r="E522" s="172"/>
      <c r="F522" s="172"/>
      <c r="G522" s="172"/>
    </row>
    <row r="523" spans="2:7" hidden="1" x14ac:dyDescent="0.3">
      <c r="B523" s="172"/>
      <c r="C523" s="172"/>
      <c r="D523" s="172"/>
      <c r="E523" s="172"/>
      <c r="F523" s="172"/>
      <c r="G523" s="172"/>
    </row>
    <row r="524" spans="2:7" hidden="1" x14ac:dyDescent="0.3">
      <c r="B524" s="172"/>
      <c r="C524" s="172"/>
      <c r="D524" s="172"/>
      <c r="E524" s="172"/>
      <c r="F524" s="172"/>
      <c r="G524" s="172"/>
    </row>
    <row r="525" spans="2:7" hidden="1" x14ac:dyDescent="0.3">
      <c r="B525" s="172"/>
      <c r="C525" s="172"/>
      <c r="D525" s="172"/>
      <c r="E525" s="172"/>
      <c r="F525" s="172"/>
      <c r="G525" s="172"/>
    </row>
    <row r="526" spans="2:7" hidden="1" x14ac:dyDescent="0.3">
      <c r="B526" s="172"/>
      <c r="C526" s="172"/>
      <c r="D526" s="172"/>
      <c r="E526" s="172"/>
      <c r="F526" s="172"/>
      <c r="G526" s="172"/>
    </row>
    <row r="527" spans="2:7" hidden="1" x14ac:dyDescent="0.3">
      <c r="B527" s="172"/>
      <c r="C527" s="172"/>
      <c r="D527" s="172"/>
      <c r="E527" s="172"/>
      <c r="F527" s="172"/>
      <c r="G527" s="172"/>
    </row>
    <row r="528" spans="2:7" hidden="1" x14ac:dyDescent="0.3">
      <c r="B528" s="172"/>
      <c r="C528" s="172"/>
      <c r="D528" s="172"/>
      <c r="E528" s="172"/>
      <c r="F528" s="172"/>
      <c r="G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8</xdr:col>
                    <xdr:colOff>784860</xdr:colOff>
                    <xdr:row>0</xdr:row>
                    <xdr:rowOff>99060</xdr:rowOff>
                  </from>
                  <to>
                    <xdr:col>11</xdr:col>
                    <xdr:colOff>381000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2:I528"/>
  <sheetViews>
    <sheetView topLeftCell="A278" workbookViewId="0">
      <selection activeCell="E405" sqref="E405:E463"/>
    </sheetView>
  </sheetViews>
  <sheetFormatPr baseColWidth="10" defaultRowHeight="14.4" x14ac:dyDescent="0.3"/>
  <cols>
    <col min="2" max="7" width="11.5546875" style="75"/>
  </cols>
  <sheetData>
    <row r="2" spans="2:9" x14ac:dyDescent="0.3">
      <c r="B2" s="167" t="s">
        <v>251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46</v>
      </c>
      <c r="D3" s="169" t="s">
        <v>42</v>
      </c>
      <c r="E3" s="169" t="s">
        <v>252</v>
      </c>
      <c r="F3" s="169" t="s">
        <v>253</v>
      </c>
      <c r="G3" s="169" t="s">
        <v>218</v>
      </c>
      <c r="H3" s="169" t="s">
        <v>221</v>
      </c>
      <c r="I3" s="170" t="s">
        <v>206</v>
      </c>
    </row>
    <row r="4" spans="2:9" x14ac:dyDescent="0.3">
      <c r="B4" s="205"/>
      <c r="C4" s="205"/>
      <c r="D4" s="205"/>
      <c r="E4" s="205"/>
      <c r="F4" s="205"/>
      <c r="G4" s="205" t="s">
        <v>7</v>
      </c>
      <c r="H4" s="205" t="s">
        <v>7</v>
      </c>
      <c r="I4" s="206" t="s">
        <v>7</v>
      </c>
    </row>
    <row r="5" spans="2:9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  <c r="H5" s="27" t="s">
        <v>260</v>
      </c>
      <c r="I5" s="27" t="s">
        <v>261</v>
      </c>
    </row>
    <row r="6" spans="2:9" s="172" customFormat="1" x14ac:dyDescent="0.3">
      <c r="B6" s="172" t="s">
        <v>189</v>
      </c>
      <c r="C6" s="172" t="s">
        <v>79</v>
      </c>
      <c r="D6" s="172" t="s">
        <v>218</v>
      </c>
      <c r="E6" s="172">
        <v>3.80047246485649E-4</v>
      </c>
      <c r="F6" s="172">
        <v>50</v>
      </c>
      <c r="G6" s="172">
        <v>19</v>
      </c>
      <c r="H6" s="172">
        <v>11</v>
      </c>
      <c r="I6" s="172">
        <v>38.5</v>
      </c>
    </row>
    <row r="7" spans="2:9" s="172" customFormat="1" hidden="1" x14ac:dyDescent="0.3">
      <c r="B7" s="172" t="s">
        <v>189</v>
      </c>
      <c r="C7" s="172" t="s">
        <v>80</v>
      </c>
      <c r="D7" s="172" t="s">
        <v>218</v>
      </c>
      <c r="E7" s="172">
        <v>3.7069421312725198E-4</v>
      </c>
      <c r="F7" s="172">
        <v>50</v>
      </c>
      <c r="G7" s="172">
        <v>19</v>
      </c>
      <c r="H7" s="172">
        <v>11</v>
      </c>
      <c r="I7" s="172">
        <v>38.5</v>
      </c>
    </row>
    <row r="8" spans="2:9" s="172" customFormat="1" hidden="1" x14ac:dyDescent="0.3">
      <c r="B8" s="172" t="s">
        <v>189</v>
      </c>
      <c r="C8" s="172" t="s">
        <v>81</v>
      </c>
      <c r="D8" s="172" t="s">
        <v>221</v>
      </c>
      <c r="E8" s="172">
        <v>2.4235908660596899E-4</v>
      </c>
      <c r="F8" s="172">
        <v>53</v>
      </c>
      <c r="G8" s="172">
        <v>15</v>
      </c>
      <c r="H8" s="172">
        <v>11</v>
      </c>
      <c r="I8" s="172">
        <v>38.5</v>
      </c>
    </row>
    <row r="9" spans="2:9" s="172" customFormat="1" hidden="1" x14ac:dyDescent="0.3">
      <c r="B9" s="172" t="s">
        <v>189</v>
      </c>
      <c r="C9" s="172" t="s">
        <v>82</v>
      </c>
      <c r="D9" s="172" t="s">
        <v>221</v>
      </c>
      <c r="E9" s="172">
        <v>2.3471902769715101E-4</v>
      </c>
      <c r="F9" s="172">
        <v>53</v>
      </c>
      <c r="G9" s="172">
        <v>15</v>
      </c>
      <c r="H9" s="172">
        <v>11</v>
      </c>
      <c r="I9" s="172">
        <v>38.5</v>
      </c>
    </row>
    <row r="10" spans="2:9" s="172" customFormat="1" hidden="1" x14ac:dyDescent="0.3">
      <c r="B10" s="172" t="s">
        <v>189</v>
      </c>
      <c r="C10" s="172" t="s">
        <v>246</v>
      </c>
      <c r="D10" s="172" t="s">
        <v>218</v>
      </c>
      <c r="E10" s="172">
        <v>2.3013236284096699E-4</v>
      </c>
      <c r="F10" s="172">
        <v>50</v>
      </c>
      <c r="G10" s="172">
        <v>19</v>
      </c>
      <c r="H10" s="172">
        <v>11</v>
      </c>
      <c r="I10" s="172">
        <v>38.5</v>
      </c>
    </row>
    <row r="11" spans="2:9" s="172" customFormat="1" hidden="1" x14ac:dyDescent="0.3">
      <c r="B11" s="172" t="s">
        <v>189</v>
      </c>
      <c r="C11" s="172" t="s">
        <v>246</v>
      </c>
      <c r="D11" s="172" t="s">
        <v>221</v>
      </c>
      <c r="E11" s="172">
        <v>9.6424525589388605E-5</v>
      </c>
      <c r="F11" s="172">
        <v>53</v>
      </c>
      <c r="G11" s="172">
        <v>15</v>
      </c>
      <c r="H11" s="172">
        <v>11</v>
      </c>
      <c r="I11" s="172">
        <v>38.5</v>
      </c>
    </row>
    <row r="12" spans="2:9" s="172" customFormat="1" x14ac:dyDescent="0.3">
      <c r="B12" s="172" t="s">
        <v>187</v>
      </c>
      <c r="C12" s="172" t="s">
        <v>79</v>
      </c>
      <c r="D12" s="172" t="s">
        <v>218</v>
      </c>
      <c r="E12" s="172">
        <v>3.1934269985696499E-4</v>
      </c>
      <c r="F12" s="172">
        <v>19</v>
      </c>
      <c r="G12" s="172">
        <v>19.25</v>
      </c>
      <c r="H12" s="172">
        <v>19.25</v>
      </c>
      <c r="I12" s="172">
        <v>35.5</v>
      </c>
    </row>
    <row r="13" spans="2:9" s="172" customFormat="1" hidden="1" x14ac:dyDescent="0.3">
      <c r="B13" s="172" t="s">
        <v>187</v>
      </c>
      <c r="C13" s="172" t="s">
        <v>80</v>
      </c>
      <c r="D13" s="172" t="s">
        <v>218</v>
      </c>
      <c r="E13" s="172">
        <v>3.20552471737512E-4</v>
      </c>
      <c r="F13" s="172">
        <v>25</v>
      </c>
      <c r="G13" s="172">
        <v>19.25</v>
      </c>
      <c r="H13" s="172">
        <v>-0.25</v>
      </c>
      <c r="I13" s="172">
        <v>35.5</v>
      </c>
    </row>
    <row r="14" spans="2:9" hidden="1" x14ac:dyDescent="0.3">
      <c r="B14" s="172" t="s">
        <v>187</v>
      </c>
      <c r="C14" s="172" t="s">
        <v>81</v>
      </c>
      <c r="D14" s="172" t="s">
        <v>221</v>
      </c>
      <c r="E14" s="172">
        <v>2.5486560432103398E-4</v>
      </c>
      <c r="F14" s="172">
        <v>39</v>
      </c>
      <c r="G14" s="172">
        <v>0</v>
      </c>
      <c r="H14" s="172">
        <v>19</v>
      </c>
      <c r="I14" s="172">
        <v>35.5</v>
      </c>
    </row>
    <row r="15" spans="2:9" hidden="1" x14ac:dyDescent="0.3">
      <c r="B15" s="172" t="s">
        <v>187</v>
      </c>
      <c r="C15" s="172" t="s">
        <v>82</v>
      </c>
      <c r="D15" s="172" t="s">
        <v>221</v>
      </c>
      <c r="E15" s="172">
        <v>2.9435022257720398E-4</v>
      </c>
      <c r="F15" s="172">
        <v>39</v>
      </c>
      <c r="G15" s="172">
        <v>0</v>
      </c>
      <c r="H15" s="172">
        <v>19</v>
      </c>
      <c r="I15" s="172">
        <v>35.5</v>
      </c>
    </row>
    <row r="16" spans="2:9" hidden="1" x14ac:dyDescent="0.3">
      <c r="B16" s="172" t="s">
        <v>187</v>
      </c>
      <c r="C16" s="172" t="s">
        <v>246</v>
      </c>
      <c r="D16" s="172" t="s">
        <v>218</v>
      </c>
      <c r="E16" s="172">
        <v>8.7435108252115895E-5</v>
      </c>
      <c r="F16" s="172">
        <v>25</v>
      </c>
      <c r="G16" s="172">
        <v>19.25</v>
      </c>
      <c r="H16" s="172">
        <v>-0.25</v>
      </c>
      <c r="I16" s="172">
        <v>35.5</v>
      </c>
    </row>
    <row r="17" spans="2:9" hidden="1" x14ac:dyDescent="0.3">
      <c r="B17" s="172" t="s">
        <v>187</v>
      </c>
      <c r="C17" s="172" t="s">
        <v>246</v>
      </c>
      <c r="D17" s="172" t="s">
        <v>221</v>
      </c>
      <c r="E17" s="172">
        <v>1.6609654312365201E-5</v>
      </c>
      <c r="F17" s="172">
        <v>19</v>
      </c>
      <c r="G17" s="172">
        <v>19.25</v>
      </c>
      <c r="H17" s="172">
        <v>19.25</v>
      </c>
      <c r="I17" s="172">
        <v>35.5</v>
      </c>
    </row>
    <row r="18" spans="2:9" x14ac:dyDescent="0.3">
      <c r="B18" s="172" t="s">
        <v>185</v>
      </c>
      <c r="C18" s="172" t="s">
        <v>79</v>
      </c>
      <c r="D18" s="172" t="s">
        <v>218</v>
      </c>
      <c r="E18" s="172">
        <v>4.6725825709162199E-4</v>
      </c>
      <c r="F18" s="172">
        <v>19</v>
      </c>
      <c r="G18" s="172">
        <v>19.25</v>
      </c>
      <c r="H18" s="172">
        <v>19.25</v>
      </c>
      <c r="I18" s="172">
        <v>32</v>
      </c>
    </row>
    <row r="19" spans="2:9" hidden="1" x14ac:dyDescent="0.3">
      <c r="B19" s="172" t="s">
        <v>185</v>
      </c>
      <c r="C19" s="172" t="s">
        <v>80</v>
      </c>
      <c r="D19" s="172" t="s">
        <v>218</v>
      </c>
      <c r="E19" s="172">
        <v>4.6723622027066499E-4</v>
      </c>
      <c r="F19" s="172">
        <v>25</v>
      </c>
      <c r="G19" s="172">
        <v>19.25</v>
      </c>
      <c r="H19" s="172">
        <v>-0.25</v>
      </c>
      <c r="I19" s="172">
        <v>32</v>
      </c>
    </row>
    <row r="20" spans="2:9" hidden="1" x14ac:dyDescent="0.3">
      <c r="B20" s="172" t="s">
        <v>185</v>
      </c>
      <c r="C20" s="172" t="s">
        <v>81</v>
      </c>
      <c r="D20" s="172" t="s">
        <v>221</v>
      </c>
      <c r="E20" s="172">
        <v>4.0632311308951799E-4</v>
      </c>
      <c r="F20" s="172">
        <v>39</v>
      </c>
      <c r="G20" s="172">
        <v>0</v>
      </c>
      <c r="H20" s="172">
        <v>19</v>
      </c>
      <c r="I20" s="172">
        <v>32</v>
      </c>
    </row>
    <row r="21" spans="2:9" hidden="1" x14ac:dyDescent="0.3">
      <c r="B21" s="172" t="s">
        <v>185</v>
      </c>
      <c r="C21" s="172" t="s">
        <v>82</v>
      </c>
      <c r="D21" s="172" t="s">
        <v>221</v>
      </c>
      <c r="E21" s="172">
        <v>4.7926757522366001E-4</v>
      </c>
      <c r="F21" s="172">
        <v>39</v>
      </c>
      <c r="G21" s="172">
        <v>0</v>
      </c>
      <c r="H21" s="172">
        <v>19</v>
      </c>
      <c r="I21" s="172">
        <v>32</v>
      </c>
    </row>
    <row r="22" spans="2:9" hidden="1" x14ac:dyDescent="0.3">
      <c r="B22" s="172" t="s">
        <v>185</v>
      </c>
      <c r="C22" s="172" t="s">
        <v>246</v>
      </c>
      <c r="D22" s="172" t="s">
        <v>218</v>
      </c>
      <c r="E22" s="172">
        <v>9.3424702487346402E-5</v>
      </c>
      <c r="F22" s="172">
        <v>25</v>
      </c>
      <c r="G22" s="172">
        <v>19.25</v>
      </c>
      <c r="H22" s="172">
        <v>-0.25</v>
      </c>
      <c r="I22" s="172">
        <v>32</v>
      </c>
    </row>
    <row r="23" spans="2:9" hidden="1" x14ac:dyDescent="0.3">
      <c r="B23" s="172" t="s">
        <v>185</v>
      </c>
      <c r="C23" s="172" t="s">
        <v>246</v>
      </c>
      <c r="D23" s="172" t="s">
        <v>221</v>
      </c>
      <c r="E23" s="172">
        <v>2.07080244098961E-5</v>
      </c>
      <c r="F23" s="172">
        <v>19</v>
      </c>
      <c r="G23" s="172">
        <v>19.25</v>
      </c>
      <c r="H23" s="172">
        <v>19.25</v>
      </c>
      <c r="I23" s="172">
        <v>32</v>
      </c>
    </row>
    <row r="24" spans="2:9" x14ac:dyDescent="0.3">
      <c r="B24" s="172" t="s">
        <v>183</v>
      </c>
      <c r="C24" s="172" t="s">
        <v>79</v>
      </c>
      <c r="D24" s="172" t="s">
        <v>218</v>
      </c>
      <c r="E24" s="172">
        <v>6.0065784725081995E-4</v>
      </c>
      <c r="F24" s="172">
        <v>19</v>
      </c>
      <c r="G24" s="172">
        <v>19.25</v>
      </c>
      <c r="H24" s="172">
        <v>19.25</v>
      </c>
      <c r="I24" s="172">
        <v>28.5</v>
      </c>
    </row>
    <row r="25" spans="2:9" hidden="1" x14ac:dyDescent="0.3">
      <c r="B25" s="172" t="s">
        <v>183</v>
      </c>
      <c r="C25" s="172" t="s">
        <v>80</v>
      </c>
      <c r="D25" s="172" t="s">
        <v>218</v>
      </c>
      <c r="E25" s="172">
        <v>5.99617101218242E-4</v>
      </c>
      <c r="F25" s="172">
        <v>25</v>
      </c>
      <c r="G25" s="172">
        <v>19.25</v>
      </c>
      <c r="H25" s="172">
        <v>-0.25</v>
      </c>
      <c r="I25" s="172">
        <v>28.5</v>
      </c>
    </row>
    <row r="26" spans="2:9" hidden="1" x14ac:dyDescent="0.3">
      <c r="B26" s="172" t="s">
        <v>183</v>
      </c>
      <c r="C26" s="172" t="s">
        <v>81</v>
      </c>
      <c r="D26" s="172" t="s">
        <v>221</v>
      </c>
      <c r="E26" s="172">
        <v>5.5016816792298104E-4</v>
      </c>
      <c r="F26" s="172">
        <v>39</v>
      </c>
      <c r="G26" s="172">
        <v>0</v>
      </c>
      <c r="H26" s="172">
        <v>19</v>
      </c>
      <c r="I26" s="172">
        <v>28.5</v>
      </c>
    </row>
    <row r="27" spans="2:9" hidden="1" x14ac:dyDescent="0.3">
      <c r="B27" s="172" t="s">
        <v>183</v>
      </c>
      <c r="C27" s="172" t="s">
        <v>82</v>
      </c>
      <c r="D27" s="172" t="s">
        <v>221</v>
      </c>
      <c r="E27" s="172">
        <v>6.5517978276400399E-4</v>
      </c>
      <c r="F27" s="172">
        <v>39</v>
      </c>
      <c r="G27" s="172">
        <v>0</v>
      </c>
      <c r="H27" s="172">
        <v>19</v>
      </c>
      <c r="I27" s="172">
        <v>28.5</v>
      </c>
    </row>
    <row r="28" spans="2:9" hidden="1" x14ac:dyDescent="0.3">
      <c r="B28" s="172" t="s">
        <v>183</v>
      </c>
      <c r="C28" s="172" t="s">
        <v>246</v>
      </c>
      <c r="D28" s="172" t="s">
        <v>218</v>
      </c>
      <c r="E28" s="172">
        <v>8.8569831304270306E-5</v>
      </c>
      <c r="F28" s="172">
        <v>25</v>
      </c>
      <c r="G28" s="172">
        <v>19.25</v>
      </c>
      <c r="H28" s="172">
        <v>-0.25</v>
      </c>
      <c r="I28" s="172">
        <v>28.5</v>
      </c>
    </row>
    <row r="29" spans="2:9" hidden="1" x14ac:dyDescent="0.3">
      <c r="B29" s="172" t="s">
        <v>183</v>
      </c>
      <c r="C29" s="172" t="s">
        <v>246</v>
      </c>
      <c r="D29" s="172" t="s">
        <v>221</v>
      </c>
      <c r="E29" s="172">
        <v>1.6951888645418499E-5</v>
      </c>
      <c r="F29" s="172">
        <v>19</v>
      </c>
      <c r="G29" s="172">
        <v>19.25</v>
      </c>
      <c r="H29" s="172">
        <v>19.25</v>
      </c>
      <c r="I29" s="172">
        <v>28.5</v>
      </c>
    </row>
    <row r="30" spans="2:9" x14ac:dyDescent="0.3">
      <c r="B30" s="172" t="s">
        <v>181</v>
      </c>
      <c r="C30" s="172" t="s">
        <v>79</v>
      </c>
      <c r="D30" s="172" t="s">
        <v>218</v>
      </c>
      <c r="E30" s="172">
        <v>7.1288751047376996E-4</v>
      </c>
      <c r="F30" s="172">
        <v>19</v>
      </c>
      <c r="G30" s="172">
        <v>19.25</v>
      </c>
      <c r="H30" s="172">
        <v>19.25</v>
      </c>
      <c r="I30" s="172">
        <v>25</v>
      </c>
    </row>
    <row r="31" spans="2:9" hidden="1" x14ac:dyDescent="0.3">
      <c r="B31" s="172" t="s">
        <v>181</v>
      </c>
      <c r="C31" s="172" t="s">
        <v>80</v>
      </c>
      <c r="D31" s="172" t="s">
        <v>218</v>
      </c>
      <c r="E31" s="172">
        <v>7.1061308848036899E-4</v>
      </c>
      <c r="F31" s="172">
        <v>25</v>
      </c>
      <c r="G31" s="172">
        <v>19.25</v>
      </c>
      <c r="H31" s="172">
        <v>-0.25</v>
      </c>
      <c r="I31" s="172">
        <v>25</v>
      </c>
    </row>
    <row r="32" spans="2:9" hidden="1" x14ac:dyDescent="0.3">
      <c r="B32" s="172" t="s">
        <v>181</v>
      </c>
      <c r="C32" s="172" t="s">
        <v>81</v>
      </c>
      <c r="D32" s="172" t="s">
        <v>221</v>
      </c>
      <c r="E32" s="172">
        <v>6.7325918662710597E-4</v>
      </c>
      <c r="F32" s="172">
        <v>39</v>
      </c>
      <c r="G32" s="172">
        <v>0</v>
      </c>
      <c r="H32" s="172">
        <v>19</v>
      </c>
      <c r="I32" s="172">
        <v>25</v>
      </c>
    </row>
    <row r="33" spans="2:9" hidden="1" x14ac:dyDescent="0.3">
      <c r="B33" s="172" t="s">
        <v>181</v>
      </c>
      <c r="C33" s="172" t="s">
        <v>82</v>
      </c>
      <c r="D33" s="172" t="s">
        <v>221</v>
      </c>
      <c r="E33" s="172">
        <v>8.0597124823478402E-4</v>
      </c>
      <c r="F33" s="172">
        <v>39</v>
      </c>
      <c r="G33" s="172">
        <v>0</v>
      </c>
      <c r="H33" s="172">
        <v>19</v>
      </c>
      <c r="I33" s="172">
        <v>25</v>
      </c>
    </row>
    <row r="34" spans="2:9" hidden="1" x14ac:dyDescent="0.3">
      <c r="B34" s="172" t="s">
        <v>181</v>
      </c>
      <c r="C34" s="172" t="s">
        <v>246</v>
      </c>
      <c r="D34" s="172" t="s">
        <v>218</v>
      </c>
      <c r="E34" s="172">
        <v>8.1938230872381204E-5</v>
      </c>
      <c r="F34" s="172">
        <v>25</v>
      </c>
      <c r="G34" s="172">
        <v>19.25</v>
      </c>
      <c r="H34" s="172">
        <v>-0.25</v>
      </c>
      <c r="I34" s="172">
        <v>25</v>
      </c>
    </row>
    <row r="35" spans="2:9" hidden="1" x14ac:dyDescent="0.3">
      <c r="B35" s="172" t="s">
        <v>181</v>
      </c>
      <c r="C35" s="172" t="s">
        <v>246</v>
      </c>
      <c r="D35" s="172" t="s">
        <v>221</v>
      </c>
      <c r="E35" s="172">
        <v>1.2546464926087101E-5</v>
      </c>
      <c r="F35" s="172">
        <v>19</v>
      </c>
      <c r="G35" s="172">
        <v>19.25</v>
      </c>
      <c r="H35" s="172">
        <v>19.25</v>
      </c>
      <c r="I35" s="172">
        <v>25</v>
      </c>
    </row>
    <row r="36" spans="2:9" x14ac:dyDescent="0.3">
      <c r="B36" s="172" t="s">
        <v>179</v>
      </c>
      <c r="C36" s="172" t="s">
        <v>79</v>
      </c>
      <c r="D36" s="172" t="s">
        <v>218</v>
      </c>
      <c r="E36" s="172">
        <v>8.0546955812029798E-4</v>
      </c>
      <c r="F36" s="172">
        <v>19</v>
      </c>
      <c r="G36" s="172">
        <v>19.25</v>
      </c>
      <c r="H36" s="172">
        <v>19.25</v>
      </c>
      <c r="I36" s="172">
        <v>21.5</v>
      </c>
    </row>
    <row r="37" spans="2:9" hidden="1" x14ac:dyDescent="0.3">
      <c r="B37" s="172" t="s">
        <v>179</v>
      </c>
      <c r="C37" s="172" t="s">
        <v>80</v>
      </c>
      <c r="D37" s="172" t="s">
        <v>218</v>
      </c>
      <c r="E37" s="172">
        <v>8.0196752019454597E-4</v>
      </c>
      <c r="F37" s="172">
        <v>25</v>
      </c>
      <c r="G37" s="172">
        <v>19.25</v>
      </c>
      <c r="H37" s="172">
        <v>-0.25</v>
      </c>
      <c r="I37" s="172">
        <v>21.5</v>
      </c>
    </row>
    <row r="38" spans="2:9" hidden="1" x14ac:dyDescent="0.3">
      <c r="B38" s="172" t="s">
        <v>179</v>
      </c>
      <c r="C38" s="172" t="s">
        <v>81</v>
      </c>
      <c r="D38" s="172" t="s">
        <v>221</v>
      </c>
      <c r="E38" s="172">
        <v>7.7697490310012999E-4</v>
      </c>
      <c r="F38" s="172">
        <v>39</v>
      </c>
      <c r="G38" s="172">
        <v>0</v>
      </c>
      <c r="H38" s="172">
        <v>19</v>
      </c>
      <c r="I38" s="172">
        <v>21.5</v>
      </c>
    </row>
    <row r="39" spans="2:9" hidden="1" x14ac:dyDescent="0.3">
      <c r="B39" s="172" t="s">
        <v>179</v>
      </c>
      <c r="C39" s="172" t="s">
        <v>82</v>
      </c>
      <c r="D39" s="172" t="s">
        <v>221</v>
      </c>
      <c r="E39" s="172">
        <v>9.33478080525297E-4</v>
      </c>
      <c r="F39" s="172">
        <v>39</v>
      </c>
      <c r="G39" s="172">
        <v>0</v>
      </c>
      <c r="H39" s="172">
        <v>19</v>
      </c>
      <c r="I39" s="172">
        <v>21.5</v>
      </c>
    </row>
    <row r="40" spans="2:9" hidden="1" x14ac:dyDescent="0.3">
      <c r="B40" s="172" t="s">
        <v>179</v>
      </c>
      <c r="C40" s="172" t="s">
        <v>246</v>
      </c>
      <c r="D40" s="172" t="s">
        <v>218</v>
      </c>
      <c r="E40" s="172">
        <v>7.4417001224867595E-5</v>
      </c>
      <c r="F40" s="172">
        <v>19</v>
      </c>
      <c r="G40" s="172">
        <v>19.25</v>
      </c>
      <c r="H40" s="172">
        <v>19.25</v>
      </c>
      <c r="I40" s="172">
        <v>21.5</v>
      </c>
    </row>
    <row r="41" spans="2:9" hidden="1" x14ac:dyDescent="0.3">
      <c r="B41" s="172" t="s">
        <v>179</v>
      </c>
      <c r="C41" s="172" t="s">
        <v>246</v>
      </c>
      <c r="D41" s="172" t="s">
        <v>221</v>
      </c>
      <c r="E41" s="172">
        <v>8.0101982938821395E-6</v>
      </c>
      <c r="F41" s="172">
        <v>39</v>
      </c>
      <c r="G41" s="172">
        <v>0</v>
      </c>
      <c r="H41" s="172">
        <v>19</v>
      </c>
      <c r="I41" s="172">
        <v>21.5</v>
      </c>
    </row>
    <row r="42" spans="2:9" x14ac:dyDescent="0.3">
      <c r="B42" s="172" t="s">
        <v>39</v>
      </c>
      <c r="C42" s="172" t="s">
        <v>79</v>
      </c>
      <c r="D42" s="172" t="s">
        <v>218</v>
      </c>
      <c r="E42" s="172">
        <v>8.7974432481817096E-4</v>
      </c>
      <c r="F42" s="172">
        <v>19</v>
      </c>
      <c r="G42" s="172">
        <v>19.25</v>
      </c>
      <c r="H42" s="172">
        <v>19.25</v>
      </c>
      <c r="I42" s="172">
        <v>18</v>
      </c>
    </row>
    <row r="43" spans="2:9" hidden="1" x14ac:dyDescent="0.3">
      <c r="B43" s="172" t="s">
        <v>39</v>
      </c>
      <c r="C43" s="172" t="s">
        <v>80</v>
      </c>
      <c r="D43" s="172" t="s">
        <v>218</v>
      </c>
      <c r="E43" s="172">
        <v>8.7514481525257498E-4</v>
      </c>
      <c r="F43" s="172">
        <v>25</v>
      </c>
      <c r="G43" s="172">
        <v>19.25</v>
      </c>
      <c r="H43" s="172">
        <v>-0.25</v>
      </c>
      <c r="I43" s="172">
        <v>18</v>
      </c>
    </row>
    <row r="44" spans="2:9" hidden="1" x14ac:dyDescent="0.3">
      <c r="B44" s="172" t="s">
        <v>39</v>
      </c>
      <c r="C44" s="172" t="s">
        <v>81</v>
      </c>
      <c r="D44" s="172" t="s">
        <v>221</v>
      </c>
      <c r="E44" s="172">
        <v>8.6374736897972296E-4</v>
      </c>
      <c r="F44" s="172">
        <v>39</v>
      </c>
      <c r="G44" s="172">
        <v>0</v>
      </c>
      <c r="H44" s="172">
        <v>19</v>
      </c>
      <c r="I44" s="172">
        <v>18</v>
      </c>
    </row>
    <row r="45" spans="2:9" hidden="1" x14ac:dyDescent="0.3">
      <c r="B45" s="172" t="s">
        <v>39</v>
      </c>
      <c r="C45" s="172" t="s">
        <v>82</v>
      </c>
      <c r="D45" s="172" t="s">
        <v>221</v>
      </c>
      <c r="E45" s="172">
        <v>1.04079122789236E-3</v>
      </c>
      <c r="F45" s="172">
        <v>39</v>
      </c>
      <c r="G45" s="172">
        <v>0</v>
      </c>
      <c r="H45" s="172">
        <v>19</v>
      </c>
      <c r="I45" s="172">
        <v>18</v>
      </c>
    </row>
    <row r="46" spans="2:9" hidden="1" x14ac:dyDescent="0.3">
      <c r="B46" s="172" t="s">
        <v>39</v>
      </c>
      <c r="C46" s="172" t="s">
        <v>246</v>
      </c>
      <c r="D46" s="172" t="s">
        <v>218</v>
      </c>
      <c r="E46" s="172">
        <v>6.7049859608084896E-5</v>
      </c>
      <c r="F46" s="172">
        <v>19</v>
      </c>
      <c r="G46" s="172">
        <v>19.25</v>
      </c>
      <c r="H46" s="172">
        <v>19.25</v>
      </c>
      <c r="I46" s="172">
        <v>18</v>
      </c>
    </row>
    <row r="47" spans="2:9" x14ac:dyDescent="0.3">
      <c r="B47" s="172" t="s">
        <v>26</v>
      </c>
      <c r="C47" s="172" t="s">
        <v>79</v>
      </c>
      <c r="D47" s="172" t="s">
        <v>218</v>
      </c>
      <c r="E47" s="172">
        <v>9.3542470737912199E-4</v>
      </c>
      <c r="F47" s="172">
        <v>19</v>
      </c>
      <c r="G47" s="172">
        <v>19.25</v>
      </c>
      <c r="H47" s="172">
        <v>19.25</v>
      </c>
      <c r="I47" s="172">
        <v>14.5</v>
      </c>
    </row>
    <row r="48" spans="2:9" hidden="1" x14ac:dyDescent="0.3">
      <c r="B48" s="172" t="s">
        <v>26</v>
      </c>
      <c r="C48" s="172" t="s">
        <v>80</v>
      </c>
      <c r="D48" s="172" t="s">
        <v>218</v>
      </c>
      <c r="E48" s="172">
        <v>9.3001179763504505E-4</v>
      </c>
      <c r="F48" s="172">
        <v>25</v>
      </c>
      <c r="G48" s="172">
        <v>19.25</v>
      </c>
      <c r="H48" s="172">
        <v>-0.25</v>
      </c>
      <c r="I48" s="172">
        <v>14.5</v>
      </c>
    </row>
    <row r="49" spans="2:9" hidden="1" x14ac:dyDescent="0.3">
      <c r="B49" s="172" t="s">
        <v>26</v>
      </c>
      <c r="C49" s="172" t="s">
        <v>81</v>
      </c>
      <c r="D49" s="172" t="s">
        <v>221</v>
      </c>
      <c r="E49" s="172">
        <v>9.3423090730441203E-4</v>
      </c>
      <c r="F49" s="172">
        <v>39</v>
      </c>
      <c r="G49" s="172">
        <v>0</v>
      </c>
      <c r="H49" s="172">
        <v>19</v>
      </c>
      <c r="I49" s="172">
        <v>14.5</v>
      </c>
    </row>
    <row r="50" spans="2:9" hidden="1" x14ac:dyDescent="0.3">
      <c r="B50" s="172" t="s">
        <v>26</v>
      </c>
      <c r="C50" s="172" t="s">
        <v>82</v>
      </c>
      <c r="D50" s="172" t="s">
        <v>221</v>
      </c>
      <c r="E50" s="172">
        <v>1.12883338797331E-3</v>
      </c>
      <c r="F50" s="172">
        <v>39</v>
      </c>
      <c r="G50" s="172">
        <v>0</v>
      </c>
      <c r="H50" s="172">
        <v>19</v>
      </c>
      <c r="I50" s="172">
        <v>14.5</v>
      </c>
    </row>
    <row r="51" spans="2:9" hidden="1" x14ac:dyDescent="0.3">
      <c r="B51" s="172" t="s">
        <v>26</v>
      </c>
      <c r="C51" s="172" t="s">
        <v>246</v>
      </c>
      <c r="D51" s="172" t="s">
        <v>218</v>
      </c>
      <c r="E51" s="172">
        <v>5.8262910424716199E-5</v>
      </c>
      <c r="F51" s="172">
        <v>19</v>
      </c>
      <c r="G51" s="172">
        <v>19.25</v>
      </c>
      <c r="H51" s="172">
        <v>19.25</v>
      </c>
      <c r="I51" s="172">
        <v>14.5</v>
      </c>
    </row>
    <row r="52" spans="2:9" x14ac:dyDescent="0.3">
      <c r="B52" s="172" t="s">
        <v>25</v>
      </c>
      <c r="C52" s="172" t="s">
        <v>79</v>
      </c>
      <c r="D52" s="172" t="s">
        <v>218</v>
      </c>
      <c r="E52" s="172">
        <v>9.6886379985662498E-4</v>
      </c>
      <c r="F52" s="172">
        <v>19</v>
      </c>
      <c r="G52" s="172">
        <v>19.25</v>
      </c>
      <c r="H52" s="172">
        <v>19.25</v>
      </c>
      <c r="I52" s="172">
        <v>11</v>
      </c>
    </row>
    <row r="53" spans="2:9" hidden="1" x14ac:dyDescent="0.3">
      <c r="B53" s="172" t="s">
        <v>25</v>
      </c>
      <c r="C53" s="172" t="s">
        <v>80</v>
      </c>
      <c r="D53" s="172" t="s">
        <v>218</v>
      </c>
      <c r="E53" s="172">
        <v>9.6324662583953304E-4</v>
      </c>
      <c r="F53" s="172">
        <v>25</v>
      </c>
      <c r="G53" s="172">
        <v>19.25</v>
      </c>
      <c r="H53" s="172">
        <v>-0.25</v>
      </c>
      <c r="I53" s="172">
        <v>11</v>
      </c>
    </row>
    <row r="54" spans="2:9" hidden="1" x14ac:dyDescent="0.3">
      <c r="B54" s="172" t="s">
        <v>25</v>
      </c>
      <c r="C54" s="172" t="s">
        <v>81</v>
      </c>
      <c r="D54" s="172" t="s">
        <v>221</v>
      </c>
      <c r="E54" s="172">
        <v>9.8411326668710599E-4</v>
      </c>
      <c r="F54" s="172">
        <v>39</v>
      </c>
      <c r="G54" s="172">
        <v>0</v>
      </c>
      <c r="H54" s="172">
        <v>19</v>
      </c>
      <c r="I54" s="172">
        <v>11</v>
      </c>
    </row>
    <row r="55" spans="2:9" hidden="1" x14ac:dyDescent="0.3">
      <c r="B55" s="172" t="s">
        <v>25</v>
      </c>
      <c r="C55" s="172" t="s">
        <v>82</v>
      </c>
      <c r="D55" s="172" t="s">
        <v>221</v>
      </c>
      <c r="E55" s="172">
        <v>1.19255778888021E-3</v>
      </c>
      <c r="F55" s="172">
        <v>39</v>
      </c>
      <c r="G55" s="172">
        <v>0</v>
      </c>
      <c r="H55" s="172">
        <v>19</v>
      </c>
      <c r="I55" s="172">
        <v>11</v>
      </c>
    </row>
    <row r="56" spans="2:9" hidden="1" x14ac:dyDescent="0.3">
      <c r="B56" s="172" t="s">
        <v>25</v>
      </c>
      <c r="C56" s="172" t="s">
        <v>246</v>
      </c>
      <c r="D56" s="172" t="s">
        <v>218</v>
      </c>
      <c r="E56" s="172">
        <v>4.7926047675800402E-5</v>
      </c>
      <c r="F56" s="172">
        <v>19</v>
      </c>
      <c r="G56" s="172">
        <v>19.25</v>
      </c>
      <c r="H56" s="172">
        <v>19.25</v>
      </c>
      <c r="I56" s="172">
        <v>11</v>
      </c>
    </row>
    <row r="57" spans="2:9" hidden="1" x14ac:dyDescent="0.3">
      <c r="B57" s="172" t="s">
        <v>25</v>
      </c>
      <c r="C57" s="172" t="s">
        <v>246</v>
      </c>
      <c r="D57" s="172" t="s">
        <v>221</v>
      </c>
      <c r="E57" s="172">
        <v>1.7723228867367399E-5</v>
      </c>
      <c r="F57" s="172">
        <v>25</v>
      </c>
      <c r="G57" s="172">
        <v>19.25</v>
      </c>
      <c r="H57" s="172">
        <v>-0.25</v>
      </c>
      <c r="I57" s="172">
        <v>11</v>
      </c>
    </row>
    <row r="58" spans="2:9" x14ac:dyDescent="0.3">
      <c r="B58" s="172" t="s">
        <v>24</v>
      </c>
      <c r="C58" s="172" t="s">
        <v>79</v>
      </c>
      <c r="D58" s="172" t="s">
        <v>218</v>
      </c>
      <c r="E58" s="172">
        <v>9.6584353821229903E-4</v>
      </c>
      <c r="F58" s="172">
        <v>19</v>
      </c>
      <c r="G58" s="172">
        <v>19.25</v>
      </c>
      <c r="H58" s="172">
        <v>19.25</v>
      </c>
      <c r="I58" s="172">
        <v>7.5</v>
      </c>
    </row>
    <row r="59" spans="2:9" hidden="1" x14ac:dyDescent="0.3">
      <c r="B59" s="172" t="s">
        <v>24</v>
      </c>
      <c r="C59" s="172" t="s">
        <v>80</v>
      </c>
      <c r="D59" s="172" t="s">
        <v>218</v>
      </c>
      <c r="E59" s="172">
        <v>9.6050449783538602E-4</v>
      </c>
      <c r="F59" s="172">
        <v>25</v>
      </c>
      <c r="G59" s="172">
        <v>19.25</v>
      </c>
      <c r="H59" s="172">
        <v>-0.25</v>
      </c>
      <c r="I59" s="172">
        <v>7.5</v>
      </c>
    </row>
    <row r="60" spans="2:9" hidden="1" x14ac:dyDescent="0.3">
      <c r="B60" s="172" t="s">
        <v>24</v>
      </c>
      <c r="C60" s="172" t="s">
        <v>81</v>
      </c>
      <c r="D60" s="172" t="s">
        <v>221</v>
      </c>
      <c r="E60" s="172">
        <v>9.9033795744713697E-4</v>
      </c>
      <c r="F60" s="172">
        <v>39</v>
      </c>
      <c r="G60" s="172">
        <v>0</v>
      </c>
      <c r="H60" s="172">
        <v>19</v>
      </c>
      <c r="I60" s="172">
        <v>7.5</v>
      </c>
    </row>
    <row r="61" spans="2:9" hidden="1" x14ac:dyDescent="0.3">
      <c r="B61" s="172" t="s">
        <v>24</v>
      </c>
      <c r="C61" s="172" t="s">
        <v>82</v>
      </c>
      <c r="D61" s="172" t="s">
        <v>221</v>
      </c>
      <c r="E61" s="172">
        <v>1.2049939918354899E-3</v>
      </c>
      <c r="F61" s="172">
        <v>39</v>
      </c>
      <c r="G61" s="172">
        <v>0</v>
      </c>
      <c r="H61" s="172">
        <v>19</v>
      </c>
      <c r="I61" s="172">
        <v>7.5</v>
      </c>
    </row>
    <row r="62" spans="2:9" hidden="1" x14ac:dyDescent="0.3">
      <c r="B62" s="172" t="s">
        <v>24</v>
      </c>
      <c r="C62" s="172" t="s">
        <v>246</v>
      </c>
      <c r="D62" s="172" t="s">
        <v>218</v>
      </c>
      <c r="E62" s="172">
        <v>3.4384352557766098E-5</v>
      </c>
      <c r="F62" s="172">
        <v>19</v>
      </c>
      <c r="G62" s="172">
        <v>19.25</v>
      </c>
      <c r="H62" s="172">
        <v>19.25</v>
      </c>
      <c r="I62" s="172">
        <v>7.5</v>
      </c>
    </row>
    <row r="63" spans="2:9" hidden="1" x14ac:dyDescent="0.3">
      <c r="B63" s="172" t="s">
        <v>24</v>
      </c>
      <c r="C63" s="172" t="s">
        <v>246</v>
      </c>
      <c r="D63" s="172" t="s">
        <v>221</v>
      </c>
      <c r="E63" s="172">
        <v>3.0703611239521997E-5</v>
      </c>
      <c r="F63" s="172">
        <v>25</v>
      </c>
      <c r="G63" s="172">
        <v>19.25</v>
      </c>
      <c r="H63" s="172">
        <v>-0.25</v>
      </c>
      <c r="I63" s="172">
        <v>7.5</v>
      </c>
    </row>
    <row r="64" spans="2:9" x14ac:dyDescent="0.3">
      <c r="B64" s="172" t="s">
        <v>22</v>
      </c>
      <c r="C64" s="172" t="s">
        <v>79</v>
      </c>
      <c r="D64" s="172" t="s">
        <v>218</v>
      </c>
      <c r="E64" s="172">
        <v>7.2486934016209603E-4</v>
      </c>
      <c r="F64" s="172">
        <v>14</v>
      </c>
      <c r="G64" s="172">
        <v>19</v>
      </c>
      <c r="H64" s="172">
        <v>19</v>
      </c>
      <c r="I64" s="172">
        <v>4</v>
      </c>
    </row>
    <row r="65" spans="2:9" hidden="1" x14ac:dyDescent="0.3">
      <c r="B65" s="172" t="s">
        <v>22</v>
      </c>
      <c r="C65" s="172" t="s">
        <v>80</v>
      </c>
      <c r="D65" s="172" t="s">
        <v>218</v>
      </c>
      <c r="E65" s="172">
        <v>7.1832012846562003E-4</v>
      </c>
      <c r="F65" s="172">
        <v>48</v>
      </c>
      <c r="G65" s="172">
        <v>19</v>
      </c>
      <c r="H65" s="172">
        <v>0</v>
      </c>
      <c r="I65" s="172">
        <v>4</v>
      </c>
    </row>
    <row r="66" spans="2:9" hidden="1" x14ac:dyDescent="0.3">
      <c r="B66" s="172" t="s">
        <v>22</v>
      </c>
      <c r="C66" s="172" t="s">
        <v>81</v>
      </c>
      <c r="D66" s="172" t="s">
        <v>221</v>
      </c>
      <c r="E66" s="172">
        <v>7.08236990036457E-4</v>
      </c>
      <c r="F66" s="172">
        <v>39</v>
      </c>
      <c r="G66" s="172">
        <v>0</v>
      </c>
      <c r="H66" s="172">
        <v>19</v>
      </c>
      <c r="I66" s="172">
        <v>4</v>
      </c>
    </row>
    <row r="67" spans="2:9" hidden="1" x14ac:dyDescent="0.3">
      <c r="B67" s="172" t="s">
        <v>22</v>
      </c>
      <c r="C67" s="172" t="s">
        <v>82</v>
      </c>
      <c r="D67" s="172" t="s">
        <v>221</v>
      </c>
      <c r="E67" s="172">
        <v>8.7526327259866601E-4</v>
      </c>
      <c r="F67" s="172">
        <v>39</v>
      </c>
      <c r="G67" s="172">
        <v>0</v>
      </c>
      <c r="H67" s="172">
        <v>19</v>
      </c>
      <c r="I67" s="172">
        <v>4</v>
      </c>
    </row>
    <row r="68" spans="2:9" hidden="1" x14ac:dyDescent="0.3">
      <c r="B68" s="172" t="s">
        <v>22</v>
      </c>
      <c r="C68" s="172" t="s">
        <v>246</v>
      </c>
      <c r="D68" s="172" t="s">
        <v>221</v>
      </c>
      <c r="E68" s="172">
        <v>4.7135729453918698E-5</v>
      </c>
      <c r="F68" s="172">
        <v>50</v>
      </c>
      <c r="G68" s="172">
        <v>19</v>
      </c>
      <c r="H68" s="172">
        <v>11</v>
      </c>
      <c r="I68" s="172">
        <v>4</v>
      </c>
    </row>
    <row r="69" spans="2:9" hidden="1" x14ac:dyDescent="0.3">
      <c r="B69" s="172"/>
      <c r="C69" s="172"/>
      <c r="D69" s="172"/>
      <c r="E69" s="172"/>
      <c r="F69" s="172"/>
      <c r="G69" s="172"/>
      <c r="H69" s="172"/>
      <c r="I69" s="172"/>
    </row>
    <row r="70" spans="2:9" hidden="1" x14ac:dyDescent="0.3">
      <c r="B70" s="172"/>
      <c r="C70" s="172"/>
      <c r="D70" s="172"/>
      <c r="E70" s="172"/>
      <c r="F70" s="172"/>
      <c r="G70" s="172"/>
      <c r="H70" s="172"/>
      <c r="I70" s="172"/>
    </row>
    <row r="71" spans="2:9" hidden="1" x14ac:dyDescent="0.3">
      <c r="B71" s="172"/>
      <c r="C71" s="172"/>
      <c r="D71" s="172"/>
      <c r="E71" s="172"/>
      <c r="F71" s="172"/>
      <c r="G71" s="172"/>
      <c r="H71" s="172"/>
      <c r="I71" s="172"/>
    </row>
    <row r="72" spans="2:9" hidden="1" x14ac:dyDescent="0.3">
      <c r="B72" s="172"/>
      <c r="C72" s="172"/>
      <c r="D72" s="172"/>
      <c r="E72" s="172"/>
      <c r="F72" s="172"/>
      <c r="G72" s="172"/>
      <c r="H72" s="172"/>
      <c r="I72" s="172"/>
    </row>
    <row r="73" spans="2:9" hidden="1" x14ac:dyDescent="0.3">
      <c r="B73" s="172"/>
      <c r="C73" s="172"/>
      <c r="D73" s="172"/>
      <c r="E73" s="172"/>
      <c r="F73" s="172"/>
      <c r="G73" s="172"/>
      <c r="H73" s="172"/>
      <c r="I73" s="172"/>
    </row>
    <row r="74" spans="2:9" hidden="1" x14ac:dyDescent="0.3">
      <c r="B74" s="172"/>
      <c r="C74" s="172"/>
      <c r="D74" s="172"/>
      <c r="E74" s="172"/>
      <c r="F74" s="172"/>
      <c r="G74" s="172"/>
      <c r="H74" s="172"/>
      <c r="I74" s="172"/>
    </row>
    <row r="75" spans="2:9" hidden="1" x14ac:dyDescent="0.3">
      <c r="B75" s="172"/>
      <c r="C75" s="172"/>
      <c r="D75" s="172"/>
      <c r="E75" s="172"/>
      <c r="F75" s="172"/>
      <c r="G75" s="172"/>
      <c r="H75" s="172"/>
      <c r="I75" s="172"/>
    </row>
    <row r="76" spans="2:9" hidden="1" x14ac:dyDescent="0.3">
      <c r="B76" s="172"/>
      <c r="C76" s="172"/>
      <c r="D76" s="172"/>
      <c r="E76" s="172"/>
      <c r="F76" s="172"/>
      <c r="G76" s="172"/>
      <c r="H76" s="172"/>
      <c r="I76" s="172"/>
    </row>
    <row r="77" spans="2:9" hidden="1" x14ac:dyDescent="0.3">
      <c r="B77" s="172"/>
      <c r="C77" s="172"/>
      <c r="D77" s="172"/>
      <c r="E77" s="172"/>
      <c r="F77" s="172"/>
      <c r="G77" s="172"/>
      <c r="H77" s="172"/>
      <c r="I77" s="172"/>
    </row>
    <row r="78" spans="2:9" hidden="1" x14ac:dyDescent="0.3">
      <c r="B78" s="172"/>
      <c r="C78" s="172"/>
      <c r="D78" s="172"/>
      <c r="E78" s="172"/>
      <c r="F78" s="172"/>
      <c r="G78" s="172"/>
      <c r="H78" s="172"/>
      <c r="I78" s="172"/>
    </row>
    <row r="79" spans="2:9" hidden="1" x14ac:dyDescent="0.3">
      <c r="B79" s="172"/>
      <c r="C79" s="172"/>
      <c r="D79" s="172"/>
      <c r="E79" s="172"/>
      <c r="F79" s="172"/>
      <c r="G79" s="172"/>
      <c r="H79" s="172"/>
      <c r="I79" s="172"/>
    </row>
    <row r="80" spans="2:9" hidden="1" x14ac:dyDescent="0.3">
      <c r="B80" s="172"/>
      <c r="C80" s="172"/>
      <c r="D80" s="172"/>
      <c r="E80" s="172"/>
      <c r="F80" s="172"/>
      <c r="G80" s="172"/>
      <c r="H80" s="172"/>
      <c r="I80" s="172"/>
    </row>
    <row r="81" spans="2:9" hidden="1" x14ac:dyDescent="0.3">
      <c r="B81" s="172"/>
      <c r="C81" s="172"/>
      <c r="D81" s="172"/>
      <c r="E81" s="172"/>
      <c r="F81" s="172"/>
      <c r="G81" s="172"/>
      <c r="H81" s="172"/>
      <c r="I81" s="172"/>
    </row>
    <row r="82" spans="2:9" hidden="1" x14ac:dyDescent="0.3">
      <c r="B82" s="172"/>
      <c r="C82" s="172"/>
      <c r="D82" s="172"/>
      <c r="E82" s="172"/>
      <c r="F82" s="172"/>
      <c r="G82" s="172"/>
      <c r="H82" s="172"/>
      <c r="I82" s="172"/>
    </row>
    <row r="83" spans="2:9" hidden="1" x14ac:dyDescent="0.3">
      <c r="B83" s="172"/>
      <c r="C83" s="172"/>
      <c r="D83" s="172"/>
      <c r="E83" s="172"/>
      <c r="F83" s="172"/>
      <c r="G83" s="172"/>
      <c r="H83" s="172"/>
      <c r="I83" s="172"/>
    </row>
    <row r="84" spans="2:9" hidden="1" x14ac:dyDescent="0.3">
      <c r="B84" s="172"/>
      <c r="C84" s="172"/>
      <c r="D84" s="172"/>
      <c r="E84" s="172"/>
      <c r="F84" s="172"/>
      <c r="G84" s="172"/>
      <c r="H84" s="172"/>
      <c r="I84" s="172"/>
    </row>
    <row r="85" spans="2:9" hidden="1" x14ac:dyDescent="0.3">
      <c r="B85" s="172"/>
      <c r="C85" s="172"/>
      <c r="D85" s="172"/>
      <c r="E85" s="172"/>
      <c r="F85" s="172"/>
      <c r="G85" s="172"/>
      <c r="H85" s="172"/>
      <c r="I85" s="172"/>
    </row>
    <row r="86" spans="2:9" hidden="1" x14ac:dyDescent="0.3">
      <c r="B86" s="172"/>
      <c r="C86" s="172"/>
      <c r="D86" s="172"/>
      <c r="E86" s="172"/>
      <c r="F86" s="172"/>
      <c r="G86" s="172"/>
      <c r="H86" s="172"/>
      <c r="I86" s="172"/>
    </row>
    <row r="87" spans="2:9" hidden="1" x14ac:dyDescent="0.3">
      <c r="B87" s="172"/>
      <c r="C87" s="172"/>
      <c r="D87" s="172"/>
      <c r="E87" s="172"/>
      <c r="F87" s="172"/>
      <c r="G87" s="172"/>
      <c r="H87" s="172"/>
      <c r="I87" s="172"/>
    </row>
    <row r="88" spans="2:9" hidden="1" x14ac:dyDescent="0.3">
      <c r="B88" s="172"/>
      <c r="C88" s="172"/>
      <c r="D88" s="172"/>
      <c r="E88" s="172"/>
      <c r="F88" s="172"/>
      <c r="G88" s="172"/>
      <c r="H88" s="172"/>
      <c r="I88" s="172"/>
    </row>
    <row r="89" spans="2:9" hidden="1" x14ac:dyDescent="0.3">
      <c r="B89" s="172"/>
      <c r="C89" s="172"/>
      <c r="D89" s="172"/>
      <c r="E89" s="172"/>
      <c r="F89" s="172"/>
      <c r="G89" s="172"/>
      <c r="H89" s="172"/>
      <c r="I89" s="172"/>
    </row>
    <row r="90" spans="2:9" hidden="1" x14ac:dyDescent="0.3">
      <c r="B90" s="172"/>
      <c r="C90" s="172"/>
      <c r="D90" s="172"/>
      <c r="E90" s="172"/>
      <c r="F90" s="172"/>
      <c r="G90" s="172"/>
      <c r="H90" s="172"/>
      <c r="I90" s="172"/>
    </row>
    <row r="91" spans="2:9" hidden="1" x14ac:dyDescent="0.3">
      <c r="B91" s="172"/>
      <c r="C91" s="172"/>
      <c r="D91" s="172"/>
      <c r="E91" s="172"/>
      <c r="F91" s="172"/>
      <c r="G91" s="172"/>
      <c r="H91" s="172"/>
      <c r="I91" s="172"/>
    </row>
    <row r="92" spans="2:9" hidden="1" x14ac:dyDescent="0.3">
      <c r="B92" s="172"/>
      <c r="C92" s="172"/>
      <c r="D92" s="172"/>
      <c r="E92" s="172"/>
      <c r="F92" s="172"/>
      <c r="G92" s="172"/>
      <c r="H92" s="172"/>
      <c r="I92" s="172"/>
    </row>
    <row r="93" spans="2:9" hidden="1" x14ac:dyDescent="0.3">
      <c r="B93" s="172"/>
      <c r="C93" s="172"/>
      <c r="D93" s="172"/>
      <c r="E93" s="172"/>
      <c r="F93" s="172"/>
      <c r="G93" s="172"/>
      <c r="H93" s="172"/>
      <c r="I93" s="172"/>
    </row>
    <row r="94" spans="2:9" hidden="1" x14ac:dyDescent="0.3">
      <c r="B94" s="172"/>
      <c r="C94" s="172"/>
      <c r="D94" s="172"/>
      <c r="E94" s="172"/>
      <c r="F94" s="172"/>
      <c r="G94" s="172"/>
      <c r="H94" s="172"/>
      <c r="I94" s="172"/>
    </row>
    <row r="95" spans="2:9" hidden="1" x14ac:dyDescent="0.3">
      <c r="B95" s="172"/>
      <c r="C95" s="172"/>
      <c r="D95" s="172"/>
      <c r="E95" s="172"/>
      <c r="F95" s="172"/>
      <c r="G95" s="172"/>
      <c r="H95" s="172"/>
      <c r="I95" s="172"/>
    </row>
    <row r="96" spans="2:9" hidden="1" x14ac:dyDescent="0.3">
      <c r="B96" s="172"/>
      <c r="C96" s="172"/>
      <c r="D96" s="172"/>
      <c r="E96" s="172"/>
      <c r="F96" s="172"/>
      <c r="G96" s="172"/>
      <c r="H96" s="172"/>
      <c r="I96" s="172"/>
    </row>
    <row r="97" spans="2:9" hidden="1" x14ac:dyDescent="0.3">
      <c r="B97" s="172"/>
      <c r="C97" s="172"/>
      <c r="D97" s="172"/>
      <c r="E97" s="172"/>
      <c r="F97" s="172"/>
      <c r="G97" s="172"/>
      <c r="H97" s="172"/>
      <c r="I97" s="172"/>
    </row>
    <row r="98" spans="2:9" hidden="1" x14ac:dyDescent="0.3">
      <c r="B98" s="172"/>
      <c r="C98" s="172"/>
      <c r="D98" s="172"/>
      <c r="E98" s="172"/>
      <c r="F98" s="172"/>
      <c r="G98" s="172"/>
      <c r="H98" s="172"/>
      <c r="I98" s="172"/>
    </row>
    <row r="99" spans="2:9" hidden="1" x14ac:dyDescent="0.3">
      <c r="B99" s="172"/>
      <c r="C99" s="172"/>
      <c r="D99" s="172"/>
      <c r="E99" s="172"/>
      <c r="F99" s="172"/>
      <c r="G99" s="172"/>
      <c r="H99" s="172"/>
      <c r="I99" s="172"/>
    </row>
    <row r="100" spans="2:9" hidden="1" x14ac:dyDescent="0.3">
      <c r="B100" s="172"/>
      <c r="C100" s="172"/>
      <c r="D100" s="172"/>
      <c r="E100" s="172"/>
      <c r="F100" s="172"/>
      <c r="G100" s="172"/>
      <c r="H100" s="172"/>
      <c r="I100" s="172"/>
    </row>
    <row r="101" spans="2:9" hidden="1" x14ac:dyDescent="0.3">
      <c r="B101" s="172"/>
      <c r="C101" s="172"/>
      <c r="D101" s="172"/>
      <c r="E101" s="172"/>
      <c r="F101" s="172"/>
      <c r="G101" s="172"/>
      <c r="H101" s="172"/>
      <c r="I101" s="172"/>
    </row>
    <row r="102" spans="2:9" hidden="1" x14ac:dyDescent="0.3">
      <c r="B102" s="172"/>
      <c r="C102" s="172"/>
      <c r="D102" s="172"/>
      <c r="E102" s="172"/>
      <c r="F102" s="172"/>
      <c r="G102" s="172"/>
      <c r="H102" s="172"/>
      <c r="I102" s="172"/>
    </row>
    <row r="103" spans="2:9" hidden="1" x14ac:dyDescent="0.3">
      <c r="B103" s="172"/>
      <c r="C103" s="172"/>
      <c r="D103" s="172"/>
      <c r="E103" s="172"/>
      <c r="F103" s="172"/>
      <c r="G103" s="172"/>
      <c r="H103" s="172"/>
      <c r="I103" s="172"/>
    </row>
    <row r="104" spans="2:9" hidden="1" x14ac:dyDescent="0.3">
      <c r="B104" s="172"/>
      <c r="C104" s="172"/>
      <c r="D104" s="172"/>
      <c r="E104" s="172"/>
      <c r="F104" s="172"/>
      <c r="G104" s="172"/>
      <c r="H104" s="172"/>
      <c r="I104" s="172"/>
    </row>
    <row r="105" spans="2:9" hidden="1" x14ac:dyDescent="0.3">
      <c r="B105" s="172"/>
      <c r="C105" s="172"/>
      <c r="D105" s="172"/>
      <c r="E105" s="172"/>
      <c r="F105" s="172"/>
      <c r="G105" s="172"/>
      <c r="H105" s="172"/>
      <c r="I105" s="172"/>
    </row>
    <row r="106" spans="2:9" hidden="1" x14ac:dyDescent="0.3">
      <c r="B106" s="172"/>
      <c r="C106" s="172"/>
      <c r="D106" s="172"/>
      <c r="E106" s="172"/>
      <c r="F106" s="172"/>
      <c r="G106" s="172"/>
      <c r="H106" s="172"/>
      <c r="I106" s="172"/>
    </row>
    <row r="107" spans="2:9" hidden="1" x14ac:dyDescent="0.3">
      <c r="B107" s="172"/>
      <c r="C107" s="172"/>
      <c r="D107" s="172"/>
      <c r="E107" s="172"/>
      <c r="F107" s="172"/>
      <c r="G107" s="172"/>
      <c r="H107" s="172"/>
      <c r="I107" s="172"/>
    </row>
    <row r="108" spans="2:9" hidden="1" x14ac:dyDescent="0.3">
      <c r="B108" s="172"/>
      <c r="C108" s="172"/>
      <c r="D108" s="172"/>
      <c r="E108" s="172"/>
      <c r="F108" s="172"/>
      <c r="G108" s="172"/>
      <c r="H108" s="172"/>
      <c r="I108" s="172"/>
    </row>
    <row r="109" spans="2:9" hidden="1" x14ac:dyDescent="0.3">
      <c r="B109" s="172"/>
      <c r="C109" s="172"/>
      <c r="D109" s="172"/>
      <c r="E109" s="172"/>
      <c r="F109" s="172"/>
      <c r="G109" s="172"/>
      <c r="H109" s="172"/>
      <c r="I109" s="172"/>
    </row>
    <row r="110" spans="2:9" hidden="1" x14ac:dyDescent="0.3">
      <c r="B110" s="172"/>
      <c r="C110" s="172"/>
      <c r="D110" s="172"/>
      <c r="E110" s="172"/>
      <c r="F110" s="172"/>
      <c r="G110" s="172"/>
      <c r="H110" s="172"/>
      <c r="I110" s="172"/>
    </row>
    <row r="111" spans="2:9" hidden="1" x14ac:dyDescent="0.3">
      <c r="B111" s="172"/>
      <c r="C111" s="172"/>
      <c r="D111" s="172"/>
      <c r="E111" s="172"/>
      <c r="F111" s="172"/>
      <c r="G111" s="172"/>
      <c r="H111" s="172"/>
      <c r="I111" s="172"/>
    </row>
    <row r="112" spans="2:9" hidden="1" x14ac:dyDescent="0.3">
      <c r="B112" s="172"/>
      <c r="C112" s="172"/>
      <c r="D112" s="172"/>
      <c r="E112" s="172"/>
      <c r="F112" s="172"/>
      <c r="G112" s="172"/>
      <c r="H112" s="172"/>
      <c r="I112" s="172"/>
    </row>
    <row r="113" spans="2:9" hidden="1" x14ac:dyDescent="0.3">
      <c r="B113" s="172"/>
      <c r="C113" s="172"/>
      <c r="D113" s="172"/>
      <c r="E113" s="172"/>
      <c r="F113" s="172"/>
      <c r="G113" s="172"/>
      <c r="H113" s="172"/>
      <c r="I113" s="172"/>
    </row>
    <row r="114" spans="2:9" hidden="1" x14ac:dyDescent="0.3">
      <c r="B114" s="172"/>
      <c r="C114" s="172"/>
      <c r="D114" s="172"/>
      <c r="E114" s="172"/>
      <c r="F114" s="172"/>
      <c r="G114" s="172"/>
      <c r="H114" s="172"/>
      <c r="I114" s="172"/>
    </row>
    <row r="115" spans="2:9" s="172" customFormat="1" hidden="1" x14ac:dyDescent="0.3"/>
    <row r="116" spans="2:9" hidden="1" x14ac:dyDescent="0.3">
      <c r="B116" s="172"/>
      <c r="C116" s="172"/>
      <c r="D116" s="172"/>
      <c r="E116" s="172"/>
      <c r="F116" s="172"/>
      <c r="G116" s="172"/>
      <c r="H116" s="172"/>
      <c r="I116" s="172"/>
    </row>
    <row r="117" spans="2:9" s="172" customFormat="1" hidden="1" x14ac:dyDescent="0.3"/>
    <row r="118" spans="2:9" hidden="1" x14ac:dyDescent="0.3">
      <c r="B118" s="172"/>
      <c r="C118" s="172"/>
      <c r="D118" s="172"/>
      <c r="E118" s="172"/>
      <c r="F118" s="172"/>
      <c r="G118" s="172"/>
      <c r="H118" s="172"/>
      <c r="I118" s="172"/>
    </row>
    <row r="119" spans="2:9" s="172" customFormat="1" hidden="1" x14ac:dyDescent="0.3"/>
    <row r="120" spans="2:9" hidden="1" x14ac:dyDescent="0.3">
      <c r="B120" s="172"/>
      <c r="C120" s="172"/>
      <c r="D120" s="172"/>
      <c r="E120" s="172"/>
      <c r="F120" s="172"/>
      <c r="G120" s="172"/>
      <c r="H120" s="172"/>
      <c r="I120" s="172"/>
    </row>
    <row r="121" spans="2:9" s="172" customFormat="1" hidden="1" x14ac:dyDescent="0.3"/>
    <row r="122" spans="2:9" hidden="1" x14ac:dyDescent="0.3">
      <c r="B122" s="172"/>
      <c r="C122" s="172"/>
      <c r="D122" s="172"/>
      <c r="E122" s="172"/>
      <c r="F122" s="172"/>
      <c r="G122" s="172"/>
      <c r="H122" s="172"/>
      <c r="I122" s="172"/>
    </row>
    <row r="123" spans="2:9" s="172" customFormat="1" hidden="1" x14ac:dyDescent="0.3"/>
    <row r="124" spans="2:9" hidden="1" x14ac:dyDescent="0.3">
      <c r="B124" s="172"/>
      <c r="C124" s="172"/>
      <c r="D124" s="172"/>
      <c r="E124" s="172"/>
      <c r="F124" s="172"/>
      <c r="G124" s="172"/>
      <c r="H124" s="172"/>
      <c r="I124" s="172"/>
    </row>
    <row r="125" spans="2:9" s="172" customFormat="1" hidden="1" x14ac:dyDescent="0.3"/>
    <row r="126" spans="2:9" hidden="1" x14ac:dyDescent="0.3">
      <c r="B126" s="172"/>
      <c r="C126" s="172"/>
      <c r="D126" s="172"/>
      <c r="E126" s="172"/>
      <c r="F126" s="172"/>
      <c r="G126" s="172"/>
      <c r="H126" s="172"/>
      <c r="I126" s="172"/>
    </row>
    <row r="127" spans="2:9" hidden="1" x14ac:dyDescent="0.3">
      <c r="B127" s="172"/>
      <c r="C127" s="172"/>
      <c r="D127" s="172"/>
      <c r="E127" s="172"/>
      <c r="F127" s="172"/>
      <c r="G127" s="172"/>
      <c r="H127" s="172"/>
      <c r="I127" s="172"/>
    </row>
    <row r="128" spans="2:9" hidden="1" x14ac:dyDescent="0.3">
      <c r="B128" s="172"/>
      <c r="C128" s="172"/>
      <c r="D128" s="172"/>
      <c r="E128" s="172"/>
      <c r="F128" s="172"/>
      <c r="G128" s="172"/>
      <c r="H128" s="172"/>
      <c r="I128" s="172"/>
    </row>
    <row r="129" spans="2:9" hidden="1" x14ac:dyDescent="0.3">
      <c r="B129" s="172"/>
      <c r="C129" s="172"/>
      <c r="D129" s="172"/>
      <c r="E129" s="172"/>
      <c r="F129" s="172"/>
      <c r="G129" s="172"/>
      <c r="H129" s="172"/>
      <c r="I129" s="172"/>
    </row>
    <row r="130" spans="2:9" hidden="1" x14ac:dyDescent="0.3">
      <c r="B130" s="172"/>
      <c r="C130" s="172"/>
      <c r="D130" s="172"/>
      <c r="E130" s="172"/>
      <c r="F130" s="172"/>
      <c r="G130" s="172"/>
      <c r="H130" s="172"/>
      <c r="I130" s="172"/>
    </row>
    <row r="131" spans="2:9" hidden="1" x14ac:dyDescent="0.3">
      <c r="B131" s="172"/>
      <c r="C131" s="172"/>
      <c r="D131" s="172"/>
      <c r="E131" s="172"/>
      <c r="F131" s="172"/>
      <c r="G131" s="172"/>
      <c r="H131" s="172"/>
      <c r="I131" s="172"/>
    </row>
    <row r="132" spans="2:9" hidden="1" x14ac:dyDescent="0.3">
      <c r="B132" s="172"/>
      <c r="C132" s="172"/>
      <c r="D132" s="172"/>
      <c r="E132" s="172"/>
      <c r="F132" s="172"/>
      <c r="G132" s="172"/>
      <c r="H132" s="172"/>
      <c r="I132" s="172"/>
    </row>
    <row r="134" spans="2:9" x14ac:dyDescent="0.3">
      <c r="B134" s="167" t="s">
        <v>251</v>
      </c>
      <c r="C134" s="168"/>
      <c r="D134" s="168"/>
      <c r="E134" s="168"/>
      <c r="F134" s="168"/>
      <c r="G134" s="168"/>
      <c r="H134" s="168"/>
      <c r="I134" s="168"/>
    </row>
    <row r="135" spans="2:9" x14ac:dyDescent="0.3">
      <c r="B135" s="169" t="s">
        <v>9</v>
      </c>
      <c r="C135" s="169" t="s">
        <v>46</v>
      </c>
      <c r="D135" s="169" t="s">
        <v>42</v>
      </c>
      <c r="E135" s="169" t="s">
        <v>252</v>
      </c>
      <c r="F135" s="169" t="s">
        <v>253</v>
      </c>
      <c r="G135" s="169" t="s">
        <v>218</v>
      </c>
      <c r="H135" s="169" t="s">
        <v>221</v>
      </c>
      <c r="I135" s="170" t="s">
        <v>206</v>
      </c>
    </row>
    <row r="136" spans="2:9" x14ac:dyDescent="0.3">
      <c r="B136" s="205"/>
      <c r="C136" s="205"/>
      <c r="D136" s="205"/>
      <c r="E136" s="205"/>
      <c r="F136" s="205"/>
      <c r="G136" s="205" t="s">
        <v>7</v>
      </c>
      <c r="H136" s="205" t="s">
        <v>7</v>
      </c>
      <c r="I136" s="206" t="s">
        <v>7</v>
      </c>
    </row>
    <row r="137" spans="2:9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  <c r="H137" s="27" t="s">
        <v>260</v>
      </c>
      <c r="I137" s="27" t="s">
        <v>261</v>
      </c>
    </row>
    <row r="138" spans="2:9" hidden="1" x14ac:dyDescent="0.3">
      <c r="B138" s="172" t="s">
        <v>189</v>
      </c>
      <c r="C138" s="172" t="s">
        <v>79</v>
      </c>
      <c r="D138" s="172" t="s">
        <v>218</v>
      </c>
      <c r="E138" s="172">
        <v>3.80047246485649E-4</v>
      </c>
      <c r="F138" s="172">
        <v>50</v>
      </c>
      <c r="G138" s="172">
        <v>19</v>
      </c>
      <c r="H138" s="172">
        <v>11</v>
      </c>
      <c r="I138" s="172">
        <v>38.5</v>
      </c>
    </row>
    <row r="139" spans="2:9" x14ac:dyDescent="0.3">
      <c r="B139" s="172" t="s">
        <v>189</v>
      </c>
      <c r="C139" s="172" t="s">
        <v>80</v>
      </c>
      <c r="D139" s="172" t="s">
        <v>218</v>
      </c>
      <c r="E139" s="172">
        <v>3.7069421312725198E-4</v>
      </c>
      <c r="F139" s="172">
        <v>50</v>
      </c>
      <c r="G139" s="172">
        <v>19</v>
      </c>
      <c r="H139" s="172">
        <v>11</v>
      </c>
      <c r="I139" s="172">
        <v>38.5</v>
      </c>
    </row>
    <row r="140" spans="2:9" hidden="1" x14ac:dyDescent="0.3">
      <c r="B140" s="172" t="s">
        <v>189</v>
      </c>
      <c r="C140" s="172" t="s">
        <v>81</v>
      </c>
      <c r="D140" s="172" t="s">
        <v>221</v>
      </c>
      <c r="E140" s="172">
        <v>2.4235908660596899E-4</v>
      </c>
      <c r="F140" s="172">
        <v>53</v>
      </c>
      <c r="G140" s="172">
        <v>15</v>
      </c>
      <c r="H140" s="172">
        <v>11</v>
      </c>
      <c r="I140" s="172">
        <v>38.5</v>
      </c>
    </row>
    <row r="141" spans="2:9" hidden="1" x14ac:dyDescent="0.3">
      <c r="B141" s="172" t="s">
        <v>189</v>
      </c>
      <c r="C141" s="172" t="s">
        <v>82</v>
      </c>
      <c r="D141" s="172" t="s">
        <v>221</v>
      </c>
      <c r="E141" s="172">
        <v>2.3471902769715101E-4</v>
      </c>
      <c r="F141" s="172">
        <v>53</v>
      </c>
      <c r="G141" s="172">
        <v>15</v>
      </c>
      <c r="H141" s="172">
        <v>11</v>
      </c>
      <c r="I141" s="172">
        <v>38.5</v>
      </c>
    </row>
    <row r="142" spans="2:9" hidden="1" x14ac:dyDescent="0.3">
      <c r="B142" s="172" t="s">
        <v>189</v>
      </c>
      <c r="C142" s="172" t="s">
        <v>246</v>
      </c>
      <c r="D142" s="172" t="s">
        <v>218</v>
      </c>
      <c r="E142" s="172">
        <v>2.3013236284096699E-4</v>
      </c>
      <c r="F142" s="172">
        <v>50</v>
      </c>
      <c r="G142" s="172">
        <v>19</v>
      </c>
      <c r="H142" s="172">
        <v>11</v>
      </c>
      <c r="I142" s="172">
        <v>38.5</v>
      </c>
    </row>
    <row r="143" spans="2:9" hidden="1" x14ac:dyDescent="0.3">
      <c r="B143" s="172" t="s">
        <v>189</v>
      </c>
      <c r="C143" s="172" t="s">
        <v>246</v>
      </c>
      <c r="D143" s="172" t="s">
        <v>221</v>
      </c>
      <c r="E143" s="172">
        <v>9.6424525589388605E-5</v>
      </c>
      <c r="F143" s="172">
        <v>53</v>
      </c>
      <c r="G143" s="172">
        <v>15</v>
      </c>
      <c r="H143" s="172">
        <v>11</v>
      </c>
      <c r="I143" s="172">
        <v>38.5</v>
      </c>
    </row>
    <row r="144" spans="2:9" hidden="1" x14ac:dyDescent="0.3">
      <c r="B144" s="172" t="s">
        <v>187</v>
      </c>
      <c r="C144" s="172" t="s">
        <v>79</v>
      </c>
      <c r="D144" s="172" t="s">
        <v>218</v>
      </c>
      <c r="E144" s="172">
        <v>3.1934269985696499E-4</v>
      </c>
      <c r="F144" s="172">
        <v>19</v>
      </c>
      <c r="G144" s="172">
        <v>19.25</v>
      </c>
      <c r="H144" s="172">
        <v>19.25</v>
      </c>
      <c r="I144" s="172">
        <v>35.5</v>
      </c>
    </row>
    <row r="145" spans="2:9" x14ac:dyDescent="0.3">
      <c r="B145" s="172" t="s">
        <v>187</v>
      </c>
      <c r="C145" s="172" t="s">
        <v>80</v>
      </c>
      <c r="D145" s="172" t="s">
        <v>218</v>
      </c>
      <c r="E145" s="172">
        <v>3.20552471737512E-4</v>
      </c>
      <c r="F145" s="172">
        <v>25</v>
      </c>
      <c r="G145" s="172">
        <v>19.25</v>
      </c>
      <c r="H145" s="172">
        <v>-0.25</v>
      </c>
      <c r="I145" s="172">
        <v>35.5</v>
      </c>
    </row>
    <row r="146" spans="2:9" hidden="1" x14ac:dyDescent="0.3">
      <c r="B146" s="172" t="s">
        <v>187</v>
      </c>
      <c r="C146" s="172" t="s">
        <v>81</v>
      </c>
      <c r="D146" s="172" t="s">
        <v>221</v>
      </c>
      <c r="E146" s="172">
        <v>2.5486560432103398E-4</v>
      </c>
      <c r="F146" s="172">
        <v>39</v>
      </c>
      <c r="G146" s="172">
        <v>0</v>
      </c>
      <c r="H146" s="172">
        <v>19</v>
      </c>
      <c r="I146" s="172">
        <v>35.5</v>
      </c>
    </row>
    <row r="147" spans="2:9" hidden="1" x14ac:dyDescent="0.3">
      <c r="B147" s="172" t="s">
        <v>187</v>
      </c>
      <c r="C147" s="172" t="s">
        <v>82</v>
      </c>
      <c r="D147" s="172" t="s">
        <v>221</v>
      </c>
      <c r="E147" s="172">
        <v>2.9435022257720398E-4</v>
      </c>
      <c r="F147" s="172">
        <v>39</v>
      </c>
      <c r="G147" s="172">
        <v>0</v>
      </c>
      <c r="H147" s="172">
        <v>19</v>
      </c>
      <c r="I147" s="172">
        <v>35.5</v>
      </c>
    </row>
    <row r="148" spans="2:9" hidden="1" x14ac:dyDescent="0.3">
      <c r="B148" s="172" t="s">
        <v>187</v>
      </c>
      <c r="C148" s="172" t="s">
        <v>246</v>
      </c>
      <c r="D148" s="172" t="s">
        <v>218</v>
      </c>
      <c r="E148" s="172">
        <v>8.7435108252115895E-5</v>
      </c>
      <c r="F148" s="172">
        <v>25</v>
      </c>
      <c r="G148" s="172">
        <v>19.25</v>
      </c>
      <c r="H148" s="172">
        <v>-0.25</v>
      </c>
      <c r="I148" s="172">
        <v>35.5</v>
      </c>
    </row>
    <row r="149" spans="2:9" hidden="1" x14ac:dyDescent="0.3">
      <c r="B149" s="172" t="s">
        <v>187</v>
      </c>
      <c r="C149" s="172" t="s">
        <v>246</v>
      </c>
      <c r="D149" s="172" t="s">
        <v>221</v>
      </c>
      <c r="E149" s="172">
        <v>1.6609654312365201E-5</v>
      </c>
      <c r="F149" s="172">
        <v>19</v>
      </c>
      <c r="G149" s="172">
        <v>19.25</v>
      </c>
      <c r="H149" s="172">
        <v>19.25</v>
      </c>
      <c r="I149" s="172">
        <v>35.5</v>
      </c>
    </row>
    <row r="150" spans="2:9" hidden="1" x14ac:dyDescent="0.3">
      <c r="B150" s="172" t="s">
        <v>185</v>
      </c>
      <c r="C150" s="172" t="s">
        <v>79</v>
      </c>
      <c r="D150" s="172" t="s">
        <v>218</v>
      </c>
      <c r="E150" s="172">
        <v>4.6725825709162199E-4</v>
      </c>
      <c r="F150" s="172">
        <v>19</v>
      </c>
      <c r="G150" s="172">
        <v>19.25</v>
      </c>
      <c r="H150" s="172">
        <v>19.25</v>
      </c>
      <c r="I150" s="172">
        <v>32</v>
      </c>
    </row>
    <row r="151" spans="2:9" x14ac:dyDescent="0.3">
      <c r="B151" s="172" t="s">
        <v>185</v>
      </c>
      <c r="C151" s="172" t="s">
        <v>80</v>
      </c>
      <c r="D151" s="172" t="s">
        <v>218</v>
      </c>
      <c r="E151" s="172">
        <v>4.6723622027066499E-4</v>
      </c>
      <c r="F151" s="172">
        <v>25</v>
      </c>
      <c r="G151" s="172">
        <v>19.25</v>
      </c>
      <c r="H151" s="172">
        <v>-0.25</v>
      </c>
      <c r="I151" s="172">
        <v>32</v>
      </c>
    </row>
    <row r="152" spans="2:9" hidden="1" x14ac:dyDescent="0.3">
      <c r="B152" s="172" t="s">
        <v>185</v>
      </c>
      <c r="C152" s="172" t="s">
        <v>81</v>
      </c>
      <c r="D152" s="172" t="s">
        <v>221</v>
      </c>
      <c r="E152" s="172">
        <v>4.0632311308951799E-4</v>
      </c>
      <c r="F152" s="172">
        <v>39</v>
      </c>
      <c r="G152" s="172">
        <v>0</v>
      </c>
      <c r="H152" s="172">
        <v>19</v>
      </c>
      <c r="I152" s="172">
        <v>32</v>
      </c>
    </row>
    <row r="153" spans="2:9" hidden="1" x14ac:dyDescent="0.3">
      <c r="B153" s="172" t="s">
        <v>185</v>
      </c>
      <c r="C153" s="172" t="s">
        <v>82</v>
      </c>
      <c r="D153" s="172" t="s">
        <v>221</v>
      </c>
      <c r="E153" s="172">
        <v>4.7926757522366001E-4</v>
      </c>
      <c r="F153" s="172">
        <v>39</v>
      </c>
      <c r="G153" s="172">
        <v>0</v>
      </c>
      <c r="H153" s="172">
        <v>19</v>
      </c>
      <c r="I153" s="172">
        <v>32</v>
      </c>
    </row>
    <row r="154" spans="2:9" hidden="1" x14ac:dyDescent="0.3">
      <c r="B154" s="172" t="s">
        <v>185</v>
      </c>
      <c r="C154" s="172" t="s">
        <v>246</v>
      </c>
      <c r="D154" s="172" t="s">
        <v>218</v>
      </c>
      <c r="E154" s="172">
        <v>9.3424702487346402E-5</v>
      </c>
      <c r="F154" s="172">
        <v>25</v>
      </c>
      <c r="G154" s="172">
        <v>19.25</v>
      </c>
      <c r="H154" s="172">
        <v>-0.25</v>
      </c>
      <c r="I154" s="172">
        <v>32</v>
      </c>
    </row>
    <row r="155" spans="2:9" hidden="1" x14ac:dyDescent="0.3">
      <c r="B155" s="172" t="s">
        <v>185</v>
      </c>
      <c r="C155" s="172" t="s">
        <v>246</v>
      </c>
      <c r="D155" s="172" t="s">
        <v>221</v>
      </c>
      <c r="E155" s="172">
        <v>2.07080244098961E-5</v>
      </c>
      <c r="F155" s="172">
        <v>19</v>
      </c>
      <c r="G155" s="172">
        <v>19.25</v>
      </c>
      <c r="H155" s="172">
        <v>19.25</v>
      </c>
      <c r="I155" s="172">
        <v>32</v>
      </c>
    </row>
    <row r="156" spans="2:9" hidden="1" x14ac:dyDescent="0.3">
      <c r="B156" s="172" t="s">
        <v>183</v>
      </c>
      <c r="C156" s="172" t="s">
        <v>79</v>
      </c>
      <c r="D156" s="172" t="s">
        <v>218</v>
      </c>
      <c r="E156" s="172">
        <v>6.0065784725081995E-4</v>
      </c>
      <c r="F156" s="172">
        <v>19</v>
      </c>
      <c r="G156" s="172">
        <v>19.25</v>
      </c>
      <c r="H156" s="172">
        <v>19.25</v>
      </c>
      <c r="I156" s="172">
        <v>28.5</v>
      </c>
    </row>
    <row r="157" spans="2:9" x14ac:dyDescent="0.3">
      <c r="B157" s="172" t="s">
        <v>183</v>
      </c>
      <c r="C157" s="172" t="s">
        <v>80</v>
      </c>
      <c r="D157" s="172" t="s">
        <v>218</v>
      </c>
      <c r="E157" s="172">
        <v>5.99617101218242E-4</v>
      </c>
      <c r="F157" s="172">
        <v>25</v>
      </c>
      <c r="G157" s="172">
        <v>19.25</v>
      </c>
      <c r="H157" s="172">
        <v>-0.25</v>
      </c>
      <c r="I157" s="172">
        <v>28.5</v>
      </c>
    </row>
    <row r="158" spans="2:9" hidden="1" x14ac:dyDescent="0.3">
      <c r="B158" s="172" t="s">
        <v>183</v>
      </c>
      <c r="C158" s="172" t="s">
        <v>81</v>
      </c>
      <c r="D158" s="172" t="s">
        <v>221</v>
      </c>
      <c r="E158" s="172">
        <v>5.5016816792298104E-4</v>
      </c>
      <c r="F158" s="172">
        <v>39</v>
      </c>
      <c r="G158" s="172">
        <v>0</v>
      </c>
      <c r="H158" s="172">
        <v>19</v>
      </c>
      <c r="I158" s="172">
        <v>28.5</v>
      </c>
    </row>
    <row r="159" spans="2:9" hidden="1" x14ac:dyDescent="0.3">
      <c r="B159" s="172" t="s">
        <v>183</v>
      </c>
      <c r="C159" s="172" t="s">
        <v>82</v>
      </c>
      <c r="D159" s="172" t="s">
        <v>221</v>
      </c>
      <c r="E159" s="172">
        <v>6.5517978276400399E-4</v>
      </c>
      <c r="F159" s="172">
        <v>39</v>
      </c>
      <c r="G159" s="172">
        <v>0</v>
      </c>
      <c r="H159" s="172">
        <v>19</v>
      </c>
      <c r="I159" s="172">
        <v>28.5</v>
      </c>
    </row>
    <row r="160" spans="2:9" hidden="1" x14ac:dyDescent="0.3">
      <c r="B160" s="172" t="s">
        <v>183</v>
      </c>
      <c r="C160" s="172" t="s">
        <v>246</v>
      </c>
      <c r="D160" s="172" t="s">
        <v>218</v>
      </c>
      <c r="E160" s="172">
        <v>8.8569831304270306E-5</v>
      </c>
      <c r="F160" s="172">
        <v>25</v>
      </c>
      <c r="G160" s="172">
        <v>19.25</v>
      </c>
      <c r="H160" s="172">
        <v>-0.25</v>
      </c>
      <c r="I160" s="172">
        <v>28.5</v>
      </c>
    </row>
    <row r="161" spans="2:9" hidden="1" x14ac:dyDescent="0.3">
      <c r="B161" s="172" t="s">
        <v>183</v>
      </c>
      <c r="C161" s="172" t="s">
        <v>246</v>
      </c>
      <c r="D161" s="172" t="s">
        <v>221</v>
      </c>
      <c r="E161" s="172">
        <v>1.6951888645418499E-5</v>
      </c>
      <c r="F161" s="172">
        <v>19</v>
      </c>
      <c r="G161" s="172">
        <v>19.25</v>
      </c>
      <c r="H161" s="172">
        <v>19.25</v>
      </c>
      <c r="I161" s="172">
        <v>28.5</v>
      </c>
    </row>
    <row r="162" spans="2:9" hidden="1" x14ac:dyDescent="0.3">
      <c r="B162" s="172" t="s">
        <v>181</v>
      </c>
      <c r="C162" s="172" t="s">
        <v>79</v>
      </c>
      <c r="D162" s="172" t="s">
        <v>218</v>
      </c>
      <c r="E162" s="172">
        <v>7.1288751047376996E-4</v>
      </c>
      <c r="F162" s="172">
        <v>19</v>
      </c>
      <c r="G162" s="172">
        <v>19.25</v>
      </c>
      <c r="H162" s="172">
        <v>19.25</v>
      </c>
      <c r="I162" s="172">
        <v>25</v>
      </c>
    </row>
    <row r="163" spans="2:9" x14ac:dyDescent="0.3">
      <c r="B163" s="172" t="s">
        <v>181</v>
      </c>
      <c r="C163" s="172" t="s">
        <v>80</v>
      </c>
      <c r="D163" s="172" t="s">
        <v>218</v>
      </c>
      <c r="E163" s="172">
        <v>7.1061308848036899E-4</v>
      </c>
      <c r="F163" s="172">
        <v>25</v>
      </c>
      <c r="G163" s="172">
        <v>19.25</v>
      </c>
      <c r="H163" s="172">
        <v>-0.25</v>
      </c>
      <c r="I163" s="172">
        <v>25</v>
      </c>
    </row>
    <row r="164" spans="2:9" hidden="1" x14ac:dyDescent="0.3">
      <c r="B164" s="172" t="s">
        <v>181</v>
      </c>
      <c r="C164" s="172" t="s">
        <v>81</v>
      </c>
      <c r="D164" s="172" t="s">
        <v>221</v>
      </c>
      <c r="E164" s="172">
        <v>6.7325918662710597E-4</v>
      </c>
      <c r="F164" s="172">
        <v>39</v>
      </c>
      <c r="G164" s="172">
        <v>0</v>
      </c>
      <c r="H164" s="172">
        <v>19</v>
      </c>
      <c r="I164" s="172">
        <v>25</v>
      </c>
    </row>
    <row r="165" spans="2:9" hidden="1" x14ac:dyDescent="0.3">
      <c r="B165" s="172" t="s">
        <v>181</v>
      </c>
      <c r="C165" s="172" t="s">
        <v>82</v>
      </c>
      <c r="D165" s="172" t="s">
        <v>221</v>
      </c>
      <c r="E165" s="172">
        <v>8.0597124823478402E-4</v>
      </c>
      <c r="F165" s="172">
        <v>39</v>
      </c>
      <c r="G165" s="172">
        <v>0</v>
      </c>
      <c r="H165" s="172">
        <v>19</v>
      </c>
      <c r="I165" s="172">
        <v>25</v>
      </c>
    </row>
    <row r="166" spans="2:9" hidden="1" x14ac:dyDescent="0.3">
      <c r="B166" s="172" t="s">
        <v>181</v>
      </c>
      <c r="C166" s="172" t="s">
        <v>246</v>
      </c>
      <c r="D166" s="172" t="s">
        <v>218</v>
      </c>
      <c r="E166" s="172">
        <v>8.1938230872381204E-5</v>
      </c>
      <c r="F166" s="172">
        <v>25</v>
      </c>
      <c r="G166" s="172">
        <v>19.25</v>
      </c>
      <c r="H166" s="172">
        <v>-0.25</v>
      </c>
      <c r="I166" s="172">
        <v>25</v>
      </c>
    </row>
    <row r="167" spans="2:9" hidden="1" x14ac:dyDescent="0.3">
      <c r="B167" s="172" t="s">
        <v>181</v>
      </c>
      <c r="C167" s="172" t="s">
        <v>246</v>
      </c>
      <c r="D167" s="172" t="s">
        <v>221</v>
      </c>
      <c r="E167" s="172">
        <v>1.2546464926087101E-5</v>
      </c>
      <c r="F167" s="172">
        <v>19</v>
      </c>
      <c r="G167" s="172">
        <v>19.25</v>
      </c>
      <c r="H167" s="172">
        <v>19.25</v>
      </c>
      <c r="I167" s="172">
        <v>25</v>
      </c>
    </row>
    <row r="168" spans="2:9" hidden="1" x14ac:dyDescent="0.3">
      <c r="B168" s="172" t="s">
        <v>179</v>
      </c>
      <c r="C168" s="172" t="s">
        <v>79</v>
      </c>
      <c r="D168" s="172" t="s">
        <v>218</v>
      </c>
      <c r="E168" s="172">
        <v>8.0546955812029798E-4</v>
      </c>
      <c r="F168" s="172">
        <v>19</v>
      </c>
      <c r="G168" s="172">
        <v>19.25</v>
      </c>
      <c r="H168" s="172">
        <v>19.25</v>
      </c>
      <c r="I168" s="172">
        <v>21.5</v>
      </c>
    </row>
    <row r="169" spans="2:9" x14ac:dyDescent="0.3">
      <c r="B169" s="172" t="s">
        <v>179</v>
      </c>
      <c r="C169" s="172" t="s">
        <v>80</v>
      </c>
      <c r="D169" s="172" t="s">
        <v>218</v>
      </c>
      <c r="E169" s="172">
        <v>8.0196752019454597E-4</v>
      </c>
      <c r="F169" s="172">
        <v>25</v>
      </c>
      <c r="G169" s="172">
        <v>19.25</v>
      </c>
      <c r="H169" s="172">
        <v>-0.25</v>
      </c>
      <c r="I169" s="172">
        <v>21.5</v>
      </c>
    </row>
    <row r="170" spans="2:9" hidden="1" x14ac:dyDescent="0.3">
      <c r="B170" s="172" t="s">
        <v>179</v>
      </c>
      <c r="C170" s="172" t="s">
        <v>81</v>
      </c>
      <c r="D170" s="172" t="s">
        <v>221</v>
      </c>
      <c r="E170" s="172">
        <v>7.7697490310012999E-4</v>
      </c>
      <c r="F170" s="172">
        <v>39</v>
      </c>
      <c r="G170" s="172">
        <v>0</v>
      </c>
      <c r="H170" s="172">
        <v>19</v>
      </c>
      <c r="I170" s="172">
        <v>21.5</v>
      </c>
    </row>
    <row r="171" spans="2:9" hidden="1" x14ac:dyDescent="0.3">
      <c r="B171" s="172" t="s">
        <v>179</v>
      </c>
      <c r="C171" s="172" t="s">
        <v>82</v>
      </c>
      <c r="D171" s="172" t="s">
        <v>221</v>
      </c>
      <c r="E171" s="172">
        <v>9.33478080525297E-4</v>
      </c>
      <c r="F171" s="172">
        <v>39</v>
      </c>
      <c r="G171" s="172">
        <v>0</v>
      </c>
      <c r="H171" s="172">
        <v>19</v>
      </c>
      <c r="I171" s="172">
        <v>21.5</v>
      </c>
    </row>
    <row r="172" spans="2:9" hidden="1" x14ac:dyDescent="0.3">
      <c r="B172" s="172" t="s">
        <v>179</v>
      </c>
      <c r="C172" s="172" t="s">
        <v>246</v>
      </c>
      <c r="D172" s="172" t="s">
        <v>218</v>
      </c>
      <c r="E172" s="172">
        <v>7.4417001224867595E-5</v>
      </c>
      <c r="F172" s="172">
        <v>19</v>
      </c>
      <c r="G172" s="172">
        <v>19.25</v>
      </c>
      <c r="H172" s="172">
        <v>19.25</v>
      </c>
      <c r="I172" s="172">
        <v>21.5</v>
      </c>
    </row>
    <row r="173" spans="2:9" hidden="1" x14ac:dyDescent="0.3">
      <c r="B173" s="172" t="s">
        <v>179</v>
      </c>
      <c r="C173" s="172" t="s">
        <v>246</v>
      </c>
      <c r="D173" s="172" t="s">
        <v>221</v>
      </c>
      <c r="E173" s="172">
        <v>8.0101982938821395E-6</v>
      </c>
      <c r="F173" s="172">
        <v>39</v>
      </c>
      <c r="G173" s="172">
        <v>0</v>
      </c>
      <c r="H173" s="172">
        <v>19</v>
      </c>
      <c r="I173" s="172">
        <v>21.5</v>
      </c>
    </row>
    <row r="174" spans="2:9" hidden="1" x14ac:dyDescent="0.3">
      <c r="B174" s="172" t="s">
        <v>39</v>
      </c>
      <c r="C174" s="172" t="s">
        <v>79</v>
      </c>
      <c r="D174" s="172" t="s">
        <v>218</v>
      </c>
      <c r="E174" s="172">
        <v>8.7974432481817096E-4</v>
      </c>
      <c r="F174" s="172">
        <v>19</v>
      </c>
      <c r="G174" s="172">
        <v>19.25</v>
      </c>
      <c r="H174" s="172">
        <v>19.25</v>
      </c>
      <c r="I174" s="172">
        <v>18</v>
      </c>
    </row>
    <row r="175" spans="2:9" x14ac:dyDescent="0.3">
      <c r="B175" s="172" t="s">
        <v>39</v>
      </c>
      <c r="C175" s="172" t="s">
        <v>80</v>
      </c>
      <c r="D175" s="172" t="s">
        <v>218</v>
      </c>
      <c r="E175" s="172">
        <v>8.7514481525257498E-4</v>
      </c>
      <c r="F175" s="172">
        <v>25</v>
      </c>
      <c r="G175" s="172">
        <v>19.25</v>
      </c>
      <c r="H175" s="172">
        <v>-0.25</v>
      </c>
      <c r="I175" s="172">
        <v>18</v>
      </c>
    </row>
    <row r="176" spans="2:9" hidden="1" x14ac:dyDescent="0.3">
      <c r="B176" s="172" t="s">
        <v>39</v>
      </c>
      <c r="C176" s="172" t="s">
        <v>81</v>
      </c>
      <c r="D176" s="172" t="s">
        <v>221</v>
      </c>
      <c r="E176" s="172">
        <v>8.6374736897972296E-4</v>
      </c>
      <c r="F176" s="172">
        <v>39</v>
      </c>
      <c r="G176" s="172">
        <v>0</v>
      </c>
      <c r="H176" s="172">
        <v>19</v>
      </c>
      <c r="I176" s="172">
        <v>18</v>
      </c>
    </row>
    <row r="177" spans="2:9" hidden="1" x14ac:dyDescent="0.3">
      <c r="B177" s="172" t="s">
        <v>39</v>
      </c>
      <c r="C177" s="172" t="s">
        <v>82</v>
      </c>
      <c r="D177" s="172" t="s">
        <v>221</v>
      </c>
      <c r="E177" s="172">
        <v>1.04079122789236E-3</v>
      </c>
      <c r="F177" s="172">
        <v>39</v>
      </c>
      <c r="G177" s="172">
        <v>0</v>
      </c>
      <c r="H177" s="172">
        <v>19</v>
      </c>
      <c r="I177" s="172">
        <v>18</v>
      </c>
    </row>
    <row r="178" spans="2:9" hidden="1" x14ac:dyDescent="0.3">
      <c r="B178" s="172" t="s">
        <v>39</v>
      </c>
      <c r="C178" s="172" t="s">
        <v>246</v>
      </c>
      <c r="D178" s="172" t="s">
        <v>218</v>
      </c>
      <c r="E178" s="172">
        <v>6.7049859608084896E-5</v>
      </c>
      <c r="F178" s="172">
        <v>19</v>
      </c>
      <c r="G178" s="172">
        <v>19.25</v>
      </c>
      <c r="H178" s="172">
        <v>19.25</v>
      </c>
      <c r="I178" s="172">
        <v>18</v>
      </c>
    </row>
    <row r="179" spans="2:9" hidden="1" x14ac:dyDescent="0.3">
      <c r="B179" s="172" t="s">
        <v>26</v>
      </c>
      <c r="C179" s="172" t="s">
        <v>79</v>
      </c>
      <c r="D179" s="172" t="s">
        <v>218</v>
      </c>
      <c r="E179" s="172">
        <v>9.3542470737912199E-4</v>
      </c>
      <c r="F179" s="172">
        <v>19</v>
      </c>
      <c r="G179" s="172">
        <v>19.25</v>
      </c>
      <c r="H179" s="172">
        <v>19.25</v>
      </c>
      <c r="I179" s="172">
        <v>14.5</v>
      </c>
    </row>
    <row r="180" spans="2:9" x14ac:dyDescent="0.3">
      <c r="B180" s="172" t="s">
        <v>26</v>
      </c>
      <c r="C180" s="172" t="s">
        <v>80</v>
      </c>
      <c r="D180" s="172" t="s">
        <v>218</v>
      </c>
      <c r="E180" s="172">
        <v>9.3001179763504505E-4</v>
      </c>
      <c r="F180" s="172">
        <v>25</v>
      </c>
      <c r="G180" s="172">
        <v>19.25</v>
      </c>
      <c r="H180" s="172">
        <v>-0.25</v>
      </c>
      <c r="I180" s="172">
        <v>14.5</v>
      </c>
    </row>
    <row r="181" spans="2:9" hidden="1" x14ac:dyDescent="0.3">
      <c r="B181" s="172" t="s">
        <v>26</v>
      </c>
      <c r="C181" s="172" t="s">
        <v>81</v>
      </c>
      <c r="D181" s="172" t="s">
        <v>221</v>
      </c>
      <c r="E181" s="172">
        <v>9.3423090730441203E-4</v>
      </c>
      <c r="F181" s="172">
        <v>39</v>
      </c>
      <c r="G181" s="172">
        <v>0</v>
      </c>
      <c r="H181" s="172">
        <v>19</v>
      </c>
      <c r="I181" s="172">
        <v>14.5</v>
      </c>
    </row>
    <row r="182" spans="2:9" hidden="1" x14ac:dyDescent="0.3">
      <c r="B182" s="172" t="s">
        <v>26</v>
      </c>
      <c r="C182" s="172" t="s">
        <v>82</v>
      </c>
      <c r="D182" s="172" t="s">
        <v>221</v>
      </c>
      <c r="E182" s="172">
        <v>1.12883338797331E-3</v>
      </c>
      <c r="F182" s="172">
        <v>39</v>
      </c>
      <c r="G182" s="172">
        <v>0</v>
      </c>
      <c r="H182" s="172">
        <v>19</v>
      </c>
      <c r="I182" s="172">
        <v>14.5</v>
      </c>
    </row>
    <row r="183" spans="2:9" hidden="1" x14ac:dyDescent="0.3">
      <c r="B183" s="172" t="s">
        <v>26</v>
      </c>
      <c r="C183" s="172" t="s">
        <v>246</v>
      </c>
      <c r="D183" s="172" t="s">
        <v>218</v>
      </c>
      <c r="E183" s="172">
        <v>5.8262910424716199E-5</v>
      </c>
      <c r="F183" s="172">
        <v>19</v>
      </c>
      <c r="G183" s="172">
        <v>19.25</v>
      </c>
      <c r="H183" s="172">
        <v>19.25</v>
      </c>
      <c r="I183" s="172">
        <v>14.5</v>
      </c>
    </row>
    <row r="184" spans="2:9" hidden="1" x14ac:dyDescent="0.3">
      <c r="B184" s="172" t="s">
        <v>25</v>
      </c>
      <c r="C184" s="172" t="s">
        <v>79</v>
      </c>
      <c r="D184" s="172" t="s">
        <v>218</v>
      </c>
      <c r="E184" s="172">
        <v>9.6886379985662498E-4</v>
      </c>
      <c r="F184" s="172">
        <v>19</v>
      </c>
      <c r="G184" s="172">
        <v>19.25</v>
      </c>
      <c r="H184" s="172">
        <v>19.25</v>
      </c>
      <c r="I184" s="172">
        <v>11</v>
      </c>
    </row>
    <row r="185" spans="2:9" x14ac:dyDescent="0.3">
      <c r="B185" s="172" t="s">
        <v>25</v>
      </c>
      <c r="C185" s="172" t="s">
        <v>80</v>
      </c>
      <c r="D185" s="172" t="s">
        <v>218</v>
      </c>
      <c r="E185" s="172">
        <v>9.6324662583953304E-4</v>
      </c>
      <c r="F185" s="172">
        <v>25</v>
      </c>
      <c r="G185" s="172">
        <v>19.25</v>
      </c>
      <c r="H185" s="172">
        <v>-0.25</v>
      </c>
      <c r="I185" s="172">
        <v>11</v>
      </c>
    </row>
    <row r="186" spans="2:9" hidden="1" x14ac:dyDescent="0.3">
      <c r="B186" s="172" t="s">
        <v>25</v>
      </c>
      <c r="C186" s="172" t="s">
        <v>81</v>
      </c>
      <c r="D186" s="172" t="s">
        <v>221</v>
      </c>
      <c r="E186" s="172">
        <v>9.8411326668710599E-4</v>
      </c>
      <c r="F186" s="172">
        <v>39</v>
      </c>
      <c r="G186" s="172">
        <v>0</v>
      </c>
      <c r="H186" s="172">
        <v>19</v>
      </c>
      <c r="I186" s="172">
        <v>11</v>
      </c>
    </row>
    <row r="187" spans="2:9" hidden="1" x14ac:dyDescent="0.3">
      <c r="B187" s="172" t="s">
        <v>25</v>
      </c>
      <c r="C187" s="172" t="s">
        <v>82</v>
      </c>
      <c r="D187" s="172" t="s">
        <v>221</v>
      </c>
      <c r="E187" s="172">
        <v>1.19255778888021E-3</v>
      </c>
      <c r="F187" s="172">
        <v>39</v>
      </c>
      <c r="G187" s="172">
        <v>0</v>
      </c>
      <c r="H187" s="172">
        <v>19</v>
      </c>
      <c r="I187" s="172">
        <v>11</v>
      </c>
    </row>
    <row r="188" spans="2:9" hidden="1" x14ac:dyDescent="0.3">
      <c r="B188" s="172" t="s">
        <v>25</v>
      </c>
      <c r="C188" s="172" t="s">
        <v>246</v>
      </c>
      <c r="D188" s="172" t="s">
        <v>218</v>
      </c>
      <c r="E188" s="172">
        <v>4.7926047675800402E-5</v>
      </c>
      <c r="F188" s="172">
        <v>19</v>
      </c>
      <c r="G188" s="172">
        <v>19.25</v>
      </c>
      <c r="H188" s="172">
        <v>19.25</v>
      </c>
      <c r="I188" s="172">
        <v>11</v>
      </c>
    </row>
    <row r="189" spans="2:9" hidden="1" x14ac:dyDescent="0.3">
      <c r="B189" s="172" t="s">
        <v>25</v>
      </c>
      <c r="C189" s="172" t="s">
        <v>246</v>
      </c>
      <c r="D189" s="172" t="s">
        <v>221</v>
      </c>
      <c r="E189" s="172">
        <v>1.7723228867367399E-5</v>
      </c>
      <c r="F189" s="172">
        <v>25</v>
      </c>
      <c r="G189" s="172">
        <v>19.25</v>
      </c>
      <c r="H189" s="172">
        <v>-0.25</v>
      </c>
      <c r="I189" s="172">
        <v>11</v>
      </c>
    </row>
    <row r="190" spans="2:9" hidden="1" x14ac:dyDescent="0.3">
      <c r="B190" s="172" t="s">
        <v>24</v>
      </c>
      <c r="C190" s="172" t="s">
        <v>79</v>
      </c>
      <c r="D190" s="172" t="s">
        <v>218</v>
      </c>
      <c r="E190" s="172">
        <v>9.6584353821229903E-4</v>
      </c>
      <c r="F190" s="172">
        <v>19</v>
      </c>
      <c r="G190" s="172">
        <v>19.25</v>
      </c>
      <c r="H190" s="172">
        <v>19.25</v>
      </c>
      <c r="I190" s="172">
        <v>7.5</v>
      </c>
    </row>
    <row r="191" spans="2:9" x14ac:dyDescent="0.3">
      <c r="B191" s="172" t="s">
        <v>24</v>
      </c>
      <c r="C191" s="172" t="s">
        <v>80</v>
      </c>
      <c r="D191" s="172" t="s">
        <v>218</v>
      </c>
      <c r="E191" s="172">
        <v>9.6050449783538602E-4</v>
      </c>
      <c r="F191" s="172">
        <v>25</v>
      </c>
      <c r="G191" s="172">
        <v>19.25</v>
      </c>
      <c r="H191" s="172">
        <v>-0.25</v>
      </c>
      <c r="I191" s="172">
        <v>7.5</v>
      </c>
    </row>
    <row r="192" spans="2:9" hidden="1" x14ac:dyDescent="0.3">
      <c r="B192" s="172" t="s">
        <v>24</v>
      </c>
      <c r="C192" s="172" t="s">
        <v>81</v>
      </c>
      <c r="D192" s="172" t="s">
        <v>221</v>
      </c>
      <c r="E192" s="172">
        <v>9.9033795744713697E-4</v>
      </c>
      <c r="F192" s="172">
        <v>39</v>
      </c>
      <c r="G192" s="172">
        <v>0</v>
      </c>
      <c r="H192" s="172">
        <v>19</v>
      </c>
      <c r="I192" s="172">
        <v>7.5</v>
      </c>
    </row>
    <row r="193" spans="2:9" hidden="1" x14ac:dyDescent="0.3">
      <c r="B193" s="172" t="s">
        <v>24</v>
      </c>
      <c r="C193" s="172" t="s">
        <v>82</v>
      </c>
      <c r="D193" s="172" t="s">
        <v>221</v>
      </c>
      <c r="E193" s="172">
        <v>1.2049939918354899E-3</v>
      </c>
      <c r="F193" s="172">
        <v>39</v>
      </c>
      <c r="G193" s="172">
        <v>0</v>
      </c>
      <c r="H193" s="172">
        <v>19</v>
      </c>
      <c r="I193" s="172">
        <v>7.5</v>
      </c>
    </row>
    <row r="194" spans="2:9" hidden="1" x14ac:dyDescent="0.3">
      <c r="B194" s="172" t="s">
        <v>24</v>
      </c>
      <c r="C194" s="172" t="s">
        <v>246</v>
      </c>
      <c r="D194" s="172" t="s">
        <v>218</v>
      </c>
      <c r="E194" s="172">
        <v>3.4384352557766098E-5</v>
      </c>
      <c r="F194" s="172">
        <v>19</v>
      </c>
      <c r="G194" s="172">
        <v>19.25</v>
      </c>
      <c r="H194" s="172">
        <v>19.25</v>
      </c>
      <c r="I194" s="172">
        <v>7.5</v>
      </c>
    </row>
    <row r="195" spans="2:9" hidden="1" x14ac:dyDescent="0.3">
      <c r="B195" s="172" t="s">
        <v>24</v>
      </c>
      <c r="C195" s="172" t="s">
        <v>246</v>
      </c>
      <c r="D195" s="172" t="s">
        <v>221</v>
      </c>
      <c r="E195" s="172">
        <v>3.0703611239521997E-5</v>
      </c>
      <c r="F195" s="172">
        <v>25</v>
      </c>
      <c r="G195" s="172">
        <v>19.25</v>
      </c>
      <c r="H195" s="172">
        <v>-0.25</v>
      </c>
      <c r="I195" s="172">
        <v>7.5</v>
      </c>
    </row>
    <row r="196" spans="2:9" hidden="1" x14ac:dyDescent="0.3">
      <c r="B196" s="172" t="s">
        <v>22</v>
      </c>
      <c r="C196" s="172" t="s">
        <v>79</v>
      </c>
      <c r="D196" s="172" t="s">
        <v>218</v>
      </c>
      <c r="E196" s="172">
        <v>7.2486934016209603E-4</v>
      </c>
      <c r="F196" s="172">
        <v>14</v>
      </c>
      <c r="G196" s="172">
        <v>19</v>
      </c>
      <c r="H196" s="172">
        <v>19</v>
      </c>
      <c r="I196" s="172">
        <v>4</v>
      </c>
    </row>
    <row r="197" spans="2:9" x14ac:dyDescent="0.3">
      <c r="B197" s="172" t="s">
        <v>22</v>
      </c>
      <c r="C197" s="172" t="s">
        <v>80</v>
      </c>
      <c r="D197" s="172" t="s">
        <v>218</v>
      </c>
      <c r="E197" s="172">
        <v>7.1832012846562003E-4</v>
      </c>
      <c r="F197" s="172">
        <v>48</v>
      </c>
      <c r="G197" s="172">
        <v>19</v>
      </c>
      <c r="H197" s="172">
        <v>0</v>
      </c>
      <c r="I197" s="172">
        <v>4</v>
      </c>
    </row>
    <row r="198" spans="2:9" hidden="1" x14ac:dyDescent="0.3">
      <c r="B198" s="172" t="s">
        <v>22</v>
      </c>
      <c r="C198" s="172" t="s">
        <v>81</v>
      </c>
      <c r="D198" s="172" t="s">
        <v>221</v>
      </c>
      <c r="E198" s="172">
        <v>7.08236990036457E-4</v>
      </c>
      <c r="F198" s="172">
        <v>39</v>
      </c>
      <c r="G198" s="172">
        <v>0</v>
      </c>
      <c r="H198" s="172">
        <v>19</v>
      </c>
      <c r="I198" s="172">
        <v>4</v>
      </c>
    </row>
    <row r="199" spans="2:9" hidden="1" x14ac:dyDescent="0.3">
      <c r="B199" s="172" t="s">
        <v>22</v>
      </c>
      <c r="C199" s="172" t="s">
        <v>82</v>
      </c>
      <c r="D199" s="172" t="s">
        <v>221</v>
      </c>
      <c r="E199" s="172">
        <v>8.7526327259866601E-4</v>
      </c>
      <c r="F199" s="172">
        <v>39</v>
      </c>
      <c r="G199" s="172">
        <v>0</v>
      </c>
      <c r="H199" s="172">
        <v>19</v>
      </c>
      <c r="I199" s="172">
        <v>4</v>
      </c>
    </row>
    <row r="200" spans="2:9" hidden="1" x14ac:dyDescent="0.3">
      <c r="B200" s="172" t="s">
        <v>22</v>
      </c>
      <c r="C200" s="172" t="s">
        <v>246</v>
      </c>
      <c r="D200" s="172" t="s">
        <v>221</v>
      </c>
      <c r="E200" s="172">
        <v>4.7135729453918698E-5</v>
      </c>
      <c r="F200" s="172">
        <v>50</v>
      </c>
      <c r="G200" s="172">
        <v>19</v>
      </c>
      <c r="H200" s="172">
        <v>11</v>
      </c>
      <c r="I200" s="172">
        <v>4</v>
      </c>
    </row>
    <row r="201" spans="2:9" hidden="1" x14ac:dyDescent="0.3">
      <c r="B201" s="172"/>
      <c r="C201" s="172"/>
      <c r="D201" s="172"/>
      <c r="E201" s="172"/>
      <c r="F201" s="172"/>
      <c r="G201" s="172"/>
      <c r="H201" s="172"/>
      <c r="I201" s="172"/>
    </row>
    <row r="202" spans="2:9" hidden="1" x14ac:dyDescent="0.3">
      <c r="B202" s="172"/>
      <c r="C202" s="172"/>
      <c r="D202" s="172"/>
      <c r="E202" s="172"/>
      <c r="F202" s="172"/>
      <c r="G202" s="172"/>
      <c r="H202" s="172"/>
      <c r="I202" s="172"/>
    </row>
    <row r="203" spans="2:9" hidden="1" x14ac:dyDescent="0.3">
      <c r="B203" s="172"/>
      <c r="C203" s="172"/>
      <c r="D203" s="172"/>
      <c r="E203" s="172"/>
      <c r="F203" s="172"/>
      <c r="G203" s="172"/>
      <c r="H203" s="172"/>
      <c r="I203" s="172"/>
    </row>
    <row r="204" spans="2:9" hidden="1" x14ac:dyDescent="0.3">
      <c r="B204" s="172"/>
      <c r="C204" s="172"/>
      <c r="D204" s="172"/>
      <c r="E204" s="172"/>
      <c r="F204" s="172"/>
      <c r="G204" s="172"/>
      <c r="H204" s="172"/>
      <c r="I204" s="172"/>
    </row>
    <row r="205" spans="2:9" hidden="1" x14ac:dyDescent="0.3">
      <c r="B205" s="172"/>
      <c r="C205" s="172"/>
      <c r="D205" s="172"/>
      <c r="E205" s="172"/>
      <c r="F205" s="172"/>
      <c r="G205" s="172"/>
      <c r="H205" s="172"/>
      <c r="I205" s="172"/>
    </row>
    <row r="206" spans="2:9" hidden="1" x14ac:dyDescent="0.3">
      <c r="B206" s="172"/>
      <c r="C206" s="172"/>
      <c r="D206" s="172"/>
      <c r="E206" s="172"/>
      <c r="F206" s="172"/>
      <c r="G206" s="172"/>
      <c r="H206" s="172"/>
      <c r="I206" s="172"/>
    </row>
    <row r="207" spans="2:9" hidden="1" x14ac:dyDescent="0.3">
      <c r="B207" s="172"/>
      <c r="C207" s="172"/>
      <c r="D207" s="172"/>
      <c r="E207" s="172"/>
      <c r="F207" s="172"/>
      <c r="G207" s="172"/>
      <c r="H207" s="172"/>
      <c r="I207" s="172"/>
    </row>
    <row r="208" spans="2:9" hidden="1" x14ac:dyDescent="0.3">
      <c r="B208" s="172"/>
      <c r="C208" s="172"/>
      <c r="D208" s="172"/>
      <c r="E208" s="172"/>
      <c r="F208" s="172"/>
      <c r="G208" s="172"/>
      <c r="H208" s="172"/>
      <c r="I208" s="172"/>
    </row>
    <row r="209" spans="2:9" hidden="1" x14ac:dyDescent="0.3">
      <c r="B209" s="172"/>
      <c r="C209" s="172"/>
      <c r="D209" s="172"/>
      <c r="E209" s="172"/>
      <c r="F209" s="172"/>
      <c r="G209" s="172"/>
      <c r="H209" s="172"/>
      <c r="I209" s="172"/>
    </row>
    <row r="210" spans="2:9" hidden="1" x14ac:dyDescent="0.3">
      <c r="B210" s="172"/>
      <c r="C210" s="172"/>
      <c r="D210" s="172"/>
      <c r="E210" s="172"/>
      <c r="F210" s="172"/>
      <c r="G210" s="172"/>
      <c r="H210" s="172"/>
      <c r="I210" s="172"/>
    </row>
    <row r="211" spans="2:9" hidden="1" x14ac:dyDescent="0.3">
      <c r="B211" s="172"/>
      <c r="C211" s="172"/>
      <c r="D211" s="172"/>
      <c r="E211" s="172"/>
      <c r="F211" s="172"/>
      <c r="G211" s="172"/>
      <c r="H211" s="172"/>
      <c r="I211" s="172"/>
    </row>
    <row r="212" spans="2:9" hidden="1" x14ac:dyDescent="0.3">
      <c r="B212" s="172"/>
      <c r="C212" s="172"/>
      <c r="D212" s="172"/>
      <c r="E212" s="172"/>
      <c r="F212" s="172"/>
      <c r="G212" s="172"/>
      <c r="H212" s="172"/>
      <c r="I212" s="172"/>
    </row>
    <row r="213" spans="2:9" hidden="1" x14ac:dyDescent="0.3">
      <c r="B213" s="172"/>
      <c r="C213" s="172"/>
      <c r="D213" s="172"/>
      <c r="E213" s="172"/>
      <c r="F213" s="172"/>
      <c r="G213" s="172"/>
      <c r="H213" s="172"/>
      <c r="I213" s="172"/>
    </row>
    <row r="214" spans="2:9" hidden="1" x14ac:dyDescent="0.3">
      <c r="B214" s="172"/>
      <c r="C214" s="172"/>
      <c r="D214" s="172"/>
      <c r="E214" s="172"/>
      <c r="F214" s="172"/>
      <c r="G214" s="172"/>
      <c r="H214" s="172"/>
      <c r="I214" s="172"/>
    </row>
    <row r="215" spans="2:9" hidden="1" x14ac:dyDescent="0.3">
      <c r="B215" s="172"/>
      <c r="C215" s="172"/>
      <c r="D215" s="172"/>
      <c r="E215" s="172"/>
      <c r="F215" s="172"/>
      <c r="G215" s="172"/>
      <c r="H215" s="172"/>
      <c r="I215" s="172"/>
    </row>
    <row r="216" spans="2:9" hidden="1" x14ac:dyDescent="0.3">
      <c r="B216" s="172"/>
      <c r="C216" s="172"/>
      <c r="D216" s="172"/>
      <c r="E216" s="172"/>
      <c r="F216" s="172"/>
      <c r="G216" s="172"/>
      <c r="H216" s="172"/>
      <c r="I216" s="172"/>
    </row>
    <row r="217" spans="2:9" hidden="1" x14ac:dyDescent="0.3">
      <c r="B217" s="172"/>
      <c r="C217" s="172"/>
      <c r="D217" s="172"/>
      <c r="E217" s="172"/>
      <c r="F217" s="172"/>
      <c r="G217" s="172"/>
      <c r="H217" s="172"/>
      <c r="I217" s="172"/>
    </row>
    <row r="218" spans="2:9" hidden="1" x14ac:dyDescent="0.3">
      <c r="B218" s="172"/>
      <c r="C218" s="172"/>
      <c r="D218" s="172"/>
      <c r="E218" s="172"/>
      <c r="F218" s="172"/>
      <c r="G218" s="172"/>
      <c r="H218" s="172"/>
      <c r="I218" s="172"/>
    </row>
    <row r="219" spans="2:9" hidden="1" x14ac:dyDescent="0.3">
      <c r="B219" s="172"/>
      <c r="C219" s="172"/>
      <c r="D219" s="172"/>
      <c r="E219" s="172"/>
      <c r="F219" s="172"/>
      <c r="G219" s="172"/>
      <c r="H219" s="172"/>
      <c r="I219" s="172"/>
    </row>
    <row r="220" spans="2:9" hidden="1" x14ac:dyDescent="0.3">
      <c r="B220" s="172"/>
      <c r="C220" s="172"/>
      <c r="D220" s="172"/>
      <c r="E220" s="172"/>
      <c r="F220" s="172"/>
      <c r="G220" s="172"/>
      <c r="H220" s="172"/>
      <c r="I220" s="172"/>
    </row>
    <row r="221" spans="2:9" hidden="1" x14ac:dyDescent="0.3">
      <c r="B221" s="172"/>
      <c r="C221" s="172"/>
      <c r="D221" s="172"/>
      <c r="E221" s="172"/>
      <c r="F221" s="172"/>
      <c r="G221" s="172"/>
      <c r="H221" s="172"/>
      <c r="I221" s="172"/>
    </row>
    <row r="222" spans="2:9" hidden="1" x14ac:dyDescent="0.3">
      <c r="B222" s="172"/>
      <c r="C222" s="172"/>
      <c r="D222" s="172"/>
      <c r="E222" s="172"/>
      <c r="F222" s="172"/>
      <c r="G222" s="172"/>
      <c r="H222" s="172"/>
      <c r="I222" s="172"/>
    </row>
    <row r="223" spans="2:9" hidden="1" x14ac:dyDescent="0.3">
      <c r="B223" s="172"/>
      <c r="C223" s="172"/>
      <c r="D223" s="172"/>
      <c r="E223" s="172"/>
      <c r="F223" s="172"/>
      <c r="G223" s="172"/>
      <c r="H223" s="172"/>
      <c r="I223" s="172"/>
    </row>
    <row r="224" spans="2:9" hidden="1" x14ac:dyDescent="0.3">
      <c r="B224" s="172"/>
      <c r="C224" s="172"/>
      <c r="D224" s="172"/>
      <c r="E224" s="172"/>
      <c r="F224" s="172"/>
      <c r="G224" s="172"/>
      <c r="H224" s="172"/>
      <c r="I224" s="172"/>
    </row>
    <row r="225" spans="2:9" hidden="1" x14ac:dyDescent="0.3">
      <c r="B225" s="172"/>
      <c r="C225" s="172"/>
      <c r="D225" s="172"/>
      <c r="E225" s="172"/>
      <c r="F225" s="172"/>
      <c r="G225" s="172"/>
      <c r="H225" s="172"/>
      <c r="I225" s="172"/>
    </row>
    <row r="226" spans="2:9" hidden="1" x14ac:dyDescent="0.3">
      <c r="B226" s="172"/>
      <c r="C226" s="172"/>
      <c r="D226" s="172"/>
      <c r="E226" s="172"/>
      <c r="F226" s="172"/>
      <c r="G226" s="172"/>
      <c r="H226" s="172"/>
      <c r="I226" s="172"/>
    </row>
    <row r="227" spans="2:9" s="172" customFormat="1" hidden="1" x14ac:dyDescent="0.3"/>
    <row r="228" spans="2:9" hidden="1" x14ac:dyDescent="0.3">
      <c r="B228" s="172"/>
      <c r="C228" s="172"/>
      <c r="D228" s="172"/>
      <c r="E228" s="172"/>
      <c r="F228" s="172"/>
      <c r="G228" s="172"/>
      <c r="H228" s="172"/>
      <c r="I228" s="172"/>
    </row>
    <row r="229" spans="2:9" hidden="1" x14ac:dyDescent="0.3">
      <c r="B229" s="172"/>
      <c r="C229" s="172"/>
      <c r="D229" s="172"/>
      <c r="E229" s="172"/>
      <c r="F229" s="172"/>
      <c r="G229" s="172"/>
      <c r="H229" s="172"/>
      <c r="I229" s="172"/>
    </row>
    <row r="230" spans="2:9" s="172" customFormat="1" hidden="1" x14ac:dyDescent="0.3"/>
    <row r="231" spans="2:9" hidden="1" x14ac:dyDescent="0.3">
      <c r="B231" s="172"/>
      <c r="C231" s="172"/>
      <c r="D231" s="172"/>
      <c r="E231" s="172"/>
      <c r="F231" s="172"/>
      <c r="G231" s="172"/>
      <c r="H231" s="172"/>
      <c r="I231" s="172"/>
    </row>
    <row r="232" spans="2:9" hidden="1" x14ac:dyDescent="0.3">
      <c r="B232" s="172"/>
      <c r="C232" s="172"/>
      <c r="D232" s="172"/>
      <c r="E232" s="172"/>
      <c r="F232" s="172"/>
      <c r="G232" s="172"/>
      <c r="H232" s="172"/>
      <c r="I232" s="172"/>
    </row>
    <row r="233" spans="2:9" s="172" customFormat="1" hidden="1" x14ac:dyDescent="0.3"/>
    <row r="234" spans="2:9" hidden="1" x14ac:dyDescent="0.3">
      <c r="B234" s="172"/>
      <c r="C234" s="172"/>
      <c r="D234" s="172"/>
      <c r="E234" s="172"/>
      <c r="F234" s="172"/>
      <c r="G234" s="172"/>
      <c r="H234" s="172"/>
      <c r="I234" s="172"/>
    </row>
    <row r="235" spans="2:9" hidden="1" x14ac:dyDescent="0.3">
      <c r="B235" s="172"/>
      <c r="C235" s="172"/>
      <c r="D235" s="172"/>
      <c r="E235" s="172"/>
      <c r="F235" s="172"/>
      <c r="G235" s="172"/>
      <c r="H235" s="172"/>
      <c r="I235" s="172"/>
    </row>
    <row r="236" spans="2:9" s="172" customFormat="1" hidden="1" x14ac:dyDescent="0.3"/>
    <row r="237" spans="2:9" hidden="1" x14ac:dyDescent="0.3">
      <c r="B237" s="172"/>
      <c r="C237" s="172"/>
      <c r="D237" s="172"/>
      <c r="E237" s="172"/>
      <c r="F237" s="172"/>
      <c r="G237" s="172"/>
      <c r="H237" s="172"/>
      <c r="I237" s="172"/>
    </row>
    <row r="238" spans="2:9" hidden="1" x14ac:dyDescent="0.3">
      <c r="B238" s="172"/>
      <c r="C238" s="172"/>
      <c r="D238" s="172"/>
      <c r="E238" s="172"/>
      <c r="F238" s="172"/>
      <c r="G238" s="172"/>
      <c r="H238" s="172"/>
      <c r="I238" s="172"/>
    </row>
    <row r="239" spans="2:9" s="172" customFormat="1" hidden="1" x14ac:dyDescent="0.3"/>
    <row r="240" spans="2:9" hidden="1" x14ac:dyDescent="0.3">
      <c r="B240" s="172"/>
      <c r="C240" s="172"/>
      <c r="D240" s="172"/>
      <c r="E240" s="172"/>
      <c r="F240" s="172"/>
      <c r="G240" s="172"/>
      <c r="H240" s="172"/>
      <c r="I240" s="172"/>
    </row>
    <row r="241" spans="2:9" hidden="1" x14ac:dyDescent="0.3">
      <c r="B241" s="172"/>
      <c r="C241" s="172"/>
      <c r="D241" s="172"/>
      <c r="E241" s="172"/>
      <c r="F241" s="172"/>
      <c r="G241" s="172"/>
      <c r="H241" s="172"/>
      <c r="I241" s="172"/>
    </row>
    <row r="242" spans="2:9" s="172" customFormat="1" hidden="1" x14ac:dyDescent="0.3"/>
    <row r="243" spans="2:9" hidden="1" x14ac:dyDescent="0.3">
      <c r="B243" s="172"/>
      <c r="C243" s="172"/>
      <c r="D243" s="172"/>
      <c r="E243" s="172"/>
      <c r="F243" s="172"/>
      <c r="G243" s="172"/>
      <c r="H243" s="172"/>
      <c r="I243" s="172"/>
    </row>
    <row r="244" spans="2:9" hidden="1" x14ac:dyDescent="0.3">
      <c r="B244" s="172"/>
      <c r="C244" s="172"/>
      <c r="D244" s="172"/>
      <c r="E244" s="172"/>
      <c r="F244" s="172"/>
      <c r="G244" s="172"/>
      <c r="H244" s="172"/>
      <c r="I244" s="172"/>
    </row>
    <row r="245" spans="2:9" hidden="1" x14ac:dyDescent="0.3">
      <c r="B245" s="172"/>
      <c r="C245" s="172"/>
      <c r="D245" s="172"/>
      <c r="E245" s="172"/>
      <c r="F245" s="172"/>
      <c r="G245" s="172"/>
      <c r="H245" s="172"/>
      <c r="I245" s="172"/>
    </row>
    <row r="246" spans="2:9" hidden="1" x14ac:dyDescent="0.3">
      <c r="B246" s="172"/>
      <c r="C246" s="172"/>
      <c r="D246" s="172"/>
      <c r="E246" s="172"/>
      <c r="F246" s="172"/>
      <c r="G246" s="172"/>
      <c r="H246" s="172"/>
      <c r="I246" s="172"/>
    </row>
    <row r="247" spans="2:9" hidden="1" x14ac:dyDescent="0.3">
      <c r="B247" s="172"/>
      <c r="C247" s="172"/>
      <c r="D247" s="172"/>
      <c r="E247" s="172"/>
      <c r="F247" s="172"/>
      <c r="G247" s="172"/>
      <c r="H247" s="172"/>
      <c r="I247" s="172"/>
    </row>
    <row r="248" spans="2:9" hidden="1" x14ac:dyDescent="0.3">
      <c r="B248" s="172"/>
      <c r="C248" s="172"/>
      <c r="D248" s="172"/>
      <c r="E248" s="172"/>
      <c r="F248" s="172"/>
      <c r="G248" s="172"/>
      <c r="H248" s="172"/>
      <c r="I248" s="172"/>
    </row>
    <row r="249" spans="2:9" hidden="1" x14ac:dyDescent="0.3">
      <c r="B249" s="172"/>
      <c r="C249" s="172"/>
      <c r="D249" s="172"/>
      <c r="E249" s="172"/>
      <c r="F249" s="172"/>
      <c r="G249" s="172"/>
      <c r="H249" s="172"/>
      <c r="I249" s="172"/>
    </row>
    <row r="250" spans="2:9" hidden="1" x14ac:dyDescent="0.3">
      <c r="B250" s="172"/>
      <c r="C250" s="172"/>
      <c r="D250" s="172"/>
      <c r="E250" s="172"/>
      <c r="F250" s="172"/>
      <c r="G250" s="172"/>
      <c r="H250" s="172"/>
      <c r="I250" s="172"/>
    </row>
    <row r="251" spans="2:9" hidden="1" x14ac:dyDescent="0.3">
      <c r="B251" s="172"/>
      <c r="C251" s="172"/>
      <c r="D251" s="172"/>
      <c r="E251" s="172"/>
      <c r="F251" s="172"/>
      <c r="G251" s="172"/>
      <c r="H251" s="172"/>
      <c r="I251" s="172"/>
    </row>
    <row r="252" spans="2:9" hidden="1" x14ac:dyDescent="0.3">
      <c r="B252" s="172"/>
      <c r="C252" s="172"/>
      <c r="D252" s="172"/>
      <c r="E252" s="172"/>
      <c r="F252" s="172"/>
      <c r="G252" s="172"/>
      <c r="H252" s="172"/>
      <c r="I252" s="172"/>
    </row>
    <row r="253" spans="2:9" hidden="1" x14ac:dyDescent="0.3">
      <c r="B253" s="172"/>
      <c r="C253" s="172"/>
      <c r="D253" s="172"/>
      <c r="E253" s="172"/>
      <c r="F253" s="172"/>
      <c r="G253" s="172"/>
      <c r="H253" s="172"/>
      <c r="I253" s="172"/>
    </row>
    <row r="254" spans="2:9" hidden="1" x14ac:dyDescent="0.3">
      <c r="B254" s="172"/>
      <c r="C254" s="172"/>
      <c r="D254" s="172"/>
      <c r="E254" s="172"/>
      <c r="F254" s="172"/>
      <c r="G254" s="172"/>
      <c r="H254" s="172"/>
      <c r="I254" s="172"/>
    </row>
    <row r="255" spans="2:9" hidden="1" x14ac:dyDescent="0.3">
      <c r="B255" s="172"/>
      <c r="C255" s="172"/>
      <c r="D255" s="172"/>
      <c r="E255" s="172"/>
      <c r="F255" s="172"/>
      <c r="G255" s="172"/>
      <c r="H255" s="172"/>
      <c r="I255" s="172"/>
    </row>
    <row r="256" spans="2:9" hidden="1" x14ac:dyDescent="0.3">
      <c r="B256" s="172"/>
      <c r="C256" s="172"/>
      <c r="D256" s="172"/>
      <c r="E256" s="172"/>
      <c r="F256" s="172"/>
      <c r="G256" s="172"/>
      <c r="H256" s="172"/>
      <c r="I256" s="172"/>
    </row>
    <row r="257" spans="2:9" hidden="1" x14ac:dyDescent="0.3">
      <c r="B257" s="172"/>
      <c r="C257" s="172"/>
      <c r="D257" s="172"/>
      <c r="E257" s="172"/>
      <c r="F257" s="172"/>
      <c r="G257" s="172"/>
      <c r="H257" s="172"/>
      <c r="I257" s="172"/>
    </row>
    <row r="258" spans="2:9" hidden="1" x14ac:dyDescent="0.3">
      <c r="B258" s="172"/>
      <c r="C258" s="172"/>
      <c r="D258" s="172"/>
      <c r="E258" s="172"/>
      <c r="F258" s="172"/>
      <c r="G258" s="172"/>
      <c r="H258" s="172"/>
      <c r="I258" s="172"/>
    </row>
    <row r="259" spans="2:9" hidden="1" x14ac:dyDescent="0.3">
      <c r="B259" s="172"/>
      <c r="C259" s="172"/>
      <c r="D259" s="172"/>
      <c r="E259" s="172"/>
      <c r="F259" s="172"/>
      <c r="G259" s="172"/>
      <c r="H259" s="172"/>
      <c r="I259" s="172"/>
    </row>
    <row r="260" spans="2:9" hidden="1" x14ac:dyDescent="0.3">
      <c r="B260" s="172"/>
      <c r="C260" s="172"/>
      <c r="D260" s="172"/>
      <c r="E260" s="172"/>
      <c r="F260" s="172"/>
      <c r="G260" s="172"/>
      <c r="H260" s="172"/>
      <c r="I260" s="172"/>
    </row>
    <row r="261" spans="2:9" hidden="1" x14ac:dyDescent="0.3">
      <c r="B261" s="172"/>
      <c r="C261" s="172"/>
      <c r="D261" s="172"/>
      <c r="E261" s="172"/>
      <c r="F261" s="172"/>
      <c r="G261" s="172"/>
      <c r="H261" s="172"/>
      <c r="I261" s="172"/>
    </row>
    <row r="262" spans="2:9" hidden="1" x14ac:dyDescent="0.3">
      <c r="B262" s="172"/>
      <c r="C262" s="172"/>
      <c r="D262" s="172"/>
      <c r="E262" s="172"/>
      <c r="F262" s="172"/>
      <c r="G262" s="172"/>
      <c r="H262" s="172"/>
      <c r="I262" s="172"/>
    </row>
    <row r="263" spans="2:9" hidden="1" x14ac:dyDescent="0.3">
      <c r="B263" s="172"/>
      <c r="C263" s="172"/>
      <c r="D263" s="172"/>
      <c r="E263" s="172"/>
      <c r="F263" s="172"/>
      <c r="G263" s="172"/>
      <c r="H263" s="172"/>
      <c r="I263" s="172"/>
    </row>
    <row r="264" spans="2:9" hidden="1" x14ac:dyDescent="0.3">
      <c r="B264" s="172"/>
      <c r="C264" s="172"/>
      <c r="D264" s="172"/>
      <c r="E264" s="172"/>
      <c r="F264" s="172"/>
      <c r="G264" s="172"/>
      <c r="H264" s="172"/>
      <c r="I264" s="172"/>
    </row>
    <row r="266" spans="2:9" x14ac:dyDescent="0.3">
      <c r="B266" s="167" t="s">
        <v>251</v>
      </c>
      <c r="C266" s="168"/>
      <c r="D266" s="168"/>
      <c r="E266" s="168"/>
      <c r="F266" s="168"/>
      <c r="G266" s="168"/>
      <c r="H266" s="168"/>
      <c r="I266" s="168"/>
    </row>
    <row r="267" spans="2:9" x14ac:dyDescent="0.3">
      <c r="B267" s="169" t="s">
        <v>9</v>
      </c>
      <c r="C267" s="169" t="s">
        <v>46</v>
      </c>
      <c r="D267" s="169" t="s">
        <v>42</v>
      </c>
      <c r="E267" s="169" t="s">
        <v>252</v>
      </c>
      <c r="F267" s="169" t="s">
        <v>253</v>
      </c>
      <c r="G267" s="169" t="s">
        <v>218</v>
      </c>
      <c r="H267" s="169" t="s">
        <v>221</v>
      </c>
      <c r="I267" s="170" t="s">
        <v>206</v>
      </c>
    </row>
    <row r="268" spans="2:9" x14ac:dyDescent="0.3">
      <c r="B268" s="205"/>
      <c r="C268" s="205"/>
      <c r="D268" s="205"/>
      <c r="E268" s="205"/>
      <c r="F268" s="205"/>
      <c r="G268" s="205" t="s">
        <v>7</v>
      </c>
      <c r="H268" s="205" t="s">
        <v>7</v>
      </c>
      <c r="I268" s="206" t="s">
        <v>7</v>
      </c>
    </row>
    <row r="269" spans="2:9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  <c r="H269" s="27" t="s">
        <v>260</v>
      </c>
      <c r="I269" s="27" t="s">
        <v>261</v>
      </c>
    </row>
    <row r="270" spans="2:9" hidden="1" x14ac:dyDescent="0.3">
      <c r="B270" s="172" t="s">
        <v>189</v>
      </c>
      <c r="C270" s="172" t="s">
        <v>79</v>
      </c>
      <c r="D270" s="172" t="s">
        <v>218</v>
      </c>
      <c r="E270" s="172">
        <v>3.80047246485649E-4</v>
      </c>
      <c r="F270" s="172">
        <v>50</v>
      </c>
      <c r="G270" s="172">
        <v>19</v>
      </c>
      <c r="H270" s="172">
        <v>11</v>
      </c>
      <c r="I270" s="172">
        <v>38.5</v>
      </c>
    </row>
    <row r="271" spans="2:9" hidden="1" x14ac:dyDescent="0.3">
      <c r="B271" s="172" t="s">
        <v>189</v>
      </c>
      <c r="C271" s="172" t="s">
        <v>80</v>
      </c>
      <c r="D271" s="172" t="s">
        <v>218</v>
      </c>
      <c r="E271" s="172">
        <v>3.7069421312725198E-4</v>
      </c>
      <c r="F271" s="172">
        <v>50</v>
      </c>
      <c r="G271" s="172">
        <v>19</v>
      </c>
      <c r="H271" s="172">
        <v>11</v>
      </c>
      <c r="I271" s="172">
        <v>38.5</v>
      </c>
    </row>
    <row r="272" spans="2:9" x14ac:dyDescent="0.3">
      <c r="B272" s="172" t="s">
        <v>189</v>
      </c>
      <c r="C272" s="172" t="s">
        <v>81</v>
      </c>
      <c r="D272" s="172" t="s">
        <v>221</v>
      </c>
      <c r="E272" s="172">
        <v>2.4235908660596899E-4</v>
      </c>
      <c r="F272" s="172">
        <v>53</v>
      </c>
      <c r="G272" s="172">
        <v>15</v>
      </c>
      <c r="H272" s="172">
        <v>11</v>
      </c>
      <c r="I272" s="172">
        <v>38.5</v>
      </c>
    </row>
    <row r="273" spans="2:9" hidden="1" x14ac:dyDescent="0.3">
      <c r="B273" s="172" t="s">
        <v>189</v>
      </c>
      <c r="C273" s="172" t="s">
        <v>82</v>
      </c>
      <c r="D273" s="172" t="s">
        <v>221</v>
      </c>
      <c r="E273" s="172">
        <v>2.3471902769715101E-4</v>
      </c>
      <c r="F273" s="172">
        <v>53</v>
      </c>
      <c r="G273" s="172">
        <v>15</v>
      </c>
      <c r="H273" s="172">
        <v>11</v>
      </c>
      <c r="I273" s="172">
        <v>38.5</v>
      </c>
    </row>
    <row r="274" spans="2:9" hidden="1" x14ac:dyDescent="0.3">
      <c r="B274" s="172" t="s">
        <v>189</v>
      </c>
      <c r="C274" s="172" t="s">
        <v>246</v>
      </c>
      <c r="D274" s="172" t="s">
        <v>218</v>
      </c>
      <c r="E274" s="172">
        <v>2.3013236284096699E-4</v>
      </c>
      <c r="F274" s="172">
        <v>50</v>
      </c>
      <c r="G274" s="172">
        <v>19</v>
      </c>
      <c r="H274" s="172">
        <v>11</v>
      </c>
      <c r="I274" s="172">
        <v>38.5</v>
      </c>
    </row>
    <row r="275" spans="2:9" hidden="1" x14ac:dyDescent="0.3">
      <c r="B275" s="172" t="s">
        <v>189</v>
      </c>
      <c r="C275" s="172" t="s">
        <v>246</v>
      </c>
      <c r="D275" s="172" t="s">
        <v>221</v>
      </c>
      <c r="E275" s="172">
        <v>9.6424525589388605E-5</v>
      </c>
      <c r="F275" s="172">
        <v>53</v>
      </c>
      <c r="G275" s="172">
        <v>15</v>
      </c>
      <c r="H275" s="172">
        <v>11</v>
      </c>
      <c r="I275" s="172">
        <v>38.5</v>
      </c>
    </row>
    <row r="276" spans="2:9" hidden="1" x14ac:dyDescent="0.3">
      <c r="B276" s="172" t="s">
        <v>187</v>
      </c>
      <c r="C276" s="172" t="s">
        <v>79</v>
      </c>
      <c r="D276" s="172" t="s">
        <v>218</v>
      </c>
      <c r="E276" s="172">
        <v>3.1934269985696499E-4</v>
      </c>
      <c r="F276" s="172">
        <v>19</v>
      </c>
      <c r="G276" s="172">
        <v>19.25</v>
      </c>
      <c r="H276" s="172">
        <v>19.25</v>
      </c>
      <c r="I276" s="172">
        <v>35.5</v>
      </c>
    </row>
    <row r="277" spans="2:9" hidden="1" x14ac:dyDescent="0.3">
      <c r="B277" s="172" t="s">
        <v>187</v>
      </c>
      <c r="C277" s="172" t="s">
        <v>80</v>
      </c>
      <c r="D277" s="172" t="s">
        <v>218</v>
      </c>
      <c r="E277" s="172">
        <v>3.20552471737512E-4</v>
      </c>
      <c r="F277" s="172">
        <v>25</v>
      </c>
      <c r="G277" s="172">
        <v>19.25</v>
      </c>
      <c r="H277" s="172">
        <v>-0.25</v>
      </c>
      <c r="I277" s="172">
        <v>35.5</v>
      </c>
    </row>
    <row r="278" spans="2:9" x14ac:dyDescent="0.3">
      <c r="B278" s="172" t="s">
        <v>187</v>
      </c>
      <c r="C278" s="172" t="s">
        <v>81</v>
      </c>
      <c r="D278" s="172" t="s">
        <v>221</v>
      </c>
      <c r="E278" s="172">
        <v>2.5486560432103398E-4</v>
      </c>
      <c r="F278" s="172">
        <v>39</v>
      </c>
      <c r="G278" s="172">
        <v>0</v>
      </c>
      <c r="H278" s="172">
        <v>19</v>
      </c>
      <c r="I278" s="172">
        <v>35.5</v>
      </c>
    </row>
    <row r="279" spans="2:9" hidden="1" x14ac:dyDescent="0.3">
      <c r="B279" s="172" t="s">
        <v>187</v>
      </c>
      <c r="C279" s="172" t="s">
        <v>82</v>
      </c>
      <c r="D279" s="172" t="s">
        <v>221</v>
      </c>
      <c r="E279" s="172">
        <v>2.9435022257720398E-4</v>
      </c>
      <c r="F279" s="172">
        <v>39</v>
      </c>
      <c r="G279" s="172">
        <v>0</v>
      </c>
      <c r="H279" s="172">
        <v>19</v>
      </c>
      <c r="I279" s="172">
        <v>35.5</v>
      </c>
    </row>
    <row r="280" spans="2:9" hidden="1" x14ac:dyDescent="0.3">
      <c r="B280" s="172" t="s">
        <v>187</v>
      </c>
      <c r="C280" s="172" t="s">
        <v>246</v>
      </c>
      <c r="D280" s="172" t="s">
        <v>218</v>
      </c>
      <c r="E280" s="172">
        <v>8.7435108252115895E-5</v>
      </c>
      <c r="F280" s="172">
        <v>25</v>
      </c>
      <c r="G280" s="172">
        <v>19.25</v>
      </c>
      <c r="H280" s="172">
        <v>-0.25</v>
      </c>
      <c r="I280" s="172">
        <v>35.5</v>
      </c>
    </row>
    <row r="281" spans="2:9" hidden="1" x14ac:dyDescent="0.3">
      <c r="B281" s="172" t="s">
        <v>187</v>
      </c>
      <c r="C281" s="172" t="s">
        <v>246</v>
      </c>
      <c r="D281" s="172" t="s">
        <v>221</v>
      </c>
      <c r="E281" s="172">
        <v>1.6609654312365201E-5</v>
      </c>
      <c r="F281" s="172">
        <v>19</v>
      </c>
      <c r="G281" s="172">
        <v>19.25</v>
      </c>
      <c r="H281" s="172">
        <v>19.25</v>
      </c>
      <c r="I281" s="172">
        <v>35.5</v>
      </c>
    </row>
    <row r="282" spans="2:9" hidden="1" x14ac:dyDescent="0.3">
      <c r="B282" s="172" t="s">
        <v>185</v>
      </c>
      <c r="C282" s="172" t="s">
        <v>79</v>
      </c>
      <c r="D282" s="172" t="s">
        <v>218</v>
      </c>
      <c r="E282" s="172">
        <v>4.6725825709162199E-4</v>
      </c>
      <c r="F282" s="172">
        <v>19</v>
      </c>
      <c r="G282" s="172">
        <v>19.25</v>
      </c>
      <c r="H282" s="172">
        <v>19.25</v>
      </c>
      <c r="I282" s="172">
        <v>32</v>
      </c>
    </row>
    <row r="283" spans="2:9" hidden="1" x14ac:dyDescent="0.3">
      <c r="B283" s="172" t="s">
        <v>185</v>
      </c>
      <c r="C283" s="172" t="s">
        <v>80</v>
      </c>
      <c r="D283" s="172" t="s">
        <v>218</v>
      </c>
      <c r="E283" s="172">
        <v>4.6723622027066499E-4</v>
      </c>
      <c r="F283" s="172">
        <v>25</v>
      </c>
      <c r="G283" s="172">
        <v>19.25</v>
      </c>
      <c r="H283" s="172">
        <v>-0.25</v>
      </c>
      <c r="I283" s="172">
        <v>32</v>
      </c>
    </row>
    <row r="284" spans="2:9" x14ac:dyDescent="0.3">
      <c r="B284" s="172" t="s">
        <v>185</v>
      </c>
      <c r="C284" s="172" t="s">
        <v>81</v>
      </c>
      <c r="D284" s="172" t="s">
        <v>221</v>
      </c>
      <c r="E284" s="172">
        <v>4.0632311308951799E-4</v>
      </c>
      <c r="F284" s="172">
        <v>39</v>
      </c>
      <c r="G284" s="172">
        <v>0</v>
      </c>
      <c r="H284" s="172">
        <v>19</v>
      </c>
      <c r="I284" s="172">
        <v>32</v>
      </c>
    </row>
    <row r="285" spans="2:9" hidden="1" x14ac:dyDescent="0.3">
      <c r="B285" s="172" t="s">
        <v>185</v>
      </c>
      <c r="C285" s="172" t="s">
        <v>82</v>
      </c>
      <c r="D285" s="172" t="s">
        <v>221</v>
      </c>
      <c r="E285" s="172">
        <v>4.7926757522366001E-4</v>
      </c>
      <c r="F285" s="172">
        <v>39</v>
      </c>
      <c r="G285" s="172">
        <v>0</v>
      </c>
      <c r="H285" s="172">
        <v>19</v>
      </c>
      <c r="I285" s="172">
        <v>32</v>
      </c>
    </row>
    <row r="286" spans="2:9" hidden="1" x14ac:dyDescent="0.3">
      <c r="B286" s="172" t="s">
        <v>185</v>
      </c>
      <c r="C286" s="172" t="s">
        <v>246</v>
      </c>
      <c r="D286" s="172" t="s">
        <v>218</v>
      </c>
      <c r="E286" s="172">
        <v>9.3424702487346402E-5</v>
      </c>
      <c r="F286" s="172">
        <v>25</v>
      </c>
      <c r="G286" s="172">
        <v>19.25</v>
      </c>
      <c r="H286" s="172">
        <v>-0.25</v>
      </c>
      <c r="I286" s="172">
        <v>32</v>
      </c>
    </row>
    <row r="287" spans="2:9" hidden="1" x14ac:dyDescent="0.3">
      <c r="B287" s="172" t="s">
        <v>185</v>
      </c>
      <c r="C287" s="172" t="s">
        <v>246</v>
      </c>
      <c r="D287" s="172" t="s">
        <v>221</v>
      </c>
      <c r="E287" s="172">
        <v>2.07080244098961E-5</v>
      </c>
      <c r="F287" s="172">
        <v>19</v>
      </c>
      <c r="G287" s="172">
        <v>19.25</v>
      </c>
      <c r="H287" s="172">
        <v>19.25</v>
      </c>
      <c r="I287" s="172">
        <v>32</v>
      </c>
    </row>
    <row r="288" spans="2:9" hidden="1" x14ac:dyDescent="0.3">
      <c r="B288" s="172" t="s">
        <v>183</v>
      </c>
      <c r="C288" s="172" t="s">
        <v>79</v>
      </c>
      <c r="D288" s="172" t="s">
        <v>218</v>
      </c>
      <c r="E288" s="172">
        <v>6.0065784725081995E-4</v>
      </c>
      <c r="F288" s="172">
        <v>19</v>
      </c>
      <c r="G288" s="172">
        <v>19.25</v>
      </c>
      <c r="H288" s="172">
        <v>19.25</v>
      </c>
      <c r="I288" s="172">
        <v>28.5</v>
      </c>
    </row>
    <row r="289" spans="2:9" hidden="1" x14ac:dyDescent="0.3">
      <c r="B289" s="172" t="s">
        <v>183</v>
      </c>
      <c r="C289" s="172" t="s">
        <v>80</v>
      </c>
      <c r="D289" s="172" t="s">
        <v>218</v>
      </c>
      <c r="E289" s="172">
        <v>5.99617101218242E-4</v>
      </c>
      <c r="F289" s="172">
        <v>25</v>
      </c>
      <c r="G289" s="172">
        <v>19.25</v>
      </c>
      <c r="H289" s="172">
        <v>-0.25</v>
      </c>
      <c r="I289" s="172">
        <v>28.5</v>
      </c>
    </row>
    <row r="290" spans="2:9" x14ac:dyDescent="0.3">
      <c r="B290" s="172" t="s">
        <v>183</v>
      </c>
      <c r="C290" s="172" t="s">
        <v>81</v>
      </c>
      <c r="D290" s="172" t="s">
        <v>221</v>
      </c>
      <c r="E290" s="172">
        <v>5.5016816792298104E-4</v>
      </c>
      <c r="F290" s="172">
        <v>39</v>
      </c>
      <c r="G290" s="172">
        <v>0</v>
      </c>
      <c r="H290" s="172">
        <v>19</v>
      </c>
      <c r="I290" s="172">
        <v>28.5</v>
      </c>
    </row>
    <row r="291" spans="2:9" hidden="1" x14ac:dyDescent="0.3">
      <c r="B291" s="172" t="s">
        <v>183</v>
      </c>
      <c r="C291" s="172" t="s">
        <v>82</v>
      </c>
      <c r="D291" s="172" t="s">
        <v>221</v>
      </c>
      <c r="E291" s="172">
        <v>6.5517978276400399E-4</v>
      </c>
      <c r="F291" s="172">
        <v>39</v>
      </c>
      <c r="G291" s="172">
        <v>0</v>
      </c>
      <c r="H291" s="172">
        <v>19</v>
      </c>
      <c r="I291" s="172">
        <v>28.5</v>
      </c>
    </row>
    <row r="292" spans="2:9" hidden="1" x14ac:dyDescent="0.3">
      <c r="B292" s="172" t="s">
        <v>183</v>
      </c>
      <c r="C292" s="172" t="s">
        <v>246</v>
      </c>
      <c r="D292" s="172" t="s">
        <v>218</v>
      </c>
      <c r="E292" s="172">
        <v>8.8569831304270306E-5</v>
      </c>
      <c r="F292" s="172">
        <v>25</v>
      </c>
      <c r="G292" s="172">
        <v>19.25</v>
      </c>
      <c r="H292" s="172">
        <v>-0.25</v>
      </c>
      <c r="I292" s="172">
        <v>28.5</v>
      </c>
    </row>
    <row r="293" spans="2:9" hidden="1" x14ac:dyDescent="0.3">
      <c r="B293" s="172" t="s">
        <v>183</v>
      </c>
      <c r="C293" s="172" t="s">
        <v>246</v>
      </c>
      <c r="D293" s="172" t="s">
        <v>221</v>
      </c>
      <c r="E293" s="172">
        <v>1.6951888645418499E-5</v>
      </c>
      <c r="F293" s="172">
        <v>19</v>
      </c>
      <c r="G293" s="172">
        <v>19.25</v>
      </c>
      <c r="H293" s="172">
        <v>19.25</v>
      </c>
      <c r="I293" s="172">
        <v>28.5</v>
      </c>
    </row>
    <row r="294" spans="2:9" hidden="1" x14ac:dyDescent="0.3">
      <c r="B294" s="172" t="s">
        <v>181</v>
      </c>
      <c r="C294" s="172" t="s">
        <v>79</v>
      </c>
      <c r="D294" s="172" t="s">
        <v>218</v>
      </c>
      <c r="E294" s="172">
        <v>7.1288751047376996E-4</v>
      </c>
      <c r="F294" s="172">
        <v>19</v>
      </c>
      <c r="G294" s="172">
        <v>19.25</v>
      </c>
      <c r="H294" s="172">
        <v>19.25</v>
      </c>
      <c r="I294" s="172">
        <v>25</v>
      </c>
    </row>
    <row r="295" spans="2:9" hidden="1" x14ac:dyDescent="0.3">
      <c r="B295" s="172" t="s">
        <v>181</v>
      </c>
      <c r="C295" s="172" t="s">
        <v>80</v>
      </c>
      <c r="D295" s="172" t="s">
        <v>218</v>
      </c>
      <c r="E295" s="172">
        <v>7.1061308848036899E-4</v>
      </c>
      <c r="F295" s="172">
        <v>25</v>
      </c>
      <c r="G295" s="172">
        <v>19.25</v>
      </c>
      <c r="H295" s="172">
        <v>-0.25</v>
      </c>
      <c r="I295" s="172">
        <v>25</v>
      </c>
    </row>
    <row r="296" spans="2:9" x14ac:dyDescent="0.3">
      <c r="B296" s="172" t="s">
        <v>181</v>
      </c>
      <c r="C296" s="172" t="s">
        <v>81</v>
      </c>
      <c r="D296" s="172" t="s">
        <v>221</v>
      </c>
      <c r="E296" s="172">
        <v>6.7325918662710597E-4</v>
      </c>
      <c r="F296" s="172">
        <v>39</v>
      </c>
      <c r="G296" s="172">
        <v>0</v>
      </c>
      <c r="H296" s="172">
        <v>19</v>
      </c>
      <c r="I296" s="172">
        <v>25</v>
      </c>
    </row>
    <row r="297" spans="2:9" hidden="1" x14ac:dyDescent="0.3">
      <c r="B297" s="172" t="s">
        <v>181</v>
      </c>
      <c r="C297" s="172" t="s">
        <v>82</v>
      </c>
      <c r="D297" s="172" t="s">
        <v>221</v>
      </c>
      <c r="E297" s="172">
        <v>8.0597124823478402E-4</v>
      </c>
      <c r="F297" s="172">
        <v>39</v>
      </c>
      <c r="G297" s="172">
        <v>0</v>
      </c>
      <c r="H297" s="172">
        <v>19</v>
      </c>
      <c r="I297" s="172">
        <v>25</v>
      </c>
    </row>
    <row r="298" spans="2:9" hidden="1" x14ac:dyDescent="0.3">
      <c r="B298" s="172" t="s">
        <v>181</v>
      </c>
      <c r="C298" s="172" t="s">
        <v>246</v>
      </c>
      <c r="D298" s="172" t="s">
        <v>218</v>
      </c>
      <c r="E298" s="172">
        <v>8.1938230872381204E-5</v>
      </c>
      <c r="F298" s="172">
        <v>25</v>
      </c>
      <c r="G298" s="172">
        <v>19.25</v>
      </c>
      <c r="H298" s="172">
        <v>-0.25</v>
      </c>
      <c r="I298" s="172">
        <v>25</v>
      </c>
    </row>
    <row r="299" spans="2:9" hidden="1" x14ac:dyDescent="0.3">
      <c r="B299" s="172" t="s">
        <v>181</v>
      </c>
      <c r="C299" s="172" t="s">
        <v>246</v>
      </c>
      <c r="D299" s="172" t="s">
        <v>221</v>
      </c>
      <c r="E299" s="172">
        <v>1.2546464926087101E-5</v>
      </c>
      <c r="F299" s="172">
        <v>19</v>
      </c>
      <c r="G299" s="172">
        <v>19.25</v>
      </c>
      <c r="H299" s="172">
        <v>19.25</v>
      </c>
      <c r="I299" s="172">
        <v>25</v>
      </c>
    </row>
    <row r="300" spans="2:9" hidden="1" x14ac:dyDescent="0.3">
      <c r="B300" s="172" t="s">
        <v>179</v>
      </c>
      <c r="C300" s="172" t="s">
        <v>79</v>
      </c>
      <c r="D300" s="172" t="s">
        <v>218</v>
      </c>
      <c r="E300" s="172">
        <v>8.0546955812029798E-4</v>
      </c>
      <c r="F300" s="172">
        <v>19</v>
      </c>
      <c r="G300" s="172">
        <v>19.25</v>
      </c>
      <c r="H300" s="172">
        <v>19.25</v>
      </c>
      <c r="I300" s="172">
        <v>21.5</v>
      </c>
    </row>
    <row r="301" spans="2:9" hidden="1" x14ac:dyDescent="0.3">
      <c r="B301" s="172" t="s">
        <v>179</v>
      </c>
      <c r="C301" s="172" t="s">
        <v>80</v>
      </c>
      <c r="D301" s="172" t="s">
        <v>218</v>
      </c>
      <c r="E301" s="172">
        <v>8.0196752019454597E-4</v>
      </c>
      <c r="F301" s="172">
        <v>25</v>
      </c>
      <c r="G301" s="172">
        <v>19.25</v>
      </c>
      <c r="H301" s="172">
        <v>-0.25</v>
      </c>
      <c r="I301" s="172">
        <v>21.5</v>
      </c>
    </row>
    <row r="302" spans="2:9" x14ac:dyDescent="0.3">
      <c r="B302" s="172" t="s">
        <v>179</v>
      </c>
      <c r="C302" s="172" t="s">
        <v>81</v>
      </c>
      <c r="D302" s="172" t="s">
        <v>221</v>
      </c>
      <c r="E302" s="172">
        <v>7.7697490310012999E-4</v>
      </c>
      <c r="F302" s="172">
        <v>39</v>
      </c>
      <c r="G302" s="172">
        <v>0</v>
      </c>
      <c r="H302" s="172">
        <v>19</v>
      </c>
      <c r="I302" s="172">
        <v>21.5</v>
      </c>
    </row>
    <row r="303" spans="2:9" hidden="1" x14ac:dyDescent="0.3">
      <c r="B303" s="172" t="s">
        <v>179</v>
      </c>
      <c r="C303" s="172" t="s">
        <v>82</v>
      </c>
      <c r="D303" s="172" t="s">
        <v>221</v>
      </c>
      <c r="E303" s="172">
        <v>9.33478080525297E-4</v>
      </c>
      <c r="F303" s="172">
        <v>39</v>
      </c>
      <c r="G303" s="172">
        <v>0</v>
      </c>
      <c r="H303" s="172">
        <v>19</v>
      </c>
      <c r="I303" s="172">
        <v>21.5</v>
      </c>
    </row>
    <row r="304" spans="2:9" hidden="1" x14ac:dyDescent="0.3">
      <c r="B304" s="172" t="s">
        <v>179</v>
      </c>
      <c r="C304" s="172" t="s">
        <v>246</v>
      </c>
      <c r="D304" s="172" t="s">
        <v>218</v>
      </c>
      <c r="E304" s="172">
        <v>7.4417001224867595E-5</v>
      </c>
      <c r="F304" s="172">
        <v>19</v>
      </c>
      <c r="G304" s="172">
        <v>19.25</v>
      </c>
      <c r="H304" s="172">
        <v>19.25</v>
      </c>
      <c r="I304" s="172">
        <v>21.5</v>
      </c>
    </row>
    <row r="305" spans="2:9" hidden="1" x14ac:dyDescent="0.3">
      <c r="B305" s="172" t="s">
        <v>179</v>
      </c>
      <c r="C305" s="172" t="s">
        <v>246</v>
      </c>
      <c r="D305" s="172" t="s">
        <v>221</v>
      </c>
      <c r="E305" s="172">
        <v>8.0101982938821395E-6</v>
      </c>
      <c r="F305" s="172">
        <v>39</v>
      </c>
      <c r="G305" s="172">
        <v>0</v>
      </c>
      <c r="H305" s="172">
        <v>19</v>
      </c>
      <c r="I305" s="172">
        <v>21.5</v>
      </c>
    </row>
    <row r="306" spans="2:9" hidden="1" x14ac:dyDescent="0.3">
      <c r="B306" s="172" t="s">
        <v>39</v>
      </c>
      <c r="C306" s="172" t="s">
        <v>79</v>
      </c>
      <c r="D306" s="172" t="s">
        <v>218</v>
      </c>
      <c r="E306" s="172">
        <v>8.7974432481817096E-4</v>
      </c>
      <c r="F306" s="172">
        <v>19</v>
      </c>
      <c r="G306" s="172">
        <v>19.25</v>
      </c>
      <c r="H306" s="172">
        <v>19.25</v>
      </c>
      <c r="I306" s="172">
        <v>18</v>
      </c>
    </row>
    <row r="307" spans="2:9" hidden="1" x14ac:dyDescent="0.3">
      <c r="B307" s="172" t="s">
        <v>39</v>
      </c>
      <c r="C307" s="172" t="s">
        <v>80</v>
      </c>
      <c r="D307" s="172" t="s">
        <v>218</v>
      </c>
      <c r="E307" s="172">
        <v>8.7514481525257498E-4</v>
      </c>
      <c r="F307" s="172">
        <v>25</v>
      </c>
      <c r="G307" s="172">
        <v>19.25</v>
      </c>
      <c r="H307" s="172">
        <v>-0.25</v>
      </c>
      <c r="I307" s="172">
        <v>18</v>
      </c>
    </row>
    <row r="308" spans="2:9" x14ac:dyDescent="0.3">
      <c r="B308" s="172" t="s">
        <v>39</v>
      </c>
      <c r="C308" s="172" t="s">
        <v>81</v>
      </c>
      <c r="D308" s="172" t="s">
        <v>221</v>
      </c>
      <c r="E308" s="172">
        <v>8.6374736897972296E-4</v>
      </c>
      <c r="F308" s="172">
        <v>39</v>
      </c>
      <c r="G308" s="172">
        <v>0</v>
      </c>
      <c r="H308" s="172">
        <v>19</v>
      </c>
      <c r="I308" s="172">
        <v>18</v>
      </c>
    </row>
    <row r="309" spans="2:9" hidden="1" x14ac:dyDescent="0.3">
      <c r="B309" s="172" t="s">
        <v>39</v>
      </c>
      <c r="C309" s="172" t="s">
        <v>82</v>
      </c>
      <c r="D309" s="172" t="s">
        <v>221</v>
      </c>
      <c r="E309" s="172">
        <v>1.04079122789236E-3</v>
      </c>
      <c r="F309" s="172">
        <v>39</v>
      </c>
      <c r="G309" s="172">
        <v>0</v>
      </c>
      <c r="H309" s="172">
        <v>19</v>
      </c>
      <c r="I309" s="172">
        <v>18</v>
      </c>
    </row>
    <row r="310" spans="2:9" hidden="1" x14ac:dyDescent="0.3">
      <c r="B310" s="172" t="s">
        <v>39</v>
      </c>
      <c r="C310" s="172" t="s">
        <v>246</v>
      </c>
      <c r="D310" s="172" t="s">
        <v>218</v>
      </c>
      <c r="E310" s="172">
        <v>6.7049859608084896E-5</v>
      </c>
      <c r="F310" s="172">
        <v>19</v>
      </c>
      <c r="G310" s="172">
        <v>19.25</v>
      </c>
      <c r="H310" s="172">
        <v>19.25</v>
      </c>
      <c r="I310" s="172">
        <v>18</v>
      </c>
    </row>
    <row r="311" spans="2:9" hidden="1" x14ac:dyDescent="0.3">
      <c r="B311" s="172" t="s">
        <v>26</v>
      </c>
      <c r="C311" s="172" t="s">
        <v>79</v>
      </c>
      <c r="D311" s="172" t="s">
        <v>218</v>
      </c>
      <c r="E311" s="172">
        <v>9.3542470737912199E-4</v>
      </c>
      <c r="F311" s="172">
        <v>19</v>
      </c>
      <c r="G311" s="172">
        <v>19.25</v>
      </c>
      <c r="H311" s="172">
        <v>19.25</v>
      </c>
      <c r="I311" s="172">
        <v>14.5</v>
      </c>
    </row>
    <row r="312" spans="2:9" hidden="1" x14ac:dyDescent="0.3">
      <c r="B312" s="172" t="s">
        <v>26</v>
      </c>
      <c r="C312" s="172" t="s">
        <v>80</v>
      </c>
      <c r="D312" s="172" t="s">
        <v>218</v>
      </c>
      <c r="E312" s="172">
        <v>9.3001179763504505E-4</v>
      </c>
      <c r="F312" s="172">
        <v>25</v>
      </c>
      <c r="G312" s="172">
        <v>19.25</v>
      </c>
      <c r="H312" s="172">
        <v>-0.25</v>
      </c>
      <c r="I312" s="172">
        <v>14.5</v>
      </c>
    </row>
    <row r="313" spans="2:9" x14ac:dyDescent="0.3">
      <c r="B313" s="172" t="s">
        <v>26</v>
      </c>
      <c r="C313" s="172" t="s">
        <v>81</v>
      </c>
      <c r="D313" s="172" t="s">
        <v>221</v>
      </c>
      <c r="E313" s="172">
        <v>9.3423090730441203E-4</v>
      </c>
      <c r="F313" s="172">
        <v>39</v>
      </c>
      <c r="G313" s="172">
        <v>0</v>
      </c>
      <c r="H313" s="172">
        <v>19</v>
      </c>
      <c r="I313" s="172">
        <v>14.5</v>
      </c>
    </row>
    <row r="314" spans="2:9" hidden="1" x14ac:dyDescent="0.3">
      <c r="B314" s="172" t="s">
        <v>26</v>
      </c>
      <c r="C314" s="172" t="s">
        <v>82</v>
      </c>
      <c r="D314" s="172" t="s">
        <v>221</v>
      </c>
      <c r="E314" s="172">
        <v>1.12883338797331E-3</v>
      </c>
      <c r="F314" s="172">
        <v>39</v>
      </c>
      <c r="G314" s="172">
        <v>0</v>
      </c>
      <c r="H314" s="172">
        <v>19</v>
      </c>
      <c r="I314" s="172">
        <v>14.5</v>
      </c>
    </row>
    <row r="315" spans="2:9" hidden="1" x14ac:dyDescent="0.3">
      <c r="B315" s="172" t="s">
        <v>26</v>
      </c>
      <c r="C315" s="172" t="s">
        <v>246</v>
      </c>
      <c r="D315" s="172" t="s">
        <v>218</v>
      </c>
      <c r="E315" s="172">
        <v>5.8262910424716199E-5</v>
      </c>
      <c r="F315" s="172">
        <v>19</v>
      </c>
      <c r="G315" s="172">
        <v>19.25</v>
      </c>
      <c r="H315" s="172">
        <v>19.25</v>
      </c>
      <c r="I315" s="172">
        <v>14.5</v>
      </c>
    </row>
    <row r="316" spans="2:9" hidden="1" x14ac:dyDescent="0.3">
      <c r="B316" s="172" t="s">
        <v>25</v>
      </c>
      <c r="C316" s="172" t="s">
        <v>79</v>
      </c>
      <c r="D316" s="172" t="s">
        <v>218</v>
      </c>
      <c r="E316" s="172">
        <v>9.6886379985662498E-4</v>
      </c>
      <c r="F316" s="172">
        <v>19</v>
      </c>
      <c r="G316" s="172">
        <v>19.25</v>
      </c>
      <c r="H316" s="172">
        <v>19.25</v>
      </c>
      <c r="I316" s="172">
        <v>11</v>
      </c>
    </row>
    <row r="317" spans="2:9" hidden="1" x14ac:dyDescent="0.3">
      <c r="B317" s="172" t="s">
        <v>25</v>
      </c>
      <c r="C317" s="172" t="s">
        <v>80</v>
      </c>
      <c r="D317" s="172" t="s">
        <v>218</v>
      </c>
      <c r="E317" s="172">
        <v>9.6324662583953304E-4</v>
      </c>
      <c r="F317" s="172">
        <v>25</v>
      </c>
      <c r="G317" s="172">
        <v>19.25</v>
      </c>
      <c r="H317" s="172">
        <v>-0.25</v>
      </c>
      <c r="I317" s="172">
        <v>11</v>
      </c>
    </row>
    <row r="318" spans="2:9" x14ac:dyDescent="0.3">
      <c r="B318" s="172" t="s">
        <v>25</v>
      </c>
      <c r="C318" s="172" t="s">
        <v>81</v>
      </c>
      <c r="D318" s="172" t="s">
        <v>221</v>
      </c>
      <c r="E318" s="172">
        <v>9.8411326668710599E-4</v>
      </c>
      <c r="F318" s="172">
        <v>39</v>
      </c>
      <c r="G318" s="172">
        <v>0</v>
      </c>
      <c r="H318" s="172">
        <v>19</v>
      </c>
      <c r="I318" s="172">
        <v>11</v>
      </c>
    </row>
    <row r="319" spans="2:9" hidden="1" x14ac:dyDescent="0.3">
      <c r="B319" s="172" t="s">
        <v>25</v>
      </c>
      <c r="C319" s="172" t="s">
        <v>82</v>
      </c>
      <c r="D319" s="172" t="s">
        <v>221</v>
      </c>
      <c r="E319" s="172">
        <v>1.19255778888021E-3</v>
      </c>
      <c r="F319" s="172">
        <v>39</v>
      </c>
      <c r="G319" s="172">
        <v>0</v>
      </c>
      <c r="H319" s="172">
        <v>19</v>
      </c>
      <c r="I319" s="172">
        <v>11</v>
      </c>
    </row>
    <row r="320" spans="2:9" hidden="1" x14ac:dyDescent="0.3">
      <c r="B320" s="172" t="s">
        <v>25</v>
      </c>
      <c r="C320" s="172" t="s">
        <v>246</v>
      </c>
      <c r="D320" s="172" t="s">
        <v>218</v>
      </c>
      <c r="E320" s="172">
        <v>4.7926047675800402E-5</v>
      </c>
      <c r="F320" s="172">
        <v>19</v>
      </c>
      <c r="G320" s="172">
        <v>19.25</v>
      </c>
      <c r="H320" s="172">
        <v>19.25</v>
      </c>
      <c r="I320" s="172">
        <v>11</v>
      </c>
    </row>
    <row r="321" spans="2:9" hidden="1" x14ac:dyDescent="0.3">
      <c r="B321" s="172" t="s">
        <v>25</v>
      </c>
      <c r="C321" s="172" t="s">
        <v>246</v>
      </c>
      <c r="D321" s="172" t="s">
        <v>221</v>
      </c>
      <c r="E321" s="172">
        <v>1.7723228867367399E-5</v>
      </c>
      <c r="F321" s="172">
        <v>25</v>
      </c>
      <c r="G321" s="172">
        <v>19.25</v>
      </c>
      <c r="H321" s="172">
        <v>-0.25</v>
      </c>
      <c r="I321" s="172">
        <v>11</v>
      </c>
    </row>
    <row r="322" spans="2:9" hidden="1" x14ac:dyDescent="0.3">
      <c r="B322" s="172" t="s">
        <v>24</v>
      </c>
      <c r="C322" s="172" t="s">
        <v>79</v>
      </c>
      <c r="D322" s="172" t="s">
        <v>218</v>
      </c>
      <c r="E322" s="172">
        <v>9.6584353821229903E-4</v>
      </c>
      <c r="F322" s="172">
        <v>19</v>
      </c>
      <c r="G322" s="172">
        <v>19.25</v>
      </c>
      <c r="H322" s="172">
        <v>19.25</v>
      </c>
      <c r="I322" s="172">
        <v>7.5</v>
      </c>
    </row>
    <row r="323" spans="2:9" hidden="1" x14ac:dyDescent="0.3">
      <c r="B323" s="172" t="s">
        <v>24</v>
      </c>
      <c r="C323" s="172" t="s">
        <v>80</v>
      </c>
      <c r="D323" s="172" t="s">
        <v>218</v>
      </c>
      <c r="E323" s="172">
        <v>9.6050449783538602E-4</v>
      </c>
      <c r="F323" s="172">
        <v>25</v>
      </c>
      <c r="G323" s="172">
        <v>19.25</v>
      </c>
      <c r="H323" s="172">
        <v>-0.25</v>
      </c>
      <c r="I323" s="172">
        <v>7.5</v>
      </c>
    </row>
    <row r="324" spans="2:9" x14ac:dyDescent="0.3">
      <c r="B324" s="172" t="s">
        <v>24</v>
      </c>
      <c r="C324" s="172" t="s">
        <v>81</v>
      </c>
      <c r="D324" s="172" t="s">
        <v>221</v>
      </c>
      <c r="E324" s="172">
        <v>9.9033795744713697E-4</v>
      </c>
      <c r="F324" s="172">
        <v>39</v>
      </c>
      <c r="G324" s="172">
        <v>0</v>
      </c>
      <c r="H324" s="172">
        <v>19</v>
      </c>
      <c r="I324" s="172">
        <v>7.5</v>
      </c>
    </row>
    <row r="325" spans="2:9" hidden="1" x14ac:dyDescent="0.3">
      <c r="B325" s="172" t="s">
        <v>24</v>
      </c>
      <c r="C325" s="172" t="s">
        <v>82</v>
      </c>
      <c r="D325" s="172" t="s">
        <v>221</v>
      </c>
      <c r="E325" s="172">
        <v>1.2049939918354899E-3</v>
      </c>
      <c r="F325" s="172">
        <v>39</v>
      </c>
      <c r="G325" s="172">
        <v>0</v>
      </c>
      <c r="H325" s="172">
        <v>19</v>
      </c>
      <c r="I325" s="172">
        <v>7.5</v>
      </c>
    </row>
    <row r="326" spans="2:9" hidden="1" x14ac:dyDescent="0.3">
      <c r="B326" s="172" t="s">
        <v>24</v>
      </c>
      <c r="C326" s="172" t="s">
        <v>246</v>
      </c>
      <c r="D326" s="172" t="s">
        <v>218</v>
      </c>
      <c r="E326" s="172">
        <v>3.4384352557766098E-5</v>
      </c>
      <c r="F326" s="172">
        <v>19</v>
      </c>
      <c r="G326" s="172">
        <v>19.25</v>
      </c>
      <c r="H326" s="172">
        <v>19.25</v>
      </c>
      <c r="I326" s="172">
        <v>7.5</v>
      </c>
    </row>
    <row r="327" spans="2:9" hidden="1" x14ac:dyDescent="0.3">
      <c r="B327" s="172" t="s">
        <v>24</v>
      </c>
      <c r="C327" s="172" t="s">
        <v>246</v>
      </c>
      <c r="D327" s="172" t="s">
        <v>221</v>
      </c>
      <c r="E327" s="172">
        <v>3.0703611239521997E-5</v>
      </c>
      <c r="F327" s="172">
        <v>25</v>
      </c>
      <c r="G327" s="172">
        <v>19.25</v>
      </c>
      <c r="H327" s="172">
        <v>-0.25</v>
      </c>
      <c r="I327" s="172">
        <v>7.5</v>
      </c>
    </row>
    <row r="328" spans="2:9" hidden="1" x14ac:dyDescent="0.3">
      <c r="B328" s="172" t="s">
        <v>22</v>
      </c>
      <c r="C328" s="172" t="s">
        <v>79</v>
      </c>
      <c r="D328" s="172" t="s">
        <v>218</v>
      </c>
      <c r="E328" s="172">
        <v>7.2486934016209603E-4</v>
      </c>
      <c r="F328" s="172">
        <v>14</v>
      </c>
      <c r="G328" s="172">
        <v>19</v>
      </c>
      <c r="H328" s="172">
        <v>19</v>
      </c>
      <c r="I328" s="172">
        <v>4</v>
      </c>
    </row>
    <row r="329" spans="2:9" hidden="1" x14ac:dyDescent="0.3">
      <c r="B329" s="172" t="s">
        <v>22</v>
      </c>
      <c r="C329" s="172" t="s">
        <v>80</v>
      </c>
      <c r="D329" s="172" t="s">
        <v>218</v>
      </c>
      <c r="E329" s="172">
        <v>7.1832012846562003E-4</v>
      </c>
      <c r="F329" s="172">
        <v>48</v>
      </c>
      <c r="G329" s="172">
        <v>19</v>
      </c>
      <c r="H329" s="172">
        <v>0</v>
      </c>
      <c r="I329" s="172">
        <v>4</v>
      </c>
    </row>
    <row r="330" spans="2:9" x14ac:dyDescent="0.3">
      <c r="B330" s="172" t="s">
        <v>22</v>
      </c>
      <c r="C330" s="172" t="s">
        <v>81</v>
      </c>
      <c r="D330" s="172" t="s">
        <v>221</v>
      </c>
      <c r="E330" s="172">
        <v>7.08236990036457E-4</v>
      </c>
      <c r="F330" s="172">
        <v>39</v>
      </c>
      <c r="G330" s="172">
        <v>0</v>
      </c>
      <c r="H330" s="172">
        <v>19</v>
      </c>
      <c r="I330" s="172">
        <v>4</v>
      </c>
    </row>
    <row r="331" spans="2:9" hidden="1" x14ac:dyDescent="0.3">
      <c r="B331" s="172" t="s">
        <v>22</v>
      </c>
      <c r="C331" s="172" t="s">
        <v>82</v>
      </c>
      <c r="D331" s="172" t="s">
        <v>221</v>
      </c>
      <c r="E331" s="172">
        <v>8.7526327259866601E-4</v>
      </c>
      <c r="F331" s="172">
        <v>39</v>
      </c>
      <c r="G331" s="172">
        <v>0</v>
      </c>
      <c r="H331" s="172">
        <v>19</v>
      </c>
      <c r="I331" s="172">
        <v>4</v>
      </c>
    </row>
    <row r="332" spans="2:9" hidden="1" x14ac:dyDescent="0.3">
      <c r="B332" s="172" t="s">
        <v>22</v>
      </c>
      <c r="C332" s="172" t="s">
        <v>246</v>
      </c>
      <c r="D332" s="172" t="s">
        <v>221</v>
      </c>
      <c r="E332" s="172">
        <v>4.7135729453918698E-5</v>
      </c>
      <c r="F332" s="172">
        <v>50</v>
      </c>
      <c r="G332" s="172">
        <v>19</v>
      </c>
      <c r="H332" s="172">
        <v>11</v>
      </c>
      <c r="I332" s="172">
        <v>4</v>
      </c>
    </row>
    <row r="333" spans="2:9" hidden="1" x14ac:dyDescent="0.3">
      <c r="B333" s="172"/>
      <c r="C333" s="172"/>
      <c r="D333" s="172"/>
      <c r="E333" s="172"/>
      <c r="F333" s="172"/>
      <c r="G333" s="172"/>
      <c r="H333" s="172"/>
      <c r="I333" s="172"/>
    </row>
    <row r="334" spans="2:9" hidden="1" x14ac:dyDescent="0.3">
      <c r="B334" s="172"/>
      <c r="C334" s="172"/>
      <c r="D334" s="172"/>
      <c r="E334" s="172"/>
      <c r="F334" s="172"/>
      <c r="G334" s="172"/>
      <c r="H334" s="172"/>
      <c r="I334" s="172"/>
    </row>
    <row r="335" spans="2:9" hidden="1" x14ac:dyDescent="0.3">
      <c r="B335" s="172"/>
      <c r="C335" s="172"/>
      <c r="D335" s="172"/>
      <c r="E335" s="172"/>
      <c r="F335" s="172"/>
      <c r="G335" s="172"/>
      <c r="H335" s="172"/>
      <c r="I335" s="172"/>
    </row>
    <row r="336" spans="2:9" hidden="1" x14ac:dyDescent="0.3">
      <c r="B336" s="172"/>
      <c r="C336" s="172"/>
      <c r="D336" s="172"/>
      <c r="E336" s="172"/>
      <c r="F336" s="172"/>
      <c r="G336" s="172"/>
      <c r="H336" s="172"/>
      <c r="I336" s="172"/>
    </row>
    <row r="337" spans="2:9" hidden="1" x14ac:dyDescent="0.3">
      <c r="B337" s="172"/>
      <c r="C337" s="172"/>
      <c r="D337" s="172"/>
      <c r="E337" s="172"/>
      <c r="F337" s="172"/>
      <c r="G337" s="172"/>
      <c r="H337" s="172"/>
      <c r="I337" s="172"/>
    </row>
    <row r="338" spans="2:9" hidden="1" x14ac:dyDescent="0.3">
      <c r="B338" s="172"/>
      <c r="C338" s="172"/>
      <c r="D338" s="172"/>
      <c r="E338" s="172"/>
      <c r="F338" s="172"/>
      <c r="G338" s="172"/>
      <c r="H338" s="172"/>
      <c r="I338" s="172"/>
    </row>
    <row r="339" spans="2:9" s="172" customFormat="1" hidden="1" x14ac:dyDescent="0.3"/>
    <row r="340" spans="2:9" hidden="1" x14ac:dyDescent="0.3">
      <c r="B340" s="172"/>
      <c r="C340" s="172"/>
      <c r="D340" s="172"/>
      <c r="E340" s="172"/>
      <c r="F340" s="172"/>
      <c r="G340" s="172"/>
      <c r="H340" s="172"/>
      <c r="I340" s="172"/>
    </row>
    <row r="341" spans="2:9" hidden="1" x14ac:dyDescent="0.3">
      <c r="B341" s="172"/>
      <c r="C341" s="172"/>
      <c r="D341" s="172"/>
      <c r="E341" s="172"/>
      <c r="F341" s="172"/>
      <c r="G341" s="172"/>
      <c r="H341" s="172"/>
      <c r="I341" s="172"/>
    </row>
    <row r="342" spans="2:9" hidden="1" x14ac:dyDescent="0.3">
      <c r="B342" s="172"/>
      <c r="C342" s="172"/>
      <c r="D342" s="172"/>
      <c r="E342" s="172"/>
      <c r="F342" s="172"/>
      <c r="G342" s="172"/>
      <c r="H342" s="172"/>
      <c r="I342" s="172"/>
    </row>
    <row r="343" spans="2:9" s="172" customFormat="1" hidden="1" x14ac:dyDescent="0.3"/>
    <row r="344" spans="2:9" hidden="1" x14ac:dyDescent="0.3">
      <c r="B344" s="172"/>
      <c r="C344" s="172"/>
      <c r="D344" s="172"/>
      <c r="E344" s="172"/>
      <c r="F344" s="172"/>
      <c r="G344" s="172"/>
      <c r="H344" s="172"/>
      <c r="I344" s="172"/>
    </row>
    <row r="345" spans="2:9" hidden="1" x14ac:dyDescent="0.3">
      <c r="B345" s="172"/>
      <c r="C345" s="172"/>
      <c r="D345" s="172"/>
      <c r="E345" s="172"/>
      <c r="F345" s="172"/>
      <c r="G345" s="172"/>
      <c r="H345" s="172"/>
      <c r="I345" s="172"/>
    </row>
    <row r="346" spans="2:9" hidden="1" x14ac:dyDescent="0.3">
      <c r="B346" s="172"/>
      <c r="C346" s="172"/>
      <c r="D346" s="172"/>
      <c r="E346" s="172"/>
      <c r="F346" s="172"/>
      <c r="G346" s="172"/>
      <c r="H346" s="172"/>
      <c r="I346" s="172"/>
    </row>
    <row r="347" spans="2:9" s="172" customFormat="1" hidden="1" x14ac:dyDescent="0.3"/>
    <row r="348" spans="2:9" hidden="1" x14ac:dyDescent="0.3">
      <c r="B348" s="172"/>
      <c r="C348" s="172"/>
      <c r="D348" s="172"/>
      <c r="E348" s="172"/>
      <c r="F348" s="172"/>
      <c r="G348" s="172"/>
      <c r="H348" s="172"/>
      <c r="I348" s="172"/>
    </row>
    <row r="349" spans="2:9" hidden="1" x14ac:dyDescent="0.3">
      <c r="B349" s="172"/>
      <c r="C349" s="172"/>
      <c r="D349" s="172"/>
      <c r="E349" s="172"/>
      <c r="F349" s="172"/>
      <c r="G349" s="172"/>
      <c r="H349" s="172"/>
      <c r="I349" s="172"/>
    </row>
    <row r="350" spans="2:9" hidden="1" x14ac:dyDescent="0.3">
      <c r="B350" s="172"/>
      <c r="C350" s="172"/>
      <c r="D350" s="172"/>
      <c r="E350" s="172"/>
      <c r="F350" s="172"/>
      <c r="G350" s="172"/>
      <c r="H350" s="172"/>
      <c r="I350" s="172"/>
    </row>
    <row r="351" spans="2:9" s="172" customFormat="1" hidden="1" x14ac:dyDescent="0.3"/>
    <row r="352" spans="2:9" hidden="1" x14ac:dyDescent="0.3">
      <c r="B352" s="172"/>
      <c r="C352" s="172"/>
      <c r="D352" s="172"/>
      <c r="E352" s="172"/>
      <c r="F352" s="172"/>
      <c r="G352" s="172"/>
      <c r="H352" s="172"/>
      <c r="I352" s="172"/>
    </row>
    <row r="353" spans="2:9" hidden="1" x14ac:dyDescent="0.3">
      <c r="B353" s="172"/>
      <c r="C353" s="172"/>
      <c r="D353" s="172"/>
      <c r="E353" s="172"/>
      <c r="F353" s="172"/>
      <c r="G353" s="172"/>
      <c r="H353" s="172"/>
      <c r="I353" s="172"/>
    </row>
    <row r="354" spans="2:9" hidden="1" x14ac:dyDescent="0.3">
      <c r="B354" s="172"/>
      <c r="C354" s="172"/>
      <c r="D354" s="172"/>
      <c r="E354" s="172"/>
      <c r="F354" s="172"/>
      <c r="G354" s="172"/>
      <c r="H354" s="172"/>
      <c r="I354" s="172"/>
    </row>
    <row r="355" spans="2:9" s="172" customFormat="1" hidden="1" x14ac:dyDescent="0.3"/>
    <row r="356" spans="2:9" hidden="1" x14ac:dyDescent="0.3">
      <c r="B356" s="172"/>
      <c r="C356" s="172"/>
      <c r="D356" s="172"/>
      <c r="E356" s="172"/>
      <c r="F356" s="172"/>
      <c r="G356" s="172"/>
      <c r="H356" s="172"/>
      <c r="I356" s="172"/>
    </row>
    <row r="357" spans="2:9" hidden="1" x14ac:dyDescent="0.3">
      <c r="B357" s="172"/>
      <c r="C357" s="172"/>
      <c r="D357" s="172"/>
      <c r="E357" s="172"/>
      <c r="F357" s="172"/>
      <c r="G357" s="172"/>
      <c r="H357" s="172"/>
      <c r="I357" s="172"/>
    </row>
    <row r="358" spans="2:9" hidden="1" x14ac:dyDescent="0.3">
      <c r="B358" s="172"/>
      <c r="C358" s="172"/>
      <c r="D358" s="172"/>
      <c r="E358" s="172"/>
      <c r="F358" s="172"/>
      <c r="G358" s="172"/>
      <c r="H358" s="172"/>
      <c r="I358" s="172"/>
    </row>
    <row r="359" spans="2:9" s="172" customFormat="1" hidden="1" x14ac:dyDescent="0.3"/>
    <row r="360" spans="2:9" hidden="1" x14ac:dyDescent="0.3">
      <c r="B360" s="172"/>
      <c r="C360" s="172"/>
      <c r="D360" s="172"/>
      <c r="E360" s="172"/>
      <c r="F360" s="172"/>
      <c r="G360" s="172"/>
      <c r="H360" s="172"/>
      <c r="I360" s="172"/>
    </row>
    <row r="361" spans="2:9" hidden="1" x14ac:dyDescent="0.3">
      <c r="B361" s="172"/>
      <c r="C361" s="172"/>
      <c r="D361" s="172"/>
      <c r="E361" s="172"/>
      <c r="F361" s="172"/>
      <c r="G361" s="172"/>
      <c r="H361" s="172"/>
      <c r="I361" s="172"/>
    </row>
    <row r="362" spans="2:9" hidden="1" x14ac:dyDescent="0.3">
      <c r="B362" s="172"/>
      <c r="C362" s="172"/>
      <c r="D362" s="172"/>
      <c r="E362" s="172"/>
      <c r="F362" s="172"/>
      <c r="G362" s="172"/>
      <c r="H362" s="172"/>
      <c r="I362" s="172"/>
    </row>
    <row r="363" spans="2:9" hidden="1" x14ac:dyDescent="0.3">
      <c r="B363" s="172"/>
      <c r="C363" s="172"/>
      <c r="D363" s="172"/>
      <c r="E363" s="172"/>
      <c r="F363" s="172"/>
      <c r="G363" s="172"/>
      <c r="H363" s="172"/>
      <c r="I363" s="172"/>
    </row>
    <row r="364" spans="2:9" hidden="1" x14ac:dyDescent="0.3">
      <c r="B364" s="172"/>
      <c r="C364" s="172"/>
      <c r="D364" s="172"/>
      <c r="E364" s="172"/>
      <c r="F364" s="172"/>
      <c r="G364" s="172"/>
      <c r="H364" s="172"/>
      <c r="I364" s="172"/>
    </row>
    <row r="365" spans="2:9" hidden="1" x14ac:dyDescent="0.3">
      <c r="B365" s="172"/>
      <c r="C365" s="172"/>
      <c r="D365" s="172"/>
      <c r="E365" s="172"/>
      <c r="F365" s="172"/>
      <c r="G365" s="172"/>
      <c r="H365" s="172"/>
      <c r="I365" s="172"/>
    </row>
    <row r="366" spans="2:9" hidden="1" x14ac:dyDescent="0.3">
      <c r="B366" s="172"/>
      <c r="C366" s="172"/>
      <c r="D366" s="172"/>
      <c r="E366" s="172"/>
      <c r="F366" s="172"/>
      <c r="G366" s="172"/>
      <c r="H366" s="172"/>
      <c r="I366" s="172"/>
    </row>
    <row r="367" spans="2:9" hidden="1" x14ac:dyDescent="0.3">
      <c r="B367" s="172"/>
      <c r="C367" s="172"/>
      <c r="D367" s="172"/>
      <c r="E367" s="172"/>
      <c r="F367" s="172"/>
      <c r="G367" s="172"/>
      <c r="H367" s="172"/>
      <c r="I367" s="172"/>
    </row>
    <row r="368" spans="2:9" hidden="1" x14ac:dyDescent="0.3">
      <c r="B368" s="172"/>
      <c r="C368" s="172"/>
      <c r="D368" s="172"/>
      <c r="E368" s="172"/>
      <c r="F368" s="172"/>
      <c r="G368" s="172"/>
      <c r="H368" s="172"/>
      <c r="I368" s="172"/>
    </row>
    <row r="369" spans="2:9" hidden="1" x14ac:dyDescent="0.3">
      <c r="B369" s="172"/>
      <c r="C369" s="172"/>
      <c r="D369" s="172"/>
      <c r="E369" s="172"/>
      <c r="F369" s="172"/>
      <c r="G369" s="172"/>
      <c r="H369" s="172"/>
      <c r="I369" s="172"/>
    </row>
    <row r="370" spans="2:9" hidden="1" x14ac:dyDescent="0.3">
      <c r="B370" s="172"/>
      <c r="C370" s="172"/>
      <c r="D370" s="172"/>
      <c r="E370" s="172"/>
      <c r="F370" s="172"/>
      <c r="G370" s="172"/>
      <c r="H370" s="172"/>
      <c r="I370" s="172"/>
    </row>
    <row r="371" spans="2:9" hidden="1" x14ac:dyDescent="0.3">
      <c r="B371" s="172"/>
      <c r="C371" s="172"/>
      <c r="D371" s="172"/>
      <c r="E371" s="172"/>
      <c r="F371" s="172"/>
      <c r="G371" s="172"/>
      <c r="H371" s="172"/>
      <c r="I371" s="172"/>
    </row>
    <row r="372" spans="2:9" hidden="1" x14ac:dyDescent="0.3">
      <c r="B372" s="172"/>
      <c r="C372" s="172"/>
      <c r="D372" s="172"/>
      <c r="E372" s="172"/>
      <c r="F372" s="172"/>
      <c r="G372" s="172"/>
      <c r="H372" s="172"/>
      <c r="I372" s="172"/>
    </row>
    <row r="373" spans="2:9" hidden="1" x14ac:dyDescent="0.3">
      <c r="B373" s="172"/>
      <c r="C373" s="172"/>
      <c r="D373" s="172"/>
      <c r="E373" s="172"/>
      <c r="F373" s="172"/>
      <c r="G373" s="172"/>
      <c r="H373" s="172"/>
      <c r="I373" s="172"/>
    </row>
    <row r="374" spans="2:9" hidden="1" x14ac:dyDescent="0.3">
      <c r="B374" s="172"/>
      <c r="C374" s="172"/>
      <c r="D374" s="172"/>
      <c r="E374" s="172"/>
      <c r="F374" s="172"/>
      <c r="G374" s="172"/>
      <c r="H374" s="172"/>
      <c r="I374" s="172"/>
    </row>
    <row r="375" spans="2:9" hidden="1" x14ac:dyDescent="0.3">
      <c r="B375" s="172"/>
      <c r="C375" s="172"/>
      <c r="D375" s="172"/>
      <c r="E375" s="172"/>
      <c r="F375" s="172"/>
      <c r="G375" s="172"/>
      <c r="H375" s="172"/>
      <c r="I375" s="172"/>
    </row>
    <row r="376" spans="2:9" hidden="1" x14ac:dyDescent="0.3">
      <c r="B376" s="172"/>
      <c r="C376" s="172"/>
      <c r="D376" s="172"/>
      <c r="E376" s="172"/>
      <c r="F376" s="172"/>
      <c r="G376" s="172"/>
      <c r="H376" s="172"/>
      <c r="I376" s="172"/>
    </row>
    <row r="377" spans="2:9" hidden="1" x14ac:dyDescent="0.3">
      <c r="B377" s="172"/>
      <c r="C377" s="172"/>
      <c r="D377" s="172"/>
      <c r="E377" s="172"/>
      <c r="F377" s="172"/>
      <c r="G377" s="172"/>
      <c r="H377" s="172"/>
      <c r="I377" s="172"/>
    </row>
    <row r="378" spans="2:9" hidden="1" x14ac:dyDescent="0.3">
      <c r="B378" s="172"/>
      <c r="C378" s="172"/>
      <c r="D378" s="172"/>
      <c r="E378" s="172"/>
      <c r="F378" s="172"/>
      <c r="G378" s="172"/>
      <c r="H378" s="172"/>
      <c r="I378" s="172"/>
    </row>
    <row r="379" spans="2:9" hidden="1" x14ac:dyDescent="0.3">
      <c r="B379" s="172"/>
      <c r="C379" s="172"/>
      <c r="D379" s="172"/>
      <c r="E379" s="172"/>
      <c r="F379" s="172"/>
      <c r="G379" s="172"/>
      <c r="H379" s="172"/>
      <c r="I379" s="172"/>
    </row>
    <row r="380" spans="2:9" hidden="1" x14ac:dyDescent="0.3">
      <c r="B380" s="172"/>
      <c r="C380" s="172"/>
      <c r="D380" s="172"/>
      <c r="E380" s="172"/>
      <c r="F380" s="172"/>
      <c r="G380" s="172"/>
      <c r="H380" s="172"/>
      <c r="I380" s="172"/>
    </row>
    <row r="381" spans="2:9" hidden="1" x14ac:dyDescent="0.3">
      <c r="B381" s="172"/>
      <c r="C381" s="172"/>
      <c r="D381" s="172"/>
      <c r="E381" s="172"/>
      <c r="F381" s="172"/>
      <c r="G381" s="172"/>
      <c r="H381" s="172"/>
      <c r="I381" s="172"/>
    </row>
    <row r="382" spans="2:9" hidden="1" x14ac:dyDescent="0.3">
      <c r="B382" s="172"/>
      <c r="C382" s="172"/>
      <c r="D382" s="172"/>
      <c r="E382" s="172"/>
      <c r="F382" s="172"/>
      <c r="G382" s="172"/>
      <c r="H382" s="172"/>
      <c r="I382" s="172"/>
    </row>
    <row r="383" spans="2:9" hidden="1" x14ac:dyDescent="0.3">
      <c r="B383" s="172"/>
      <c r="C383" s="172"/>
      <c r="D383" s="172"/>
      <c r="E383" s="172"/>
      <c r="F383" s="172"/>
      <c r="G383" s="172"/>
      <c r="H383" s="172"/>
      <c r="I383" s="172"/>
    </row>
    <row r="384" spans="2:9" hidden="1" x14ac:dyDescent="0.3">
      <c r="B384" s="172"/>
      <c r="C384" s="172"/>
      <c r="D384" s="172"/>
      <c r="E384" s="172"/>
      <c r="F384" s="172"/>
      <c r="G384" s="172"/>
      <c r="H384" s="172"/>
      <c r="I384" s="172"/>
    </row>
    <row r="385" spans="2:9" hidden="1" x14ac:dyDescent="0.3">
      <c r="B385" s="172"/>
      <c r="C385" s="172"/>
      <c r="D385" s="172"/>
      <c r="E385" s="172"/>
      <c r="F385" s="172"/>
      <c r="G385" s="172"/>
      <c r="H385" s="172"/>
      <c r="I385" s="172"/>
    </row>
    <row r="386" spans="2:9" hidden="1" x14ac:dyDescent="0.3">
      <c r="B386" s="172"/>
      <c r="C386" s="172"/>
      <c r="D386" s="172"/>
      <c r="E386" s="172"/>
      <c r="F386" s="172"/>
      <c r="G386" s="172"/>
      <c r="H386" s="172"/>
      <c r="I386" s="172"/>
    </row>
    <row r="387" spans="2:9" hidden="1" x14ac:dyDescent="0.3">
      <c r="B387" s="172"/>
      <c r="C387" s="172"/>
      <c r="D387" s="172"/>
      <c r="E387" s="172"/>
      <c r="F387" s="172"/>
      <c r="G387" s="172"/>
      <c r="H387" s="172"/>
      <c r="I387" s="172"/>
    </row>
    <row r="388" spans="2:9" hidden="1" x14ac:dyDescent="0.3">
      <c r="B388" s="172"/>
      <c r="C388" s="172"/>
      <c r="D388" s="172"/>
      <c r="E388" s="172"/>
      <c r="F388" s="172"/>
      <c r="G388" s="172"/>
      <c r="H388" s="172"/>
      <c r="I388" s="172"/>
    </row>
    <row r="389" spans="2:9" hidden="1" x14ac:dyDescent="0.3">
      <c r="B389" s="172"/>
      <c r="C389" s="172"/>
      <c r="D389" s="172"/>
      <c r="E389" s="172"/>
      <c r="F389" s="172"/>
      <c r="G389" s="172"/>
      <c r="H389" s="172"/>
      <c r="I389" s="172"/>
    </row>
    <row r="390" spans="2:9" hidden="1" x14ac:dyDescent="0.3">
      <c r="B390" s="172"/>
      <c r="C390" s="172"/>
      <c r="D390" s="172"/>
      <c r="E390" s="172"/>
      <c r="F390" s="172"/>
      <c r="G390" s="172"/>
      <c r="H390" s="172"/>
      <c r="I390" s="172"/>
    </row>
    <row r="391" spans="2:9" hidden="1" x14ac:dyDescent="0.3">
      <c r="B391" s="172"/>
      <c r="C391" s="172"/>
      <c r="D391" s="172"/>
      <c r="E391" s="172"/>
      <c r="F391" s="172"/>
      <c r="G391" s="172"/>
      <c r="H391" s="172"/>
      <c r="I391" s="172"/>
    </row>
    <row r="392" spans="2:9" hidden="1" x14ac:dyDescent="0.3">
      <c r="B392" s="172"/>
      <c r="C392" s="172"/>
      <c r="D392" s="172"/>
      <c r="E392" s="172"/>
      <c r="F392" s="172"/>
      <c r="G392" s="172"/>
      <c r="H392" s="172"/>
      <c r="I392" s="172"/>
    </row>
    <row r="393" spans="2:9" hidden="1" x14ac:dyDescent="0.3">
      <c r="B393" s="172"/>
      <c r="C393" s="172"/>
      <c r="D393" s="172"/>
      <c r="E393" s="172"/>
      <c r="F393" s="172"/>
      <c r="G393" s="172"/>
      <c r="H393" s="172"/>
      <c r="I393" s="172"/>
    </row>
    <row r="394" spans="2:9" hidden="1" x14ac:dyDescent="0.3">
      <c r="B394" s="172"/>
      <c r="C394" s="172"/>
      <c r="D394" s="172"/>
      <c r="E394" s="172"/>
      <c r="F394" s="172"/>
      <c r="G394" s="172"/>
      <c r="H394" s="172"/>
      <c r="I394" s="172"/>
    </row>
    <row r="395" spans="2:9" hidden="1" x14ac:dyDescent="0.3">
      <c r="B395" s="172"/>
      <c r="C395" s="172"/>
      <c r="D395" s="172"/>
      <c r="E395" s="172"/>
      <c r="F395" s="172"/>
      <c r="G395" s="172"/>
      <c r="H395" s="172"/>
      <c r="I395" s="172"/>
    </row>
    <row r="396" spans="2:9" hidden="1" x14ac:dyDescent="0.3">
      <c r="B396" s="172"/>
      <c r="C396" s="172"/>
      <c r="D396" s="172"/>
      <c r="E396" s="172"/>
      <c r="F396" s="172"/>
      <c r="G396" s="172"/>
      <c r="H396" s="172"/>
      <c r="I396" s="172"/>
    </row>
    <row r="398" spans="2:9" x14ac:dyDescent="0.3">
      <c r="B398" s="167" t="s">
        <v>251</v>
      </c>
      <c r="C398" s="168"/>
      <c r="D398" s="168"/>
      <c r="E398" s="168"/>
      <c r="F398" s="168"/>
      <c r="G398" s="168"/>
      <c r="H398" s="168"/>
      <c r="I398" s="168"/>
    </row>
    <row r="399" spans="2:9" x14ac:dyDescent="0.3">
      <c r="B399" s="169" t="s">
        <v>9</v>
      </c>
      <c r="C399" s="169" t="s">
        <v>46</v>
      </c>
      <c r="D399" s="169" t="s">
        <v>42</v>
      </c>
      <c r="E399" s="169" t="s">
        <v>252</v>
      </c>
      <c r="F399" s="169" t="s">
        <v>253</v>
      </c>
      <c r="G399" s="169" t="s">
        <v>218</v>
      </c>
      <c r="H399" s="169" t="s">
        <v>221</v>
      </c>
      <c r="I399" s="170" t="s">
        <v>206</v>
      </c>
    </row>
    <row r="400" spans="2:9" x14ac:dyDescent="0.3">
      <c r="B400" s="205"/>
      <c r="C400" s="205"/>
      <c r="D400" s="205"/>
      <c r="E400" s="205"/>
      <c r="F400" s="205"/>
      <c r="G400" s="205" t="s">
        <v>7</v>
      </c>
      <c r="H400" s="205" t="s">
        <v>7</v>
      </c>
      <c r="I400" s="206" t="s">
        <v>7</v>
      </c>
    </row>
    <row r="401" spans="2:9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  <c r="H401" s="27" t="s">
        <v>260</v>
      </c>
      <c r="I401" s="27" t="s">
        <v>261</v>
      </c>
    </row>
    <row r="402" spans="2:9" hidden="1" x14ac:dyDescent="0.3">
      <c r="B402" s="172" t="s">
        <v>189</v>
      </c>
      <c r="C402" s="172" t="s">
        <v>79</v>
      </c>
      <c r="D402" s="172" t="s">
        <v>218</v>
      </c>
      <c r="E402" s="172">
        <v>3.80047246485649E-4</v>
      </c>
      <c r="F402" s="172">
        <v>50</v>
      </c>
      <c r="G402" s="172">
        <v>19</v>
      </c>
      <c r="H402" s="172">
        <v>11</v>
      </c>
      <c r="I402" s="172">
        <v>38.5</v>
      </c>
    </row>
    <row r="403" spans="2:9" hidden="1" x14ac:dyDescent="0.3">
      <c r="B403" s="172" t="s">
        <v>189</v>
      </c>
      <c r="C403" s="172" t="s">
        <v>80</v>
      </c>
      <c r="D403" s="172" t="s">
        <v>218</v>
      </c>
      <c r="E403" s="172">
        <v>3.7069421312725198E-4</v>
      </c>
      <c r="F403" s="172">
        <v>50</v>
      </c>
      <c r="G403" s="172">
        <v>19</v>
      </c>
      <c r="H403" s="172">
        <v>11</v>
      </c>
      <c r="I403" s="172">
        <v>38.5</v>
      </c>
    </row>
    <row r="404" spans="2:9" hidden="1" x14ac:dyDescent="0.3">
      <c r="B404" s="172" t="s">
        <v>189</v>
      </c>
      <c r="C404" s="172" t="s">
        <v>81</v>
      </c>
      <c r="D404" s="172" t="s">
        <v>221</v>
      </c>
      <c r="E404" s="172">
        <v>2.4235908660596899E-4</v>
      </c>
      <c r="F404" s="172">
        <v>53</v>
      </c>
      <c r="G404" s="172">
        <v>15</v>
      </c>
      <c r="H404" s="172">
        <v>11</v>
      </c>
      <c r="I404" s="172">
        <v>38.5</v>
      </c>
    </row>
    <row r="405" spans="2:9" x14ac:dyDescent="0.3">
      <c r="B405" s="172" t="s">
        <v>189</v>
      </c>
      <c r="C405" s="172" t="s">
        <v>82</v>
      </c>
      <c r="D405" s="172" t="s">
        <v>221</v>
      </c>
      <c r="E405" s="172">
        <v>2.3471902769715101E-4</v>
      </c>
      <c r="F405" s="172">
        <v>53</v>
      </c>
      <c r="G405" s="172">
        <v>15</v>
      </c>
      <c r="H405" s="172">
        <v>11</v>
      </c>
      <c r="I405" s="172">
        <v>38.5</v>
      </c>
    </row>
    <row r="406" spans="2:9" hidden="1" x14ac:dyDescent="0.3">
      <c r="B406" s="172" t="s">
        <v>189</v>
      </c>
      <c r="C406" s="172" t="s">
        <v>246</v>
      </c>
      <c r="D406" s="172" t="s">
        <v>218</v>
      </c>
      <c r="E406" s="172">
        <v>2.3013236284096699E-4</v>
      </c>
      <c r="F406" s="172">
        <v>50</v>
      </c>
      <c r="G406" s="172">
        <v>19</v>
      </c>
      <c r="H406" s="172">
        <v>11</v>
      </c>
      <c r="I406" s="172">
        <v>38.5</v>
      </c>
    </row>
    <row r="407" spans="2:9" hidden="1" x14ac:dyDescent="0.3">
      <c r="B407" s="172" t="s">
        <v>189</v>
      </c>
      <c r="C407" s="172" t="s">
        <v>246</v>
      </c>
      <c r="D407" s="172" t="s">
        <v>221</v>
      </c>
      <c r="E407" s="172">
        <v>9.6424525589388605E-5</v>
      </c>
      <c r="F407" s="172">
        <v>53</v>
      </c>
      <c r="G407" s="172">
        <v>15</v>
      </c>
      <c r="H407" s="172">
        <v>11</v>
      </c>
      <c r="I407" s="172">
        <v>38.5</v>
      </c>
    </row>
    <row r="408" spans="2:9" hidden="1" x14ac:dyDescent="0.3">
      <c r="B408" s="172" t="s">
        <v>187</v>
      </c>
      <c r="C408" s="172" t="s">
        <v>79</v>
      </c>
      <c r="D408" s="172" t="s">
        <v>218</v>
      </c>
      <c r="E408" s="172">
        <v>3.1934269985696499E-4</v>
      </c>
      <c r="F408" s="172">
        <v>19</v>
      </c>
      <c r="G408" s="172">
        <v>19.25</v>
      </c>
      <c r="H408" s="172">
        <v>19.25</v>
      </c>
      <c r="I408" s="172">
        <v>35.5</v>
      </c>
    </row>
    <row r="409" spans="2:9" hidden="1" x14ac:dyDescent="0.3">
      <c r="B409" s="172" t="s">
        <v>187</v>
      </c>
      <c r="C409" s="172" t="s">
        <v>80</v>
      </c>
      <c r="D409" s="172" t="s">
        <v>218</v>
      </c>
      <c r="E409" s="172">
        <v>3.20552471737512E-4</v>
      </c>
      <c r="F409" s="172">
        <v>25</v>
      </c>
      <c r="G409" s="172">
        <v>19.25</v>
      </c>
      <c r="H409" s="172">
        <v>-0.25</v>
      </c>
      <c r="I409" s="172">
        <v>35.5</v>
      </c>
    </row>
    <row r="410" spans="2:9" hidden="1" x14ac:dyDescent="0.3">
      <c r="B410" s="172" t="s">
        <v>187</v>
      </c>
      <c r="C410" s="172" t="s">
        <v>81</v>
      </c>
      <c r="D410" s="172" t="s">
        <v>221</v>
      </c>
      <c r="E410" s="172">
        <v>2.5486560432103398E-4</v>
      </c>
      <c r="F410" s="172">
        <v>39</v>
      </c>
      <c r="G410" s="172">
        <v>0</v>
      </c>
      <c r="H410" s="172">
        <v>19</v>
      </c>
      <c r="I410" s="172">
        <v>35.5</v>
      </c>
    </row>
    <row r="411" spans="2:9" x14ac:dyDescent="0.3">
      <c r="B411" s="172" t="s">
        <v>187</v>
      </c>
      <c r="C411" s="172" t="s">
        <v>82</v>
      </c>
      <c r="D411" s="172" t="s">
        <v>221</v>
      </c>
      <c r="E411" s="172">
        <v>2.9435022257720398E-4</v>
      </c>
      <c r="F411" s="172">
        <v>39</v>
      </c>
      <c r="G411" s="172">
        <v>0</v>
      </c>
      <c r="H411" s="172">
        <v>19</v>
      </c>
      <c r="I411" s="172">
        <v>35.5</v>
      </c>
    </row>
    <row r="412" spans="2:9" hidden="1" x14ac:dyDescent="0.3">
      <c r="B412" s="172" t="s">
        <v>187</v>
      </c>
      <c r="C412" s="172" t="s">
        <v>246</v>
      </c>
      <c r="D412" s="172" t="s">
        <v>218</v>
      </c>
      <c r="E412" s="172">
        <v>8.7435108252115895E-5</v>
      </c>
      <c r="F412" s="172">
        <v>25</v>
      </c>
      <c r="G412" s="172">
        <v>19.25</v>
      </c>
      <c r="H412" s="172">
        <v>-0.25</v>
      </c>
      <c r="I412" s="172">
        <v>35.5</v>
      </c>
    </row>
    <row r="413" spans="2:9" hidden="1" x14ac:dyDescent="0.3">
      <c r="B413" s="172" t="s">
        <v>187</v>
      </c>
      <c r="C413" s="172" t="s">
        <v>246</v>
      </c>
      <c r="D413" s="172" t="s">
        <v>221</v>
      </c>
      <c r="E413" s="172">
        <v>1.6609654312365201E-5</v>
      </c>
      <c r="F413" s="172">
        <v>19</v>
      </c>
      <c r="G413" s="172">
        <v>19.25</v>
      </c>
      <c r="H413" s="172">
        <v>19.25</v>
      </c>
      <c r="I413" s="172">
        <v>35.5</v>
      </c>
    </row>
    <row r="414" spans="2:9" hidden="1" x14ac:dyDescent="0.3">
      <c r="B414" s="172" t="s">
        <v>185</v>
      </c>
      <c r="C414" s="172" t="s">
        <v>79</v>
      </c>
      <c r="D414" s="172" t="s">
        <v>218</v>
      </c>
      <c r="E414" s="172">
        <v>4.6725825709162199E-4</v>
      </c>
      <c r="F414" s="172">
        <v>19</v>
      </c>
      <c r="G414" s="172">
        <v>19.25</v>
      </c>
      <c r="H414" s="172">
        <v>19.25</v>
      </c>
      <c r="I414" s="172">
        <v>32</v>
      </c>
    </row>
    <row r="415" spans="2:9" hidden="1" x14ac:dyDescent="0.3">
      <c r="B415" s="172" t="s">
        <v>185</v>
      </c>
      <c r="C415" s="172" t="s">
        <v>80</v>
      </c>
      <c r="D415" s="172" t="s">
        <v>218</v>
      </c>
      <c r="E415" s="172">
        <v>4.6723622027066499E-4</v>
      </c>
      <c r="F415" s="172">
        <v>25</v>
      </c>
      <c r="G415" s="172">
        <v>19.25</v>
      </c>
      <c r="H415" s="172">
        <v>-0.25</v>
      </c>
      <c r="I415" s="172">
        <v>32</v>
      </c>
    </row>
    <row r="416" spans="2:9" hidden="1" x14ac:dyDescent="0.3">
      <c r="B416" s="172" t="s">
        <v>185</v>
      </c>
      <c r="C416" s="172" t="s">
        <v>81</v>
      </c>
      <c r="D416" s="172" t="s">
        <v>221</v>
      </c>
      <c r="E416" s="172">
        <v>4.0632311308951799E-4</v>
      </c>
      <c r="F416" s="172">
        <v>39</v>
      </c>
      <c r="G416" s="172">
        <v>0</v>
      </c>
      <c r="H416" s="172">
        <v>19</v>
      </c>
      <c r="I416" s="172">
        <v>32</v>
      </c>
    </row>
    <row r="417" spans="2:9" x14ac:dyDescent="0.3">
      <c r="B417" s="172" t="s">
        <v>185</v>
      </c>
      <c r="C417" s="172" t="s">
        <v>82</v>
      </c>
      <c r="D417" s="172" t="s">
        <v>221</v>
      </c>
      <c r="E417" s="172">
        <v>4.7926757522366001E-4</v>
      </c>
      <c r="F417" s="172">
        <v>39</v>
      </c>
      <c r="G417" s="172">
        <v>0</v>
      </c>
      <c r="H417" s="172">
        <v>19</v>
      </c>
      <c r="I417" s="172">
        <v>32</v>
      </c>
    </row>
    <row r="418" spans="2:9" hidden="1" x14ac:dyDescent="0.3">
      <c r="B418" s="172" t="s">
        <v>185</v>
      </c>
      <c r="C418" s="172" t="s">
        <v>246</v>
      </c>
      <c r="D418" s="172" t="s">
        <v>218</v>
      </c>
      <c r="E418" s="172">
        <v>9.3424702487346402E-5</v>
      </c>
      <c r="F418" s="172">
        <v>25</v>
      </c>
      <c r="G418" s="172">
        <v>19.25</v>
      </c>
      <c r="H418" s="172">
        <v>-0.25</v>
      </c>
      <c r="I418" s="172">
        <v>32</v>
      </c>
    </row>
    <row r="419" spans="2:9" hidden="1" x14ac:dyDescent="0.3">
      <c r="B419" s="172" t="s">
        <v>185</v>
      </c>
      <c r="C419" s="172" t="s">
        <v>246</v>
      </c>
      <c r="D419" s="172" t="s">
        <v>221</v>
      </c>
      <c r="E419" s="172">
        <v>2.07080244098961E-5</v>
      </c>
      <c r="F419" s="172">
        <v>19</v>
      </c>
      <c r="G419" s="172">
        <v>19.25</v>
      </c>
      <c r="H419" s="172">
        <v>19.25</v>
      </c>
      <c r="I419" s="172">
        <v>32</v>
      </c>
    </row>
    <row r="420" spans="2:9" hidden="1" x14ac:dyDescent="0.3">
      <c r="B420" s="172" t="s">
        <v>183</v>
      </c>
      <c r="C420" s="172" t="s">
        <v>79</v>
      </c>
      <c r="D420" s="172" t="s">
        <v>218</v>
      </c>
      <c r="E420" s="172">
        <v>6.0065784725081995E-4</v>
      </c>
      <c r="F420" s="172">
        <v>19</v>
      </c>
      <c r="G420" s="172">
        <v>19.25</v>
      </c>
      <c r="H420" s="172">
        <v>19.25</v>
      </c>
      <c r="I420" s="172">
        <v>28.5</v>
      </c>
    </row>
    <row r="421" spans="2:9" hidden="1" x14ac:dyDescent="0.3">
      <c r="B421" s="172" t="s">
        <v>183</v>
      </c>
      <c r="C421" s="172" t="s">
        <v>80</v>
      </c>
      <c r="D421" s="172" t="s">
        <v>218</v>
      </c>
      <c r="E421" s="172">
        <v>5.99617101218242E-4</v>
      </c>
      <c r="F421" s="172">
        <v>25</v>
      </c>
      <c r="G421" s="172">
        <v>19.25</v>
      </c>
      <c r="H421" s="172">
        <v>-0.25</v>
      </c>
      <c r="I421" s="172">
        <v>28.5</v>
      </c>
    </row>
    <row r="422" spans="2:9" hidden="1" x14ac:dyDescent="0.3">
      <c r="B422" s="172" t="s">
        <v>183</v>
      </c>
      <c r="C422" s="172" t="s">
        <v>81</v>
      </c>
      <c r="D422" s="172" t="s">
        <v>221</v>
      </c>
      <c r="E422" s="172">
        <v>5.5016816792298104E-4</v>
      </c>
      <c r="F422" s="172">
        <v>39</v>
      </c>
      <c r="G422" s="172">
        <v>0</v>
      </c>
      <c r="H422" s="172">
        <v>19</v>
      </c>
      <c r="I422" s="172">
        <v>28.5</v>
      </c>
    </row>
    <row r="423" spans="2:9" x14ac:dyDescent="0.3">
      <c r="B423" s="172" t="s">
        <v>183</v>
      </c>
      <c r="C423" s="172" t="s">
        <v>82</v>
      </c>
      <c r="D423" s="172" t="s">
        <v>221</v>
      </c>
      <c r="E423" s="172">
        <v>6.5517978276400399E-4</v>
      </c>
      <c r="F423" s="172">
        <v>39</v>
      </c>
      <c r="G423" s="172">
        <v>0</v>
      </c>
      <c r="H423" s="172">
        <v>19</v>
      </c>
      <c r="I423" s="172">
        <v>28.5</v>
      </c>
    </row>
    <row r="424" spans="2:9" hidden="1" x14ac:dyDescent="0.3">
      <c r="B424" s="172" t="s">
        <v>183</v>
      </c>
      <c r="C424" s="172" t="s">
        <v>246</v>
      </c>
      <c r="D424" s="172" t="s">
        <v>218</v>
      </c>
      <c r="E424" s="172">
        <v>8.8569831304270306E-5</v>
      </c>
      <c r="F424" s="172">
        <v>25</v>
      </c>
      <c r="G424" s="172">
        <v>19.25</v>
      </c>
      <c r="H424" s="172">
        <v>-0.25</v>
      </c>
      <c r="I424" s="172">
        <v>28.5</v>
      </c>
    </row>
    <row r="425" spans="2:9" hidden="1" x14ac:dyDescent="0.3">
      <c r="B425" s="172" t="s">
        <v>183</v>
      </c>
      <c r="C425" s="172" t="s">
        <v>246</v>
      </c>
      <c r="D425" s="172" t="s">
        <v>221</v>
      </c>
      <c r="E425" s="172">
        <v>1.6951888645418499E-5</v>
      </c>
      <c r="F425" s="172">
        <v>19</v>
      </c>
      <c r="G425" s="172">
        <v>19.25</v>
      </c>
      <c r="H425" s="172">
        <v>19.25</v>
      </c>
      <c r="I425" s="172">
        <v>28.5</v>
      </c>
    </row>
    <row r="426" spans="2:9" hidden="1" x14ac:dyDescent="0.3">
      <c r="B426" s="172" t="s">
        <v>181</v>
      </c>
      <c r="C426" s="172" t="s">
        <v>79</v>
      </c>
      <c r="D426" s="172" t="s">
        <v>218</v>
      </c>
      <c r="E426" s="172">
        <v>7.1288751047376996E-4</v>
      </c>
      <c r="F426" s="172">
        <v>19</v>
      </c>
      <c r="G426" s="172">
        <v>19.25</v>
      </c>
      <c r="H426" s="172">
        <v>19.25</v>
      </c>
      <c r="I426" s="172">
        <v>25</v>
      </c>
    </row>
    <row r="427" spans="2:9" hidden="1" x14ac:dyDescent="0.3">
      <c r="B427" s="172" t="s">
        <v>181</v>
      </c>
      <c r="C427" s="172" t="s">
        <v>80</v>
      </c>
      <c r="D427" s="172" t="s">
        <v>218</v>
      </c>
      <c r="E427" s="172">
        <v>7.1061308848036899E-4</v>
      </c>
      <c r="F427" s="172">
        <v>25</v>
      </c>
      <c r="G427" s="172">
        <v>19.25</v>
      </c>
      <c r="H427" s="172">
        <v>-0.25</v>
      </c>
      <c r="I427" s="172">
        <v>25</v>
      </c>
    </row>
    <row r="428" spans="2:9" hidden="1" x14ac:dyDescent="0.3">
      <c r="B428" s="172" t="s">
        <v>181</v>
      </c>
      <c r="C428" s="172" t="s">
        <v>81</v>
      </c>
      <c r="D428" s="172" t="s">
        <v>221</v>
      </c>
      <c r="E428" s="172">
        <v>6.7325918662710597E-4</v>
      </c>
      <c r="F428" s="172">
        <v>39</v>
      </c>
      <c r="G428" s="172">
        <v>0</v>
      </c>
      <c r="H428" s="172">
        <v>19</v>
      </c>
      <c r="I428" s="172">
        <v>25</v>
      </c>
    </row>
    <row r="429" spans="2:9" x14ac:dyDescent="0.3">
      <c r="B429" s="172" t="s">
        <v>181</v>
      </c>
      <c r="C429" s="172" t="s">
        <v>82</v>
      </c>
      <c r="D429" s="172" t="s">
        <v>221</v>
      </c>
      <c r="E429" s="172">
        <v>8.0597124823478402E-4</v>
      </c>
      <c r="F429" s="172">
        <v>39</v>
      </c>
      <c r="G429" s="172">
        <v>0</v>
      </c>
      <c r="H429" s="172">
        <v>19</v>
      </c>
      <c r="I429" s="172">
        <v>25</v>
      </c>
    </row>
    <row r="430" spans="2:9" hidden="1" x14ac:dyDescent="0.3">
      <c r="B430" s="172" t="s">
        <v>181</v>
      </c>
      <c r="C430" s="172" t="s">
        <v>246</v>
      </c>
      <c r="D430" s="172" t="s">
        <v>218</v>
      </c>
      <c r="E430" s="172">
        <v>8.1938230872381204E-5</v>
      </c>
      <c r="F430" s="172">
        <v>25</v>
      </c>
      <c r="G430" s="172">
        <v>19.25</v>
      </c>
      <c r="H430" s="172">
        <v>-0.25</v>
      </c>
      <c r="I430" s="172">
        <v>25</v>
      </c>
    </row>
    <row r="431" spans="2:9" hidden="1" x14ac:dyDescent="0.3">
      <c r="B431" s="172" t="s">
        <v>181</v>
      </c>
      <c r="C431" s="172" t="s">
        <v>246</v>
      </c>
      <c r="D431" s="172" t="s">
        <v>221</v>
      </c>
      <c r="E431" s="172">
        <v>1.2546464926087101E-5</v>
      </c>
      <c r="F431" s="172">
        <v>19</v>
      </c>
      <c r="G431" s="172">
        <v>19.25</v>
      </c>
      <c r="H431" s="172">
        <v>19.25</v>
      </c>
      <c r="I431" s="172">
        <v>25</v>
      </c>
    </row>
    <row r="432" spans="2:9" hidden="1" x14ac:dyDescent="0.3">
      <c r="B432" s="172" t="s">
        <v>179</v>
      </c>
      <c r="C432" s="172" t="s">
        <v>79</v>
      </c>
      <c r="D432" s="172" t="s">
        <v>218</v>
      </c>
      <c r="E432" s="172">
        <v>8.0546955812029798E-4</v>
      </c>
      <c r="F432" s="172">
        <v>19</v>
      </c>
      <c r="G432" s="172">
        <v>19.25</v>
      </c>
      <c r="H432" s="172">
        <v>19.25</v>
      </c>
      <c r="I432" s="172">
        <v>21.5</v>
      </c>
    </row>
    <row r="433" spans="2:9" hidden="1" x14ac:dyDescent="0.3">
      <c r="B433" s="172" t="s">
        <v>179</v>
      </c>
      <c r="C433" s="172" t="s">
        <v>80</v>
      </c>
      <c r="D433" s="172" t="s">
        <v>218</v>
      </c>
      <c r="E433" s="172">
        <v>8.0196752019454597E-4</v>
      </c>
      <c r="F433" s="172">
        <v>25</v>
      </c>
      <c r="G433" s="172">
        <v>19.25</v>
      </c>
      <c r="H433" s="172">
        <v>-0.25</v>
      </c>
      <c r="I433" s="172">
        <v>21.5</v>
      </c>
    </row>
    <row r="434" spans="2:9" hidden="1" x14ac:dyDescent="0.3">
      <c r="B434" s="172" t="s">
        <v>179</v>
      </c>
      <c r="C434" s="172" t="s">
        <v>81</v>
      </c>
      <c r="D434" s="172" t="s">
        <v>221</v>
      </c>
      <c r="E434" s="172">
        <v>7.7697490310012999E-4</v>
      </c>
      <c r="F434" s="172">
        <v>39</v>
      </c>
      <c r="G434" s="172">
        <v>0</v>
      </c>
      <c r="H434" s="172">
        <v>19</v>
      </c>
      <c r="I434" s="172">
        <v>21.5</v>
      </c>
    </row>
    <row r="435" spans="2:9" x14ac:dyDescent="0.3">
      <c r="B435" s="172" t="s">
        <v>179</v>
      </c>
      <c r="C435" s="172" t="s">
        <v>82</v>
      </c>
      <c r="D435" s="172" t="s">
        <v>221</v>
      </c>
      <c r="E435" s="172">
        <v>9.33478080525297E-4</v>
      </c>
      <c r="F435" s="172">
        <v>39</v>
      </c>
      <c r="G435" s="172">
        <v>0</v>
      </c>
      <c r="H435" s="172">
        <v>19</v>
      </c>
      <c r="I435" s="172">
        <v>21.5</v>
      </c>
    </row>
    <row r="436" spans="2:9" hidden="1" x14ac:dyDescent="0.3">
      <c r="B436" s="172" t="s">
        <v>179</v>
      </c>
      <c r="C436" s="172" t="s">
        <v>246</v>
      </c>
      <c r="D436" s="172" t="s">
        <v>218</v>
      </c>
      <c r="E436" s="172">
        <v>7.4417001224867595E-5</v>
      </c>
      <c r="F436" s="172">
        <v>19</v>
      </c>
      <c r="G436" s="172">
        <v>19.25</v>
      </c>
      <c r="H436" s="172">
        <v>19.25</v>
      </c>
      <c r="I436" s="172">
        <v>21.5</v>
      </c>
    </row>
    <row r="437" spans="2:9" hidden="1" x14ac:dyDescent="0.3">
      <c r="B437" s="172" t="s">
        <v>179</v>
      </c>
      <c r="C437" s="172" t="s">
        <v>246</v>
      </c>
      <c r="D437" s="172" t="s">
        <v>221</v>
      </c>
      <c r="E437" s="172">
        <v>8.0101982938821395E-6</v>
      </c>
      <c r="F437" s="172">
        <v>39</v>
      </c>
      <c r="G437" s="172">
        <v>0</v>
      </c>
      <c r="H437" s="172">
        <v>19</v>
      </c>
      <c r="I437" s="172">
        <v>21.5</v>
      </c>
    </row>
    <row r="438" spans="2:9" hidden="1" x14ac:dyDescent="0.3">
      <c r="B438" s="172" t="s">
        <v>39</v>
      </c>
      <c r="C438" s="172" t="s">
        <v>79</v>
      </c>
      <c r="D438" s="172" t="s">
        <v>218</v>
      </c>
      <c r="E438" s="172">
        <v>8.7974432481817096E-4</v>
      </c>
      <c r="F438" s="172">
        <v>19</v>
      </c>
      <c r="G438" s="172">
        <v>19.25</v>
      </c>
      <c r="H438" s="172">
        <v>19.25</v>
      </c>
      <c r="I438" s="172">
        <v>18</v>
      </c>
    </row>
    <row r="439" spans="2:9" hidden="1" x14ac:dyDescent="0.3">
      <c r="B439" s="172" t="s">
        <v>39</v>
      </c>
      <c r="C439" s="172" t="s">
        <v>80</v>
      </c>
      <c r="D439" s="172" t="s">
        <v>218</v>
      </c>
      <c r="E439" s="172">
        <v>8.7514481525257498E-4</v>
      </c>
      <c r="F439" s="172">
        <v>25</v>
      </c>
      <c r="G439" s="172">
        <v>19.25</v>
      </c>
      <c r="H439" s="172">
        <v>-0.25</v>
      </c>
      <c r="I439" s="172">
        <v>18</v>
      </c>
    </row>
    <row r="440" spans="2:9" hidden="1" x14ac:dyDescent="0.3">
      <c r="B440" s="172" t="s">
        <v>39</v>
      </c>
      <c r="C440" s="172" t="s">
        <v>81</v>
      </c>
      <c r="D440" s="172" t="s">
        <v>221</v>
      </c>
      <c r="E440" s="172">
        <v>8.6374736897972296E-4</v>
      </c>
      <c r="F440" s="172">
        <v>39</v>
      </c>
      <c r="G440" s="172">
        <v>0</v>
      </c>
      <c r="H440" s="172">
        <v>19</v>
      </c>
      <c r="I440" s="172">
        <v>18</v>
      </c>
    </row>
    <row r="441" spans="2:9" x14ac:dyDescent="0.3">
      <c r="B441" s="172" t="s">
        <v>39</v>
      </c>
      <c r="C441" s="172" t="s">
        <v>82</v>
      </c>
      <c r="D441" s="172" t="s">
        <v>221</v>
      </c>
      <c r="E441" s="172">
        <v>1.04079122789236E-3</v>
      </c>
      <c r="F441" s="172">
        <v>39</v>
      </c>
      <c r="G441" s="172">
        <v>0</v>
      </c>
      <c r="H441" s="172">
        <v>19</v>
      </c>
      <c r="I441" s="172">
        <v>18</v>
      </c>
    </row>
    <row r="442" spans="2:9" hidden="1" x14ac:dyDescent="0.3">
      <c r="B442" s="172" t="s">
        <v>39</v>
      </c>
      <c r="C442" s="172" t="s">
        <v>246</v>
      </c>
      <c r="D442" s="172" t="s">
        <v>218</v>
      </c>
      <c r="E442" s="172">
        <v>6.7049859608084896E-5</v>
      </c>
      <c r="F442" s="172">
        <v>19</v>
      </c>
      <c r="G442" s="172">
        <v>19.25</v>
      </c>
      <c r="H442" s="172">
        <v>19.25</v>
      </c>
      <c r="I442" s="172">
        <v>18</v>
      </c>
    </row>
    <row r="443" spans="2:9" hidden="1" x14ac:dyDescent="0.3">
      <c r="B443" s="172" t="s">
        <v>26</v>
      </c>
      <c r="C443" s="172" t="s">
        <v>79</v>
      </c>
      <c r="D443" s="172" t="s">
        <v>218</v>
      </c>
      <c r="E443" s="172">
        <v>9.3542470737912199E-4</v>
      </c>
      <c r="F443" s="172">
        <v>19</v>
      </c>
      <c r="G443" s="172">
        <v>19.25</v>
      </c>
      <c r="H443" s="172">
        <v>19.25</v>
      </c>
      <c r="I443" s="172">
        <v>14.5</v>
      </c>
    </row>
    <row r="444" spans="2:9" hidden="1" x14ac:dyDescent="0.3">
      <c r="B444" s="172" t="s">
        <v>26</v>
      </c>
      <c r="C444" s="172" t="s">
        <v>80</v>
      </c>
      <c r="D444" s="172" t="s">
        <v>218</v>
      </c>
      <c r="E444" s="172">
        <v>9.3001179763504505E-4</v>
      </c>
      <c r="F444" s="172">
        <v>25</v>
      </c>
      <c r="G444" s="172">
        <v>19.25</v>
      </c>
      <c r="H444" s="172">
        <v>-0.25</v>
      </c>
      <c r="I444" s="172">
        <v>14.5</v>
      </c>
    </row>
    <row r="445" spans="2:9" hidden="1" x14ac:dyDescent="0.3">
      <c r="B445" s="172" t="s">
        <v>26</v>
      </c>
      <c r="C445" s="172" t="s">
        <v>81</v>
      </c>
      <c r="D445" s="172" t="s">
        <v>221</v>
      </c>
      <c r="E445" s="172">
        <v>9.3423090730441203E-4</v>
      </c>
      <c r="F445" s="172">
        <v>39</v>
      </c>
      <c r="G445" s="172">
        <v>0</v>
      </c>
      <c r="H445" s="172">
        <v>19</v>
      </c>
      <c r="I445" s="172">
        <v>14.5</v>
      </c>
    </row>
    <row r="446" spans="2:9" x14ac:dyDescent="0.3">
      <c r="B446" s="172" t="s">
        <v>26</v>
      </c>
      <c r="C446" s="172" t="s">
        <v>82</v>
      </c>
      <c r="D446" s="172" t="s">
        <v>221</v>
      </c>
      <c r="E446" s="172">
        <v>1.12883338797331E-3</v>
      </c>
      <c r="F446" s="172">
        <v>39</v>
      </c>
      <c r="G446" s="172">
        <v>0</v>
      </c>
      <c r="H446" s="172">
        <v>19</v>
      </c>
      <c r="I446" s="172">
        <v>14.5</v>
      </c>
    </row>
    <row r="447" spans="2:9" hidden="1" x14ac:dyDescent="0.3">
      <c r="B447" s="172" t="s">
        <v>26</v>
      </c>
      <c r="C447" s="172" t="s">
        <v>246</v>
      </c>
      <c r="D447" s="172" t="s">
        <v>218</v>
      </c>
      <c r="E447" s="172">
        <v>5.8262910424716199E-5</v>
      </c>
      <c r="F447" s="172">
        <v>19</v>
      </c>
      <c r="G447" s="172">
        <v>19.25</v>
      </c>
      <c r="H447" s="172">
        <v>19.25</v>
      </c>
      <c r="I447" s="172">
        <v>14.5</v>
      </c>
    </row>
    <row r="448" spans="2:9" hidden="1" x14ac:dyDescent="0.3">
      <c r="B448" s="172" t="s">
        <v>25</v>
      </c>
      <c r="C448" s="172" t="s">
        <v>79</v>
      </c>
      <c r="D448" s="172" t="s">
        <v>218</v>
      </c>
      <c r="E448" s="172">
        <v>9.6886379985662498E-4</v>
      </c>
      <c r="F448" s="172">
        <v>19</v>
      </c>
      <c r="G448" s="172">
        <v>19.25</v>
      </c>
      <c r="H448" s="172">
        <v>19.25</v>
      </c>
      <c r="I448" s="172">
        <v>11</v>
      </c>
    </row>
    <row r="449" spans="2:9" hidden="1" x14ac:dyDescent="0.3">
      <c r="B449" s="172" t="s">
        <v>25</v>
      </c>
      <c r="C449" s="172" t="s">
        <v>80</v>
      </c>
      <c r="D449" s="172" t="s">
        <v>218</v>
      </c>
      <c r="E449" s="172">
        <v>9.6324662583953304E-4</v>
      </c>
      <c r="F449" s="172">
        <v>25</v>
      </c>
      <c r="G449" s="172">
        <v>19.25</v>
      </c>
      <c r="H449" s="172">
        <v>-0.25</v>
      </c>
      <c r="I449" s="172">
        <v>11</v>
      </c>
    </row>
    <row r="450" spans="2:9" hidden="1" x14ac:dyDescent="0.3">
      <c r="B450" s="172" t="s">
        <v>25</v>
      </c>
      <c r="C450" s="172" t="s">
        <v>81</v>
      </c>
      <c r="D450" s="172" t="s">
        <v>221</v>
      </c>
      <c r="E450" s="172">
        <v>9.8411326668710599E-4</v>
      </c>
      <c r="F450" s="172">
        <v>39</v>
      </c>
      <c r="G450" s="172">
        <v>0</v>
      </c>
      <c r="H450" s="172">
        <v>19</v>
      </c>
      <c r="I450" s="172">
        <v>11</v>
      </c>
    </row>
    <row r="451" spans="2:9" x14ac:dyDescent="0.3">
      <c r="B451" s="172" t="s">
        <v>25</v>
      </c>
      <c r="C451" s="172" t="s">
        <v>82</v>
      </c>
      <c r="D451" s="172" t="s">
        <v>221</v>
      </c>
      <c r="E451" s="172">
        <v>1.19255778888021E-3</v>
      </c>
      <c r="F451" s="172">
        <v>39</v>
      </c>
      <c r="G451" s="172">
        <v>0</v>
      </c>
      <c r="H451" s="172">
        <v>19</v>
      </c>
      <c r="I451" s="172">
        <v>11</v>
      </c>
    </row>
    <row r="452" spans="2:9" hidden="1" x14ac:dyDescent="0.3">
      <c r="B452" s="172" t="s">
        <v>25</v>
      </c>
      <c r="C452" s="172" t="s">
        <v>246</v>
      </c>
      <c r="D452" s="172" t="s">
        <v>218</v>
      </c>
      <c r="E452" s="172">
        <v>4.7926047675800402E-5</v>
      </c>
      <c r="F452" s="172">
        <v>19</v>
      </c>
      <c r="G452" s="172">
        <v>19.25</v>
      </c>
      <c r="H452" s="172">
        <v>19.25</v>
      </c>
      <c r="I452" s="172">
        <v>11</v>
      </c>
    </row>
    <row r="453" spans="2:9" hidden="1" x14ac:dyDescent="0.3">
      <c r="B453" s="172" t="s">
        <v>25</v>
      </c>
      <c r="C453" s="172" t="s">
        <v>246</v>
      </c>
      <c r="D453" s="172" t="s">
        <v>221</v>
      </c>
      <c r="E453" s="172">
        <v>1.7723228867367399E-5</v>
      </c>
      <c r="F453" s="172">
        <v>25</v>
      </c>
      <c r="G453" s="172">
        <v>19.25</v>
      </c>
      <c r="H453" s="172">
        <v>-0.25</v>
      </c>
      <c r="I453" s="172">
        <v>11</v>
      </c>
    </row>
    <row r="454" spans="2:9" hidden="1" x14ac:dyDescent="0.3">
      <c r="B454" s="172" t="s">
        <v>24</v>
      </c>
      <c r="C454" s="172" t="s">
        <v>79</v>
      </c>
      <c r="D454" s="172" t="s">
        <v>218</v>
      </c>
      <c r="E454" s="172">
        <v>9.6584353821229903E-4</v>
      </c>
      <c r="F454" s="172">
        <v>19</v>
      </c>
      <c r="G454" s="172">
        <v>19.25</v>
      </c>
      <c r="H454" s="172">
        <v>19.25</v>
      </c>
      <c r="I454" s="172">
        <v>7.5</v>
      </c>
    </row>
    <row r="455" spans="2:9" hidden="1" x14ac:dyDescent="0.3">
      <c r="B455" s="172" t="s">
        <v>24</v>
      </c>
      <c r="C455" s="172" t="s">
        <v>80</v>
      </c>
      <c r="D455" s="172" t="s">
        <v>218</v>
      </c>
      <c r="E455" s="172">
        <v>9.6050449783538602E-4</v>
      </c>
      <c r="F455" s="172">
        <v>25</v>
      </c>
      <c r="G455" s="172">
        <v>19.25</v>
      </c>
      <c r="H455" s="172">
        <v>-0.25</v>
      </c>
      <c r="I455" s="172">
        <v>7.5</v>
      </c>
    </row>
    <row r="456" spans="2:9" hidden="1" x14ac:dyDescent="0.3">
      <c r="B456" s="172" t="s">
        <v>24</v>
      </c>
      <c r="C456" s="172" t="s">
        <v>81</v>
      </c>
      <c r="D456" s="172" t="s">
        <v>221</v>
      </c>
      <c r="E456" s="172">
        <v>9.9033795744713697E-4</v>
      </c>
      <c r="F456" s="172">
        <v>39</v>
      </c>
      <c r="G456" s="172">
        <v>0</v>
      </c>
      <c r="H456" s="172">
        <v>19</v>
      </c>
      <c r="I456" s="172">
        <v>7.5</v>
      </c>
    </row>
    <row r="457" spans="2:9" x14ac:dyDescent="0.3">
      <c r="B457" s="172" t="s">
        <v>24</v>
      </c>
      <c r="C457" s="172" t="s">
        <v>82</v>
      </c>
      <c r="D457" s="172" t="s">
        <v>221</v>
      </c>
      <c r="E457" s="172">
        <v>1.2049939918354899E-3</v>
      </c>
      <c r="F457" s="172">
        <v>39</v>
      </c>
      <c r="G457" s="172">
        <v>0</v>
      </c>
      <c r="H457" s="172">
        <v>19</v>
      </c>
      <c r="I457" s="172">
        <v>7.5</v>
      </c>
    </row>
    <row r="458" spans="2:9" hidden="1" x14ac:dyDescent="0.3">
      <c r="B458" s="172" t="s">
        <v>24</v>
      </c>
      <c r="C458" s="172" t="s">
        <v>246</v>
      </c>
      <c r="D458" s="172" t="s">
        <v>218</v>
      </c>
      <c r="E458" s="172">
        <v>3.4384352557766098E-5</v>
      </c>
      <c r="F458" s="172">
        <v>19</v>
      </c>
      <c r="G458" s="172">
        <v>19.25</v>
      </c>
      <c r="H458" s="172">
        <v>19.25</v>
      </c>
      <c r="I458" s="172">
        <v>7.5</v>
      </c>
    </row>
    <row r="459" spans="2:9" hidden="1" x14ac:dyDescent="0.3">
      <c r="B459" s="172" t="s">
        <v>24</v>
      </c>
      <c r="C459" s="172" t="s">
        <v>246</v>
      </c>
      <c r="D459" s="172" t="s">
        <v>221</v>
      </c>
      <c r="E459" s="172">
        <v>3.0703611239521997E-5</v>
      </c>
      <c r="F459" s="172">
        <v>25</v>
      </c>
      <c r="G459" s="172">
        <v>19.25</v>
      </c>
      <c r="H459" s="172">
        <v>-0.25</v>
      </c>
      <c r="I459" s="172">
        <v>7.5</v>
      </c>
    </row>
    <row r="460" spans="2:9" hidden="1" x14ac:dyDescent="0.3">
      <c r="B460" s="172" t="s">
        <v>22</v>
      </c>
      <c r="C460" s="172" t="s">
        <v>79</v>
      </c>
      <c r="D460" s="172" t="s">
        <v>218</v>
      </c>
      <c r="E460" s="172">
        <v>7.2486934016209603E-4</v>
      </c>
      <c r="F460" s="172">
        <v>14</v>
      </c>
      <c r="G460" s="172">
        <v>19</v>
      </c>
      <c r="H460" s="172">
        <v>19</v>
      </c>
      <c r="I460" s="172">
        <v>4</v>
      </c>
    </row>
    <row r="461" spans="2:9" hidden="1" x14ac:dyDescent="0.3">
      <c r="B461" s="172" t="s">
        <v>22</v>
      </c>
      <c r="C461" s="172" t="s">
        <v>80</v>
      </c>
      <c r="D461" s="172" t="s">
        <v>218</v>
      </c>
      <c r="E461" s="172">
        <v>7.1832012846562003E-4</v>
      </c>
      <c r="F461" s="172">
        <v>48</v>
      </c>
      <c r="G461" s="172">
        <v>19</v>
      </c>
      <c r="H461" s="172">
        <v>0</v>
      </c>
      <c r="I461" s="172">
        <v>4</v>
      </c>
    </row>
    <row r="462" spans="2:9" hidden="1" x14ac:dyDescent="0.3">
      <c r="B462" s="172" t="s">
        <v>22</v>
      </c>
      <c r="C462" s="172" t="s">
        <v>81</v>
      </c>
      <c r="D462" s="172" t="s">
        <v>221</v>
      </c>
      <c r="E462" s="172">
        <v>7.08236990036457E-4</v>
      </c>
      <c r="F462" s="172">
        <v>39</v>
      </c>
      <c r="G462" s="172">
        <v>0</v>
      </c>
      <c r="H462" s="172">
        <v>19</v>
      </c>
      <c r="I462" s="172">
        <v>4</v>
      </c>
    </row>
    <row r="463" spans="2:9" x14ac:dyDescent="0.3">
      <c r="B463" s="172" t="s">
        <v>22</v>
      </c>
      <c r="C463" s="172" t="s">
        <v>82</v>
      </c>
      <c r="D463" s="172" t="s">
        <v>221</v>
      </c>
      <c r="E463" s="172">
        <v>8.7526327259866601E-4</v>
      </c>
      <c r="F463" s="172">
        <v>39</v>
      </c>
      <c r="G463" s="172">
        <v>0</v>
      </c>
      <c r="H463" s="172">
        <v>19</v>
      </c>
      <c r="I463" s="172">
        <v>4</v>
      </c>
    </row>
    <row r="464" spans="2:9" hidden="1" x14ac:dyDescent="0.3">
      <c r="B464" s="172" t="s">
        <v>22</v>
      </c>
      <c r="C464" s="172" t="s">
        <v>246</v>
      </c>
      <c r="D464" s="172" t="s">
        <v>221</v>
      </c>
      <c r="E464" s="172">
        <v>4.7135729453918698E-5</v>
      </c>
      <c r="F464" s="172">
        <v>50</v>
      </c>
      <c r="G464" s="172">
        <v>19</v>
      </c>
      <c r="H464" s="172">
        <v>11</v>
      </c>
      <c r="I464" s="172">
        <v>4</v>
      </c>
    </row>
    <row r="465" spans="2:9" hidden="1" x14ac:dyDescent="0.3">
      <c r="B465" s="172"/>
      <c r="C465" s="172"/>
      <c r="D465" s="172"/>
      <c r="E465" s="172"/>
      <c r="F465" s="172"/>
      <c r="G465" s="172"/>
      <c r="H465" s="172"/>
      <c r="I465" s="172"/>
    </row>
    <row r="466" spans="2:9" hidden="1" x14ac:dyDescent="0.3">
      <c r="B466" s="172"/>
      <c r="C466" s="172"/>
      <c r="D466" s="172"/>
      <c r="E466" s="172"/>
      <c r="F466" s="172"/>
      <c r="G466" s="172"/>
      <c r="H466" s="172"/>
      <c r="I466" s="172"/>
    </row>
    <row r="467" spans="2:9" hidden="1" x14ac:dyDescent="0.3">
      <c r="B467" s="172"/>
      <c r="C467" s="172"/>
      <c r="D467" s="172"/>
      <c r="E467" s="172"/>
      <c r="F467" s="172"/>
      <c r="G467" s="172"/>
      <c r="H467" s="172"/>
      <c r="I467" s="172"/>
    </row>
    <row r="468" spans="2:9" hidden="1" x14ac:dyDescent="0.3">
      <c r="B468" s="172"/>
      <c r="C468" s="172"/>
      <c r="D468" s="172"/>
      <c r="E468" s="172"/>
      <c r="F468" s="172"/>
      <c r="G468" s="172"/>
      <c r="H468" s="172"/>
      <c r="I468" s="172"/>
    </row>
    <row r="469" spans="2:9" hidden="1" x14ac:dyDescent="0.3">
      <c r="B469" s="172"/>
      <c r="C469" s="172"/>
      <c r="D469" s="172"/>
      <c r="E469" s="172"/>
      <c r="F469" s="172"/>
      <c r="G469" s="172"/>
      <c r="H469" s="172"/>
      <c r="I469" s="172"/>
    </row>
    <row r="470" spans="2:9" hidden="1" x14ac:dyDescent="0.3">
      <c r="B470" s="172"/>
      <c r="C470" s="172"/>
      <c r="D470" s="172"/>
      <c r="E470" s="172"/>
      <c r="F470" s="172"/>
      <c r="G470" s="172"/>
      <c r="H470" s="172"/>
      <c r="I470" s="172"/>
    </row>
    <row r="471" spans="2:9" hidden="1" x14ac:dyDescent="0.3">
      <c r="B471" s="172"/>
      <c r="C471" s="172"/>
      <c r="D471" s="172"/>
      <c r="E471" s="172"/>
      <c r="F471" s="172"/>
      <c r="G471" s="172"/>
      <c r="H471" s="172"/>
      <c r="I471" s="172"/>
    </row>
    <row r="472" spans="2:9" hidden="1" x14ac:dyDescent="0.3">
      <c r="B472" s="172"/>
      <c r="C472" s="172"/>
      <c r="D472" s="172"/>
      <c r="E472" s="172"/>
      <c r="F472" s="172"/>
      <c r="G472" s="172"/>
      <c r="H472" s="172"/>
      <c r="I472" s="172"/>
    </row>
    <row r="473" spans="2:9" hidden="1" x14ac:dyDescent="0.3">
      <c r="B473" s="172"/>
      <c r="C473" s="172"/>
      <c r="D473" s="172"/>
      <c r="E473" s="172"/>
      <c r="F473" s="172"/>
      <c r="G473" s="172"/>
      <c r="H473" s="172"/>
      <c r="I473" s="172"/>
    </row>
    <row r="474" spans="2:9" hidden="1" x14ac:dyDescent="0.3">
      <c r="B474" s="172"/>
      <c r="C474" s="172"/>
      <c r="D474" s="172"/>
      <c r="E474" s="172"/>
      <c r="F474" s="172"/>
      <c r="G474" s="172"/>
      <c r="H474" s="172"/>
      <c r="I474" s="172"/>
    </row>
    <row r="475" spans="2:9" hidden="1" x14ac:dyDescent="0.3">
      <c r="B475" s="172"/>
      <c r="C475" s="172"/>
      <c r="D475" s="172"/>
      <c r="E475" s="172"/>
      <c r="F475" s="172"/>
      <c r="G475" s="172"/>
      <c r="H475" s="172"/>
      <c r="I475" s="172"/>
    </row>
    <row r="476" spans="2:9" hidden="1" x14ac:dyDescent="0.3">
      <c r="B476" s="172"/>
      <c r="C476" s="172"/>
      <c r="D476" s="172"/>
      <c r="E476" s="172"/>
      <c r="F476" s="172"/>
      <c r="G476" s="172"/>
      <c r="H476" s="172"/>
      <c r="I476" s="172"/>
    </row>
    <row r="477" spans="2:9" hidden="1" x14ac:dyDescent="0.3">
      <c r="B477" s="172"/>
      <c r="C477" s="172"/>
      <c r="D477" s="172"/>
      <c r="E477" s="172"/>
      <c r="F477" s="172"/>
      <c r="G477" s="172"/>
      <c r="H477" s="172"/>
      <c r="I477" s="172"/>
    </row>
    <row r="478" spans="2:9" hidden="1" x14ac:dyDescent="0.3">
      <c r="B478" s="172"/>
      <c r="C478" s="172"/>
      <c r="D478" s="172"/>
      <c r="E478" s="172"/>
      <c r="F478" s="172"/>
      <c r="G478" s="172"/>
      <c r="H478" s="172"/>
      <c r="I478" s="172"/>
    </row>
    <row r="479" spans="2:9" hidden="1" x14ac:dyDescent="0.3">
      <c r="B479" s="172"/>
      <c r="C479" s="172"/>
      <c r="D479" s="172"/>
      <c r="E479" s="172"/>
      <c r="F479" s="172"/>
      <c r="G479" s="172"/>
      <c r="H479" s="172"/>
      <c r="I479" s="172"/>
    </row>
    <row r="480" spans="2:9" hidden="1" x14ac:dyDescent="0.3">
      <c r="B480" s="172"/>
      <c r="C480" s="172"/>
      <c r="D480" s="172"/>
      <c r="E480" s="172"/>
      <c r="F480" s="172"/>
      <c r="G480" s="172"/>
      <c r="H480" s="172"/>
      <c r="I480" s="172"/>
    </row>
    <row r="481" spans="2:9" hidden="1" x14ac:dyDescent="0.3">
      <c r="B481" s="172"/>
      <c r="C481" s="172"/>
      <c r="D481" s="172"/>
      <c r="E481" s="172"/>
      <c r="F481" s="172"/>
      <c r="G481" s="172"/>
      <c r="H481" s="172"/>
      <c r="I481" s="172"/>
    </row>
    <row r="482" spans="2:9" hidden="1" x14ac:dyDescent="0.3">
      <c r="B482" s="172"/>
      <c r="C482" s="172"/>
      <c r="D482" s="172"/>
      <c r="E482" s="172"/>
      <c r="F482" s="172"/>
      <c r="G482" s="172"/>
      <c r="H482" s="172"/>
      <c r="I482" s="172"/>
    </row>
    <row r="483" spans="2:9" hidden="1" x14ac:dyDescent="0.3">
      <c r="B483" s="172"/>
      <c r="C483" s="172"/>
      <c r="D483" s="172"/>
      <c r="E483" s="172"/>
      <c r="F483" s="172"/>
      <c r="G483" s="172"/>
      <c r="H483" s="172"/>
      <c r="I483" s="172"/>
    </row>
    <row r="484" spans="2:9" hidden="1" x14ac:dyDescent="0.3">
      <c r="B484" s="172"/>
      <c r="C484" s="172"/>
      <c r="D484" s="172"/>
      <c r="E484" s="172"/>
      <c r="F484" s="172"/>
      <c r="G484" s="172"/>
      <c r="H484" s="172"/>
      <c r="I484" s="172"/>
    </row>
    <row r="485" spans="2:9" hidden="1" x14ac:dyDescent="0.3">
      <c r="B485" s="172"/>
      <c r="C485" s="172"/>
      <c r="D485" s="172"/>
      <c r="E485" s="172"/>
      <c r="F485" s="172"/>
      <c r="G485" s="172"/>
      <c r="H485" s="172"/>
      <c r="I485" s="172"/>
    </row>
    <row r="486" spans="2:9" hidden="1" x14ac:dyDescent="0.3">
      <c r="B486" s="172"/>
      <c r="C486" s="172"/>
      <c r="D486" s="172"/>
      <c r="E486" s="172"/>
      <c r="F486" s="172"/>
      <c r="G486" s="172"/>
      <c r="H486" s="172"/>
      <c r="I486" s="172"/>
    </row>
    <row r="487" spans="2:9" hidden="1" x14ac:dyDescent="0.3">
      <c r="B487" s="172"/>
      <c r="C487" s="172"/>
      <c r="D487" s="172"/>
      <c r="E487" s="172"/>
      <c r="F487" s="172"/>
      <c r="G487" s="172"/>
      <c r="H487" s="172"/>
      <c r="I487" s="172"/>
    </row>
    <row r="488" spans="2:9" hidden="1" x14ac:dyDescent="0.3">
      <c r="B488" s="172"/>
      <c r="C488" s="172"/>
      <c r="D488" s="172"/>
      <c r="E488" s="172"/>
      <c r="F488" s="172"/>
      <c r="G488" s="172"/>
      <c r="H488" s="172"/>
      <c r="I488" s="172"/>
    </row>
    <row r="489" spans="2:9" hidden="1" x14ac:dyDescent="0.3">
      <c r="B489" s="172"/>
      <c r="C489" s="172"/>
      <c r="D489" s="172"/>
      <c r="E489" s="172"/>
      <c r="F489" s="172"/>
      <c r="G489" s="172"/>
      <c r="H489" s="172"/>
      <c r="I489" s="172"/>
    </row>
    <row r="490" spans="2:9" hidden="1" x14ac:dyDescent="0.3">
      <c r="B490" s="172"/>
      <c r="C490" s="172"/>
      <c r="D490" s="172"/>
      <c r="E490" s="172"/>
      <c r="F490" s="172"/>
      <c r="G490" s="172"/>
      <c r="H490" s="172"/>
      <c r="I490" s="172"/>
    </row>
    <row r="491" spans="2:9" hidden="1" x14ac:dyDescent="0.3">
      <c r="B491" s="172"/>
      <c r="C491" s="172"/>
      <c r="D491" s="172"/>
      <c r="E491" s="172"/>
      <c r="F491" s="172"/>
      <c r="G491" s="172"/>
      <c r="H491" s="172"/>
      <c r="I491" s="172"/>
    </row>
    <row r="492" spans="2:9" hidden="1" x14ac:dyDescent="0.3">
      <c r="B492" s="172"/>
      <c r="C492" s="172"/>
      <c r="D492" s="172"/>
      <c r="E492" s="172"/>
      <c r="F492" s="172"/>
      <c r="G492" s="172"/>
      <c r="H492" s="172"/>
      <c r="I492" s="172"/>
    </row>
    <row r="493" spans="2:9" hidden="1" x14ac:dyDescent="0.3">
      <c r="B493" s="172"/>
      <c r="C493" s="172"/>
      <c r="D493" s="172"/>
      <c r="E493" s="172"/>
      <c r="F493" s="172"/>
      <c r="G493" s="172"/>
      <c r="H493" s="172"/>
      <c r="I493" s="172"/>
    </row>
    <row r="494" spans="2:9" hidden="1" x14ac:dyDescent="0.3">
      <c r="B494" s="172"/>
      <c r="C494" s="172"/>
      <c r="D494" s="172"/>
      <c r="E494" s="172"/>
      <c r="F494" s="172"/>
      <c r="G494" s="172"/>
      <c r="H494" s="172"/>
      <c r="I494" s="172"/>
    </row>
    <row r="495" spans="2:9" hidden="1" x14ac:dyDescent="0.3">
      <c r="B495" s="172"/>
      <c r="C495" s="172"/>
      <c r="D495" s="172"/>
      <c r="E495" s="172"/>
      <c r="F495" s="172"/>
      <c r="G495" s="172"/>
      <c r="H495" s="172"/>
      <c r="I495" s="172"/>
    </row>
    <row r="496" spans="2:9" hidden="1" x14ac:dyDescent="0.3">
      <c r="B496" s="172"/>
      <c r="C496" s="172"/>
      <c r="D496" s="172"/>
      <c r="E496" s="172"/>
      <c r="F496" s="172"/>
      <c r="G496" s="172"/>
      <c r="H496" s="172"/>
      <c r="I496" s="172"/>
    </row>
    <row r="497" spans="2:9" hidden="1" x14ac:dyDescent="0.3">
      <c r="B497" s="172"/>
      <c r="C497" s="172"/>
      <c r="D497" s="172"/>
      <c r="E497" s="172"/>
      <c r="F497" s="172"/>
      <c r="G497" s="172"/>
      <c r="H497" s="172"/>
      <c r="I497" s="172"/>
    </row>
    <row r="498" spans="2:9" hidden="1" x14ac:dyDescent="0.3">
      <c r="B498" s="172"/>
      <c r="C498" s="172"/>
      <c r="D498" s="172"/>
      <c r="E498" s="172"/>
      <c r="F498" s="172"/>
      <c r="G498" s="172"/>
      <c r="H498" s="172"/>
      <c r="I498" s="172"/>
    </row>
    <row r="499" spans="2:9" hidden="1" x14ac:dyDescent="0.3">
      <c r="B499" s="172"/>
      <c r="C499" s="172"/>
      <c r="D499" s="172"/>
      <c r="E499" s="172"/>
      <c r="F499" s="172"/>
      <c r="G499" s="172"/>
      <c r="H499" s="172"/>
      <c r="I499" s="172"/>
    </row>
    <row r="500" spans="2:9" hidden="1" x14ac:dyDescent="0.3">
      <c r="B500" s="172"/>
      <c r="C500" s="172"/>
      <c r="D500" s="172"/>
      <c r="E500" s="172"/>
      <c r="F500" s="172"/>
      <c r="G500" s="172"/>
      <c r="H500" s="172"/>
      <c r="I500" s="172"/>
    </row>
    <row r="501" spans="2:9" hidden="1" x14ac:dyDescent="0.3">
      <c r="B501" s="172"/>
      <c r="C501" s="172"/>
      <c r="D501" s="172"/>
      <c r="E501" s="172"/>
      <c r="F501" s="172"/>
      <c r="G501" s="172"/>
      <c r="H501" s="172"/>
      <c r="I501" s="172"/>
    </row>
    <row r="502" spans="2:9" hidden="1" x14ac:dyDescent="0.3">
      <c r="B502" s="172"/>
      <c r="C502" s="172"/>
      <c r="D502" s="172"/>
      <c r="E502" s="172"/>
      <c r="F502" s="172"/>
      <c r="G502" s="172"/>
      <c r="H502" s="172"/>
      <c r="I502" s="172"/>
    </row>
    <row r="503" spans="2:9" hidden="1" x14ac:dyDescent="0.3">
      <c r="B503" s="172"/>
      <c r="C503" s="172"/>
      <c r="D503" s="172"/>
      <c r="E503" s="172"/>
      <c r="F503" s="172"/>
      <c r="G503" s="172"/>
      <c r="H503" s="172"/>
      <c r="I503" s="172"/>
    </row>
    <row r="504" spans="2:9" hidden="1" x14ac:dyDescent="0.3">
      <c r="B504" s="172"/>
      <c r="C504" s="172"/>
      <c r="D504" s="172"/>
      <c r="E504" s="172"/>
      <c r="F504" s="172"/>
      <c r="G504" s="172"/>
      <c r="H504" s="172"/>
      <c r="I504" s="172"/>
    </row>
    <row r="505" spans="2:9" hidden="1" x14ac:dyDescent="0.3">
      <c r="B505" s="172"/>
      <c r="C505" s="172"/>
      <c r="D505" s="172"/>
      <c r="E505" s="172"/>
      <c r="F505" s="172"/>
      <c r="G505" s="172"/>
      <c r="H505" s="172"/>
      <c r="I505" s="172"/>
    </row>
    <row r="506" spans="2:9" hidden="1" x14ac:dyDescent="0.3">
      <c r="B506" s="172"/>
      <c r="C506" s="172"/>
      <c r="D506" s="172"/>
      <c r="E506" s="172"/>
      <c r="F506" s="172"/>
      <c r="G506" s="172"/>
      <c r="H506" s="172"/>
      <c r="I506" s="172"/>
    </row>
    <row r="507" spans="2:9" hidden="1" x14ac:dyDescent="0.3">
      <c r="B507" s="172"/>
      <c r="C507" s="172"/>
      <c r="D507" s="172"/>
      <c r="E507" s="172"/>
      <c r="F507" s="172"/>
      <c r="G507" s="172"/>
      <c r="H507" s="172"/>
      <c r="I507" s="172"/>
    </row>
    <row r="508" spans="2:9" hidden="1" x14ac:dyDescent="0.3">
      <c r="B508" s="172"/>
      <c r="C508" s="172"/>
      <c r="D508" s="172"/>
      <c r="E508" s="172"/>
      <c r="F508" s="172"/>
      <c r="G508" s="172"/>
      <c r="H508" s="172"/>
      <c r="I508" s="172"/>
    </row>
    <row r="509" spans="2:9" hidden="1" x14ac:dyDescent="0.3">
      <c r="B509" s="172"/>
      <c r="C509" s="172"/>
      <c r="D509" s="172"/>
      <c r="E509" s="172"/>
      <c r="F509" s="172"/>
      <c r="G509" s="172"/>
      <c r="H509" s="172"/>
      <c r="I509" s="172"/>
    </row>
    <row r="510" spans="2:9" hidden="1" x14ac:dyDescent="0.3">
      <c r="B510" s="172"/>
      <c r="C510" s="172"/>
      <c r="D510" s="172"/>
      <c r="E510" s="172"/>
      <c r="F510" s="172"/>
      <c r="G510" s="172"/>
      <c r="H510" s="172"/>
      <c r="I510" s="172"/>
    </row>
    <row r="511" spans="2:9" hidden="1" x14ac:dyDescent="0.3">
      <c r="B511" s="172"/>
      <c r="C511" s="172"/>
      <c r="D511" s="172"/>
      <c r="E511" s="172"/>
      <c r="F511" s="172"/>
      <c r="G511" s="172"/>
      <c r="H511" s="172"/>
      <c r="I511" s="172"/>
    </row>
    <row r="512" spans="2:9" hidden="1" x14ac:dyDescent="0.3">
      <c r="B512" s="172"/>
      <c r="C512" s="172"/>
      <c r="D512" s="172"/>
      <c r="E512" s="172"/>
      <c r="F512" s="172"/>
      <c r="G512" s="172"/>
      <c r="H512" s="172"/>
      <c r="I512" s="172"/>
    </row>
    <row r="513" spans="2:9" hidden="1" x14ac:dyDescent="0.3">
      <c r="B513" s="172"/>
      <c r="C513" s="172"/>
      <c r="D513" s="172"/>
      <c r="E513" s="172"/>
      <c r="F513" s="172"/>
      <c r="G513" s="172"/>
      <c r="H513" s="172"/>
      <c r="I513" s="172"/>
    </row>
    <row r="514" spans="2:9" hidden="1" x14ac:dyDescent="0.3">
      <c r="B514" s="172"/>
      <c r="C514" s="172"/>
      <c r="D514" s="172"/>
      <c r="E514" s="172"/>
      <c r="F514" s="172"/>
      <c r="G514" s="172"/>
      <c r="H514" s="172"/>
      <c r="I514" s="172"/>
    </row>
    <row r="515" spans="2:9" hidden="1" x14ac:dyDescent="0.3">
      <c r="B515" s="172"/>
      <c r="C515" s="172"/>
      <c r="D515" s="172"/>
      <c r="E515" s="172"/>
      <c r="F515" s="172"/>
      <c r="G515" s="172"/>
      <c r="H515" s="172"/>
      <c r="I515" s="172"/>
    </row>
    <row r="516" spans="2:9" hidden="1" x14ac:dyDescent="0.3">
      <c r="B516" s="172"/>
      <c r="C516" s="172"/>
      <c r="D516" s="172"/>
      <c r="E516" s="172"/>
      <c r="F516" s="172"/>
      <c r="G516" s="172"/>
      <c r="H516" s="172"/>
      <c r="I516" s="172"/>
    </row>
    <row r="517" spans="2:9" hidden="1" x14ac:dyDescent="0.3">
      <c r="B517" s="172"/>
      <c r="C517" s="172"/>
      <c r="D517" s="172"/>
      <c r="E517" s="172"/>
      <c r="F517" s="172"/>
      <c r="G517" s="172"/>
      <c r="H517" s="172"/>
      <c r="I517" s="172"/>
    </row>
    <row r="518" spans="2:9" hidden="1" x14ac:dyDescent="0.3">
      <c r="B518" s="172"/>
      <c r="C518" s="172"/>
      <c r="D518" s="172"/>
      <c r="E518" s="172"/>
      <c r="F518" s="172"/>
      <c r="G518" s="172"/>
      <c r="H518" s="172"/>
      <c r="I518" s="172"/>
    </row>
    <row r="519" spans="2:9" hidden="1" x14ac:dyDescent="0.3">
      <c r="B519" s="172"/>
      <c r="C519" s="172"/>
      <c r="D519" s="172"/>
      <c r="E519" s="172"/>
      <c r="F519" s="172"/>
      <c r="G519" s="172"/>
      <c r="H519" s="172"/>
      <c r="I519" s="172"/>
    </row>
    <row r="520" spans="2:9" hidden="1" x14ac:dyDescent="0.3">
      <c r="B520" s="172"/>
      <c r="C520" s="172"/>
      <c r="D520" s="172"/>
      <c r="E520" s="172"/>
      <c r="F520" s="172"/>
      <c r="G520" s="172"/>
      <c r="H520" s="172"/>
      <c r="I520" s="172"/>
    </row>
    <row r="521" spans="2:9" hidden="1" x14ac:dyDescent="0.3">
      <c r="B521" s="172"/>
      <c r="C521" s="172"/>
      <c r="D521" s="172"/>
      <c r="E521" s="172"/>
      <c r="F521" s="172"/>
      <c r="G521" s="172"/>
      <c r="H521" s="172"/>
      <c r="I521" s="172"/>
    </row>
    <row r="522" spans="2:9" hidden="1" x14ac:dyDescent="0.3">
      <c r="B522" s="172"/>
      <c r="C522" s="172"/>
      <c r="D522" s="172"/>
      <c r="E522" s="172"/>
      <c r="F522" s="172"/>
      <c r="G522" s="172"/>
      <c r="H522" s="172"/>
      <c r="I522" s="172"/>
    </row>
    <row r="523" spans="2:9" hidden="1" x14ac:dyDescent="0.3">
      <c r="B523" s="172"/>
      <c r="C523" s="172"/>
      <c r="D523" s="172"/>
      <c r="E523" s="172"/>
      <c r="F523" s="172"/>
      <c r="G523" s="172"/>
      <c r="H523" s="172"/>
      <c r="I523" s="172"/>
    </row>
    <row r="524" spans="2:9" hidden="1" x14ac:dyDescent="0.3">
      <c r="B524" s="172"/>
      <c r="C524" s="172"/>
      <c r="D524" s="172"/>
      <c r="E524" s="172"/>
      <c r="F524" s="172"/>
      <c r="G524" s="172"/>
      <c r="H524" s="172"/>
      <c r="I524" s="172"/>
    </row>
    <row r="525" spans="2:9" hidden="1" x14ac:dyDescent="0.3">
      <c r="B525" s="172"/>
      <c r="C525" s="172"/>
      <c r="D525" s="172"/>
      <c r="E525" s="172"/>
      <c r="F525" s="172"/>
      <c r="G525" s="172"/>
      <c r="H525" s="172"/>
      <c r="I525" s="172"/>
    </row>
    <row r="526" spans="2:9" hidden="1" x14ac:dyDescent="0.3">
      <c r="B526" s="172"/>
      <c r="C526" s="172"/>
      <c r="D526" s="172"/>
      <c r="E526" s="172"/>
      <c r="F526" s="172"/>
      <c r="G526" s="172"/>
      <c r="H526" s="172"/>
      <c r="I526" s="172"/>
    </row>
    <row r="527" spans="2:9" hidden="1" x14ac:dyDescent="0.3">
      <c r="B527" s="172"/>
      <c r="C527" s="172"/>
      <c r="D527" s="172"/>
      <c r="E527" s="172"/>
      <c r="F527" s="172"/>
      <c r="G527" s="172"/>
      <c r="H527" s="172"/>
      <c r="I527" s="172"/>
    </row>
    <row r="528" spans="2:9" hidden="1" x14ac:dyDescent="0.3">
      <c r="B528" s="172"/>
      <c r="C528" s="172"/>
      <c r="D528" s="172"/>
      <c r="E528" s="172"/>
      <c r="F528" s="172"/>
      <c r="G528" s="172"/>
      <c r="H528" s="172"/>
      <c r="I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10</xdr:col>
                    <xdr:colOff>457200</xdr:colOff>
                    <xdr:row>0</xdr:row>
                    <xdr:rowOff>152400</xdr:rowOff>
                  </from>
                  <to>
                    <xdr:col>13</xdr:col>
                    <xdr:colOff>274320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L77"/>
  <sheetViews>
    <sheetView topLeftCell="A34" zoomScale="80" zoomScaleNormal="80" workbookViewId="0">
      <selection activeCell="K73" sqref="K73"/>
    </sheetView>
  </sheetViews>
  <sheetFormatPr baseColWidth="10" defaultRowHeight="14.4" x14ac:dyDescent="0.3"/>
  <cols>
    <col min="1" max="6" width="11.5546875" style="37"/>
    <col min="7" max="7" width="13.77734375" style="37" customWidth="1"/>
    <col min="8" max="16384" width="11.5546875" style="37"/>
  </cols>
  <sheetData>
    <row r="2" spans="2:11" x14ac:dyDescent="0.3">
      <c r="B2" s="199" t="s">
        <v>78</v>
      </c>
      <c r="C2" s="199"/>
      <c r="D2" s="133" t="s">
        <v>77</v>
      </c>
      <c r="E2" s="37">
        <v>12</v>
      </c>
    </row>
    <row r="3" spans="2:11" x14ac:dyDescent="0.3">
      <c r="B3" s="9" t="s">
        <v>79</v>
      </c>
    </row>
    <row r="4" spans="2:11" x14ac:dyDescent="0.3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3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3">
      <c r="B6" s="138"/>
      <c r="C6" s="138" t="s">
        <v>7</v>
      </c>
      <c r="D6" s="138"/>
      <c r="E6" s="138"/>
      <c r="F6" s="173" t="str">
        <f>+IF('Sismo UBC-94 y Dinamico'!M5&lt;0.7,"0.04/RW","0.03/RW")</f>
        <v>0.03/RW</v>
      </c>
      <c r="G6" s="173"/>
      <c r="H6" s="173"/>
      <c r="I6" s="173"/>
      <c r="K6" s="99"/>
    </row>
    <row r="7" spans="2:11" x14ac:dyDescent="0.3">
      <c r="B7" s="134" t="s">
        <v>189</v>
      </c>
      <c r="C7" s="134">
        <v>38.5</v>
      </c>
      <c r="D7" s="134" t="s">
        <v>72</v>
      </c>
      <c r="E7" s="185">
        <v>3.80047246485649E-4</v>
      </c>
      <c r="F7" s="36">
        <f>+IF($F$6="0.03/RW",0.03/$E$2,0.04/$E$2)</f>
        <v>2.5000000000000001E-3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3">
      <c r="B8" s="134" t="s">
        <v>187</v>
      </c>
      <c r="C8" s="134">
        <v>35.5</v>
      </c>
      <c r="D8" s="134" t="s">
        <v>72</v>
      </c>
      <c r="E8" s="185">
        <v>3.1934269985696499E-4</v>
      </c>
      <c r="F8" s="36">
        <f t="shared" ref="F8:F17" si="2">+IF($F$6="0.03/RW",0.03/$E$2,0.04/$E$2)</f>
        <v>2.5000000000000001E-3</v>
      </c>
      <c r="G8" s="41" t="str">
        <f t="shared" si="0"/>
        <v>Cumple</v>
      </c>
      <c r="I8" s="41" t="str">
        <f t="shared" si="1"/>
        <v>Cumple</v>
      </c>
    </row>
    <row r="9" spans="2:11" x14ac:dyDescent="0.3">
      <c r="B9" s="134" t="s">
        <v>185</v>
      </c>
      <c r="C9" s="134">
        <v>32</v>
      </c>
      <c r="D9" s="134" t="s">
        <v>72</v>
      </c>
      <c r="E9" s="185">
        <v>4.6725825709162199E-4</v>
      </c>
      <c r="F9" s="36">
        <f t="shared" si="2"/>
        <v>2.5000000000000001E-3</v>
      </c>
      <c r="G9" s="41" t="str">
        <f t="shared" si="0"/>
        <v>Cumple</v>
      </c>
      <c r="I9" s="41" t="str">
        <f t="shared" si="1"/>
        <v>Cumple</v>
      </c>
    </row>
    <row r="10" spans="2:11" x14ac:dyDescent="0.3">
      <c r="B10" s="134" t="s">
        <v>183</v>
      </c>
      <c r="C10" s="134">
        <v>28.5</v>
      </c>
      <c r="D10" s="134" t="s">
        <v>72</v>
      </c>
      <c r="E10" s="185">
        <v>6.0065784725081995E-4</v>
      </c>
      <c r="F10" s="36">
        <f t="shared" si="2"/>
        <v>2.5000000000000001E-3</v>
      </c>
      <c r="G10" s="41" t="str">
        <f t="shared" si="0"/>
        <v>Cumple</v>
      </c>
      <c r="I10" s="41" t="str">
        <f t="shared" si="1"/>
        <v>Cumple</v>
      </c>
    </row>
    <row r="11" spans="2:11" x14ac:dyDescent="0.3">
      <c r="B11" s="134" t="s">
        <v>181</v>
      </c>
      <c r="C11" s="134">
        <v>25</v>
      </c>
      <c r="D11" s="134" t="s">
        <v>72</v>
      </c>
      <c r="E11" s="185">
        <v>7.1288751047376996E-4</v>
      </c>
      <c r="F11" s="36">
        <f t="shared" si="2"/>
        <v>2.5000000000000001E-3</v>
      </c>
      <c r="G11" s="41" t="str">
        <f t="shared" si="0"/>
        <v>Cumple</v>
      </c>
      <c r="I11" s="41" t="str">
        <f t="shared" si="1"/>
        <v>Cumple</v>
      </c>
    </row>
    <row r="12" spans="2:11" x14ac:dyDescent="0.3">
      <c r="B12" s="134" t="s">
        <v>179</v>
      </c>
      <c r="C12" s="134">
        <v>21.5</v>
      </c>
      <c r="D12" s="134" t="s">
        <v>72</v>
      </c>
      <c r="E12" s="185">
        <v>8.0546955812029798E-4</v>
      </c>
      <c r="F12" s="36">
        <f t="shared" si="2"/>
        <v>2.5000000000000001E-3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3">
      <c r="B13" s="134" t="s">
        <v>39</v>
      </c>
      <c r="C13" s="134">
        <v>18</v>
      </c>
      <c r="D13" s="134" t="s">
        <v>72</v>
      </c>
      <c r="E13" s="185">
        <v>8.7974432481817096E-4</v>
      </c>
      <c r="F13" s="36">
        <f t="shared" si="2"/>
        <v>2.5000000000000001E-3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3">
      <c r="B14" s="134" t="s">
        <v>26</v>
      </c>
      <c r="C14" s="134">
        <v>14.5</v>
      </c>
      <c r="D14" s="134" t="s">
        <v>72</v>
      </c>
      <c r="E14" s="185">
        <v>9.3542470737912199E-4</v>
      </c>
      <c r="F14" s="36">
        <f t="shared" si="2"/>
        <v>2.5000000000000001E-3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3">
      <c r="B15" s="134" t="s">
        <v>25</v>
      </c>
      <c r="C15" s="134">
        <v>11</v>
      </c>
      <c r="D15" s="134" t="s">
        <v>72</v>
      </c>
      <c r="E15" s="185">
        <v>9.6886379985662498E-4</v>
      </c>
      <c r="F15" s="36">
        <f t="shared" si="2"/>
        <v>2.5000000000000001E-3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3">
      <c r="B16" s="134" t="s">
        <v>24</v>
      </c>
      <c r="C16" s="134">
        <v>7.5</v>
      </c>
      <c r="D16" s="134" t="s">
        <v>72</v>
      </c>
      <c r="E16" s="185">
        <v>9.6584353821229903E-4</v>
      </c>
      <c r="F16" s="36">
        <f t="shared" si="2"/>
        <v>2.5000000000000001E-3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3">
      <c r="B17" s="134" t="s">
        <v>22</v>
      </c>
      <c r="C17" s="134">
        <v>4</v>
      </c>
      <c r="D17" s="134" t="s">
        <v>72</v>
      </c>
      <c r="E17" s="188">
        <v>7.2486934016209603E-4</v>
      </c>
      <c r="F17" s="36">
        <f t="shared" si="2"/>
        <v>2.5000000000000001E-3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3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3">
      <c r="E19" s="172"/>
      <c r="F19" s="53"/>
      <c r="G19" s="36"/>
      <c r="H19" s="36"/>
      <c r="I19" s="41"/>
      <c r="L19" s="41"/>
    </row>
    <row r="20" spans="2:12" x14ac:dyDescent="0.3">
      <c r="E20" s="172"/>
      <c r="I20" s="42"/>
    </row>
    <row r="21" spans="2:12" x14ac:dyDescent="0.3">
      <c r="E21" s="172"/>
      <c r="I21" s="42"/>
    </row>
    <row r="22" spans="2:12" x14ac:dyDescent="0.3">
      <c r="B22" s="9" t="s">
        <v>80</v>
      </c>
      <c r="E22" s="172"/>
      <c r="I22" s="42"/>
    </row>
    <row r="23" spans="2:12" x14ac:dyDescent="0.3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3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3">
      <c r="B25" s="143"/>
      <c r="C25" s="143" t="s">
        <v>7</v>
      </c>
      <c r="D25" s="143"/>
      <c r="E25" s="143"/>
      <c r="F25" s="40" t="str">
        <f>+F6</f>
        <v>0.03/RW</v>
      </c>
      <c r="G25" s="173"/>
      <c r="H25" s="173"/>
      <c r="I25" s="173"/>
    </row>
    <row r="26" spans="2:12" x14ac:dyDescent="0.3">
      <c r="B26" s="139" t="s">
        <v>189</v>
      </c>
      <c r="C26" s="139">
        <v>38.5</v>
      </c>
      <c r="D26" s="139" t="s">
        <v>72</v>
      </c>
      <c r="E26" s="185">
        <v>3.7069421312725198E-4</v>
      </c>
      <c r="F26" s="36">
        <f>+F7</f>
        <v>2.5000000000000001E-3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3">
      <c r="B27" s="139" t="s">
        <v>187</v>
      </c>
      <c r="C27" s="139">
        <v>35.5</v>
      </c>
      <c r="D27" s="139" t="s">
        <v>72</v>
      </c>
      <c r="E27" s="185">
        <v>3.20552471737512E-4</v>
      </c>
      <c r="F27" s="36">
        <f t="shared" ref="F27:F36" si="5">+F8</f>
        <v>2.5000000000000001E-3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3">
      <c r="B28" s="139" t="s">
        <v>185</v>
      </c>
      <c r="C28" s="139">
        <v>32</v>
      </c>
      <c r="D28" s="139" t="s">
        <v>72</v>
      </c>
      <c r="E28" s="185">
        <v>4.6723622027066499E-4</v>
      </c>
      <c r="F28" s="36">
        <f t="shared" si="5"/>
        <v>2.5000000000000001E-3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3">
      <c r="B29" s="139" t="s">
        <v>183</v>
      </c>
      <c r="C29" s="139">
        <v>28.5</v>
      </c>
      <c r="D29" s="139" t="s">
        <v>72</v>
      </c>
      <c r="E29" s="185">
        <v>5.99617101218242E-4</v>
      </c>
      <c r="F29" s="36">
        <f t="shared" si="5"/>
        <v>2.5000000000000001E-3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3">
      <c r="B30" s="139" t="s">
        <v>181</v>
      </c>
      <c r="C30" s="139">
        <v>25</v>
      </c>
      <c r="D30" s="139" t="s">
        <v>72</v>
      </c>
      <c r="E30" s="185">
        <v>7.1061308848036899E-4</v>
      </c>
      <c r="F30" s="36">
        <f t="shared" si="5"/>
        <v>2.5000000000000001E-3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3">
      <c r="B31" s="139" t="s">
        <v>179</v>
      </c>
      <c r="C31" s="139">
        <v>21.5</v>
      </c>
      <c r="D31" s="139" t="s">
        <v>72</v>
      </c>
      <c r="E31" s="185">
        <v>8.0196752019454597E-4</v>
      </c>
      <c r="F31" s="36">
        <f t="shared" si="5"/>
        <v>2.5000000000000001E-3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3">
      <c r="B32" s="139" t="s">
        <v>39</v>
      </c>
      <c r="C32" s="139">
        <v>18</v>
      </c>
      <c r="D32" s="139" t="s">
        <v>72</v>
      </c>
      <c r="E32" s="185">
        <v>8.7514481525257498E-4</v>
      </c>
      <c r="F32" s="36">
        <f t="shared" si="5"/>
        <v>2.5000000000000001E-3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3">
      <c r="B33" s="139" t="s">
        <v>26</v>
      </c>
      <c r="C33" s="139">
        <v>14.5</v>
      </c>
      <c r="D33" s="139" t="s">
        <v>72</v>
      </c>
      <c r="E33" s="185">
        <v>9.3001179763504505E-4</v>
      </c>
      <c r="F33" s="36">
        <f t="shared" si="5"/>
        <v>2.5000000000000001E-3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3">
      <c r="B34" s="139" t="s">
        <v>25</v>
      </c>
      <c r="C34" s="139">
        <v>11</v>
      </c>
      <c r="D34" s="139" t="s">
        <v>72</v>
      </c>
      <c r="E34" s="185">
        <v>9.6324662583953304E-4</v>
      </c>
      <c r="F34" s="36">
        <f t="shared" si="5"/>
        <v>2.5000000000000001E-3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3">
      <c r="B35" s="139" t="s">
        <v>24</v>
      </c>
      <c r="C35" s="139">
        <v>7.5</v>
      </c>
      <c r="D35" s="139" t="s">
        <v>72</v>
      </c>
      <c r="E35" s="185">
        <v>9.6050449783538602E-4</v>
      </c>
      <c r="F35" s="36">
        <f t="shared" si="5"/>
        <v>2.5000000000000001E-3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3">
      <c r="B36" s="139" t="s">
        <v>22</v>
      </c>
      <c r="C36" s="139">
        <v>4</v>
      </c>
      <c r="D36" s="139" t="s">
        <v>72</v>
      </c>
      <c r="E36" s="188">
        <v>7.1832012846562003E-4</v>
      </c>
      <c r="F36" s="36">
        <f t="shared" si="5"/>
        <v>2.5000000000000001E-3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3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3">
      <c r="E38" s="172"/>
      <c r="F38" s="53"/>
      <c r="G38" s="36"/>
      <c r="H38" s="36"/>
      <c r="I38" s="41"/>
      <c r="L38" s="41"/>
    </row>
    <row r="39" spans="2:12" x14ac:dyDescent="0.3">
      <c r="E39" s="172"/>
    </row>
    <row r="40" spans="2:12" x14ac:dyDescent="0.3">
      <c r="E40" s="172"/>
    </row>
    <row r="41" spans="2:12" x14ac:dyDescent="0.3">
      <c r="B41" s="9" t="s">
        <v>81</v>
      </c>
      <c r="E41" s="172"/>
    </row>
    <row r="42" spans="2:12" x14ac:dyDescent="0.3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3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3">
      <c r="B44" s="149"/>
      <c r="C44" s="149" t="s">
        <v>7</v>
      </c>
      <c r="D44" s="149"/>
      <c r="E44" s="150"/>
      <c r="F44" s="173" t="str">
        <f>+IF('Sismo UBC-94 y Dinamico'!M6&lt;0.7,"0.04/RW","0.03/RW")</f>
        <v>0.03/RW</v>
      </c>
      <c r="G44" s="173"/>
      <c r="H44" s="173"/>
      <c r="I44" s="173"/>
    </row>
    <row r="45" spans="2:12" x14ac:dyDescent="0.3">
      <c r="B45" s="144" t="s">
        <v>189</v>
      </c>
      <c r="C45" s="144">
        <v>38.5</v>
      </c>
      <c r="D45" s="144" t="s">
        <v>72</v>
      </c>
      <c r="E45" s="185">
        <v>2.4235908660596899E-4</v>
      </c>
      <c r="F45" s="36">
        <f>+IF($F$44="0.03/RW",0.03/$E$2,0.04/$E$2)</f>
        <v>2.5000000000000001E-3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3">
      <c r="B46" s="144" t="s">
        <v>187</v>
      </c>
      <c r="C46" s="144">
        <v>35.5</v>
      </c>
      <c r="D46" s="144" t="s">
        <v>72</v>
      </c>
      <c r="E46" s="185">
        <v>2.5486560432103398E-4</v>
      </c>
      <c r="F46" s="36">
        <f t="shared" ref="F46:F55" si="8">+IF($F$44="0.03/RW",0.03/$E$2,0.04/$E$2)</f>
        <v>2.5000000000000001E-3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3">
      <c r="B47" s="144" t="s">
        <v>185</v>
      </c>
      <c r="C47" s="144">
        <v>32</v>
      </c>
      <c r="D47" s="144" t="s">
        <v>72</v>
      </c>
      <c r="E47" s="185">
        <v>4.0632311308951799E-4</v>
      </c>
      <c r="F47" s="36">
        <f t="shared" si="8"/>
        <v>2.5000000000000001E-3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3">
      <c r="B48" s="144" t="s">
        <v>183</v>
      </c>
      <c r="C48" s="144">
        <v>28.5</v>
      </c>
      <c r="D48" s="144" t="s">
        <v>72</v>
      </c>
      <c r="E48" s="185">
        <v>5.5016816792298104E-4</v>
      </c>
      <c r="F48" s="36">
        <f t="shared" si="8"/>
        <v>2.5000000000000001E-3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3">
      <c r="B49" s="144" t="s">
        <v>181</v>
      </c>
      <c r="C49" s="144">
        <v>25</v>
      </c>
      <c r="D49" s="144" t="s">
        <v>72</v>
      </c>
      <c r="E49" s="185">
        <v>6.7325918662710597E-4</v>
      </c>
      <c r="F49" s="36">
        <f t="shared" si="8"/>
        <v>2.5000000000000001E-3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3">
      <c r="B50" s="144" t="s">
        <v>179</v>
      </c>
      <c r="C50" s="144">
        <v>21.5</v>
      </c>
      <c r="D50" s="144" t="s">
        <v>72</v>
      </c>
      <c r="E50" s="185">
        <v>7.7697490310012999E-4</v>
      </c>
      <c r="F50" s="36">
        <f t="shared" si="8"/>
        <v>2.5000000000000001E-3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3">
      <c r="B51" s="144" t="s">
        <v>39</v>
      </c>
      <c r="C51" s="144">
        <v>18</v>
      </c>
      <c r="D51" s="144" t="s">
        <v>72</v>
      </c>
      <c r="E51" s="185">
        <v>8.6374736897972296E-4</v>
      </c>
      <c r="F51" s="36">
        <f t="shared" si="8"/>
        <v>2.5000000000000001E-3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3">
      <c r="B52" s="144" t="s">
        <v>26</v>
      </c>
      <c r="C52" s="144">
        <v>14.5</v>
      </c>
      <c r="D52" s="144" t="s">
        <v>72</v>
      </c>
      <c r="E52" s="185">
        <v>9.3423090730441203E-4</v>
      </c>
      <c r="F52" s="36">
        <f t="shared" si="8"/>
        <v>2.5000000000000001E-3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3">
      <c r="B53" s="144" t="s">
        <v>25</v>
      </c>
      <c r="C53" s="144">
        <v>11</v>
      </c>
      <c r="D53" s="144" t="s">
        <v>72</v>
      </c>
      <c r="E53" s="185">
        <v>9.8411326668710599E-4</v>
      </c>
      <c r="F53" s="36">
        <f t="shared" si="8"/>
        <v>2.5000000000000001E-3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3">
      <c r="B54" s="144" t="s">
        <v>24</v>
      </c>
      <c r="C54" s="144">
        <v>7.5</v>
      </c>
      <c r="D54" s="144" t="s">
        <v>72</v>
      </c>
      <c r="E54" s="185">
        <v>9.9033795744713697E-4</v>
      </c>
      <c r="F54" s="36">
        <f t="shared" si="8"/>
        <v>2.5000000000000001E-3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3">
      <c r="B55" s="144" t="s">
        <v>22</v>
      </c>
      <c r="C55" s="144">
        <v>4</v>
      </c>
      <c r="D55" s="144" t="s">
        <v>72</v>
      </c>
      <c r="E55" s="188">
        <v>7.08236990036457E-4</v>
      </c>
      <c r="F55" s="36">
        <f t="shared" si="8"/>
        <v>2.5000000000000001E-3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3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3">
      <c r="E57" s="53"/>
      <c r="F57" s="53"/>
      <c r="G57" s="36"/>
      <c r="H57" s="36"/>
      <c r="I57" s="41"/>
      <c r="L57" s="41"/>
    </row>
    <row r="58" spans="2:12" s="132" customFormat="1" x14ac:dyDescent="0.3">
      <c r="E58" s="53"/>
      <c r="F58" s="53"/>
      <c r="G58" s="36"/>
      <c r="H58" s="36"/>
      <c r="I58" s="41"/>
      <c r="L58" s="41"/>
    </row>
    <row r="59" spans="2:12" s="132" customFormat="1" x14ac:dyDescent="0.3">
      <c r="E59" s="53"/>
      <c r="F59" s="53"/>
      <c r="G59" s="36"/>
      <c r="H59" s="36"/>
      <c r="I59" s="41"/>
      <c r="L59" s="41"/>
    </row>
    <row r="60" spans="2:12" x14ac:dyDescent="0.3">
      <c r="I60" s="42"/>
    </row>
    <row r="61" spans="2:12" x14ac:dyDescent="0.3">
      <c r="I61" s="42"/>
    </row>
    <row r="62" spans="2:12" x14ac:dyDescent="0.3">
      <c r="B62" s="9" t="s">
        <v>82</v>
      </c>
      <c r="I62" s="42"/>
    </row>
    <row r="63" spans="2:12" x14ac:dyDescent="0.3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3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3">
      <c r="B65" s="156"/>
      <c r="C65" s="156" t="s">
        <v>7</v>
      </c>
      <c r="D65" s="156"/>
      <c r="E65" s="157"/>
      <c r="F65" s="40" t="str">
        <f>+F44</f>
        <v>0.03/RW</v>
      </c>
      <c r="G65" s="173"/>
      <c r="H65" s="173"/>
      <c r="I65" s="173"/>
    </row>
    <row r="66" spans="2:9" x14ac:dyDescent="0.3">
      <c r="B66" s="151" t="s">
        <v>189</v>
      </c>
      <c r="C66" s="151">
        <v>38.5</v>
      </c>
      <c r="D66" s="151" t="s">
        <v>72</v>
      </c>
      <c r="E66" s="185">
        <v>2.3471902769715101E-4</v>
      </c>
      <c r="F66" s="36">
        <f>+F45</f>
        <v>2.5000000000000001E-3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3">
      <c r="B67" s="151" t="s">
        <v>187</v>
      </c>
      <c r="C67" s="151">
        <v>35.5</v>
      </c>
      <c r="D67" s="151" t="s">
        <v>72</v>
      </c>
      <c r="E67" s="185">
        <v>2.9435022257720398E-4</v>
      </c>
      <c r="F67" s="36">
        <f t="shared" ref="F67:F76" si="11">+F46</f>
        <v>2.5000000000000001E-3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3">
      <c r="B68" s="151" t="s">
        <v>185</v>
      </c>
      <c r="C68" s="151">
        <v>32</v>
      </c>
      <c r="D68" s="151" t="s">
        <v>72</v>
      </c>
      <c r="E68" s="185">
        <v>4.7926757522366001E-4</v>
      </c>
      <c r="F68" s="36">
        <f t="shared" si="11"/>
        <v>2.5000000000000001E-3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3">
      <c r="B69" s="151" t="s">
        <v>183</v>
      </c>
      <c r="C69" s="151">
        <v>28.5</v>
      </c>
      <c r="D69" s="151" t="s">
        <v>72</v>
      </c>
      <c r="E69" s="185">
        <v>6.5517978276400399E-4</v>
      </c>
      <c r="F69" s="36">
        <f t="shared" si="11"/>
        <v>2.5000000000000001E-3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3">
      <c r="B70" s="151" t="s">
        <v>181</v>
      </c>
      <c r="C70" s="151">
        <v>25</v>
      </c>
      <c r="D70" s="151" t="s">
        <v>72</v>
      </c>
      <c r="E70" s="185">
        <v>8.0597124823478402E-4</v>
      </c>
      <c r="F70" s="36">
        <f t="shared" si="11"/>
        <v>2.5000000000000001E-3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3">
      <c r="B71" s="151" t="s">
        <v>179</v>
      </c>
      <c r="C71" s="151">
        <v>21.5</v>
      </c>
      <c r="D71" s="151" t="s">
        <v>72</v>
      </c>
      <c r="E71" s="185">
        <v>9.33478080525297E-4</v>
      </c>
      <c r="F71" s="36">
        <f t="shared" si="11"/>
        <v>2.5000000000000001E-3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3">
      <c r="B72" s="151" t="s">
        <v>39</v>
      </c>
      <c r="C72" s="151">
        <v>18</v>
      </c>
      <c r="D72" s="151" t="s">
        <v>72</v>
      </c>
      <c r="E72" s="185">
        <v>1.04079122789236E-3</v>
      </c>
      <c r="F72" s="36">
        <f t="shared" si="11"/>
        <v>2.5000000000000001E-3</v>
      </c>
      <c r="G72" s="41" t="str">
        <f t="shared" si="9"/>
        <v>Cumple</v>
      </c>
      <c r="I72" s="41" t="str">
        <f t="shared" si="10"/>
        <v>Cumple</v>
      </c>
    </row>
    <row r="73" spans="2:9" x14ac:dyDescent="0.3">
      <c r="B73" s="151" t="s">
        <v>26</v>
      </c>
      <c r="C73" s="151">
        <v>14.5</v>
      </c>
      <c r="D73" s="151" t="s">
        <v>72</v>
      </c>
      <c r="E73" s="185">
        <v>1.12883338797331E-3</v>
      </c>
      <c r="F73" s="36">
        <f t="shared" si="11"/>
        <v>2.5000000000000001E-3</v>
      </c>
      <c r="G73" s="41" t="str">
        <f t="shared" si="9"/>
        <v>Cumple</v>
      </c>
      <c r="I73" s="41" t="str">
        <f t="shared" si="10"/>
        <v>Cumple</v>
      </c>
    </row>
    <row r="74" spans="2:9" x14ac:dyDescent="0.3">
      <c r="B74" s="151" t="s">
        <v>25</v>
      </c>
      <c r="C74" s="151">
        <v>11</v>
      </c>
      <c r="D74" s="151" t="s">
        <v>72</v>
      </c>
      <c r="E74" s="185">
        <v>1.19255778888021E-3</v>
      </c>
      <c r="F74" s="36">
        <f t="shared" si="11"/>
        <v>2.5000000000000001E-3</v>
      </c>
      <c r="G74" s="41" t="str">
        <f t="shared" si="9"/>
        <v>Cumple</v>
      </c>
      <c r="I74" s="41" t="str">
        <f t="shared" si="10"/>
        <v>Cumple</v>
      </c>
    </row>
    <row r="75" spans="2:9" x14ac:dyDescent="0.3">
      <c r="B75" s="151" t="s">
        <v>24</v>
      </c>
      <c r="C75" s="151">
        <v>7.5</v>
      </c>
      <c r="D75" s="151" t="s">
        <v>72</v>
      </c>
      <c r="E75" s="185">
        <v>1.2049939918354899E-3</v>
      </c>
      <c r="F75" s="36">
        <f t="shared" si="11"/>
        <v>2.5000000000000001E-3</v>
      </c>
      <c r="G75" s="41" t="str">
        <f t="shared" si="9"/>
        <v>Cumple</v>
      </c>
      <c r="I75" s="41" t="str">
        <f t="shared" si="10"/>
        <v>Cumple</v>
      </c>
    </row>
    <row r="76" spans="2:9" x14ac:dyDescent="0.3">
      <c r="B76" s="151" t="s">
        <v>22</v>
      </c>
      <c r="C76" s="151">
        <v>4</v>
      </c>
      <c r="D76" s="151" t="s">
        <v>72</v>
      </c>
      <c r="E76" s="188">
        <v>8.7526327259866601E-4</v>
      </c>
      <c r="F76" s="36">
        <f t="shared" si="11"/>
        <v>2.5000000000000001E-3</v>
      </c>
      <c r="G76" s="41" t="str">
        <f t="shared" si="9"/>
        <v>Cumple</v>
      </c>
      <c r="I76" s="41" t="str">
        <f t="shared" si="10"/>
        <v>Cumple</v>
      </c>
    </row>
    <row r="77" spans="2:9" x14ac:dyDescent="0.3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R70"/>
  <sheetViews>
    <sheetView tabSelected="1" topLeftCell="A46" zoomScale="80" zoomScaleNormal="80" workbookViewId="0">
      <selection activeCell="E75" sqref="E75"/>
    </sheetView>
  </sheetViews>
  <sheetFormatPr baseColWidth="10" defaultRowHeight="14.4" x14ac:dyDescent="0.3"/>
  <cols>
    <col min="3" max="3" width="15.44140625" customWidth="1"/>
    <col min="12" max="12" width="11.5546875" style="83"/>
  </cols>
  <sheetData>
    <row r="1" spans="2:18" x14ac:dyDescent="0.3">
      <c r="B1" s="79" t="s">
        <v>101</v>
      </c>
    </row>
    <row r="2" spans="2:18" ht="15" thickBot="1" x14ac:dyDescent="0.35">
      <c r="M2" s="202" t="s">
        <v>194</v>
      </c>
      <c r="N2" s="202"/>
      <c r="O2" s="202"/>
      <c r="P2" s="202"/>
    </row>
    <row r="3" spans="2:18" ht="15" thickBot="1" x14ac:dyDescent="0.35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19</v>
      </c>
      <c r="O3" s="183">
        <v>19</v>
      </c>
    </row>
    <row r="4" spans="2:18" x14ac:dyDescent="0.3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3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3">
      <c r="B6" s="184" t="s">
        <v>189</v>
      </c>
      <c r="C6" s="185" t="s">
        <v>79</v>
      </c>
      <c r="D6" s="185" t="s">
        <v>218</v>
      </c>
      <c r="E6" s="185">
        <v>2.5517939634516498E-2</v>
      </c>
      <c r="F6" s="185">
        <v>2.4908795478618299E-2</v>
      </c>
      <c r="G6" s="186">
        <v>1.02445498243466</v>
      </c>
      <c r="H6" s="42">
        <f>+E6/(1.2*F6)</f>
        <v>0.85371248536221844</v>
      </c>
      <c r="I6" s="47">
        <f>+'Centers of Mass and Rigidity'!L5-'Centers of Mass and Rigidity'!F5</f>
        <v>-1.0640095316422986</v>
      </c>
      <c r="J6" s="47">
        <f>+'Centers of Mass and Rigidity'!M5-'Centers of Mass and Rigidity'!G5</f>
        <v>-0.22301084014614947</v>
      </c>
      <c r="K6" s="172">
        <f>IF(+'Sismo UBC-94 y Dinamico'!O15=0,'Sismo UBC-94 y Dinamico'!M15,'Sismo UBC-94 y Dinamico'!O15)</f>
        <v>1142.6976359302701</v>
      </c>
      <c r="L6" s="172">
        <f>IF(+'Sismo UBC-94 y Dinamico'!P15=0,'Sismo UBC-94 y Dinamico'!N15,'Sismo UBC-94 y Dinamico'!P15)</f>
        <v>49.927071877438699</v>
      </c>
      <c r="M6" s="52">
        <f>0.05*N6*K6*(H6-1)+0.05*O6*L6*(H6-1)</f>
        <v>-165.74279918076016</v>
      </c>
      <c r="N6">
        <f>+$N$3</f>
        <v>19</v>
      </c>
      <c r="O6">
        <f>+$O$3</f>
        <v>19</v>
      </c>
      <c r="P6" s="95">
        <f>+K6*(J6+0.05*N6*H6)-K6*(J6+0.05*N6)</f>
        <v>-158.80427728557231</v>
      </c>
      <c r="Q6" s="95">
        <f>+L6*(I6+0.05*O6*H6)-L6*(I6+0.05*O6)</f>
        <v>-6.9385218951877654</v>
      </c>
      <c r="R6" s="95">
        <f>+P6+Q6</f>
        <v>-165.74279918076007</v>
      </c>
    </row>
    <row r="7" spans="2:18" x14ac:dyDescent="0.3">
      <c r="B7" s="184" t="s">
        <v>187</v>
      </c>
      <c r="C7" s="185" t="s">
        <v>79</v>
      </c>
      <c r="D7" s="185" t="s">
        <v>218</v>
      </c>
      <c r="E7" s="185">
        <v>2.6145927836400001E-2</v>
      </c>
      <c r="F7" s="185">
        <v>2.4046273531058201E-2</v>
      </c>
      <c r="G7" s="186">
        <v>1.08731724284139</v>
      </c>
      <c r="H7" s="42">
        <f t="shared" ref="H7:H16" si="0">+E7/(1.2*F7)</f>
        <v>0.90609770236782161</v>
      </c>
      <c r="I7" s="47">
        <f>+'Centers of Mass and Rigidity'!L6-'Centers of Mass and Rigidity'!F6</f>
        <v>1.9450928567303993</v>
      </c>
      <c r="J7" s="47">
        <f>+'Centers of Mass and Rigidity'!M6-'Centers of Mass and Rigidity'!G6</f>
        <v>7.31741123726799E-2</v>
      </c>
      <c r="K7" s="172">
        <f>IF(+'Sismo UBC-94 y Dinamico'!O16=0,'Sismo UBC-94 y Dinamico'!M16,'Sismo UBC-94 y Dinamico'!O16)</f>
        <v>16372.925813656029</v>
      </c>
      <c r="L7" s="172">
        <f>IF(+'Sismo UBC-94 y Dinamico'!P16=0,'Sismo UBC-94 y Dinamico'!N16,'Sismo UBC-94 y Dinamico'!P16)</f>
        <v>650.98546053138932</v>
      </c>
      <c r="M7" s="52">
        <f>0.05*N7*K7*(H7-1)+0.05*O7*L7*(H7-1)</f>
        <v>-1518.6551641659171</v>
      </c>
      <c r="N7" s="172">
        <f t="shared" ref="N7:N16" si="1">+$N$3</f>
        <v>19</v>
      </c>
      <c r="O7" s="172">
        <f t="shared" ref="O7:O16" si="2">+$O$3</f>
        <v>19</v>
      </c>
      <c r="P7" s="95">
        <f>+K7*(J7+0.05*N7*H7)-K7*(J7+0.05*N7)</f>
        <v>-1460.5825852203307</v>
      </c>
      <c r="Q7" s="95">
        <f>+L7*(I7+0.05*O7*H7)-L7*(I7+0.05*O7)</f>
        <v>-58.072578945587338</v>
      </c>
      <c r="R7" s="95">
        <f>+P7+Q7</f>
        <v>-1518.655164165918</v>
      </c>
    </row>
    <row r="8" spans="2:18" x14ac:dyDescent="0.3">
      <c r="B8" s="184" t="s">
        <v>185</v>
      </c>
      <c r="C8" s="185" t="s">
        <v>79</v>
      </c>
      <c r="D8" s="185" t="s">
        <v>218</v>
      </c>
      <c r="E8" s="185">
        <v>2.5029658850912101E-2</v>
      </c>
      <c r="F8" s="185">
        <v>2.2984362164513598E-2</v>
      </c>
      <c r="G8" s="186">
        <v>1.08898644529524</v>
      </c>
      <c r="H8" s="42">
        <f t="shared" si="0"/>
        <v>0.90748870441270113</v>
      </c>
      <c r="I8" s="47">
        <f>+'Centers of Mass and Rigidity'!L7-'Centers of Mass and Rigidity'!F7</f>
        <v>2.0547796687828992</v>
      </c>
      <c r="J8" s="47">
        <f>+'Centers of Mass and Rigidity'!M7-'Centers of Mass and Rigidity'!G7</f>
        <v>6.8322035455299357E-3</v>
      </c>
      <c r="K8" s="172">
        <f>IF(+'Sismo UBC-94 y Dinamico'!O17=0,'Sismo UBC-94 y Dinamico'!M17,'Sismo UBC-94 y Dinamico'!O17)</f>
        <v>18562.170846961501</v>
      </c>
      <c r="L8" s="172">
        <f>IF(+'Sismo UBC-94 y Dinamico'!P17=0,'Sismo UBC-94 y Dinamico'!N17,'Sismo UBC-94 y Dinamico'!P17)</f>
        <v>730.89259242616197</v>
      </c>
      <c r="M8" s="52">
        <f>0.05*N8*K8*(H8-1)+0.05*O8*L8*(H8-1)</f>
        <v>-1695.5849798944164</v>
      </c>
      <c r="N8" s="172">
        <f t="shared" si="1"/>
        <v>19</v>
      </c>
      <c r="O8" s="172">
        <f t="shared" si="2"/>
        <v>19</v>
      </c>
      <c r="P8" s="95">
        <f>+K8*(J8+0.05*N8*H8)-K8*(J8+0.05*N8)</f>
        <v>-1631.3499502669383</v>
      </c>
      <c r="Q8" s="95">
        <f>+L8*(I8+0.05*O8*H8)-L8*(I8+0.05*O8)</f>
        <v>-64.23502962747898</v>
      </c>
      <c r="R8" s="95">
        <f>+P8+Q8</f>
        <v>-1695.5849798944173</v>
      </c>
    </row>
    <row r="9" spans="2:18" x14ac:dyDescent="0.3">
      <c r="B9" s="184" t="s">
        <v>183</v>
      </c>
      <c r="C9" s="185" t="s">
        <v>79</v>
      </c>
      <c r="D9" s="185" t="s">
        <v>218</v>
      </c>
      <c r="E9" s="185">
        <v>2.3396964583299502E-2</v>
      </c>
      <c r="F9" s="185">
        <v>2.1454633908628801E-2</v>
      </c>
      <c r="G9" s="186">
        <v>1.0905319887042899</v>
      </c>
      <c r="H9" s="42">
        <f t="shared" si="0"/>
        <v>0.90877665725357659</v>
      </c>
      <c r="I9" s="47">
        <f>+'Centers of Mass and Rigidity'!L8-'Centers of Mass and Rigidity'!F8</f>
        <v>2.0829940099477007</v>
      </c>
      <c r="J9" s="47">
        <f>+'Centers of Mass and Rigidity'!M8-'Centers of Mass and Rigidity'!G8</f>
        <v>1.2498155653510423E-2</v>
      </c>
      <c r="K9" s="172">
        <f>IF(+'Sismo UBC-94 y Dinamico'!O18=0,'Sismo UBC-94 y Dinamico'!M18,'Sismo UBC-94 y Dinamico'!O18)</f>
        <v>15626.712544258</v>
      </c>
      <c r="L9" s="172">
        <f>IF(+'Sismo UBC-94 y Dinamico'!P18=0,'Sismo UBC-94 y Dinamico'!N18,'Sismo UBC-94 y Dinamico'!P18)</f>
        <v>620.36815768770998</v>
      </c>
      <c r="M9" s="52">
        <f>0.05*N9*K9*(H9-1)+0.05*O9*L9*(H9-1)</f>
        <v>-1408.0073609272752</v>
      </c>
      <c r="N9" s="172">
        <f t="shared" si="1"/>
        <v>19</v>
      </c>
      <c r="O9" s="172">
        <f t="shared" si="2"/>
        <v>19</v>
      </c>
      <c r="P9" s="95">
        <f>+K9*(J9+0.05*N9*H9)-K9*(J9+0.05*N9)</f>
        <v>-1354.2449067034486</v>
      </c>
      <c r="Q9" s="95">
        <f>+L9*(I9+0.05*O9*H9)-L9*(I9+0.05*O9)</f>
        <v>-53.76245422382749</v>
      </c>
      <c r="R9" s="95">
        <f>+P9+Q9</f>
        <v>-1408.0073609272761</v>
      </c>
    </row>
    <row r="10" spans="2:18" x14ac:dyDescent="0.3">
      <c r="B10" s="184" t="s">
        <v>181</v>
      </c>
      <c r="C10" s="185" t="s">
        <v>79</v>
      </c>
      <c r="D10" s="185" t="s">
        <v>218</v>
      </c>
      <c r="E10" s="185">
        <v>2.12985380757321E-2</v>
      </c>
      <c r="F10" s="185">
        <v>1.9503493785614501E-2</v>
      </c>
      <c r="G10" s="186">
        <v>1.0920370631974401</v>
      </c>
      <c r="H10" s="42">
        <f t="shared" si="0"/>
        <v>0.91003088599787174</v>
      </c>
      <c r="I10" s="47">
        <f>+'Centers of Mass and Rigidity'!L9-'Centers of Mass and Rigidity'!F9</f>
        <v>2.100678594999799</v>
      </c>
      <c r="J10" s="47">
        <f>+'Centers of Mass and Rigidity'!M9-'Centers of Mass and Rigidity'!G9</f>
        <v>1.7448323389309905E-2</v>
      </c>
      <c r="K10" s="172">
        <f>IF(+'Sismo UBC-94 y Dinamico'!O19=0,'Sismo UBC-94 y Dinamico'!M19,'Sismo UBC-94 y Dinamico'!O19)</f>
        <v>13211.382645929603</v>
      </c>
      <c r="L10" s="172">
        <f>IF(+'Sismo UBC-94 y Dinamico'!P19=0,'Sismo UBC-94 y Dinamico'!N19,'Sismo UBC-94 y Dinamico'!P19)</f>
        <v>530.2690280391098</v>
      </c>
      <c r="M10" s="52">
        <f>0.05*N10*K10*(H10-1)+0.05*O10*L10*(H10-1)</f>
        <v>-1174.5080147311864</v>
      </c>
      <c r="N10" s="172">
        <f t="shared" si="1"/>
        <v>19</v>
      </c>
      <c r="O10" s="172">
        <f t="shared" si="2"/>
        <v>19</v>
      </c>
      <c r="P10" s="95">
        <f>+K10*(J10+0.05*N10*H10)-K10*(J10+0.05*N10)</f>
        <v>-1129.1855718275092</v>
      </c>
      <c r="Q10" s="95">
        <f>+L10*(I10+0.05*O10*H10)-L10*(I10+0.05*O10)</f>
        <v>-45.322442903676119</v>
      </c>
      <c r="R10" s="95">
        <f>+P10+Q10</f>
        <v>-1174.5080147311853</v>
      </c>
    </row>
    <row r="11" spans="2:18" s="151" customFormat="1" x14ac:dyDescent="0.3">
      <c r="B11" s="184" t="s">
        <v>179</v>
      </c>
      <c r="C11" s="185" t="s">
        <v>79</v>
      </c>
      <c r="D11" s="185" t="s">
        <v>218</v>
      </c>
      <c r="E11" s="185">
        <v>1.8808319320353699E-2</v>
      </c>
      <c r="F11" s="185">
        <v>1.7199001209061301E-2</v>
      </c>
      <c r="G11" s="186">
        <v>1.09357044003489</v>
      </c>
      <c r="H11" s="42">
        <f t="shared" si="0"/>
        <v>0.91130870002907138</v>
      </c>
      <c r="I11" s="47">
        <f>+'Centers of Mass and Rigidity'!L10-'Centers of Mass and Rigidity'!F10</f>
        <v>2.1052851186439003</v>
      </c>
      <c r="J11" s="47">
        <f>+'Centers of Mass and Rigidity'!M10-'Centers of Mass and Rigidity'!G10</f>
        <v>2.2052189011530388E-2</v>
      </c>
      <c r="K11" s="172">
        <f>IF(+'Sismo UBC-94 y Dinamico'!O20=0,'Sismo UBC-94 y Dinamico'!M20,'Sismo UBC-94 y Dinamico'!O20)</f>
        <v>11351.368564183293</v>
      </c>
      <c r="L11" s="172">
        <f>IF(+'Sismo UBC-94 y Dinamico'!P20=0,'Sismo UBC-94 y Dinamico'!N20,'Sismo UBC-94 y Dinamico'!P20)</f>
        <v>457.56248039378033</v>
      </c>
      <c r="M11" s="52">
        <f t="shared" ref="M11:M16" si="3">0.05*N11*K11*(H11-1)+0.05*O11*L11*(H11-1)</f>
        <v>-994.98197333006681</v>
      </c>
      <c r="N11" s="172">
        <f t="shared" si="1"/>
        <v>19</v>
      </c>
      <c r="O11" s="172">
        <f t="shared" si="2"/>
        <v>19</v>
      </c>
      <c r="P11" s="95">
        <f t="shared" ref="P11:P16" si="4">+K11*(J11+0.05*N11*H11)-K11*(J11+0.05*N11)</f>
        <v>-956.42925268622275</v>
      </c>
      <c r="Q11" s="95">
        <f t="shared" ref="Q11:Q16" si="5">+L11*(I11+0.05*O11*H11)-L11*(I11+0.05*O11)</f>
        <v>-38.552720643844623</v>
      </c>
      <c r="R11" s="95">
        <f t="shared" ref="R11:R16" si="6">+P11+Q11</f>
        <v>-994.98197333006738</v>
      </c>
    </row>
    <row r="12" spans="2:18" s="151" customFormat="1" x14ac:dyDescent="0.3">
      <c r="B12" s="184" t="s">
        <v>39</v>
      </c>
      <c r="C12" s="185" t="s">
        <v>79</v>
      </c>
      <c r="D12" s="185" t="s">
        <v>218</v>
      </c>
      <c r="E12" s="185">
        <v>1.5994934930708599E-2</v>
      </c>
      <c r="F12" s="185">
        <v>1.4604461234502901E-2</v>
      </c>
      <c r="G12" s="186">
        <v>1.0952088320054401</v>
      </c>
      <c r="H12" s="42">
        <f t="shared" si="0"/>
        <v>0.91267402667119724</v>
      </c>
      <c r="I12" s="47">
        <f>+'Centers of Mass and Rigidity'!L11-'Centers of Mass and Rigidity'!F11</f>
        <v>2.0913367737911006</v>
      </c>
      <c r="J12" s="47">
        <f>+'Centers of Mass and Rigidity'!M11-'Centers of Mass and Rigidity'!G11</f>
        <v>2.6436306408591292E-2</v>
      </c>
      <c r="K12" s="172">
        <f>IF(+'Sismo UBC-94 y Dinamico'!O21=0,'Sismo UBC-94 y Dinamico'!M21,'Sismo UBC-94 y Dinamico'!O21)</f>
        <v>9860.7645541353995</v>
      </c>
      <c r="L12" s="172">
        <f>IF(+'Sismo UBC-94 y Dinamico'!P21=0,'Sismo UBC-94 y Dinamico'!N21,'Sismo UBC-94 y Dinamico'!P21)</f>
        <v>395.94435905581986</v>
      </c>
      <c r="M12" s="52">
        <f t="shared" si="3"/>
        <v>-850.89323454489852</v>
      </c>
      <c r="N12" s="172">
        <f t="shared" si="1"/>
        <v>19</v>
      </c>
      <c r="O12" s="172">
        <f t="shared" si="2"/>
        <v>19</v>
      </c>
      <c r="P12" s="95">
        <f t="shared" si="4"/>
        <v>-818.04581933322879</v>
      </c>
      <c r="Q12" s="95">
        <f t="shared" si="5"/>
        <v>-32.847415211668476</v>
      </c>
      <c r="R12" s="95">
        <f t="shared" si="6"/>
        <v>-850.89323454489727</v>
      </c>
    </row>
    <row r="13" spans="2:18" s="151" customFormat="1" x14ac:dyDescent="0.3">
      <c r="B13" s="184" t="s">
        <v>26</v>
      </c>
      <c r="C13" s="185" t="s">
        <v>79</v>
      </c>
      <c r="D13" s="185" t="s">
        <v>218</v>
      </c>
      <c r="E13" s="185">
        <v>1.29223373777127E-2</v>
      </c>
      <c r="F13" s="185">
        <v>1.17791518611613E-2</v>
      </c>
      <c r="G13" s="186">
        <v>1.0970515984534299</v>
      </c>
      <c r="H13" s="42">
        <f t="shared" si="0"/>
        <v>0.91420966537785853</v>
      </c>
      <c r="I13" s="47">
        <f>+'Centers of Mass and Rigidity'!L12-'Centers of Mass and Rigidity'!F12</f>
        <v>2.0466633844869992</v>
      </c>
      <c r="J13" s="47">
        <f>+'Centers of Mass and Rigidity'!M12-'Centers of Mass and Rigidity'!G12</f>
        <v>3.0439365442511246E-2</v>
      </c>
      <c r="K13" s="172">
        <f>IF(+'Sismo UBC-94 y Dinamico'!O22=0,'Sismo UBC-94 y Dinamico'!M22,'Sismo UBC-94 y Dinamico'!O22)</f>
        <v>8540.3584143974003</v>
      </c>
      <c r="L13" s="172">
        <f>IF(+'Sismo UBC-94 y Dinamico'!P22=0,'Sismo UBC-94 y Dinamico'!N22,'Sismo UBC-94 y Dinamico'!P22)</f>
        <v>339.70128591557022</v>
      </c>
      <c r="M13" s="52">
        <f t="shared" si="3"/>
        <v>-723.73212849672097</v>
      </c>
      <c r="N13" s="172">
        <f t="shared" si="1"/>
        <v>19</v>
      </c>
      <c r="O13" s="172">
        <f t="shared" si="2"/>
        <v>19</v>
      </c>
      <c r="P13" s="95">
        <f t="shared" si="4"/>
        <v>-696.04619585596629</v>
      </c>
      <c r="Q13" s="95">
        <f t="shared" si="5"/>
        <v>-27.685932640755141</v>
      </c>
      <c r="R13" s="95">
        <f t="shared" si="6"/>
        <v>-723.73212849672143</v>
      </c>
    </row>
    <row r="14" spans="2:18" s="151" customFormat="1" x14ac:dyDescent="0.3">
      <c r="B14" s="184" t="s">
        <v>25</v>
      </c>
      <c r="C14" s="185" t="s">
        <v>79</v>
      </c>
      <c r="D14" s="185" t="s">
        <v>218</v>
      </c>
      <c r="E14" s="185">
        <v>9.6554863611166691E-3</v>
      </c>
      <c r="F14" s="185">
        <v>8.7834482889386604E-3</v>
      </c>
      <c r="G14" s="186">
        <v>1.09928197257974</v>
      </c>
      <c r="H14" s="42">
        <f t="shared" si="0"/>
        <v>0.91606831048312021</v>
      </c>
      <c r="I14" s="47">
        <f>+'Centers of Mass and Rigidity'!L13-'Centers of Mass and Rigidity'!F13</f>
        <v>1.9420041561477994</v>
      </c>
      <c r="J14" s="47">
        <f>+'Centers of Mass and Rigidity'!M13-'Centers of Mass and Rigidity'!G13</f>
        <v>3.3201290618540824E-2</v>
      </c>
      <c r="K14" s="172">
        <f>IF(+'Sismo UBC-94 y Dinamico'!O23=0,'Sismo UBC-94 y Dinamico'!M23,'Sismo UBC-94 y Dinamico'!O23)</f>
        <v>7187.9443554934987</v>
      </c>
      <c r="L14" s="172">
        <f>IF(+'Sismo UBC-94 y Dinamico'!P23=0,'Sismo UBC-94 y Dinamico'!N23,'Sismo UBC-94 y Dinamico'!P23)</f>
        <v>279.43250042619002</v>
      </c>
      <c r="M14" s="52">
        <f t="shared" si="3"/>
        <v>-595.41207798775611</v>
      </c>
      <c r="N14" s="172">
        <f t="shared" si="1"/>
        <v>19</v>
      </c>
      <c r="O14" s="172">
        <f t="shared" si="2"/>
        <v>19</v>
      </c>
      <c r="P14" s="95">
        <f t="shared" si="4"/>
        <v>-573.13149821439401</v>
      </c>
      <c r="Q14" s="95">
        <f t="shared" si="5"/>
        <v>-22.280579773361524</v>
      </c>
      <c r="R14" s="95">
        <f t="shared" si="6"/>
        <v>-595.41207798775554</v>
      </c>
    </row>
    <row r="15" spans="2:18" s="151" customFormat="1" x14ac:dyDescent="0.3">
      <c r="B15" s="184" t="s">
        <v>24</v>
      </c>
      <c r="C15" s="185" t="s">
        <v>79</v>
      </c>
      <c r="D15" s="185" t="s">
        <v>218</v>
      </c>
      <c r="E15" s="185">
        <v>6.2720719819323997E-3</v>
      </c>
      <c r="F15" s="185">
        <v>5.6891728785562704E-3</v>
      </c>
      <c r="G15" s="186">
        <v>1.1024576183250101</v>
      </c>
      <c r="H15" s="42">
        <f t="shared" si="0"/>
        <v>0.91871468193751016</v>
      </c>
      <c r="I15" s="47">
        <f>+'Centers of Mass and Rigidity'!L14-'Centers of Mass and Rigidity'!F14</f>
        <v>1.6938355977928996</v>
      </c>
      <c r="J15" s="47">
        <f>+'Centers of Mass and Rigidity'!M14-'Centers of Mass and Rigidity'!G14</f>
        <v>3.1319352644880283E-2</v>
      </c>
      <c r="K15" s="172">
        <f>IF(+'Sismo UBC-94 y Dinamico'!O24=0,'Sismo UBC-94 y Dinamico'!M24,'Sismo UBC-94 y Dinamico'!O24)</f>
        <v>5494.9126095410029</v>
      </c>
      <c r="L15" s="172">
        <f>IF(+'Sismo UBC-94 y Dinamico'!P24=0,'Sismo UBC-94 y Dinamico'!N24,'Sismo UBC-94 y Dinamico'!P24)</f>
        <v>202.52779003768956</v>
      </c>
      <c r="M15" s="52">
        <f t="shared" si="3"/>
        <v>-439.9623422707416</v>
      </c>
      <c r="N15" s="172">
        <f t="shared" si="1"/>
        <v>19</v>
      </c>
      <c r="O15" s="172">
        <f t="shared" si="2"/>
        <v>19</v>
      </c>
      <c r="P15" s="95">
        <f t="shared" si="4"/>
        <v>-424.32293323252088</v>
      </c>
      <c r="Q15" s="95">
        <f t="shared" si="5"/>
        <v>-15.639409038221402</v>
      </c>
      <c r="R15" s="95">
        <f t="shared" si="6"/>
        <v>-439.96234227074228</v>
      </c>
    </row>
    <row r="16" spans="2:18" s="151" customFormat="1" x14ac:dyDescent="0.3">
      <c r="B16" s="187" t="s">
        <v>22</v>
      </c>
      <c r="C16" s="188" t="s">
        <v>79</v>
      </c>
      <c r="D16" s="188" t="s">
        <v>218</v>
      </c>
      <c r="E16" s="188">
        <v>2.8994773606483802E-3</v>
      </c>
      <c r="F16" s="188">
        <v>2.61517323848539E-3</v>
      </c>
      <c r="G16" s="189">
        <v>1.10871330356977</v>
      </c>
      <c r="H16" s="42">
        <f t="shared" si="0"/>
        <v>0.92392775297480501</v>
      </c>
      <c r="I16" s="47">
        <f>+'Centers of Mass and Rigidity'!L15-'Centers of Mass and Rigidity'!F15</f>
        <v>1.0485802819618986</v>
      </c>
      <c r="J16" s="47">
        <f>+'Centers of Mass and Rigidity'!M15-'Centers of Mass and Rigidity'!G15</f>
        <v>1.4194036788110154E-2</v>
      </c>
      <c r="K16" s="172">
        <f>IF(+'Sismo UBC-94 y Dinamico'!O25=0,'Sismo UBC-94 y Dinamico'!M25,'Sismo UBC-94 y Dinamico'!O25)</f>
        <v>3086.7252324540023</v>
      </c>
      <c r="L16" s="172">
        <f>IF(+'Sismo UBC-94 y Dinamico'!P25=0,'Sismo UBC-94 y Dinamico'!N25,'Sismo UBC-94 y Dinamico'!P25)</f>
        <v>100.46373334534019</v>
      </c>
      <c r="M16" s="52">
        <f t="shared" si="3"/>
        <v>-230.33379500615018</v>
      </c>
      <c r="N16" s="172">
        <f t="shared" si="1"/>
        <v>19</v>
      </c>
      <c r="O16" s="172">
        <f t="shared" si="2"/>
        <v>19</v>
      </c>
      <c r="P16" s="95">
        <f t="shared" si="4"/>
        <v>-223.07341816303642</v>
      </c>
      <c r="Q16" s="95">
        <f t="shared" si="5"/>
        <v>-7.2603768431140452</v>
      </c>
      <c r="R16" s="95">
        <f t="shared" si="6"/>
        <v>-230.33379500615047</v>
      </c>
    </row>
    <row r="17" spans="2:18" s="151" customFormat="1" x14ac:dyDescent="0.3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3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3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3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3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3">
      <c r="B24" s="184" t="s">
        <v>189</v>
      </c>
      <c r="C24" s="185" t="s">
        <v>80</v>
      </c>
      <c r="D24" s="185" t="s">
        <v>218</v>
      </c>
      <c r="E24" s="185">
        <v>2.58208581781279E-2</v>
      </c>
      <c r="F24" s="185">
        <v>2.53361662377572E-2</v>
      </c>
      <c r="G24" s="186">
        <v>1.0191304373290799</v>
      </c>
      <c r="H24" s="42">
        <f>+E24/(1.2*F24)</f>
        <v>0.84927536444090446</v>
      </c>
      <c r="I24" s="47">
        <f t="shared" ref="I24:L28" si="7">+I6</f>
        <v>-1.0640095316422986</v>
      </c>
      <c r="J24" s="47">
        <f t="shared" si="7"/>
        <v>-0.22301084014614947</v>
      </c>
      <c r="K24" s="48">
        <f>+K6</f>
        <v>1142.6976359302701</v>
      </c>
      <c r="L24" s="48">
        <f>+L6</f>
        <v>49.927071877438699</v>
      </c>
      <c r="M24" s="52">
        <f>-0.05*N24*K24*(H24-1)-0.05*O24*L24*(H24-1)</f>
        <v>170.77002822093525</v>
      </c>
      <c r="N24" s="172">
        <f>+$N$3</f>
        <v>19</v>
      </c>
      <c r="O24" s="172">
        <f>+$O$3</f>
        <v>19</v>
      </c>
      <c r="P24" s="95">
        <f>+K24*(J24-0.05*N24*H24)-K24*(J24-0.05*N24)</f>
        <v>163.62105049333854</v>
      </c>
      <c r="Q24" s="95">
        <f>+L24*(I24-0.05*O24*H24)-L24*(I24-0.05*O24)</f>
        <v>7.1489777275967441</v>
      </c>
      <c r="R24" s="95">
        <f>+P24+Q24</f>
        <v>170.77002822093527</v>
      </c>
    </row>
    <row r="25" spans="2:18" x14ac:dyDescent="0.3">
      <c r="B25" s="184" t="s">
        <v>187</v>
      </c>
      <c r="C25" s="185" t="s">
        <v>80</v>
      </c>
      <c r="D25" s="185" t="s">
        <v>218</v>
      </c>
      <c r="E25" s="185">
        <v>2.6029105677915099E-2</v>
      </c>
      <c r="F25" s="185">
        <v>2.4051625387992499E-2</v>
      </c>
      <c r="G25" s="186">
        <v>1.0822181560714701</v>
      </c>
      <c r="H25" s="42">
        <f>+E25/(1.2*F25)</f>
        <v>0.90184846339289526</v>
      </c>
      <c r="I25" s="47">
        <f t="shared" si="7"/>
        <v>1.9450928567303993</v>
      </c>
      <c r="J25" s="47">
        <f t="shared" si="7"/>
        <v>7.31741123726799E-2</v>
      </c>
      <c r="K25" s="48">
        <f t="shared" si="7"/>
        <v>16372.925813656029</v>
      </c>
      <c r="L25" s="48">
        <f t="shared" si="7"/>
        <v>650.98546053138932</v>
      </c>
      <c r="M25" s="52">
        <f>-0.05*N25*K25*(H25-1)-0.05*O25*L25*(H25-1)</f>
        <v>1587.3768980932841</v>
      </c>
      <c r="N25" s="172">
        <f t="shared" ref="N25:N34" si="8">+$N$3</f>
        <v>19</v>
      </c>
      <c r="O25" s="172">
        <f t="shared" ref="O25:O34" si="9">+$O$3</f>
        <v>19</v>
      </c>
      <c r="P25" s="95">
        <f>+K25*(J25-0.05*N25*H25)-K25*(J25-0.05*N25)</f>
        <v>1526.6764359962453</v>
      </c>
      <c r="Q25" s="95">
        <f>+L25*(I25-0.05*O25*H25)-L25*(I25-0.05*O25)</f>
        <v>60.700462097037644</v>
      </c>
      <c r="R25" s="95">
        <f>+P25+Q25</f>
        <v>1587.376898093283</v>
      </c>
    </row>
    <row r="26" spans="2:18" x14ac:dyDescent="0.3">
      <c r="B26" s="184" t="s">
        <v>185</v>
      </c>
      <c r="C26" s="185" t="s">
        <v>80</v>
      </c>
      <c r="D26" s="185" t="s">
        <v>218</v>
      </c>
      <c r="E26" s="185">
        <v>2.4908768393160401E-2</v>
      </c>
      <c r="F26" s="185">
        <v>2.2991951506546301E-2</v>
      </c>
      <c r="G26" s="186">
        <v>1.0833690383379699</v>
      </c>
      <c r="H26" s="42">
        <f>+E26/(1.2*F26)</f>
        <v>0.90280753194831176</v>
      </c>
      <c r="I26" s="47">
        <f t="shared" si="7"/>
        <v>2.0547796687828992</v>
      </c>
      <c r="J26" s="47">
        <f t="shared" si="7"/>
        <v>6.8322035455299357E-3</v>
      </c>
      <c r="K26" s="48">
        <f t="shared" si="7"/>
        <v>18562.170846961501</v>
      </c>
      <c r="L26" s="48">
        <f t="shared" si="7"/>
        <v>730.89259242616197</v>
      </c>
      <c r="M26" s="52">
        <f>-0.05*N26*K26*(H26-1)-0.05*O26*L26*(H26-1)</f>
        <v>1781.3834293542861</v>
      </c>
      <c r="N26" s="172">
        <f t="shared" si="8"/>
        <v>19</v>
      </c>
      <c r="O26" s="172">
        <f t="shared" si="9"/>
        <v>19</v>
      </c>
      <c r="P26" s="95">
        <f>+K26*(J26-0.05*N26*H26)-K26*(J26-0.05*N26)</f>
        <v>1713.8980371626185</v>
      </c>
      <c r="Q26" s="95">
        <f>+L26*(I26-0.05*O26*H26)-L26*(I26-0.05*O26)</f>
        <v>67.485392191665596</v>
      </c>
      <c r="R26" s="95">
        <f>+P26+Q26</f>
        <v>1781.3834293542841</v>
      </c>
    </row>
    <row r="27" spans="2:18" x14ac:dyDescent="0.3">
      <c r="B27" s="184" t="s">
        <v>183</v>
      </c>
      <c r="C27" s="185" t="s">
        <v>80</v>
      </c>
      <c r="D27" s="185" t="s">
        <v>218</v>
      </c>
      <c r="E27" s="185">
        <v>2.3276192453039999E-2</v>
      </c>
      <c r="F27" s="185">
        <v>2.14638864757721E-2</v>
      </c>
      <c r="G27" s="186">
        <v>1.0844351268496299</v>
      </c>
      <c r="H27" s="42">
        <f>+E27/(1.2*F27)</f>
        <v>0.90369593904135925</v>
      </c>
      <c r="I27" s="47">
        <f t="shared" si="7"/>
        <v>2.0829940099477007</v>
      </c>
      <c r="J27" s="47">
        <f t="shared" si="7"/>
        <v>1.2498155653510423E-2</v>
      </c>
      <c r="K27" s="48">
        <f t="shared" si="7"/>
        <v>15626.712544258</v>
      </c>
      <c r="L27" s="48">
        <f t="shared" si="7"/>
        <v>620.36815768770998</v>
      </c>
      <c r="M27" s="52">
        <f>-0.05*N27*K27*(H27-1)-0.05*O27*L27*(H27-1)</f>
        <v>1486.4268578041288</v>
      </c>
      <c r="N27" s="172">
        <f t="shared" si="8"/>
        <v>19</v>
      </c>
      <c r="O27" s="172">
        <f t="shared" si="9"/>
        <v>19</v>
      </c>
      <c r="P27" s="95">
        <f>+K27*(J27-0.05*N27*H27)-K27*(J27-0.05*N27)</f>
        <v>1429.6700835731099</v>
      </c>
      <c r="Q27" s="95">
        <f>+L27*(I27-0.05*O27*H27)-L27*(I27-0.05*O27)</f>
        <v>56.756774231018994</v>
      </c>
      <c r="R27" s="95">
        <f>+P27+Q27</f>
        <v>1486.4268578041288</v>
      </c>
    </row>
    <row r="28" spans="2:18" x14ac:dyDescent="0.3">
      <c r="B28" s="184" t="s">
        <v>181</v>
      </c>
      <c r="C28" s="185" t="s">
        <v>80</v>
      </c>
      <c r="D28" s="185" t="s">
        <v>218</v>
      </c>
      <c r="E28" s="185">
        <v>2.1181339809043499E-2</v>
      </c>
      <c r="F28" s="185">
        <v>1.9513694398763898E-2</v>
      </c>
      <c r="G28" s="186">
        <v>1.0854602606867301</v>
      </c>
      <c r="H28" s="42">
        <f>+E28/(1.2*F28)</f>
        <v>0.90455021723894402</v>
      </c>
      <c r="I28" s="47">
        <f t="shared" si="7"/>
        <v>2.100678594999799</v>
      </c>
      <c r="J28" s="47">
        <f t="shared" si="7"/>
        <v>1.7448323389309905E-2</v>
      </c>
      <c r="K28" s="48">
        <f t="shared" si="7"/>
        <v>13211.382645929603</v>
      </c>
      <c r="L28" s="48">
        <f t="shared" si="7"/>
        <v>530.2690280391098</v>
      </c>
      <c r="M28" s="52">
        <f>-0.05*N28*K28*(H28-1)-0.05*O28*L28*(H28-1)</f>
        <v>1246.0557837054942</v>
      </c>
      <c r="N28" s="172">
        <f t="shared" si="8"/>
        <v>19</v>
      </c>
      <c r="O28" s="172">
        <f t="shared" si="9"/>
        <v>19</v>
      </c>
      <c r="P28" s="95">
        <f>+K28*(J28-0.05*N28*H28)-K28*(J28-0.05*N28)</f>
        <v>1197.9724233508059</v>
      </c>
      <c r="Q28" s="95">
        <f>+L28*(I28-0.05*O28*H28)-L28*(I28-0.05*O28)</f>
        <v>48.083360354686761</v>
      </c>
      <c r="R28" s="95">
        <f>+P28+Q28</f>
        <v>1246.0557837054926</v>
      </c>
    </row>
    <row r="29" spans="2:18" s="151" customFormat="1" x14ac:dyDescent="0.3">
      <c r="B29" s="184" t="s">
        <v>179</v>
      </c>
      <c r="C29" s="185" t="s">
        <v>80</v>
      </c>
      <c r="D29" s="185" t="s">
        <v>218</v>
      </c>
      <c r="E29" s="185">
        <v>1.8698885696695401E-2</v>
      </c>
      <c r="F29" s="185">
        <v>1.72095126704974E-2</v>
      </c>
      <c r="G29" s="186">
        <v>1.0865435910193499</v>
      </c>
      <c r="H29" s="42">
        <f t="shared" ref="H29:H34" si="10">+E29/(1.2*F29)</f>
        <v>0.90545299251613232</v>
      </c>
      <c r="I29" s="47">
        <f t="shared" ref="I29:L34" si="11">+I11</f>
        <v>2.1052851186439003</v>
      </c>
      <c r="J29" s="47">
        <f t="shared" si="11"/>
        <v>2.2052189011530388E-2</v>
      </c>
      <c r="K29" s="48">
        <f t="shared" si="11"/>
        <v>11351.368564183293</v>
      </c>
      <c r="L29" s="48">
        <f t="shared" si="11"/>
        <v>457.56248039378033</v>
      </c>
      <c r="M29" s="52">
        <f t="shared" ref="M29:M34" si="12">-0.05*N29*K29*(H29-1)-0.05*O29*L29*(H29-1)</f>
        <v>1060.6741372557008</v>
      </c>
      <c r="N29" s="172">
        <f t="shared" si="8"/>
        <v>19</v>
      </c>
      <c r="O29" s="172">
        <f t="shared" si="9"/>
        <v>19</v>
      </c>
      <c r="P29" s="95">
        <f t="shared" ref="P29:P34" si="13">+K29*(J29-0.05*N29*H29)-K29*(J29-0.05*N29)</f>
        <v>1019.5760321604794</v>
      </c>
      <c r="Q29" s="95">
        <f t="shared" ref="Q29:Q34" si="14">+L29*(I29-0.05*O29*H29)-L29*(I29-0.05*O29)</f>
        <v>41.098105095221513</v>
      </c>
      <c r="R29" s="95">
        <f t="shared" ref="R29:R34" si="15">+P29+Q29</f>
        <v>1060.6741372557008</v>
      </c>
    </row>
    <row r="30" spans="2:18" s="151" customFormat="1" x14ac:dyDescent="0.3">
      <c r="B30" s="184" t="s">
        <v>39</v>
      </c>
      <c r="C30" s="185" t="s">
        <v>80</v>
      </c>
      <c r="D30" s="185" t="s">
        <v>218</v>
      </c>
      <c r="E30" s="185">
        <v>1.5897436755922201E-2</v>
      </c>
      <c r="F30" s="185">
        <v>1.46146729120621E-2</v>
      </c>
      <c r="G30" s="186">
        <v>1.0877723265911301</v>
      </c>
      <c r="H30" s="42">
        <f t="shared" si="10"/>
        <v>0.90647693882594427</v>
      </c>
      <c r="I30" s="47">
        <f t="shared" si="11"/>
        <v>2.0913367737911006</v>
      </c>
      <c r="J30" s="47">
        <f t="shared" si="11"/>
        <v>2.6436306408591292E-2</v>
      </c>
      <c r="K30" s="48">
        <f t="shared" si="11"/>
        <v>9860.7645541353995</v>
      </c>
      <c r="L30" s="48">
        <f t="shared" si="11"/>
        <v>395.94435905581986</v>
      </c>
      <c r="M30" s="52">
        <f t="shared" si="12"/>
        <v>911.27687437622194</v>
      </c>
      <c r="N30" s="172">
        <f t="shared" si="8"/>
        <v>19</v>
      </c>
      <c r="O30" s="172">
        <f t="shared" si="9"/>
        <v>19</v>
      </c>
      <c r="P30" s="95">
        <f t="shared" si="13"/>
        <v>876.09844228839938</v>
      </c>
      <c r="Q30" s="95">
        <f t="shared" si="14"/>
        <v>35.178432087824774</v>
      </c>
      <c r="R30" s="95">
        <f t="shared" si="15"/>
        <v>911.27687437622421</v>
      </c>
    </row>
    <row r="31" spans="2:18" s="151" customFormat="1" x14ac:dyDescent="0.3">
      <c r="B31" s="184" t="s">
        <v>26</v>
      </c>
      <c r="C31" s="185" t="s">
        <v>80</v>
      </c>
      <c r="D31" s="185" t="s">
        <v>218</v>
      </c>
      <c r="E31" s="185">
        <v>1.2840500968831801E-2</v>
      </c>
      <c r="F31" s="185">
        <v>1.17884263862913E-2</v>
      </c>
      <c r="G31" s="186">
        <v>1.0892463971072399</v>
      </c>
      <c r="H31" s="42">
        <f t="shared" si="10"/>
        <v>0.90770533092270578</v>
      </c>
      <c r="I31" s="47">
        <f t="shared" si="11"/>
        <v>2.0466633844869992</v>
      </c>
      <c r="J31" s="47">
        <f t="shared" si="11"/>
        <v>3.0439365442511246E-2</v>
      </c>
      <c r="K31" s="48">
        <f t="shared" si="11"/>
        <v>8540.3584143974003</v>
      </c>
      <c r="L31" s="48">
        <f t="shared" si="11"/>
        <v>339.70128591557022</v>
      </c>
      <c r="M31" s="52">
        <f t="shared" si="12"/>
        <v>778.60306285565207</v>
      </c>
      <c r="N31" s="172">
        <f t="shared" si="8"/>
        <v>19</v>
      </c>
      <c r="O31" s="172">
        <f t="shared" si="9"/>
        <v>19</v>
      </c>
      <c r="P31" s="95">
        <f t="shared" si="13"/>
        <v>748.81807597537863</v>
      </c>
      <c r="Q31" s="95">
        <f t="shared" si="14"/>
        <v>29.784986880273493</v>
      </c>
      <c r="R31" s="95">
        <f t="shared" si="15"/>
        <v>778.60306285565207</v>
      </c>
    </row>
    <row r="32" spans="2:18" s="151" customFormat="1" x14ac:dyDescent="0.3">
      <c r="B32" s="184" t="s">
        <v>25</v>
      </c>
      <c r="C32" s="185" t="s">
        <v>80</v>
      </c>
      <c r="D32" s="185" t="s">
        <v>218</v>
      </c>
      <c r="E32" s="185">
        <v>9.5920674020378693E-3</v>
      </c>
      <c r="F32" s="185">
        <v>8.7910746292713393E-3</v>
      </c>
      <c r="G32" s="186">
        <v>1.0911143183905501</v>
      </c>
      <c r="H32" s="42">
        <f t="shared" si="10"/>
        <v>0.90926193199212646</v>
      </c>
      <c r="I32" s="47">
        <f t="shared" si="11"/>
        <v>1.9420041561477994</v>
      </c>
      <c r="J32" s="47">
        <f t="shared" si="11"/>
        <v>3.3201290618540824E-2</v>
      </c>
      <c r="K32" s="48">
        <f t="shared" si="11"/>
        <v>7187.9443554934987</v>
      </c>
      <c r="L32" s="48">
        <f t="shared" si="11"/>
        <v>279.43250042619002</v>
      </c>
      <c r="M32" s="52">
        <f t="shared" si="12"/>
        <v>643.6965815432186</v>
      </c>
      <c r="N32" s="172">
        <f t="shared" si="8"/>
        <v>19</v>
      </c>
      <c r="O32" s="172">
        <f t="shared" si="9"/>
        <v>19</v>
      </c>
      <c r="P32" s="95">
        <f t="shared" si="13"/>
        <v>619.60917457730102</v>
      </c>
      <c r="Q32" s="95">
        <f t="shared" si="14"/>
        <v>24.087406965917694</v>
      </c>
      <c r="R32" s="95">
        <f t="shared" si="15"/>
        <v>643.69658154321871</v>
      </c>
    </row>
    <row r="33" spans="2:18" s="151" customFormat="1" x14ac:dyDescent="0.3">
      <c r="B33" s="184" t="s">
        <v>24</v>
      </c>
      <c r="C33" s="185" t="s">
        <v>80</v>
      </c>
      <c r="D33" s="185" t="s">
        <v>218</v>
      </c>
      <c r="E33" s="185">
        <v>6.2277466155633704E-3</v>
      </c>
      <c r="F33" s="185">
        <v>5.6943509163277801E-3</v>
      </c>
      <c r="G33" s="186">
        <v>1.0936710271413299</v>
      </c>
      <c r="H33" s="42">
        <f t="shared" si="10"/>
        <v>0.91139252261777404</v>
      </c>
      <c r="I33" s="47">
        <f t="shared" si="11"/>
        <v>1.6938355977928996</v>
      </c>
      <c r="J33" s="47">
        <f t="shared" si="11"/>
        <v>3.1319352644880283E-2</v>
      </c>
      <c r="K33" s="48">
        <f t="shared" si="11"/>
        <v>5494.9126095410029</v>
      </c>
      <c r="L33" s="48">
        <f t="shared" si="11"/>
        <v>202.52779003768956</v>
      </c>
      <c r="M33" s="52">
        <f t="shared" si="12"/>
        <v>479.59403027513707</v>
      </c>
      <c r="N33" s="172">
        <f t="shared" si="8"/>
        <v>19</v>
      </c>
      <c r="O33" s="172">
        <f t="shared" si="9"/>
        <v>19</v>
      </c>
      <c r="P33" s="95">
        <f t="shared" si="13"/>
        <v>462.5458275288529</v>
      </c>
      <c r="Q33" s="95">
        <f t="shared" si="14"/>
        <v>17.048202746284971</v>
      </c>
      <c r="R33" s="95">
        <f t="shared" si="15"/>
        <v>479.59403027513787</v>
      </c>
    </row>
    <row r="34" spans="2:18" s="151" customFormat="1" x14ac:dyDescent="0.3">
      <c r="B34" s="187" t="s">
        <v>22</v>
      </c>
      <c r="C34" s="188" t="s">
        <v>80</v>
      </c>
      <c r="D34" s="188" t="s">
        <v>218</v>
      </c>
      <c r="E34" s="188">
        <v>2.8732805138624801E-3</v>
      </c>
      <c r="F34" s="188">
        <v>2.6172563699649399E-3</v>
      </c>
      <c r="G34" s="189">
        <v>1.0978215763788499</v>
      </c>
      <c r="H34" s="42">
        <f t="shared" si="10"/>
        <v>0.91485131364903638</v>
      </c>
      <c r="I34" s="47">
        <f t="shared" si="11"/>
        <v>1.0485802819618986</v>
      </c>
      <c r="J34" s="47">
        <f t="shared" si="11"/>
        <v>1.4194036788110154E-2</v>
      </c>
      <c r="K34" s="48">
        <f t="shared" si="11"/>
        <v>3086.7252324540023</v>
      </c>
      <c r="L34" s="48">
        <f t="shared" si="11"/>
        <v>100.46373334534019</v>
      </c>
      <c r="M34" s="52">
        <f t="shared" si="12"/>
        <v>257.81570591059528</v>
      </c>
      <c r="N34" s="172">
        <f t="shared" si="8"/>
        <v>19</v>
      </c>
      <c r="O34" s="172">
        <f t="shared" si="9"/>
        <v>19</v>
      </c>
      <c r="P34" s="95">
        <f t="shared" si="13"/>
        <v>249.68906873633932</v>
      </c>
      <c r="Q34" s="95">
        <f t="shared" si="14"/>
        <v>8.1266371742557517</v>
      </c>
      <c r="R34" s="95">
        <f t="shared" si="15"/>
        <v>257.81570591059506</v>
      </c>
    </row>
    <row r="35" spans="2:18" s="151" customFormat="1" x14ac:dyDescent="0.3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3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3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3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3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3">
      <c r="B42" s="184" t="s">
        <v>189</v>
      </c>
      <c r="C42" s="185" t="s">
        <v>81</v>
      </c>
      <c r="D42" s="185" t="s">
        <v>221</v>
      </c>
      <c r="E42" s="185">
        <v>2.2422412410531702E-2</v>
      </c>
      <c r="F42" s="185">
        <v>2.1916683313246001E-2</v>
      </c>
      <c r="G42" s="186">
        <v>1.02307507436492</v>
      </c>
      <c r="H42" s="42">
        <f>+E42/(1.2*F42)</f>
        <v>0.85256256197077229</v>
      </c>
      <c r="I42" s="181">
        <f>+I24</f>
        <v>-1.0640095316422986</v>
      </c>
      <c r="J42" s="181">
        <f>+J24</f>
        <v>-0.22301084014614947</v>
      </c>
      <c r="K42" s="48">
        <f>IF(+'Sismo UBC-94 y Dinamico'!O34=0,'Sismo UBC-94 y Dinamico'!M34,'Sismo UBC-94 y Dinamico'!O34)</f>
        <v>135.84462792132393</v>
      </c>
      <c r="L42" s="48">
        <f>IF(+'Sismo UBC-94 y Dinamico'!P34=0,'Sismo UBC-94 y Dinamico'!N34,'Sismo UBC-94 y Dinamico'!P34)</f>
        <v>1011.9198368741713</v>
      </c>
      <c r="M42" s="52">
        <f>0.05*N42*K42*(H42-1)+0.05*O42*L42*(H42-1)</f>
        <v>-160.76227954291377</v>
      </c>
      <c r="N42" s="172">
        <f>+$N$3</f>
        <v>19</v>
      </c>
      <c r="O42" s="172">
        <f>+$O$3</f>
        <v>19</v>
      </c>
      <c r="P42" s="95">
        <f>+K42*(J42+0.05*N42*H42)-K42*(J42+0.05*N42)</f>
        <v>-19.027154715216014</v>
      </c>
      <c r="Q42" s="95">
        <f>+L42*(I42+0.05*O42*H42)-L42*(I42+0.05*O42)</f>
        <v>-141.73512482769777</v>
      </c>
      <c r="R42" s="95">
        <f>+P42+Q42</f>
        <v>-160.7622795429138</v>
      </c>
    </row>
    <row r="43" spans="2:18" x14ac:dyDescent="0.3">
      <c r="B43" s="184" t="s">
        <v>187</v>
      </c>
      <c r="C43" s="185" t="s">
        <v>81</v>
      </c>
      <c r="D43" s="185" t="s">
        <v>221</v>
      </c>
      <c r="E43" s="185">
        <v>2.5352019624322802E-2</v>
      </c>
      <c r="F43" s="185">
        <v>2.3036119457703799E-2</v>
      </c>
      <c r="G43" s="186">
        <v>1.1005334327628999</v>
      </c>
      <c r="H43" s="42">
        <f t="shared" ref="H43:H52" si="16">+E43/(1.2*F43)</f>
        <v>0.91711119396907637</v>
      </c>
      <c r="I43" s="181">
        <f t="shared" ref="I43:J43" si="17">+I25</f>
        <v>1.9450928567303993</v>
      </c>
      <c r="J43" s="181">
        <f t="shared" si="17"/>
        <v>7.31741123726799E-2</v>
      </c>
      <c r="K43" s="48">
        <f>IF(+'Sismo UBC-94 y Dinamico'!O35=0,'Sismo UBC-94 y Dinamico'!M35,'Sismo UBC-94 y Dinamico'!O35)</f>
        <v>734.66252039068809</v>
      </c>
      <c r="L43" s="48">
        <f>IF(+'Sismo UBC-94 y Dinamico'!P35=0,'Sismo UBC-94 y Dinamico'!N35,'Sismo UBC-94 y Dinamico'!P35)</f>
        <v>15659.005522832706</v>
      </c>
      <c r="M43" s="52">
        <f>0.05*N43*K43*(H43-1)+0.05*O43*L43*(H43-1)</f>
        <v>-1290.9089920415906</v>
      </c>
      <c r="N43" s="172">
        <f t="shared" ref="N43:N52" si="18">+$N$3</f>
        <v>19</v>
      </c>
      <c r="O43" s="172">
        <f t="shared" ref="O43:O52" si="19">+$O$3</f>
        <v>19</v>
      </c>
      <c r="P43" s="95">
        <f>+K43*(J43+0.05*N43*H43)-K43*(J43+0.05*N43)</f>
        <v>-57.85053419331075</v>
      </c>
      <c r="Q43" s="95">
        <f>+L43*(I43+0.05*O43*H43)-L43*(I43+0.05*O43)</f>
        <v>-1233.0584578482885</v>
      </c>
      <c r="R43" s="95">
        <f>+P43+Q43</f>
        <v>-1290.9089920415993</v>
      </c>
    </row>
    <row r="44" spans="2:18" x14ac:dyDescent="0.3">
      <c r="B44" s="184" t="s">
        <v>185</v>
      </c>
      <c r="C44" s="185" t="s">
        <v>81</v>
      </c>
      <c r="D44" s="185" t="s">
        <v>221</v>
      </c>
      <c r="E44" s="185">
        <v>2.4459990009199201E-2</v>
      </c>
      <c r="F44" s="185">
        <v>2.2159313194632799E-2</v>
      </c>
      <c r="G44" s="186">
        <v>1.10382437372308</v>
      </c>
      <c r="H44" s="42">
        <f t="shared" si="16"/>
        <v>0.91985364476923592</v>
      </c>
      <c r="I44" s="181">
        <f t="shared" ref="I44:J44" si="20">+I26</f>
        <v>2.0547796687828992</v>
      </c>
      <c r="J44" s="181">
        <f t="shared" si="20"/>
        <v>6.8322035455299357E-3</v>
      </c>
      <c r="K44" s="48">
        <f>IF(+'Sismo UBC-94 y Dinamico'!O36=0,'Sismo UBC-94 y Dinamico'!M36,'Sismo UBC-94 y Dinamico'!O36)</f>
        <v>867.45251960414316</v>
      </c>
      <c r="L44" s="48">
        <f>IF(+'Sismo UBC-94 y Dinamico'!P36=0,'Sismo UBC-94 y Dinamico'!N36,'Sismo UBC-94 y Dinamico'!P36)</f>
        <v>18231.652570772167</v>
      </c>
      <c r="M44" s="52">
        <f>0.05*N44*K44*(H44-1)+0.05*O44*L44*(H44-1)</f>
        <v>-1454.1874781048446</v>
      </c>
      <c r="N44" s="172">
        <f t="shared" si="18"/>
        <v>19</v>
      </c>
      <c r="O44" s="172">
        <f t="shared" si="19"/>
        <v>19</v>
      </c>
      <c r="P44" s="95">
        <f>+K44*(J44+0.05*N44*H44)-K44*(J44+0.05*N44)</f>
        <v>-66.0469998929143</v>
      </c>
      <c r="Q44" s="95">
        <f>+L44*(I44+0.05*O44*H44)-L44*(I44+0.05*O44)</f>
        <v>-1388.1404782119353</v>
      </c>
      <c r="R44" s="95">
        <f>+P44+Q44</f>
        <v>-1454.1874781048496</v>
      </c>
    </row>
    <row r="45" spans="2:18" x14ac:dyDescent="0.3">
      <c r="B45" s="184" t="s">
        <v>183</v>
      </c>
      <c r="C45" s="185" t="s">
        <v>81</v>
      </c>
      <c r="D45" s="185" t="s">
        <v>221</v>
      </c>
      <c r="E45" s="185">
        <v>2.3037859113385899E-2</v>
      </c>
      <c r="F45" s="185">
        <v>2.0809699268122601E-2</v>
      </c>
      <c r="G45" s="186">
        <v>1.1070731401042599</v>
      </c>
      <c r="H45" s="42">
        <f t="shared" si="16"/>
        <v>0.92256095008688699</v>
      </c>
      <c r="I45" s="181">
        <f t="shared" ref="I45:J45" si="21">+I27</f>
        <v>2.0829940099477007</v>
      </c>
      <c r="J45" s="181">
        <f t="shared" si="21"/>
        <v>1.2498155653510423E-2</v>
      </c>
      <c r="K45" s="48">
        <f>IF(+'Sismo UBC-94 y Dinamico'!O37=0,'Sismo UBC-94 y Dinamico'!M37,'Sismo UBC-94 y Dinamico'!O37)</f>
        <v>748.04237115108469</v>
      </c>
      <c r="L45" s="48">
        <f>IF(+'Sismo UBC-94 y Dinamico'!P37=0,'Sismo UBC-94 y Dinamico'!N37,'Sismo UBC-94 y Dinamico'!P37)</f>
        <v>15534.492387218705</v>
      </c>
      <c r="M45" s="52">
        <f>0.05*N45*K45*(H45-1)+0.05*O45*L45*(H45-1)</f>
        <v>-1197.8588207721259</v>
      </c>
      <c r="N45" s="172">
        <f t="shared" si="18"/>
        <v>19</v>
      </c>
      <c r="O45" s="172">
        <f t="shared" si="19"/>
        <v>19</v>
      </c>
      <c r="P45" s="95">
        <f>+K45*(J45+0.05*N45*H45)-K45*(J45+0.05*N45)</f>
        <v>-55.031305990857618</v>
      </c>
      <c r="Q45" s="95">
        <f>+L45*(I45+0.05*O45*H45)-L45*(I45+0.05*O45)</f>
        <v>-1142.8275147812674</v>
      </c>
      <c r="R45" s="95">
        <f>+P45+Q45</f>
        <v>-1197.858820772125</v>
      </c>
    </row>
    <row r="46" spans="2:18" x14ac:dyDescent="0.3">
      <c r="B46" s="184" t="s">
        <v>181</v>
      </c>
      <c r="C46" s="185" t="s">
        <v>81</v>
      </c>
      <c r="D46" s="185" t="s">
        <v>221</v>
      </c>
      <c r="E46" s="185">
        <v>2.1112270525655501E-2</v>
      </c>
      <c r="F46" s="185">
        <v>1.9026783458875401E-2</v>
      </c>
      <c r="G46" s="186">
        <v>1.1096079676991999</v>
      </c>
      <c r="H46" s="42">
        <f t="shared" si="16"/>
        <v>0.92467330641600043</v>
      </c>
      <c r="I46" s="181">
        <f t="shared" ref="I46:J46" si="22">+I28</f>
        <v>2.100678594999799</v>
      </c>
      <c r="J46" s="181">
        <f t="shared" si="22"/>
        <v>1.7448323389309905E-2</v>
      </c>
      <c r="K46" s="48">
        <f>IF(+'Sismo UBC-94 y Dinamico'!O38=0,'Sismo UBC-94 y Dinamico'!M38,'Sismo UBC-94 y Dinamico'!O38)</f>
        <v>643.69877171628207</v>
      </c>
      <c r="L46" s="48">
        <f>IF(+'Sismo UBC-94 y Dinamico'!P38=0,'Sismo UBC-94 y Dinamico'!N38,'Sismo UBC-94 y Dinamico'!P38)</f>
        <v>13176.539736940143</v>
      </c>
      <c r="M46" s="52">
        <f>0.05*N46*K46*(H46-1)+0.05*O46*L46*(H46-1)</f>
        <v>-988.98122782938606</v>
      </c>
      <c r="N46" s="172">
        <f t="shared" si="18"/>
        <v>19</v>
      </c>
      <c r="O46" s="172">
        <f t="shared" si="19"/>
        <v>19</v>
      </c>
      <c r="P46" s="95">
        <f>+K46*(J46+0.05*N46*H46)-K46*(J46+0.05*N46)</f>
        <v>-46.063315130595811</v>
      </c>
      <c r="Q46" s="95">
        <f>+L46*(I46+0.05*O46*H46)-L46*(I46+0.05*O46)</f>
        <v>-942.91791269879468</v>
      </c>
      <c r="R46" s="95">
        <f>+P46+Q46</f>
        <v>-988.98122782939049</v>
      </c>
    </row>
    <row r="47" spans="2:18" s="151" customFormat="1" x14ac:dyDescent="0.3">
      <c r="B47" s="184" t="s">
        <v>179</v>
      </c>
      <c r="C47" s="185" t="s">
        <v>81</v>
      </c>
      <c r="D47" s="185" t="s">
        <v>221</v>
      </c>
      <c r="E47" s="185">
        <v>1.8755863372460602E-2</v>
      </c>
      <c r="F47" s="185">
        <v>1.6876120511536901E-2</v>
      </c>
      <c r="G47" s="186">
        <v>1.11138477351111</v>
      </c>
      <c r="H47" s="42">
        <f t="shared" si="16"/>
        <v>0.92615397792592324</v>
      </c>
      <c r="I47" s="181">
        <f t="shared" ref="I47:J47" si="23">+I29</f>
        <v>2.1052851186439003</v>
      </c>
      <c r="J47" s="181">
        <f t="shared" si="23"/>
        <v>2.2052189011530388E-2</v>
      </c>
      <c r="K47" s="48">
        <f>IF(+'Sismo UBC-94 y Dinamico'!O39=0,'Sismo UBC-94 y Dinamico'!M39,'Sismo UBC-94 y Dinamico'!O39)</f>
        <v>557.24018106867493</v>
      </c>
      <c r="L47" s="48">
        <f>IF(+'Sismo UBC-94 y Dinamico'!P39=0,'Sismo UBC-94 y Dinamico'!N39,'Sismo UBC-94 y Dinamico'!P39)</f>
        <v>11325.276308834073</v>
      </c>
      <c r="M47" s="52">
        <f t="shared" ref="M47:M52" si="24">0.05*N47*K47*(H47-1)+0.05*O47*L47*(H47-1)</f>
        <v>-833.6027462584924</v>
      </c>
      <c r="N47" s="172">
        <f t="shared" si="18"/>
        <v>19</v>
      </c>
      <c r="O47" s="172">
        <f t="shared" si="19"/>
        <v>19</v>
      </c>
      <c r="P47" s="95">
        <f t="shared" ref="P47:P52" si="25">+K47*(J47+0.05*N47*H47)-K47*(J47+0.05*N47)</f>
        <v>-39.092472176171839</v>
      </c>
      <c r="Q47" s="95">
        <f t="shared" ref="Q47:Q52" si="26">+L47*(I47+0.05*O47*H47)-L47*(I47+0.05*O47)</f>
        <v>-794.51027408232039</v>
      </c>
      <c r="R47" s="95">
        <f t="shared" ref="R47:R52" si="27">+P47+Q47</f>
        <v>-833.60274625849229</v>
      </c>
    </row>
    <row r="48" spans="2:18" s="151" customFormat="1" x14ac:dyDescent="0.3">
      <c r="B48" s="184" t="s">
        <v>39</v>
      </c>
      <c r="C48" s="185" t="s">
        <v>81</v>
      </c>
      <c r="D48" s="185" t="s">
        <v>221</v>
      </c>
      <c r="E48" s="185">
        <v>1.6036451211610198E-2</v>
      </c>
      <c r="F48" s="185">
        <v>1.44186751382756E-2</v>
      </c>
      <c r="G48" s="186">
        <v>1.11220005013082</v>
      </c>
      <c r="H48" s="42">
        <f t="shared" si="16"/>
        <v>0.92683337510902075</v>
      </c>
      <c r="I48" s="181">
        <f t="shared" ref="I48:J48" si="28">+I30</f>
        <v>2.0913367737911006</v>
      </c>
      <c r="J48" s="181">
        <f t="shared" si="28"/>
        <v>2.6436306408591292E-2</v>
      </c>
      <c r="K48" s="48">
        <f>IF(+'Sismo UBC-94 y Dinamico'!O40=0,'Sismo UBC-94 y Dinamico'!M40,'Sismo UBC-94 y Dinamico'!O40)</f>
        <v>482.52246825082358</v>
      </c>
      <c r="L48" s="48">
        <f>IF(+'Sismo UBC-94 y Dinamico'!P40=0,'Sismo UBC-94 y Dinamico'!N40,'Sismo UBC-94 y Dinamico'!P40)</f>
        <v>9864.1351846361576</v>
      </c>
      <c r="M48" s="52">
        <f t="shared" si="24"/>
        <v>-719.17851839595346</v>
      </c>
      <c r="N48" s="172">
        <f t="shared" si="18"/>
        <v>19</v>
      </c>
      <c r="O48" s="172">
        <f t="shared" si="19"/>
        <v>19</v>
      </c>
      <c r="P48" s="95">
        <f t="shared" si="25"/>
        <v>-33.539313414178594</v>
      </c>
      <c r="Q48" s="95">
        <f t="shared" si="26"/>
        <v>-685.63920498177686</v>
      </c>
      <c r="R48" s="95">
        <f t="shared" si="27"/>
        <v>-719.17851839595551</v>
      </c>
    </row>
    <row r="49" spans="2:18" s="151" customFormat="1" x14ac:dyDescent="0.3">
      <c r="B49" s="184" t="s">
        <v>26</v>
      </c>
      <c r="C49" s="185" t="s">
        <v>81</v>
      </c>
      <c r="D49" s="185" t="s">
        <v>221</v>
      </c>
      <c r="E49" s="185">
        <v>1.3013335420181101E-2</v>
      </c>
      <c r="F49" s="185">
        <v>1.17083224100297E-2</v>
      </c>
      <c r="G49" s="186">
        <v>1.11146028990742</v>
      </c>
      <c r="H49" s="42">
        <f t="shared" si="16"/>
        <v>0.92621690825617975</v>
      </c>
      <c r="I49" s="181">
        <f t="shared" ref="I49:J49" si="29">+I31</f>
        <v>2.0466633844869992</v>
      </c>
      <c r="J49" s="181">
        <f t="shared" si="29"/>
        <v>3.0439365442511246E-2</v>
      </c>
      <c r="K49" s="48">
        <f>IF(+'Sismo UBC-94 y Dinamico'!O41=0,'Sismo UBC-94 y Dinamico'!M41,'Sismo UBC-94 y Dinamico'!O41)</f>
        <v>412.0785108374227</v>
      </c>
      <c r="L49" s="48">
        <f>IF(+'Sismo UBC-94 y Dinamico'!P41=0,'Sismo UBC-94 y Dinamico'!N41,'Sismo UBC-94 y Dinamico'!P41)</f>
        <v>8584.3401766235856</v>
      </c>
      <c r="M49" s="52">
        <f t="shared" si="24"/>
        <v>-630.59440611361686</v>
      </c>
      <c r="N49" s="172">
        <f t="shared" si="18"/>
        <v>19</v>
      </c>
      <c r="O49" s="172">
        <f t="shared" si="19"/>
        <v>19</v>
      </c>
      <c r="P49" s="95">
        <f t="shared" si="25"/>
        <v>-28.88420524223568</v>
      </c>
      <c r="Q49" s="95">
        <f t="shared" si="26"/>
        <v>-601.71020087138459</v>
      </c>
      <c r="R49" s="95">
        <f t="shared" si="27"/>
        <v>-630.59440611362027</v>
      </c>
    </row>
    <row r="50" spans="2:18" s="151" customFormat="1" x14ac:dyDescent="0.3">
      <c r="B50" s="184" t="s">
        <v>25</v>
      </c>
      <c r="C50" s="185" t="s">
        <v>81</v>
      </c>
      <c r="D50" s="185" t="s">
        <v>221</v>
      </c>
      <c r="E50" s="185">
        <v>9.7435272446156802E-3</v>
      </c>
      <c r="F50" s="185">
        <v>8.7971679438184798E-3</v>
      </c>
      <c r="G50" s="186">
        <v>1.1075754500585799</v>
      </c>
      <c r="H50" s="42">
        <f t="shared" si="16"/>
        <v>0.9229795417154848</v>
      </c>
      <c r="I50" s="181">
        <f t="shared" ref="I50:J50" si="30">+I32</f>
        <v>1.9420041561477994</v>
      </c>
      <c r="J50" s="181">
        <f t="shared" si="30"/>
        <v>3.3201290618540824E-2</v>
      </c>
      <c r="K50" s="48">
        <f>IF(+'Sismo UBC-94 y Dinamico'!O42=0,'Sismo UBC-94 y Dinamico'!M42,'Sismo UBC-94 y Dinamico'!O42)</f>
        <v>337.18288929484225</v>
      </c>
      <c r="L50" s="48">
        <f>IF(+'Sismo UBC-94 y Dinamico'!P42=0,'Sismo UBC-94 y Dinamico'!N42,'Sismo UBC-94 y Dinamico'!P42)</f>
        <v>7247.6181356074549</v>
      </c>
      <c r="M50" s="52">
        <f t="shared" si="24"/>
        <v>-554.97560838809375</v>
      </c>
      <c r="N50" s="172">
        <f t="shared" si="18"/>
        <v>19</v>
      </c>
      <c r="O50" s="172">
        <f t="shared" si="19"/>
        <v>19</v>
      </c>
      <c r="P50" s="95">
        <f t="shared" si="25"/>
        <v>-24.671481626226409</v>
      </c>
      <c r="Q50" s="95">
        <f t="shared" si="26"/>
        <v>-530.30412676187188</v>
      </c>
      <c r="R50" s="95">
        <f t="shared" si="27"/>
        <v>-554.97560838809829</v>
      </c>
    </row>
    <row r="51" spans="2:18" s="151" customFormat="1" x14ac:dyDescent="0.3">
      <c r="B51" s="184" t="s">
        <v>24</v>
      </c>
      <c r="C51" s="185" t="s">
        <v>81</v>
      </c>
      <c r="D51" s="185" t="s">
        <v>221</v>
      </c>
      <c r="E51" s="185">
        <v>6.2991308112108103E-3</v>
      </c>
      <c r="F51" s="185">
        <v>5.7482881954872096E-3</v>
      </c>
      <c r="G51" s="186">
        <v>1.09582724404042</v>
      </c>
      <c r="H51" s="42">
        <f t="shared" si="16"/>
        <v>0.91318937003368084</v>
      </c>
      <c r="I51" s="181">
        <f t="shared" ref="I51:J51" si="31">+I33</f>
        <v>1.6938355977928996</v>
      </c>
      <c r="J51" s="181">
        <f t="shared" si="31"/>
        <v>3.1319352644880283E-2</v>
      </c>
      <c r="K51" s="48">
        <f>IF(+'Sismo UBC-94 y Dinamico'!O43=0,'Sismo UBC-94 y Dinamico'!M43,'Sismo UBC-94 y Dinamico'!O43)</f>
        <v>246.66947521929262</v>
      </c>
      <c r="L51" s="48">
        <f>IF(+'Sismo UBC-94 y Dinamico'!P43=0,'Sismo UBC-94 y Dinamico'!N43,'Sismo UBC-94 y Dinamico'!P43)</f>
        <v>5576.0442948010077</v>
      </c>
      <c r="M51" s="52">
        <f t="shared" si="24"/>
        <v>-480.19977796457243</v>
      </c>
      <c r="N51" s="172">
        <f t="shared" si="18"/>
        <v>19</v>
      </c>
      <c r="O51" s="172">
        <f t="shared" si="19"/>
        <v>19</v>
      </c>
      <c r="P51" s="95">
        <f t="shared" si="25"/>
        <v>-20.342855910385737</v>
      </c>
      <c r="Q51" s="95">
        <f t="shared" si="26"/>
        <v>-459.85692205418854</v>
      </c>
      <c r="R51" s="95">
        <f t="shared" si="27"/>
        <v>-480.19977796457431</v>
      </c>
    </row>
    <row r="52" spans="2:18" s="151" customFormat="1" x14ac:dyDescent="0.3">
      <c r="B52" s="187" t="s">
        <v>22</v>
      </c>
      <c r="C52" s="188" t="s">
        <v>81</v>
      </c>
      <c r="D52" s="188" t="s">
        <v>221</v>
      </c>
      <c r="E52" s="188">
        <v>2.8329479601458302E-3</v>
      </c>
      <c r="F52" s="188">
        <v>2.66596047000156E-3</v>
      </c>
      <c r="G52" s="189">
        <v>1.0626368965419</v>
      </c>
      <c r="H52" s="42">
        <f t="shared" si="16"/>
        <v>0.88553074711824609</v>
      </c>
      <c r="I52" s="181">
        <f t="shared" ref="I52:J52" si="32">+I34</f>
        <v>1.0485802819618986</v>
      </c>
      <c r="J52" s="181">
        <f t="shared" si="32"/>
        <v>1.4194036788110154E-2</v>
      </c>
      <c r="K52" s="48">
        <f>IF(+'Sismo UBC-94 y Dinamico'!O44=0,'Sismo UBC-94 y Dinamico'!M44,'Sismo UBC-94 y Dinamico'!O44)</f>
        <v>130.62212470240522</v>
      </c>
      <c r="L52" s="48">
        <f>IF(+'Sismo UBC-94 y Dinamico'!P44=0,'Sismo UBC-94 y Dinamico'!N44,'Sismo UBC-94 y Dinamico'!P44)</f>
        <v>3194.3935334332346</v>
      </c>
      <c r="M52" s="52">
        <f t="shared" si="24"/>
        <v>-361.58145529657401</v>
      </c>
      <c r="N52" s="172">
        <f t="shared" si="18"/>
        <v>19</v>
      </c>
      <c r="O52" s="172">
        <f t="shared" si="19"/>
        <v>19</v>
      </c>
      <c r="P52" s="95">
        <f t="shared" si="25"/>
        <v>-14.204606173286024</v>
      </c>
      <c r="Q52" s="95">
        <f t="shared" si="26"/>
        <v>-347.37684912328859</v>
      </c>
      <c r="R52" s="95">
        <f t="shared" si="27"/>
        <v>-361.58145529657463</v>
      </c>
    </row>
    <row r="53" spans="2:18" s="151" customFormat="1" x14ac:dyDescent="0.3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3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3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3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3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3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3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3">
      <c r="B60" s="184" t="s">
        <v>189</v>
      </c>
      <c r="C60" s="185" t="s">
        <v>82</v>
      </c>
      <c r="D60" s="185" t="s">
        <v>221</v>
      </c>
      <c r="E60" s="185">
        <v>2.1251969192644399E-2</v>
      </c>
      <c r="F60" s="185">
        <v>1.9885220260963999E-2</v>
      </c>
      <c r="G60" s="186">
        <v>1.0687318980500999</v>
      </c>
      <c r="H60" s="42">
        <f>+E60/(1.2*F60)</f>
        <v>0.8906099150417518</v>
      </c>
      <c r="I60" s="181">
        <f>+I42</f>
        <v>-1.0640095316422986</v>
      </c>
      <c r="J60" s="181">
        <f>+J42</f>
        <v>-0.22301084014614947</v>
      </c>
      <c r="K60" s="48">
        <f>+K42</f>
        <v>135.84462792132393</v>
      </c>
      <c r="L60" s="48">
        <f>+L42</f>
        <v>1011.9198368741713</v>
      </c>
      <c r="M60" s="52">
        <f>-0.05*N60*K60*(H60-1)-0.05*O60*L60*(H60-1)</f>
        <v>119.27634970023563</v>
      </c>
      <c r="N60" s="172">
        <f>+$N$3</f>
        <v>19</v>
      </c>
      <c r="O60" s="172">
        <f>+$O$3</f>
        <v>19</v>
      </c>
      <c r="P60" s="95">
        <f>+K60*(J60-0.05*N60*H60)-K60*(J60-0.05*N60)</f>
        <v>14.117052619963488</v>
      </c>
      <c r="Q60" s="95">
        <f>+L60*(I60-0.05*O60*H60)-L60*(I60-0.05*O60)</f>
        <v>105.15929708027238</v>
      </c>
      <c r="R60" s="95">
        <f>+P60+Q60</f>
        <v>119.27634970023587</v>
      </c>
    </row>
    <row r="61" spans="2:18" x14ac:dyDescent="0.3">
      <c r="B61" s="184" t="s">
        <v>187</v>
      </c>
      <c r="C61" s="185" t="s">
        <v>82</v>
      </c>
      <c r="D61" s="185" t="s">
        <v>221</v>
      </c>
      <c r="E61" s="185">
        <v>3.0575034661066799E-2</v>
      </c>
      <c r="F61" s="185">
        <v>2.4224460378441399E-2</v>
      </c>
      <c r="G61" s="186">
        <v>1.2621554488073199</v>
      </c>
      <c r="H61" s="42">
        <f t="shared" ref="H61:H70" si="33">+E61/(1.2*F61)</f>
        <v>1.0517962073394318</v>
      </c>
      <c r="I61" s="181">
        <f t="shared" ref="I61:J61" si="34">+I43</f>
        <v>1.9450928567303993</v>
      </c>
      <c r="J61" s="181">
        <f t="shared" si="34"/>
        <v>7.31741123726799E-2</v>
      </c>
      <c r="K61" s="48">
        <f t="shared" ref="K61:L64" si="35">+K43</f>
        <v>734.66252039068809</v>
      </c>
      <c r="L61" s="48">
        <f t="shared" si="35"/>
        <v>15659.005522832706</v>
      </c>
      <c r="M61" s="52">
        <f>-0.05*N61*K61*(H61-1)-0.05*O61*L61*(H61-1)</f>
        <v>-806.67333756958533</v>
      </c>
      <c r="N61" s="172">
        <f t="shared" ref="N61:N70" si="36">+$N$3</f>
        <v>19</v>
      </c>
      <c r="O61" s="172">
        <f t="shared" ref="O61:O70" si="37">+$O$3</f>
        <v>19</v>
      </c>
      <c r="P61" s="95">
        <f>+K61*(J61-0.05*N61*H61)-K61*(J61-0.05*N61)</f>
        <v>-36.150095619132344</v>
      </c>
      <c r="Q61" s="95">
        <f>+L61*(I61-0.05*O61*H61)-L61*(I61-0.05*O61)</f>
        <v>-770.52324195045367</v>
      </c>
      <c r="R61" s="95">
        <f>+P61+Q61</f>
        <v>-806.67333756958601</v>
      </c>
    </row>
    <row r="62" spans="2:18" x14ac:dyDescent="0.3">
      <c r="B62" s="184" t="s">
        <v>185</v>
      </c>
      <c r="C62" s="185" t="s">
        <v>82</v>
      </c>
      <c r="D62" s="185" t="s">
        <v>221</v>
      </c>
      <c r="E62" s="185">
        <v>2.9544808882046601E-2</v>
      </c>
      <c r="F62" s="185">
        <v>2.33205667362654E-2</v>
      </c>
      <c r="G62" s="186">
        <v>1.26689926605008</v>
      </c>
      <c r="H62" s="42">
        <f t="shared" si="33"/>
        <v>1.0557493883750688</v>
      </c>
      <c r="I62" s="181">
        <f t="shared" ref="I62:J62" si="38">+I44</f>
        <v>2.0547796687828992</v>
      </c>
      <c r="J62" s="181">
        <f t="shared" si="38"/>
        <v>6.8322035455299357E-3</v>
      </c>
      <c r="K62" s="48">
        <f t="shared" si="35"/>
        <v>867.45251960414316</v>
      </c>
      <c r="L62" s="48">
        <f t="shared" si="35"/>
        <v>18231.652570772167</v>
      </c>
      <c r="M62" s="52">
        <f>-0.05*N62*K62*(H62-1)-0.05*O62*L62*(H62-1)</f>
        <v>-1011.5252559346607</v>
      </c>
      <c r="N62" s="172">
        <f t="shared" si="36"/>
        <v>19</v>
      </c>
      <c r="O62" s="172">
        <f t="shared" si="37"/>
        <v>19</v>
      </c>
      <c r="P62" s="95">
        <f>+K62*(J62-0.05*N62*H62)-K62*(J62-0.05*N62)</f>
        <v>-45.941950041726273</v>
      </c>
      <c r="Q62" s="95">
        <f>+L62*(I62-0.05*O62*H62)-L62*(I62-0.05*O62)</f>
        <v>-965.58330589293473</v>
      </c>
      <c r="R62" s="95">
        <f>+P62+Q62</f>
        <v>-1011.525255934661</v>
      </c>
    </row>
    <row r="63" spans="2:18" x14ac:dyDescent="0.3">
      <c r="B63" s="184" t="s">
        <v>183</v>
      </c>
      <c r="C63" s="185" t="s">
        <v>82</v>
      </c>
      <c r="D63" s="185" t="s">
        <v>221</v>
      </c>
      <c r="E63" s="185">
        <v>2.7867372368763799E-2</v>
      </c>
      <c r="F63" s="185">
        <v>2.1917930313963298E-2</v>
      </c>
      <c r="G63" s="186">
        <v>1.2714417816635799</v>
      </c>
      <c r="H63" s="42">
        <f t="shared" si="33"/>
        <v>1.0595348180529878</v>
      </c>
      <c r="I63" s="181">
        <f t="shared" ref="I63:J63" si="39">+I45</f>
        <v>2.0829940099477007</v>
      </c>
      <c r="J63" s="181">
        <f t="shared" si="39"/>
        <v>1.2498155653510423E-2</v>
      </c>
      <c r="K63" s="48">
        <f t="shared" si="35"/>
        <v>748.04237115108469</v>
      </c>
      <c r="L63" s="48">
        <f t="shared" si="35"/>
        <v>15534.492387218705</v>
      </c>
      <c r="M63" s="52">
        <f>-0.05*N63*K63*(H63-1)-0.05*O63*L63*(H63-1)</f>
        <v>-920.90885706694496</v>
      </c>
      <c r="N63" s="172">
        <f t="shared" si="36"/>
        <v>19</v>
      </c>
      <c r="O63" s="172">
        <f t="shared" si="37"/>
        <v>19</v>
      </c>
      <c r="P63" s="95">
        <f>+K63*(J63-0.05*N63*H63)-K63*(J63-0.05*N63)</f>
        <v>-42.307838139284968</v>
      </c>
      <c r="Q63" s="95">
        <f>+L63*(I63-0.05*O63*H63)-L63*(I63-0.05*O63)</f>
        <v>-878.6010189276567</v>
      </c>
      <c r="R63" s="95">
        <f>+P63+Q63</f>
        <v>-920.90885706694166</v>
      </c>
    </row>
    <row r="64" spans="2:18" x14ac:dyDescent="0.3">
      <c r="B64" s="184" t="s">
        <v>181</v>
      </c>
      <c r="C64" s="185" t="s">
        <v>82</v>
      </c>
      <c r="D64" s="185" t="s">
        <v>221</v>
      </c>
      <c r="E64" s="185">
        <v>2.5574243129089801E-2</v>
      </c>
      <c r="F64" s="185">
        <v>2.0054010818451099E-2</v>
      </c>
      <c r="G64" s="186">
        <v>1.2752682423787101</v>
      </c>
      <c r="H64" s="42">
        <f t="shared" si="33"/>
        <v>1.062723535315593</v>
      </c>
      <c r="I64" s="181">
        <f t="shared" ref="I64:J64" si="40">+I46</f>
        <v>2.100678594999799</v>
      </c>
      <c r="J64" s="181">
        <f t="shared" si="40"/>
        <v>1.7448323389309905E-2</v>
      </c>
      <c r="K64" s="48">
        <f t="shared" si="35"/>
        <v>643.69877171628207</v>
      </c>
      <c r="L64" s="48">
        <f t="shared" si="35"/>
        <v>13176.539736940143</v>
      </c>
      <c r="M64" s="52">
        <f>-0.05*N64*K64*(H64-1)-0.05*O64*L64*(H64-1)</f>
        <v>-823.5115072592489</v>
      </c>
      <c r="N64" s="172">
        <f t="shared" si="36"/>
        <v>19</v>
      </c>
      <c r="O64" s="172">
        <f t="shared" si="37"/>
        <v>19</v>
      </c>
      <c r="P64" s="95">
        <f>+K64*(J64-0.05*N64*H64)-K64*(J64-0.05*N64)</f>
        <v>-38.356309508332629</v>
      </c>
      <c r="Q64" s="95">
        <f>+L64*(I64-0.05*O64*H64)-L64*(I64-0.05*O64)</f>
        <v>-785.15519775091525</v>
      </c>
      <c r="R64" s="95">
        <f>+P64+Q64</f>
        <v>-823.51150725924788</v>
      </c>
    </row>
    <row r="65" spans="2:18" x14ac:dyDescent="0.3">
      <c r="B65" s="184" t="s">
        <v>179</v>
      </c>
      <c r="C65" s="185" t="s">
        <v>82</v>
      </c>
      <c r="D65" s="185" t="s">
        <v>221</v>
      </c>
      <c r="E65" s="185">
        <v>2.2753343760268E-2</v>
      </c>
      <c r="F65" s="185">
        <v>1.7797580401104601E-2</v>
      </c>
      <c r="G65" s="186">
        <v>1.2784515224808799</v>
      </c>
      <c r="H65" s="42">
        <f t="shared" si="33"/>
        <v>1.0653762687340644</v>
      </c>
      <c r="I65" s="181">
        <f t="shared" ref="I65:J65" si="41">+I47</f>
        <v>2.1052851186439003</v>
      </c>
      <c r="J65" s="181">
        <f t="shared" si="41"/>
        <v>2.2052189011530388E-2</v>
      </c>
      <c r="K65" s="48">
        <f t="shared" ref="K65:L70" si="42">+K47</f>
        <v>557.24018106867493</v>
      </c>
      <c r="L65" s="48">
        <f t="shared" si="42"/>
        <v>11325.276308834073</v>
      </c>
      <c r="M65" s="52">
        <f t="shared" ref="M65:M70" si="43">-0.05*N65*K65*(H65-1)-0.05*O65*L65*(H65-1)</f>
        <v>-737.99286171679239</v>
      </c>
      <c r="N65" s="172">
        <f t="shared" si="36"/>
        <v>19</v>
      </c>
      <c r="O65" s="172">
        <f t="shared" si="37"/>
        <v>19</v>
      </c>
      <c r="P65" s="95">
        <f t="shared" ref="P65:P70" si="44">+K65*(J65-0.05*N65*H65)-K65*(J65-0.05*N65)</f>
        <v>-34.608769635616227</v>
      </c>
      <c r="Q65" s="95">
        <f t="shared" ref="Q65:Q70" si="45">+L65*(I65-0.05*O65*H65)-L65*(I65-0.05*O65)</f>
        <v>-703.38409208117446</v>
      </c>
      <c r="R65" s="95">
        <f t="shared" ref="R65:R70" si="46">+P65+Q65</f>
        <v>-737.99286171679069</v>
      </c>
    </row>
    <row r="66" spans="2:18" x14ac:dyDescent="0.3">
      <c r="B66" s="184" t="s">
        <v>39</v>
      </c>
      <c r="C66" s="185" t="s">
        <v>82</v>
      </c>
      <c r="D66" s="185" t="s">
        <v>221</v>
      </c>
      <c r="E66" s="185">
        <v>1.9486170478429501E-2</v>
      </c>
      <c r="F66" s="185">
        <v>1.52127617271904E-2</v>
      </c>
      <c r="G66" s="186">
        <v>1.2809094645583701</v>
      </c>
      <c r="H66" s="42">
        <f t="shared" si="33"/>
        <v>1.0674245537986409</v>
      </c>
      <c r="I66" s="181">
        <f t="shared" ref="I66:J66" si="47">+I48</f>
        <v>2.0913367737911006</v>
      </c>
      <c r="J66" s="181">
        <f t="shared" si="47"/>
        <v>2.6436306408591292E-2</v>
      </c>
      <c r="K66" s="48">
        <f t="shared" si="42"/>
        <v>482.52246825082358</v>
      </c>
      <c r="L66" s="48">
        <f t="shared" si="42"/>
        <v>9864.1351846361576</v>
      </c>
      <c r="M66" s="52">
        <f t="shared" si="43"/>
        <v>-662.73783677553774</v>
      </c>
      <c r="N66" s="172">
        <f t="shared" si="36"/>
        <v>19</v>
      </c>
      <c r="O66" s="172">
        <f t="shared" si="37"/>
        <v>19</v>
      </c>
      <c r="P66" s="95">
        <f t="shared" si="44"/>
        <v>-30.907169013649082</v>
      </c>
      <c r="Q66" s="95">
        <f t="shared" si="45"/>
        <v>-631.83066776188571</v>
      </c>
      <c r="R66" s="95">
        <f t="shared" si="46"/>
        <v>-662.73783677553479</v>
      </c>
    </row>
    <row r="67" spans="2:18" x14ac:dyDescent="0.3">
      <c r="B67" s="184" t="s">
        <v>26</v>
      </c>
      <c r="C67" s="185" t="s">
        <v>82</v>
      </c>
      <c r="D67" s="185" t="s">
        <v>221</v>
      </c>
      <c r="E67" s="185">
        <v>1.58434011808062E-2</v>
      </c>
      <c r="F67" s="185">
        <v>1.2356003061493899E-2</v>
      </c>
      <c r="G67" s="186">
        <v>1.28224322233946</v>
      </c>
      <c r="H67" s="42">
        <f t="shared" si="33"/>
        <v>1.0685360186162187</v>
      </c>
      <c r="I67" s="181">
        <f t="shared" ref="I67:J67" si="48">+I49</f>
        <v>2.0466633844869992</v>
      </c>
      <c r="J67" s="181">
        <f t="shared" si="48"/>
        <v>3.0439365442511246E-2</v>
      </c>
      <c r="K67" s="48">
        <f t="shared" si="42"/>
        <v>412.0785108374227</v>
      </c>
      <c r="L67" s="48">
        <f t="shared" si="42"/>
        <v>8584.3401766235856</v>
      </c>
      <c r="M67" s="52">
        <f t="shared" si="43"/>
        <v>-585.74978271096938</v>
      </c>
      <c r="N67" s="172">
        <f t="shared" si="36"/>
        <v>19</v>
      </c>
      <c r="O67" s="172">
        <f t="shared" si="37"/>
        <v>19</v>
      </c>
      <c r="P67" s="95">
        <f t="shared" si="44"/>
        <v>-26.830109465592443</v>
      </c>
      <c r="Q67" s="95">
        <f t="shared" si="45"/>
        <v>-558.91967324537654</v>
      </c>
      <c r="R67" s="95">
        <f t="shared" si="46"/>
        <v>-585.74978271096893</v>
      </c>
    </row>
    <row r="68" spans="2:18" x14ac:dyDescent="0.3">
      <c r="B68" s="184" t="s">
        <v>25</v>
      </c>
      <c r="C68" s="185" t="s">
        <v>82</v>
      </c>
      <c r="D68" s="185" t="s">
        <v>221</v>
      </c>
      <c r="E68" s="185">
        <v>1.1892484322899599E-2</v>
      </c>
      <c r="F68" s="185">
        <v>9.2817526285591603E-3</v>
      </c>
      <c r="G68" s="186">
        <v>1.28127572440441</v>
      </c>
      <c r="H68" s="42">
        <f t="shared" si="33"/>
        <v>1.0677297703370017</v>
      </c>
      <c r="I68" s="181">
        <f t="shared" ref="I68:J68" si="49">+I50</f>
        <v>1.9420041561477994</v>
      </c>
      <c r="J68" s="181">
        <f t="shared" si="49"/>
        <v>3.3201290618540824E-2</v>
      </c>
      <c r="K68" s="48">
        <f t="shared" si="42"/>
        <v>337.18288929484225</v>
      </c>
      <c r="L68" s="48">
        <f t="shared" si="42"/>
        <v>7247.6181356074549</v>
      </c>
      <c r="M68" s="52">
        <f t="shared" si="43"/>
        <v>-488.0309898950631</v>
      </c>
      <c r="N68" s="172">
        <f t="shared" si="36"/>
        <v>19</v>
      </c>
      <c r="O68" s="172">
        <f t="shared" si="37"/>
        <v>19</v>
      </c>
      <c r="P68" s="95">
        <f t="shared" si="44"/>
        <v>-21.695453670831</v>
      </c>
      <c r="Q68" s="95">
        <f t="shared" si="45"/>
        <v>-466.33553622423187</v>
      </c>
      <c r="R68" s="95">
        <f t="shared" si="46"/>
        <v>-488.03098989506287</v>
      </c>
    </row>
    <row r="69" spans="2:18" x14ac:dyDescent="0.3">
      <c r="B69" s="184" t="s">
        <v>24</v>
      </c>
      <c r="C69" s="185" t="s">
        <v>82</v>
      </c>
      <c r="D69" s="185" t="s">
        <v>221</v>
      </c>
      <c r="E69" s="185">
        <v>7.71853206181888E-3</v>
      </c>
      <c r="F69" s="185">
        <v>6.0564479626644199E-3</v>
      </c>
      <c r="G69" s="186">
        <v>1.27443216046774</v>
      </c>
      <c r="H69" s="42">
        <f t="shared" si="33"/>
        <v>1.0620268003897864</v>
      </c>
      <c r="I69" s="181">
        <f t="shared" ref="I69:J69" si="50">+I51</f>
        <v>1.6938355977928996</v>
      </c>
      <c r="J69" s="181">
        <f t="shared" si="50"/>
        <v>3.1319352644880283E-2</v>
      </c>
      <c r="K69" s="48">
        <f t="shared" si="42"/>
        <v>246.66947521929262</v>
      </c>
      <c r="L69" s="48">
        <f t="shared" si="42"/>
        <v>5576.0442948010077</v>
      </c>
      <c r="M69" s="52">
        <f t="shared" si="43"/>
        <v>-343.10608950291413</v>
      </c>
      <c r="N69" s="172">
        <f t="shared" si="36"/>
        <v>19</v>
      </c>
      <c r="O69" s="172">
        <f t="shared" si="37"/>
        <v>19</v>
      </c>
      <c r="P69" s="95">
        <f t="shared" si="44"/>
        <v>-14.53511238659641</v>
      </c>
      <c r="Q69" s="95">
        <f t="shared" si="45"/>
        <v>-328.57097711631741</v>
      </c>
      <c r="R69" s="95">
        <f t="shared" si="46"/>
        <v>-343.10608950291385</v>
      </c>
    </row>
    <row r="70" spans="2:18" x14ac:dyDescent="0.3">
      <c r="B70" s="187" t="s">
        <v>22</v>
      </c>
      <c r="C70" s="188" t="s">
        <v>82</v>
      </c>
      <c r="D70" s="188" t="s">
        <v>221</v>
      </c>
      <c r="E70" s="188">
        <v>3.5010530903946601E-3</v>
      </c>
      <c r="F70" s="188">
        <v>2.7958743075794999E-3</v>
      </c>
      <c r="G70" s="189">
        <v>1.2522212035439</v>
      </c>
      <c r="H70" s="42">
        <f t="shared" si="33"/>
        <v>1.043517669619914</v>
      </c>
      <c r="I70" s="181">
        <f t="shared" ref="I70:J70" si="51">+I52</f>
        <v>1.0485802819618986</v>
      </c>
      <c r="J70" s="181">
        <f t="shared" si="51"/>
        <v>1.4194036788110154E-2</v>
      </c>
      <c r="K70" s="48">
        <f t="shared" si="42"/>
        <v>130.62212470240522</v>
      </c>
      <c r="L70" s="48">
        <f t="shared" si="42"/>
        <v>3194.3935334332346</v>
      </c>
      <c r="M70" s="52">
        <f t="shared" si="43"/>
        <v>-137.46208624719827</v>
      </c>
      <c r="N70" s="172">
        <f t="shared" si="36"/>
        <v>19</v>
      </c>
      <c r="O70" s="172">
        <f t="shared" si="37"/>
        <v>19</v>
      </c>
      <c r="P70" s="95">
        <f t="shared" si="44"/>
        <v>-5.4001519444579458</v>
      </c>
      <c r="Q70" s="95">
        <f t="shared" si="45"/>
        <v>-132.06193430274021</v>
      </c>
      <c r="R70" s="95">
        <f t="shared" si="46"/>
        <v>-137.46208624719816</v>
      </c>
    </row>
  </sheetData>
  <mergeCells count="1">
    <mergeCell ref="M2:P2"/>
  </mergeCells>
  <conditionalFormatting sqref="G1:G5 G19:G23 G37:G41 G55:G59 G71:G1048576">
    <cfRule type="cellIs" dxfId="6" priority="5" operator="greaterThan">
      <formula>1.2</formula>
    </cfRule>
  </conditionalFormatting>
  <conditionalFormatting sqref="G1:G23 G35:G41 G53:G59 G71:G1048576">
    <cfRule type="cellIs" dxfId="5" priority="4" operator="greaterThan">
      <formula>1.2</formula>
    </cfRule>
  </conditionalFormatting>
  <conditionalFormatting sqref="G24:G34">
    <cfRule type="cellIs" dxfId="4" priority="3" operator="greaterThan">
      <formula>1.2</formula>
    </cfRule>
  </conditionalFormatting>
  <conditionalFormatting sqref="G42:G52">
    <cfRule type="cellIs" dxfId="3" priority="2" operator="greaterThan">
      <formula>1.2</formula>
    </cfRule>
  </conditionalFormatting>
  <conditionalFormatting sqref="G60:G70">
    <cfRule type="cellIs" dxfId="2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S67"/>
  <sheetViews>
    <sheetView workbookViewId="0">
      <selection activeCell="I57" sqref="I57"/>
    </sheetView>
  </sheetViews>
  <sheetFormatPr baseColWidth="10" defaultRowHeight="14.4" x14ac:dyDescent="0.3"/>
  <cols>
    <col min="9" max="9" width="11.5546875" style="75"/>
  </cols>
  <sheetData>
    <row r="1" spans="2:16" x14ac:dyDescent="0.3">
      <c r="B1" s="79" t="s">
        <v>100</v>
      </c>
    </row>
    <row r="2" spans="2:16" x14ac:dyDescent="0.3">
      <c r="B2" s="9" t="s">
        <v>79</v>
      </c>
    </row>
    <row r="3" spans="2:16" x14ac:dyDescent="0.3">
      <c r="B3" s="54" t="s">
        <v>93</v>
      </c>
      <c r="C3" s="55"/>
      <c r="D3" s="55"/>
      <c r="E3" s="55"/>
      <c r="F3" s="55"/>
      <c r="G3" s="55"/>
      <c r="H3" s="55"/>
    </row>
    <row r="4" spans="2:16" x14ac:dyDescent="0.3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3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3">
      <c r="B6" s="53" t="s">
        <v>189</v>
      </c>
      <c r="C6" s="53" t="s">
        <v>79</v>
      </c>
      <c r="D6" s="172">
        <v>1091165.42847023</v>
      </c>
      <c r="E6" s="53">
        <f>0.7*D6</f>
        <v>763815.79992916097</v>
      </c>
      <c r="F6" s="1" t="str">
        <f>+IF(D6&lt;E5,"piso suave","ok")</f>
        <v>ok</v>
      </c>
      <c r="G6" s="53">
        <f>0.9*D6</f>
        <v>982048.88562320697</v>
      </c>
      <c r="H6" s="1"/>
      <c r="I6" s="78"/>
      <c r="L6" s="53"/>
      <c r="M6" s="53"/>
      <c r="N6" s="53"/>
      <c r="O6" s="53"/>
      <c r="P6" s="53"/>
    </row>
    <row r="7" spans="2:16" x14ac:dyDescent="0.3">
      <c r="B7" s="53" t="s">
        <v>187</v>
      </c>
      <c r="C7" s="53" t="s">
        <v>79</v>
      </c>
      <c r="D7" s="172">
        <v>14495344.2544936</v>
      </c>
      <c r="E7" s="53">
        <f>0.7*D7</f>
        <v>10146740.978145519</v>
      </c>
      <c r="F7" s="1" t="str">
        <f>+IF(D7&lt;E6,"piso suave","ok")</f>
        <v>ok</v>
      </c>
      <c r="G7" s="53">
        <f>0.9*D7</f>
        <v>13045809.82904424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3">
      <c r="B8" s="53" t="s">
        <v>185</v>
      </c>
      <c r="C8" s="53" t="s">
        <v>79</v>
      </c>
      <c r="D8" s="172">
        <v>22005729.0264351</v>
      </c>
      <c r="E8" s="53">
        <f>0.7*D8</f>
        <v>15404010.318504568</v>
      </c>
      <c r="F8" s="1" t="str">
        <f>+IF(D8&lt;E7,"piso suave","ok")</f>
        <v>ok</v>
      </c>
      <c r="G8" s="53">
        <f>0.9*D8</f>
        <v>19805156.12379159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3">
      <c r="B9" s="53" t="s">
        <v>183</v>
      </c>
      <c r="C9" s="53" t="s">
        <v>79</v>
      </c>
      <c r="D9" s="172">
        <v>25682787.194167498</v>
      </c>
      <c r="E9" s="53">
        <f>0.7*D9</f>
        <v>17977951.035917249</v>
      </c>
      <c r="F9" s="1" t="str">
        <f>+IF(D9&lt;E8,"piso suave","ok")</f>
        <v>ok</v>
      </c>
      <c r="G9" s="53">
        <f>0.9*D9</f>
        <v>23114508.47475075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3">
      <c r="B10" s="53" t="s">
        <v>181</v>
      </c>
      <c r="C10" s="53" t="s">
        <v>79</v>
      </c>
      <c r="D10" s="172">
        <v>27917872.6934557</v>
      </c>
      <c r="E10" s="53">
        <f>0.7*D10</f>
        <v>19542510.885418989</v>
      </c>
      <c r="F10" s="1" t="str">
        <f>+IF(D10&lt;E9,"piso suave","ok")</f>
        <v>ok</v>
      </c>
      <c r="G10" s="53">
        <f>0.9*D10</f>
        <v>25126085.424110129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3">
      <c r="B11" s="53" t="s">
        <v>179</v>
      </c>
      <c r="C11" s="53" t="s">
        <v>79</v>
      </c>
      <c r="D11" s="172">
        <v>29395295.057124399</v>
      </c>
      <c r="E11" s="53">
        <f t="shared" ref="E11:E16" si="0">0.7*D11</f>
        <v>20576706.539987076</v>
      </c>
      <c r="F11" s="1" t="str">
        <f t="shared" ref="F11:F16" si="1">+IF(D11&lt;E10,"piso suave","ok")</f>
        <v>ok</v>
      </c>
      <c r="G11" s="53">
        <f t="shared" ref="G11:G16" si="2">0.9*D11</f>
        <v>26455765.55141196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3">
      <c r="B12" s="53" t="s">
        <v>39</v>
      </c>
      <c r="C12" s="53" t="s">
        <v>79</v>
      </c>
      <c r="D12" s="172">
        <v>30484460.761243202</v>
      </c>
      <c r="E12" s="53">
        <f t="shared" si="0"/>
        <v>21339122.532870241</v>
      </c>
      <c r="F12" s="1" t="str">
        <f t="shared" si="1"/>
        <v>ok</v>
      </c>
      <c r="G12" s="53">
        <f t="shared" si="2"/>
        <v>27436014.685118884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3">
      <c r="B13" s="53" t="s">
        <v>26</v>
      </c>
      <c r="C13" s="53" t="s">
        <v>79</v>
      </c>
      <c r="D13" s="172">
        <v>31601388.182016701</v>
      </c>
      <c r="E13" s="53">
        <f t="shared" si="0"/>
        <v>22120971.727411687</v>
      </c>
      <c r="F13" s="1" t="str">
        <f t="shared" si="1"/>
        <v>ok</v>
      </c>
      <c r="G13" s="53">
        <f t="shared" si="2"/>
        <v>28441249.363815032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3">
      <c r="B14" s="53" t="s">
        <v>25</v>
      </c>
      <c r="C14" s="53" t="s">
        <v>79</v>
      </c>
      <c r="D14" s="172">
        <v>32917670.688226201</v>
      </c>
      <c r="E14" s="53">
        <f t="shared" si="0"/>
        <v>23042369.481758337</v>
      </c>
      <c r="F14" s="1" t="str">
        <f t="shared" si="1"/>
        <v>ok</v>
      </c>
      <c r="G14" s="53">
        <f t="shared" si="2"/>
        <v>29625903.619403582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3">
      <c r="B15" s="53" t="s">
        <v>24</v>
      </c>
      <c r="C15" s="53" t="s">
        <v>79</v>
      </c>
      <c r="D15" s="172">
        <v>34922333.853962697</v>
      </c>
      <c r="E15" s="53">
        <f t="shared" si="0"/>
        <v>24445633.697773885</v>
      </c>
      <c r="F15" s="1" t="str">
        <f t="shared" si="1"/>
        <v>ok</v>
      </c>
      <c r="G15" s="53">
        <f t="shared" si="2"/>
        <v>31430100.468566429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3">
      <c r="B16" s="53" t="s">
        <v>22</v>
      </c>
      <c r="C16" s="53" t="s">
        <v>79</v>
      </c>
      <c r="D16" s="172">
        <v>42229692.803147197</v>
      </c>
      <c r="E16" s="53">
        <f t="shared" si="0"/>
        <v>29560784.962203037</v>
      </c>
      <c r="F16" s="1" t="str">
        <f t="shared" si="1"/>
        <v>ok</v>
      </c>
      <c r="G16" s="53">
        <f t="shared" si="2"/>
        <v>38006723.522832476</v>
      </c>
      <c r="H16" s="1" t="str">
        <f t="shared" si="3"/>
        <v>ok</v>
      </c>
      <c r="I16" s="78"/>
      <c r="N16" s="53"/>
      <c r="O16" s="53"/>
    </row>
    <row r="19" spans="2:15" x14ac:dyDescent="0.3">
      <c r="B19" s="9" t="s">
        <v>80</v>
      </c>
    </row>
    <row r="20" spans="2:15" x14ac:dyDescent="0.3">
      <c r="B20" s="58" t="s">
        <v>93</v>
      </c>
      <c r="C20" s="59"/>
      <c r="D20" s="59"/>
      <c r="E20" s="59"/>
      <c r="F20" s="59"/>
      <c r="G20" s="59"/>
      <c r="H20" s="59"/>
    </row>
    <row r="21" spans="2:15" x14ac:dyDescent="0.3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3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3">
      <c r="B23" s="53" t="s">
        <v>189</v>
      </c>
      <c r="C23" s="53" t="s">
        <v>80</v>
      </c>
      <c r="D23" s="172">
        <v>1115700.6256219</v>
      </c>
      <c r="E23" s="53">
        <f>0.7*D23</f>
        <v>780990.43793532997</v>
      </c>
      <c r="F23" s="1" t="str">
        <f>+IF(D23&lt;E22,"piso suave","ok")</f>
        <v>ok</v>
      </c>
      <c r="G23" s="53">
        <f>0.9*D23</f>
        <v>1004130.56305971</v>
      </c>
      <c r="H23" s="1"/>
      <c r="M23" s="53"/>
      <c r="N23" s="53"/>
      <c r="O23" s="53"/>
    </row>
    <row r="24" spans="2:15" x14ac:dyDescent="0.3">
      <c r="B24" s="53" t="s">
        <v>187</v>
      </c>
      <c r="C24" s="53" t="s">
        <v>80</v>
      </c>
      <c r="D24" s="172">
        <v>14576762.387417801</v>
      </c>
      <c r="E24" s="53">
        <f>0.7*D24</f>
        <v>10203733.67119246</v>
      </c>
      <c r="F24" s="1" t="str">
        <f>+IF(D24&lt;E23,"piso suave","ok")</f>
        <v>ok</v>
      </c>
      <c r="G24" s="53">
        <f>0.9*D24</f>
        <v>13119086.148676021</v>
      </c>
      <c r="H24" s="1" t="str">
        <f>+IF(D24&lt;AVERAGE(G21:G23),"piso suave","ok")</f>
        <v>ok</v>
      </c>
      <c r="M24" s="53"/>
      <c r="N24" s="53"/>
      <c r="O24" s="53"/>
    </row>
    <row r="25" spans="2:15" x14ac:dyDescent="0.3">
      <c r="B25" s="53" t="s">
        <v>185</v>
      </c>
      <c r="C25" s="53" t="s">
        <v>80</v>
      </c>
      <c r="D25" s="172">
        <v>22051233.767064899</v>
      </c>
      <c r="E25" s="53">
        <f>0.7*D25</f>
        <v>15435863.636945428</v>
      </c>
      <c r="F25" s="1" t="str">
        <f>+IF(D25&lt;E24,"piso suave","ok")</f>
        <v>ok</v>
      </c>
      <c r="G25" s="53">
        <f>0.9*D25</f>
        <v>19846110.390358411</v>
      </c>
      <c r="H25" s="1" t="str">
        <f>+IF(D25&lt;AVERAGE(G22:G24),"piso suave","ok")</f>
        <v>ok</v>
      </c>
      <c r="M25" s="53"/>
      <c r="N25" s="53"/>
      <c r="O25" s="53"/>
    </row>
    <row r="26" spans="2:15" x14ac:dyDescent="0.3">
      <c r="B26" s="53" t="s">
        <v>183</v>
      </c>
      <c r="C26" s="53" t="s">
        <v>80</v>
      </c>
      <c r="D26" s="172">
        <v>25615045.310683001</v>
      </c>
      <c r="E26" s="53">
        <f>0.7*D26</f>
        <v>17930531.7174781</v>
      </c>
      <c r="F26" s="1" t="str">
        <f>+IF(D26&lt;E25,"piso suave","ok")</f>
        <v>ok</v>
      </c>
      <c r="G26" s="53">
        <f>0.9*D26</f>
        <v>23053540.779614702</v>
      </c>
      <c r="H26" s="1" t="str">
        <f>+IF(D26&lt;AVERAGE(G23:G25),"piso suave","ok")</f>
        <v>ok</v>
      </c>
      <c r="M26" s="53"/>
      <c r="N26" s="53"/>
      <c r="O26" s="53"/>
    </row>
    <row r="27" spans="2:15" x14ac:dyDescent="0.3">
      <c r="B27" s="53" t="s">
        <v>181</v>
      </c>
      <c r="C27" s="53" t="s">
        <v>80</v>
      </c>
      <c r="D27" s="172">
        <v>27721530.615684502</v>
      </c>
      <c r="E27" s="53">
        <f>0.7*D27</f>
        <v>19405071.430979151</v>
      </c>
      <c r="F27" s="1" t="str">
        <f>+IF(D27&lt;E26,"piso suave","ok")</f>
        <v>ok</v>
      </c>
      <c r="G27" s="53">
        <f>0.9*D27</f>
        <v>24949377.554116052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3">
      <c r="B28" s="53" t="s">
        <v>179</v>
      </c>
      <c r="C28" s="53" t="s">
        <v>80</v>
      </c>
      <c r="D28" s="172">
        <v>29284851.9133939</v>
      </c>
      <c r="E28" s="53">
        <f t="shared" ref="E28:E33" si="4">0.7*D28</f>
        <v>20499396.339375727</v>
      </c>
      <c r="F28" s="1" t="str">
        <f t="shared" ref="F28:F33" si="5">+IF(D28&lt;E27,"piso suave","ok")</f>
        <v>ok</v>
      </c>
      <c r="G28" s="53">
        <f t="shared" ref="G28:G33" si="6">0.9*D28</f>
        <v>26356366.722054511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3">
      <c r="B29" s="53" t="s">
        <v>39</v>
      </c>
      <c r="C29" s="53" t="s">
        <v>80</v>
      </c>
      <c r="D29" s="172">
        <v>30474347.0972609</v>
      </c>
      <c r="E29" s="53">
        <f t="shared" si="4"/>
        <v>21332042.968082629</v>
      </c>
      <c r="F29" s="1" t="str">
        <f t="shared" si="5"/>
        <v>ok</v>
      </c>
      <c r="G29" s="53">
        <f t="shared" si="6"/>
        <v>27426912.387534812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3">
      <c r="B30" s="53" t="s">
        <v>26</v>
      </c>
      <c r="C30" s="53" t="s">
        <v>80</v>
      </c>
      <c r="D30" s="172">
        <v>31584005.903395299</v>
      </c>
      <c r="E30" s="53">
        <f t="shared" si="4"/>
        <v>22108804.132376708</v>
      </c>
      <c r="F30" s="1" t="str">
        <f t="shared" si="5"/>
        <v>ok</v>
      </c>
      <c r="G30" s="53">
        <f t="shared" si="6"/>
        <v>28425605.313055769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3">
      <c r="B31" s="53" t="s">
        <v>25</v>
      </c>
      <c r="C31" s="53" t="s">
        <v>80</v>
      </c>
      <c r="D31" s="172">
        <v>32891639.039681099</v>
      </c>
      <c r="E31" s="53">
        <f t="shared" si="4"/>
        <v>23024147.327776767</v>
      </c>
      <c r="F31" s="1" t="str">
        <f t="shared" si="5"/>
        <v>ok</v>
      </c>
      <c r="G31" s="53">
        <f t="shared" si="6"/>
        <v>29602475.135712989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3">
      <c r="B32" s="53" t="s">
        <v>24</v>
      </c>
      <c r="C32" s="53" t="s">
        <v>80</v>
      </c>
      <c r="D32" s="172">
        <v>35053199.225104399</v>
      </c>
      <c r="E32" s="53">
        <f t="shared" si="4"/>
        <v>24537239.457573079</v>
      </c>
      <c r="F32" s="1" t="str">
        <f t="shared" si="5"/>
        <v>ok</v>
      </c>
      <c r="G32" s="53">
        <f t="shared" si="6"/>
        <v>31547879.302593961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3">
      <c r="B33" s="53" t="s">
        <v>22</v>
      </c>
      <c r="C33" s="53" t="s">
        <v>80</v>
      </c>
      <c r="D33" s="172">
        <v>42196081.2695693</v>
      </c>
      <c r="E33" s="53">
        <f t="shared" si="4"/>
        <v>29537256.888698507</v>
      </c>
      <c r="F33" s="1" t="str">
        <f t="shared" si="5"/>
        <v>ok</v>
      </c>
      <c r="G33" s="53">
        <f t="shared" si="6"/>
        <v>37976473.142612368</v>
      </c>
      <c r="H33" s="1" t="str">
        <f t="shared" si="7"/>
        <v>ok</v>
      </c>
      <c r="I33" s="75"/>
      <c r="M33" s="53"/>
      <c r="N33" s="53"/>
      <c r="O33" s="53"/>
    </row>
    <row r="36" spans="2:19" x14ac:dyDescent="0.3">
      <c r="B36" s="9" t="s">
        <v>81</v>
      </c>
    </row>
    <row r="37" spans="2:19" x14ac:dyDescent="0.3">
      <c r="B37" s="62" t="s">
        <v>93</v>
      </c>
      <c r="C37" s="63"/>
      <c r="D37" s="63"/>
      <c r="E37" s="63"/>
      <c r="F37" s="63"/>
      <c r="G37" s="63"/>
      <c r="H37" s="63"/>
    </row>
    <row r="38" spans="2:19" x14ac:dyDescent="0.3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3">
      <c r="B39" s="66"/>
      <c r="C39" s="66"/>
      <c r="D39" s="67" t="s">
        <v>97</v>
      </c>
      <c r="E39" s="73"/>
      <c r="F39" s="73"/>
      <c r="G39" s="73"/>
      <c r="H39" s="73"/>
    </row>
    <row r="40" spans="2:19" x14ac:dyDescent="0.3">
      <c r="B40" s="53" t="s">
        <v>189</v>
      </c>
      <c r="C40" s="53" t="s">
        <v>81</v>
      </c>
      <c r="D40" s="172">
        <v>1396249.4144465299</v>
      </c>
      <c r="E40" s="53">
        <f>0.7*D40</f>
        <v>977374.59011257091</v>
      </c>
      <c r="F40" s="1" t="str">
        <f>+IF(D40&lt;E39,"piso suave","ok")</f>
        <v>ok</v>
      </c>
      <c r="G40" s="53">
        <f>0.9*D40</f>
        <v>1256624.4730018771</v>
      </c>
      <c r="H40" s="1"/>
      <c r="N40" s="53"/>
      <c r="O40" s="53"/>
      <c r="P40" s="53"/>
      <c r="Q40" s="53"/>
      <c r="R40" s="53"/>
      <c r="S40" s="53"/>
    </row>
    <row r="41" spans="2:19" x14ac:dyDescent="0.3">
      <c r="B41" s="53" t="s">
        <v>187</v>
      </c>
      <c r="C41" s="53" t="s">
        <v>81</v>
      </c>
      <c r="D41" s="172">
        <v>16311881.099476499</v>
      </c>
      <c r="E41" s="53">
        <f>0.7*D41</f>
        <v>11418316.769633548</v>
      </c>
      <c r="F41" s="1" t="str">
        <f>+IF(D41&lt;E40,"piso suave","ok")</f>
        <v>ok</v>
      </c>
      <c r="G41" s="53">
        <f>0.9*D41</f>
        <v>14680692.98952885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3">
      <c r="B42" s="53" t="s">
        <v>185</v>
      </c>
      <c r="C42" s="53" t="s">
        <v>81</v>
      </c>
      <c r="D42" s="172">
        <v>24280582.3672303</v>
      </c>
      <c r="E42" s="53">
        <f>0.7*D42</f>
        <v>16996407.657061208</v>
      </c>
      <c r="F42" s="1" t="str">
        <f>+IF(D42&lt;E41,"piso suave","ok")</f>
        <v>ok</v>
      </c>
      <c r="G42" s="53">
        <f>0.9*D42</f>
        <v>21852524.130507272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3">
      <c r="B43" s="53" t="s">
        <v>183</v>
      </c>
      <c r="C43" s="53" t="s">
        <v>81</v>
      </c>
      <c r="D43" s="172">
        <v>28126302.456431601</v>
      </c>
      <c r="E43" s="53">
        <f>0.7*D43</f>
        <v>19688411.719502121</v>
      </c>
      <c r="F43" s="1" t="str">
        <f>+IF(D43&lt;E42,"piso suave","ok")</f>
        <v>ok</v>
      </c>
      <c r="G43" s="53">
        <f>0.9*D43</f>
        <v>25313672.21078844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3">
      <c r="B44" s="53" t="s">
        <v>181</v>
      </c>
      <c r="C44" s="53" t="s">
        <v>81</v>
      </c>
      <c r="D44" s="172">
        <v>29578607.217590202</v>
      </c>
      <c r="E44" s="53">
        <f>0.7*D44</f>
        <v>20705025.052313142</v>
      </c>
      <c r="F44" s="1" t="str">
        <f>+IF(D44&lt;E43,"piso suave","ok")</f>
        <v>ok</v>
      </c>
      <c r="G44" s="53">
        <f>0.9*D44</f>
        <v>26620746.49583118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3">
      <c r="B45" s="53" t="s">
        <v>179</v>
      </c>
      <c r="C45" s="53" t="s">
        <v>81</v>
      </c>
      <c r="D45" s="172">
        <v>30494631.267642301</v>
      </c>
      <c r="E45" s="53">
        <f t="shared" ref="E45:E50" si="8">0.7*D45</f>
        <v>21346241.887349609</v>
      </c>
      <c r="F45" s="1" t="str">
        <f t="shared" ref="F45:F50" si="9">+IF(D45&lt;E44,"piso suave","ok")</f>
        <v>ok</v>
      </c>
      <c r="G45" s="53">
        <f t="shared" ref="G45:G50" si="10">0.9*D45</f>
        <v>27445168.14087807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3">
      <c r="B46" s="53" t="s">
        <v>39</v>
      </c>
      <c r="C46" s="53" t="s">
        <v>81</v>
      </c>
      <c r="D46" s="172">
        <v>31288556.8800915</v>
      </c>
      <c r="E46" s="53">
        <f t="shared" si="8"/>
        <v>21901989.816064049</v>
      </c>
      <c r="F46" s="1" t="str">
        <f t="shared" si="9"/>
        <v>ok</v>
      </c>
      <c r="G46" s="53">
        <f t="shared" si="10"/>
        <v>28159701.192082349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3">
      <c r="B47" s="53" t="s">
        <v>26</v>
      </c>
      <c r="C47" s="53" t="s">
        <v>81</v>
      </c>
      <c r="D47" s="172">
        <v>32079151.6583657</v>
      </c>
      <c r="E47" s="53">
        <f t="shared" si="8"/>
        <v>22455406.16085599</v>
      </c>
      <c r="F47" s="1" t="str">
        <f t="shared" si="9"/>
        <v>ok</v>
      </c>
      <c r="G47" s="53">
        <f t="shared" si="10"/>
        <v>28871236.492529131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3">
      <c r="B48" s="53" t="s">
        <v>25</v>
      </c>
      <c r="C48" s="53" t="s">
        <v>81</v>
      </c>
      <c r="D48" s="172">
        <v>33007199.744633399</v>
      </c>
      <c r="E48" s="53">
        <f t="shared" si="8"/>
        <v>23105039.821243379</v>
      </c>
      <c r="F48" s="1" t="str">
        <f t="shared" si="9"/>
        <v>ok</v>
      </c>
      <c r="G48" s="53">
        <f t="shared" si="10"/>
        <v>29706479.770170059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3">
      <c r="B49" s="53" t="s">
        <v>24</v>
      </c>
      <c r="C49" s="53" t="s">
        <v>81</v>
      </c>
      <c r="D49" s="172">
        <v>36351711.267511196</v>
      </c>
      <c r="E49" s="53">
        <f t="shared" si="8"/>
        <v>25446197.887257837</v>
      </c>
      <c r="F49" s="1" t="str">
        <f t="shared" si="9"/>
        <v>ok</v>
      </c>
      <c r="G49" s="53">
        <f t="shared" si="10"/>
        <v>32716540.140760079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3">
      <c r="B50" s="53" t="s">
        <v>22</v>
      </c>
      <c r="C50" s="53" t="s">
        <v>81</v>
      </c>
      <c r="D50" s="172">
        <v>41037899.473287001</v>
      </c>
      <c r="E50" s="53">
        <f t="shared" si="8"/>
        <v>28726529.6313009</v>
      </c>
      <c r="F50" s="1" t="str">
        <f t="shared" si="9"/>
        <v>ok</v>
      </c>
      <c r="G50" s="53">
        <f t="shared" si="10"/>
        <v>36934109.5259583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3">
      <c r="B53" s="9" t="s">
        <v>82</v>
      </c>
    </row>
    <row r="54" spans="2:19" x14ac:dyDescent="0.3">
      <c r="B54" s="69" t="s">
        <v>93</v>
      </c>
      <c r="C54" s="70"/>
      <c r="D54" s="70"/>
      <c r="E54" s="70"/>
      <c r="F54" s="70"/>
      <c r="G54" s="70"/>
      <c r="H54" s="70"/>
    </row>
    <row r="55" spans="2:19" x14ac:dyDescent="0.3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3">
      <c r="B56" s="73"/>
      <c r="C56" s="73"/>
      <c r="D56" s="74" t="s">
        <v>97</v>
      </c>
      <c r="E56" s="73"/>
      <c r="F56" s="73"/>
      <c r="G56" s="73"/>
      <c r="H56" s="73"/>
    </row>
    <row r="57" spans="2:19" x14ac:dyDescent="0.3">
      <c r="B57" s="53" t="s">
        <v>189</v>
      </c>
      <c r="C57" s="53" t="s">
        <v>82</v>
      </c>
      <c r="D57" s="172">
        <v>1469025.61074348</v>
      </c>
      <c r="E57" s="53">
        <f>0.7*D57</f>
        <v>1028317.927520436</v>
      </c>
      <c r="F57" s="1" t="str">
        <f>+IF(D57&lt;E56,"piso suave","ok")</f>
        <v>ok</v>
      </c>
      <c r="G57" s="53">
        <f>0.9*D57</f>
        <v>1322123.0496691321</v>
      </c>
      <c r="H57" s="1"/>
      <c r="L57" s="53"/>
      <c r="M57" s="53"/>
      <c r="N57" s="53"/>
      <c r="O57" s="53"/>
      <c r="P57" s="53"/>
      <c r="Q57" s="53"/>
    </row>
    <row r="58" spans="2:19" x14ac:dyDescent="0.3">
      <c r="B58" s="53" t="s">
        <v>187</v>
      </c>
      <c r="C58" s="53" t="s">
        <v>82</v>
      </c>
      <c r="D58" s="172">
        <v>17524053.037241399</v>
      </c>
      <c r="E58" s="53">
        <f>0.7*D58</f>
        <v>12266837.12606898</v>
      </c>
      <c r="F58" s="1" t="str">
        <f>+IF(D58&lt;E57,"piso suave","ok")</f>
        <v>ok</v>
      </c>
      <c r="G58" s="53">
        <f>0.9*D58</f>
        <v>15771647.733517259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3">
      <c r="B59" s="53" t="s">
        <v>185</v>
      </c>
      <c r="C59" s="53" t="s">
        <v>82</v>
      </c>
      <c r="D59" s="172">
        <v>24883556.8107398</v>
      </c>
      <c r="E59" s="53">
        <f>0.7*D59</f>
        <v>17418489.767517861</v>
      </c>
      <c r="F59" s="1" t="str">
        <f>+IF(D59&lt;E58,"piso suave","ok")</f>
        <v>ok</v>
      </c>
      <c r="G59" s="53">
        <f>0.9*D59</f>
        <v>22395201.129665822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3">
      <c r="B60" s="53" t="s">
        <v>183</v>
      </c>
      <c r="C60" s="53" t="s">
        <v>82</v>
      </c>
      <c r="D60" s="172">
        <v>27059685.085179701</v>
      </c>
      <c r="E60" s="53">
        <f>0.7*D60</f>
        <v>18941779.55962579</v>
      </c>
      <c r="F60" s="1" t="str">
        <f>+IF(D60&lt;E59,"piso suave","ok")</f>
        <v>ok</v>
      </c>
      <c r="G60" s="53">
        <f>0.9*D60</f>
        <v>24353716.576661732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3">
      <c r="B61" s="53" t="s">
        <v>181</v>
      </c>
      <c r="C61" s="53" t="s">
        <v>82</v>
      </c>
      <c r="D61" s="172">
        <v>28192145.242119599</v>
      </c>
      <c r="E61" s="53">
        <f>0.7*D61</f>
        <v>19734501.669483718</v>
      </c>
      <c r="F61" s="1" t="str">
        <f>+IF(D61&lt;E60,"piso suave","ok")</f>
        <v>ok</v>
      </c>
      <c r="G61" s="53">
        <f>0.9*D61</f>
        <v>25372930.717907641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3">
      <c r="B62" s="53" t="s">
        <v>179</v>
      </c>
      <c r="C62" s="53" t="s">
        <v>82</v>
      </c>
      <c r="D62" s="172">
        <v>28991933.082128499</v>
      </c>
      <c r="E62" s="53">
        <f t="shared" ref="E62:E67" si="12">0.7*D62</f>
        <v>20294353.157489948</v>
      </c>
      <c r="F62" s="1" t="str">
        <f t="shared" ref="F62:F67" si="13">+IF(D62&lt;E61,"piso suave","ok")</f>
        <v>ok</v>
      </c>
      <c r="G62" s="53">
        <f t="shared" ref="G62:G67" si="14">0.9*D62</f>
        <v>26092739.773915648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3">
      <c r="B63" s="53" t="s">
        <v>39</v>
      </c>
      <c r="C63" s="53" t="s">
        <v>82</v>
      </c>
      <c r="D63" s="172">
        <v>29685050.414044399</v>
      </c>
      <c r="E63" s="53">
        <f t="shared" si="12"/>
        <v>20779535.28983108</v>
      </c>
      <c r="F63" s="1" t="str">
        <f t="shared" si="13"/>
        <v>ok</v>
      </c>
      <c r="G63" s="53">
        <f t="shared" si="14"/>
        <v>26716545.372639958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3">
      <c r="B64" s="53" t="s">
        <v>26</v>
      </c>
      <c r="C64" s="53" t="s">
        <v>82</v>
      </c>
      <c r="D64" s="172">
        <v>30377279.643311899</v>
      </c>
      <c r="E64" s="53">
        <f t="shared" si="12"/>
        <v>21264095.75031833</v>
      </c>
      <c r="F64" s="1" t="str">
        <f t="shared" si="13"/>
        <v>ok</v>
      </c>
      <c r="G64" s="53">
        <f t="shared" si="14"/>
        <v>27339551.678980708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3">
      <c r="B65" s="53" t="s">
        <v>25</v>
      </c>
      <c r="C65" s="53" t="s">
        <v>82</v>
      </c>
      <c r="D65" s="172">
        <v>31201698.105396699</v>
      </c>
      <c r="E65" s="53">
        <f t="shared" si="12"/>
        <v>21841188.673777688</v>
      </c>
      <c r="F65" s="1" t="str">
        <f t="shared" si="13"/>
        <v>ok</v>
      </c>
      <c r="G65" s="53">
        <f t="shared" si="14"/>
        <v>28081528.294857029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3">
      <c r="B66" s="53" t="s">
        <v>24</v>
      </c>
      <c r="C66" s="53" t="s">
        <v>82</v>
      </c>
      <c r="D66" s="172">
        <v>34031363.651512399</v>
      </c>
      <c r="E66" s="53">
        <f t="shared" si="12"/>
        <v>23821954.556058679</v>
      </c>
      <c r="F66" s="1" t="str">
        <f t="shared" si="13"/>
        <v>ok</v>
      </c>
      <c r="G66" s="53">
        <f t="shared" si="14"/>
        <v>30628227.286361162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3">
      <c r="B67" s="53" t="s">
        <v>22</v>
      </c>
      <c r="C67" s="53" t="s">
        <v>82</v>
      </c>
      <c r="D67" s="172">
        <v>39131021.543072701</v>
      </c>
      <c r="E67" s="53">
        <f t="shared" si="12"/>
        <v>27391715.080150887</v>
      </c>
      <c r="F67" s="1" t="str">
        <f t="shared" si="13"/>
        <v>ok</v>
      </c>
      <c r="G67" s="53">
        <f t="shared" si="14"/>
        <v>35217919.388765432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H18"/>
  <sheetViews>
    <sheetView workbookViewId="0">
      <selection activeCell="L33" sqref="L33"/>
    </sheetView>
  </sheetViews>
  <sheetFormatPr baseColWidth="10" defaultRowHeight="14.4" x14ac:dyDescent="0.3"/>
  <sheetData>
    <row r="2" spans="2:8" x14ac:dyDescent="0.3">
      <c r="B2" s="79" t="s">
        <v>103</v>
      </c>
    </row>
    <row r="4" spans="2:8" x14ac:dyDescent="0.3">
      <c r="B4" s="69" t="s">
        <v>8</v>
      </c>
      <c r="C4" s="70"/>
      <c r="D4" s="70"/>
      <c r="E4" s="70"/>
      <c r="F4" s="70"/>
      <c r="G4" s="70"/>
      <c r="H4" s="70"/>
    </row>
    <row r="5" spans="2:8" x14ac:dyDescent="0.3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3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3">
      <c r="B7" s="158" t="s">
        <v>189</v>
      </c>
      <c r="C7" s="158" t="s">
        <v>190</v>
      </c>
      <c r="D7" s="158">
        <f>+'Centers of Mass and Rigidity'!D5</f>
        <v>848.73018227297905</v>
      </c>
      <c r="E7" s="171">
        <f>+'Centers of Mass and Rigidity'!E5</f>
        <v>848.73018227297905</v>
      </c>
      <c r="F7" s="68">
        <f>+E7*9.807</f>
        <v>8323.4968975511056</v>
      </c>
      <c r="G7">
        <f>1.5*F7</f>
        <v>12485.245346326657</v>
      </c>
      <c r="H7" t="str">
        <f>+IF(F7&gt;G8,"Irregular","ok")</f>
        <v>ok</v>
      </c>
    </row>
    <row r="8" spans="2:8" x14ac:dyDescent="0.3">
      <c r="B8" s="158" t="s">
        <v>187</v>
      </c>
      <c r="C8" s="158" t="s">
        <v>188</v>
      </c>
      <c r="D8" s="171">
        <f>+'Centers of Mass and Rigidity'!D6</f>
        <v>10185.569029953</v>
      </c>
      <c r="E8" s="171">
        <f>+'Centers of Mass and Rigidity'!E6</f>
        <v>10185.569029953</v>
      </c>
      <c r="F8" s="68">
        <f t="shared" ref="F8:F17" si="0">+E8*9.807</f>
        <v>99889.875476749075</v>
      </c>
      <c r="G8" s="68">
        <f t="shared" ref="G8:G17" si="1">1.5*F8</f>
        <v>149834.81321512361</v>
      </c>
      <c r="H8" t="str">
        <f>+IF(F8&gt;G9,"Irregular","ok")</f>
        <v>ok</v>
      </c>
    </row>
    <row r="9" spans="2:8" x14ac:dyDescent="0.3">
      <c r="B9" s="158" t="s">
        <v>185</v>
      </c>
      <c r="C9" s="158" t="s">
        <v>186</v>
      </c>
      <c r="D9" s="171">
        <f>+'Centers of Mass and Rigidity'!D7</f>
        <v>12695.6851639781</v>
      </c>
      <c r="E9" s="171">
        <f>+'Centers of Mass and Rigidity'!E7</f>
        <v>12695.6851639781</v>
      </c>
      <c r="F9" s="68">
        <f t="shared" si="0"/>
        <v>124506.58440313322</v>
      </c>
      <c r="G9" s="68">
        <f t="shared" si="1"/>
        <v>186759.87660469982</v>
      </c>
      <c r="H9" s="68" t="str">
        <f>+IF(F9&gt;G10,"Irregular",IF(F9&gt;G8,"Irregular","ok"))</f>
        <v>ok</v>
      </c>
    </row>
    <row r="10" spans="2:8" x14ac:dyDescent="0.3">
      <c r="B10" s="158" t="s">
        <v>183</v>
      </c>
      <c r="C10" s="158" t="s">
        <v>184</v>
      </c>
      <c r="D10" s="171">
        <f>+'Centers of Mass and Rigidity'!D8</f>
        <v>12695.6851639781</v>
      </c>
      <c r="E10" s="171">
        <f>+'Centers of Mass and Rigidity'!E8</f>
        <v>12695.6851639781</v>
      </c>
      <c r="F10" s="68">
        <f t="shared" si="0"/>
        <v>124506.58440313322</v>
      </c>
      <c r="G10" s="68">
        <f t="shared" si="1"/>
        <v>186759.87660469982</v>
      </c>
      <c r="H10" s="68" t="str">
        <f>+IF(F10&gt;G11,"Irregular",IF(F10&gt;G9,"Irregular","ok"))</f>
        <v>ok</v>
      </c>
    </row>
    <row r="11" spans="2:8" x14ac:dyDescent="0.3">
      <c r="B11" s="158" t="s">
        <v>181</v>
      </c>
      <c r="C11" s="158" t="s">
        <v>182</v>
      </c>
      <c r="D11" s="171">
        <f>+'Centers of Mass and Rigidity'!D9</f>
        <v>12695.6851639781</v>
      </c>
      <c r="E11" s="171">
        <f>+'Centers of Mass and Rigidity'!E9</f>
        <v>12695.6851639781</v>
      </c>
      <c r="F11" s="68">
        <f t="shared" si="0"/>
        <v>124506.58440313322</v>
      </c>
      <c r="G11" s="68">
        <f t="shared" si="1"/>
        <v>186759.87660469982</v>
      </c>
      <c r="H11" s="68" t="str">
        <f>+IF(F11&gt;G10,"Irregular","ok")</f>
        <v>ok</v>
      </c>
    </row>
    <row r="12" spans="2:8" x14ac:dyDescent="0.3">
      <c r="B12" s="158" t="s">
        <v>179</v>
      </c>
      <c r="C12" s="158" t="s">
        <v>180</v>
      </c>
      <c r="D12" s="171">
        <f>+'Centers of Mass and Rigidity'!D10</f>
        <v>12695.6851639781</v>
      </c>
      <c r="E12" s="171">
        <f>+'Centers of Mass and Rigidity'!E10</f>
        <v>12695.6851639781</v>
      </c>
      <c r="F12" s="158">
        <f t="shared" si="0"/>
        <v>124506.58440313322</v>
      </c>
      <c r="G12" s="158">
        <f t="shared" si="1"/>
        <v>186759.87660469982</v>
      </c>
      <c r="H12" s="158" t="str">
        <f t="shared" ref="H12:H17" si="2">+IF(F12&gt;G11,"Irregular","ok")</f>
        <v>ok</v>
      </c>
    </row>
    <row r="13" spans="2:8" x14ac:dyDescent="0.3">
      <c r="B13" s="158" t="s">
        <v>39</v>
      </c>
      <c r="C13" s="158" t="s">
        <v>178</v>
      </c>
      <c r="D13" s="171">
        <f>+'Centers of Mass and Rigidity'!D11</f>
        <v>12695.6851639781</v>
      </c>
      <c r="E13" s="171">
        <f>+'Centers of Mass and Rigidity'!E11</f>
        <v>12695.6851639781</v>
      </c>
      <c r="F13" s="158">
        <f t="shared" si="0"/>
        <v>124506.58440313322</v>
      </c>
      <c r="G13" s="158">
        <f t="shared" si="1"/>
        <v>186759.87660469982</v>
      </c>
      <c r="H13" s="158" t="str">
        <f t="shared" si="2"/>
        <v>ok</v>
      </c>
    </row>
    <row r="14" spans="2:8" x14ac:dyDescent="0.3">
      <c r="B14" s="158" t="s">
        <v>26</v>
      </c>
      <c r="C14" s="158" t="s">
        <v>177</v>
      </c>
      <c r="D14" s="171">
        <f>+'Centers of Mass and Rigidity'!D12</f>
        <v>12695.6851639781</v>
      </c>
      <c r="E14" s="171">
        <f>+'Centers of Mass and Rigidity'!E12</f>
        <v>12695.6851639781</v>
      </c>
      <c r="F14" s="158">
        <f t="shared" si="0"/>
        <v>124506.58440313322</v>
      </c>
      <c r="G14" s="158">
        <f t="shared" si="1"/>
        <v>186759.87660469982</v>
      </c>
      <c r="H14" s="158" t="str">
        <f t="shared" si="2"/>
        <v>ok</v>
      </c>
    </row>
    <row r="15" spans="2:8" x14ac:dyDescent="0.3">
      <c r="B15" s="158" t="s">
        <v>25</v>
      </c>
      <c r="C15" s="158" t="s">
        <v>176</v>
      </c>
      <c r="D15" s="171">
        <f>+'Centers of Mass and Rigidity'!D13</f>
        <v>12695.6851639781</v>
      </c>
      <c r="E15" s="171">
        <f>+'Centers of Mass and Rigidity'!E13</f>
        <v>12695.6851639781</v>
      </c>
      <c r="F15" s="158">
        <f t="shared" si="0"/>
        <v>124506.58440313322</v>
      </c>
      <c r="G15" s="158">
        <f t="shared" si="1"/>
        <v>186759.87660469982</v>
      </c>
      <c r="H15" s="158" t="str">
        <f t="shared" si="2"/>
        <v>ok</v>
      </c>
    </row>
    <row r="16" spans="2:8" x14ac:dyDescent="0.3">
      <c r="B16" s="158" t="s">
        <v>24</v>
      </c>
      <c r="C16" s="158" t="s">
        <v>175</v>
      </c>
      <c r="D16" s="171">
        <f>+'Centers of Mass and Rigidity'!D14</f>
        <v>12695.6851639781</v>
      </c>
      <c r="E16" s="171">
        <f>+'Centers of Mass and Rigidity'!E14</f>
        <v>12695.6851639781</v>
      </c>
      <c r="F16" s="158">
        <f t="shared" si="0"/>
        <v>124506.58440313322</v>
      </c>
      <c r="G16" s="158">
        <f t="shared" si="1"/>
        <v>186759.87660469982</v>
      </c>
      <c r="H16" s="158" t="str">
        <f t="shared" si="2"/>
        <v>ok</v>
      </c>
    </row>
    <row r="17" spans="2:8" x14ac:dyDescent="0.3">
      <c r="B17" s="158" t="s">
        <v>22</v>
      </c>
      <c r="C17" s="158" t="s">
        <v>23</v>
      </c>
      <c r="D17" s="171">
        <f>+'Centers of Mass and Rigidity'!D15</f>
        <v>13135.605752945199</v>
      </c>
      <c r="E17" s="171">
        <f>+'Centers of Mass and Rigidity'!E15</f>
        <v>13135.605752945199</v>
      </c>
      <c r="F17" s="158">
        <f t="shared" si="0"/>
        <v>128820.88561913358</v>
      </c>
      <c r="G17" s="158">
        <f t="shared" si="1"/>
        <v>193231.32842870036</v>
      </c>
      <c r="H17" s="158" t="str">
        <f t="shared" si="2"/>
        <v>ok</v>
      </c>
    </row>
    <row r="18" spans="2:8" x14ac:dyDescent="0.3">
      <c r="E18" s="133" t="s">
        <v>3</v>
      </c>
      <c r="F18">
        <f>SUM(F7:F17)</f>
        <v>1233086.9332184996</v>
      </c>
      <c r="G18">
        <f>1.5*F18</f>
        <v>1849630.3998277495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P117"/>
  <sheetViews>
    <sheetView zoomScale="80" zoomScaleNormal="80" workbookViewId="0">
      <selection activeCell="K6" sqref="K6"/>
    </sheetView>
  </sheetViews>
  <sheetFormatPr baseColWidth="10" defaultRowHeight="14.4" x14ac:dyDescent="0.3"/>
  <cols>
    <col min="3" max="3" width="18.33203125" customWidth="1"/>
    <col min="9" max="9" width="17.21875" customWidth="1"/>
    <col min="10" max="10" width="13.44140625" customWidth="1"/>
    <col min="12" max="12" width="14.109375" customWidth="1"/>
    <col min="13" max="13" width="14" customWidth="1"/>
  </cols>
  <sheetData>
    <row r="2" spans="2:10" x14ac:dyDescent="0.3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3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3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3">
      <c r="B5" s="172" t="s">
        <v>189</v>
      </c>
      <c r="C5" s="172" t="s">
        <v>246</v>
      </c>
      <c r="D5" s="172" t="s">
        <v>242</v>
      </c>
      <c r="E5" s="172">
        <v>18781.1999999988</v>
      </c>
      <c r="F5" s="172">
        <v>8.53714254844817E-9</v>
      </c>
      <c r="G5" s="172">
        <v>-1.74046022038965E-9</v>
      </c>
      <c r="H5" s="172">
        <v>-9.6754547485033995E-8</v>
      </c>
      <c r="I5" s="172">
        <v>154004.760000001</v>
      </c>
      <c r="J5" s="172">
        <v>-317756.24999995303</v>
      </c>
    </row>
    <row r="6" spans="2:10" x14ac:dyDescent="0.3">
      <c r="B6" s="172" t="s">
        <v>187</v>
      </c>
      <c r="C6" s="172" t="s">
        <v>246</v>
      </c>
      <c r="D6" s="172" t="s">
        <v>242</v>
      </c>
      <c r="E6" s="172">
        <v>452326.36389667902</v>
      </c>
      <c r="F6" s="172">
        <v>-7.7816106909267495E-6</v>
      </c>
      <c r="G6" s="172">
        <v>-1.10337850856013E-7</v>
      </c>
      <c r="H6" s="172">
        <v>7.4124857974311494E-5</v>
      </c>
      <c r="I6" s="172">
        <v>4268458.15423383</v>
      </c>
      <c r="J6" s="172">
        <v>-4580141.07104515</v>
      </c>
    </row>
    <row r="7" spans="2:10" x14ac:dyDescent="0.3">
      <c r="B7" s="172" t="s">
        <v>185</v>
      </c>
      <c r="C7" s="172" t="s">
        <v>246</v>
      </c>
      <c r="D7" s="172" t="s">
        <v>242</v>
      </c>
      <c r="E7" s="172">
        <v>879535.52779469895</v>
      </c>
      <c r="F7" s="172">
        <v>-1.5634647866136199E-5</v>
      </c>
      <c r="G7" s="172">
        <v>-3.3042249469872299E-7</v>
      </c>
      <c r="H7" s="172">
        <v>1.47272259482634E-4</v>
      </c>
      <c r="I7" s="172">
        <v>8322228.1484775804</v>
      </c>
      <c r="J7" s="172">
        <v>-8790214.5171426404</v>
      </c>
    </row>
    <row r="8" spans="2:10" x14ac:dyDescent="0.3">
      <c r="B8" s="172" t="s">
        <v>183</v>
      </c>
      <c r="C8" s="172" t="s">
        <v>246</v>
      </c>
      <c r="D8" s="172" t="s">
        <v>242</v>
      </c>
      <c r="E8" s="172">
        <v>1306744.6916920801</v>
      </c>
      <c r="F8" s="172">
        <v>-2.4569866013734999E-5</v>
      </c>
      <c r="G8" s="172">
        <v>-6.4109769937203996E-7</v>
      </c>
      <c r="H8" s="172">
        <v>2.2900480598764299E-4</v>
      </c>
      <c r="I8" s="172">
        <v>12375998.142719099</v>
      </c>
      <c r="J8" s="172">
        <v>-13000287.9632599</v>
      </c>
    </row>
    <row r="9" spans="2:10" x14ac:dyDescent="0.3">
      <c r="B9" s="172" t="s">
        <v>181</v>
      </c>
      <c r="C9" s="172" t="s">
        <v>246</v>
      </c>
      <c r="D9" s="172" t="s">
        <v>242</v>
      </c>
      <c r="E9" s="172">
        <v>1733953.85559035</v>
      </c>
      <c r="F9" s="172">
        <v>-3.0485932086321598E-5</v>
      </c>
      <c r="G9" s="172">
        <v>-8.2625797404034497E-7</v>
      </c>
      <c r="H9" s="172">
        <v>2.8238846925887601E-4</v>
      </c>
      <c r="I9" s="172">
        <v>16429768.136965901</v>
      </c>
      <c r="J9" s="172">
        <v>-17210361.409413401</v>
      </c>
    </row>
    <row r="10" spans="2:10" s="158" customFormat="1" x14ac:dyDescent="0.3">
      <c r="B10" s="172" t="s">
        <v>179</v>
      </c>
      <c r="C10" s="172" t="s">
        <v>246</v>
      </c>
      <c r="D10" s="172" t="s">
        <v>242</v>
      </c>
      <c r="E10" s="172">
        <v>2161163.0194879398</v>
      </c>
      <c r="F10" s="172">
        <v>-3.5696538475349398E-5</v>
      </c>
      <c r="G10" s="172">
        <v>-6.3949823925213401E-7</v>
      </c>
      <c r="H10" s="172">
        <v>3.3623577155594798E-4</v>
      </c>
      <c r="I10" s="172">
        <v>20483538.1312082</v>
      </c>
      <c r="J10" s="172">
        <v>-21420434.855573799</v>
      </c>
    </row>
    <row r="11" spans="2:10" s="158" customFormat="1" x14ac:dyDescent="0.3">
      <c r="B11" s="172" t="s">
        <v>39</v>
      </c>
      <c r="C11" s="172" t="s">
        <v>246</v>
      </c>
      <c r="D11" s="172" t="s">
        <v>242</v>
      </c>
      <c r="E11" s="172">
        <v>2588372.1833853698</v>
      </c>
      <c r="F11" s="172">
        <v>-3.6975024272578601E-5</v>
      </c>
      <c r="G11" s="172">
        <v>-1.10963901533978E-6</v>
      </c>
      <c r="H11" s="172">
        <v>3.4120046530006199E-4</v>
      </c>
      <c r="I11" s="172">
        <v>24537308.125452701</v>
      </c>
      <c r="J11" s="172">
        <v>-25630508.3017358</v>
      </c>
    </row>
    <row r="12" spans="2:10" s="158" customFormat="1" x14ac:dyDescent="0.3">
      <c r="B12" s="172" t="s">
        <v>26</v>
      </c>
      <c r="C12" s="172" t="s">
        <v>246</v>
      </c>
      <c r="D12" s="172" t="s">
        <v>242</v>
      </c>
      <c r="E12" s="172">
        <v>3015581.3472836101</v>
      </c>
      <c r="F12" s="172">
        <v>-3.9568460181271803E-5</v>
      </c>
      <c r="G12" s="172">
        <v>-1.32701245547651E-6</v>
      </c>
      <c r="H12" s="172">
        <v>3.6260339720683998E-4</v>
      </c>
      <c r="I12" s="172">
        <v>28591078.1197045</v>
      </c>
      <c r="J12" s="172">
        <v>-29840581.747921601</v>
      </c>
    </row>
    <row r="13" spans="2:10" s="158" customFormat="1" x14ac:dyDescent="0.3">
      <c r="B13" s="172" t="s">
        <v>25</v>
      </c>
      <c r="C13" s="172" t="s">
        <v>246</v>
      </c>
      <c r="D13" s="172" t="s">
        <v>242</v>
      </c>
      <c r="E13" s="172">
        <v>3442790.51118204</v>
      </c>
      <c r="F13" s="172">
        <v>-4.1370311294031099E-5</v>
      </c>
      <c r="G13" s="172">
        <v>-1.6848981658768E-6</v>
      </c>
      <c r="H13" s="172">
        <v>3.7369116080299098E-4</v>
      </c>
      <c r="I13" s="172">
        <v>32644848.113956999</v>
      </c>
      <c r="J13" s="172">
        <v>-34050655.194117397</v>
      </c>
    </row>
    <row r="14" spans="2:10" s="158" customFormat="1" x14ac:dyDescent="0.3">
      <c r="B14" s="172" t="s">
        <v>24</v>
      </c>
      <c r="C14" s="172" t="s">
        <v>246</v>
      </c>
      <c r="D14" s="172" t="s">
        <v>242</v>
      </c>
      <c r="E14" s="172">
        <v>3869999.6750801099</v>
      </c>
      <c r="F14" s="172">
        <v>-4.18585520378656E-5</v>
      </c>
      <c r="G14" s="172">
        <v>-1.45242086091457E-6</v>
      </c>
      <c r="H14" s="172">
        <v>3.8291565397230399E-4</v>
      </c>
      <c r="I14" s="172">
        <v>36698618.108205304</v>
      </c>
      <c r="J14" s="172">
        <v>-38260728.640308797</v>
      </c>
    </row>
    <row r="15" spans="2:10" s="158" customFormat="1" x14ac:dyDescent="0.3">
      <c r="B15" s="172" t="s">
        <v>22</v>
      </c>
      <c r="C15" s="172" t="s">
        <v>246</v>
      </c>
      <c r="D15" s="172" t="s">
        <v>242</v>
      </c>
      <c r="E15" s="172">
        <v>4413196.3631882602</v>
      </c>
      <c r="F15" s="172">
        <v>-4.1924344230892502E-5</v>
      </c>
      <c r="G15" s="172">
        <v>-1.64346545261651E-6</v>
      </c>
      <c r="H15" s="172">
        <v>3.80055767664089E-4</v>
      </c>
      <c r="I15" s="172">
        <v>41860597.193925001</v>
      </c>
      <c r="J15" s="172">
        <v>-43536231.770250499</v>
      </c>
    </row>
    <row r="16" spans="2:10" s="83" customFormat="1" x14ac:dyDescent="0.3"/>
    <row r="17" spans="2:16" s="83" customFormat="1" x14ac:dyDescent="0.3"/>
    <row r="18" spans="2:16" s="83" customFormat="1" x14ac:dyDescent="0.3">
      <c r="B18" s="9" t="s">
        <v>79</v>
      </c>
    </row>
    <row r="19" spans="2:16" s="83" customFormat="1" x14ac:dyDescent="0.3">
      <c r="B19" s="84" t="s">
        <v>68</v>
      </c>
      <c r="C19" s="85"/>
      <c r="D19" s="85"/>
      <c r="E19" s="203" t="s">
        <v>73</v>
      </c>
      <c r="F19" s="203"/>
      <c r="G19" s="203"/>
      <c r="H19" s="203"/>
      <c r="I19" s="203"/>
      <c r="J19" s="203"/>
      <c r="K19" s="203"/>
      <c r="L19" s="203"/>
      <c r="M19" s="203"/>
      <c r="N19" s="203"/>
      <c r="O19" s="178"/>
      <c r="P19" s="180"/>
    </row>
    <row r="20" spans="2:16" s="83" customFormat="1" x14ac:dyDescent="0.3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3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3">
      <c r="B22" s="53" t="s">
        <v>189</v>
      </c>
      <c r="C22" s="53">
        <v>38.5</v>
      </c>
      <c r="D22" s="53" t="s">
        <v>72</v>
      </c>
      <c r="E22" s="53">
        <f>+'Irre. Torsional'!E6</f>
        <v>2.5517939634516498E-2</v>
      </c>
      <c r="F22" s="83">
        <f t="shared" ref="F22:F32" si="0">+E5</f>
        <v>18781.1999999988</v>
      </c>
      <c r="G22" s="83">
        <v>0</v>
      </c>
      <c r="H22" s="83">
        <f t="shared" ref="H22:H32" si="1">+E22</f>
        <v>2.5517939634516498E-2</v>
      </c>
      <c r="I22" s="83">
        <f t="shared" ref="I22:I31" si="2">+H22-H23</f>
        <v>-6.2798820188350243E-4</v>
      </c>
      <c r="J22" s="83">
        <f>IF(+'Sismo UBC-94 y Dinamico'!O15=0,'Sismo UBC-94 y Dinamico'!M15,'Sismo UBC-94 y Dinamico'!O15)</f>
        <v>1142.6976359302701</v>
      </c>
      <c r="K22" s="83">
        <f t="shared" ref="K22:K32" si="3">+C22</f>
        <v>38.5</v>
      </c>
      <c r="L22" s="83">
        <f>+G22*I22</f>
        <v>0</v>
      </c>
      <c r="M22" s="83">
        <f>+J22*K22</f>
        <v>43993.858983315396</v>
      </c>
      <c r="N22" s="83">
        <f>+L22/M22</f>
        <v>0</v>
      </c>
      <c r="O22" s="83" t="str">
        <f>+IF(N22&gt;O21,"P-DELTA","OK")</f>
        <v>OK</v>
      </c>
    </row>
    <row r="23" spans="2:16" s="83" customFormat="1" x14ac:dyDescent="0.3">
      <c r="B23" s="53" t="s">
        <v>187</v>
      </c>
      <c r="C23" s="53">
        <v>35.5</v>
      </c>
      <c r="D23" s="53" t="s">
        <v>72</v>
      </c>
      <c r="E23" s="53">
        <f>+'Irre. Torsional'!E7</f>
        <v>2.6145927836400001E-2</v>
      </c>
      <c r="F23" s="165">
        <f t="shared" si="0"/>
        <v>452326.36389667902</v>
      </c>
      <c r="G23" s="83">
        <f>+F23</f>
        <v>452326.36389667902</v>
      </c>
      <c r="H23" s="83">
        <f t="shared" si="1"/>
        <v>2.6145927836400001E-2</v>
      </c>
      <c r="I23" s="83">
        <f t="shared" si="2"/>
        <v>1.1162689854878997E-3</v>
      </c>
      <c r="J23" s="172">
        <f>IF(+'Sismo UBC-94 y Dinamico'!O16=0,'Sismo UBC-94 y Dinamico'!M16,'Sismo UBC-94 y Dinamico'!O16)</f>
        <v>16372.925813656029</v>
      </c>
      <c r="K23" s="172">
        <f t="shared" si="3"/>
        <v>35.5</v>
      </c>
      <c r="L23" s="83">
        <f t="shared" ref="L23:L32" si="4">+G23*I23</f>
        <v>504.91789133637644</v>
      </c>
      <c r="M23" s="83">
        <f t="shared" ref="M23:M32" si="5">+J23*K23</f>
        <v>581238.866384789</v>
      </c>
      <c r="N23" s="83">
        <f t="shared" ref="N23:N32" si="6">+L23/M23</f>
        <v>8.6869258154893087E-4</v>
      </c>
      <c r="O23" s="83" t="str">
        <f t="shared" ref="O23:O32" si="7">+IF(N23&gt;O22,"P-DELTA","OK")</f>
        <v>OK</v>
      </c>
    </row>
    <row r="24" spans="2:16" s="83" customFormat="1" x14ac:dyDescent="0.3">
      <c r="B24" s="53" t="s">
        <v>185</v>
      </c>
      <c r="C24" s="53">
        <v>32</v>
      </c>
      <c r="D24" s="53" t="s">
        <v>72</v>
      </c>
      <c r="E24" s="53">
        <f>+'Irre. Torsional'!E8</f>
        <v>2.5029658850912101E-2</v>
      </c>
      <c r="F24" s="165">
        <f t="shared" si="0"/>
        <v>879535.52779469895</v>
      </c>
      <c r="G24" s="83">
        <f>+F24-F23</f>
        <v>427209.16389801994</v>
      </c>
      <c r="H24" s="83">
        <f t="shared" si="1"/>
        <v>2.5029658850912101E-2</v>
      </c>
      <c r="I24" s="83">
        <f t="shared" si="2"/>
        <v>1.6326942676125993E-3</v>
      </c>
      <c r="J24" s="172">
        <f>IF(+'Sismo UBC-94 y Dinamico'!O17=0,'Sismo UBC-94 y Dinamico'!M17,'Sismo UBC-94 y Dinamico'!O17)</f>
        <v>18562.170846961501</v>
      </c>
      <c r="K24" s="172">
        <f t="shared" si="3"/>
        <v>32</v>
      </c>
      <c r="L24" s="83">
        <f t="shared" si="4"/>
        <v>697.50195296786853</v>
      </c>
      <c r="M24" s="83">
        <f t="shared" si="5"/>
        <v>593989.46710276802</v>
      </c>
      <c r="N24" s="83">
        <f t="shared" si="6"/>
        <v>1.1742665343377064E-3</v>
      </c>
      <c r="O24" s="83" t="str">
        <f t="shared" si="7"/>
        <v>OK</v>
      </c>
    </row>
    <row r="25" spans="2:16" s="83" customFormat="1" x14ac:dyDescent="0.3">
      <c r="B25" s="53" t="s">
        <v>183</v>
      </c>
      <c r="C25" s="53">
        <v>28.5</v>
      </c>
      <c r="D25" s="53" t="s">
        <v>72</v>
      </c>
      <c r="E25" s="53">
        <f>+'Irre. Torsional'!E9</f>
        <v>2.3396964583299502E-2</v>
      </c>
      <c r="F25" s="165">
        <f t="shared" si="0"/>
        <v>1306744.6916920801</v>
      </c>
      <c r="G25" s="83">
        <f>+F25-F24</f>
        <v>427209.16389738116</v>
      </c>
      <c r="H25" s="83">
        <f t="shared" si="1"/>
        <v>2.3396964583299502E-2</v>
      </c>
      <c r="I25" s="83">
        <f t="shared" si="2"/>
        <v>2.0984265075674018E-3</v>
      </c>
      <c r="J25" s="172">
        <f>IF(+'Sismo UBC-94 y Dinamico'!O18=0,'Sismo UBC-94 y Dinamico'!M18,'Sismo UBC-94 y Dinamico'!O18)</f>
        <v>15626.712544258</v>
      </c>
      <c r="K25" s="172">
        <f t="shared" si="3"/>
        <v>28.5</v>
      </c>
      <c r="L25" s="83">
        <f t="shared" si="4"/>
        <v>896.46703379797134</v>
      </c>
      <c r="M25" s="83">
        <f t="shared" si="5"/>
        <v>445361.30751135299</v>
      </c>
      <c r="N25" s="83">
        <f t="shared" si="6"/>
        <v>2.0128983337312457E-3</v>
      </c>
      <c r="O25" s="83" t="str">
        <f t="shared" si="7"/>
        <v>OK</v>
      </c>
    </row>
    <row r="26" spans="2:16" s="83" customFormat="1" x14ac:dyDescent="0.3">
      <c r="B26" s="53" t="s">
        <v>181</v>
      </c>
      <c r="C26" s="53">
        <v>25</v>
      </c>
      <c r="D26" s="53" t="s">
        <v>72</v>
      </c>
      <c r="E26" s="53">
        <f>+'Irre. Torsional'!E10</f>
        <v>2.12985380757321E-2</v>
      </c>
      <c r="F26" s="165">
        <f t="shared" si="0"/>
        <v>1733953.85559035</v>
      </c>
      <c r="G26" s="83">
        <f>+F26-F25</f>
        <v>427209.16389826988</v>
      </c>
      <c r="H26" s="83">
        <f t="shared" si="1"/>
        <v>2.12985380757321E-2</v>
      </c>
      <c r="I26" s="83">
        <f t="shared" si="2"/>
        <v>2.4902187553784011E-3</v>
      </c>
      <c r="J26" s="172">
        <f>IF(+'Sismo UBC-94 y Dinamico'!O19=0,'Sismo UBC-94 y Dinamico'!M19,'Sismo UBC-94 y Dinamico'!O19)</f>
        <v>13211.382645929603</v>
      </c>
      <c r="K26" s="172">
        <f t="shared" si="3"/>
        <v>25</v>
      </c>
      <c r="L26" s="83">
        <f t="shared" si="4"/>
        <v>1063.8442724089971</v>
      </c>
      <c r="M26" s="83">
        <f t="shared" si="5"/>
        <v>330284.56614824006</v>
      </c>
      <c r="N26" s="83">
        <f t="shared" si="6"/>
        <v>3.2209929904248595E-3</v>
      </c>
      <c r="O26" s="83" t="str">
        <f t="shared" si="7"/>
        <v>OK</v>
      </c>
    </row>
    <row r="27" spans="2:16" s="158" customFormat="1" x14ac:dyDescent="0.3">
      <c r="B27" s="53" t="s">
        <v>179</v>
      </c>
      <c r="C27" s="53">
        <v>21.5</v>
      </c>
      <c r="D27" s="53" t="s">
        <v>72</v>
      </c>
      <c r="E27" s="53">
        <f>+'Irre. Torsional'!E11</f>
        <v>1.8808319320353699E-2</v>
      </c>
      <c r="F27" s="165">
        <f t="shared" si="0"/>
        <v>2161163.0194879398</v>
      </c>
      <c r="G27" s="165">
        <f t="shared" ref="G27:G32" si="8">+F27-F26</f>
        <v>427209.16389758978</v>
      </c>
      <c r="H27" s="165">
        <f t="shared" si="1"/>
        <v>1.8808319320353699E-2</v>
      </c>
      <c r="I27" s="165">
        <f t="shared" si="2"/>
        <v>2.8133843896450995E-3</v>
      </c>
      <c r="J27" s="172">
        <f>IF(+'Sismo UBC-94 y Dinamico'!O20=0,'Sismo UBC-94 y Dinamico'!M20,'Sismo UBC-94 y Dinamico'!O20)</f>
        <v>11351.368564183293</v>
      </c>
      <c r="K27" s="172">
        <f t="shared" si="3"/>
        <v>21.5</v>
      </c>
      <c r="L27" s="165">
        <f t="shared" si="4"/>
        <v>1201.9035928228138</v>
      </c>
      <c r="M27" s="165">
        <f t="shared" si="5"/>
        <v>244054.4241299408</v>
      </c>
      <c r="N27" s="165">
        <f t="shared" si="6"/>
        <v>4.9247359358783422E-3</v>
      </c>
      <c r="O27" s="165" t="str">
        <f t="shared" si="7"/>
        <v>OK</v>
      </c>
    </row>
    <row r="28" spans="2:16" s="158" customFormat="1" x14ac:dyDescent="0.3">
      <c r="B28" s="53" t="s">
        <v>39</v>
      </c>
      <c r="C28" s="53">
        <v>18</v>
      </c>
      <c r="D28" s="53" t="s">
        <v>72</v>
      </c>
      <c r="E28" s="53">
        <f>+'Irre. Torsional'!E12</f>
        <v>1.5994934930708599E-2</v>
      </c>
      <c r="F28" s="165">
        <f t="shared" si="0"/>
        <v>2588372.1833853698</v>
      </c>
      <c r="G28" s="165">
        <f t="shared" si="8"/>
        <v>427209.16389743006</v>
      </c>
      <c r="H28" s="165">
        <f t="shared" si="1"/>
        <v>1.5994934930708599E-2</v>
      </c>
      <c r="I28" s="165">
        <f t="shared" si="2"/>
        <v>3.0725975529958989E-3</v>
      </c>
      <c r="J28" s="172">
        <f>IF(+'Sismo UBC-94 y Dinamico'!O21=0,'Sismo UBC-94 y Dinamico'!M21,'Sismo UBC-94 y Dinamico'!O21)</f>
        <v>9860.7645541353995</v>
      </c>
      <c r="K28" s="172">
        <f t="shared" si="3"/>
        <v>18</v>
      </c>
      <c r="L28" s="165">
        <f t="shared" si="4"/>
        <v>1312.6418316086674</v>
      </c>
      <c r="M28" s="165">
        <f t="shared" si="5"/>
        <v>177493.76197443719</v>
      </c>
      <c r="N28" s="165">
        <f t="shared" si="6"/>
        <v>7.3954251518862689E-3</v>
      </c>
      <c r="O28" s="165" t="str">
        <f t="shared" si="7"/>
        <v>OK</v>
      </c>
    </row>
    <row r="29" spans="2:16" s="158" customFormat="1" x14ac:dyDescent="0.3">
      <c r="B29" s="53" t="s">
        <v>26</v>
      </c>
      <c r="C29" s="53">
        <v>14.5</v>
      </c>
      <c r="D29" s="53" t="s">
        <v>72</v>
      </c>
      <c r="E29" s="53">
        <f>+'Irre. Torsional'!E13</f>
        <v>1.29223373777127E-2</v>
      </c>
      <c r="F29" s="165">
        <f t="shared" si="0"/>
        <v>3015581.3472836101</v>
      </c>
      <c r="G29" s="165">
        <f t="shared" si="8"/>
        <v>427209.16389824031</v>
      </c>
      <c r="H29" s="165">
        <f t="shared" si="1"/>
        <v>1.29223373777127E-2</v>
      </c>
      <c r="I29" s="165">
        <f t="shared" si="2"/>
        <v>3.2668510165960313E-3</v>
      </c>
      <c r="J29" s="172">
        <f>IF(+'Sismo UBC-94 y Dinamico'!O22=0,'Sismo UBC-94 y Dinamico'!M22,'Sismo UBC-94 y Dinamico'!O22)</f>
        <v>8540.3584143974003</v>
      </c>
      <c r="K29" s="172">
        <f t="shared" si="3"/>
        <v>14.5</v>
      </c>
      <c r="L29" s="165">
        <f t="shared" si="4"/>
        <v>1395.6286913801068</v>
      </c>
      <c r="M29" s="165">
        <f t="shared" si="5"/>
        <v>123835.1970087623</v>
      </c>
      <c r="N29" s="165">
        <f t="shared" si="6"/>
        <v>1.1270048621809478E-2</v>
      </c>
      <c r="O29" s="165" t="str">
        <f t="shared" si="7"/>
        <v>OK</v>
      </c>
    </row>
    <row r="30" spans="2:16" s="158" customFormat="1" x14ac:dyDescent="0.3">
      <c r="B30" s="53" t="s">
        <v>25</v>
      </c>
      <c r="C30" s="53">
        <v>11</v>
      </c>
      <c r="D30" s="53" t="s">
        <v>72</v>
      </c>
      <c r="E30" s="53">
        <f>+'Irre. Torsional'!E14</f>
        <v>9.6554863611166691E-3</v>
      </c>
      <c r="F30" s="165">
        <f t="shared" si="0"/>
        <v>3442790.51118204</v>
      </c>
      <c r="G30" s="165">
        <f t="shared" si="8"/>
        <v>427209.16389842983</v>
      </c>
      <c r="H30" s="165">
        <f t="shared" si="1"/>
        <v>9.6554863611166691E-3</v>
      </c>
      <c r="I30" s="165">
        <f t="shared" si="2"/>
        <v>3.3834143791842694E-3</v>
      </c>
      <c r="J30" s="172">
        <f>IF(+'Sismo UBC-94 y Dinamico'!O23=0,'Sismo UBC-94 y Dinamico'!M23,'Sismo UBC-94 y Dinamico'!O23)</f>
        <v>7187.9443554934987</v>
      </c>
      <c r="K30" s="172">
        <f t="shared" si="3"/>
        <v>11</v>
      </c>
      <c r="L30" s="165">
        <f t="shared" si="4"/>
        <v>1445.4256280532368</v>
      </c>
      <c r="M30" s="165">
        <f t="shared" si="5"/>
        <v>79067.387910428486</v>
      </c>
      <c r="N30" s="165">
        <f t="shared" si="6"/>
        <v>1.8280933090779317E-2</v>
      </c>
      <c r="O30" s="165" t="str">
        <f t="shared" si="7"/>
        <v>OK</v>
      </c>
    </row>
    <row r="31" spans="2:16" s="158" customFormat="1" x14ac:dyDescent="0.3">
      <c r="B31" s="53" t="s">
        <v>24</v>
      </c>
      <c r="C31" s="53">
        <v>7.5</v>
      </c>
      <c r="D31" s="53" t="s">
        <v>72</v>
      </c>
      <c r="E31" s="53">
        <f>+'Irre. Torsional'!E15</f>
        <v>6.2720719819323997E-3</v>
      </c>
      <c r="F31" s="165">
        <f t="shared" si="0"/>
        <v>3869999.6750801099</v>
      </c>
      <c r="G31" s="165">
        <f t="shared" si="8"/>
        <v>427209.16389806988</v>
      </c>
      <c r="H31" s="165">
        <f t="shared" si="1"/>
        <v>6.2720719819323997E-3</v>
      </c>
      <c r="I31" s="165">
        <f t="shared" si="2"/>
        <v>3.3725946212840195E-3</v>
      </c>
      <c r="J31" s="172">
        <f>IF(+'Sismo UBC-94 y Dinamico'!O24=0,'Sismo UBC-94 y Dinamico'!M24,'Sismo UBC-94 y Dinamico'!O24)</f>
        <v>5494.9126095410029</v>
      </c>
      <c r="K31" s="172">
        <f t="shared" si="3"/>
        <v>7.5</v>
      </c>
      <c r="L31" s="165">
        <f t="shared" si="4"/>
        <v>1440.8033283258735</v>
      </c>
      <c r="M31" s="165">
        <f t="shared" si="5"/>
        <v>41211.844571557522</v>
      </c>
      <c r="N31" s="165">
        <f t="shared" si="6"/>
        <v>3.4960903674771407E-2</v>
      </c>
      <c r="O31" s="165" t="str">
        <f t="shared" si="7"/>
        <v>OK</v>
      </c>
    </row>
    <row r="32" spans="2:16" s="158" customFormat="1" x14ac:dyDescent="0.3">
      <c r="B32" s="53" t="s">
        <v>22</v>
      </c>
      <c r="C32" s="53">
        <v>4</v>
      </c>
      <c r="D32" s="53" t="s">
        <v>72</v>
      </c>
      <c r="E32" s="53">
        <f>+'Irre. Torsional'!E16</f>
        <v>2.8994773606483802E-3</v>
      </c>
      <c r="F32" s="165">
        <f t="shared" si="0"/>
        <v>4413196.3631882602</v>
      </c>
      <c r="G32" s="165">
        <f t="shared" si="8"/>
        <v>543196.68810815038</v>
      </c>
      <c r="H32" s="165">
        <f t="shared" si="1"/>
        <v>2.8994773606483802E-3</v>
      </c>
      <c r="I32" s="165">
        <f>+H32-I33</f>
        <v>2.8994773606483802E-3</v>
      </c>
      <c r="J32" s="172">
        <f>IF(+'Sismo UBC-94 y Dinamico'!O25=0,'Sismo UBC-94 y Dinamico'!M25,'Sismo UBC-94 y Dinamico'!O25)</f>
        <v>3086.7252324540023</v>
      </c>
      <c r="K32" s="172">
        <f t="shared" si="3"/>
        <v>4</v>
      </c>
      <c r="L32" s="165">
        <f t="shared" si="4"/>
        <v>1574.9864995487612</v>
      </c>
      <c r="M32" s="165">
        <f t="shared" si="5"/>
        <v>12346.900929816009</v>
      </c>
      <c r="N32" s="165">
        <f t="shared" si="6"/>
        <v>0.12756128104546405</v>
      </c>
      <c r="O32" s="165" t="str">
        <f t="shared" si="7"/>
        <v>OK</v>
      </c>
    </row>
    <row r="33" spans="2:16" s="83" customFormat="1" x14ac:dyDescent="0.3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3"/>
    <row r="35" spans="2:16" s="83" customFormat="1" x14ac:dyDescent="0.3"/>
    <row r="36" spans="2:16" s="83" customFormat="1" x14ac:dyDescent="0.3">
      <c r="B36" s="9" t="s">
        <v>80</v>
      </c>
    </row>
    <row r="37" spans="2:16" s="83" customFormat="1" x14ac:dyDescent="0.3">
      <c r="B37" s="84" t="s">
        <v>68</v>
      </c>
      <c r="C37" s="85"/>
      <c r="D37" s="85"/>
      <c r="E37" s="203" t="s">
        <v>73</v>
      </c>
      <c r="F37" s="203"/>
      <c r="G37" s="203"/>
      <c r="H37" s="203"/>
      <c r="I37" s="203"/>
      <c r="J37" s="203"/>
      <c r="K37" s="203"/>
      <c r="L37" s="203"/>
      <c r="M37" s="203"/>
      <c r="N37" s="203"/>
      <c r="O37" s="178"/>
      <c r="P37" s="180"/>
    </row>
    <row r="38" spans="2:16" s="83" customFormat="1" x14ac:dyDescent="0.3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3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3">
      <c r="B40" s="53" t="s">
        <v>189</v>
      </c>
      <c r="C40" s="53">
        <v>38.5</v>
      </c>
      <c r="D40" s="53" t="s">
        <v>72</v>
      </c>
      <c r="E40" s="53">
        <f>+'Irre. Torsional'!E24</f>
        <v>2.58208581781279E-2</v>
      </c>
      <c r="F40" s="165">
        <f t="shared" ref="F40:F50" si="9">+E5</f>
        <v>18781.1999999988</v>
      </c>
      <c r="G40" s="165">
        <v>0</v>
      </c>
      <c r="H40" s="165">
        <f t="shared" ref="H40:H50" si="10">+E40</f>
        <v>2.58208581781279E-2</v>
      </c>
      <c r="I40" s="165">
        <f t="shared" ref="I40:I49" si="11">+H40-H41</f>
        <v>-2.0824749978719942E-4</v>
      </c>
      <c r="J40" s="165">
        <f>+J22</f>
        <v>1142.6976359302701</v>
      </c>
      <c r="K40" s="165">
        <f t="shared" ref="K40:K50" si="12">+C40</f>
        <v>38.5</v>
      </c>
      <c r="L40" s="165">
        <f>+G40*I40</f>
        <v>0</v>
      </c>
      <c r="M40" s="165">
        <f>+J40*K40</f>
        <v>43993.858983315396</v>
      </c>
      <c r="N40" s="165">
        <f>+L40/M40</f>
        <v>0</v>
      </c>
      <c r="O40" s="165" t="str">
        <f>+IF(N40&gt;O39,"P-DELTA","OK")</f>
        <v>OK</v>
      </c>
    </row>
    <row r="41" spans="2:16" s="83" customFormat="1" x14ac:dyDescent="0.3">
      <c r="B41" s="53" t="s">
        <v>187</v>
      </c>
      <c r="C41" s="53">
        <v>35.5</v>
      </c>
      <c r="D41" s="53" t="s">
        <v>72</v>
      </c>
      <c r="E41" s="53">
        <f>+'Irre. Torsional'!E25</f>
        <v>2.6029105677915099E-2</v>
      </c>
      <c r="F41" s="165">
        <f t="shared" si="9"/>
        <v>452326.36389667902</v>
      </c>
      <c r="G41" s="165">
        <f>+F41</f>
        <v>452326.36389667902</v>
      </c>
      <c r="H41" s="165">
        <f t="shared" si="10"/>
        <v>2.6029105677915099E-2</v>
      </c>
      <c r="I41" s="165">
        <f t="shared" si="11"/>
        <v>1.120337284754698E-3</v>
      </c>
      <c r="J41" s="172">
        <f t="shared" ref="J41:J50" si="13">+J23</f>
        <v>16372.925813656029</v>
      </c>
      <c r="K41" s="172">
        <f t="shared" si="12"/>
        <v>35.5</v>
      </c>
      <c r="L41" s="165">
        <f t="shared" ref="L41:L50" si="14">+G41*I41</f>
        <v>506.75809035097086</v>
      </c>
      <c r="M41" s="165">
        <f t="shared" ref="M41:M50" si="15">+J41*K41</f>
        <v>581238.866384789</v>
      </c>
      <c r="N41" s="165">
        <f t="shared" ref="N41:N50" si="16">+L41/M41</f>
        <v>8.7185857598085891E-4</v>
      </c>
      <c r="O41" s="165" t="str">
        <f t="shared" ref="O41:O50" si="17">+IF(N41&gt;O40,"P-DELTA","OK")</f>
        <v>OK</v>
      </c>
    </row>
    <row r="42" spans="2:16" s="83" customFormat="1" x14ac:dyDescent="0.3">
      <c r="B42" s="53" t="s">
        <v>185</v>
      </c>
      <c r="C42" s="53">
        <v>32</v>
      </c>
      <c r="D42" s="53" t="s">
        <v>72</v>
      </c>
      <c r="E42" s="53">
        <f>+'Irre. Torsional'!E26</f>
        <v>2.4908768393160401E-2</v>
      </c>
      <c r="F42" s="165">
        <f t="shared" si="9"/>
        <v>879535.52779469895</v>
      </c>
      <c r="G42" s="165">
        <f>+F42-F41</f>
        <v>427209.16389801994</v>
      </c>
      <c r="H42" s="165">
        <f t="shared" si="10"/>
        <v>2.4908768393160401E-2</v>
      </c>
      <c r="I42" s="165">
        <f t="shared" si="11"/>
        <v>1.6325759401204024E-3</v>
      </c>
      <c r="J42" s="172">
        <f t="shared" si="13"/>
        <v>18562.170846961501</v>
      </c>
      <c r="K42" s="172">
        <f t="shared" si="12"/>
        <v>32</v>
      </c>
      <c r="L42" s="165">
        <f t="shared" si="14"/>
        <v>697.45140237886096</v>
      </c>
      <c r="M42" s="165">
        <f t="shared" si="15"/>
        <v>593989.46710276802</v>
      </c>
      <c r="N42" s="165">
        <f t="shared" si="16"/>
        <v>1.1741814308269421E-3</v>
      </c>
      <c r="O42" s="165" t="str">
        <f t="shared" si="17"/>
        <v>OK</v>
      </c>
    </row>
    <row r="43" spans="2:16" s="83" customFormat="1" x14ac:dyDescent="0.3">
      <c r="B43" s="53" t="s">
        <v>183</v>
      </c>
      <c r="C43" s="53">
        <v>28.5</v>
      </c>
      <c r="D43" s="53" t="s">
        <v>72</v>
      </c>
      <c r="E43" s="53">
        <f>+'Irre. Torsional'!E27</f>
        <v>2.3276192453039999E-2</v>
      </c>
      <c r="F43" s="165">
        <f t="shared" si="9"/>
        <v>1306744.6916920801</v>
      </c>
      <c r="G43" s="165">
        <f t="shared" ref="G43:G50" si="18">+F43-F42</f>
        <v>427209.16389738116</v>
      </c>
      <c r="H43" s="165">
        <f t="shared" si="10"/>
        <v>2.3276192453039999E-2</v>
      </c>
      <c r="I43" s="165">
        <f t="shared" si="11"/>
        <v>2.0948526439964997E-3</v>
      </c>
      <c r="J43" s="172">
        <f t="shared" si="13"/>
        <v>15626.712544258</v>
      </c>
      <c r="K43" s="172">
        <f t="shared" si="12"/>
        <v>28.5</v>
      </c>
      <c r="L43" s="165">
        <f t="shared" si="14"/>
        <v>894.94024652996291</v>
      </c>
      <c r="M43" s="165">
        <f t="shared" si="15"/>
        <v>445361.30751135299</v>
      </c>
      <c r="N43" s="165">
        <f t="shared" si="16"/>
        <v>2.0094701345539528E-3</v>
      </c>
      <c r="O43" s="165" t="str">
        <f t="shared" si="17"/>
        <v>OK</v>
      </c>
    </row>
    <row r="44" spans="2:16" s="83" customFormat="1" x14ac:dyDescent="0.3">
      <c r="B44" s="53" t="s">
        <v>181</v>
      </c>
      <c r="C44" s="53">
        <v>25</v>
      </c>
      <c r="D44" s="53" t="s">
        <v>72</v>
      </c>
      <c r="E44" s="53">
        <f>+'Irre. Torsional'!E28</f>
        <v>2.1181339809043499E-2</v>
      </c>
      <c r="F44" s="165">
        <f t="shared" si="9"/>
        <v>1733953.85559035</v>
      </c>
      <c r="G44" s="165">
        <f t="shared" si="18"/>
        <v>427209.16389826988</v>
      </c>
      <c r="H44" s="165">
        <f t="shared" si="10"/>
        <v>2.1181339809043499E-2</v>
      </c>
      <c r="I44" s="165">
        <f t="shared" si="11"/>
        <v>2.4824541123480981E-3</v>
      </c>
      <c r="J44" s="172">
        <f t="shared" si="13"/>
        <v>13211.382645929603</v>
      </c>
      <c r="K44" s="172">
        <f t="shared" si="12"/>
        <v>25</v>
      </c>
      <c r="L44" s="165">
        <f t="shared" si="14"/>
        <v>1060.5271457520528</v>
      </c>
      <c r="M44" s="165">
        <f t="shared" si="15"/>
        <v>330284.56614824006</v>
      </c>
      <c r="N44" s="165">
        <f t="shared" si="16"/>
        <v>3.210949751966495E-3</v>
      </c>
      <c r="O44" s="165" t="str">
        <f t="shared" si="17"/>
        <v>OK</v>
      </c>
    </row>
    <row r="45" spans="2:16" s="158" customFormat="1" x14ac:dyDescent="0.3">
      <c r="B45" s="53" t="s">
        <v>179</v>
      </c>
      <c r="C45" s="53">
        <v>21.5</v>
      </c>
      <c r="D45" s="53" t="s">
        <v>72</v>
      </c>
      <c r="E45" s="53">
        <f>+'Irre. Torsional'!E29</f>
        <v>1.8698885696695401E-2</v>
      </c>
      <c r="F45" s="165">
        <f t="shared" si="9"/>
        <v>2161163.0194879398</v>
      </c>
      <c r="G45" s="165">
        <f t="shared" si="18"/>
        <v>427209.16389758978</v>
      </c>
      <c r="H45" s="165">
        <f t="shared" si="10"/>
        <v>1.8698885696695401E-2</v>
      </c>
      <c r="I45" s="165">
        <f t="shared" si="11"/>
        <v>2.8014489407732004E-3</v>
      </c>
      <c r="J45" s="172">
        <f t="shared" si="13"/>
        <v>11351.368564183293</v>
      </c>
      <c r="K45" s="172">
        <f t="shared" si="12"/>
        <v>21.5</v>
      </c>
      <c r="L45" s="165">
        <f t="shared" si="14"/>
        <v>1196.8046596895074</v>
      </c>
      <c r="M45" s="165">
        <f t="shared" si="15"/>
        <v>244054.4241299408</v>
      </c>
      <c r="N45" s="165">
        <f t="shared" si="16"/>
        <v>4.9038433290285203E-3</v>
      </c>
      <c r="O45" s="165" t="str">
        <f t="shared" si="17"/>
        <v>OK</v>
      </c>
    </row>
    <row r="46" spans="2:16" s="158" customFormat="1" x14ac:dyDescent="0.3">
      <c r="B46" s="53" t="s">
        <v>39</v>
      </c>
      <c r="C46" s="53">
        <v>18</v>
      </c>
      <c r="D46" s="53" t="s">
        <v>72</v>
      </c>
      <c r="E46" s="53">
        <f>+'Irre. Torsional'!E30</f>
        <v>1.5897436755922201E-2</v>
      </c>
      <c r="F46" s="165">
        <f t="shared" si="9"/>
        <v>2588372.1833853698</v>
      </c>
      <c r="G46" s="165">
        <f t="shared" si="18"/>
        <v>427209.16389743006</v>
      </c>
      <c r="H46" s="165">
        <f t="shared" si="10"/>
        <v>1.5897436755922201E-2</v>
      </c>
      <c r="I46" s="165">
        <f t="shared" si="11"/>
        <v>3.0569357870904E-3</v>
      </c>
      <c r="J46" s="172">
        <f t="shared" si="13"/>
        <v>9860.7645541353995</v>
      </c>
      <c r="K46" s="172">
        <f t="shared" si="12"/>
        <v>18</v>
      </c>
      <c r="L46" s="165">
        <f t="shared" si="14"/>
        <v>1305.950981691022</v>
      </c>
      <c r="M46" s="165">
        <f t="shared" si="15"/>
        <v>177493.76197443719</v>
      </c>
      <c r="N46" s="165">
        <f t="shared" si="16"/>
        <v>7.3577288979829398E-3</v>
      </c>
      <c r="O46" s="165" t="str">
        <f t="shared" si="17"/>
        <v>OK</v>
      </c>
    </row>
    <row r="47" spans="2:16" s="158" customFormat="1" x14ac:dyDescent="0.3">
      <c r="B47" s="53" t="s">
        <v>26</v>
      </c>
      <c r="C47" s="53">
        <v>14.5</v>
      </c>
      <c r="D47" s="53" t="s">
        <v>72</v>
      </c>
      <c r="E47" s="53">
        <f>+'Irre. Torsional'!E31</f>
        <v>1.2840500968831801E-2</v>
      </c>
      <c r="F47" s="165">
        <f t="shared" si="9"/>
        <v>3015581.3472836101</v>
      </c>
      <c r="G47" s="165">
        <f t="shared" si="18"/>
        <v>427209.16389824031</v>
      </c>
      <c r="H47" s="165">
        <f t="shared" si="10"/>
        <v>1.2840500968831801E-2</v>
      </c>
      <c r="I47" s="165">
        <f t="shared" si="11"/>
        <v>3.2484335667939315E-3</v>
      </c>
      <c r="J47" s="172">
        <f t="shared" si="13"/>
        <v>8540.3584143974003</v>
      </c>
      <c r="K47" s="172">
        <f t="shared" si="12"/>
        <v>14.5</v>
      </c>
      <c r="L47" s="165">
        <f t="shared" si="14"/>
        <v>1387.7605880490141</v>
      </c>
      <c r="M47" s="165">
        <f t="shared" si="15"/>
        <v>123835.1970087623</v>
      </c>
      <c r="N47" s="165">
        <f t="shared" si="16"/>
        <v>1.1206511731481473E-2</v>
      </c>
      <c r="O47" s="165" t="str">
        <f t="shared" si="17"/>
        <v>OK</v>
      </c>
    </row>
    <row r="48" spans="2:16" s="158" customFormat="1" x14ac:dyDescent="0.3">
      <c r="B48" s="53" t="s">
        <v>25</v>
      </c>
      <c r="C48" s="53">
        <v>11</v>
      </c>
      <c r="D48" s="53" t="s">
        <v>72</v>
      </c>
      <c r="E48" s="53">
        <f>+'Irre. Torsional'!E32</f>
        <v>9.5920674020378693E-3</v>
      </c>
      <c r="F48" s="165">
        <f t="shared" si="9"/>
        <v>3442790.51118204</v>
      </c>
      <c r="G48" s="165">
        <f t="shared" si="18"/>
        <v>427209.16389842983</v>
      </c>
      <c r="H48" s="165">
        <f t="shared" si="10"/>
        <v>9.5920674020378693E-3</v>
      </c>
      <c r="I48" s="165">
        <f t="shared" si="11"/>
        <v>3.3643207864744989E-3</v>
      </c>
      <c r="J48" s="172">
        <f t="shared" si="13"/>
        <v>7187.9443554934987</v>
      </c>
      <c r="K48" s="172">
        <f t="shared" si="12"/>
        <v>11</v>
      </c>
      <c r="L48" s="165">
        <f t="shared" si="14"/>
        <v>1437.2686702758785</v>
      </c>
      <c r="M48" s="165">
        <f t="shared" si="15"/>
        <v>79067.387910428486</v>
      </c>
      <c r="N48" s="165">
        <f t="shared" si="16"/>
        <v>1.817776846130403E-2</v>
      </c>
      <c r="O48" s="165" t="str">
        <f t="shared" si="17"/>
        <v>OK</v>
      </c>
    </row>
    <row r="49" spans="2:16" s="158" customFormat="1" x14ac:dyDescent="0.3">
      <c r="B49" s="53" t="s">
        <v>24</v>
      </c>
      <c r="C49" s="53">
        <v>7.5</v>
      </c>
      <c r="D49" s="53" t="s">
        <v>72</v>
      </c>
      <c r="E49" s="53">
        <f>+'Irre. Torsional'!E33</f>
        <v>6.2277466155633704E-3</v>
      </c>
      <c r="F49" s="165">
        <f t="shared" si="9"/>
        <v>3869999.6750801099</v>
      </c>
      <c r="G49" s="165">
        <f t="shared" si="18"/>
        <v>427209.16389806988</v>
      </c>
      <c r="H49" s="165">
        <f t="shared" si="10"/>
        <v>6.2277466155633704E-3</v>
      </c>
      <c r="I49" s="165">
        <f t="shared" si="11"/>
        <v>3.3544661017008903E-3</v>
      </c>
      <c r="J49" s="172">
        <f t="shared" si="13"/>
        <v>5494.9126095410029</v>
      </c>
      <c r="K49" s="172">
        <f t="shared" si="12"/>
        <v>7.5</v>
      </c>
      <c r="L49" s="165">
        <f t="shared" si="14"/>
        <v>1433.0586586320551</v>
      </c>
      <c r="M49" s="165">
        <f t="shared" si="15"/>
        <v>41211.844571557522</v>
      </c>
      <c r="N49" s="165">
        <f t="shared" si="16"/>
        <v>3.4772980281039999E-2</v>
      </c>
      <c r="O49" s="165" t="str">
        <f t="shared" si="17"/>
        <v>OK</v>
      </c>
    </row>
    <row r="50" spans="2:16" s="158" customFormat="1" x14ac:dyDescent="0.3">
      <c r="B50" s="53" t="s">
        <v>22</v>
      </c>
      <c r="C50" s="53">
        <v>4</v>
      </c>
      <c r="D50" s="53" t="s">
        <v>72</v>
      </c>
      <c r="E50" s="53">
        <f>+'Irre. Torsional'!E34</f>
        <v>2.8732805138624801E-3</v>
      </c>
      <c r="F50" s="165">
        <f t="shared" si="9"/>
        <v>4413196.3631882602</v>
      </c>
      <c r="G50" s="165">
        <f t="shared" si="18"/>
        <v>543196.68810815038</v>
      </c>
      <c r="H50" s="165">
        <f t="shared" si="10"/>
        <v>2.8732805138624801E-3</v>
      </c>
      <c r="I50" s="165">
        <f>+H50-I51</f>
        <v>2.8732805138624801E-3</v>
      </c>
      <c r="J50" s="172">
        <f t="shared" si="13"/>
        <v>3086.7252324540023</v>
      </c>
      <c r="K50" s="172">
        <f t="shared" si="12"/>
        <v>4</v>
      </c>
      <c r="L50" s="165">
        <f t="shared" si="14"/>
        <v>1560.7564591357836</v>
      </c>
      <c r="M50" s="165">
        <f t="shared" si="15"/>
        <v>12346.900929816009</v>
      </c>
      <c r="N50" s="165">
        <f t="shared" si="16"/>
        <v>0.12640876184296407</v>
      </c>
      <c r="O50" s="165" t="str">
        <f t="shared" si="17"/>
        <v>OK</v>
      </c>
    </row>
    <row r="51" spans="2:16" s="83" customFormat="1" x14ac:dyDescent="0.3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3"/>
    <row r="53" spans="2:16" s="83" customFormat="1" x14ac:dyDescent="0.3"/>
    <row r="54" spans="2:16" s="83" customFormat="1" x14ac:dyDescent="0.3">
      <c r="B54" s="9" t="s">
        <v>81</v>
      </c>
    </row>
    <row r="55" spans="2:16" s="83" customFormat="1" x14ac:dyDescent="0.3">
      <c r="B55" s="84" t="s">
        <v>68</v>
      </c>
      <c r="C55" s="85"/>
      <c r="D55" s="85"/>
      <c r="E55" s="203" t="s">
        <v>73</v>
      </c>
      <c r="F55" s="203"/>
      <c r="G55" s="203"/>
      <c r="H55" s="203"/>
      <c r="I55" s="203"/>
      <c r="J55" s="203"/>
      <c r="K55" s="203"/>
      <c r="L55" s="203"/>
      <c r="M55" s="203"/>
      <c r="N55" s="203"/>
      <c r="O55" s="178"/>
      <c r="P55" s="180"/>
    </row>
    <row r="56" spans="2:16" s="83" customFormat="1" x14ac:dyDescent="0.3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3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3">
      <c r="B58" s="53" t="s">
        <v>189</v>
      </c>
      <c r="C58" s="53">
        <v>38.5</v>
      </c>
      <c r="D58" s="53" t="s">
        <v>72</v>
      </c>
      <c r="E58" s="53">
        <f>+'Irre. Torsional'!E42</f>
        <v>2.2422412410531702E-2</v>
      </c>
      <c r="F58" s="83">
        <f t="shared" ref="F58:F68" si="19">+E5</f>
        <v>18781.1999999988</v>
      </c>
      <c r="G58" s="83">
        <v>0</v>
      </c>
      <c r="H58" s="83">
        <f>+E58</f>
        <v>2.2422412410531702E-2</v>
      </c>
      <c r="I58" s="83">
        <f>+H58-H59</f>
        <v>-2.9296072137911001E-3</v>
      </c>
      <c r="J58" s="83">
        <f>IF(+'Sismo UBC-94 y Dinamico'!P34=0,'Sismo UBC-94 y Dinamico'!N34,'Sismo UBC-94 y Dinamico'!P34)</f>
        <v>1011.9198368741713</v>
      </c>
      <c r="K58" s="83">
        <f t="shared" ref="K58:K68" si="20">+C58</f>
        <v>38.5</v>
      </c>
      <c r="L58" s="83">
        <f>+G58*I58</f>
        <v>0</v>
      </c>
      <c r="M58" s="83">
        <f>+J58*K58</f>
        <v>38958.913719655597</v>
      </c>
      <c r="N58" s="83">
        <f>+L58/M58</f>
        <v>0</v>
      </c>
      <c r="O58" s="83" t="str">
        <f>+IF(N58&gt;O57,"P-DELTA","OK")</f>
        <v>OK</v>
      </c>
    </row>
    <row r="59" spans="2:16" s="83" customFormat="1" x14ac:dyDescent="0.3">
      <c r="B59" s="53" t="s">
        <v>187</v>
      </c>
      <c r="C59" s="53">
        <v>35.5</v>
      </c>
      <c r="D59" s="53" t="s">
        <v>72</v>
      </c>
      <c r="E59" s="53">
        <f>+'Irre. Torsional'!E43</f>
        <v>2.5352019624322802E-2</v>
      </c>
      <c r="F59" s="165">
        <f t="shared" si="19"/>
        <v>452326.36389667902</v>
      </c>
      <c r="G59" s="83">
        <f>+F59</f>
        <v>452326.36389667902</v>
      </c>
      <c r="H59" s="83">
        <f t="shared" ref="H59:H68" si="21">+E59</f>
        <v>2.5352019624322802E-2</v>
      </c>
      <c r="I59" s="83">
        <f>+H59-H60</f>
        <v>8.9202961512360041E-4</v>
      </c>
      <c r="J59" s="172">
        <f>IF(+'Sismo UBC-94 y Dinamico'!P35=0,'Sismo UBC-94 y Dinamico'!N35,'Sismo UBC-94 y Dinamico'!P35)</f>
        <v>15659.005522832706</v>
      </c>
      <c r="K59" s="172">
        <f t="shared" si="20"/>
        <v>35.5</v>
      </c>
      <c r="L59" s="83">
        <f>+G59*I59</f>
        <v>403.48851229701222</v>
      </c>
      <c r="M59" s="83">
        <f>+J59*K59</f>
        <v>555894.69606056099</v>
      </c>
      <c r="N59" s="83">
        <f>+L59/M59</f>
        <v>7.2583623329454264E-4</v>
      </c>
      <c r="O59" s="83" t="str">
        <f>+IF(N59&gt;O58,"P-DELTA","OK")</f>
        <v>OK</v>
      </c>
    </row>
    <row r="60" spans="2:16" s="83" customFormat="1" x14ac:dyDescent="0.3">
      <c r="B60" s="53" t="s">
        <v>185</v>
      </c>
      <c r="C60" s="53">
        <v>32</v>
      </c>
      <c r="D60" s="53" t="s">
        <v>72</v>
      </c>
      <c r="E60" s="53">
        <f>+'Irre. Torsional'!E44</f>
        <v>2.4459990009199201E-2</v>
      </c>
      <c r="F60" s="165">
        <f t="shared" si="19"/>
        <v>879535.52779469895</v>
      </c>
      <c r="G60" s="83">
        <f>+F60-F59</f>
        <v>427209.16389801994</v>
      </c>
      <c r="H60" s="83">
        <f t="shared" si="21"/>
        <v>2.4459990009199201E-2</v>
      </c>
      <c r="I60" s="83">
        <f>+H60-H61</f>
        <v>1.4221308958133026E-3</v>
      </c>
      <c r="J60" s="172">
        <f>IF(+'Sismo UBC-94 y Dinamico'!P36=0,'Sismo UBC-94 y Dinamico'!N36,'Sismo UBC-94 y Dinamico'!P36)</f>
        <v>18231.652570772167</v>
      </c>
      <c r="K60" s="172">
        <f t="shared" si="20"/>
        <v>32</v>
      </c>
      <c r="L60" s="83">
        <f>+G60*I60</f>
        <v>607.54735095394312</v>
      </c>
      <c r="M60" s="83">
        <f>+J60*K60</f>
        <v>583412.88226470933</v>
      </c>
      <c r="N60" s="83">
        <f>+L60/M60</f>
        <v>1.0413677335946849E-3</v>
      </c>
      <c r="O60" s="83" t="str">
        <f>+IF(N60&gt;O59,"P-DELTA","OK")</f>
        <v>OK</v>
      </c>
    </row>
    <row r="61" spans="2:16" s="83" customFormat="1" x14ac:dyDescent="0.3">
      <c r="B61" s="53" t="s">
        <v>183</v>
      </c>
      <c r="C61" s="53">
        <v>28.5</v>
      </c>
      <c r="D61" s="53" t="s">
        <v>72</v>
      </c>
      <c r="E61" s="53">
        <f>+'Irre. Torsional'!E45</f>
        <v>2.3037859113385899E-2</v>
      </c>
      <c r="F61" s="165">
        <f t="shared" si="19"/>
        <v>1306744.6916920801</v>
      </c>
      <c r="G61" s="83">
        <f t="shared" ref="G61:G68" si="22">+F61-F60</f>
        <v>427209.16389738116</v>
      </c>
      <c r="H61" s="83">
        <f t="shared" si="21"/>
        <v>2.3037859113385899E-2</v>
      </c>
      <c r="I61" s="83">
        <f>+H61-H62</f>
        <v>1.925588587730398E-3</v>
      </c>
      <c r="J61" s="172">
        <f>IF(+'Sismo UBC-94 y Dinamico'!P37=0,'Sismo UBC-94 y Dinamico'!N37,'Sismo UBC-94 y Dinamico'!P37)</f>
        <v>15534.492387218705</v>
      </c>
      <c r="K61" s="172">
        <f t="shared" si="20"/>
        <v>28.5</v>
      </c>
      <c r="L61" s="83">
        <f>+G61*I61</f>
        <v>822.62909057464231</v>
      </c>
      <c r="M61" s="83">
        <f>+J61*K61</f>
        <v>442733.0330357331</v>
      </c>
      <c r="N61" s="83">
        <f>+L61/M61</f>
        <v>1.8580702798118244E-3</v>
      </c>
      <c r="O61" s="83" t="str">
        <f>+IF(N61&gt;O60,"P-DELTA","OK")</f>
        <v>OK</v>
      </c>
    </row>
    <row r="62" spans="2:16" s="83" customFormat="1" x14ac:dyDescent="0.3">
      <c r="B62" s="53" t="s">
        <v>181</v>
      </c>
      <c r="C62" s="53">
        <v>25</v>
      </c>
      <c r="D62" s="53" t="s">
        <v>72</v>
      </c>
      <c r="E62" s="53">
        <f>+'Irre. Torsional'!E46</f>
        <v>2.1112270525655501E-2</v>
      </c>
      <c r="F62" s="165">
        <f t="shared" si="19"/>
        <v>1733953.85559035</v>
      </c>
      <c r="G62" s="83">
        <f t="shared" si="22"/>
        <v>427209.16389826988</v>
      </c>
      <c r="H62" s="83">
        <f t="shared" si="21"/>
        <v>2.1112270525655501E-2</v>
      </c>
      <c r="I62" s="83">
        <f>+H62-H63</f>
        <v>2.3564071531948991E-3</v>
      </c>
      <c r="J62" s="172">
        <f>IF(+'Sismo UBC-94 y Dinamico'!P38=0,'Sismo UBC-94 y Dinamico'!N38,'Sismo UBC-94 y Dinamico'!P38)</f>
        <v>13176.539736940143</v>
      </c>
      <c r="K62" s="172">
        <f t="shared" si="20"/>
        <v>25</v>
      </c>
      <c r="L62" s="83">
        <f>+G62*I62</f>
        <v>1006.6787297202952</v>
      </c>
      <c r="M62" s="83">
        <f>+J62*K62</f>
        <v>329413.49342350359</v>
      </c>
      <c r="N62" s="83">
        <f>+L62/M62</f>
        <v>3.0559729635181634E-3</v>
      </c>
      <c r="O62" s="83" t="str">
        <f>+IF(N62&gt;O61,"P-DELTA","OK")</f>
        <v>OK</v>
      </c>
    </row>
    <row r="63" spans="2:16" s="158" customFormat="1" x14ac:dyDescent="0.3">
      <c r="B63" s="53" t="s">
        <v>179</v>
      </c>
      <c r="C63" s="53">
        <v>21.5</v>
      </c>
      <c r="D63" s="53" t="s">
        <v>72</v>
      </c>
      <c r="E63" s="53">
        <f>+'Irre. Torsional'!E47</f>
        <v>1.8755863372460602E-2</v>
      </c>
      <c r="F63" s="165">
        <f t="shared" si="19"/>
        <v>2161163.0194879398</v>
      </c>
      <c r="G63" s="165">
        <f t="shared" si="22"/>
        <v>427209.16389758978</v>
      </c>
      <c r="H63" s="165">
        <f t="shared" si="21"/>
        <v>1.8755863372460602E-2</v>
      </c>
      <c r="I63" s="165">
        <f t="shared" ref="I63:I68" si="23">+H63-H64</f>
        <v>2.7194121608504034E-3</v>
      </c>
      <c r="J63" s="172">
        <f>IF(+'Sismo UBC-94 y Dinamico'!P39=0,'Sismo UBC-94 y Dinamico'!N39,'Sismo UBC-94 y Dinamico'!P39)</f>
        <v>11325.276308834073</v>
      </c>
      <c r="K63" s="172">
        <f t="shared" si="20"/>
        <v>21.5</v>
      </c>
      <c r="L63" s="165">
        <f t="shared" ref="L63:L68" si="24">+G63*I63</f>
        <v>1161.7577955298389</v>
      </c>
      <c r="M63" s="165">
        <f t="shared" ref="M63:M68" si="25">+J63*K63</f>
        <v>243493.44063993255</v>
      </c>
      <c r="N63" s="165">
        <f t="shared" ref="N63:N68" si="26">+L63/M63</f>
        <v>4.7712077683759683E-3</v>
      </c>
      <c r="O63" s="165" t="str">
        <f t="shared" ref="O63:O68" si="27">+IF(N63&gt;O62,"P-DELTA","OK")</f>
        <v>OK</v>
      </c>
    </row>
    <row r="64" spans="2:16" s="158" customFormat="1" x14ac:dyDescent="0.3">
      <c r="B64" s="53" t="s">
        <v>39</v>
      </c>
      <c r="C64" s="53">
        <v>18</v>
      </c>
      <c r="D64" s="53" t="s">
        <v>72</v>
      </c>
      <c r="E64" s="53">
        <f>+'Irre. Torsional'!E48</f>
        <v>1.6036451211610198E-2</v>
      </c>
      <c r="F64" s="165">
        <f t="shared" si="19"/>
        <v>2588372.1833853698</v>
      </c>
      <c r="G64" s="165">
        <f t="shared" si="22"/>
        <v>427209.16389743006</v>
      </c>
      <c r="H64" s="165">
        <f t="shared" si="21"/>
        <v>1.6036451211610198E-2</v>
      </c>
      <c r="I64" s="165">
        <f t="shared" si="23"/>
        <v>3.0231157914290974E-3</v>
      </c>
      <c r="J64" s="172">
        <f>IF(+'Sismo UBC-94 y Dinamico'!P40=0,'Sismo UBC-94 y Dinamico'!N40,'Sismo UBC-94 y Dinamico'!P40)</f>
        <v>9864.1351846361576</v>
      </c>
      <c r="K64" s="172">
        <f t="shared" si="20"/>
        <v>18</v>
      </c>
      <c r="L64" s="165">
        <f t="shared" si="24"/>
        <v>1291.5027696215423</v>
      </c>
      <c r="M64" s="165">
        <f t="shared" si="25"/>
        <v>177554.43332345085</v>
      </c>
      <c r="N64" s="165">
        <f t="shared" si="26"/>
        <v>7.2738412972702974E-3</v>
      </c>
      <c r="O64" s="165" t="str">
        <f t="shared" si="27"/>
        <v>OK</v>
      </c>
    </row>
    <row r="65" spans="2:16" s="158" customFormat="1" x14ac:dyDescent="0.3">
      <c r="B65" s="53" t="s">
        <v>26</v>
      </c>
      <c r="C65" s="53">
        <v>14.5</v>
      </c>
      <c r="D65" s="53" t="s">
        <v>72</v>
      </c>
      <c r="E65" s="53">
        <f>+'Irre. Torsional'!E49</f>
        <v>1.3013335420181101E-2</v>
      </c>
      <c r="F65" s="165">
        <f t="shared" si="19"/>
        <v>3015581.3472836101</v>
      </c>
      <c r="G65" s="165">
        <f t="shared" si="22"/>
        <v>427209.16389824031</v>
      </c>
      <c r="H65" s="165">
        <f t="shared" si="21"/>
        <v>1.3013335420181101E-2</v>
      </c>
      <c r="I65" s="165">
        <f t="shared" si="23"/>
        <v>3.2698081755654206E-3</v>
      </c>
      <c r="J65" s="172">
        <f>IF(+'Sismo UBC-94 y Dinamico'!P41=0,'Sismo UBC-94 y Dinamico'!N41,'Sismo UBC-94 y Dinamico'!P41)</f>
        <v>8584.3401766235856</v>
      </c>
      <c r="K65" s="172">
        <f t="shared" si="20"/>
        <v>14.5</v>
      </c>
      <c r="L65" s="165">
        <f t="shared" si="24"/>
        <v>1396.8920167909339</v>
      </c>
      <c r="M65" s="165">
        <f t="shared" si="25"/>
        <v>124472.93256104199</v>
      </c>
      <c r="N65" s="165">
        <f t="shared" si="26"/>
        <v>1.1222456063738137E-2</v>
      </c>
      <c r="O65" s="165" t="str">
        <f t="shared" si="27"/>
        <v>OK</v>
      </c>
    </row>
    <row r="66" spans="2:16" s="158" customFormat="1" x14ac:dyDescent="0.3">
      <c r="B66" s="53" t="s">
        <v>25</v>
      </c>
      <c r="C66" s="53">
        <v>11</v>
      </c>
      <c r="D66" s="53" t="s">
        <v>72</v>
      </c>
      <c r="E66" s="53">
        <f>+'Irre. Torsional'!E50</f>
        <v>9.7435272446156802E-3</v>
      </c>
      <c r="F66" s="165">
        <f t="shared" si="19"/>
        <v>3442790.51118204</v>
      </c>
      <c r="G66" s="165">
        <f t="shared" si="22"/>
        <v>427209.16389842983</v>
      </c>
      <c r="H66" s="165">
        <f t="shared" si="21"/>
        <v>9.7435272446156802E-3</v>
      </c>
      <c r="I66" s="165">
        <f t="shared" si="23"/>
        <v>3.4443964334048699E-3</v>
      </c>
      <c r="J66" s="172">
        <f>IF(+'Sismo UBC-94 y Dinamico'!P42=0,'Sismo UBC-94 y Dinamico'!N42,'Sismo UBC-94 y Dinamico'!P42)</f>
        <v>7247.6181356074549</v>
      </c>
      <c r="K66" s="172">
        <f t="shared" si="20"/>
        <v>11</v>
      </c>
      <c r="L66" s="165">
        <f t="shared" si="24"/>
        <v>1471.4777204496281</v>
      </c>
      <c r="M66" s="165">
        <f t="shared" si="25"/>
        <v>79723.799491682003</v>
      </c>
      <c r="N66" s="165">
        <f t="shared" si="26"/>
        <v>1.8457195088941478E-2</v>
      </c>
      <c r="O66" s="165" t="str">
        <f t="shared" si="27"/>
        <v>OK</v>
      </c>
    </row>
    <row r="67" spans="2:16" s="158" customFormat="1" x14ac:dyDescent="0.3">
      <c r="B67" s="53" t="s">
        <v>24</v>
      </c>
      <c r="C67" s="53">
        <v>7.5</v>
      </c>
      <c r="D67" s="53" t="s">
        <v>72</v>
      </c>
      <c r="E67" s="53">
        <f>+'Irre. Torsional'!E51</f>
        <v>6.2991308112108103E-3</v>
      </c>
      <c r="F67" s="165">
        <f t="shared" si="19"/>
        <v>3869999.6750801099</v>
      </c>
      <c r="G67" s="165">
        <f t="shared" si="22"/>
        <v>427209.16389806988</v>
      </c>
      <c r="H67" s="165">
        <f t="shared" si="21"/>
        <v>6.2991308112108103E-3</v>
      </c>
      <c r="I67" s="165">
        <f t="shared" si="23"/>
        <v>3.4661828510649802E-3</v>
      </c>
      <c r="J67" s="172">
        <f>IF(+'Sismo UBC-94 y Dinamico'!P43=0,'Sismo UBC-94 y Dinamico'!N43,'Sismo UBC-94 y Dinamico'!P43)</f>
        <v>5576.0442948010077</v>
      </c>
      <c r="K67" s="172">
        <f t="shared" si="20"/>
        <v>7.5</v>
      </c>
      <c r="L67" s="165">
        <f t="shared" si="24"/>
        <v>1480.7850777212982</v>
      </c>
      <c r="M67" s="165">
        <f t="shared" si="25"/>
        <v>41820.332211007561</v>
      </c>
      <c r="N67" s="165">
        <f t="shared" si="26"/>
        <v>3.5408257166631013E-2</v>
      </c>
      <c r="O67" s="165" t="str">
        <f t="shared" si="27"/>
        <v>OK</v>
      </c>
    </row>
    <row r="68" spans="2:16" s="158" customFormat="1" x14ac:dyDescent="0.3">
      <c r="B68" s="53" t="s">
        <v>22</v>
      </c>
      <c r="C68" s="53">
        <v>4</v>
      </c>
      <c r="D68" s="53" t="s">
        <v>72</v>
      </c>
      <c r="E68" s="53">
        <f>+'Irre. Torsional'!E52</f>
        <v>2.8329479601458302E-3</v>
      </c>
      <c r="F68" s="165">
        <f t="shared" si="19"/>
        <v>4413196.3631882602</v>
      </c>
      <c r="G68" s="165">
        <f t="shared" si="22"/>
        <v>543196.68810815038</v>
      </c>
      <c r="H68" s="165">
        <f t="shared" si="21"/>
        <v>2.8329479601458302E-3</v>
      </c>
      <c r="I68" s="165">
        <f t="shared" si="23"/>
        <v>2.8329479601458302E-3</v>
      </c>
      <c r="J68" s="172">
        <f>IF(+'Sismo UBC-94 y Dinamico'!P44=0,'Sismo UBC-94 y Dinamico'!N44,'Sismo UBC-94 y Dinamico'!P44)</f>
        <v>3194.3935334332346</v>
      </c>
      <c r="K68" s="172">
        <f t="shared" si="20"/>
        <v>4</v>
      </c>
      <c r="L68" s="165">
        <f t="shared" si="24"/>
        <v>1538.8479495339554</v>
      </c>
      <c r="M68" s="165">
        <f t="shared" si="25"/>
        <v>12777.574133732938</v>
      </c>
      <c r="N68" s="165">
        <f t="shared" si="26"/>
        <v>0.12043349805119735</v>
      </c>
      <c r="O68" s="165" t="str">
        <f t="shared" si="27"/>
        <v>OK</v>
      </c>
    </row>
    <row r="69" spans="2:16" s="83" customFormat="1" x14ac:dyDescent="0.3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3"/>
    <row r="71" spans="2:16" s="83" customFormat="1" x14ac:dyDescent="0.3"/>
    <row r="72" spans="2:16" s="83" customFormat="1" x14ac:dyDescent="0.3">
      <c r="B72" s="9" t="s">
        <v>82</v>
      </c>
    </row>
    <row r="73" spans="2:16" s="83" customFormat="1" x14ac:dyDescent="0.3">
      <c r="B73" s="84" t="s">
        <v>68</v>
      </c>
      <c r="C73" s="85"/>
      <c r="D73" s="85"/>
      <c r="E73" s="203" t="s">
        <v>73</v>
      </c>
      <c r="F73" s="203"/>
      <c r="G73" s="203"/>
      <c r="H73" s="203"/>
      <c r="I73" s="203"/>
      <c r="J73" s="203"/>
      <c r="K73" s="203"/>
      <c r="L73" s="203"/>
      <c r="M73" s="203"/>
      <c r="N73" s="203"/>
      <c r="O73" s="178"/>
      <c r="P73" s="180"/>
    </row>
    <row r="74" spans="2:16" s="83" customFormat="1" x14ac:dyDescent="0.3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3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3">
      <c r="B76" s="53" t="s">
        <v>189</v>
      </c>
      <c r="C76" s="53">
        <v>38.5</v>
      </c>
      <c r="D76" s="53" t="s">
        <v>72</v>
      </c>
      <c r="E76" s="53">
        <f>+'Irre. Torsional'!E60</f>
        <v>2.1251969192644399E-2</v>
      </c>
      <c r="F76" s="83">
        <f t="shared" ref="F76:F86" si="28">+E5</f>
        <v>18781.1999999988</v>
      </c>
      <c r="G76" s="83">
        <v>0</v>
      </c>
      <c r="H76" s="83">
        <f>+E76</f>
        <v>2.1251969192644399E-2</v>
      </c>
      <c r="I76" s="83">
        <f>+H76-H77</f>
        <v>-9.3230654684224E-3</v>
      </c>
      <c r="J76" s="83">
        <f>+J58</f>
        <v>1011.9198368741713</v>
      </c>
      <c r="K76" s="83">
        <f t="shared" ref="K76:K86" si="29">+C76</f>
        <v>38.5</v>
      </c>
      <c r="L76" s="83">
        <f>+G76*I76</f>
        <v>0</v>
      </c>
      <c r="M76" s="83">
        <f>+J76*K76</f>
        <v>38958.913719655597</v>
      </c>
      <c r="N76" s="83">
        <f>+L76/M76</f>
        <v>0</v>
      </c>
      <c r="O76" s="83" t="str">
        <f>+IF(N76&gt;O75,"P-DELTA","OK")</f>
        <v>OK</v>
      </c>
    </row>
    <row r="77" spans="2:16" s="83" customFormat="1" x14ac:dyDescent="0.3">
      <c r="B77" s="53" t="s">
        <v>187</v>
      </c>
      <c r="C77" s="53">
        <v>35.5</v>
      </c>
      <c r="D77" s="53" t="s">
        <v>72</v>
      </c>
      <c r="E77" s="53">
        <f>+'Irre. Torsional'!E61</f>
        <v>3.0575034661066799E-2</v>
      </c>
      <c r="F77" s="165">
        <f t="shared" si="28"/>
        <v>452326.36389667902</v>
      </c>
      <c r="G77" s="83">
        <f>+F77</f>
        <v>452326.36389667902</v>
      </c>
      <c r="H77" s="83">
        <f>+E77</f>
        <v>3.0575034661066799E-2</v>
      </c>
      <c r="I77" s="83">
        <f>+H77-H78</f>
        <v>1.0302257790201982E-3</v>
      </c>
      <c r="J77" s="172">
        <f t="shared" ref="J77:J86" si="30">+J59</f>
        <v>15659.005522832706</v>
      </c>
      <c r="K77" s="172">
        <f t="shared" si="29"/>
        <v>35.5</v>
      </c>
      <c r="L77" s="83">
        <f>+G77*I77</f>
        <v>465.99828061682979</v>
      </c>
      <c r="M77" s="83">
        <f>+J77*K77</f>
        <v>555894.69606056099</v>
      </c>
      <c r="N77" s="83">
        <f>+L77/M77</f>
        <v>8.382851714887785E-4</v>
      </c>
      <c r="O77" s="83" t="str">
        <f>+IF(N77&gt;O76,"P-DELTA","OK")</f>
        <v>OK</v>
      </c>
    </row>
    <row r="78" spans="2:16" s="83" customFormat="1" x14ac:dyDescent="0.3">
      <c r="B78" s="53" t="s">
        <v>185</v>
      </c>
      <c r="C78" s="53">
        <v>32</v>
      </c>
      <c r="D78" s="53" t="s">
        <v>72</v>
      </c>
      <c r="E78" s="53">
        <f>+'Irre. Torsional'!E62</f>
        <v>2.9544808882046601E-2</v>
      </c>
      <c r="F78" s="165">
        <f t="shared" si="28"/>
        <v>879535.52779469895</v>
      </c>
      <c r="G78" s="83">
        <f>+F78-F77</f>
        <v>427209.16389801994</v>
      </c>
      <c r="H78" s="83">
        <f>+E78</f>
        <v>2.9544808882046601E-2</v>
      </c>
      <c r="I78" s="83">
        <f>+H78-H79</f>
        <v>1.6774365132828026E-3</v>
      </c>
      <c r="J78" s="172">
        <f t="shared" si="30"/>
        <v>18231.652570772167</v>
      </c>
      <c r="K78" s="172">
        <f t="shared" si="29"/>
        <v>32</v>
      </c>
      <c r="L78" s="83">
        <f>+G78*I78</f>
        <v>716.61625033155588</v>
      </c>
      <c r="M78" s="83">
        <f>+J78*K78</f>
        <v>583412.88226470933</v>
      </c>
      <c r="N78" s="83">
        <f>+L78/M78</f>
        <v>1.2283174954069813E-3</v>
      </c>
      <c r="O78" s="83" t="str">
        <f>+IF(N78&gt;O77,"P-DELTA","OK")</f>
        <v>OK</v>
      </c>
    </row>
    <row r="79" spans="2:16" s="83" customFormat="1" x14ac:dyDescent="0.3">
      <c r="B79" s="53" t="s">
        <v>183</v>
      </c>
      <c r="C79" s="53">
        <v>28.5</v>
      </c>
      <c r="D79" s="53" t="s">
        <v>72</v>
      </c>
      <c r="E79" s="53">
        <f>+'Irre. Torsional'!E63</f>
        <v>2.7867372368763799E-2</v>
      </c>
      <c r="F79" s="165">
        <f t="shared" si="28"/>
        <v>1306744.6916920801</v>
      </c>
      <c r="G79" s="83">
        <f t="shared" ref="G79:G86" si="31">+F79-F78</f>
        <v>427209.16389738116</v>
      </c>
      <c r="H79" s="83">
        <f>+E79</f>
        <v>2.7867372368763799E-2</v>
      </c>
      <c r="I79" s="83">
        <f>+H79-H80</f>
        <v>2.2931292396739973E-3</v>
      </c>
      <c r="J79" s="172">
        <f t="shared" si="30"/>
        <v>15534.492387218705</v>
      </c>
      <c r="K79" s="172">
        <f t="shared" si="29"/>
        <v>28.5</v>
      </c>
      <c r="L79" s="83">
        <f>+G79*I79</f>
        <v>979.64582518976579</v>
      </c>
      <c r="M79" s="83">
        <f>+J79*K79</f>
        <v>442733.0330357331</v>
      </c>
      <c r="N79" s="83">
        <f>+L79/M79</f>
        <v>2.2127235875591383E-3</v>
      </c>
      <c r="O79" s="83" t="str">
        <f>+IF(N79&gt;O78,"P-DELTA","OK")</f>
        <v>OK</v>
      </c>
    </row>
    <row r="80" spans="2:16" s="83" customFormat="1" x14ac:dyDescent="0.3">
      <c r="B80" s="53" t="s">
        <v>181</v>
      </c>
      <c r="C80" s="53">
        <v>25</v>
      </c>
      <c r="D80" s="53" t="s">
        <v>72</v>
      </c>
      <c r="E80" s="53">
        <f>+'Irre. Torsional'!E64</f>
        <v>2.5574243129089801E-2</v>
      </c>
      <c r="F80" s="165">
        <f t="shared" si="28"/>
        <v>1733953.85559035</v>
      </c>
      <c r="G80" s="83">
        <f t="shared" si="31"/>
        <v>427209.16389826988</v>
      </c>
      <c r="H80" s="83">
        <f>+E80</f>
        <v>2.5574243129089801E-2</v>
      </c>
      <c r="I80" s="83">
        <f>+H80-H81</f>
        <v>2.8208993688218012E-3</v>
      </c>
      <c r="J80" s="172">
        <f t="shared" si="30"/>
        <v>13176.539736940143</v>
      </c>
      <c r="K80" s="172">
        <f t="shared" si="29"/>
        <v>25</v>
      </c>
      <c r="L80" s="83">
        <f>+G80*I80</f>
        <v>1205.114060795519</v>
      </c>
      <c r="M80" s="83">
        <f>+J80*K80</f>
        <v>329413.49342350359</v>
      </c>
      <c r="N80" s="83">
        <f>+L80/M80</f>
        <v>3.6583627715765401E-3</v>
      </c>
      <c r="O80" s="83" t="str">
        <f>+IF(N80&gt;O79,"P-DELTA","OK")</f>
        <v>OK</v>
      </c>
    </row>
    <row r="81" spans="2:15" s="83" customFormat="1" x14ac:dyDescent="0.3">
      <c r="B81" s="53" t="s">
        <v>179</v>
      </c>
      <c r="C81" s="53">
        <v>21.5</v>
      </c>
      <c r="D81" s="53" t="s">
        <v>72</v>
      </c>
      <c r="E81" s="53">
        <f>+'Irre. Torsional'!E65</f>
        <v>2.2753343760268E-2</v>
      </c>
      <c r="F81" s="165">
        <f t="shared" si="28"/>
        <v>2161163.0194879398</v>
      </c>
      <c r="G81" s="165">
        <f t="shared" si="31"/>
        <v>427209.16389758978</v>
      </c>
      <c r="H81" s="165">
        <f t="shared" ref="H81:H86" si="32">+E81</f>
        <v>2.2753343760268E-2</v>
      </c>
      <c r="I81" s="165">
        <f t="shared" ref="I81:I86" si="33">+H81-H82</f>
        <v>3.2671732818384987E-3</v>
      </c>
      <c r="J81" s="172">
        <f t="shared" si="30"/>
        <v>11325.276308834073</v>
      </c>
      <c r="K81" s="172">
        <f t="shared" si="29"/>
        <v>21.5</v>
      </c>
      <c r="L81" s="165">
        <f t="shared" ref="L81:L86" si="34">+G81*I81</f>
        <v>1395.7663660427695</v>
      </c>
      <c r="M81" s="165">
        <f t="shared" ref="M81:M86" si="35">+J81*K81</f>
        <v>243493.44063993255</v>
      </c>
      <c r="N81" s="165">
        <f t="shared" ref="N81:N86" si="36">+L81/M81</f>
        <v>5.7322544803445766E-3</v>
      </c>
      <c r="O81" s="165" t="str">
        <f t="shared" ref="O81:O86" si="37">+IF(N81&gt;O80,"P-DELTA","OK")</f>
        <v>OK</v>
      </c>
    </row>
    <row r="82" spans="2:15" s="83" customFormat="1" x14ac:dyDescent="0.3">
      <c r="B82" s="53" t="s">
        <v>39</v>
      </c>
      <c r="C82" s="53">
        <v>18</v>
      </c>
      <c r="D82" s="53" t="s">
        <v>72</v>
      </c>
      <c r="E82" s="53">
        <f>+'Irre. Torsional'!E66</f>
        <v>1.9486170478429501E-2</v>
      </c>
      <c r="F82" s="165">
        <f t="shared" si="28"/>
        <v>2588372.1833853698</v>
      </c>
      <c r="G82" s="165">
        <f t="shared" si="31"/>
        <v>427209.16389743006</v>
      </c>
      <c r="H82" s="165">
        <f t="shared" si="32"/>
        <v>1.9486170478429501E-2</v>
      </c>
      <c r="I82" s="165">
        <f t="shared" si="33"/>
        <v>3.6427692976233016E-3</v>
      </c>
      <c r="J82" s="172">
        <f t="shared" si="30"/>
        <v>9864.1351846361576</v>
      </c>
      <c r="K82" s="172">
        <f t="shared" si="29"/>
        <v>18</v>
      </c>
      <c r="L82" s="165">
        <f t="shared" si="34"/>
        <v>1556.2244259088793</v>
      </c>
      <c r="M82" s="165">
        <f t="shared" si="35"/>
        <v>177554.43332345085</v>
      </c>
      <c r="N82" s="165">
        <f t="shared" si="36"/>
        <v>8.7647736909723106E-3</v>
      </c>
      <c r="O82" s="165" t="str">
        <f t="shared" si="37"/>
        <v>OK</v>
      </c>
    </row>
    <row r="83" spans="2:15" s="83" customFormat="1" x14ac:dyDescent="0.3">
      <c r="B83" s="53" t="s">
        <v>26</v>
      </c>
      <c r="C83" s="53">
        <v>14.5</v>
      </c>
      <c r="D83" s="53" t="s">
        <v>72</v>
      </c>
      <c r="E83" s="53">
        <f>+'Irre. Torsional'!E67</f>
        <v>1.58434011808062E-2</v>
      </c>
      <c r="F83" s="165">
        <f t="shared" si="28"/>
        <v>3015581.3472836101</v>
      </c>
      <c r="G83" s="165">
        <f t="shared" si="31"/>
        <v>427209.16389824031</v>
      </c>
      <c r="H83" s="165">
        <f t="shared" si="32"/>
        <v>1.58434011808062E-2</v>
      </c>
      <c r="I83" s="165">
        <f t="shared" si="33"/>
        <v>3.9509168579066004E-3</v>
      </c>
      <c r="J83" s="172">
        <f t="shared" si="30"/>
        <v>8584.3401766235856</v>
      </c>
      <c r="K83" s="172">
        <f t="shared" si="29"/>
        <v>14.5</v>
      </c>
      <c r="L83" s="165">
        <f t="shared" si="34"/>
        <v>1687.8678874977415</v>
      </c>
      <c r="M83" s="165">
        <f t="shared" si="35"/>
        <v>124472.93256104199</v>
      </c>
      <c r="N83" s="165">
        <f t="shared" si="36"/>
        <v>1.3560119881244099E-2</v>
      </c>
      <c r="O83" s="165" t="str">
        <f t="shared" si="37"/>
        <v>OK</v>
      </c>
    </row>
    <row r="84" spans="2:15" s="83" customFormat="1" x14ac:dyDescent="0.3">
      <c r="B84" s="53" t="s">
        <v>25</v>
      </c>
      <c r="C84" s="53">
        <v>11</v>
      </c>
      <c r="D84" s="53" t="s">
        <v>72</v>
      </c>
      <c r="E84" s="53">
        <f>+'Irre. Torsional'!E68</f>
        <v>1.1892484322899599E-2</v>
      </c>
      <c r="F84" s="165">
        <f t="shared" si="28"/>
        <v>3442790.51118204</v>
      </c>
      <c r="G84" s="165">
        <f t="shared" si="31"/>
        <v>427209.16389842983</v>
      </c>
      <c r="H84" s="165">
        <f t="shared" si="32"/>
        <v>1.1892484322899599E-2</v>
      </c>
      <c r="I84" s="165">
        <f t="shared" si="33"/>
        <v>4.1739522610807194E-3</v>
      </c>
      <c r="J84" s="172">
        <f t="shared" si="30"/>
        <v>7247.6181356074549</v>
      </c>
      <c r="K84" s="172">
        <f t="shared" si="29"/>
        <v>11</v>
      </c>
      <c r="L84" s="165">
        <f t="shared" si="34"/>
        <v>1783.1506556082547</v>
      </c>
      <c r="M84" s="165">
        <f t="shared" si="35"/>
        <v>79723.799491682003</v>
      </c>
      <c r="N84" s="165">
        <f t="shared" si="36"/>
        <v>2.2366604037660047E-2</v>
      </c>
      <c r="O84" s="165" t="str">
        <f t="shared" si="37"/>
        <v>OK</v>
      </c>
    </row>
    <row r="85" spans="2:15" s="83" customFormat="1" x14ac:dyDescent="0.3">
      <c r="B85" s="53" t="s">
        <v>24</v>
      </c>
      <c r="C85" s="53">
        <v>7.5</v>
      </c>
      <c r="D85" s="53" t="s">
        <v>72</v>
      </c>
      <c r="E85" s="53">
        <f>+'Irre. Torsional'!E69</f>
        <v>7.71853206181888E-3</v>
      </c>
      <c r="F85" s="165">
        <f t="shared" si="28"/>
        <v>3869999.6750801099</v>
      </c>
      <c r="G85" s="165">
        <f t="shared" si="31"/>
        <v>427209.16389806988</v>
      </c>
      <c r="H85" s="165">
        <f t="shared" si="32"/>
        <v>7.71853206181888E-3</v>
      </c>
      <c r="I85" s="165">
        <f t="shared" si="33"/>
        <v>4.2174789714242199E-3</v>
      </c>
      <c r="J85" s="172">
        <f t="shared" si="30"/>
        <v>5576.0442948010077</v>
      </c>
      <c r="K85" s="172">
        <f t="shared" si="29"/>
        <v>7.5</v>
      </c>
      <c r="L85" s="165">
        <f t="shared" si="34"/>
        <v>1801.7456651398327</v>
      </c>
      <c r="M85" s="165">
        <f t="shared" si="35"/>
        <v>41820.332211007561</v>
      </c>
      <c r="N85" s="165">
        <f t="shared" si="36"/>
        <v>4.3083006994038033E-2</v>
      </c>
      <c r="O85" s="165" t="str">
        <f t="shared" si="37"/>
        <v>OK</v>
      </c>
    </row>
    <row r="86" spans="2:15" s="83" customFormat="1" x14ac:dyDescent="0.3">
      <c r="B86" s="53" t="s">
        <v>22</v>
      </c>
      <c r="C86" s="53">
        <v>4</v>
      </c>
      <c r="D86" s="53" t="s">
        <v>72</v>
      </c>
      <c r="E86" s="53">
        <f>+'Irre. Torsional'!E70</f>
        <v>3.5010530903946601E-3</v>
      </c>
      <c r="F86" s="165">
        <f t="shared" si="28"/>
        <v>4413196.3631882602</v>
      </c>
      <c r="G86" s="165">
        <f t="shared" si="31"/>
        <v>543196.68810815038</v>
      </c>
      <c r="H86" s="165">
        <f t="shared" si="32"/>
        <v>3.5010530903946601E-3</v>
      </c>
      <c r="I86" s="165">
        <f t="shared" si="33"/>
        <v>3.5010530903946601E-3</v>
      </c>
      <c r="J86" s="172">
        <f t="shared" si="30"/>
        <v>3194.3935334332346</v>
      </c>
      <c r="K86" s="172">
        <f t="shared" si="29"/>
        <v>4</v>
      </c>
      <c r="L86" s="165">
        <f t="shared" si="34"/>
        <v>1901.7604435931842</v>
      </c>
      <c r="M86" s="165">
        <f t="shared" si="35"/>
        <v>12777.574133732938</v>
      </c>
      <c r="N86" s="165">
        <f t="shared" si="36"/>
        <v>0.1488357980700355</v>
      </c>
      <c r="O86" s="165" t="str">
        <f t="shared" si="37"/>
        <v>OK</v>
      </c>
    </row>
    <row r="87" spans="2:15" s="83" customFormat="1" x14ac:dyDescent="0.3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3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3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3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3">
      <c r="B91" s="83"/>
      <c r="C91" s="83"/>
    </row>
    <row r="92" spans="2:15" s="83" customFormat="1" x14ac:dyDescent="0.3"/>
    <row r="93" spans="2:15" x14ac:dyDescent="0.3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3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3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3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3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3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3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3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3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3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3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3">
      <c r="B104" s="91"/>
      <c r="C104" s="204"/>
      <c r="D104" s="204"/>
      <c r="E104" s="204"/>
      <c r="F104" s="91"/>
      <c r="G104" s="91"/>
      <c r="H104" s="93"/>
      <c r="I104" s="93"/>
      <c r="J104" s="91"/>
      <c r="K104" s="91"/>
      <c r="L104" s="91"/>
    </row>
    <row r="105" spans="2:12" x14ac:dyDescent="0.3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3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3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3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3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3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3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3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3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3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3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3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3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C104:E104"/>
    <mergeCell ref="E19:F19"/>
    <mergeCell ref="E37:F37"/>
    <mergeCell ref="E55:F55"/>
    <mergeCell ref="E73:F73"/>
    <mergeCell ref="G19:H19"/>
    <mergeCell ref="I19:J19"/>
    <mergeCell ref="K19:L19"/>
    <mergeCell ref="M19:N19"/>
    <mergeCell ref="G37:H37"/>
    <mergeCell ref="I37:J37"/>
    <mergeCell ref="K37:L37"/>
    <mergeCell ref="M37:N37"/>
    <mergeCell ref="G55:H55"/>
    <mergeCell ref="I55:J55"/>
    <mergeCell ref="K55:L55"/>
    <mergeCell ref="M55:N55"/>
    <mergeCell ref="G73:H73"/>
    <mergeCell ref="I73:J73"/>
    <mergeCell ref="K73:L73"/>
    <mergeCell ref="M73:N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cp:lastPrinted>2020-10-20T17:14:39Z</cp:lastPrinted>
  <dcterms:created xsi:type="dcterms:W3CDTF">2020-10-20T16:48:42Z</dcterms:created>
  <dcterms:modified xsi:type="dcterms:W3CDTF">2021-05-24T21:18:10Z</dcterms:modified>
</cp:coreProperties>
</file>