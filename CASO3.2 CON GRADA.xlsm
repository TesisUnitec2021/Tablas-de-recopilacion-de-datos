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3\"/>
    </mc:Choice>
  </mc:AlternateContent>
  <bookViews>
    <workbookView xWindow="0" yWindow="0" windowWidth="23040" windowHeight="9972" tabRatio="830" firstSheet="6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<sst xmlns="http://schemas.openxmlformats.org/spreadsheetml/2006/main" count="4532" uniqueCount="262">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</sst>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782.285475187766</v>
      </c>
      <c r="E5" s="172">
        <f t="shared" si="0"/>
        <v>782.285475187766</v>
      </c>
      <c r="F5" s="172">
        <f t="shared" si="0"/>
        <v>18.500000003277801</v>
      </c>
      <c r="G5" s="172">
        <f t="shared" si="0"/>
        <v>6</v>
      </c>
      <c r="H5" s="172">
        <f t="shared" si="0"/>
        <v>782.285475187766</v>
      </c>
      <c r="I5" s="172">
        <f t="shared" si="0"/>
        <v>782.285475187766</v>
      </c>
      <c r="J5" s="172">
        <f t="shared" si="0"/>
        <v>18.500000003277801</v>
      </c>
      <c r="K5" s="172">
        <f t="shared" si="0"/>
        <v>6</v>
      </c>
      <c r="L5" s="172">
        <f t="shared" si="0"/>
        <v>16.182021336499002</v>
      </c>
      <c r="M5" s="172">
        <f t="shared" si="0"/>
        <v>6.2804639138442004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7871.1301550285798</v>
      </c>
      <c r="E6" s="172">
        <f t="shared" si="1"/>
        <v>7871.1301550285798</v>
      </c>
      <c r="F6" s="172">
        <f t="shared" si="1"/>
        <v>9.8654696285564594</v>
      </c>
      <c r="G6" s="172">
        <f t="shared" si="1"/>
        <v>7.2680392054312497</v>
      </c>
      <c r="H6" s="172">
        <f t="shared" si="1"/>
        <v>7871.1301550285798</v>
      </c>
      <c r="I6" s="172">
        <f t="shared" si="1"/>
        <v>7871.1301550285798</v>
      </c>
      <c r="J6" s="172">
        <f t="shared" si="1"/>
        <v>9.8654696285564594</v>
      </c>
      <c r="K6" s="172">
        <f t="shared" si="1"/>
        <v>7.2680392054312497</v>
      </c>
      <c r="L6" s="172">
        <f t="shared" si="1"/>
        <v>11.3429518343402</v>
      </c>
      <c r="M6" s="172">
        <f t="shared" si="1"/>
        <v>7.13805556865226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9807.9779737257704</v>
      </c>
      <c r="E7" s="172">
        <f t="shared" si="2"/>
        <v>9807.9779737257704</v>
      </c>
      <c r="F7" s="172">
        <f t="shared" si="2"/>
        <v>9.6860327619190194</v>
      </c>
      <c r="G7" s="172">
        <f t="shared" si="2"/>
        <v>7.3208529040300903</v>
      </c>
      <c r="H7" s="172">
        <f t="shared" si="2"/>
        <v>9807.9779737257704</v>
      </c>
      <c r="I7" s="172">
        <f t="shared" si="2"/>
        <v>9807.9779737257704</v>
      </c>
      <c r="J7" s="172">
        <f t="shared" si="2"/>
        <v>9.6860327619190194</v>
      </c>
      <c r="K7" s="172">
        <f t="shared" si="2"/>
        <v>7.3208529040300903</v>
      </c>
      <c r="L7" s="172">
        <f t="shared" si="2"/>
        <v>11.4527746133541</v>
      </c>
      <c r="M7" s="172">
        <f t="shared" si="2"/>
        <v>7.1246114138979904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9807.9779737257704</v>
      </c>
      <c r="E8" s="172">
        <f t="shared" si="3"/>
        <v>9807.9779737257704</v>
      </c>
      <c r="F8" s="172">
        <f t="shared" si="3"/>
        <v>9.6860327619190194</v>
      </c>
      <c r="G8" s="172">
        <f t="shared" si="3"/>
        <v>7.3208529040300903</v>
      </c>
      <c r="H8" s="172">
        <f t="shared" si="3"/>
        <v>9807.9779737257704</v>
      </c>
      <c r="I8" s="172">
        <f t="shared" si="3"/>
        <v>9807.9779737257704</v>
      </c>
      <c r="J8" s="172">
        <f t="shared" si="3"/>
        <v>9.6860327619190194</v>
      </c>
      <c r="K8" s="172">
        <f t="shared" si="3"/>
        <v>7.3208529040300903</v>
      </c>
      <c r="L8" s="172">
        <f t="shared" si="3"/>
        <v>11.565679454055999</v>
      </c>
      <c r="M8" s="172">
        <f t="shared" si="3"/>
        <v>7.10682415518498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9807.9779737257704</v>
      </c>
      <c r="E9" s="172">
        <f t="shared" si="4"/>
        <v>9807.9779737257704</v>
      </c>
      <c r="F9" s="172">
        <f t="shared" si="4"/>
        <v>9.6860327619190194</v>
      </c>
      <c r="G9" s="172">
        <f t="shared" si="4"/>
        <v>7.3208529040300903</v>
      </c>
      <c r="H9" s="172">
        <f t="shared" si="4"/>
        <v>9807.9779737257704</v>
      </c>
      <c r="I9" s="172">
        <f t="shared" si="4"/>
        <v>9807.9779737257704</v>
      </c>
      <c r="J9" s="172">
        <f t="shared" si="4"/>
        <v>9.6860327619190194</v>
      </c>
      <c r="K9" s="172">
        <f t="shared" si="4"/>
        <v>7.3208529040300903</v>
      </c>
      <c r="L9" s="172">
        <f t="shared" si="4"/>
        <v>11.6726824670349</v>
      </c>
      <c r="M9" s="172">
        <f t="shared" si="4"/>
        <v>7.0904155261264803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9807.9779737257704</v>
      </c>
      <c r="E10" s="172">
        <f t="shared" si="5"/>
        <v>9807.9779737257704</v>
      </c>
      <c r="F10" s="172">
        <f t="shared" si="5"/>
        <v>9.6860327619190194</v>
      </c>
      <c r="G10" s="172">
        <f t="shared" si="5"/>
        <v>7.3208529040300903</v>
      </c>
      <c r="H10" s="172">
        <f t="shared" si="5"/>
        <v>9807.9779737257704</v>
      </c>
      <c r="I10" s="172">
        <f t="shared" si="5"/>
        <v>9807.9779737257704</v>
      </c>
      <c r="J10" s="172">
        <f t="shared" si="5"/>
        <v>9.6860327619190194</v>
      </c>
      <c r="K10" s="172">
        <f t="shared" si="5"/>
        <v>7.3208529040300903</v>
      </c>
      <c r="L10" s="172">
        <f t="shared" si="5"/>
        <v>11.7780424321527</v>
      </c>
      <c r="M10" s="172">
        <f t="shared" si="5"/>
        <v>7.0750846729976198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9807.9779737257704</v>
      </c>
      <c r="E11" s="172">
        <f t="shared" si="6"/>
        <v>9807.9779737257704</v>
      </c>
      <c r="F11" s="172">
        <f t="shared" si="6"/>
        <v>9.6860327619190194</v>
      </c>
      <c r="G11" s="172">
        <f t="shared" si="6"/>
        <v>7.3208529040300903</v>
      </c>
      <c r="H11" s="172">
        <f t="shared" si="6"/>
        <v>9807.9779737257704</v>
      </c>
      <c r="I11" s="172">
        <f t="shared" si="6"/>
        <v>9807.9779737257704</v>
      </c>
      <c r="J11" s="172">
        <f t="shared" si="6"/>
        <v>9.6860327619190194</v>
      </c>
      <c r="K11" s="172">
        <f t="shared" si="6"/>
        <v>7.3208529040300903</v>
      </c>
      <c r="L11" s="172">
        <f t="shared" si="6"/>
        <v>11.8841719587363</v>
      </c>
      <c r="M11" s="172">
        <f t="shared" si="6"/>
        <v>7.0602687758074198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9941.6015835545895</v>
      </c>
      <c r="E12" s="172">
        <f t="shared" si="7"/>
        <v>9941.6015835545895</v>
      </c>
      <c r="F12" s="172">
        <f t="shared" si="7"/>
        <v>9.8045498530971606</v>
      </c>
      <c r="G12" s="172">
        <f t="shared" si="7"/>
        <v>7.3030995137331596</v>
      </c>
      <c r="H12" s="172">
        <f t="shared" si="7"/>
        <v>9941.6015835545895</v>
      </c>
      <c r="I12" s="172">
        <f t="shared" si="7"/>
        <v>9941.6015835545895</v>
      </c>
      <c r="J12" s="172">
        <f t="shared" si="7"/>
        <v>9.8045498530971606</v>
      </c>
      <c r="K12" s="172">
        <f t="shared" si="7"/>
        <v>7.3030995137331596</v>
      </c>
      <c r="L12" s="172">
        <f t="shared" si="7"/>
        <v>11.976507776922601</v>
      </c>
      <c r="M12" s="172">
        <f t="shared" si="7"/>
        <v>7.0504906526419102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9941.6015835545895</v>
      </c>
      <c r="E13" s="172">
        <f t="shared" si="8"/>
        <v>9941.6015835545895</v>
      </c>
      <c r="F13" s="172">
        <f t="shared" si="8"/>
        <v>9.8045498530971606</v>
      </c>
      <c r="G13" s="172">
        <f t="shared" si="8"/>
        <v>7.3030995137331596</v>
      </c>
      <c r="H13" s="172">
        <f t="shared" si="8"/>
        <v>9941.6015835545895</v>
      </c>
      <c r="I13" s="172">
        <f t="shared" si="8"/>
        <v>9941.6015835545895</v>
      </c>
      <c r="J13" s="172">
        <f t="shared" si="8"/>
        <v>9.8045498530971606</v>
      </c>
      <c r="K13" s="172">
        <f t="shared" si="8"/>
        <v>7.3030995137331596</v>
      </c>
      <c r="L13" s="172">
        <f t="shared" si="8"/>
        <v>12.044582802871</v>
      </c>
      <c r="M13" s="172">
        <f t="shared" si="8"/>
        <v>7.0522597620063303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9941.6015835545895</v>
      </c>
      <c r="E14" s="172">
        <f t="shared" si="9"/>
        <v>9941.6015835545895</v>
      </c>
      <c r="F14" s="172">
        <f t="shared" si="9"/>
        <v>9.8045498530971606</v>
      </c>
      <c r="G14" s="172">
        <f t="shared" si="9"/>
        <v>7.3030995137331596</v>
      </c>
      <c r="H14" s="172">
        <f t="shared" si="9"/>
        <v>9941.6015835545895</v>
      </c>
      <c r="I14" s="172">
        <f t="shared" si="9"/>
        <v>9941.6015835545895</v>
      </c>
      <c r="J14" s="172">
        <f t="shared" si="9"/>
        <v>9.8045498530971606</v>
      </c>
      <c r="K14" s="172">
        <f t="shared" si="9"/>
        <v>7.3030995137331596</v>
      </c>
      <c r="L14" s="172">
        <f t="shared" si="9"/>
        <v>12.067147123811999</v>
      </c>
      <c r="M14" s="172">
        <f t="shared" si="9"/>
        <v>7.0757187374992601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10305.208621760199</v>
      </c>
      <c r="E15" s="172">
        <f t="shared" si="10"/>
        <v>10305.208621760199</v>
      </c>
      <c r="F15" s="172">
        <f t="shared" si="10"/>
        <v>9.8699467138729702</v>
      </c>
      <c r="G15" s="172">
        <f t="shared" si="10"/>
        <v>7.3015123475426398</v>
      </c>
      <c r="H15" s="172">
        <f t="shared" si="10"/>
        <v>10305.208621760199</v>
      </c>
      <c r="I15" s="172">
        <f t="shared" si="10"/>
        <v>10305.208621760199</v>
      </c>
      <c r="J15" s="172">
        <f t="shared" si="10"/>
        <v>9.8699467138729702</v>
      </c>
      <c r="K15" s="172">
        <f t="shared" si="10"/>
        <v>7.3015123475426398</v>
      </c>
      <c r="L15" s="172">
        <f t="shared" si="10"/>
        <v>11.9488136782259</v>
      </c>
      <c r="M15" s="172">
        <f t="shared" si="10"/>
        <v>7.1711787576153698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10305.208621760199</v>
      </c>
      <c r="E23" s="172">
        <v>10305.208621760199</v>
      </c>
      <c r="F23" s="172">
        <v>9.8699467138729702</v>
      </c>
      <c r="G23" s="172">
        <v>7.3015123475426398</v>
      </c>
      <c r="H23" s="172">
        <v>10305.208621760199</v>
      </c>
      <c r="I23" s="172">
        <v>10305.208621760199</v>
      </c>
      <c r="J23" s="172">
        <v>9.8699467138729702</v>
      </c>
      <c r="K23" s="172">
        <v>7.3015123475426398</v>
      </c>
      <c r="L23" s="172">
        <v>11.9488136782259</v>
      </c>
      <c r="M23" s="172">
        <v>7.1711787576153698</v>
      </c>
    </row>
    <row r="24" spans="2:15" x14ac:dyDescent="0.3">
      <c r="B24" s="172" t="s">
        <v>24</v>
      </c>
      <c r="C24" s="172" t="s">
        <v>175</v>
      </c>
      <c r="D24" s="172">
        <v>9941.6015835545895</v>
      </c>
      <c r="E24" s="172">
        <v>9941.6015835545895</v>
      </c>
      <c r="F24" s="172">
        <v>9.8045498530971606</v>
      </c>
      <c r="G24" s="172">
        <v>7.3030995137331596</v>
      </c>
      <c r="H24" s="172">
        <v>9941.6015835545895</v>
      </c>
      <c r="I24" s="172">
        <v>9941.6015835545895</v>
      </c>
      <c r="J24" s="172">
        <v>9.8045498530971606</v>
      </c>
      <c r="K24" s="172">
        <v>7.3030995137331596</v>
      </c>
      <c r="L24" s="172">
        <v>12.067147123811999</v>
      </c>
      <c r="M24" s="172">
        <v>7.0757187374992601</v>
      </c>
    </row>
    <row r="25" spans="2:15" x14ac:dyDescent="0.3">
      <c r="B25" s="172" t="s">
        <v>25</v>
      </c>
      <c r="C25" s="172" t="s">
        <v>176</v>
      </c>
      <c r="D25" s="172">
        <v>9941.6015835545895</v>
      </c>
      <c r="E25" s="172">
        <v>9941.6015835545895</v>
      </c>
      <c r="F25" s="172">
        <v>9.8045498530971606</v>
      </c>
      <c r="G25" s="172">
        <v>7.3030995137331596</v>
      </c>
      <c r="H25" s="172">
        <v>9941.6015835545895</v>
      </c>
      <c r="I25" s="172">
        <v>9941.6015835545895</v>
      </c>
      <c r="J25" s="172">
        <v>9.8045498530971606</v>
      </c>
      <c r="K25" s="172">
        <v>7.3030995137331596</v>
      </c>
      <c r="L25" s="172">
        <v>12.044582802871</v>
      </c>
      <c r="M25" s="172">
        <v>7.0522597620063303</v>
      </c>
    </row>
    <row r="26" spans="2:15" x14ac:dyDescent="0.3">
      <c r="B26" s="172" t="s">
        <v>26</v>
      </c>
      <c r="C26" s="172" t="s">
        <v>177</v>
      </c>
      <c r="D26" s="172">
        <v>9941.6015835545895</v>
      </c>
      <c r="E26" s="172">
        <v>9941.6015835545895</v>
      </c>
      <c r="F26" s="172">
        <v>9.8045498530971606</v>
      </c>
      <c r="G26" s="172">
        <v>7.3030995137331596</v>
      </c>
      <c r="H26" s="172">
        <v>9941.6015835545895</v>
      </c>
      <c r="I26" s="172">
        <v>9941.6015835545895</v>
      </c>
      <c r="J26" s="172">
        <v>9.8045498530971606</v>
      </c>
      <c r="K26" s="172">
        <v>7.3030995137331596</v>
      </c>
      <c r="L26" s="172">
        <v>11.976507776922601</v>
      </c>
      <c r="M26" s="172">
        <v>7.0504906526419102</v>
      </c>
    </row>
    <row r="27" spans="2:15" x14ac:dyDescent="0.3">
      <c r="B27" s="172" t="s">
        <v>39</v>
      </c>
      <c r="C27" s="172" t="s">
        <v>178</v>
      </c>
      <c r="D27" s="172">
        <v>9807.9779737257704</v>
      </c>
      <c r="E27" s="172">
        <v>9807.9779737257704</v>
      </c>
      <c r="F27" s="172">
        <v>9.6860327619190194</v>
      </c>
      <c r="G27" s="172">
        <v>7.3208529040300903</v>
      </c>
      <c r="H27" s="172">
        <v>9807.9779737257704</v>
      </c>
      <c r="I27" s="172">
        <v>9807.9779737257704</v>
      </c>
      <c r="J27" s="172">
        <v>9.6860327619190194</v>
      </c>
      <c r="K27" s="172">
        <v>7.3208529040300903</v>
      </c>
      <c r="L27" s="172">
        <v>11.8841719587363</v>
      </c>
      <c r="M27" s="172">
        <v>7.0602687758074198</v>
      </c>
    </row>
    <row r="28" spans="2:15" x14ac:dyDescent="0.3">
      <c r="B28" s="172" t="s">
        <v>179</v>
      </c>
      <c r="C28" s="172" t="s">
        <v>180</v>
      </c>
      <c r="D28" s="172">
        <v>9807.9779737257704</v>
      </c>
      <c r="E28" s="172">
        <v>9807.9779737257704</v>
      </c>
      <c r="F28" s="172">
        <v>9.6860327619190194</v>
      </c>
      <c r="G28" s="172">
        <v>7.3208529040300903</v>
      </c>
      <c r="H28" s="172">
        <v>9807.9779737257704</v>
      </c>
      <c r="I28" s="172">
        <v>9807.9779737257704</v>
      </c>
      <c r="J28" s="172">
        <v>9.6860327619190194</v>
      </c>
      <c r="K28" s="172">
        <v>7.3208529040300903</v>
      </c>
      <c r="L28" s="172">
        <v>11.7780424321527</v>
      </c>
      <c r="M28" s="172">
        <v>7.0750846729976198</v>
      </c>
    </row>
    <row r="29" spans="2:15" x14ac:dyDescent="0.3">
      <c r="B29" s="172" t="s">
        <v>181</v>
      </c>
      <c r="C29" s="172" t="s">
        <v>182</v>
      </c>
      <c r="D29" s="172">
        <v>9807.9779737257704</v>
      </c>
      <c r="E29" s="172">
        <v>9807.9779737257704</v>
      </c>
      <c r="F29" s="172">
        <v>9.6860327619190194</v>
      </c>
      <c r="G29" s="172">
        <v>7.3208529040300903</v>
      </c>
      <c r="H29" s="172">
        <v>9807.9779737257704</v>
      </c>
      <c r="I29" s="172">
        <v>9807.9779737257704</v>
      </c>
      <c r="J29" s="172">
        <v>9.6860327619190194</v>
      </c>
      <c r="K29" s="172">
        <v>7.3208529040300903</v>
      </c>
      <c r="L29" s="172">
        <v>11.6726824670349</v>
      </c>
      <c r="M29" s="172">
        <v>7.0904155261264803</v>
      </c>
    </row>
    <row r="30" spans="2:15" x14ac:dyDescent="0.3">
      <c r="B30" s="172" t="s">
        <v>183</v>
      </c>
      <c r="C30" s="172" t="s">
        <v>184</v>
      </c>
      <c r="D30" s="172">
        <v>9807.9779737257704</v>
      </c>
      <c r="E30" s="172">
        <v>9807.9779737257704</v>
      </c>
      <c r="F30" s="172">
        <v>9.6860327619190194</v>
      </c>
      <c r="G30" s="172">
        <v>7.3208529040300903</v>
      </c>
      <c r="H30" s="172">
        <v>9807.9779737257704</v>
      </c>
      <c r="I30" s="172">
        <v>9807.9779737257704</v>
      </c>
      <c r="J30" s="172">
        <v>9.6860327619190194</v>
      </c>
      <c r="K30" s="172">
        <v>7.3208529040300903</v>
      </c>
      <c r="L30" s="172">
        <v>11.565679454055999</v>
      </c>
      <c r="M30" s="172">
        <v>7.10682415518498</v>
      </c>
    </row>
    <row r="31" spans="2:15" x14ac:dyDescent="0.3">
      <c r="B31" s="172" t="s">
        <v>185</v>
      </c>
      <c r="C31" s="172" t="s">
        <v>186</v>
      </c>
      <c r="D31" s="172">
        <v>9807.9779737257704</v>
      </c>
      <c r="E31" s="172">
        <v>9807.9779737257704</v>
      </c>
      <c r="F31" s="172">
        <v>9.6860327619190194</v>
      </c>
      <c r="G31" s="172">
        <v>7.3208529040300903</v>
      </c>
      <c r="H31" s="172">
        <v>9807.9779737257704</v>
      </c>
      <c r="I31" s="172">
        <v>9807.9779737257704</v>
      </c>
      <c r="J31" s="172">
        <v>9.6860327619190194</v>
      </c>
      <c r="K31" s="172">
        <v>7.3208529040300903</v>
      </c>
      <c r="L31" s="172">
        <v>11.4527746133541</v>
      </c>
      <c r="M31" s="172">
        <v>7.1246114138979904</v>
      </c>
    </row>
    <row r="32" spans="2:15" x14ac:dyDescent="0.3">
      <c r="B32" s="172" t="s">
        <v>187</v>
      </c>
      <c r="C32" s="172" t="s">
        <v>188</v>
      </c>
      <c r="D32" s="172">
        <v>7871.1301550285798</v>
      </c>
      <c r="E32" s="172">
        <v>7871.1301550285798</v>
      </c>
      <c r="F32" s="172">
        <v>9.8654696285564594</v>
      </c>
      <c r="G32" s="172">
        <v>7.2680392054312497</v>
      </c>
      <c r="H32" s="172">
        <v>7871.1301550285798</v>
      </c>
      <c r="I32" s="172">
        <v>7871.1301550285798</v>
      </c>
      <c r="J32" s="172">
        <v>9.8654696285564594</v>
      </c>
      <c r="K32" s="172">
        <v>7.2680392054312497</v>
      </c>
      <c r="L32" s="172">
        <v>11.3429518343402</v>
      </c>
      <c r="M32" s="172">
        <v>7.13805556865226</v>
      </c>
    </row>
    <row r="33" spans="2:13" x14ac:dyDescent="0.3">
      <c r="B33" s="172" t="s">
        <v>189</v>
      </c>
      <c r="C33" s="172" t="s">
        <v>190</v>
      </c>
      <c r="D33" s="172">
        <v>782.285475187766</v>
      </c>
      <c r="E33" s="172">
        <v>782.285475187766</v>
      </c>
      <c r="F33" s="172">
        <v>18.500000003277801</v>
      </c>
      <c r="G33" s="172">
        <v>6</v>
      </c>
      <c r="H33" s="172">
        <v>782.285475187766</v>
      </c>
      <c r="I33" s="172">
        <v>782.285475187766</v>
      </c>
      <c r="J33" s="172">
        <v>18.500000003277801</v>
      </c>
      <c r="K33" s="172">
        <v>6</v>
      </c>
      <c r="L33" s="172">
        <v>16.182021336499002</v>
      </c>
      <c r="M33" s="172">
        <v>6.2804639138442004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3.72719968622045E-10</v>
      </c>
      <c r="G6" s="172">
        <v>1128.4957804944099</v>
      </c>
      <c r="H6" s="172">
        <v>153.820749378892</v>
      </c>
      <c r="I6" s="172">
        <v>8824.0345895000701</v>
      </c>
      <c r="J6" s="172">
        <v>1.9781917990546901E-9</v>
      </c>
      <c r="K6" s="172">
        <v>7.2570239651679499E-9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4.8802237877221705E-10</v>
      </c>
      <c r="G7" s="172">
        <v>1128.4957804952801</v>
      </c>
      <c r="H7" s="172">
        <v>153.82074937881799</v>
      </c>
      <c r="I7" s="172">
        <v>8824.0345895040791</v>
      </c>
      <c r="J7" s="172">
        <v>461.46224813785102</v>
      </c>
      <c r="K7" s="172">
        <v>3385.4873414762301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5.2173674567980802E-11</v>
      </c>
      <c r="G8" s="172">
        <v>144.04298529390999</v>
      </c>
      <c r="H8" s="172">
        <v>859.31606516402098</v>
      </c>
      <c r="I8" s="172">
        <v>15737.712674541601</v>
      </c>
      <c r="J8" s="172">
        <v>4.9097900159927098E-10</v>
      </c>
      <c r="K8" s="172">
        <v>1.20314830412226E-9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2.3249920490772999E-10</v>
      </c>
      <c r="G9" s="172">
        <v>144.04298529389899</v>
      </c>
      <c r="H9" s="172">
        <v>859.31606516298302</v>
      </c>
      <c r="I9" s="172">
        <v>15737.7126745204</v>
      </c>
      <c r="J9" s="172">
        <v>2577.9481954902399</v>
      </c>
      <c r="K9" s="172">
        <v>432.12895587908099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4.81260568482746E-8</v>
      </c>
      <c r="G10" s="172">
        <v>13638.9271898279</v>
      </c>
      <c r="H10" s="172">
        <v>1162.2217187696001</v>
      </c>
      <c r="I10" s="172">
        <v>108779.780579964</v>
      </c>
      <c r="J10" s="172">
        <v>461.46224822057599</v>
      </c>
      <c r="K10" s="172">
        <v>3385.4873408270701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3.3939685531954803E-8</v>
      </c>
      <c r="G11" s="172">
        <v>14271.810101503001</v>
      </c>
      <c r="H11" s="172">
        <v>1225.9749374569999</v>
      </c>
      <c r="I11" s="172">
        <v>113586.39680914101</v>
      </c>
      <c r="J11" s="172">
        <v>4504.5971348005696</v>
      </c>
      <c r="K11" s="172">
        <v>52065.894384570398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1.2086871987696899E-8</v>
      </c>
      <c r="G12" s="172">
        <v>1204.7463351911999</v>
      </c>
      <c r="H12" s="172">
        <v>10541.988757679401</v>
      </c>
      <c r="I12" s="172">
        <v>92414.312505416994</v>
      </c>
      <c r="J12" s="172">
        <v>2577.9481955177798</v>
      </c>
      <c r="K12" s="172">
        <v>432.12895585332097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1.1445475819620299E-8</v>
      </c>
      <c r="G13" s="172">
        <v>1252.0614238512801</v>
      </c>
      <c r="H13" s="172">
        <v>10873.1122730638</v>
      </c>
      <c r="I13" s="172">
        <v>101868.65035151</v>
      </c>
      <c r="J13" s="172">
        <v>39181.855027869598</v>
      </c>
      <c r="K13" s="172">
        <v>4573.7450260259202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1.6942330222096099E-7</v>
      </c>
      <c r="G14" s="172">
        <v>28235.834703254099</v>
      </c>
      <c r="H14" s="172">
        <v>2389.6297040368599</v>
      </c>
      <c r="I14" s="172">
        <v>225756.60129270199</v>
      </c>
      <c r="J14" s="172">
        <v>4504.5971355004403</v>
      </c>
      <c r="K14" s="172">
        <v>52065.894382549101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1.7238195450603401E-7</v>
      </c>
      <c r="G15" s="172">
        <v>28781.109654103901</v>
      </c>
      <c r="H15" s="172">
        <v>2444.3861409450901</v>
      </c>
      <c r="I15" s="172">
        <v>229927.49203157099</v>
      </c>
      <c r="J15" s="172">
        <v>12917.506451765001</v>
      </c>
      <c r="K15" s="172">
        <v>151494.50704556899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2.5921342818854799E-8</v>
      </c>
      <c r="G16" s="172">
        <v>2428.00920094805</v>
      </c>
      <c r="H16" s="172">
        <v>21972.346712401799</v>
      </c>
      <c r="I16" s="172">
        <v>188326.582192589</v>
      </c>
      <c r="J16" s="172">
        <v>39181.8550278564</v>
      </c>
      <c r="K16" s="172">
        <v>4573.74502592521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2.7960312538821699E-8</v>
      </c>
      <c r="G17" s="172">
        <v>2465.9020303532502</v>
      </c>
      <c r="H17" s="172">
        <v>22255.423027514302</v>
      </c>
      <c r="I17" s="172">
        <v>196520.23194382299</v>
      </c>
      <c r="J17" s="172">
        <v>116379.93579429299</v>
      </c>
      <c r="K17" s="172">
        <v>13039.4975818452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9.5631064407499503E-8</v>
      </c>
      <c r="G18" s="172">
        <v>40651.381865360403</v>
      </c>
      <c r="H18" s="172">
        <v>3424.3454044837699</v>
      </c>
      <c r="I18" s="172">
        <v>325446.03265039198</v>
      </c>
      <c r="J18" s="172">
        <v>12917.506451590099</v>
      </c>
      <c r="K18" s="172">
        <v>151494.50704670101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1.06316240806402E-7</v>
      </c>
      <c r="G19" s="172">
        <v>41113.776163126196</v>
      </c>
      <c r="H19" s="172">
        <v>3470.6029933971899</v>
      </c>
      <c r="I19" s="172">
        <v>329000.51713190897</v>
      </c>
      <c r="J19" s="172">
        <v>24881.8085025449</v>
      </c>
      <c r="K19" s="172">
        <v>293459.68192593899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4.8487313453964297E-8</v>
      </c>
      <c r="G20" s="172">
        <v>3444.96464219567</v>
      </c>
      <c r="H20" s="172">
        <v>31517.730474774198</v>
      </c>
      <c r="I20" s="172">
        <v>270472.22368078801</v>
      </c>
      <c r="J20" s="172">
        <v>116379.935794351</v>
      </c>
      <c r="K20" s="172">
        <v>13039.4975819868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4.4581693305310597E-8</v>
      </c>
      <c r="G21" s="172">
        <v>3477.0884551866202</v>
      </c>
      <c r="H21" s="172">
        <v>31753.502268277301</v>
      </c>
      <c r="I21" s="172">
        <v>277395.54472407</v>
      </c>
      <c r="J21" s="172">
        <v>226387.439494133</v>
      </c>
      <c r="K21" s="172">
        <v>24943.577227091198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5.0678066023330603E-8</v>
      </c>
      <c r="G22" s="172">
        <v>51203.041946317702</v>
      </c>
      <c r="H22" s="172">
        <v>4296.9429561317202</v>
      </c>
      <c r="I22" s="172">
        <v>410297.12107754801</v>
      </c>
      <c r="J22" s="172">
        <v>24881.808502406599</v>
      </c>
      <c r="K22" s="172">
        <v>293459.68192679802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5.1377735323012802E-8</v>
      </c>
      <c r="G23" s="172">
        <v>51598.376906592101</v>
      </c>
      <c r="H23" s="172">
        <v>4336.4547785697996</v>
      </c>
      <c r="I23" s="172">
        <v>413349.122011528</v>
      </c>
      <c r="J23" s="172">
        <v>39750.861043772398</v>
      </c>
      <c r="K23" s="172">
        <v>470803.43958196999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5.3831892116367703E-8</v>
      </c>
      <c r="G24" s="172">
        <v>4304.61711365054</v>
      </c>
      <c r="H24" s="172">
        <v>39425.3939716971</v>
      </c>
      <c r="I24" s="172">
        <v>339571.778394491</v>
      </c>
      <c r="J24" s="172">
        <v>226387.43949410101</v>
      </c>
      <c r="K24" s="172">
        <v>24943.577227138099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5.3551930852848298E-8</v>
      </c>
      <c r="G25" s="172">
        <v>4332.00696413284</v>
      </c>
      <c r="H25" s="172">
        <v>39620.618625308802</v>
      </c>
      <c r="I25" s="172">
        <v>345433.47638922598</v>
      </c>
      <c r="J25" s="172">
        <v>362773.54304376798</v>
      </c>
      <c r="K25" s="172">
        <v>39692.822306789203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1.2265647755138999E-7</v>
      </c>
      <c r="G26" s="172">
        <v>60270.924303747401</v>
      </c>
      <c r="H26" s="172">
        <v>5049.3066140132296</v>
      </c>
      <c r="I26" s="172">
        <v>483321.21942778199</v>
      </c>
      <c r="J26" s="172">
        <v>39750.861043082099</v>
      </c>
      <c r="K26" s="172">
        <v>470803.439584676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1.2537546349045601E-7</v>
      </c>
      <c r="G27" s="172">
        <v>60612.202657089903</v>
      </c>
      <c r="H27" s="172">
        <v>5083.9552808250601</v>
      </c>
      <c r="I27" s="172">
        <v>485967.34473665099</v>
      </c>
      <c r="J27" s="172">
        <v>57042.182629322</v>
      </c>
      <c r="K27" s="172">
        <v>677795.21697778394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5.9034530159793601E-8</v>
      </c>
      <c r="G28" s="172">
        <v>5044.7453882855298</v>
      </c>
      <c r="H28" s="172">
        <v>46125.090456092701</v>
      </c>
      <c r="I28" s="172">
        <v>398500.80163046799</v>
      </c>
      <c r="J28" s="172">
        <v>362773.54304374498</v>
      </c>
      <c r="K28" s="172">
        <v>39692.822306944698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5.9755371334322201E-8</v>
      </c>
      <c r="G29" s="172">
        <v>5068.4560135813499</v>
      </c>
      <c r="H29" s="172">
        <v>46292.006488659703</v>
      </c>
      <c r="I29" s="172">
        <v>403552.671331149</v>
      </c>
      <c r="J29" s="172">
        <v>520586.77373602701</v>
      </c>
      <c r="K29" s="172">
        <v>56834.129888893498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9.3846741518205208E-9</v>
      </c>
      <c r="G30" s="172">
        <v>68113.478387625393</v>
      </c>
      <c r="H30" s="172">
        <v>5705.9869810067803</v>
      </c>
      <c r="I30" s="172">
        <v>546555.19088442402</v>
      </c>
      <c r="J30" s="172">
        <v>57042.182629932402</v>
      </c>
      <c r="K30" s="172">
        <v>677795.21697575704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1.2171377652182901E-8</v>
      </c>
      <c r="G31" s="172">
        <v>68407.813668886607</v>
      </c>
      <c r="H31" s="172">
        <v>5736.4804113682903</v>
      </c>
      <c r="I31" s="172">
        <v>548847.806447829</v>
      </c>
      <c r="J31" s="172">
        <v>76397.795457443295</v>
      </c>
      <c r="K31" s="172">
        <v>909828.80766745994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6.75708977146647E-8</v>
      </c>
      <c r="G32" s="172">
        <v>5689.8451810092602</v>
      </c>
      <c r="H32" s="172">
        <v>51973.641880866999</v>
      </c>
      <c r="I32" s="172">
        <v>449751.56686783303</v>
      </c>
      <c r="J32" s="172">
        <v>520586.77373600099</v>
      </c>
      <c r="K32" s="172">
        <v>56834.129888768701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6.9095342832744501E-8</v>
      </c>
      <c r="G33" s="172">
        <v>5710.4389152890799</v>
      </c>
      <c r="H33" s="172">
        <v>52118.629531821003</v>
      </c>
      <c r="I33" s="172">
        <v>454115.24724354799</v>
      </c>
      <c r="J33" s="172">
        <v>696337.43586729094</v>
      </c>
      <c r="K33" s="172">
        <v>76015.295014249699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1.22092998409657E-8</v>
      </c>
      <c r="G34" s="172">
        <v>74910.962115509596</v>
      </c>
      <c r="H34" s="172">
        <v>6276.5128211393303</v>
      </c>
      <c r="I34" s="172">
        <v>601378.10054994898</v>
      </c>
      <c r="J34" s="172">
        <v>76397.795457484593</v>
      </c>
      <c r="K34" s="172">
        <v>909828.807667249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1.32763842429595E-8</v>
      </c>
      <c r="G35" s="172">
        <v>75162.731692460002</v>
      </c>
      <c r="H35" s="172">
        <v>6302.6629473542798</v>
      </c>
      <c r="I35" s="172">
        <v>603343.42006515095</v>
      </c>
      <c r="J35" s="172">
        <v>97527.166718238499</v>
      </c>
      <c r="K35" s="172">
        <v>1163138.4242414201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8.4381697690670698E-8</v>
      </c>
      <c r="G36" s="172">
        <v>6251.8109663164296</v>
      </c>
      <c r="H36" s="172">
        <v>57149.311358265601</v>
      </c>
      <c r="I36" s="172">
        <v>494636.182795281</v>
      </c>
      <c r="J36" s="172">
        <v>696337.43586737197</v>
      </c>
      <c r="K36" s="172">
        <v>76015.2950143411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8.5626269802963807E-8</v>
      </c>
      <c r="G37" s="172">
        <v>6269.5226526146798</v>
      </c>
      <c r="H37" s="172">
        <v>57272.557847795098</v>
      </c>
      <c r="I37" s="172">
        <v>498323.73375380301</v>
      </c>
      <c r="J37" s="172">
        <v>887552.73759879102</v>
      </c>
      <c r="K37" s="172">
        <v>96947.052670865101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3.6504158680526802E-8</v>
      </c>
      <c r="G38" s="172">
        <v>80628.916318125004</v>
      </c>
      <c r="H38" s="172">
        <v>6754.0883489692296</v>
      </c>
      <c r="I38" s="172">
        <v>647488.12430348701</v>
      </c>
      <c r="J38" s="172">
        <v>97527.166718515306</v>
      </c>
      <c r="K38" s="172">
        <v>1163138.42424073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3.4954012822338999E-8</v>
      </c>
      <c r="G39" s="172">
        <v>80832.952926647704</v>
      </c>
      <c r="H39" s="172">
        <v>6775.6234347198697</v>
      </c>
      <c r="I39" s="172">
        <v>649086.97585213697</v>
      </c>
      <c r="J39" s="172">
        <v>120137.207786589</v>
      </c>
      <c r="K39" s="172">
        <v>1434196.46714925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9.4221121253057402E-8</v>
      </c>
      <c r="G40" s="172">
        <v>6729.3745163133899</v>
      </c>
      <c r="H40" s="172">
        <v>61610.163272302598</v>
      </c>
      <c r="I40" s="172">
        <v>532215.07535437099</v>
      </c>
      <c r="J40" s="172">
        <v>887552.73759876902</v>
      </c>
      <c r="K40" s="172">
        <v>96947.052670804595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9.5016079065333204E-8</v>
      </c>
      <c r="G41" s="172">
        <v>6744.0155627822696</v>
      </c>
      <c r="H41" s="172">
        <v>61709.798013460997</v>
      </c>
      <c r="I41" s="172">
        <v>535147.46334599797</v>
      </c>
      <c r="J41" s="172">
        <v>1092064.7925909299</v>
      </c>
      <c r="K41" s="172">
        <v>119357.31853118401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4.2437137342926297E-8</v>
      </c>
      <c r="G42" s="172">
        <v>85041.137185060201</v>
      </c>
      <c r="H42" s="172">
        <v>7128.6759339423697</v>
      </c>
      <c r="I42" s="172">
        <v>683074.53422884899</v>
      </c>
      <c r="J42" s="172">
        <v>120137.207786625</v>
      </c>
      <c r="K42" s="172">
        <v>1434196.46714911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4.1316359041162403E-8</v>
      </c>
      <c r="G43" s="172">
        <v>85181.969020034099</v>
      </c>
      <c r="H43" s="172">
        <v>7144.6666709726096</v>
      </c>
      <c r="I43" s="172">
        <v>684185.30902731698</v>
      </c>
      <c r="J43" s="172">
        <v>143918.225120255</v>
      </c>
      <c r="K43" s="172">
        <v>1719249.8069378899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9.8202212117825098E-8</v>
      </c>
      <c r="G44" s="172">
        <v>7111.10832818583</v>
      </c>
      <c r="H44" s="172">
        <v>65160.137019258</v>
      </c>
      <c r="I44" s="172">
        <v>561267.20006288704</v>
      </c>
      <c r="J44" s="172">
        <v>1092064.7925909299</v>
      </c>
      <c r="K44" s="172">
        <v>119357.31853119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9.7912845392280405E-8</v>
      </c>
      <c r="G45" s="172">
        <v>7122.4814504220303</v>
      </c>
      <c r="H45" s="172">
        <v>65231.485206938603</v>
      </c>
      <c r="I45" s="172">
        <v>563265.14974435105</v>
      </c>
      <c r="J45" s="172">
        <v>1307514.78620337</v>
      </c>
      <c r="K45" s="172">
        <v>142962.34676279599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3.5730869330732397E-8</v>
      </c>
      <c r="G46" s="172">
        <v>87667.798348362907</v>
      </c>
      <c r="H46" s="172">
        <v>7354.7824449844502</v>
      </c>
      <c r="I46" s="172">
        <v>704124.930762409</v>
      </c>
      <c r="J46" s="172">
        <v>143918.22512028</v>
      </c>
      <c r="K46" s="172">
        <v>1719249.80693799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3.53766300950565E-8</v>
      </c>
      <c r="G47" s="172">
        <v>87723.117895369694</v>
      </c>
      <c r="H47" s="172">
        <v>7362.0633061106801</v>
      </c>
      <c r="I47" s="172">
        <v>704572.32212797797</v>
      </c>
      <c r="J47" s="172">
        <v>172045.17586264</v>
      </c>
      <c r="K47" s="172">
        <v>2056144.2724214899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1.0731032769753801E-7</v>
      </c>
      <c r="G48" s="172">
        <v>7355.5303640683196</v>
      </c>
      <c r="H48" s="172">
        <v>67311.390225606607</v>
      </c>
      <c r="I48" s="172">
        <v>578815.581531781</v>
      </c>
      <c r="J48" s="172">
        <v>1307514.78620338</v>
      </c>
      <c r="K48" s="172">
        <v>142962.34676282699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1.07187671080624E-7</v>
      </c>
      <c r="G49" s="172">
        <v>7362.0633959236102</v>
      </c>
      <c r="H49" s="172">
        <v>67338.602722302196</v>
      </c>
      <c r="I49" s="172">
        <v>579488.06227466301</v>
      </c>
      <c r="J49" s="172">
        <v>1562966.1082120801</v>
      </c>
      <c r="K49" s="172">
        <v>170951.91630184499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1.2750123320435001</v>
      </c>
      <c r="N5" s="172">
        <v>1.5946241921254301</v>
      </c>
      <c r="O5" s="172">
        <v>2545195.5979795</v>
      </c>
      <c r="P5" s="172">
        <v>94701.377732016394</v>
      </c>
      <c r="Q5" s="172">
        <v>8452.1797128881208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1.4900090465221401</v>
      </c>
      <c r="N6" s="172">
        <v>1.43728205047792</v>
      </c>
      <c r="O6" s="172">
        <v>2545195.5979795</v>
      </c>
      <c r="P6" s="172">
        <v>85357.158785065199</v>
      </c>
      <c r="Q6" s="172">
        <v>8902.8057142621601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82105.909844829905</v>
      </c>
      <c r="J10" s="9" t="s">
        <v>123</v>
      </c>
      <c r="K10" s="103" t="str">
        <f>+IF(I10&gt;N51,"USAR TA","USAR  TB")</f>
        <v>USAR  TB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82105.909844829905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3.72719968622045E-10</v>
      </c>
      <c r="F15" s="172">
        <v>1128.4957804944099</v>
      </c>
      <c r="G15" s="172">
        <v>153.820749378892</v>
      </c>
      <c r="H15" s="172">
        <v>8824.0345895000701</v>
      </c>
      <c r="I15" s="172">
        <v>1.9781917990546901E-9</v>
      </c>
      <c r="J15" s="172">
        <v>7.2570239651679499E-9</v>
      </c>
      <c r="K15" s="166"/>
      <c r="L15" s="166" t="s">
        <v>189</v>
      </c>
      <c r="M15">
        <f>+F15</f>
        <v>1128.4957804944099</v>
      </c>
      <c r="N15">
        <f>+G15</f>
        <v>153.820749378892</v>
      </c>
      <c r="O15" s="18">
        <f t="shared" ref="O15:P19" si="0">+M15*$O$55</f>
        <v>0</v>
      </c>
      <c r="P15" s="19">
        <f t="shared" si="0"/>
        <v>0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4.81260568482746E-8</v>
      </c>
      <c r="F16" s="172">
        <v>13638.9271898279</v>
      </c>
      <c r="G16" s="172">
        <v>1162.2217187696001</v>
      </c>
      <c r="H16" s="172">
        <v>108779.780579964</v>
      </c>
      <c r="I16" s="172">
        <v>461.46224822057599</v>
      </c>
      <c r="J16" s="172">
        <v>3385.4873408270701</v>
      </c>
      <c r="K16" s="166"/>
      <c r="L16" s="166" t="s">
        <v>187</v>
      </c>
      <c r="M16" s="13">
        <f>+F16-F15</f>
        <v>12510.431409333491</v>
      </c>
      <c r="N16">
        <f>+G16-G15</f>
        <v>1008.400969390708</v>
      </c>
      <c r="O16" s="18">
        <f t="shared" si="0"/>
        <v>0</v>
      </c>
      <c r="P16" s="19">
        <f t="shared" si="0"/>
        <v>0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1.6942330222096099E-7</v>
      </c>
      <c r="F17" s="172">
        <v>28235.834703254099</v>
      </c>
      <c r="G17" s="172">
        <v>2389.6297040368599</v>
      </c>
      <c r="H17" s="172">
        <v>225756.60129270199</v>
      </c>
      <c r="I17" s="172">
        <v>4504.5971355004403</v>
      </c>
      <c r="J17" s="172">
        <v>52065.894382549101</v>
      </c>
      <c r="K17" s="166"/>
      <c r="L17" s="166" t="s">
        <v>185</v>
      </c>
      <c r="M17" s="13">
        <f t="shared" ref="M17:M25" si="1">+F17-F16</f>
        <v>14596.907513426198</v>
      </c>
      <c r="N17" s="13">
        <f t="shared" ref="N17:N25" si="2">+G17-G16</f>
        <v>1227.4079852672598</v>
      </c>
      <c r="O17" s="18">
        <f t="shared" si="0"/>
        <v>0</v>
      </c>
      <c r="P17" s="19">
        <f t="shared" si="0"/>
        <v>0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9.5631064407499503E-8</v>
      </c>
      <c r="F18" s="172">
        <v>40651.381865360403</v>
      </c>
      <c r="G18" s="172">
        <v>3424.3454044837699</v>
      </c>
      <c r="H18" s="172">
        <v>325446.03265039198</v>
      </c>
      <c r="I18" s="172">
        <v>12917.506451590099</v>
      </c>
      <c r="J18" s="172">
        <v>151494.50704670101</v>
      </c>
      <c r="K18" s="166"/>
      <c r="L18" s="166" t="s">
        <v>183</v>
      </c>
      <c r="M18" s="13">
        <f t="shared" si="1"/>
        <v>12415.547162106304</v>
      </c>
      <c r="N18" s="13">
        <f t="shared" si="2"/>
        <v>1034.71570044691</v>
      </c>
      <c r="O18" s="18">
        <f t="shared" si="0"/>
        <v>0</v>
      </c>
      <c r="P18" s="19">
        <f t="shared" si="0"/>
        <v>0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5.0678066023330603E-8</v>
      </c>
      <c r="F19" s="172">
        <v>51203.041946317702</v>
      </c>
      <c r="G19" s="172">
        <v>4296.9429561317202</v>
      </c>
      <c r="H19" s="172">
        <v>410297.12107754801</v>
      </c>
      <c r="I19" s="172">
        <v>24881.808502406599</v>
      </c>
      <c r="J19" s="172">
        <v>293459.68192679802</v>
      </c>
      <c r="K19" s="166"/>
      <c r="L19" s="166" t="s">
        <v>181</v>
      </c>
      <c r="M19" s="13">
        <f t="shared" si="1"/>
        <v>10551.660080957299</v>
      </c>
      <c r="N19" s="13">
        <f t="shared" si="2"/>
        <v>872.59755164795024</v>
      </c>
      <c r="O19" s="18">
        <f t="shared" si="0"/>
        <v>0</v>
      </c>
      <c r="P19" s="19">
        <f t="shared" si="0"/>
        <v>0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1.2265647755138999E-7</v>
      </c>
      <c r="F20" s="172">
        <v>60270.924303747401</v>
      </c>
      <c r="G20" s="172">
        <v>5049.3066140132296</v>
      </c>
      <c r="H20" s="172">
        <v>483321.21942778199</v>
      </c>
      <c r="I20" s="172">
        <v>39750.861043082099</v>
      </c>
      <c r="J20" s="172">
        <v>470803.439584676</v>
      </c>
      <c r="K20" s="166"/>
      <c r="L20" s="166" t="s">
        <v>179</v>
      </c>
      <c r="M20" s="113">
        <f t="shared" si="1"/>
        <v>9067.8823574296985</v>
      </c>
      <c r="N20" s="113">
        <f t="shared" si="2"/>
        <v>752.36365788150943</v>
      </c>
      <c r="O20" s="18">
        <f t="shared" ref="O20:O25" si="3">+M20*$O$55</f>
        <v>0</v>
      </c>
      <c r="P20" s="19">
        <f t="shared" ref="P20:P25" si="4">+N20*$O$55</f>
        <v>0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9.3846741518205208E-9</v>
      </c>
      <c r="F21" s="172">
        <v>68113.478387625393</v>
      </c>
      <c r="G21" s="172">
        <v>5705.9869810067803</v>
      </c>
      <c r="H21" s="172">
        <v>546555.19088442402</v>
      </c>
      <c r="I21" s="172">
        <v>57042.182629932402</v>
      </c>
      <c r="J21" s="172">
        <v>677795.21697575704</v>
      </c>
      <c r="K21" s="166"/>
      <c r="L21" s="166" t="s">
        <v>39</v>
      </c>
      <c r="M21" s="113">
        <f t="shared" si="1"/>
        <v>7842.5540838779925</v>
      </c>
      <c r="N21" s="113">
        <f t="shared" si="2"/>
        <v>656.68036699355071</v>
      </c>
      <c r="O21" s="18">
        <f t="shared" si="3"/>
        <v>0</v>
      </c>
      <c r="P21" s="19">
        <f t="shared" si="4"/>
        <v>0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1.22092998409657E-8</v>
      </c>
      <c r="F22" s="172">
        <v>74910.962115509596</v>
      </c>
      <c r="G22" s="172">
        <v>6276.5128211393303</v>
      </c>
      <c r="H22" s="172">
        <v>601378.10054994898</v>
      </c>
      <c r="I22" s="172">
        <v>76397.795457484593</v>
      </c>
      <c r="J22" s="172">
        <v>909828.807667249</v>
      </c>
      <c r="K22" s="166"/>
      <c r="L22" s="166" t="s">
        <v>26</v>
      </c>
      <c r="M22" s="113">
        <f t="shared" si="1"/>
        <v>6797.4837278842024</v>
      </c>
      <c r="N22" s="113">
        <f t="shared" si="2"/>
        <v>570.52584013255</v>
      </c>
      <c r="O22" s="18">
        <f t="shared" si="3"/>
        <v>0</v>
      </c>
      <c r="P22" s="19">
        <f t="shared" si="4"/>
        <v>0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3.6504158680526802E-8</v>
      </c>
      <c r="F23" s="172">
        <v>80628.916318125004</v>
      </c>
      <c r="G23" s="172">
        <v>6754.0883489692296</v>
      </c>
      <c r="H23" s="172">
        <v>647488.12430348701</v>
      </c>
      <c r="I23" s="172">
        <v>97527.166718515306</v>
      </c>
      <c r="J23" s="172">
        <v>1163138.42424073</v>
      </c>
      <c r="K23" s="166"/>
      <c r="L23" s="166" t="s">
        <v>25</v>
      </c>
      <c r="M23" s="113">
        <f t="shared" si="1"/>
        <v>5717.9542026154086</v>
      </c>
      <c r="N23" s="113">
        <f t="shared" si="2"/>
        <v>477.57552782989933</v>
      </c>
      <c r="O23" s="18">
        <f t="shared" si="3"/>
        <v>0</v>
      </c>
      <c r="P23" s="19">
        <f t="shared" si="4"/>
        <v>0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4.2437137342926297E-8</v>
      </c>
      <c r="F24" s="172">
        <v>85041.137185060201</v>
      </c>
      <c r="G24" s="172">
        <v>7128.6759339423697</v>
      </c>
      <c r="H24" s="172">
        <v>683074.53422884899</v>
      </c>
      <c r="I24" s="172">
        <v>120137.207786625</v>
      </c>
      <c r="J24" s="172">
        <v>1434196.46714911</v>
      </c>
      <c r="K24" s="166"/>
      <c r="L24" s="166" t="s">
        <v>24</v>
      </c>
      <c r="M24" s="113">
        <f t="shared" si="1"/>
        <v>4412.2208669351967</v>
      </c>
      <c r="N24" s="113">
        <f t="shared" si="2"/>
        <v>374.58758497314011</v>
      </c>
      <c r="O24" s="18">
        <f t="shared" si="3"/>
        <v>0</v>
      </c>
      <c r="P24" s="19">
        <f t="shared" si="4"/>
        <v>0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3.5730869330732397E-8</v>
      </c>
      <c r="F25" s="172">
        <v>87667.798348362907</v>
      </c>
      <c r="G25" s="172">
        <v>7354.7824449844502</v>
      </c>
      <c r="H25" s="172">
        <v>704124.930762409</v>
      </c>
      <c r="I25" s="172">
        <v>143918.22512028</v>
      </c>
      <c r="J25" s="172">
        <v>1719249.80693799</v>
      </c>
      <c r="K25" s="166"/>
      <c r="L25" s="166" t="s">
        <v>22</v>
      </c>
      <c r="M25" s="113">
        <f t="shared" si="1"/>
        <v>2626.661163302706</v>
      </c>
      <c r="N25" s="113">
        <f t="shared" si="2"/>
        <v>226.10651104208046</v>
      </c>
      <c r="O25" s="30">
        <f t="shared" si="3"/>
        <v>0</v>
      </c>
      <c r="P25" s="24">
        <f t="shared" si="4"/>
        <v>0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5.2173674567980802E-11</v>
      </c>
      <c r="F34" s="172">
        <v>144.04298529390999</v>
      </c>
      <c r="G34" s="172">
        <v>859.31606516402098</v>
      </c>
      <c r="H34" s="172">
        <v>15737.712674541601</v>
      </c>
      <c r="I34" s="172">
        <v>4.9097900159927098E-10</v>
      </c>
      <c r="J34" s="172">
        <v>1.20314830412226E-9</v>
      </c>
      <c r="L34" s="113" t="s">
        <v>189</v>
      </c>
      <c r="M34" s="13">
        <f>+F34</f>
        <v>144.04298529390999</v>
      </c>
      <c r="N34" s="13">
        <f>+G34</f>
        <v>859.31606516402098</v>
      </c>
      <c r="O34" s="18">
        <f>+M34*$O$56</f>
        <v>175.7025122298364</v>
      </c>
      <c r="P34" s="19">
        <f>+N34*$O$56</f>
        <v>1048.1870473643935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1.2086871987696899E-8</v>
      </c>
      <c r="F35" s="172">
        <v>1204.7463351911999</v>
      </c>
      <c r="G35" s="172">
        <v>10541.988757679401</v>
      </c>
      <c r="H35" s="172">
        <v>92414.312505416994</v>
      </c>
      <c r="I35" s="172">
        <v>2577.9481955177798</v>
      </c>
      <c r="J35" s="172">
        <v>432.12895585332097</v>
      </c>
      <c r="L35" s="113" t="s">
        <v>187</v>
      </c>
      <c r="M35" s="13">
        <f>+F35-F34</f>
        <v>1060.7033498972899</v>
      </c>
      <c r="N35" s="13">
        <f>+G35-G34</f>
        <v>9682.6726925153798</v>
      </c>
      <c r="O35" s="18">
        <f t="shared" ref="O35:P44" si="5">+M35*$O$56</f>
        <v>1293.8376896819041</v>
      </c>
      <c r="P35" s="19">
        <f t="shared" si="5"/>
        <v>11810.848780333592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2.5921342818854799E-8</v>
      </c>
      <c r="F36" s="172">
        <v>2428.00920094805</v>
      </c>
      <c r="G36" s="172">
        <v>21972.346712401799</v>
      </c>
      <c r="H36" s="172">
        <v>188326.582192589</v>
      </c>
      <c r="I36" s="172">
        <v>39181.8550278564</v>
      </c>
      <c r="J36" s="172">
        <v>4573.74502592521</v>
      </c>
      <c r="L36" s="113" t="s">
        <v>185</v>
      </c>
      <c r="M36" s="13">
        <f t="shared" ref="M36:M44" si="6">+F36-F35</f>
        <v>1223.26286575685</v>
      </c>
      <c r="N36" s="13">
        <f t="shared" ref="N36:N44" si="7">+G36-G35</f>
        <v>11430.357954722398</v>
      </c>
      <c r="O36" s="18">
        <f t="shared" si="5"/>
        <v>1492.1265217629082</v>
      </c>
      <c r="P36" s="19">
        <f t="shared" si="5"/>
        <v>13942.661659178559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4.8487313453964297E-8</v>
      </c>
      <c r="F37" s="172">
        <v>3444.96464219567</v>
      </c>
      <c r="G37" s="172">
        <v>31517.730474774198</v>
      </c>
      <c r="H37" s="172">
        <v>270472.22368078801</v>
      </c>
      <c r="I37" s="172">
        <v>116379.935794351</v>
      </c>
      <c r="J37" s="172">
        <v>13039.4975819868</v>
      </c>
      <c r="L37" s="113" t="s">
        <v>183</v>
      </c>
      <c r="M37" s="13">
        <f t="shared" si="6"/>
        <v>1016.95544124762</v>
      </c>
      <c r="N37" s="13">
        <f t="shared" si="7"/>
        <v>9545.3837623723994</v>
      </c>
      <c r="O37" s="18">
        <f t="shared" si="5"/>
        <v>1240.4743312450851</v>
      </c>
      <c r="P37" s="19">
        <f t="shared" si="5"/>
        <v>11643.384812003243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5.3831892116367703E-8</v>
      </c>
      <c r="F38" s="172">
        <v>4304.61711365054</v>
      </c>
      <c r="G38" s="172">
        <v>39425.3939716971</v>
      </c>
      <c r="H38" s="172">
        <v>339571.778394491</v>
      </c>
      <c r="I38" s="172">
        <v>226387.43949410101</v>
      </c>
      <c r="J38" s="172">
        <v>24943.577227138099</v>
      </c>
      <c r="L38" s="113" t="s">
        <v>181</v>
      </c>
      <c r="M38" s="13">
        <f t="shared" si="6"/>
        <v>859.65247145487001</v>
      </c>
      <c r="N38" s="13">
        <f t="shared" si="7"/>
        <v>7907.6634969229017</v>
      </c>
      <c r="O38" s="18">
        <f t="shared" si="5"/>
        <v>1048.5973931393821</v>
      </c>
      <c r="P38" s="19">
        <f t="shared" si="5"/>
        <v>9645.7063802347438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5.9034530159793601E-8</v>
      </c>
      <c r="F39" s="172">
        <v>5044.7453882855298</v>
      </c>
      <c r="G39" s="172">
        <v>46125.090456092701</v>
      </c>
      <c r="H39" s="172">
        <v>398500.80163046799</v>
      </c>
      <c r="I39" s="172">
        <v>362773.54304374498</v>
      </c>
      <c r="J39" s="172">
        <v>39692.822306944698</v>
      </c>
      <c r="L39" s="113" t="s">
        <v>179</v>
      </c>
      <c r="M39" s="113">
        <f t="shared" si="6"/>
        <v>740.12827463498979</v>
      </c>
      <c r="N39" s="113">
        <f t="shared" si="7"/>
        <v>6699.6964843956011</v>
      </c>
      <c r="O39" s="18">
        <f t="shared" si="5"/>
        <v>902.80270823573437</v>
      </c>
      <c r="P39" s="19">
        <f t="shared" si="5"/>
        <v>8172.2376211782039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6.75708977146647E-8</v>
      </c>
      <c r="F40" s="172">
        <v>5689.8451810092602</v>
      </c>
      <c r="G40" s="172">
        <v>51973.641880866999</v>
      </c>
      <c r="H40" s="172">
        <v>449751.56686783303</v>
      </c>
      <c r="I40" s="172">
        <v>520586.77373600099</v>
      </c>
      <c r="J40" s="172">
        <v>56834.129888768701</v>
      </c>
      <c r="L40" s="13" t="s">
        <v>39</v>
      </c>
      <c r="M40" s="113">
        <f t="shared" si="6"/>
        <v>645.09979272373039</v>
      </c>
      <c r="N40" s="113">
        <f t="shared" si="7"/>
        <v>5848.5514247742976</v>
      </c>
      <c r="O40" s="18">
        <f t="shared" si="5"/>
        <v>786.88770570279416</v>
      </c>
      <c r="P40" s="19">
        <f t="shared" si="5"/>
        <v>7134.0175027716487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8.4381697690670698E-8</v>
      </c>
      <c r="F41" s="172">
        <v>6251.8109663164296</v>
      </c>
      <c r="G41" s="172">
        <v>57149.311358265601</v>
      </c>
      <c r="H41" s="172">
        <v>494636.182795281</v>
      </c>
      <c r="I41" s="172">
        <v>696337.43586737197</v>
      </c>
      <c r="J41" s="172">
        <v>76015.2950143411</v>
      </c>
      <c r="L41" s="13" t="s">
        <v>26</v>
      </c>
      <c r="M41" s="113">
        <f t="shared" si="6"/>
        <v>561.96578530716943</v>
      </c>
      <c r="N41" s="113">
        <f t="shared" si="7"/>
        <v>5175.6694773986019</v>
      </c>
      <c r="O41" s="18">
        <f t="shared" si="5"/>
        <v>685.48149057180876</v>
      </c>
      <c r="P41" s="19">
        <f t="shared" si="5"/>
        <v>6313.2413410808867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9.4221121253057402E-8</v>
      </c>
      <c r="F42" s="172">
        <v>6729.3745163133899</v>
      </c>
      <c r="G42" s="172">
        <v>61610.163272302598</v>
      </c>
      <c r="H42" s="172">
        <v>532215.07535437099</v>
      </c>
      <c r="I42" s="172">
        <v>887552.73759876902</v>
      </c>
      <c r="J42" s="172">
        <v>96947.052670804595</v>
      </c>
      <c r="L42" s="13" t="s">
        <v>25</v>
      </c>
      <c r="M42" s="113">
        <f t="shared" si="6"/>
        <v>477.56354999696032</v>
      </c>
      <c r="N42" s="113">
        <f t="shared" si="7"/>
        <v>4460.8519140369972</v>
      </c>
      <c r="O42" s="18">
        <f t="shared" si="5"/>
        <v>582.52830092804663</v>
      </c>
      <c r="P42" s="19">
        <f t="shared" si="5"/>
        <v>5441.3124414376616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9.8202212117825098E-8</v>
      </c>
      <c r="F43" s="172">
        <v>7111.10832818583</v>
      </c>
      <c r="G43" s="172">
        <v>65160.137019258</v>
      </c>
      <c r="H43" s="172">
        <v>561267.20006288704</v>
      </c>
      <c r="I43" s="172">
        <v>1092064.7925909299</v>
      </c>
      <c r="J43" s="172">
        <v>119357.31853119</v>
      </c>
      <c r="L43" s="13" t="s">
        <v>24</v>
      </c>
      <c r="M43" s="113">
        <f t="shared" si="6"/>
        <v>381.73381187244013</v>
      </c>
      <c r="N43" s="113">
        <f t="shared" si="7"/>
        <v>3549.973746955402</v>
      </c>
      <c r="O43" s="18">
        <f t="shared" si="5"/>
        <v>465.63593230315536</v>
      </c>
      <c r="P43" s="19">
        <f t="shared" si="5"/>
        <v>4330.2303435139984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1.0731032769753801E-7</v>
      </c>
      <c r="F44" s="172">
        <v>7355.5303640683196</v>
      </c>
      <c r="G44" s="172">
        <v>67311.390225606607</v>
      </c>
      <c r="H44" s="172">
        <v>578815.581531781</v>
      </c>
      <c r="I44" s="172">
        <v>1307514.78620338</v>
      </c>
      <c r="J44" s="172">
        <v>142962.34676282699</v>
      </c>
      <c r="L44" s="13" t="s">
        <v>22</v>
      </c>
      <c r="M44" s="113">
        <f t="shared" si="6"/>
        <v>244.42203588248958</v>
      </c>
      <c r="N44" s="113">
        <f t="shared" si="7"/>
        <v>2151.2532063486069</v>
      </c>
      <c r="O44" s="30">
        <f t="shared" si="5"/>
        <v>298.14409678650509</v>
      </c>
      <c r="P44" s="24">
        <f t="shared" si="5"/>
        <v>2624.0819157329802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85231.239958814753</v>
      </c>
      <c r="O51" s="14" t="str">
        <f>+K10</f>
        <v>USAR  TB</v>
      </c>
      <c r="P51" s="107">
        <f>+IF(O51="USAR TA",(I10),N51)</f>
        <v>85231.239958814753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76821.442906558688</v>
      </c>
      <c r="O52" s="14" t="str">
        <f>+K11</f>
        <v>USAR TA</v>
      </c>
      <c r="P52" s="107">
        <f>+IF(O52="USAR TB",(N52),I11)</f>
        <v>82105.909844829905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87667.798348362907</v>
      </c>
      <c r="N55" s="16">
        <f>+IF(M55&lt;P51,"ESCALAR",N51)</f>
        <v>85231.239958814753</v>
      </c>
      <c r="O55" s="14" t="b">
        <f>+IF(N55="ESCALAR",(P51/M55))</f>
        <v>0</v>
      </c>
      <c r="P55" s="19">
        <f>+M55*O55</f>
        <v>0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67311.390225606607</v>
      </c>
      <c r="N56" s="112" t="str">
        <f>+IF(M56&lt;P52,"ESCALAR",M56)</f>
        <v>ESCALAR</v>
      </c>
      <c r="O56" s="23">
        <f>+IF(N56="ESCALAR",(P52/M56))</f>
        <v>1.2197922159925196</v>
      </c>
      <c r="P56" s="24">
        <f>+M56*O56</f>
        <v>82105.909844829905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1.4900090465221401</v>
      </c>
      <c r="E62" s="172">
        <v>3.9081880483739099E-3</v>
      </c>
      <c r="F62" s="172">
        <v>0.68902713073885402</v>
      </c>
      <c r="G62" s="172">
        <v>0</v>
      </c>
      <c r="H62" s="172">
        <v>3.9081880483739099E-3</v>
      </c>
      <c r="I62" s="172">
        <v>0.68902713073885402</v>
      </c>
      <c r="J62" s="172">
        <v>0</v>
      </c>
      <c r="K62" s="172">
        <v>0.15821025072437001</v>
      </c>
      <c r="L62" s="172">
        <v>7.8045760774198198E-4</v>
      </c>
      <c r="M62" s="172">
        <v>0.12987094104154701</v>
      </c>
      <c r="N62" s="172">
        <v>0.15821025072437001</v>
      </c>
      <c r="O62" s="172">
        <v>7.8045760774198198E-4</v>
      </c>
      <c r="P62" s="172">
        <v>0.12987094104154701</v>
      </c>
    </row>
    <row r="63" spans="2:16" x14ac:dyDescent="0.3">
      <c r="B63" s="172" t="s">
        <v>238</v>
      </c>
      <c r="C63" s="172">
        <v>2</v>
      </c>
      <c r="D63" s="172">
        <v>1.2750123320435001</v>
      </c>
      <c r="E63" s="172">
        <v>0.81141244460905304</v>
      </c>
      <c r="F63" s="172">
        <v>5.4695110108150596E-3</v>
      </c>
      <c r="G63" s="172">
        <v>0</v>
      </c>
      <c r="H63" s="172">
        <v>0.81532063265742705</v>
      </c>
      <c r="I63" s="172">
        <v>0.69449664174966896</v>
      </c>
      <c r="J63" s="172">
        <v>0</v>
      </c>
      <c r="K63" s="172">
        <v>1.3331940290178799E-3</v>
      </c>
      <c r="L63" s="172">
        <v>0.191815469379055</v>
      </c>
      <c r="M63" s="172">
        <v>2.71379122905766E-4</v>
      </c>
      <c r="N63" s="172">
        <v>0.159543444753388</v>
      </c>
      <c r="O63" s="172">
        <v>0.19259592698679701</v>
      </c>
      <c r="P63" s="172">
        <v>0.13014232016445301</v>
      </c>
    </row>
    <row r="64" spans="2:16" x14ac:dyDescent="0.3">
      <c r="B64" s="172" t="s">
        <v>238</v>
      </c>
      <c r="C64" s="172">
        <v>3</v>
      </c>
      <c r="D64" s="172">
        <v>1.0595154453992299</v>
      </c>
      <c r="E64" s="172">
        <v>1.95125564659571E-3</v>
      </c>
      <c r="F64" s="172">
        <v>0.11515031723329699</v>
      </c>
      <c r="G64" s="172">
        <v>0</v>
      </c>
      <c r="H64" s="172">
        <v>0.81727188830402298</v>
      </c>
      <c r="I64" s="172">
        <v>0.80964695898296701</v>
      </c>
      <c r="J64" s="172">
        <v>0</v>
      </c>
      <c r="K64" s="172">
        <v>4.2903015887802501E-2</v>
      </c>
      <c r="L64" s="172">
        <v>4.9866435266655905E-4</v>
      </c>
      <c r="M64" s="172">
        <v>0.68636192342200397</v>
      </c>
      <c r="N64" s="172">
        <v>0.20244646064119001</v>
      </c>
      <c r="O64" s="172">
        <v>0.19309459133946399</v>
      </c>
      <c r="P64" s="172">
        <v>0.81650424358645701</v>
      </c>
    </row>
    <row r="65" spans="2:16" x14ac:dyDescent="0.3">
      <c r="B65" s="172" t="s">
        <v>238</v>
      </c>
      <c r="C65" s="172">
        <v>4</v>
      </c>
      <c r="D65" s="172">
        <v>0.48504063115678703</v>
      </c>
      <c r="E65" s="172">
        <v>5.3787659879874297E-4</v>
      </c>
      <c r="F65" s="172">
        <v>9.5904617589440105E-2</v>
      </c>
      <c r="G65" s="172">
        <v>0</v>
      </c>
      <c r="H65" s="172">
        <v>0.81780976490282098</v>
      </c>
      <c r="I65" s="172">
        <v>0.90555157657240704</v>
      </c>
      <c r="J65" s="172">
        <v>0</v>
      </c>
      <c r="K65" s="172">
        <v>0.48854350326596302</v>
      </c>
      <c r="L65" s="172">
        <v>2.79085573445684E-3</v>
      </c>
      <c r="M65" s="172">
        <v>1.29972238338305E-2</v>
      </c>
      <c r="N65" s="172">
        <v>0.69098996390715395</v>
      </c>
      <c r="O65" s="172">
        <v>0.195885447073921</v>
      </c>
      <c r="P65" s="172">
        <v>0.82950146742028696</v>
      </c>
    </row>
    <row r="66" spans="2:16" x14ac:dyDescent="0.3">
      <c r="B66" s="172" t="s">
        <v>238</v>
      </c>
      <c r="C66" s="172">
        <v>5</v>
      </c>
      <c r="D66" s="172">
        <v>0.41709357586565798</v>
      </c>
      <c r="E66" s="172">
        <v>0.114609911951165</v>
      </c>
      <c r="F66" s="172">
        <v>9.33979995975837E-4</v>
      </c>
      <c r="G66" s="172">
        <v>0</v>
      </c>
      <c r="H66" s="172">
        <v>0.93241967685398697</v>
      </c>
      <c r="I66" s="172">
        <v>0.90648555656838303</v>
      </c>
      <c r="J66" s="172">
        <v>0</v>
      </c>
      <c r="K66" s="172">
        <v>4.0109237702076299E-3</v>
      </c>
      <c r="L66" s="172">
        <v>0.60056928335450899</v>
      </c>
      <c r="M66" s="172">
        <v>7.0187847002345998E-5</v>
      </c>
      <c r="N66" s="172">
        <v>0.69500088767736101</v>
      </c>
      <c r="O66" s="172">
        <v>0.79645473042842996</v>
      </c>
      <c r="P66" s="172">
        <v>0.82957165526729004</v>
      </c>
    </row>
    <row r="67" spans="2:16" x14ac:dyDescent="0.3">
      <c r="B67" s="172" t="s">
        <v>238</v>
      </c>
      <c r="C67" s="172">
        <v>6</v>
      </c>
      <c r="D67" s="172">
        <v>0.34506694451085601</v>
      </c>
      <c r="E67" s="172">
        <v>5.3789021911609199E-4</v>
      </c>
      <c r="F67" s="172">
        <v>2.0502558761911999E-2</v>
      </c>
      <c r="G67" s="172">
        <v>0</v>
      </c>
      <c r="H67" s="172">
        <v>0.93295756707310296</v>
      </c>
      <c r="I67" s="172">
        <v>0.92698811533029501</v>
      </c>
      <c r="J67" s="172">
        <v>0</v>
      </c>
      <c r="K67" s="172">
        <v>9.0516546519219906E-2</v>
      </c>
      <c r="L67" s="172">
        <v>1.9407313295004901E-3</v>
      </c>
      <c r="M67" s="172">
        <v>9.8259433969593801E-2</v>
      </c>
      <c r="N67" s="172">
        <v>0.78551743419658104</v>
      </c>
      <c r="O67" s="172">
        <v>0.79839546175792997</v>
      </c>
      <c r="P67" s="172">
        <v>0.92783108923688296</v>
      </c>
    </row>
    <row r="68" spans="2:16" x14ac:dyDescent="0.3">
      <c r="B68" s="172" t="s">
        <v>238</v>
      </c>
      <c r="C68" s="172">
        <v>7</v>
      </c>
      <c r="D68" s="172">
        <v>0.27586501633961802</v>
      </c>
      <c r="E68" s="172">
        <v>2.1993174087919901E-4</v>
      </c>
      <c r="F68" s="172">
        <v>2.8880014318198598E-2</v>
      </c>
      <c r="G68" s="172">
        <v>0</v>
      </c>
      <c r="H68" s="172">
        <v>0.93317749881398204</v>
      </c>
      <c r="I68" s="172">
        <v>0.95586812964849299</v>
      </c>
      <c r="J68" s="172">
        <v>0</v>
      </c>
      <c r="K68" s="172">
        <v>6.4026693539151094E-2</v>
      </c>
      <c r="L68" s="172">
        <v>4.97261404285821E-4</v>
      </c>
      <c r="M68" s="172">
        <v>4.8758951775103804E-3</v>
      </c>
      <c r="N68" s="172">
        <v>0.84954412773573196</v>
      </c>
      <c r="O68" s="172">
        <v>0.79889272316221605</v>
      </c>
      <c r="P68" s="172">
        <v>0.93270698441439404</v>
      </c>
    </row>
    <row r="69" spans="2:16" x14ac:dyDescent="0.3">
      <c r="B69" s="172" t="s">
        <v>238</v>
      </c>
      <c r="C69" s="172">
        <v>8</v>
      </c>
      <c r="D69" s="172">
        <v>0.23708700346807199</v>
      </c>
      <c r="E69" s="172">
        <v>3.3230643029268599E-2</v>
      </c>
      <c r="F69" s="172">
        <v>4.2635939455304102E-4</v>
      </c>
      <c r="G69" s="172">
        <v>0</v>
      </c>
      <c r="H69" s="172">
        <v>0.96640814184325097</v>
      </c>
      <c r="I69" s="172">
        <v>0.95629448904304604</v>
      </c>
      <c r="J69" s="172">
        <v>0</v>
      </c>
      <c r="K69" s="172">
        <v>1.0115177059324401E-3</v>
      </c>
      <c r="L69" s="172">
        <v>7.2870763353403895E-2</v>
      </c>
      <c r="M69" s="172">
        <v>8.4763511120295801E-5</v>
      </c>
      <c r="N69" s="172">
        <v>0.85055564544166495</v>
      </c>
      <c r="O69" s="172">
        <v>0.87176348651561997</v>
      </c>
      <c r="P69" s="172">
        <v>0.932791747925514</v>
      </c>
    </row>
    <row r="70" spans="2:16" x14ac:dyDescent="0.3">
      <c r="B70" s="172" t="s">
        <v>238</v>
      </c>
      <c r="C70" s="172">
        <v>9</v>
      </c>
      <c r="D70" s="172">
        <v>0.19573728477774799</v>
      </c>
      <c r="E70" s="172">
        <v>1.8337945418881799E-4</v>
      </c>
      <c r="F70" s="172">
        <v>1.9043859157011601E-3</v>
      </c>
      <c r="G70" s="172">
        <v>0</v>
      </c>
      <c r="H70" s="172">
        <v>0.96659152129743897</v>
      </c>
      <c r="I70" s="172">
        <v>0.958198874958747</v>
      </c>
      <c r="J70" s="172">
        <v>0</v>
      </c>
      <c r="K70" s="172">
        <v>1.9549138526182698E-3</v>
      </c>
      <c r="L70" s="172">
        <v>5.3283859712520995E-4</v>
      </c>
      <c r="M70" s="172">
        <v>3.1320236086695798E-2</v>
      </c>
      <c r="N70" s="172">
        <v>0.85251055929428299</v>
      </c>
      <c r="O70" s="172">
        <v>0.87229632511274502</v>
      </c>
      <c r="P70" s="172">
        <v>0.96411198401220999</v>
      </c>
    </row>
    <row r="71" spans="2:16" x14ac:dyDescent="0.3">
      <c r="B71" s="172" t="s">
        <v>238</v>
      </c>
      <c r="C71" s="172">
        <v>10</v>
      </c>
      <c r="D71" s="172">
        <v>0.19081300446153099</v>
      </c>
      <c r="E71" s="172">
        <v>2.3357920110254299E-4</v>
      </c>
      <c r="F71" s="172">
        <v>1.8063711064146601E-2</v>
      </c>
      <c r="G71" s="172">
        <v>0</v>
      </c>
      <c r="H71" s="172">
        <v>0.96682510049854198</v>
      </c>
      <c r="I71" s="172">
        <v>0.97626258602289395</v>
      </c>
      <c r="J71" s="172">
        <v>0</v>
      </c>
      <c r="K71" s="172">
        <v>6.8441537603880401E-2</v>
      </c>
      <c r="L71" s="172">
        <v>8.8450100723689304E-4</v>
      </c>
      <c r="M71" s="172">
        <v>1.4903840417301699E-6</v>
      </c>
      <c r="N71" s="172">
        <v>0.92095209689816304</v>
      </c>
      <c r="O71" s="172">
        <v>0.87318082611998205</v>
      </c>
      <c r="P71" s="172">
        <v>0.96411347439625195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1128.4957799930401</v>
      </c>
      <c r="E6" s="172">
        <v>9.5341436270416301E-4</v>
      </c>
      <c r="F6" s="172">
        <v>1183636.2280009</v>
      </c>
      <c r="G6" s="172">
        <v>153.820749413285</v>
      </c>
      <c r="H6" s="172">
        <v>6.7218577021608303E-5</v>
      </c>
      <c r="I6" s="172">
        <v>2288366.6425107</v>
      </c>
    </row>
    <row r="7" spans="2:9" hidden="1" x14ac:dyDescent="0.3">
      <c r="B7" s="172" t="s">
        <v>187</v>
      </c>
      <c r="C7" s="172" t="s">
        <v>79</v>
      </c>
      <c r="D7" s="172">
        <v>13638.927190573</v>
      </c>
      <c r="E7" s="172">
        <v>1.14413710221999E-3</v>
      </c>
      <c r="F7" s="172">
        <v>11920710.5198399</v>
      </c>
      <c r="G7" s="172">
        <v>1162.2217181999599</v>
      </c>
      <c r="H7" s="172">
        <v>1.08158245877014E-4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28235.834701968899</v>
      </c>
      <c r="E8" s="172">
        <v>1.5569790502976001E-3</v>
      </c>
      <c r="F8" s="172">
        <v>18135012.604422599</v>
      </c>
      <c r="G8" s="172">
        <v>2389.6297029521802</v>
      </c>
      <c r="H8" s="172">
        <v>1.6332437226525501E-4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40651.381861551301</v>
      </c>
      <c r="E9" s="172">
        <v>1.9055546087315899E-3</v>
      </c>
      <c r="F9" s="172">
        <v>21333097.291087601</v>
      </c>
      <c r="G9" s="172">
        <v>3424.34540238101</v>
      </c>
      <c r="H9" s="172">
        <v>2.1354398807736199E-4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51203.041941819502</v>
      </c>
      <c r="E10" s="172">
        <v>2.1931973262285199E-3</v>
      </c>
      <c r="F10" s="172">
        <v>23346299.637283299</v>
      </c>
      <c r="G10" s="172">
        <v>4296.9429537225396</v>
      </c>
      <c r="H10" s="172">
        <v>2.6733448505048598E-4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60270.921942032197</v>
      </c>
      <c r="E11" s="172">
        <v>2.4516819933501602E-3</v>
      </c>
      <c r="F11" s="172">
        <v>24583499.044944901</v>
      </c>
      <c r="G11" s="172">
        <v>5049.3066113377799</v>
      </c>
      <c r="H11" s="172">
        <v>3.1274749823936198E-4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68113.471942225093</v>
      </c>
      <c r="E12" s="172">
        <v>2.6320673606037401E-3</v>
      </c>
      <c r="F12" s="172">
        <v>25878316.399395399</v>
      </c>
      <c r="G12" s="172">
        <v>5705.9869781039897</v>
      </c>
      <c r="H12" s="172">
        <v>3.4956705528173498E-4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74910.951942731394</v>
      </c>
      <c r="E13" s="172">
        <v>2.7450355249188699E-3</v>
      </c>
      <c r="F13" s="172">
        <v>27289611.1043755</v>
      </c>
      <c r="G13" s="172">
        <v>6276.5169779155804</v>
      </c>
      <c r="H13" s="172">
        <v>3.8368147147260599E-4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80628.906145129906</v>
      </c>
      <c r="E14" s="172">
        <v>2.8205637915885099E-3</v>
      </c>
      <c r="F14" s="172">
        <v>28586095.583294898</v>
      </c>
      <c r="G14" s="172">
        <v>6754.0969777480104</v>
      </c>
      <c r="H14" s="172">
        <v>4.0610329122637499E-4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85041.127011681994</v>
      </c>
      <c r="E15" s="172">
        <v>2.82479049843657E-3</v>
      </c>
      <c r="F15" s="172">
        <v>30105286.412832901</v>
      </c>
      <c r="G15" s="172">
        <v>7128.6869775708601</v>
      </c>
      <c r="H15" s="172">
        <v>4.2894351004806801E-4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87667.788174638205</v>
      </c>
      <c r="E16" s="172">
        <v>2.7672983512935E-3</v>
      </c>
      <c r="F16" s="172">
        <v>31679919.201216701</v>
      </c>
      <c r="G16" s="172">
        <v>7354.7969775351903</v>
      </c>
      <c r="H16" s="172">
        <v>3.9710998532878599E-4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1128.49999999428</v>
      </c>
      <c r="E17" s="172">
        <v>9.5677509129069699E-4</v>
      </c>
      <c r="F17" s="172">
        <v>1179483.0470261599</v>
      </c>
      <c r="G17" s="172">
        <v>153.820000009306</v>
      </c>
      <c r="H17" s="172">
        <v>1.83490564646899E-4</v>
      </c>
      <c r="I17" s="172">
        <v>838299.23519669799</v>
      </c>
    </row>
    <row r="18" spans="2:9" hidden="1" x14ac:dyDescent="0.3">
      <c r="B18" s="172" t="s">
        <v>187</v>
      </c>
      <c r="C18" s="172" t="s">
        <v>80</v>
      </c>
      <c r="D18" s="172">
        <v>13638.9300006371</v>
      </c>
      <c r="E18" s="172">
        <v>1.10635134395471E-3</v>
      </c>
      <c r="F18" s="172">
        <v>12327846.913335999</v>
      </c>
      <c r="G18" s="172">
        <v>1162.2199998462299</v>
      </c>
      <c r="H18" s="172">
        <v>1.7111313075071001E-4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28235.8400020962</v>
      </c>
      <c r="E19" s="172">
        <v>1.53306118542854E-3</v>
      </c>
      <c r="F19" s="172">
        <v>18417947.222506601</v>
      </c>
      <c r="G19" s="172">
        <v>2389.6299996767002</v>
      </c>
      <c r="H19" s="172">
        <v>2.0323523797451001E-4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40651.390001697102</v>
      </c>
      <c r="E20" s="172">
        <v>1.9032712367701499E-3</v>
      </c>
      <c r="F20" s="172">
        <v>21358695.080519699</v>
      </c>
      <c r="G20" s="172">
        <v>3424.34999928157</v>
      </c>
      <c r="H20" s="172">
        <v>2.3211439663949599E-4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51203.050002010998</v>
      </c>
      <c r="E21" s="172">
        <v>2.2113348583278798E-3</v>
      </c>
      <c r="F21" s="172">
        <v>23154815.205476701</v>
      </c>
      <c r="G21" s="172">
        <v>4296.9499991099001</v>
      </c>
      <c r="H21" s="172">
        <v>2.54223392527693E-4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60270.930002268004</v>
      </c>
      <c r="E22" s="172">
        <v>2.4684340310216699E-3</v>
      </c>
      <c r="F22" s="172">
        <v>24416666.293213502</v>
      </c>
      <c r="G22" s="172">
        <v>5049.3099989078401</v>
      </c>
      <c r="H22" s="172">
        <v>2.73969734160955E-4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68113.480002488897</v>
      </c>
      <c r="E23" s="172">
        <v>2.6131987586161501E-3</v>
      </c>
      <c r="F23" s="172">
        <v>26065173.870876599</v>
      </c>
      <c r="G23" s="172">
        <v>5705.9899987155204</v>
      </c>
      <c r="H23" s="172">
        <v>2.8105309571068099E-4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74910.960003053799</v>
      </c>
      <c r="E24" s="172">
        <v>2.7255525910424199E-3</v>
      </c>
      <c r="F24" s="172">
        <v>27484687.049976598</v>
      </c>
      <c r="G24" s="172">
        <v>6276.5199986016996</v>
      </c>
      <c r="H24" s="172">
        <v>2.8905740505154797E-4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80628.910002447898</v>
      </c>
      <c r="E25" s="172">
        <v>2.7970040787584E-3</v>
      </c>
      <c r="F25" s="172">
        <v>28826883.240813699</v>
      </c>
      <c r="G25" s="172">
        <v>6754.0999984844802</v>
      </c>
      <c r="H25" s="172">
        <v>2.8905866246259397E-4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85041.130002014295</v>
      </c>
      <c r="E26" s="172">
        <v>2.7339875856216998E-3</v>
      </c>
      <c r="F26" s="172">
        <v>31105163.187006999</v>
      </c>
      <c r="G26" s="172">
        <v>7128.68999837094</v>
      </c>
      <c r="H26" s="172">
        <v>3.12424619314541E-4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87667.790001976799</v>
      </c>
      <c r="E27" s="172">
        <v>2.7520334477351802E-3</v>
      </c>
      <c r="F27" s="172">
        <v>31855641.171121702</v>
      </c>
      <c r="G27" s="172">
        <v>7354.7999983453501</v>
      </c>
      <c r="H27" s="172">
        <v>2.49305134075789E-4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175.702512213689</v>
      </c>
      <c r="E28" s="172">
        <v>8.3269038407647998E-5</v>
      </c>
      <c r="F28" s="172">
        <v>2110058.1389390901</v>
      </c>
      <c r="G28" s="172">
        <v>1048.1870469732</v>
      </c>
      <c r="H28" s="172">
        <v>1.1611616440536799E-3</v>
      </c>
      <c r="I28" s="172">
        <v>902705.53832102194</v>
      </c>
    </row>
    <row r="29" spans="2:9" hidden="1" x14ac:dyDescent="0.3">
      <c r="B29" s="172" t="s">
        <v>187</v>
      </c>
      <c r="C29" s="172" t="s">
        <v>81</v>
      </c>
      <c r="D29" s="172">
        <v>1469.5402020475999</v>
      </c>
      <c r="E29" s="172">
        <v>1.10905366093437E-4</v>
      </c>
      <c r="F29" s="172">
        <v>13250397.6481131</v>
      </c>
      <c r="G29" s="172">
        <v>12859.035827023899</v>
      </c>
      <c r="H29" s="172">
        <v>1.3798931357484499E-3</v>
      </c>
      <c r="I29" s="172">
        <v>9318863.5365225095</v>
      </c>
    </row>
    <row r="30" spans="2:9" hidden="1" x14ac:dyDescent="0.3">
      <c r="B30" s="172" t="s">
        <v>185</v>
      </c>
      <c r="C30" s="172" t="s">
        <v>81</v>
      </c>
      <c r="D30" s="172">
        <v>2961.66672396904</v>
      </c>
      <c r="E30" s="172">
        <v>1.5626251067736501E-4</v>
      </c>
      <c r="F30" s="172">
        <v>18953149.486276899</v>
      </c>
      <c r="G30" s="172">
        <v>26801.6974869105</v>
      </c>
      <c r="H30" s="172">
        <v>1.8499684961526099E-3</v>
      </c>
      <c r="I30" s="172">
        <v>14487650.7587293</v>
      </c>
    </row>
    <row r="31" spans="2:9" hidden="1" x14ac:dyDescent="0.3">
      <c r="B31" s="172" t="s">
        <v>183</v>
      </c>
      <c r="C31" s="172" t="s">
        <v>81</v>
      </c>
      <c r="D31" s="172">
        <v>4202.1410546852103</v>
      </c>
      <c r="E31" s="172">
        <v>1.98154878977219E-4</v>
      </c>
      <c r="F31" s="172">
        <v>21206346.653560299</v>
      </c>
      <c r="G31" s="172">
        <v>38445.082294398802</v>
      </c>
      <c r="H31" s="172">
        <v>2.2443457699869401E-3</v>
      </c>
      <c r="I31" s="172">
        <v>17129750.151921801</v>
      </c>
    </row>
    <row r="32" spans="2:9" hidden="1" x14ac:dyDescent="0.3">
      <c r="B32" s="172" t="s">
        <v>181</v>
      </c>
      <c r="C32" s="172" t="s">
        <v>81</v>
      </c>
      <c r="D32" s="172">
        <v>5250.73844750223</v>
      </c>
      <c r="E32" s="172">
        <v>2.38122244076467E-4</v>
      </c>
      <c r="F32" s="172">
        <v>22050600.3874887</v>
      </c>
      <c r="G32" s="172">
        <v>48090.788674053903</v>
      </c>
      <c r="H32" s="172">
        <v>2.5012247292962699E-3</v>
      </c>
      <c r="I32" s="172">
        <v>19226896.3723161</v>
      </c>
    </row>
    <row r="33" spans="2:9" hidden="1" x14ac:dyDescent="0.3">
      <c r="B33" s="172" t="s">
        <v>179</v>
      </c>
      <c r="C33" s="172" t="s">
        <v>81</v>
      </c>
      <c r="D33" s="172">
        <v>6153.5411555456503</v>
      </c>
      <c r="E33" s="172">
        <v>2.6934378403562702E-4</v>
      </c>
      <c r="F33" s="172">
        <v>22846419.781240299</v>
      </c>
      <c r="G33" s="172">
        <v>56263.026294182797</v>
      </c>
      <c r="H33" s="172">
        <v>2.76131660703918E-3</v>
      </c>
      <c r="I33" s="172">
        <v>20375434.729489699</v>
      </c>
    </row>
    <row r="34" spans="2:9" hidden="1" x14ac:dyDescent="0.3">
      <c r="B34" s="172" t="s">
        <v>39</v>
      </c>
      <c r="C34" s="172" t="s">
        <v>81</v>
      </c>
      <c r="D34" s="172">
        <v>6940.4311554128999</v>
      </c>
      <c r="E34" s="172">
        <v>2.9707281276719399E-4</v>
      </c>
      <c r="F34" s="172">
        <v>23362727.4430255</v>
      </c>
      <c r="G34" s="172">
        <v>63397.043796316997</v>
      </c>
      <c r="H34" s="172">
        <v>2.96400280554344E-3</v>
      </c>
      <c r="I34" s="172">
        <v>21388995.880080901</v>
      </c>
    </row>
    <row r="35" spans="2:9" hidden="1" x14ac:dyDescent="0.3">
      <c r="B35" s="172" t="s">
        <v>26</v>
      </c>
      <c r="C35" s="172" t="s">
        <v>81</v>
      </c>
      <c r="D35" s="172">
        <v>7625.9126459126101</v>
      </c>
      <c r="E35" s="172">
        <v>3.0992700134184801E-4</v>
      </c>
      <c r="F35" s="172">
        <v>24605512.307400599</v>
      </c>
      <c r="G35" s="172">
        <v>69710.283796027405</v>
      </c>
      <c r="H35" s="172">
        <v>3.1018710009832898E-3</v>
      </c>
      <c r="I35" s="172">
        <v>22473624.3944153</v>
      </c>
    </row>
    <row r="36" spans="2:9" hidden="1" x14ac:dyDescent="0.3">
      <c r="B36" s="172" t="s">
        <v>25</v>
      </c>
      <c r="C36" s="172" t="s">
        <v>81</v>
      </c>
      <c r="D36" s="172">
        <v>8208.4409466596608</v>
      </c>
      <c r="E36" s="172">
        <v>3.2154719189538602E-4</v>
      </c>
      <c r="F36" s="172">
        <v>25527950.961954702</v>
      </c>
      <c r="G36" s="172">
        <v>75151.593795467794</v>
      </c>
      <c r="H36" s="172">
        <v>3.14967783684622E-3</v>
      </c>
      <c r="I36" s="172">
        <v>23860089.091117099</v>
      </c>
    </row>
    <row r="37" spans="2:9" hidden="1" x14ac:dyDescent="0.3">
      <c r="B37" s="172" t="s">
        <v>24</v>
      </c>
      <c r="C37" s="172" t="s">
        <v>81</v>
      </c>
      <c r="D37" s="172">
        <v>8674.0768788418209</v>
      </c>
      <c r="E37" s="172">
        <v>3.3391014839872699E-4</v>
      </c>
      <c r="F37" s="172">
        <v>25977278.379942998</v>
      </c>
      <c r="G37" s="172">
        <v>79481.824138630502</v>
      </c>
      <c r="H37" s="172">
        <v>3.0836219319244798E-3</v>
      </c>
      <c r="I37" s="172">
        <v>25775476.3370184</v>
      </c>
    </row>
    <row r="38" spans="2:9" hidden="1" x14ac:dyDescent="0.3">
      <c r="B38" s="172" t="s">
        <v>22</v>
      </c>
      <c r="C38" s="172" t="s">
        <v>81</v>
      </c>
      <c r="D38" s="172">
        <v>8972.2209756022603</v>
      </c>
      <c r="E38" s="172">
        <v>3.4720364403502998E-4</v>
      </c>
      <c r="F38" s="172">
        <v>25841379.057349499</v>
      </c>
      <c r="G38" s="172">
        <v>82105.906054582505</v>
      </c>
      <c r="H38" s="172">
        <v>2.8456645395188401E-3</v>
      </c>
      <c r="I38" s="172">
        <v>28852981.408857599</v>
      </c>
    </row>
    <row r="39" spans="2:9" x14ac:dyDescent="0.3">
      <c r="B39" s="172" t="s">
        <v>189</v>
      </c>
      <c r="C39" s="172" t="s">
        <v>82</v>
      </c>
      <c r="D39" s="172">
        <v>175.700000011773</v>
      </c>
      <c r="E39" s="172">
        <v>6.6470990750307606E-5</v>
      </c>
      <c r="F39" s="172">
        <v>2643258.3301153802</v>
      </c>
      <c r="G39" s="172">
        <v>1048.1899999787599</v>
      </c>
      <c r="H39" s="172">
        <v>1.0066885555405E-3</v>
      </c>
      <c r="I39" s="172">
        <v>1041225.70402718</v>
      </c>
    </row>
    <row r="40" spans="2:9" x14ac:dyDescent="0.3">
      <c r="B40" s="172" t="s">
        <v>187</v>
      </c>
      <c r="C40" s="172" t="s">
        <v>82</v>
      </c>
      <c r="D40" s="172">
        <v>1469.5399997580701</v>
      </c>
      <c r="E40" s="172">
        <v>1.1429984856129701E-4</v>
      </c>
      <c r="F40" s="172">
        <v>12856884.92378</v>
      </c>
      <c r="G40" s="172">
        <v>12859.039999959299</v>
      </c>
      <c r="H40" s="172">
        <v>1.29460589055589E-3</v>
      </c>
      <c r="I40" s="172">
        <v>9932783.4777869992</v>
      </c>
    </row>
    <row r="41" spans="2:9" x14ac:dyDescent="0.3">
      <c r="B41" s="172" t="s">
        <v>185</v>
      </c>
      <c r="C41" s="172" t="s">
        <v>82</v>
      </c>
      <c r="D41" s="172">
        <v>2961.6699995992299</v>
      </c>
      <c r="E41" s="172">
        <v>1.9993606751053601E-4</v>
      </c>
      <c r="F41" s="172">
        <v>14813085.185058801</v>
      </c>
      <c r="G41" s="172">
        <v>26801.699999737699</v>
      </c>
      <c r="H41" s="172">
        <v>1.7263916223737199E-3</v>
      </c>
      <c r="I41" s="172">
        <v>15524693.037427099</v>
      </c>
    </row>
    <row r="42" spans="2:9" x14ac:dyDescent="0.3">
      <c r="B42" s="172" t="s">
        <v>183</v>
      </c>
      <c r="C42" s="172" t="s">
        <v>82</v>
      </c>
      <c r="D42" s="172">
        <v>4202.1399992934003</v>
      </c>
      <c r="E42" s="172">
        <v>3.0635348504072599E-4</v>
      </c>
      <c r="F42" s="172">
        <v>13716638.4731507</v>
      </c>
      <c r="G42" s="172">
        <v>38445.079996988599</v>
      </c>
      <c r="H42" s="172">
        <v>2.1694238849310501E-3</v>
      </c>
      <c r="I42" s="172">
        <v>17721331.5774896</v>
      </c>
    </row>
    <row r="43" spans="2:9" x14ac:dyDescent="0.3">
      <c r="B43" s="172" t="s">
        <v>181</v>
      </c>
      <c r="C43" s="172" t="s">
        <v>82</v>
      </c>
      <c r="D43" s="172">
        <v>5250.7399990377899</v>
      </c>
      <c r="E43" s="172">
        <v>3.7914900070713201E-4</v>
      </c>
      <c r="F43" s="172">
        <v>13848750.726613799</v>
      </c>
      <c r="G43" s="172">
        <v>48090.789996523497</v>
      </c>
      <c r="H43" s="172">
        <v>2.53022882301951E-3</v>
      </c>
      <c r="I43" s="172">
        <v>19006498.3684492</v>
      </c>
    </row>
    <row r="44" spans="2:9" x14ac:dyDescent="0.3">
      <c r="B44" s="172" t="s">
        <v>179</v>
      </c>
      <c r="C44" s="172" t="s">
        <v>82</v>
      </c>
      <c r="D44" s="172">
        <v>6153.5399988254403</v>
      </c>
      <c r="E44" s="172">
        <v>4.4101343335274998E-4</v>
      </c>
      <c r="F44" s="172">
        <v>13953180.410047701</v>
      </c>
      <c r="G44" s="172">
        <v>56263.0299955433</v>
      </c>
      <c r="H44" s="172">
        <v>2.8178573282470298E-3</v>
      </c>
      <c r="I44" s="172">
        <v>19966599.9522212</v>
      </c>
    </row>
    <row r="45" spans="2:9" x14ac:dyDescent="0.3">
      <c r="B45" s="172" t="s">
        <v>39</v>
      </c>
      <c r="C45" s="172" t="s">
        <v>82</v>
      </c>
      <c r="D45" s="172">
        <v>6940.4299986558599</v>
      </c>
      <c r="E45" s="172">
        <v>4.9938225563643697E-4</v>
      </c>
      <c r="F45" s="172">
        <v>13898030.857765701</v>
      </c>
      <c r="G45" s="172">
        <v>63397.049994617802</v>
      </c>
      <c r="H45" s="172">
        <v>3.02771362838854E-3</v>
      </c>
      <c r="I45" s="172">
        <v>20938918.859496001</v>
      </c>
    </row>
    <row r="46" spans="2:9" x14ac:dyDescent="0.3">
      <c r="B46" s="172" t="s">
        <v>26</v>
      </c>
      <c r="C46" s="172" t="s">
        <v>82</v>
      </c>
      <c r="D46" s="172">
        <v>7625.9099984699096</v>
      </c>
      <c r="E46" s="172">
        <v>5.5712021163394499E-4</v>
      </c>
      <c r="F46" s="172">
        <v>13688087.129534099</v>
      </c>
      <c r="G46" s="172">
        <v>69710.289994227001</v>
      </c>
      <c r="H46" s="172">
        <v>3.1769256232033502E-3</v>
      </c>
      <c r="I46" s="172">
        <v>21942688.7066801</v>
      </c>
    </row>
    <row r="47" spans="2:9" x14ac:dyDescent="0.3">
      <c r="B47" s="172" t="s">
        <v>25</v>
      </c>
      <c r="C47" s="172" t="s">
        <v>82</v>
      </c>
      <c r="D47" s="172">
        <v>8208.43999832605</v>
      </c>
      <c r="E47" s="172">
        <v>6.1406412866463797E-4</v>
      </c>
      <c r="F47" s="172">
        <v>13367398.6399049</v>
      </c>
      <c r="G47" s="172">
        <v>75151.599993598196</v>
      </c>
      <c r="H47" s="172">
        <v>3.2454979851843E-3</v>
      </c>
      <c r="I47" s="172">
        <v>23155645.246635601</v>
      </c>
    </row>
    <row r="48" spans="2:9" x14ac:dyDescent="0.3">
      <c r="B48" s="172" t="s">
        <v>24</v>
      </c>
      <c r="C48" s="172" t="s">
        <v>82</v>
      </c>
      <c r="D48" s="172">
        <v>8674.0799981887994</v>
      </c>
      <c r="E48" s="172">
        <v>6.5395871610243001E-4</v>
      </c>
      <c r="F48" s="172">
        <v>13263956.553536</v>
      </c>
      <c r="G48" s="172">
        <v>79481.829992674306</v>
      </c>
      <c r="H48" s="172">
        <v>3.2038692519499698E-3</v>
      </c>
      <c r="I48" s="172">
        <v>24808075.4057924</v>
      </c>
    </row>
    <row r="49" spans="2:9" x14ac:dyDescent="0.3">
      <c r="B49" s="172" t="s">
        <v>22</v>
      </c>
      <c r="C49" s="172" t="s">
        <v>82</v>
      </c>
      <c r="D49" s="172">
        <v>8972.2199981403301</v>
      </c>
      <c r="E49" s="172">
        <v>6.1939775587037599E-4</v>
      </c>
      <c r="F49" s="172">
        <v>14485393.1308366</v>
      </c>
      <c r="G49" s="172">
        <v>82105.909992613102</v>
      </c>
      <c r="H49" s="172">
        <v>2.9518244068735999E-3</v>
      </c>
      <c r="I49" s="172">
        <v>27815309.678117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-6.4028427004814096E-10</v>
      </c>
      <c r="H6" s="172">
        <v>-1128.4957799927299</v>
      </c>
      <c r="I6" s="172">
        <v>-153.820749413116</v>
      </c>
      <c r="J6" s="172">
        <v>4112.5347839688302</v>
      </c>
      <c r="K6" s="172">
        <v>-3.9086671677068799E-9</v>
      </c>
      <c r="L6" s="172">
        <v>1.31262822833378E-8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-5.8207660913467397E-10</v>
      </c>
      <c r="H7" s="172">
        <v>-1128.4957799930401</v>
      </c>
      <c r="I7" s="172">
        <v>-153.820749413285</v>
      </c>
      <c r="J7" s="172">
        <v>4112.5347839682199</v>
      </c>
      <c r="K7" s="172">
        <v>461.46224823584498</v>
      </c>
      <c r="L7" s="172">
        <v>-3385.4873399671001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-6.7666405811905902E-10</v>
      </c>
      <c r="H8" s="172">
        <v>-1128.4999999942199</v>
      </c>
      <c r="I8" s="172">
        <v>-153.82000000949699</v>
      </c>
      <c r="J8" s="172">
        <v>3738.0849992946501</v>
      </c>
      <c r="K8" s="172">
        <v>-4.2059582483489099E-9</v>
      </c>
      <c r="L8" s="172">
        <v>1.41208147397265E-8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-5.60248736292124E-10</v>
      </c>
      <c r="H9" s="172">
        <v>-1128.49999999428</v>
      </c>
      <c r="I9" s="172">
        <v>-153.820000009306</v>
      </c>
      <c r="J9" s="172">
        <v>3738.0849993005199</v>
      </c>
      <c r="K9" s="172">
        <v>461.460000024777</v>
      </c>
      <c r="L9" s="172">
        <v>-3385.4999999718102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7.2759576141834298E-11</v>
      </c>
      <c r="H10" s="172">
        <v>-175.702512213668</v>
      </c>
      <c r="I10" s="172">
        <v>-1048.1870469744299</v>
      </c>
      <c r="J10" s="172">
        <v>-18564.151558445999</v>
      </c>
      <c r="K10" s="172">
        <v>-1.1186784831807001E-10</v>
      </c>
      <c r="L10" s="172">
        <v>-9.2768459580838701E-10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-4.3655745685100601E-11</v>
      </c>
      <c r="H11" s="172">
        <v>-175.702512213689</v>
      </c>
      <c r="I11" s="172">
        <v>-1048.1870469732</v>
      </c>
      <c r="J11" s="172">
        <v>-18564.151558419901</v>
      </c>
      <c r="K11" s="172">
        <v>3144.5611409213502</v>
      </c>
      <c r="L11" s="172">
        <v>-527.10753663954199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1.16415321826935E-10</v>
      </c>
      <c r="H12" s="172">
        <v>-175.700000011643</v>
      </c>
      <c r="I12" s="172">
        <v>-1048.1899999796101</v>
      </c>
      <c r="J12" s="172">
        <v>-18110.407502944799</v>
      </c>
      <c r="K12" s="172">
        <v>-1.45519152283669E-11</v>
      </c>
      <c r="L12" s="172">
        <v>-1.7334969015792E-9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8.7311491370201098E-11</v>
      </c>
      <c r="H13" s="172">
        <v>-175.700000011773</v>
      </c>
      <c r="I13" s="172">
        <v>-1048.1899999787599</v>
      </c>
      <c r="J13" s="172">
        <v>-18110.4075029261</v>
      </c>
      <c r="K13" s="172">
        <v>3144.56999993826</v>
      </c>
      <c r="L13" s="172">
        <v>-527.10000003615505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11865.5999999914</v>
      </c>
      <c r="H14" s="172">
        <v>-3.81589870812604E-10</v>
      </c>
      <c r="I14" s="172">
        <v>5.4899373935768401E-10</v>
      </c>
      <c r="J14" s="172">
        <v>1.1182237358298201E-8</v>
      </c>
      <c r="K14" s="172">
        <v>71193.599999949598</v>
      </c>
      <c r="L14" s="172">
        <v>-219513.59999984299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17697.5999999911</v>
      </c>
      <c r="H15" s="172">
        <v>-3.4748381949611898E-10</v>
      </c>
      <c r="I15" s="172">
        <v>5.0613380153663498E-10</v>
      </c>
      <c r="J15" s="172">
        <v>1.0005123840528501E-8</v>
      </c>
      <c r="K15" s="172">
        <v>106185.599999946</v>
      </c>
      <c r="L15" s="172">
        <v>-327405.599999837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-4.6354784899449402E-8</v>
      </c>
      <c r="H16" s="172">
        <v>-13638.927190644899</v>
      </c>
      <c r="I16" s="172">
        <v>-1162.22171820012</v>
      </c>
      <c r="J16" s="172">
        <v>93414.4941597008</v>
      </c>
      <c r="K16" s="172">
        <v>461.46224804070101</v>
      </c>
      <c r="L16" s="172">
        <v>-3385.4873391474098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-3.8400884250222602E-8</v>
      </c>
      <c r="H17" s="172">
        <v>-13638.927190573</v>
      </c>
      <c r="I17" s="172">
        <v>-1162.2217181999599</v>
      </c>
      <c r="J17" s="172">
        <v>93414.494159272406</v>
      </c>
      <c r="K17" s="172">
        <v>4529.2382617847197</v>
      </c>
      <c r="L17" s="172">
        <v>-51121.732506421598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-4.7385242396558202E-8</v>
      </c>
      <c r="H18" s="172">
        <v>-13638.930000710299</v>
      </c>
      <c r="I18" s="172">
        <v>-1162.2199998470101</v>
      </c>
      <c r="J18" s="172">
        <v>76392.038645280307</v>
      </c>
      <c r="K18" s="172">
        <v>461.45999982603598</v>
      </c>
      <c r="L18" s="172">
        <v>-3385.4999991362101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-3.9561399489684799E-8</v>
      </c>
      <c r="H19" s="172">
        <v>-13638.9300006371</v>
      </c>
      <c r="I19" s="172">
        <v>-1162.2199998462299</v>
      </c>
      <c r="J19" s="172">
        <v>76392.038644866203</v>
      </c>
      <c r="K19" s="172">
        <v>4529.2299993302304</v>
      </c>
      <c r="L19" s="172">
        <v>-51121.755001635298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1.0668145478121E-8</v>
      </c>
      <c r="H20" s="172">
        <v>-1469.54020205591</v>
      </c>
      <c r="I20" s="172">
        <v>-12859.035827026901</v>
      </c>
      <c r="J20" s="172">
        <v>-137111.07138488101</v>
      </c>
      <c r="K20" s="172">
        <v>3144.5611409616699</v>
      </c>
      <c r="L20" s="172">
        <v>-527.10753681549397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1.1864358384627799E-8</v>
      </c>
      <c r="H21" s="172">
        <v>-1469.5402020475999</v>
      </c>
      <c r="I21" s="172">
        <v>-12859.035827023899</v>
      </c>
      <c r="J21" s="172">
        <v>-137111.07138483899</v>
      </c>
      <c r="K21" s="172">
        <v>48151.186535565503</v>
      </c>
      <c r="L21" s="172">
        <v>-5670.4982440169697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1.0513076631468699E-8</v>
      </c>
      <c r="H22" s="172">
        <v>-1469.53999976257</v>
      </c>
      <c r="I22" s="172">
        <v>-12859.039999963599</v>
      </c>
      <c r="J22" s="172">
        <v>-113795.297122715</v>
      </c>
      <c r="K22" s="172">
        <v>3144.569999974</v>
      </c>
      <c r="L22" s="172">
        <v>-527.10000020614495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1.14275735541014E-8</v>
      </c>
      <c r="H23" s="172">
        <v>-1469.5399997580701</v>
      </c>
      <c r="I23" s="172">
        <v>-12859.039999959299</v>
      </c>
      <c r="J23" s="172">
        <v>-113795.29712264</v>
      </c>
      <c r="K23" s="172">
        <v>48151.209999850202</v>
      </c>
      <c r="L23" s="172">
        <v>-5670.4899993845002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280823.75624978502</v>
      </c>
      <c r="H24" s="172">
        <v>6.3386664805875599E-8</v>
      </c>
      <c r="I24" s="172">
        <v>-7.4539059369271904E-9</v>
      </c>
      <c r="J24" s="172">
        <v>-1.12906946014846E-7</v>
      </c>
      <c r="K24" s="172">
        <v>2061818.23359253</v>
      </c>
      <c r="L24" s="172">
        <v>-2540981.8769499902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342603.64764759102</v>
      </c>
      <c r="H25" s="172">
        <v>5.5265722664898898E-8</v>
      </c>
      <c r="I25" s="172">
        <v>-7.4410166917004997E-9</v>
      </c>
      <c r="J25" s="172">
        <v>-6.5707524754543596E-8</v>
      </c>
      <c r="K25" s="172">
        <v>2488284.9973537</v>
      </c>
      <c r="L25" s="172">
        <v>-3349591.5400130199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-1.7354025771965101E-7</v>
      </c>
      <c r="H26" s="172">
        <v>-28235.834702008498</v>
      </c>
      <c r="I26" s="172">
        <v>-2389.6297029459902</v>
      </c>
      <c r="J26" s="172">
        <v>198046.49519965201</v>
      </c>
      <c r="K26" s="172">
        <v>4529.2382606461297</v>
      </c>
      <c r="L26" s="172">
        <v>-51121.732504047803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-1.72347760951652E-7</v>
      </c>
      <c r="H27" s="172">
        <v>-28235.834701968899</v>
      </c>
      <c r="I27" s="172">
        <v>-2389.6297029521802</v>
      </c>
      <c r="J27" s="172">
        <v>198046.49519923201</v>
      </c>
      <c r="K27" s="172">
        <v>12892.9422209859</v>
      </c>
      <c r="L27" s="172">
        <v>-149947.15396107099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-1.66606298535044E-7</v>
      </c>
      <c r="H28" s="172">
        <v>-28235.8400021325</v>
      </c>
      <c r="I28" s="172">
        <v>-2389.6299996759899</v>
      </c>
      <c r="J28" s="172">
        <v>161706.234143546</v>
      </c>
      <c r="K28" s="172">
        <v>4529.2299982386103</v>
      </c>
      <c r="L28" s="172">
        <v>-51121.754999400597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-1.6400156255258501E-7</v>
      </c>
      <c r="H29" s="172">
        <v>-28235.8400020962</v>
      </c>
      <c r="I29" s="172">
        <v>-2389.6299996767002</v>
      </c>
      <c r="J29" s="172">
        <v>161706.234143259</v>
      </c>
      <c r="K29" s="172">
        <v>12892.9349971356</v>
      </c>
      <c r="L29" s="172">
        <v>-149947.19500688699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1.95771008293377E-8</v>
      </c>
      <c r="H30" s="172">
        <v>-2961.6667239684898</v>
      </c>
      <c r="I30" s="172">
        <v>-26801.697486934001</v>
      </c>
      <c r="J30" s="172">
        <v>-274757.21008451702</v>
      </c>
      <c r="K30" s="172">
        <v>48151.186535540401</v>
      </c>
      <c r="L30" s="172">
        <v>-5670.4982441517895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2.44267539528664E-8</v>
      </c>
      <c r="H31" s="172">
        <v>-2961.66672396904</v>
      </c>
      <c r="I31" s="172">
        <v>-26801.6974869105</v>
      </c>
      <c r="J31" s="172">
        <v>-274757.21008403302</v>
      </c>
      <c r="K31" s="172">
        <v>141957.127739794</v>
      </c>
      <c r="L31" s="172">
        <v>-16036.331778138599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1.1751581041608001E-8</v>
      </c>
      <c r="H32" s="172">
        <v>-2961.66999960066</v>
      </c>
      <c r="I32" s="172">
        <v>-26801.699999752698</v>
      </c>
      <c r="J32" s="172">
        <v>-224399.998923159</v>
      </c>
      <c r="K32" s="172">
        <v>48151.209999785002</v>
      </c>
      <c r="L32" s="172">
        <v>-5670.4899993939198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1.4613533494412001E-8</v>
      </c>
      <c r="H33" s="172">
        <v>-2961.6699995992299</v>
      </c>
      <c r="I33" s="172">
        <v>-26801.699999737699</v>
      </c>
      <c r="J33" s="172">
        <v>-224399.99892285501</v>
      </c>
      <c r="K33" s="172">
        <v>141957.15999891399</v>
      </c>
      <c r="L33" s="172">
        <v>-16036.334998050999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600566.20389744802</v>
      </c>
      <c r="H34" s="172">
        <v>1.8285741987256201E-7</v>
      </c>
      <c r="I34" s="172">
        <v>-1.34407400764758E-8</v>
      </c>
      <c r="J34" s="172">
        <v>-5.06240382946999E-7</v>
      </c>
      <c r="K34" s="172">
        <v>4405190.6309468998</v>
      </c>
      <c r="L34" s="172">
        <v>-5521988.1069643702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662346.09529525798</v>
      </c>
      <c r="H35" s="172">
        <v>1.8180662664235601E-7</v>
      </c>
      <c r="I35" s="172">
        <v>-1.54116435169271E-8</v>
      </c>
      <c r="J35" s="172">
        <v>-5.3206031225272497E-7</v>
      </c>
      <c r="K35" s="172">
        <v>4831657.3947081203</v>
      </c>
      <c r="L35" s="172">
        <v>-6330597.7700270303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-1.0002304406953001E-7</v>
      </c>
      <c r="H36" s="172">
        <v>-40651.381861515598</v>
      </c>
      <c r="I36" s="172">
        <v>-3424.3454023783402</v>
      </c>
      <c r="J36" s="172">
        <v>287141.80840084201</v>
      </c>
      <c r="K36" s="172">
        <v>12892.942221249999</v>
      </c>
      <c r="L36" s="172">
        <v>-149947.15396229899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-9.8716213869920506E-8</v>
      </c>
      <c r="H37" s="172">
        <v>-40651.381861551301</v>
      </c>
      <c r="I37" s="172">
        <v>-3424.34540238101</v>
      </c>
      <c r="J37" s="172">
        <v>287141.808400938</v>
      </c>
      <c r="K37" s="172">
        <v>24878.151129593702</v>
      </c>
      <c r="L37" s="172">
        <v>-292226.99047770503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-8.4393263932724896E-8</v>
      </c>
      <c r="H38" s="172">
        <v>-40651.390001655498</v>
      </c>
      <c r="I38" s="172">
        <v>-3424.3499992729098</v>
      </c>
      <c r="J38" s="172">
        <v>234351.11109504601</v>
      </c>
      <c r="K38" s="172">
        <v>12892.934997439201</v>
      </c>
      <c r="L38" s="172">
        <v>-149947.195008243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-8.7023423134269304E-8</v>
      </c>
      <c r="H39" s="172">
        <v>-40651.390001697102</v>
      </c>
      <c r="I39" s="172">
        <v>-3424.34999928157</v>
      </c>
      <c r="J39" s="172">
        <v>234351.11109506499</v>
      </c>
      <c r="K39" s="172">
        <v>24878.1599949023</v>
      </c>
      <c r="L39" s="172">
        <v>-292227.06001406797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6.1808805185137303E-8</v>
      </c>
      <c r="H40" s="172">
        <v>-4202.1410546796196</v>
      </c>
      <c r="I40" s="172">
        <v>-38445.0822943495</v>
      </c>
      <c r="J40" s="172">
        <v>-389749.28498754703</v>
      </c>
      <c r="K40" s="172">
        <v>141957.12773998699</v>
      </c>
      <c r="L40" s="172">
        <v>-16036.331778767601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5.39121174369939E-8</v>
      </c>
      <c r="H41" s="172">
        <v>-4202.1410546852103</v>
      </c>
      <c r="I41" s="172">
        <v>-38445.082294398802</v>
      </c>
      <c r="J41" s="172">
        <v>-389749.28498848202</v>
      </c>
      <c r="K41" s="172">
        <v>276514.91577028303</v>
      </c>
      <c r="L41" s="172">
        <v>-30743.8254699957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4.0620534491608897E-8</v>
      </c>
      <c r="H42" s="172">
        <v>-4202.1399992882598</v>
      </c>
      <c r="I42" s="172">
        <v>-38445.079996947898</v>
      </c>
      <c r="J42" s="172">
        <v>-316801.66413265199</v>
      </c>
      <c r="K42" s="172">
        <v>141957.15999904499</v>
      </c>
      <c r="L42" s="172">
        <v>-16036.3349984831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3.3999185689026503E-8</v>
      </c>
      <c r="H43" s="172">
        <v>-4202.1399992934003</v>
      </c>
      <c r="I43" s="172">
        <v>-38445.079996988599</v>
      </c>
      <c r="J43" s="172">
        <v>-316801.66413341602</v>
      </c>
      <c r="K43" s="172">
        <v>276514.93998842197</v>
      </c>
      <c r="L43" s="172">
        <v>-30743.824995864899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920308.65154527698</v>
      </c>
      <c r="H44" s="172">
        <v>1.3656203634582201E-7</v>
      </c>
      <c r="I44" s="172">
        <v>-5.20037914952809E-8</v>
      </c>
      <c r="J44" s="172">
        <v>-2.27019654630567E-7</v>
      </c>
      <c r="K44" s="172">
        <v>6748563.0283023799</v>
      </c>
      <c r="L44" s="172">
        <v>-8502994.3369811103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982088.54294308403</v>
      </c>
      <c r="H45" s="172">
        <v>1.3862680248166699E-7</v>
      </c>
      <c r="I45" s="172">
        <v>-4.8653106432539101E-8</v>
      </c>
      <c r="J45" s="172">
        <v>-1.67392272487632E-7</v>
      </c>
      <c r="K45" s="172">
        <v>7175029.7920637</v>
      </c>
      <c r="L45" s="172">
        <v>-9311604.0000438802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-5.3902454055787497E-8</v>
      </c>
      <c r="H46" s="172">
        <v>-51203.041941886499</v>
      </c>
      <c r="I46" s="172">
        <v>-4296.9429537248097</v>
      </c>
      <c r="J46" s="172">
        <v>362934.46890201699</v>
      </c>
      <c r="K46" s="172">
        <v>24878.151129728201</v>
      </c>
      <c r="L46" s="172">
        <v>-292226.99047845497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-5.6905150813690899E-8</v>
      </c>
      <c r="H47" s="172">
        <v>-51203.041941819502</v>
      </c>
      <c r="I47" s="172">
        <v>-4296.9429537225396</v>
      </c>
      <c r="J47" s="172">
        <v>362934.46890159702</v>
      </c>
      <c r="K47" s="172">
        <v>39917.451467742598</v>
      </c>
      <c r="L47" s="172">
        <v>-471437.63727491599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-3.6685719351225998E-8</v>
      </c>
      <c r="H48" s="172">
        <v>-51203.050002078096</v>
      </c>
      <c r="I48" s="172">
        <v>-4296.9499991152998</v>
      </c>
      <c r="J48" s="172">
        <v>296148.71466087998</v>
      </c>
      <c r="K48" s="172">
        <v>24878.159995066399</v>
      </c>
      <c r="L48" s="172">
        <v>-292227.06001491402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-3.6378708045958801E-8</v>
      </c>
      <c r="H49" s="172">
        <v>-51203.050002010998</v>
      </c>
      <c r="I49" s="172">
        <v>-4296.9499991099001</v>
      </c>
      <c r="J49" s="172">
        <v>296148.71466051799</v>
      </c>
      <c r="K49" s="172">
        <v>39917.484991962701</v>
      </c>
      <c r="L49" s="172">
        <v>-471437.73502211098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6.5892891143448704E-8</v>
      </c>
      <c r="H50" s="172">
        <v>-5250.7384475128401</v>
      </c>
      <c r="I50" s="172">
        <v>-48090.788674065501</v>
      </c>
      <c r="J50" s="172">
        <v>-484842.82938294503</v>
      </c>
      <c r="K50" s="172">
        <v>276514.91577030101</v>
      </c>
      <c r="L50" s="172">
        <v>-30743.825470198099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6.5059339249273802E-8</v>
      </c>
      <c r="H51" s="172">
        <v>-5250.73844750223</v>
      </c>
      <c r="I51" s="172">
        <v>-48090.788674053903</v>
      </c>
      <c r="J51" s="172">
        <v>-484842.82938274601</v>
      </c>
      <c r="K51" s="172">
        <v>444832.67612951301</v>
      </c>
      <c r="L51" s="172">
        <v>-49121.410036459602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4.0553004510002198E-8</v>
      </c>
      <c r="H52" s="172">
        <v>-5250.7399990479498</v>
      </c>
      <c r="I52" s="172">
        <v>-48090.789996533596</v>
      </c>
      <c r="J52" s="172">
        <v>-393212.13534694398</v>
      </c>
      <c r="K52" s="172">
        <v>276514.93998842</v>
      </c>
      <c r="L52" s="172">
        <v>-30743.824995972798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4.0037775761447801E-8</v>
      </c>
      <c r="H53" s="172">
        <v>-5250.7399990377899</v>
      </c>
      <c r="I53" s="172">
        <v>-48090.789996523497</v>
      </c>
      <c r="J53" s="172">
        <v>-393212.13534678402</v>
      </c>
      <c r="K53" s="172">
        <v>444832.70497627102</v>
      </c>
      <c r="L53" s="172">
        <v>-49121.414992613099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1240051.0991928501</v>
      </c>
      <c r="H54" s="172">
        <v>1.41958185650992E-7</v>
      </c>
      <c r="I54" s="172">
        <v>-5.3023029522592002E-8</v>
      </c>
      <c r="J54" s="172">
        <v>8.2491482089608299E-8</v>
      </c>
      <c r="K54" s="172">
        <v>9091935.4256560206</v>
      </c>
      <c r="L54" s="172">
        <v>-11484000.5669936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1301830.9905906599</v>
      </c>
      <c r="H55" s="172">
        <v>1.4024664096723401E-7</v>
      </c>
      <c r="I55" s="172">
        <v>-5.4138865834829597E-8</v>
      </c>
      <c r="J55" s="172">
        <v>7.3338469519512701E-8</v>
      </c>
      <c r="K55" s="172">
        <v>9518402.1894173808</v>
      </c>
      <c r="L55" s="172">
        <v>-12292610.230056399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1.25602923617407E-7</v>
      </c>
      <c r="H56" s="172">
        <v>-60270.921942084402</v>
      </c>
      <c r="I56" s="172">
        <v>-5049.3066113370696</v>
      </c>
      <c r="J56" s="172">
        <v>428042.593657444</v>
      </c>
      <c r="K56" s="172">
        <v>39917.451468853003</v>
      </c>
      <c r="L56" s="172">
        <v>-471437.63727806997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1.2399482329783501E-7</v>
      </c>
      <c r="H57" s="172">
        <v>-60270.921942032197</v>
      </c>
      <c r="I57" s="172">
        <v>-5049.3066113377799</v>
      </c>
      <c r="J57" s="172">
        <v>428042.59365712001</v>
      </c>
      <c r="K57" s="172">
        <v>57590.024608520602</v>
      </c>
      <c r="L57" s="172">
        <v>-682385.86407525698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1.45266426443413E-7</v>
      </c>
      <c r="H58" s="172">
        <v>-60270.930002319699</v>
      </c>
      <c r="I58" s="172">
        <v>-5049.3099989043303</v>
      </c>
      <c r="J58" s="172">
        <v>349235.01468440902</v>
      </c>
      <c r="K58" s="172">
        <v>39917.484993058701</v>
      </c>
      <c r="L58" s="172">
        <v>-471437.73502524802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1.4494555244937101E-7</v>
      </c>
      <c r="H59" s="172">
        <v>-60270.930002268004</v>
      </c>
      <c r="I59" s="172">
        <v>-5049.3099989078401</v>
      </c>
      <c r="J59" s="172">
        <v>349235.01468403498</v>
      </c>
      <c r="K59" s="172">
        <v>57590.069989220101</v>
      </c>
      <c r="L59" s="172">
        <v>-682385.99003328197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7.5327079684939196E-8</v>
      </c>
      <c r="H60" s="172">
        <v>-6153.5411555512701</v>
      </c>
      <c r="I60" s="172">
        <v>-56263.026294165596</v>
      </c>
      <c r="J60" s="172">
        <v>-565293.85235473898</v>
      </c>
      <c r="K60" s="172">
        <v>444832.67612956901</v>
      </c>
      <c r="L60" s="172">
        <v>-49121.410036637899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7.7423919719876695E-8</v>
      </c>
      <c r="H61" s="172">
        <v>-6153.5411555456503</v>
      </c>
      <c r="I61" s="172">
        <v>-56263.026294182797</v>
      </c>
      <c r="J61" s="172">
        <v>-565293.85235511605</v>
      </c>
      <c r="K61" s="172">
        <v>641753.26815918298</v>
      </c>
      <c r="L61" s="172">
        <v>-70658.804081096998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4.65051925857551E-8</v>
      </c>
      <c r="H62" s="172">
        <v>-6153.5399988292202</v>
      </c>
      <c r="I62" s="172">
        <v>-56263.0299955265</v>
      </c>
      <c r="J62" s="172">
        <v>-457855.70171275898</v>
      </c>
      <c r="K62" s="172">
        <v>444832.70497631602</v>
      </c>
      <c r="L62" s="172">
        <v>-49121.414992725397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4.8459696699865202E-8</v>
      </c>
      <c r="H63" s="172">
        <v>-6153.5399988254403</v>
      </c>
      <c r="I63" s="172">
        <v>-56263.0299955433</v>
      </c>
      <c r="J63" s="172">
        <v>-457855.70171311399</v>
      </c>
      <c r="K63" s="172">
        <v>641753.30996069498</v>
      </c>
      <c r="L63" s="172">
        <v>-70658.8049886589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1559793.5468405599</v>
      </c>
      <c r="H64" s="172">
        <v>9.2986162769648204E-8</v>
      </c>
      <c r="I64" s="172">
        <v>-6.4886194195423701E-8</v>
      </c>
      <c r="J64" s="172">
        <v>5.3550542133962196E-7</v>
      </c>
      <c r="K64" s="172">
        <v>11435307.8230104</v>
      </c>
      <c r="L64" s="172">
        <v>-14465006.7970085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1621573.43823837</v>
      </c>
      <c r="H65" s="172">
        <v>9.2419668362708802E-8</v>
      </c>
      <c r="I65" s="172">
        <v>-6.5496692513988806E-8</v>
      </c>
      <c r="J65" s="172">
        <v>5.2724954002769696E-7</v>
      </c>
      <c r="K65" s="172">
        <v>11861774.586771701</v>
      </c>
      <c r="L65" s="172">
        <v>-15273616.4600715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-2.0709762793558201E-9</v>
      </c>
      <c r="H66" s="172">
        <v>-68113.471942231001</v>
      </c>
      <c r="I66" s="172">
        <v>-5705.9869781002899</v>
      </c>
      <c r="J66" s="172">
        <v>484288.51916908199</v>
      </c>
      <c r="K66" s="172">
        <v>57590.024607598003</v>
      </c>
      <c r="L66" s="172">
        <v>-682385.86407304602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7.20865500625223E-9</v>
      </c>
      <c r="H67" s="172">
        <v>-68113.471942225093</v>
      </c>
      <c r="I67" s="172">
        <v>-5705.9869781039897</v>
      </c>
      <c r="J67" s="172">
        <v>484288.51916899398</v>
      </c>
      <c r="K67" s="172">
        <v>77560.9790309979</v>
      </c>
      <c r="L67" s="172">
        <v>-920783.01587102003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2.30270416068379E-8</v>
      </c>
      <c r="H68" s="172">
        <v>-68113.480002494995</v>
      </c>
      <c r="I68" s="172">
        <v>-5705.9899987122099</v>
      </c>
      <c r="J68" s="172">
        <v>395096.14713425498</v>
      </c>
      <c r="K68" s="172">
        <v>57590.069988323099</v>
      </c>
      <c r="L68" s="172">
        <v>-682385.99003114202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3.16365813546327E-8</v>
      </c>
      <c r="H69" s="172">
        <v>-68113.480002488897</v>
      </c>
      <c r="I69" s="172">
        <v>-5705.9899987155204</v>
      </c>
      <c r="J69" s="172">
        <v>395096.14713418199</v>
      </c>
      <c r="K69" s="172">
        <v>77561.034983860503</v>
      </c>
      <c r="L69" s="172">
        <v>-920783.17004002305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7.9972778621595406E-8</v>
      </c>
      <c r="H70" s="172">
        <v>-6940.4311554113401</v>
      </c>
      <c r="I70" s="172">
        <v>-63397.043796312799</v>
      </c>
      <c r="J70" s="172">
        <v>-635534.02454204694</v>
      </c>
      <c r="K70" s="172">
        <v>641753.26815913001</v>
      </c>
      <c r="L70" s="172">
        <v>-70658.804081138296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8.2569385995157103E-8</v>
      </c>
      <c r="H71" s="172">
        <v>-6940.4311554128999</v>
      </c>
      <c r="I71" s="172">
        <v>-63397.043796316997</v>
      </c>
      <c r="J71" s="172">
        <v>-635534.02454207605</v>
      </c>
      <c r="K71" s="172">
        <v>863642.92144625902</v>
      </c>
      <c r="L71" s="172">
        <v>-94950.313125128101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4.6502464101649801E-8</v>
      </c>
      <c r="H72" s="172">
        <v>-6940.42999865405</v>
      </c>
      <c r="I72" s="172">
        <v>-63397.049994613197</v>
      </c>
      <c r="J72" s="172">
        <v>-514294.79370532499</v>
      </c>
      <c r="K72" s="172">
        <v>641753.30996061501</v>
      </c>
      <c r="L72" s="172">
        <v>-70658.804988621996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4.8517904360778603E-8</v>
      </c>
      <c r="H73" s="172">
        <v>-6940.4299986558599</v>
      </c>
      <c r="I73" s="172">
        <v>-63397.049994617802</v>
      </c>
      <c r="J73" s="172">
        <v>-514294.793705369</v>
      </c>
      <c r="K73" s="172">
        <v>863642.98494179395</v>
      </c>
      <c r="L73" s="172">
        <v>-94950.309983950705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1879535.9944881599</v>
      </c>
      <c r="H74" s="172">
        <v>1.42099963795772E-7</v>
      </c>
      <c r="I74" s="172">
        <v>-7.6592435505062895E-8</v>
      </c>
      <c r="J74" s="172">
        <v>2.0608013073797301E-7</v>
      </c>
      <c r="K74" s="172">
        <v>13778680.220364301</v>
      </c>
      <c r="L74" s="172">
        <v>-17446013.027021501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1941315.88588597</v>
      </c>
      <c r="H75" s="172">
        <v>1.3993798120282E-7</v>
      </c>
      <c r="I75" s="172">
        <v>-7.7393309538820203E-8</v>
      </c>
      <c r="J75" s="172">
        <v>1.9866911316057699E-7</v>
      </c>
      <c r="K75" s="172">
        <v>14205146.9841257</v>
      </c>
      <c r="L75" s="172">
        <v>-18254622.690084301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-3.1810714062885402E-9</v>
      </c>
      <c r="H76" s="172">
        <v>-74910.951942749598</v>
      </c>
      <c r="I76" s="172">
        <v>-6276.51697791468</v>
      </c>
      <c r="J76" s="172">
        <v>532836.45572577405</v>
      </c>
      <c r="K76" s="172">
        <v>77560.979030952207</v>
      </c>
      <c r="L76" s="172">
        <v>-920783.01587082597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7.8869106800993904E-9</v>
      </c>
      <c r="H77" s="172">
        <v>-74910.951942731394</v>
      </c>
      <c r="I77" s="172">
        <v>-6276.5169779155804</v>
      </c>
      <c r="J77" s="172">
        <v>532836.455725612</v>
      </c>
      <c r="K77" s="172">
        <v>99528.788453718196</v>
      </c>
      <c r="L77" s="172">
        <v>-1182971.3476706401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2.5461986297159499E-8</v>
      </c>
      <c r="H78" s="172">
        <v>-74910.960003074506</v>
      </c>
      <c r="I78" s="172">
        <v>-6276.5199986006901</v>
      </c>
      <c r="J78" s="172">
        <v>434645.97669092001</v>
      </c>
      <c r="K78" s="172">
        <v>77561.034983837206</v>
      </c>
      <c r="L78" s="172">
        <v>-920783.17003990104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3.8350918885043899E-8</v>
      </c>
      <c r="H79" s="172">
        <v>-74910.960003053799</v>
      </c>
      <c r="I79" s="172">
        <v>-6276.5199986016996</v>
      </c>
      <c r="J79" s="172">
        <v>434645.97669074498</v>
      </c>
      <c r="K79" s="172">
        <v>99528.854979017793</v>
      </c>
      <c r="L79" s="172">
        <v>-1182971.53005088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1.1216525308555E-7</v>
      </c>
      <c r="H80" s="172">
        <v>-7625.91264591447</v>
      </c>
      <c r="I80" s="172">
        <v>-69710.283796027201</v>
      </c>
      <c r="J80" s="172">
        <v>-698541.15220034798</v>
      </c>
      <c r="K80" s="172">
        <v>863642.92144640395</v>
      </c>
      <c r="L80" s="172">
        <v>-94950.3131256341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1.1451993486844001E-7</v>
      </c>
      <c r="H81" s="172">
        <v>-7625.9126459126101</v>
      </c>
      <c r="I81" s="172">
        <v>-69710.283796027405</v>
      </c>
      <c r="J81" s="172">
        <v>-698541.15220034495</v>
      </c>
      <c r="K81" s="172">
        <v>1107628.91473251</v>
      </c>
      <c r="L81" s="172">
        <v>-121641.007386379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7.2857801569625696E-8</v>
      </c>
      <c r="H82" s="172">
        <v>-7625.9099984718896</v>
      </c>
      <c r="I82" s="172">
        <v>-69710.289994226594</v>
      </c>
      <c r="J82" s="172">
        <v>-565072.34936755802</v>
      </c>
      <c r="K82" s="172">
        <v>863642.98494191095</v>
      </c>
      <c r="L82" s="172">
        <v>-94950.309984365798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7.4845047492999597E-8</v>
      </c>
      <c r="H83" s="172">
        <v>-7625.9099984699096</v>
      </c>
      <c r="I83" s="172">
        <v>-69710.289994227001</v>
      </c>
      <c r="J83" s="172">
        <v>-565072.34936756396</v>
      </c>
      <c r="K83" s="172">
        <v>1107628.99992172</v>
      </c>
      <c r="L83" s="172">
        <v>-121640.994979054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2200588.8421358098</v>
      </c>
      <c r="H84" s="172">
        <v>1.55196971718397E-7</v>
      </c>
      <c r="I84" s="172">
        <v>-7.6568095863649406E-8</v>
      </c>
      <c r="J84" s="172">
        <v>1.8216132957604701E-7</v>
      </c>
      <c r="K84" s="172">
        <v>16129915.017718701</v>
      </c>
      <c r="L84" s="172">
        <v>-20451261.657035202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2262368.7335336199</v>
      </c>
      <c r="H85" s="172">
        <v>1.50572418533557E-7</v>
      </c>
      <c r="I85" s="172">
        <v>-7.7382026120176306E-8</v>
      </c>
      <c r="J85" s="172">
        <v>1.9295794118079399E-7</v>
      </c>
      <c r="K85" s="172">
        <v>16556381.7814801</v>
      </c>
      <c r="L85" s="172">
        <v>-21259871.320098002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-3.3941319088626201E-8</v>
      </c>
      <c r="H86" s="172">
        <v>-80628.906145138099</v>
      </c>
      <c r="I86" s="172">
        <v>-6754.0969777498904</v>
      </c>
      <c r="J86" s="172">
        <v>573699.79401647695</v>
      </c>
      <c r="K86" s="172">
        <v>99528.788453305795</v>
      </c>
      <c r="L86" s="172">
        <v>-1182971.3476698899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-3.02394482787349E-8</v>
      </c>
      <c r="H87" s="172">
        <v>-80628.906145129906</v>
      </c>
      <c r="I87" s="172">
        <v>-6754.0969777480104</v>
      </c>
      <c r="J87" s="172">
        <v>573699.79401645099</v>
      </c>
      <c r="K87" s="172">
        <v>123168.127875458</v>
      </c>
      <c r="L87" s="172">
        <v>-1465172.51917794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-2.1293544705258699E-9</v>
      </c>
      <c r="H88" s="172">
        <v>-80628.910002454402</v>
      </c>
      <c r="I88" s="172">
        <v>-6754.0999984869404</v>
      </c>
      <c r="J88" s="172">
        <v>467935.27413355501</v>
      </c>
      <c r="K88" s="172">
        <v>99528.854978608302</v>
      </c>
      <c r="L88" s="172">
        <v>-1182971.5300501599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2.37429276239709E-9</v>
      </c>
      <c r="H89" s="172">
        <v>-80628.910002447898</v>
      </c>
      <c r="I89" s="172">
        <v>-6754.0999984844802</v>
      </c>
      <c r="J89" s="172">
        <v>467935.27413354901</v>
      </c>
      <c r="K89" s="172">
        <v>123168.20497334099</v>
      </c>
      <c r="L89" s="172">
        <v>-1465172.7150588401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1.1807060218416199E-7</v>
      </c>
      <c r="H90" s="172">
        <v>-8208.4409466616107</v>
      </c>
      <c r="I90" s="172">
        <v>-75151.593795468798</v>
      </c>
      <c r="J90" s="172">
        <v>-752912.96448190603</v>
      </c>
      <c r="K90" s="172">
        <v>1107628.91473249</v>
      </c>
      <c r="L90" s="172">
        <v>-121641.00738643399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1.20119693747256E-7</v>
      </c>
      <c r="H91" s="172">
        <v>-8208.4409466596608</v>
      </c>
      <c r="I91" s="172">
        <v>-75151.593795467794</v>
      </c>
      <c r="J91" s="172">
        <v>-752912.96448190405</v>
      </c>
      <c r="K91" s="172">
        <v>1370659.4930166299</v>
      </c>
      <c r="L91" s="172">
        <v>-150370.550699788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7.3481714935042004E-8</v>
      </c>
      <c r="H92" s="172">
        <v>-8208.4399983275707</v>
      </c>
      <c r="I92" s="172">
        <v>-75151.599993599506</v>
      </c>
      <c r="J92" s="172">
        <v>-608891.19196490699</v>
      </c>
      <c r="K92" s="172">
        <v>1107628.99992167</v>
      </c>
      <c r="L92" s="172">
        <v>-121640.99497902099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7.5269781518727501E-8</v>
      </c>
      <c r="H93" s="172">
        <v>-8208.43999832605</v>
      </c>
      <c r="I93" s="172">
        <v>-75151.599993598196</v>
      </c>
      <c r="J93" s="172">
        <v>-608891.19196489896</v>
      </c>
      <c r="K93" s="172">
        <v>1370659.5998992701</v>
      </c>
      <c r="L93" s="172">
        <v>-150370.53497320099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2521641.6897834698</v>
      </c>
      <c r="H94" s="172">
        <v>1.7132208540715499E-7</v>
      </c>
      <c r="I94" s="172">
        <v>-8.0571490812530997E-8</v>
      </c>
      <c r="J94" s="172">
        <v>1.9635990611277501E-8</v>
      </c>
      <c r="K94" s="172">
        <v>18481149.815072998</v>
      </c>
      <c r="L94" s="172">
        <v>-23456510.2870491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2583421.5811812798</v>
      </c>
      <c r="H95" s="172">
        <v>1.6986678019748101E-7</v>
      </c>
      <c r="I95" s="172">
        <v>-8.1490327374922305E-8</v>
      </c>
      <c r="J95" s="172">
        <v>1.2977125152247E-8</v>
      </c>
      <c r="K95" s="172">
        <v>18907616.5788344</v>
      </c>
      <c r="L95" s="172">
        <v>-24265119.950111799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-3.7794734453200402E-8</v>
      </c>
      <c r="H96" s="172">
        <v>-85041.127011688804</v>
      </c>
      <c r="I96" s="172">
        <v>-7128.68697757067</v>
      </c>
      <c r="J96" s="172">
        <v>605165.84190321597</v>
      </c>
      <c r="K96" s="172">
        <v>123168.127875405</v>
      </c>
      <c r="L96" s="172">
        <v>-1465172.5191778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-3.7213112591416601E-8</v>
      </c>
      <c r="H97" s="172">
        <v>-85041.127011681994</v>
      </c>
      <c r="I97" s="172">
        <v>-7128.6869775708601</v>
      </c>
      <c r="J97" s="172">
        <v>605165.84190316405</v>
      </c>
      <c r="K97" s="172">
        <v>148118.532296905</v>
      </c>
      <c r="L97" s="172">
        <v>-1762816.46371871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-3.7844074540771503E-9</v>
      </c>
      <c r="H98" s="172">
        <v>-85041.130002021106</v>
      </c>
      <c r="I98" s="172">
        <v>-7128.68999837095</v>
      </c>
      <c r="J98" s="172">
        <v>493569.62403780798</v>
      </c>
      <c r="K98" s="172">
        <v>123168.204973296</v>
      </c>
      <c r="L98" s="172">
        <v>-1465172.71505872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-3.66225094694528E-9</v>
      </c>
      <c r="H99" s="172">
        <v>-85041.130002014295</v>
      </c>
      <c r="I99" s="172">
        <v>-7128.68999837094</v>
      </c>
      <c r="J99" s="172">
        <v>493569.62403776002</v>
      </c>
      <c r="K99" s="172">
        <v>148118.61996759399</v>
      </c>
      <c r="L99" s="172">
        <v>-1762816.6700657899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1.2488089851103699E-7</v>
      </c>
      <c r="H100" s="172">
        <v>-8674.0768788426594</v>
      </c>
      <c r="I100" s="172">
        <v>-79481.824138630502</v>
      </c>
      <c r="J100" s="172">
        <v>-796165.85312092805</v>
      </c>
      <c r="K100" s="172">
        <v>1370659.49301665</v>
      </c>
      <c r="L100" s="172">
        <v>-150370.55069986999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1.2425334716681399E-7</v>
      </c>
      <c r="H101" s="172">
        <v>-8674.0768788418209</v>
      </c>
      <c r="I101" s="172">
        <v>-79481.824138630502</v>
      </c>
      <c r="J101" s="172">
        <v>-796165.85312093701</v>
      </c>
      <c r="K101" s="172">
        <v>1648845.87750185</v>
      </c>
      <c r="L101" s="172">
        <v>-180729.81977580499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7.8507582657039205E-8</v>
      </c>
      <c r="H102" s="172">
        <v>-8674.0799981892596</v>
      </c>
      <c r="I102" s="172">
        <v>-79481.829992675703</v>
      </c>
      <c r="J102" s="172">
        <v>-643749.02111175901</v>
      </c>
      <c r="K102" s="172">
        <v>1370659.5998992799</v>
      </c>
      <c r="L102" s="172">
        <v>-150370.53497325801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7.8202901931945195E-8</v>
      </c>
      <c r="H103" s="172">
        <v>-8674.0799981887994</v>
      </c>
      <c r="I103" s="172">
        <v>-79481.829992674306</v>
      </c>
      <c r="J103" s="172">
        <v>-643749.02111174096</v>
      </c>
      <c r="K103" s="172">
        <v>1648846.0048736399</v>
      </c>
      <c r="L103" s="172">
        <v>-180729.81496691401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2842694.5374312098</v>
      </c>
      <c r="H104" s="172">
        <v>1.8331678575123099E-7</v>
      </c>
      <c r="I104" s="172">
        <v>-8.6938143795123297E-8</v>
      </c>
      <c r="J104" s="172">
        <v>-1.2486816558521201E-7</v>
      </c>
      <c r="K104" s="172">
        <v>20832384.6124277</v>
      </c>
      <c r="L104" s="172">
        <v>-26461758.917064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2904474.4288290199</v>
      </c>
      <c r="H105" s="172">
        <v>1.8392472611594699E-7</v>
      </c>
      <c r="I105" s="172">
        <v>-8.7010391780495398E-8</v>
      </c>
      <c r="J105" s="172">
        <v>-1.2959662853973E-7</v>
      </c>
      <c r="K105" s="172">
        <v>21258851.376189198</v>
      </c>
      <c r="L105" s="172">
        <v>-27270368.580126699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-3.0786964089202202E-8</v>
      </c>
      <c r="H106" s="172">
        <v>-87667.788174638103</v>
      </c>
      <c r="I106" s="172">
        <v>-7354.7969775355796</v>
      </c>
      <c r="J106" s="172">
        <v>623845.32753863698</v>
      </c>
      <c r="K106" s="172">
        <v>148118.53229687101</v>
      </c>
      <c r="L106" s="172">
        <v>-1762816.4637188199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-3.0582214094465598E-8</v>
      </c>
      <c r="H107" s="172">
        <v>-87667.788174638205</v>
      </c>
      <c r="I107" s="172">
        <v>-7354.7969775351903</v>
      </c>
      <c r="J107" s="172">
        <v>623845.32753864303</v>
      </c>
      <c r="K107" s="172">
        <v>177537.72020701299</v>
      </c>
      <c r="L107" s="172">
        <v>-2113487.61641738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6.3203060562955199E-9</v>
      </c>
      <c r="H108" s="172">
        <v>-87667.7900019769</v>
      </c>
      <c r="I108" s="172">
        <v>-7354.7999983459704</v>
      </c>
      <c r="J108" s="172">
        <v>508783.94130850898</v>
      </c>
      <c r="K108" s="172">
        <v>148118.61996757699</v>
      </c>
      <c r="L108" s="172">
        <v>-1762816.6700659499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6.30325303063728E-9</v>
      </c>
      <c r="H109" s="172">
        <v>-87667.790001976799</v>
      </c>
      <c r="I109" s="172">
        <v>-7354.7999983453501</v>
      </c>
      <c r="J109" s="172">
        <v>508783.94130851701</v>
      </c>
      <c r="K109" s="172">
        <v>177537.819960958</v>
      </c>
      <c r="L109" s="172">
        <v>-2113487.83007386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1.3779208529740601E-7</v>
      </c>
      <c r="H110" s="172">
        <v>-8972.2209756023203</v>
      </c>
      <c r="I110" s="172">
        <v>-82105.906054583596</v>
      </c>
      <c r="J110" s="172">
        <v>-822420.17693942902</v>
      </c>
      <c r="K110" s="172">
        <v>1648845.8775019101</v>
      </c>
      <c r="L110" s="172">
        <v>-180729.819776038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1.3748831406701401E-7</v>
      </c>
      <c r="H111" s="172">
        <v>-8972.2209756022603</v>
      </c>
      <c r="I111" s="172">
        <v>-82105.906054582505</v>
      </c>
      <c r="J111" s="172">
        <v>-822420.17693940795</v>
      </c>
      <c r="K111" s="172">
        <v>1977269.5017202401</v>
      </c>
      <c r="L111" s="172">
        <v>-216618.70367844199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8.72460077516735E-8</v>
      </c>
      <c r="H112" s="172">
        <v>-8972.2199981404192</v>
      </c>
      <c r="I112" s="172">
        <v>-82105.909992614004</v>
      </c>
      <c r="J112" s="172">
        <v>-664939.99899195204</v>
      </c>
      <c r="K112" s="172">
        <v>1648846.00487368</v>
      </c>
      <c r="L112" s="172">
        <v>-180729.814967068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8.6990439740475294E-8</v>
      </c>
      <c r="H113" s="172">
        <v>-8972.2199981403301</v>
      </c>
      <c r="I113" s="172">
        <v>-82105.909992613102</v>
      </c>
      <c r="J113" s="172">
        <v>-664939.998991934</v>
      </c>
      <c r="K113" s="172">
        <v>1977269.6448441299</v>
      </c>
      <c r="L113" s="172">
        <v>-216618.694959624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3241201.3850789499</v>
      </c>
      <c r="H114" s="172">
        <v>1.8766820630844399E-7</v>
      </c>
      <c r="I114" s="172">
        <v>-8.5778509628653397E-8</v>
      </c>
      <c r="J114" s="172">
        <v>-1.1310930858599E-7</v>
      </c>
      <c r="K114" s="172">
        <v>23764524.4097826</v>
      </c>
      <c r="L114" s="172">
        <v>-30084703.197078899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3309165.8006871301</v>
      </c>
      <c r="H115" s="172">
        <v>1.87768023351964E-7</v>
      </c>
      <c r="I115" s="172">
        <v>-8.5802184912608897E-8</v>
      </c>
      <c r="J115" s="172">
        <v>-1.1518022802192701E-7</v>
      </c>
      <c r="K115" s="172">
        <v>24236559.171648201</v>
      </c>
      <c r="L115" s="172">
        <v>-30957259.393717401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309" workbookViewId="0">
      <selection activeCell="B462" sqref="B462:G482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2.39327217208656E-2</v>
      </c>
      <c r="F6" s="172">
        <v>2.33554400608206E-2</v>
      </c>
      <c r="G6" s="172">
        <v>1.0247172247040399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2.48926056544513E-2</v>
      </c>
      <c r="F7" s="172">
        <v>2.27426349131023E-2</v>
      </c>
      <c r="G7" s="172">
        <v>1.0945348131192301</v>
      </c>
    </row>
    <row r="8" spans="2:7" s="172" customFormat="1" hidden="1" x14ac:dyDescent="0.3">
      <c r="B8" s="172" t="s">
        <v>187</v>
      </c>
      <c r="C8" s="172" t="s">
        <v>79</v>
      </c>
      <c r="D8" s="172" t="s">
        <v>221</v>
      </c>
      <c r="E8" s="172">
        <v>5.8220071119737902E-3</v>
      </c>
      <c r="F8" s="172">
        <v>2.8120480740851401E-3</v>
      </c>
      <c r="G8" s="172">
        <v>2.07037965162381</v>
      </c>
    </row>
    <row r="9" spans="2:7" s="172" customFormat="1" x14ac:dyDescent="0.3">
      <c r="B9" s="172" t="s">
        <v>185</v>
      </c>
      <c r="C9" s="172" t="s">
        <v>79</v>
      </c>
      <c r="D9" s="172" t="s">
        <v>218</v>
      </c>
      <c r="E9" s="172">
        <v>2.38520654887171E-2</v>
      </c>
      <c r="F9" s="172">
        <v>2.1735434509738499E-2</v>
      </c>
      <c r="G9" s="172">
        <v>1.0973815811241401</v>
      </c>
    </row>
    <row r="10" spans="2:7" s="172" customFormat="1" hidden="1" x14ac:dyDescent="0.3">
      <c r="B10" s="172" t="s">
        <v>185</v>
      </c>
      <c r="C10" s="172" t="s">
        <v>79</v>
      </c>
      <c r="D10" s="172" t="s">
        <v>221</v>
      </c>
      <c r="E10" s="172">
        <v>5.6455673385923198E-3</v>
      </c>
      <c r="F10" s="172">
        <v>2.6822839680223499E-3</v>
      </c>
      <c r="G10" s="172">
        <v>2.1047612429920401</v>
      </c>
    </row>
    <row r="11" spans="2:7" s="172" customFormat="1" x14ac:dyDescent="0.3">
      <c r="B11" s="172" t="s">
        <v>183</v>
      </c>
      <c r="C11" s="172" t="s">
        <v>79</v>
      </c>
      <c r="D11" s="172" t="s">
        <v>218</v>
      </c>
      <c r="E11" s="172">
        <v>2.2309348030015701E-2</v>
      </c>
      <c r="F11" s="172">
        <v>2.0277427431198099E-2</v>
      </c>
      <c r="G11" s="172">
        <v>1.1002060347996301</v>
      </c>
    </row>
    <row r="12" spans="2:7" s="172" customFormat="1" hidden="1" x14ac:dyDescent="0.3">
      <c r="B12" s="172" t="s">
        <v>183</v>
      </c>
      <c r="C12" s="172" t="s">
        <v>79</v>
      </c>
      <c r="D12" s="172" t="s">
        <v>221</v>
      </c>
      <c r="E12" s="172">
        <v>5.3439345218528897E-3</v>
      </c>
      <c r="F12" s="172">
        <v>2.49924568350834E-3</v>
      </c>
      <c r="G12" s="172">
        <v>2.13821896627277</v>
      </c>
    </row>
    <row r="13" spans="2:7" s="172" customFormat="1" x14ac:dyDescent="0.3">
      <c r="B13" s="172" t="s">
        <v>181</v>
      </c>
      <c r="C13" s="172" t="s">
        <v>79</v>
      </c>
      <c r="D13" s="172" t="s">
        <v>218</v>
      </c>
      <c r="E13" s="172">
        <v>2.03199662726927E-2</v>
      </c>
      <c r="F13" s="172">
        <v>1.84246972830674E-2</v>
      </c>
      <c r="G13" s="172">
        <v>1.10286567863273</v>
      </c>
    </row>
    <row r="14" spans="2:7" s="172" customFormat="1" hidden="1" x14ac:dyDescent="0.3">
      <c r="B14" s="172" t="s">
        <v>181</v>
      </c>
      <c r="C14" s="172" t="s">
        <v>79</v>
      </c>
      <c r="D14" s="172" t="s">
        <v>221</v>
      </c>
      <c r="E14" s="172">
        <v>4.9229830554304204E-3</v>
      </c>
      <c r="F14" s="172">
        <v>2.2696064699548901E-3</v>
      </c>
      <c r="G14" s="172">
        <v>2.1690910387333702</v>
      </c>
    </row>
    <row r="15" spans="2:7" x14ac:dyDescent="0.3">
      <c r="B15" s="172" t="s">
        <v>179</v>
      </c>
      <c r="C15" s="172" t="s">
        <v>79</v>
      </c>
      <c r="D15" s="172" t="s">
        <v>218</v>
      </c>
      <c r="E15" s="172">
        <v>1.7955305500096198E-2</v>
      </c>
      <c r="F15" s="172">
        <v>1.62414375484949E-2</v>
      </c>
      <c r="G15" s="172">
        <v>1.10552439994822</v>
      </c>
    </row>
    <row r="16" spans="2:7" hidden="1" x14ac:dyDescent="0.3">
      <c r="B16" s="172" t="s">
        <v>179</v>
      </c>
      <c r="C16" s="172" t="s">
        <v>79</v>
      </c>
      <c r="D16" s="172" t="s">
        <v>221</v>
      </c>
      <c r="E16" s="172">
        <v>4.4005864166582302E-3</v>
      </c>
      <c r="F16" s="172">
        <v>2.0011712844163602E-3</v>
      </c>
      <c r="G16" s="172">
        <v>2.1990053779637702</v>
      </c>
    </row>
    <row r="17" spans="2:7" x14ac:dyDescent="0.3">
      <c r="B17" s="172" t="s">
        <v>39</v>
      </c>
      <c r="C17" s="172" t="s">
        <v>79</v>
      </c>
      <c r="D17" s="172" t="s">
        <v>218</v>
      </c>
      <c r="E17" s="172">
        <v>1.52833788032939E-2</v>
      </c>
      <c r="F17" s="172">
        <v>1.3789755530848401E-2</v>
      </c>
      <c r="G17" s="172">
        <v>1.1083139776556701</v>
      </c>
    </row>
    <row r="18" spans="2:7" hidden="1" x14ac:dyDescent="0.3">
      <c r="B18" s="172" t="s">
        <v>39</v>
      </c>
      <c r="C18" s="172" t="s">
        <v>79</v>
      </c>
      <c r="D18" s="172" t="s">
        <v>221</v>
      </c>
      <c r="E18" s="172">
        <v>3.7919240904235102E-3</v>
      </c>
      <c r="F18" s="172">
        <v>1.7008515089997601E-3</v>
      </c>
      <c r="G18" s="172">
        <v>2.2294268902130501</v>
      </c>
    </row>
    <row r="19" spans="2:7" x14ac:dyDescent="0.3">
      <c r="B19" s="172" t="s">
        <v>26</v>
      </c>
      <c r="C19" s="172" t="s">
        <v>79</v>
      </c>
      <c r="D19" s="172" t="s">
        <v>218</v>
      </c>
      <c r="E19" s="172">
        <v>1.2393556657618401E-2</v>
      </c>
      <c r="F19" s="172">
        <v>1.11576881733616E-2</v>
      </c>
      <c r="G19" s="172">
        <v>1.1107638486624301</v>
      </c>
    </row>
    <row r="20" spans="2:7" hidden="1" x14ac:dyDescent="0.3">
      <c r="B20" s="172" t="s">
        <v>26</v>
      </c>
      <c r="C20" s="172" t="s">
        <v>79</v>
      </c>
      <c r="D20" s="172" t="s">
        <v>221</v>
      </c>
      <c r="E20" s="172">
        <v>3.1054490625853099E-3</v>
      </c>
      <c r="F20" s="172">
        <v>1.37523318462585E-3</v>
      </c>
      <c r="G20" s="172">
        <v>2.2581254563241102</v>
      </c>
    </row>
    <row r="21" spans="2:7" x14ac:dyDescent="0.3">
      <c r="B21" s="172" t="s">
        <v>25</v>
      </c>
      <c r="C21" s="172" t="s">
        <v>79</v>
      </c>
      <c r="D21" s="172" t="s">
        <v>218</v>
      </c>
      <c r="E21" s="172">
        <v>9.3563039458271196E-3</v>
      </c>
      <c r="F21" s="172">
        <v>8.4126525858525293E-3</v>
      </c>
      <c r="G21" s="172">
        <v>1.1121704896695199</v>
      </c>
    </row>
    <row r="22" spans="2:7" hidden="1" x14ac:dyDescent="0.3">
      <c r="B22" s="172" t="s">
        <v>25</v>
      </c>
      <c r="C22" s="172" t="s">
        <v>79</v>
      </c>
      <c r="D22" s="172" t="s">
        <v>221</v>
      </c>
      <c r="E22" s="172">
        <v>2.3537777219276102E-3</v>
      </c>
      <c r="F22" s="172">
        <v>1.0326658179631799E-3</v>
      </c>
      <c r="G22" s="172">
        <v>2.2793218105835802</v>
      </c>
    </row>
    <row r="23" spans="2:7" x14ac:dyDescent="0.3">
      <c r="B23" s="172" t="s">
        <v>24</v>
      </c>
      <c r="C23" s="172" t="s">
        <v>79</v>
      </c>
      <c r="D23" s="172" t="s">
        <v>218</v>
      </c>
      <c r="E23" s="172">
        <v>6.2170811624462398E-3</v>
      </c>
      <c r="F23" s="172">
        <v>5.5920887703868397E-3</v>
      </c>
      <c r="G23" s="172">
        <v>1.11176367502767</v>
      </c>
    </row>
    <row r="24" spans="2:7" hidden="1" x14ac:dyDescent="0.3">
      <c r="B24" s="172" t="s">
        <v>24</v>
      </c>
      <c r="C24" s="172" t="s">
        <v>79</v>
      </c>
      <c r="D24" s="172" t="s">
        <v>221</v>
      </c>
      <c r="E24" s="172">
        <v>1.5544684607255699E-3</v>
      </c>
      <c r="F24" s="172">
        <v>6.7947911184240803E-4</v>
      </c>
      <c r="G24" s="172">
        <v>2.2877354632883899</v>
      </c>
    </row>
    <row r="25" spans="2:7" x14ac:dyDescent="0.3">
      <c r="B25" s="172" t="s">
        <v>22</v>
      </c>
      <c r="C25" s="172" t="s">
        <v>79</v>
      </c>
      <c r="D25" s="172" t="s">
        <v>218</v>
      </c>
      <c r="E25" s="172">
        <v>3.0577625514980199E-3</v>
      </c>
      <c r="F25" s="172">
        <v>2.7672983512935E-3</v>
      </c>
      <c r="G25" s="172">
        <v>1.1049630951678</v>
      </c>
    </row>
    <row r="26" spans="2:7" hidden="1" x14ac:dyDescent="0.3">
      <c r="B26" s="172" t="s">
        <v>22</v>
      </c>
      <c r="C26" s="172" t="s">
        <v>79</v>
      </c>
      <c r="D26" s="172" t="s">
        <v>221</v>
      </c>
      <c r="E26" s="172">
        <v>7.3356435056569499E-4</v>
      </c>
      <c r="F26" s="172">
        <v>3.26914470279359E-4</v>
      </c>
      <c r="G26" s="172">
        <v>2.2439029692960402</v>
      </c>
    </row>
    <row r="27" spans="2:7" hidden="1" x14ac:dyDescent="0.3">
      <c r="B27" s="172" t="s">
        <v>189</v>
      </c>
      <c r="C27" s="172" t="s">
        <v>80</v>
      </c>
      <c r="D27" s="172" t="s">
        <v>218</v>
      </c>
      <c r="E27" s="172">
        <v>2.4078415536339499E-2</v>
      </c>
      <c r="F27" s="172">
        <v>2.3815768875253301E-2</v>
      </c>
      <c r="G27" s="172">
        <v>1.01102826713099</v>
      </c>
    </row>
    <row r="28" spans="2:7" hidden="1" x14ac:dyDescent="0.3">
      <c r="B28" s="172" t="s">
        <v>189</v>
      </c>
      <c r="C28" s="172" t="s">
        <v>80</v>
      </c>
      <c r="D28" s="172" t="s">
        <v>221</v>
      </c>
      <c r="E28" s="172">
        <v>3.8861741452978398E-3</v>
      </c>
      <c r="F28" s="172">
        <v>3.5578658189399899E-3</v>
      </c>
      <c r="G28" s="172">
        <v>1.09227675889577</v>
      </c>
    </row>
    <row r="29" spans="2:7" hidden="1" x14ac:dyDescent="0.3">
      <c r="B29" s="172" t="s">
        <v>187</v>
      </c>
      <c r="C29" s="172" t="s">
        <v>80</v>
      </c>
      <c r="D29" s="172" t="s">
        <v>218</v>
      </c>
      <c r="E29" s="172">
        <v>2.3488545979633599E-2</v>
      </c>
      <c r="F29" s="172">
        <v>2.2585687415059001E-2</v>
      </c>
      <c r="G29" s="172">
        <v>1.0399748100636801</v>
      </c>
    </row>
    <row r="30" spans="2:7" hidden="1" x14ac:dyDescent="0.3">
      <c r="B30" s="172" t="s">
        <v>187</v>
      </c>
      <c r="C30" s="172" t="s">
        <v>80</v>
      </c>
      <c r="D30" s="172" t="s">
        <v>221</v>
      </c>
      <c r="E30" s="172">
        <v>3.6822670096000802E-3</v>
      </c>
      <c r="F30" s="172">
        <v>2.41826501919566E-3</v>
      </c>
      <c r="G30" s="172">
        <v>1.52268960613128</v>
      </c>
    </row>
    <row r="31" spans="2:7" hidden="1" x14ac:dyDescent="0.3">
      <c r="B31" s="172" t="s">
        <v>185</v>
      </c>
      <c r="C31" s="172" t="s">
        <v>80</v>
      </c>
      <c r="D31" s="172" t="s">
        <v>218</v>
      </c>
      <c r="E31" s="172">
        <v>2.2402330921116698E-2</v>
      </c>
      <c r="F31" s="172">
        <v>2.1582989547660601E-2</v>
      </c>
      <c r="G31" s="172">
        <v>1.03796236715246</v>
      </c>
    </row>
    <row r="32" spans="2:7" hidden="1" x14ac:dyDescent="0.3">
      <c r="B32" s="172" t="s">
        <v>185</v>
      </c>
      <c r="C32" s="172" t="s">
        <v>80</v>
      </c>
      <c r="D32" s="172" t="s">
        <v>221</v>
      </c>
      <c r="E32" s="172">
        <v>3.4280177443305202E-3</v>
      </c>
      <c r="F32" s="172">
        <v>2.2809398214919899E-3</v>
      </c>
      <c r="G32" s="172">
        <v>1.5028970567440101</v>
      </c>
    </row>
    <row r="33" spans="2:7" hidden="1" x14ac:dyDescent="0.3">
      <c r="B33" s="172" t="s">
        <v>183</v>
      </c>
      <c r="C33" s="172" t="s">
        <v>80</v>
      </c>
      <c r="D33" s="172" t="s">
        <v>218</v>
      </c>
      <c r="E33" s="172">
        <v>2.0856394892296799E-2</v>
      </c>
      <c r="F33" s="172">
        <v>2.01322789163246E-2</v>
      </c>
      <c r="G33" s="172">
        <v>1.0359679089973799</v>
      </c>
    </row>
    <row r="34" spans="2:7" hidden="1" x14ac:dyDescent="0.3">
      <c r="B34" s="172" t="s">
        <v>183</v>
      </c>
      <c r="C34" s="172" t="s">
        <v>80</v>
      </c>
      <c r="D34" s="172" t="s">
        <v>221</v>
      </c>
      <c r="E34" s="172">
        <v>3.1143844626445299E-3</v>
      </c>
      <c r="F34" s="172">
        <v>2.1006220962833601E-3</v>
      </c>
      <c r="G34" s="172">
        <v>1.4826010200287001</v>
      </c>
    </row>
    <row r="35" spans="2:7" hidden="1" x14ac:dyDescent="0.3">
      <c r="B35" s="172" t="s">
        <v>181</v>
      </c>
      <c r="C35" s="172" t="s">
        <v>80</v>
      </c>
      <c r="D35" s="172" t="s">
        <v>218</v>
      </c>
      <c r="E35" s="172">
        <v>1.8913914075758799E-2</v>
      </c>
      <c r="F35" s="172">
        <v>1.8290447651844399E-2</v>
      </c>
      <c r="G35" s="172">
        <v>1.0340869964356201</v>
      </c>
    </row>
    <row r="36" spans="2:7" hidden="1" x14ac:dyDescent="0.3">
      <c r="B36" s="172" t="s">
        <v>181</v>
      </c>
      <c r="C36" s="172" t="s">
        <v>80</v>
      </c>
      <c r="D36" s="172" t="s">
        <v>221</v>
      </c>
      <c r="E36" s="172">
        <v>2.75856255881926E-3</v>
      </c>
      <c r="F36" s="172">
        <v>1.8857095653391201E-3</v>
      </c>
      <c r="G36" s="172">
        <v>1.4628777461407001</v>
      </c>
    </row>
    <row r="37" spans="2:7" hidden="1" x14ac:dyDescent="0.3">
      <c r="B37" s="172" t="s">
        <v>179</v>
      </c>
      <c r="C37" s="172" t="s">
        <v>80</v>
      </c>
      <c r="D37" s="172" t="s">
        <v>218</v>
      </c>
      <c r="E37" s="172">
        <v>1.6640127111430401E-2</v>
      </c>
      <c r="F37" s="172">
        <v>1.61212252746047E-2</v>
      </c>
      <c r="G37" s="172">
        <v>1.0321874936915101</v>
      </c>
    </row>
    <row r="38" spans="2:7" hidden="1" x14ac:dyDescent="0.3">
      <c r="B38" s="172" t="s">
        <v>179</v>
      </c>
      <c r="C38" s="172" t="s">
        <v>80</v>
      </c>
      <c r="D38" s="172" t="s">
        <v>221</v>
      </c>
      <c r="E38" s="172">
        <v>2.3690527685645301E-3</v>
      </c>
      <c r="F38" s="172">
        <v>1.64259019700858E-3</v>
      </c>
      <c r="G38" s="172">
        <v>1.4422664721115199</v>
      </c>
    </row>
    <row r="39" spans="2:7" hidden="1" x14ac:dyDescent="0.3">
      <c r="B39" s="172" t="s">
        <v>39</v>
      </c>
      <c r="C39" s="172" t="s">
        <v>80</v>
      </c>
      <c r="D39" s="172" t="s">
        <v>218</v>
      </c>
      <c r="E39" s="172">
        <v>1.4098886993074501E-2</v>
      </c>
      <c r="F39" s="172">
        <v>1.36861834659601E-2</v>
      </c>
      <c r="G39" s="172">
        <v>1.0301547563015601</v>
      </c>
    </row>
    <row r="40" spans="2:7" hidden="1" x14ac:dyDescent="0.3">
      <c r="B40" s="172" t="s">
        <v>39</v>
      </c>
      <c r="C40" s="172" t="s">
        <v>80</v>
      </c>
      <c r="D40" s="172" t="s">
        <v>221</v>
      </c>
      <c r="E40" s="172">
        <v>1.9550212506737599E-3</v>
      </c>
      <c r="F40" s="172">
        <v>1.3772363127136E-3</v>
      </c>
      <c r="G40" s="172">
        <v>1.41952490841731</v>
      </c>
    </row>
    <row r="41" spans="2:7" hidden="1" x14ac:dyDescent="0.3">
      <c r="B41" s="172" t="s">
        <v>26</v>
      </c>
      <c r="C41" s="172" t="s">
        <v>80</v>
      </c>
      <c r="D41" s="172" t="s">
        <v>218</v>
      </c>
      <c r="E41" s="172">
        <v>1.1386061166661399E-2</v>
      </c>
      <c r="F41" s="172">
        <v>1.1072984748063E-2</v>
      </c>
      <c r="G41" s="172">
        <v>1.0282738959477999</v>
      </c>
    </row>
    <row r="42" spans="2:7" hidden="1" x14ac:dyDescent="0.3">
      <c r="B42" s="172" t="s">
        <v>25</v>
      </c>
      <c r="C42" s="172" t="s">
        <v>80</v>
      </c>
      <c r="D42" s="172" t="s">
        <v>218</v>
      </c>
      <c r="E42" s="172">
        <v>8.5748366177850702E-3</v>
      </c>
      <c r="F42" s="172">
        <v>8.3496895611027602E-3</v>
      </c>
      <c r="G42" s="172">
        <v>1.0269647218659701</v>
      </c>
    </row>
    <row r="43" spans="2:7" hidden="1" x14ac:dyDescent="0.3">
      <c r="B43" s="172" t="s">
        <v>24</v>
      </c>
      <c r="C43" s="172" t="s">
        <v>80</v>
      </c>
      <c r="D43" s="172" t="s">
        <v>218</v>
      </c>
      <c r="E43" s="172">
        <v>5.6999605104248096E-3</v>
      </c>
      <c r="F43" s="172">
        <v>5.5526855319362198E-3</v>
      </c>
      <c r="G43" s="172">
        <v>1.0265231981248599</v>
      </c>
    </row>
    <row r="44" spans="2:7" hidden="1" x14ac:dyDescent="0.3">
      <c r="B44" s="172" t="s">
        <v>22</v>
      </c>
      <c r="C44" s="172" t="s">
        <v>80</v>
      </c>
      <c r="D44" s="172" t="s">
        <v>218</v>
      </c>
      <c r="E44" s="172">
        <v>2.8330385547833E-3</v>
      </c>
      <c r="F44" s="172">
        <v>2.7520334477351802E-3</v>
      </c>
      <c r="G44" s="172">
        <v>1.0294346375458401</v>
      </c>
    </row>
    <row r="45" spans="2:7" hidden="1" x14ac:dyDescent="0.3">
      <c r="B45" s="172" t="s">
        <v>189</v>
      </c>
      <c r="C45" s="172" t="s">
        <v>81</v>
      </c>
      <c r="D45" s="172" t="s">
        <v>221</v>
      </c>
      <c r="E45" s="172">
        <v>2.5662983354547399E-2</v>
      </c>
      <c r="F45" s="172">
        <v>2.5325505448038702E-2</v>
      </c>
      <c r="G45" s="172">
        <v>1.0133256138639</v>
      </c>
    </row>
    <row r="46" spans="2:7" hidden="1" x14ac:dyDescent="0.3">
      <c r="B46" s="172" t="s">
        <v>187</v>
      </c>
      <c r="C46" s="172" t="s">
        <v>81</v>
      </c>
      <c r="D46" s="172" t="s">
        <v>218</v>
      </c>
      <c r="E46" s="172">
        <v>3.90013239020261E-3</v>
      </c>
      <c r="F46" s="172">
        <v>2.5679580985136E-3</v>
      </c>
      <c r="G46" s="172">
        <v>1.5187679240016001</v>
      </c>
    </row>
    <row r="47" spans="2:7" hidden="1" x14ac:dyDescent="0.3">
      <c r="B47" s="172" t="s">
        <v>187</v>
      </c>
      <c r="C47" s="172" t="s">
        <v>81</v>
      </c>
      <c r="D47" s="172" t="s">
        <v>221</v>
      </c>
      <c r="E47" s="172">
        <v>2.7450373723484599E-2</v>
      </c>
      <c r="F47" s="172">
        <v>2.5585329715119998E-2</v>
      </c>
      <c r="G47" s="172">
        <v>1.0728950546712099</v>
      </c>
    </row>
    <row r="48" spans="2:7" hidden="1" x14ac:dyDescent="0.3">
      <c r="B48" s="172" t="s">
        <v>185</v>
      </c>
      <c r="C48" s="172" t="s">
        <v>81</v>
      </c>
      <c r="D48" s="172" t="s">
        <v>218</v>
      </c>
      <c r="E48" s="172">
        <v>3.9088490359283096E-3</v>
      </c>
      <c r="F48" s="172">
        <v>2.46794440931943E-3</v>
      </c>
      <c r="G48" s="172">
        <v>1.5838480887850399</v>
      </c>
    </row>
    <row r="49" spans="2:7" hidden="1" x14ac:dyDescent="0.3">
      <c r="B49" s="172" t="s">
        <v>185</v>
      </c>
      <c r="C49" s="172" t="s">
        <v>81</v>
      </c>
      <c r="D49" s="172" t="s">
        <v>221</v>
      </c>
      <c r="E49" s="172">
        <v>2.6360720205516101E-2</v>
      </c>
      <c r="F49" s="172">
        <v>2.43434537282636E-2</v>
      </c>
      <c r="G49" s="172">
        <v>1.08286689718601</v>
      </c>
    </row>
    <row r="50" spans="2:7" hidden="1" x14ac:dyDescent="0.3">
      <c r="B50" s="172" t="s">
        <v>183</v>
      </c>
      <c r="C50" s="172" t="s">
        <v>81</v>
      </c>
      <c r="D50" s="172" t="s">
        <v>218</v>
      </c>
      <c r="E50" s="172">
        <v>3.8047081390510302E-3</v>
      </c>
      <c r="F50" s="172">
        <v>2.31168200062187E-3</v>
      </c>
      <c r="G50" s="172">
        <v>1.6458613849255701</v>
      </c>
    </row>
    <row r="51" spans="2:7" hidden="1" x14ac:dyDescent="0.3">
      <c r="B51" s="172" t="s">
        <v>183</v>
      </c>
      <c r="C51" s="172" t="s">
        <v>81</v>
      </c>
      <c r="D51" s="172" t="s">
        <v>221</v>
      </c>
      <c r="E51" s="172">
        <v>2.4715293234073E-2</v>
      </c>
      <c r="F51" s="172">
        <v>2.26250566402721E-2</v>
      </c>
      <c r="G51" s="172">
        <v>1.0923859165099401</v>
      </c>
    </row>
    <row r="52" spans="2:7" hidden="1" x14ac:dyDescent="0.3">
      <c r="B52" s="172" t="s">
        <v>181</v>
      </c>
      <c r="C52" s="172" t="s">
        <v>81</v>
      </c>
      <c r="D52" s="172" t="s">
        <v>218</v>
      </c>
      <c r="E52" s="172">
        <v>3.5961544036239401E-3</v>
      </c>
      <c r="F52" s="172">
        <v>2.1106444574811299E-3</v>
      </c>
      <c r="G52" s="172">
        <v>1.7038181825827901</v>
      </c>
    </row>
    <row r="53" spans="2:7" hidden="1" x14ac:dyDescent="0.3">
      <c r="B53" s="172" t="s">
        <v>181</v>
      </c>
      <c r="C53" s="172" t="s">
        <v>81</v>
      </c>
      <c r="D53" s="172" t="s">
        <v>221</v>
      </c>
      <c r="E53" s="172">
        <v>2.2562592863643701E-2</v>
      </c>
      <c r="F53" s="172">
        <v>2.0482878939043801E-2</v>
      </c>
      <c r="G53" s="172">
        <v>1.1015342584794401</v>
      </c>
    </row>
    <row r="54" spans="2:7" hidden="1" x14ac:dyDescent="0.3">
      <c r="B54" s="172" t="s">
        <v>179</v>
      </c>
      <c r="C54" s="172" t="s">
        <v>81</v>
      </c>
      <c r="D54" s="172" t="s">
        <v>218</v>
      </c>
      <c r="E54" s="172">
        <v>3.2989710924143899E-3</v>
      </c>
      <c r="F54" s="172">
        <v>1.8725221889826301E-3</v>
      </c>
      <c r="G54" s="172">
        <v>1.76177943942377</v>
      </c>
    </row>
    <row r="55" spans="2:7" hidden="1" x14ac:dyDescent="0.3">
      <c r="B55" s="172" t="s">
        <v>179</v>
      </c>
      <c r="C55" s="172" t="s">
        <v>81</v>
      </c>
      <c r="D55" s="172" t="s">
        <v>221</v>
      </c>
      <c r="E55" s="172">
        <v>1.9993499885898301E-2</v>
      </c>
      <c r="F55" s="172">
        <v>1.7996471421093799E-2</v>
      </c>
      <c r="G55" s="172">
        <v>1.1109677790760499</v>
      </c>
    </row>
    <row r="56" spans="2:7" hidden="1" x14ac:dyDescent="0.3">
      <c r="B56" s="172" t="s">
        <v>39</v>
      </c>
      <c r="C56" s="172" t="s">
        <v>81</v>
      </c>
      <c r="D56" s="172" t="s">
        <v>218</v>
      </c>
      <c r="E56" s="172">
        <v>2.9231856154803299E-3</v>
      </c>
      <c r="F56" s="172">
        <v>1.6031783938137299E-3</v>
      </c>
      <c r="G56" s="172">
        <v>1.82336889441636</v>
      </c>
    </row>
    <row r="57" spans="2:7" hidden="1" x14ac:dyDescent="0.3">
      <c r="B57" s="172" t="s">
        <v>39</v>
      </c>
      <c r="C57" s="172" t="s">
        <v>81</v>
      </c>
      <c r="D57" s="172" t="s">
        <v>221</v>
      </c>
      <c r="E57" s="172">
        <v>1.7085293764624698E-2</v>
      </c>
      <c r="F57" s="172">
        <v>1.52372836542915E-2</v>
      </c>
      <c r="G57" s="172">
        <v>1.1212821229991801</v>
      </c>
    </row>
    <row r="58" spans="2:7" hidden="1" x14ac:dyDescent="0.3">
      <c r="B58" s="172" t="s">
        <v>26</v>
      </c>
      <c r="C58" s="172" t="s">
        <v>81</v>
      </c>
      <c r="D58" s="172" t="s">
        <v>218</v>
      </c>
      <c r="E58" s="172">
        <v>2.4639186038890302E-3</v>
      </c>
      <c r="F58" s="172">
        <v>1.3061053601997399E-3</v>
      </c>
      <c r="G58" s="172">
        <v>1.88646236281599</v>
      </c>
    </row>
    <row r="59" spans="2:7" hidden="1" x14ac:dyDescent="0.3">
      <c r="B59" s="172" t="s">
        <v>26</v>
      </c>
      <c r="C59" s="172" t="s">
        <v>81</v>
      </c>
      <c r="D59" s="172" t="s">
        <v>221</v>
      </c>
      <c r="E59" s="172">
        <v>1.38974633765198E-2</v>
      </c>
      <c r="F59" s="172">
        <v>1.22765248353548E-2</v>
      </c>
      <c r="G59" s="172">
        <v>1.13203561780749</v>
      </c>
    </row>
    <row r="60" spans="2:7" hidden="1" x14ac:dyDescent="0.3">
      <c r="B60" s="172" t="s">
        <v>25</v>
      </c>
      <c r="C60" s="172" t="s">
        <v>81</v>
      </c>
      <c r="D60" s="172" t="s">
        <v>218</v>
      </c>
      <c r="E60" s="172">
        <v>1.9316473621250399E-3</v>
      </c>
      <c r="F60" s="172">
        <v>9.96178344826547E-4</v>
      </c>
      <c r="G60" s="172">
        <v>1.93905777229214</v>
      </c>
    </row>
    <row r="61" spans="2:7" hidden="1" x14ac:dyDescent="0.3">
      <c r="B61" s="172" t="s">
        <v>25</v>
      </c>
      <c r="C61" s="172" t="s">
        <v>81</v>
      </c>
      <c r="D61" s="172" t="s">
        <v>221</v>
      </c>
      <c r="E61" s="172">
        <v>1.0487089501414901E-2</v>
      </c>
      <c r="F61" s="172">
        <v>9.1774328771969706E-3</v>
      </c>
      <c r="G61" s="172">
        <v>1.14270402646823</v>
      </c>
    </row>
    <row r="62" spans="2:7" hidden="1" x14ac:dyDescent="0.3">
      <c r="B62" s="172" t="s">
        <v>24</v>
      </c>
      <c r="C62" s="172" t="s">
        <v>81</v>
      </c>
      <c r="D62" s="172" t="s">
        <v>218</v>
      </c>
      <c r="E62" s="172">
        <v>1.3351973884340601E-3</v>
      </c>
      <c r="F62" s="172">
        <v>6.74631135753849E-4</v>
      </c>
      <c r="G62" s="172">
        <v>1.97915174333316</v>
      </c>
    </row>
    <row r="63" spans="2:7" hidden="1" x14ac:dyDescent="0.3">
      <c r="B63" s="172" t="s">
        <v>24</v>
      </c>
      <c r="C63" s="172" t="s">
        <v>81</v>
      </c>
      <c r="D63" s="172" t="s">
        <v>221</v>
      </c>
      <c r="E63" s="172">
        <v>6.9247827911915298E-3</v>
      </c>
      <c r="F63" s="172">
        <v>5.9999900374392403E-3</v>
      </c>
      <c r="G63" s="172">
        <v>1.1541323815509199</v>
      </c>
    </row>
    <row r="64" spans="2:7" hidden="1" x14ac:dyDescent="0.3">
      <c r="B64" s="172" t="s">
        <v>22</v>
      </c>
      <c r="C64" s="172" t="s">
        <v>81</v>
      </c>
      <c r="D64" s="172" t="s">
        <v>218</v>
      </c>
      <c r="E64" s="172">
        <v>6.8364494395284695E-4</v>
      </c>
      <c r="F64" s="172">
        <v>3.4720364403502998E-4</v>
      </c>
      <c r="G64" s="172">
        <v>1.96900279043118</v>
      </c>
    </row>
    <row r="65" spans="2:7" hidden="1" x14ac:dyDescent="0.3">
      <c r="B65" s="172" t="s">
        <v>22</v>
      </c>
      <c r="C65" s="172" t="s">
        <v>81</v>
      </c>
      <c r="D65" s="172" t="s">
        <v>221</v>
      </c>
      <c r="E65" s="172">
        <v>3.3166823594037902E-3</v>
      </c>
      <c r="F65" s="172">
        <v>2.8456645395188401E-3</v>
      </c>
      <c r="G65" s="172">
        <v>1.1655212036920499</v>
      </c>
    </row>
    <row r="66" spans="2:7" hidden="1" x14ac:dyDescent="0.3">
      <c r="B66" s="172" t="s">
        <v>189</v>
      </c>
      <c r="C66" s="172" t="s">
        <v>82</v>
      </c>
      <c r="D66" s="172" t="s">
        <v>221</v>
      </c>
      <c r="E66" s="172">
        <v>2.3029165696140299E-2</v>
      </c>
      <c r="F66" s="172">
        <v>2.12588479352805E-2</v>
      </c>
      <c r="G66" s="172">
        <v>1.0832743978530399</v>
      </c>
    </row>
    <row r="67" spans="2:7" hidden="1" x14ac:dyDescent="0.3">
      <c r="B67" s="172" t="s">
        <v>187</v>
      </c>
      <c r="C67" s="172" t="s">
        <v>82</v>
      </c>
      <c r="D67" s="172" t="s">
        <v>218</v>
      </c>
      <c r="E67" s="172">
        <v>8.2864473340363305E-3</v>
      </c>
      <c r="F67" s="172">
        <v>2.7823270936278002E-3</v>
      </c>
      <c r="G67" s="172">
        <v>2.9782434110692102</v>
      </c>
    </row>
    <row r="68" spans="2:7" hidden="1" x14ac:dyDescent="0.3">
      <c r="B68" s="172" t="s">
        <v>187</v>
      </c>
      <c r="C68" s="172" t="s">
        <v>82</v>
      </c>
      <c r="D68" s="172" t="s">
        <v>221</v>
      </c>
      <c r="E68" s="172">
        <v>3.3828989306081102E-2</v>
      </c>
      <c r="F68" s="172">
        <v>2.6123220969509101E-2</v>
      </c>
      <c r="G68" s="172">
        <v>1.2949777267346201</v>
      </c>
    </row>
    <row r="69" spans="2:7" hidden="1" x14ac:dyDescent="0.3">
      <c r="B69" s="172" t="s">
        <v>185</v>
      </c>
      <c r="C69" s="172" t="s">
        <v>82</v>
      </c>
      <c r="D69" s="172" t="s">
        <v>218</v>
      </c>
      <c r="E69" s="172">
        <v>8.1287065374213603E-3</v>
      </c>
      <c r="F69" s="172">
        <v>2.6761507232311802E-3</v>
      </c>
      <c r="G69" s="172">
        <v>3.0374621529563099</v>
      </c>
    </row>
    <row r="70" spans="2:7" hidden="1" x14ac:dyDescent="0.3">
      <c r="B70" s="172" t="s">
        <v>185</v>
      </c>
      <c r="C70" s="172" t="s">
        <v>82</v>
      </c>
      <c r="D70" s="172" t="s">
        <v>221</v>
      </c>
      <c r="E70" s="172">
        <v>3.2525142896150203E-2</v>
      </c>
      <c r="F70" s="172">
        <v>2.4891564756283999E-2</v>
      </c>
      <c r="G70" s="172">
        <v>1.30667329332677</v>
      </c>
    </row>
    <row r="71" spans="2:7" hidden="1" x14ac:dyDescent="0.3">
      <c r="B71" s="172" t="s">
        <v>183</v>
      </c>
      <c r="C71" s="172" t="s">
        <v>82</v>
      </c>
      <c r="D71" s="172" t="s">
        <v>218</v>
      </c>
      <c r="E71" s="172">
        <v>7.7663234824285497E-3</v>
      </c>
      <c r="F71" s="172">
        <v>2.509783398981E-3</v>
      </c>
      <c r="G71" s="172">
        <v>3.0944198155035099</v>
      </c>
    </row>
    <row r="72" spans="2:7" hidden="1" x14ac:dyDescent="0.3">
      <c r="B72" s="172" t="s">
        <v>183</v>
      </c>
      <c r="C72" s="172" t="s">
        <v>82</v>
      </c>
      <c r="D72" s="172" t="s">
        <v>221</v>
      </c>
      <c r="E72" s="172">
        <v>3.0528249585602098E-2</v>
      </c>
      <c r="F72" s="172">
        <v>2.31690934687756E-2</v>
      </c>
      <c r="G72" s="172">
        <v>1.3176281422812</v>
      </c>
    </row>
    <row r="73" spans="2:7" hidden="1" x14ac:dyDescent="0.3">
      <c r="B73" s="172" t="s">
        <v>181</v>
      </c>
      <c r="C73" s="172" t="s">
        <v>82</v>
      </c>
      <c r="D73" s="172" t="s">
        <v>218</v>
      </c>
      <c r="E73" s="172">
        <v>7.2158887130329098E-3</v>
      </c>
      <c r="F73" s="172">
        <v>2.29370656502529E-3</v>
      </c>
      <c r="G73" s="172">
        <v>3.1459511094669401</v>
      </c>
    </row>
    <row r="74" spans="2:7" hidden="1" x14ac:dyDescent="0.3">
      <c r="B74" s="172" t="s">
        <v>181</v>
      </c>
      <c r="C74" s="172" t="s">
        <v>82</v>
      </c>
      <c r="D74" s="172" t="s">
        <v>221</v>
      </c>
      <c r="E74" s="172">
        <v>2.7897411755004702E-2</v>
      </c>
      <c r="F74" s="172">
        <v>2.1006356747794001E-2</v>
      </c>
      <c r="G74" s="172">
        <v>1.3280461762097</v>
      </c>
    </row>
    <row r="75" spans="2:7" hidden="1" x14ac:dyDescent="0.3">
      <c r="B75" s="172" t="s">
        <v>179</v>
      </c>
      <c r="C75" s="172" t="s">
        <v>82</v>
      </c>
      <c r="D75" s="172" t="s">
        <v>218</v>
      </c>
      <c r="E75" s="172">
        <v>6.5074631174398701E-3</v>
      </c>
      <c r="F75" s="172">
        <v>2.0363448065931901E-3</v>
      </c>
      <c r="G75" s="172">
        <v>3.19565875895392</v>
      </c>
    </row>
    <row r="76" spans="2:7" hidden="1" x14ac:dyDescent="0.3">
      <c r="B76" s="172" t="s">
        <v>179</v>
      </c>
      <c r="C76" s="172" t="s">
        <v>82</v>
      </c>
      <c r="D76" s="172" t="s">
        <v>221</v>
      </c>
      <c r="E76" s="172">
        <v>2.4744714840286602E-2</v>
      </c>
      <c r="F76" s="172">
        <v>1.8485149205101199E-2</v>
      </c>
      <c r="G76" s="172">
        <v>1.3386267303407999</v>
      </c>
    </row>
    <row r="77" spans="2:7" hidden="1" x14ac:dyDescent="0.3">
      <c r="B77" s="172" t="s">
        <v>39</v>
      </c>
      <c r="C77" s="172" t="s">
        <v>82</v>
      </c>
      <c r="D77" s="172" t="s">
        <v>218</v>
      </c>
      <c r="E77" s="172">
        <v>5.6636203605950897E-3</v>
      </c>
      <c r="F77" s="172">
        <v>1.7443230442404801E-3</v>
      </c>
      <c r="G77" s="172">
        <v>3.2468873121269599</v>
      </c>
    </row>
    <row r="78" spans="2:7" hidden="1" x14ac:dyDescent="0.3">
      <c r="B78" s="172" t="s">
        <v>39</v>
      </c>
      <c r="C78" s="172" t="s">
        <v>82</v>
      </c>
      <c r="D78" s="172" t="s">
        <v>221</v>
      </c>
      <c r="E78" s="172">
        <v>2.1165344541977601E-2</v>
      </c>
      <c r="F78" s="172">
        <v>1.5678328299081098E-2</v>
      </c>
      <c r="G78" s="172">
        <v>1.3499745724305301</v>
      </c>
    </row>
    <row r="79" spans="2:7" hidden="1" x14ac:dyDescent="0.3">
      <c r="B79" s="172" t="s">
        <v>26</v>
      </c>
      <c r="C79" s="172" t="s">
        <v>82</v>
      </c>
      <c r="D79" s="172" t="s">
        <v>218</v>
      </c>
      <c r="E79" s="172">
        <v>4.69235126479865E-3</v>
      </c>
      <c r="F79" s="172">
        <v>1.42160222965585E-3</v>
      </c>
      <c r="G79" s="172">
        <v>3.3007483858087401</v>
      </c>
    </row>
    <row r="80" spans="2:7" hidden="1" x14ac:dyDescent="0.3">
      <c r="B80" s="172" t="s">
        <v>26</v>
      </c>
      <c r="C80" s="172" t="s">
        <v>82</v>
      </c>
      <c r="D80" s="172" t="s">
        <v>221</v>
      </c>
      <c r="E80" s="172">
        <v>1.7234706618856101E-2</v>
      </c>
      <c r="F80" s="172">
        <v>1.26556579696562E-2</v>
      </c>
      <c r="G80" s="172">
        <v>1.3618182997817201</v>
      </c>
    </row>
    <row r="81" spans="2:7" hidden="1" x14ac:dyDescent="0.3">
      <c r="B81" s="172" t="s">
        <v>25</v>
      </c>
      <c r="C81" s="172" t="s">
        <v>82</v>
      </c>
      <c r="D81" s="172" t="s">
        <v>218</v>
      </c>
      <c r="E81" s="172">
        <v>3.61333103834909E-3</v>
      </c>
      <c r="F81" s="172">
        <v>1.0821221053893999E-3</v>
      </c>
      <c r="G81" s="172">
        <v>3.3391158172938602</v>
      </c>
    </row>
    <row r="82" spans="2:7" hidden="1" x14ac:dyDescent="0.3">
      <c r="B82" s="172" t="s">
        <v>25</v>
      </c>
      <c r="C82" s="172" t="s">
        <v>82</v>
      </c>
      <c r="D82" s="172" t="s">
        <v>221</v>
      </c>
      <c r="E82" s="172">
        <v>1.3022892655963E-2</v>
      </c>
      <c r="F82" s="172">
        <v>9.4792001498194504E-3</v>
      </c>
      <c r="G82" s="172">
        <v>1.37383876805376</v>
      </c>
    </row>
    <row r="83" spans="2:7" hidden="1" x14ac:dyDescent="0.3">
      <c r="B83" s="172" t="s">
        <v>24</v>
      </c>
      <c r="C83" s="172" t="s">
        <v>82</v>
      </c>
      <c r="D83" s="172" t="s">
        <v>218</v>
      </c>
      <c r="E83" s="172">
        <v>2.4445650949443602E-3</v>
      </c>
      <c r="F83" s="172">
        <v>7.2848553531337399E-4</v>
      </c>
      <c r="G83" s="172">
        <v>3.3556810347549</v>
      </c>
    </row>
    <row r="84" spans="2:7" hidden="1" x14ac:dyDescent="0.3">
      <c r="B84" s="172" t="s">
        <v>24</v>
      </c>
      <c r="C84" s="172" t="s">
        <v>82</v>
      </c>
      <c r="D84" s="172" t="s">
        <v>221</v>
      </c>
      <c r="E84" s="172">
        <v>8.6129115907187803E-3</v>
      </c>
      <c r="F84" s="172">
        <v>6.2104002072354003E-3</v>
      </c>
      <c r="G84" s="172">
        <v>1.3868529085588299</v>
      </c>
    </row>
    <row r="85" spans="2:7" hidden="1" x14ac:dyDescent="0.3">
      <c r="B85" s="172" t="s">
        <v>22</v>
      </c>
      <c r="C85" s="172" t="s">
        <v>82</v>
      </c>
      <c r="D85" s="172" t="s">
        <v>218</v>
      </c>
      <c r="E85" s="172">
        <v>1.21272493034283E-3</v>
      </c>
      <c r="F85" s="172">
        <v>3.6809162688322602E-4</v>
      </c>
      <c r="G85" s="172">
        <v>3.2946278637507702</v>
      </c>
    </row>
    <row r="86" spans="2:7" hidden="1" x14ac:dyDescent="0.3">
      <c r="B86" s="172" t="s">
        <v>22</v>
      </c>
      <c r="C86" s="172" t="s">
        <v>82</v>
      </c>
      <c r="D86" s="172" t="s">
        <v>221</v>
      </c>
      <c r="E86" s="172">
        <v>4.1343110317170403E-3</v>
      </c>
      <c r="F86" s="172">
        <v>2.9518244068735999E-3</v>
      </c>
      <c r="G86" s="172">
        <v>1.4005951783886299</v>
      </c>
    </row>
    <row r="87" spans="2:7" hidden="1" x14ac:dyDescent="0.3">
      <c r="B87" s="172" t="s">
        <v>189</v>
      </c>
      <c r="C87" s="172" t="s">
        <v>246</v>
      </c>
      <c r="D87" s="172" t="s">
        <v>218</v>
      </c>
      <c r="E87" s="172">
        <v>2.3754935219650799E-3</v>
      </c>
      <c r="F87" s="172">
        <v>2.30756042043617E-3</v>
      </c>
      <c r="G87" s="172">
        <v>1.0294393598222999</v>
      </c>
    </row>
    <row r="88" spans="2:7" hidden="1" x14ac:dyDescent="0.3">
      <c r="B88" s="172" t="s">
        <v>189</v>
      </c>
      <c r="C88" s="172" t="s">
        <v>246</v>
      </c>
      <c r="D88" s="172" t="s">
        <v>221</v>
      </c>
      <c r="E88" s="172">
        <v>7.4756718659821397E-4</v>
      </c>
      <c r="F88" s="172">
        <v>6.62650809687078E-4</v>
      </c>
      <c r="G88" s="172">
        <v>1.12814649234525</v>
      </c>
    </row>
    <row r="89" spans="2:7" hidden="1" x14ac:dyDescent="0.3">
      <c r="B89" s="172" t="s">
        <v>187</v>
      </c>
      <c r="C89" s="172" t="s">
        <v>246</v>
      </c>
      <c r="D89" s="172" t="s">
        <v>218</v>
      </c>
      <c r="E89" s="172">
        <v>1.76560674991292E-3</v>
      </c>
      <c r="F89" s="172">
        <v>1.5547616493364E-3</v>
      </c>
      <c r="G89" s="172">
        <v>1.13561249125647</v>
      </c>
    </row>
    <row r="90" spans="2:7" hidden="1" x14ac:dyDescent="0.3">
      <c r="B90" s="172" t="s">
        <v>187</v>
      </c>
      <c r="C90" s="172" t="s">
        <v>246</v>
      </c>
      <c r="D90" s="172" t="s">
        <v>221</v>
      </c>
      <c r="E90" s="172">
        <v>6.8751012804683096E-4</v>
      </c>
      <c r="F90" s="172">
        <v>3.9232698723970299E-4</v>
      </c>
      <c r="G90" s="172">
        <v>1.7523906088743699</v>
      </c>
    </row>
    <row r="91" spans="2:7" hidden="1" x14ac:dyDescent="0.3">
      <c r="B91" s="172" t="s">
        <v>185</v>
      </c>
      <c r="C91" s="172" t="s">
        <v>246</v>
      </c>
      <c r="D91" s="172" t="s">
        <v>218</v>
      </c>
      <c r="E91" s="172">
        <v>1.48792366441182E-3</v>
      </c>
      <c r="F91" s="172">
        <v>1.2830463341080801E-3</v>
      </c>
      <c r="G91" s="172">
        <v>1.15968038320779</v>
      </c>
    </row>
    <row r="92" spans="2:7" hidden="1" x14ac:dyDescent="0.3">
      <c r="B92" s="172" t="s">
        <v>185</v>
      </c>
      <c r="C92" s="172" t="s">
        <v>246</v>
      </c>
      <c r="D92" s="172" t="s">
        <v>221</v>
      </c>
      <c r="E92" s="172">
        <v>6.4166045043408202E-4</v>
      </c>
      <c r="F92" s="172">
        <v>3.5483218800885601E-4</v>
      </c>
      <c r="G92" s="172">
        <v>1.80834905095495</v>
      </c>
    </row>
    <row r="93" spans="2:7" hidden="1" x14ac:dyDescent="0.3">
      <c r="B93" s="172" t="s">
        <v>183</v>
      </c>
      <c r="C93" s="172" t="s">
        <v>246</v>
      </c>
      <c r="D93" s="172" t="s">
        <v>218</v>
      </c>
      <c r="E93" s="172">
        <v>1.1925533979152401E-3</v>
      </c>
      <c r="F93" s="172">
        <v>1.0052232003794201E-3</v>
      </c>
      <c r="G93" s="172">
        <v>1.18635681853056</v>
      </c>
    </row>
    <row r="94" spans="2:7" hidden="1" x14ac:dyDescent="0.3">
      <c r="B94" s="172" t="s">
        <v>183</v>
      </c>
      <c r="C94" s="172" t="s">
        <v>246</v>
      </c>
      <c r="D94" s="172" t="s">
        <v>221</v>
      </c>
      <c r="E94" s="172">
        <v>5.7160195174886996E-4</v>
      </c>
      <c r="F94" s="172">
        <v>3.09339675198725E-4</v>
      </c>
      <c r="G94" s="172">
        <v>1.84781325376922</v>
      </c>
    </row>
    <row r="95" spans="2:7" hidden="1" x14ac:dyDescent="0.3">
      <c r="B95" s="172" t="s">
        <v>181</v>
      </c>
      <c r="C95" s="172" t="s">
        <v>246</v>
      </c>
      <c r="D95" s="172" t="s">
        <v>218</v>
      </c>
      <c r="E95" s="172">
        <v>9.13006673733421E-4</v>
      </c>
      <c r="F95" s="172">
        <v>7.4437244277040799E-4</v>
      </c>
      <c r="G95" s="172">
        <v>1.22654550501009</v>
      </c>
    </row>
    <row r="96" spans="2:7" hidden="1" x14ac:dyDescent="0.3">
      <c r="B96" s="172" t="s">
        <v>181</v>
      </c>
      <c r="C96" s="172" t="s">
        <v>246</v>
      </c>
      <c r="D96" s="172" t="s">
        <v>221</v>
      </c>
      <c r="E96" s="172">
        <v>5.0143051369369801E-4</v>
      </c>
      <c r="F96" s="172">
        <v>2.6534259034547997E-4</v>
      </c>
      <c r="G96" s="172">
        <v>1.8897475638601</v>
      </c>
    </row>
    <row r="97" spans="2:7" hidden="1" x14ac:dyDescent="0.3">
      <c r="B97" s="172" t="s">
        <v>179</v>
      </c>
      <c r="C97" s="172" t="s">
        <v>246</v>
      </c>
      <c r="D97" s="172" t="s">
        <v>218</v>
      </c>
      <c r="E97" s="172">
        <v>6.5263161746089804E-4</v>
      </c>
      <c r="F97" s="172">
        <v>5.0414535600769002E-4</v>
      </c>
      <c r="G97" s="172">
        <v>1.29453065407379</v>
      </c>
    </row>
    <row r="98" spans="2:7" hidden="1" x14ac:dyDescent="0.3">
      <c r="B98" s="172" t="s">
        <v>179</v>
      </c>
      <c r="C98" s="172" t="s">
        <v>246</v>
      </c>
      <c r="D98" s="172" t="s">
        <v>221</v>
      </c>
      <c r="E98" s="172">
        <v>4.3064332738670599E-4</v>
      </c>
      <c r="F98" s="172">
        <v>2.22762561352214E-4</v>
      </c>
      <c r="G98" s="172">
        <v>1.9331943607247699</v>
      </c>
    </row>
    <row r="99" spans="2:7" hidden="1" x14ac:dyDescent="0.3">
      <c r="B99" s="172" t="s">
        <v>39</v>
      </c>
      <c r="C99" s="172" t="s">
        <v>246</v>
      </c>
      <c r="D99" s="172" t="s">
        <v>218</v>
      </c>
      <c r="E99" s="172">
        <v>4.17051693833219E-4</v>
      </c>
      <c r="F99" s="172">
        <v>2.9000650257957902E-4</v>
      </c>
      <c r="G99" s="172">
        <v>1.4380770435268999</v>
      </c>
    </row>
    <row r="100" spans="2:7" hidden="1" x14ac:dyDescent="0.3">
      <c r="B100" s="172" t="s">
        <v>39</v>
      </c>
      <c r="C100" s="172" t="s">
        <v>246</v>
      </c>
      <c r="D100" s="172" t="s">
        <v>221</v>
      </c>
      <c r="E100" s="172">
        <v>3.6012144413629098E-4</v>
      </c>
      <c r="F100" s="172">
        <v>1.82258176381197E-4</v>
      </c>
      <c r="G100" s="172">
        <v>1.9758863568517799</v>
      </c>
    </row>
    <row r="101" spans="2:7" hidden="1" x14ac:dyDescent="0.3">
      <c r="B101" s="172" t="s">
        <v>26</v>
      </c>
      <c r="C101" s="172" t="s">
        <v>246</v>
      </c>
      <c r="D101" s="172" t="s">
        <v>218</v>
      </c>
      <c r="E101" s="172">
        <v>2.1252298808512499E-4</v>
      </c>
      <c r="F101" s="172">
        <v>1.11776494142791E-4</v>
      </c>
      <c r="G101" s="172">
        <v>1.90132093258922</v>
      </c>
    </row>
    <row r="102" spans="2:7" hidden="1" x14ac:dyDescent="0.3">
      <c r="B102" s="172" t="s">
        <v>26</v>
      </c>
      <c r="C102" s="172" t="s">
        <v>246</v>
      </c>
      <c r="D102" s="172" t="s">
        <v>221</v>
      </c>
      <c r="E102" s="172">
        <v>2.8128560801908E-4</v>
      </c>
      <c r="F102" s="172">
        <v>1.4024051649981199E-4</v>
      </c>
      <c r="G102" s="172">
        <v>2.0057371082161999</v>
      </c>
    </row>
    <row r="103" spans="2:7" hidden="1" x14ac:dyDescent="0.3">
      <c r="B103" s="172" t="s">
        <v>25</v>
      </c>
      <c r="C103" s="172" t="s">
        <v>246</v>
      </c>
      <c r="D103" s="172" t="s">
        <v>218</v>
      </c>
      <c r="E103" s="172">
        <v>1.0054024504410301E-4</v>
      </c>
      <c r="F103" s="172">
        <v>2.2978231642702801E-5</v>
      </c>
      <c r="G103" s="172">
        <v>4.3754561537824896</v>
      </c>
    </row>
    <row r="104" spans="2:7" hidden="1" x14ac:dyDescent="0.3">
      <c r="B104" s="172" t="s">
        <v>25</v>
      </c>
      <c r="C104" s="172" t="s">
        <v>246</v>
      </c>
      <c r="D104" s="172" t="s">
        <v>221</v>
      </c>
      <c r="E104" s="172">
        <v>2.1232718306022399E-4</v>
      </c>
      <c r="F104" s="172">
        <v>1.03740364298263E-4</v>
      </c>
      <c r="G104" s="172">
        <v>2.0467171529277</v>
      </c>
    </row>
    <row r="105" spans="2:7" hidden="1" x14ac:dyDescent="0.3">
      <c r="B105" s="172" t="s">
        <v>24</v>
      </c>
      <c r="C105" s="172" t="s">
        <v>246</v>
      </c>
      <c r="D105" s="172" t="s">
        <v>218</v>
      </c>
      <c r="E105" s="172">
        <v>1.6243628737041001E-4</v>
      </c>
      <c r="F105" s="172">
        <v>1.07349682572147E-4</v>
      </c>
      <c r="G105" s="172">
        <v>1.5131510730014499</v>
      </c>
    </row>
    <row r="106" spans="2:7" hidden="1" x14ac:dyDescent="0.3">
      <c r="B106" s="172" t="s">
        <v>24</v>
      </c>
      <c r="C106" s="172" t="s">
        <v>246</v>
      </c>
      <c r="D106" s="172" t="s">
        <v>221</v>
      </c>
      <c r="E106" s="172">
        <v>1.4884046291493199E-4</v>
      </c>
      <c r="F106" s="172">
        <v>7.1719216197364396E-5</v>
      </c>
      <c r="G106" s="172">
        <v>2.0753219402919498</v>
      </c>
    </row>
    <row r="107" spans="2:7" hidden="1" x14ac:dyDescent="0.3">
      <c r="B107" s="172" t="s">
        <v>22</v>
      </c>
      <c r="C107" s="172" t="s">
        <v>246</v>
      </c>
      <c r="D107" s="172" t="s">
        <v>218</v>
      </c>
      <c r="E107" s="172">
        <v>1.5448142124972801E-4</v>
      </c>
      <c r="F107" s="172">
        <v>1.2271924734541401E-4</v>
      </c>
      <c r="G107" s="172">
        <v>1.2588198232255501</v>
      </c>
    </row>
    <row r="108" spans="2:7" hidden="1" x14ac:dyDescent="0.3">
      <c r="B108" s="172" t="s">
        <v>22</v>
      </c>
      <c r="C108" s="172" t="s">
        <v>246</v>
      </c>
      <c r="D108" s="172" t="s">
        <v>221</v>
      </c>
      <c r="E108" s="172">
        <v>8.6157933026125797E-5</v>
      </c>
      <c r="F108" s="172">
        <v>4.1690889560087303E-5</v>
      </c>
      <c r="G108" s="172">
        <v>2.06658898227513</v>
      </c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2.39327217208656E-2</v>
      </c>
      <c r="F138" s="172">
        <v>2.33554400608206E-2</v>
      </c>
      <c r="G138" s="172">
        <v>1.0247172247040399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2.48926056544513E-2</v>
      </c>
      <c r="F139" s="172">
        <v>2.27426349131023E-2</v>
      </c>
      <c r="G139" s="172">
        <v>1.0945348131192301</v>
      </c>
    </row>
    <row r="140" spans="2:7" hidden="1" x14ac:dyDescent="0.3">
      <c r="B140" s="172" t="s">
        <v>187</v>
      </c>
      <c r="C140" s="172" t="s">
        <v>79</v>
      </c>
      <c r="D140" s="172" t="s">
        <v>221</v>
      </c>
      <c r="E140" s="172">
        <v>5.8220071119737902E-3</v>
      </c>
      <c r="F140" s="172">
        <v>2.8120480740851401E-3</v>
      </c>
      <c r="G140" s="172">
        <v>2.07037965162381</v>
      </c>
    </row>
    <row r="141" spans="2:7" hidden="1" x14ac:dyDescent="0.3">
      <c r="B141" s="172" t="s">
        <v>185</v>
      </c>
      <c r="C141" s="172" t="s">
        <v>79</v>
      </c>
      <c r="D141" s="172" t="s">
        <v>218</v>
      </c>
      <c r="E141" s="172">
        <v>2.38520654887171E-2</v>
      </c>
      <c r="F141" s="172">
        <v>2.1735434509738499E-2</v>
      </c>
      <c r="G141" s="172">
        <v>1.0973815811241401</v>
      </c>
    </row>
    <row r="142" spans="2:7" hidden="1" x14ac:dyDescent="0.3">
      <c r="B142" s="172" t="s">
        <v>185</v>
      </c>
      <c r="C142" s="172" t="s">
        <v>79</v>
      </c>
      <c r="D142" s="172" t="s">
        <v>221</v>
      </c>
      <c r="E142" s="172">
        <v>5.6455673385923198E-3</v>
      </c>
      <c r="F142" s="172">
        <v>2.6822839680223499E-3</v>
      </c>
      <c r="G142" s="172">
        <v>2.1047612429920401</v>
      </c>
    </row>
    <row r="143" spans="2:7" hidden="1" x14ac:dyDescent="0.3">
      <c r="B143" s="172" t="s">
        <v>183</v>
      </c>
      <c r="C143" s="172" t="s">
        <v>79</v>
      </c>
      <c r="D143" s="172" t="s">
        <v>218</v>
      </c>
      <c r="E143" s="172">
        <v>2.2309348030015701E-2</v>
      </c>
      <c r="F143" s="172">
        <v>2.0277427431198099E-2</v>
      </c>
      <c r="G143" s="172">
        <v>1.1002060347996301</v>
      </c>
    </row>
    <row r="144" spans="2:7" hidden="1" x14ac:dyDescent="0.3">
      <c r="B144" s="172" t="s">
        <v>183</v>
      </c>
      <c r="C144" s="172" t="s">
        <v>79</v>
      </c>
      <c r="D144" s="172" t="s">
        <v>221</v>
      </c>
      <c r="E144" s="172">
        <v>5.3439345218528897E-3</v>
      </c>
      <c r="F144" s="172">
        <v>2.49924568350834E-3</v>
      </c>
      <c r="G144" s="172">
        <v>2.13821896627277</v>
      </c>
    </row>
    <row r="145" spans="2:7" hidden="1" x14ac:dyDescent="0.3">
      <c r="B145" s="172" t="s">
        <v>181</v>
      </c>
      <c r="C145" s="172" t="s">
        <v>79</v>
      </c>
      <c r="D145" s="172" t="s">
        <v>218</v>
      </c>
      <c r="E145" s="172">
        <v>2.03199662726927E-2</v>
      </c>
      <c r="F145" s="172">
        <v>1.84246972830674E-2</v>
      </c>
      <c r="G145" s="172">
        <v>1.10286567863273</v>
      </c>
    </row>
    <row r="146" spans="2:7" hidden="1" x14ac:dyDescent="0.3">
      <c r="B146" s="172" t="s">
        <v>181</v>
      </c>
      <c r="C146" s="172" t="s">
        <v>79</v>
      </c>
      <c r="D146" s="172" t="s">
        <v>221</v>
      </c>
      <c r="E146" s="172">
        <v>4.9229830554304204E-3</v>
      </c>
      <c r="F146" s="172">
        <v>2.2696064699548901E-3</v>
      </c>
      <c r="G146" s="172">
        <v>2.1690910387333702</v>
      </c>
    </row>
    <row r="147" spans="2:7" hidden="1" x14ac:dyDescent="0.3">
      <c r="B147" s="172" t="s">
        <v>179</v>
      </c>
      <c r="C147" s="172" t="s">
        <v>79</v>
      </c>
      <c r="D147" s="172" t="s">
        <v>218</v>
      </c>
      <c r="E147" s="172">
        <v>1.7955305500096198E-2</v>
      </c>
      <c r="F147" s="172">
        <v>1.62414375484949E-2</v>
      </c>
      <c r="G147" s="172">
        <v>1.10552439994822</v>
      </c>
    </row>
    <row r="148" spans="2:7" hidden="1" x14ac:dyDescent="0.3">
      <c r="B148" s="172" t="s">
        <v>179</v>
      </c>
      <c r="C148" s="172" t="s">
        <v>79</v>
      </c>
      <c r="D148" s="172" t="s">
        <v>221</v>
      </c>
      <c r="E148" s="172">
        <v>4.4005864166582302E-3</v>
      </c>
      <c r="F148" s="172">
        <v>2.0011712844163602E-3</v>
      </c>
      <c r="G148" s="172">
        <v>2.1990053779637702</v>
      </c>
    </row>
    <row r="149" spans="2:7" hidden="1" x14ac:dyDescent="0.3">
      <c r="B149" s="172" t="s">
        <v>39</v>
      </c>
      <c r="C149" s="172" t="s">
        <v>79</v>
      </c>
      <c r="D149" s="172" t="s">
        <v>218</v>
      </c>
      <c r="E149" s="172">
        <v>1.52833788032939E-2</v>
      </c>
      <c r="F149" s="172">
        <v>1.3789755530848401E-2</v>
      </c>
      <c r="G149" s="172">
        <v>1.1083139776556701</v>
      </c>
    </row>
    <row r="150" spans="2:7" hidden="1" x14ac:dyDescent="0.3">
      <c r="B150" s="172" t="s">
        <v>39</v>
      </c>
      <c r="C150" s="172" t="s">
        <v>79</v>
      </c>
      <c r="D150" s="172" t="s">
        <v>221</v>
      </c>
      <c r="E150" s="172">
        <v>3.7919240904235102E-3</v>
      </c>
      <c r="F150" s="172">
        <v>1.7008515089997601E-3</v>
      </c>
      <c r="G150" s="172">
        <v>2.2294268902130501</v>
      </c>
    </row>
    <row r="151" spans="2:7" hidden="1" x14ac:dyDescent="0.3">
      <c r="B151" s="172" t="s">
        <v>26</v>
      </c>
      <c r="C151" s="172" t="s">
        <v>79</v>
      </c>
      <c r="D151" s="172" t="s">
        <v>218</v>
      </c>
      <c r="E151" s="172">
        <v>1.2393556657618401E-2</v>
      </c>
      <c r="F151" s="172">
        <v>1.11576881733616E-2</v>
      </c>
      <c r="G151" s="172">
        <v>1.1107638486624301</v>
      </c>
    </row>
    <row r="152" spans="2:7" hidden="1" x14ac:dyDescent="0.3">
      <c r="B152" s="172" t="s">
        <v>26</v>
      </c>
      <c r="C152" s="172" t="s">
        <v>79</v>
      </c>
      <c r="D152" s="172" t="s">
        <v>221</v>
      </c>
      <c r="E152" s="172">
        <v>3.1054490625853099E-3</v>
      </c>
      <c r="F152" s="172">
        <v>1.37523318462585E-3</v>
      </c>
      <c r="G152" s="172">
        <v>2.2581254563241102</v>
      </c>
    </row>
    <row r="153" spans="2:7" hidden="1" x14ac:dyDescent="0.3">
      <c r="B153" s="172" t="s">
        <v>25</v>
      </c>
      <c r="C153" s="172" t="s">
        <v>79</v>
      </c>
      <c r="D153" s="172" t="s">
        <v>218</v>
      </c>
      <c r="E153" s="172">
        <v>9.3563039458271196E-3</v>
      </c>
      <c r="F153" s="172">
        <v>8.4126525858525293E-3</v>
      </c>
      <c r="G153" s="172">
        <v>1.1121704896695199</v>
      </c>
    </row>
    <row r="154" spans="2:7" hidden="1" x14ac:dyDescent="0.3">
      <c r="B154" s="172" t="s">
        <v>25</v>
      </c>
      <c r="C154" s="172" t="s">
        <v>79</v>
      </c>
      <c r="D154" s="172" t="s">
        <v>221</v>
      </c>
      <c r="E154" s="172">
        <v>2.3537777219276102E-3</v>
      </c>
      <c r="F154" s="172">
        <v>1.0326658179631799E-3</v>
      </c>
      <c r="G154" s="172">
        <v>2.2793218105835802</v>
      </c>
    </row>
    <row r="155" spans="2:7" hidden="1" x14ac:dyDescent="0.3">
      <c r="B155" s="172" t="s">
        <v>24</v>
      </c>
      <c r="C155" s="172" t="s">
        <v>79</v>
      </c>
      <c r="D155" s="172" t="s">
        <v>218</v>
      </c>
      <c r="E155" s="172">
        <v>6.2170811624462398E-3</v>
      </c>
      <c r="F155" s="172">
        <v>5.5920887703868397E-3</v>
      </c>
      <c r="G155" s="172">
        <v>1.11176367502767</v>
      </c>
    </row>
    <row r="156" spans="2:7" hidden="1" x14ac:dyDescent="0.3">
      <c r="B156" s="172" t="s">
        <v>24</v>
      </c>
      <c r="C156" s="172" t="s">
        <v>79</v>
      </c>
      <c r="D156" s="172" t="s">
        <v>221</v>
      </c>
      <c r="E156" s="172">
        <v>1.5544684607255699E-3</v>
      </c>
      <c r="F156" s="172">
        <v>6.7947911184240803E-4</v>
      </c>
      <c r="G156" s="172">
        <v>2.2877354632883899</v>
      </c>
    </row>
    <row r="157" spans="2:7" hidden="1" x14ac:dyDescent="0.3">
      <c r="B157" s="172" t="s">
        <v>22</v>
      </c>
      <c r="C157" s="172" t="s">
        <v>79</v>
      </c>
      <c r="D157" s="172" t="s">
        <v>218</v>
      </c>
      <c r="E157" s="172">
        <v>3.0577625514980199E-3</v>
      </c>
      <c r="F157" s="172">
        <v>2.7672983512935E-3</v>
      </c>
      <c r="G157" s="172">
        <v>1.1049630951678</v>
      </c>
    </row>
    <row r="158" spans="2:7" hidden="1" x14ac:dyDescent="0.3">
      <c r="B158" s="172" t="s">
        <v>22</v>
      </c>
      <c r="C158" s="172" t="s">
        <v>79</v>
      </c>
      <c r="D158" s="172" t="s">
        <v>221</v>
      </c>
      <c r="E158" s="172">
        <v>7.3356435056569499E-4</v>
      </c>
      <c r="F158" s="172">
        <v>3.26914470279359E-4</v>
      </c>
      <c r="G158" s="172">
        <v>2.2439029692960402</v>
      </c>
    </row>
    <row r="159" spans="2:7" x14ac:dyDescent="0.3">
      <c r="B159" s="172" t="s">
        <v>189</v>
      </c>
      <c r="C159" s="172" t="s">
        <v>80</v>
      </c>
      <c r="D159" s="172" t="s">
        <v>218</v>
      </c>
      <c r="E159" s="172">
        <v>2.4078415536339499E-2</v>
      </c>
      <c r="F159" s="172">
        <v>2.3815768875253301E-2</v>
      </c>
      <c r="G159" s="172">
        <v>1.01102826713099</v>
      </c>
    </row>
    <row r="160" spans="2:7" hidden="1" x14ac:dyDescent="0.3">
      <c r="B160" s="172" t="s">
        <v>189</v>
      </c>
      <c r="C160" s="172" t="s">
        <v>80</v>
      </c>
      <c r="D160" s="172" t="s">
        <v>221</v>
      </c>
      <c r="E160" s="172">
        <v>3.8861741452978398E-3</v>
      </c>
      <c r="F160" s="172">
        <v>3.5578658189399899E-3</v>
      </c>
      <c r="G160" s="172">
        <v>1.09227675889577</v>
      </c>
    </row>
    <row r="161" spans="2:7" x14ac:dyDescent="0.3">
      <c r="B161" s="172" t="s">
        <v>187</v>
      </c>
      <c r="C161" s="172" t="s">
        <v>80</v>
      </c>
      <c r="D161" s="172" t="s">
        <v>218</v>
      </c>
      <c r="E161" s="172">
        <v>2.3488545979633599E-2</v>
      </c>
      <c r="F161" s="172">
        <v>2.2585687415059001E-2</v>
      </c>
      <c r="G161" s="172">
        <v>1.0399748100636801</v>
      </c>
    </row>
    <row r="162" spans="2:7" hidden="1" x14ac:dyDescent="0.3">
      <c r="B162" s="172" t="s">
        <v>187</v>
      </c>
      <c r="C162" s="172" t="s">
        <v>80</v>
      </c>
      <c r="D162" s="172" t="s">
        <v>221</v>
      </c>
      <c r="E162" s="172">
        <v>3.6822670096000802E-3</v>
      </c>
      <c r="F162" s="172">
        <v>2.41826501919566E-3</v>
      </c>
      <c r="G162" s="172">
        <v>1.52268960613128</v>
      </c>
    </row>
    <row r="163" spans="2:7" x14ac:dyDescent="0.3">
      <c r="B163" s="172" t="s">
        <v>185</v>
      </c>
      <c r="C163" s="172" t="s">
        <v>80</v>
      </c>
      <c r="D163" s="172" t="s">
        <v>218</v>
      </c>
      <c r="E163" s="172">
        <v>2.2402330921116698E-2</v>
      </c>
      <c r="F163" s="172">
        <v>2.1582989547660601E-2</v>
      </c>
      <c r="G163" s="172">
        <v>1.03796236715246</v>
      </c>
    </row>
    <row r="164" spans="2:7" hidden="1" x14ac:dyDescent="0.3">
      <c r="B164" s="172" t="s">
        <v>185</v>
      </c>
      <c r="C164" s="172" t="s">
        <v>80</v>
      </c>
      <c r="D164" s="172" t="s">
        <v>221</v>
      </c>
      <c r="E164" s="172">
        <v>3.4280177443305202E-3</v>
      </c>
      <c r="F164" s="172">
        <v>2.2809398214919899E-3</v>
      </c>
      <c r="G164" s="172">
        <v>1.5028970567440101</v>
      </c>
    </row>
    <row r="165" spans="2:7" x14ac:dyDescent="0.3">
      <c r="B165" s="172" t="s">
        <v>183</v>
      </c>
      <c r="C165" s="172" t="s">
        <v>80</v>
      </c>
      <c r="D165" s="172" t="s">
        <v>218</v>
      </c>
      <c r="E165" s="172">
        <v>2.0856394892296799E-2</v>
      </c>
      <c r="F165" s="172">
        <v>2.01322789163246E-2</v>
      </c>
      <c r="G165" s="172">
        <v>1.0359679089973799</v>
      </c>
    </row>
    <row r="166" spans="2:7" hidden="1" x14ac:dyDescent="0.3">
      <c r="B166" s="172" t="s">
        <v>183</v>
      </c>
      <c r="C166" s="172" t="s">
        <v>80</v>
      </c>
      <c r="D166" s="172" t="s">
        <v>221</v>
      </c>
      <c r="E166" s="172">
        <v>3.1143844626445299E-3</v>
      </c>
      <c r="F166" s="172">
        <v>2.1006220962833601E-3</v>
      </c>
      <c r="G166" s="172">
        <v>1.4826010200287001</v>
      </c>
    </row>
    <row r="167" spans="2:7" x14ac:dyDescent="0.3">
      <c r="B167" s="172" t="s">
        <v>181</v>
      </c>
      <c r="C167" s="172" t="s">
        <v>80</v>
      </c>
      <c r="D167" s="172" t="s">
        <v>218</v>
      </c>
      <c r="E167" s="172">
        <v>1.8913914075758799E-2</v>
      </c>
      <c r="F167" s="172">
        <v>1.8290447651844399E-2</v>
      </c>
      <c r="G167" s="172">
        <v>1.0340869964356201</v>
      </c>
    </row>
    <row r="168" spans="2:7" hidden="1" x14ac:dyDescent="0.3">
      <c r="B168" s="172" t="s">
        <v>181</v>
      </c>
      <c r="C168" s="172" t="s">
        <v>80</v>
      </c>
      <c r="D168" s="172" t="s">
        <v>221</v>
      </c>
      <c r="E168" s="172">
        <v>2.75856255881926E-3</v>
      </c>
      <c r="F168" s="172">
        <v>1.8857095653391201E-3</v>
      </c>
      <c r="G168" s="172">
        <v>1.4628777461407001</v>
      </c>
    </row>
    <row r="169" spans="2:7" x14ac:dyDescent="0.3">
      <c r="B169" s="172" t="s">
        <v>179</v>
      </c>
      <c r="C169" s="172" t="s">
        <v>80</v>
      </c>
      <c r="D169" s="172" t="s">
        <v>218</v>
      </c>
      <c r="E169" s="172">
        <v>1.6640127111430401E-2</v>
      </c>
      <c r="F169" s="172">
        <v>1.61212252746047E-2</v>
      </c>
      <c r="G169" s="172">
        <v>1.0321874936915101</v>
      </c>
    </row>
    <row r="170" spans="2:7" hidden="1" x14ac:dyDescent="0.3">
      <c r="B170" s="172" t="s">
        <v>179</v>
      </c>
      <c r="C170" s="172" t="s">
        <v>80</v>
      </c>
      <c r="D170" s="172" t="s">
        <v>221</v>
      </c>
      <c r="E170" s="172">
        <v>2.3690527685645301E-3</v>
      </c>
      <c r="F170" s="172">
        <v>1.64259019700858E-3</v>
      </c>
      <c r="G170" s="172">
        <v>1.4422664721115199</v>
      </c>
    </row>
    <row r="171" spans="2:7" x14ac:dyDescent="0.3">
      <c r="B171" s="172" t="s">
        <v>39</v>
      </c>
      <c r="C171" s="172" t="s">
        <v>80</v>
      </c>
      <c r="D171" s="172" t="s">
        <v>218</v>
      </c>
      <c r="E171" s="172">
        <v>1.4098886993074501E-2</v>
      </c>
      <c r="F171" s="172">
        <v>1.36861834659601E-2</v>
      </c>
      <c r="G171" s="172">
        <v>1.0301547563015601</v>
      </c>
    </row>
    <row r="172" spans="2:7" hidden="1" x14ac:dyDescent="0.3">
      <c r="B172" s="172" t="s">
        <v>39</v>
      </c>
      <c r="C172" s="172" t="s">
        <v>80</v>
      </c>
      <c r="D172" s="172" t="s">
        <v>221</v>
      </c>
      <c r="E172" s="172">
        <v>1.9550212506737599E-3</v>
      </c>
      <c r="F172" s="172">
        <v>1.3772363127136E-3</v>
      </c>
      <c r="G172" s="172">
        <v>1.41952490841731</v>
      </c>
    </row>
    <row r="173" spans="2:7" x14ac:dyDescent="0.3">
      <c r="B173" s="172" t="s">
        <v>26</v>
      </c>
      <c r="C173" s="172" t="s">
        <v>80</v>
      </c>
      <c r="D173" s="172" t="s">
        <v>218</v>
      </c>
      <c r="E173" s="172">
        <v>1.1386061166661399E-2</v>
      </c>
      <c r="F173" s="172">
        <v>1.1072984748063E-2</v>
      </c>
      <c r="G173" s="172">
        <v>1.0282738959477999</v>
      </c>
    </row>
    <row r="174" spans="2:7" x14ac:dyDescent="0.3">
      <c r="B174" s="172" t="s">
        <v>25</v>
      </c>
      <c r="C174" s="172" t="s">
        <v>80</v>
      </c>
      <c r="D174" s="172" t="s">
        <v>218</v>
      </c>
      <c r="E174" s="172">
        <v>8.5748366177850702E-3</v>
      </c>
      <c r="F174" s="172">
        <v>8.3496895611027602E-3</v>
      </c>
      <c r="G174" s="172">
        <v>1.0269647218659701</v>
      </c>
    </row>
    <row r="175" spans="2:7" x14ac:dyDescent="0.3">
      <c r="B175" s="172" t="s">
        <v>24</v>
      </c>
      <c r="C175" s="172" t="s">
        <v>80</v>
      </c>
      <c r="D175" s="172" t="s">
        <v>218</v>
      </c>
      <c r="E175" s="172">
        <v>5.6999605104248096E-3</v>
      </c>
      <c r="F175" s="172">
        <v>5.5526855319362198E-3</v>
      </c>
      <c r="G175" s="172">
        <v>1.0265231981248599</v>
      </c>
    </row>
    <row r="176" spans="2:7" x14ac:dyDescent="0.3">
      <c r="B176" s="172" t="s">
        <v>22</v>
      </c>
      <c r="C176" s="172" t="s">
        <v>80</v>
      </c>
      <c r="D176" s="172" t="s">
        <v>218</v>
      </c>
      <c r="E176" s="172">
        <v>2.8330385547833E-3</v>
      </c>
      <c r="F176" s="172">
        <v>2.7520334477351802E-3</v>
      </c>
      <c r="G176" s="172">
        <v>1.0294346375458401</v>
      </c>
    </row>
    <row r="177" spans="2:7" hidden="1" x14ac:dyDescent="0.3">
      <c r="B177" s="172" t="s">
        <v>189</v>
      </c>
      <c r="C177" s="172" t="s">
        <v>81</v>
      </c>
      <c r="D177" s="172" t="s">
        <v>221</v>
      </c>
      <c r="E177" s="172">
        <v>2.5662983354547399E-2</v>
      </c>
      <c r="F177" s="172">
        <v>2.5325505448038702E-2</v>
      </c>
      <c r="G177" s="172">
        <v>1.0133256138639</v>
      </c>
    </row>
    <row r="178" spans="2:7" hidden="1" x14ac:dyDescent="0.3">
      <c r="B178" s="172" t="s">
        <v>187</v>
      </c>
      <c r="C178" s="172" t="s">
        <v>81</v>
      </c>
      <c r="D178" s="172" t="s">
        <v>218</v>
      </c>
      <c r="E178" s="172">
        <v>3.90013239020261E-3</v>
      </c>
      <c r="F178" s="172">
        <v>2.5679580985136E-3</v>
      </c>
      <c r="G178" s="172">
        <v>1.5187679240016001</v>
      </c>
    </row>
    <row r="179" spans="2:7" hidden="1" x14ac:dyDescent="0.3">
      <c r="B179" s="172" t="s">
        <v>187</v>
      </c>
      <c r="C179" s="172" t="s">
        <v>81</v>
      </c>
      <c r="D179" s="172" t="s">
        <v>221</v>
      </c>
      <c r="E179" s="172">
        <v>2.7450373723484599E-2</v>
      </c>
      <c r="F179" s="172">
        <v>2.5585329715119998E-2</v>
      </c>
      <c r="G179" s="172">
        <v>1.0728950546712099</v>
      </c>
    </row>
    <row r="180" spans="2:7" hidden="1" x14ac:dyDescent="0.3">
      <c r="B180" s="172" t="s">
        <v>185</v>
      </c>
      <c r="C180" s="172" t="s">
        <v>81</v>
      </c>
      <c r="D180" s="172" t="s">
        <v>218</v>
      </c>
      <c r="E180" s="172">
        <v>3.9088490359283096E-3</v>
      </c>
      <c r="F180" s="172">
        <v>2.46794440931943E-3</v>
      </c>
      <c r="G180" s="172">
        <v>1.5838480887850399</v>
      </c>
    </row>
    <row r="181" spans="2:7" hidden="1" x14ac:dyDescent="0.3">
      <c r="B181" s="172" t="s">
        <v>185</v>
      </c>
      <c r="C181" s="172" t="s">
        <v>81</v>
      </c>
      <c r="D181" s="172" t="s">
        <v>221</v>
      </c>
      <c r="E181" s="172">
        <v>2.6360720205516101E-2</v>
      </c>
      <c r="F181" s="172">
        <v>2.43434537282636E-2</v>
      </c>
      <c r="G181" s="172">
        <v>1.08286689718601</v>
      </c>
    </row>
    <row r="182" spans="2:7" hidden="1" x14ac:dyDescent="0.3">
      <c r="B182" s="172" t="s">
        <v>183</v>
      </c>
      <c r="C182" s="172" t="s">
        <v>81</v>
      </c>
      <c r="D182" s="172" t="s">
        <v>218</v>
      </c>
      <c r="E182" s="172">
        <v>3.8047081390510302E-3</v>
      </c>
      <c r="F182" s="172">
        <v>2.31168200062187E-3</v>
      </c>
      <c r="G182" s="172">
        <v>1.6458613849255701</v>
      </c>
    </row>
    <row r="183" spans="2:7" hidden="1" x14ac:dyDescent="0.3">
      <c r="B183" s="172" t="s">
        <v>183</v>
      </c>
      <c r="C183" s="172" t="s">
        <v>81</v>
      </c>
      <c r="D183" s="172" t="s">
        <v>221</v>
      </c>
      <c r="E183" s="172">
        <v>2.4715293234073E-2</v>
      </c>
      <c r="F183" s="172">
        <v>2.26250566402721E-2</v>
      </c>
      <c r="G183" s="172">
        <v>1.0923859165099401</v>
      </c>
    </row>
    <row r="184" spans="2:7" hidden="1" x14ac:dyDescent="0.3">
      <c r="B184" s="172" t="s">
        <v>181</v>
      </c>
      <c r="C184" s="172" t="s">
        <v>81</v>
      </c>
      <c r="D184" s="172" t="s">
        <v>218</v>
      </c>
      <c r="E184" s="172">
        <v>3.5961544036239401E-3</v>
      </c>
      <c r="F184" s="172">
        <v>2.1106444574811299E-3</v>
      </c>
      <c r="G184" s="172">
        <v>1.7038181825827901</v>
      </c>
    </row>
    <row r="185" spans="2:7" hidden="1" x14ac:dyDescent="0.3">
      <c r="B185" s="172" t="s">
        <v>181</v>
      </c>
      <c r="C185" s="172" t="s">
        <v>81</v>
      </c>
      <c r="D185" s="172" t="s">
        <v>221</v>
      </c>
      <c r="E185" s="172">
        <v>2.2562592863643701E-2</v>
      </c>
      <c r="F185" s="172">
        <v>2.0482878939043801E-2</v>
      </c>
      <c r="G185" s="172">
        <v>1.1015342584794401</v>
      </c>
    </row>
    <row r="186" spans="2:7" hidden="1" x14ac:dyDescent="0.3">
      <c r="B186" s="172" t="s">
        <v>179</v>
      </c>
      <c r="C186" s="172" t="s">
        <v>81</v>
      </c>
      <c r="D186" s="172" t="s">
        <v>218</v>
      </c>
      <c r="E186" s="172">
        <v>3.2989710924143899E-3</v>
      </c>
      <c r="F186" s="172">
        <v>1.8725221889826301E-3</v>
      </c>
      <c r="G186" s="172">
        <v>1.76177943942377</v>
      </c>
    </row>
    <row r="187" spans="2:7" hidden="1" x14ac:dyDescent="0.3">
      <c r="B187" s="172" t="s">
        <v>179</v>
      </c>
      <c r="C187" s="172" t="s">
        <v>81</v>
      </c>
      <c r="D187" s="172" t="s">
        <v>221</v>
      </c>
      <c r="E187" s="172">
        <v>1.9993499885898301E-2</v>
      </c>
      <c r="F187" s="172">
        <v>1.7996471421093799E-2</v>
      </c>
      <c r="G187" s="172">
        <v>1.1109677790760499</v>
      </c>
    </row>
    <row r="188" spans="2:7" hidden="1" x14ac:dyDescent="0.3">
      <c r="B188" s="172" t="s">
        <v>39</v>
      </c>
      <c r="C188" s="172" t="s">
        <v>81</v>
      </c>
      <c r="D188" s="172" t="s">
        <v>218</v>
      </c>
      <c r="E188" s="172">
        <v>2.9231856154803299E-3</v>
      </c>
      <c r="F188" s="172">
        <v>1.6031783938137299E-3</v>
      </c>
      <c r="G188" s="172">
        <v>1.82336889441636</v>
      </c>
    </row>
    <row r="189" spans="2:7" hidden="1" x14ac:dyDescent="0.3">
      <c r="B189" s="172" t="s">
        <v>39</v>
      </c>
      <c r="C189" s="172" t="s">
        <v>81</v>
      </c>
      <c r="D189" s="172" t="s">
        <v>221</v>
      </c>
      <c r="E189" s="172">
        <v>1.7085293764624698E-2</v>
      </c>
      <c r="F189" s="172">
        <v>1.52372836542915E-2</v>
      </c>
      <c r="G189" s="172">
        <v>1.1212821229991801</v>
      </c>
    </row>
    <row r="190" spans="2:7" hidden="1" x14ac:dyDescent="0.3">
      <c r="B190" s="172" t="s">
        <v>26</v>
      </c>
      <c r="C190" s="172" t="s">
        <v>81</v>
      </c>
      <c r="D190" s="172" t="s">
        <v>218</v>
      </c>
      <c r="E190" s="172">
        <v>2.4639186038890302E-3</v>
      </c>
      <c r="F190" s="172">
        <v>1.3061053601997399E-3</v>
      </c>
      <c r="G190" s="172">
        <v>1.88646236281599</v>
      </c>
    </row>
    <row r="191" spans="2:7" hidden="1" x14ac:dyDescent="0.3">
      <c r="B191" s="172" t="s">
        <v>26</v>
      </c>
      <c r="C191" s="172" t="s">
        <v>81</v>
      </c>
      <c r="D191" s="172" t="s">
        <v>221</v>
      </c>
      <c r="E191" s="172">
        <v>1.38974633765198E-2</v>
      </c>
      <c r="F191" s="172">
        <v>1.22765248353548E-2</v>
      </c>
      <c r="G191" s="172">
        <v>1.13203561780749</v>
      </c>
    </row>
    <row r="192" spans="2:7" hidden="1" x14ac:dyDescent="0.3">
      <c r="B192" s="172" t="s">
        <v>25</v>
      </c>
      <c r="C192" s="172" t="s">
        <v>81</v>
      </c>
      <c r="D192" s="172" t="s">
        <v>218</v>
      </c>
      <c r="E192" s="172">
        <v>1.9316473621250399E-3</v>
      </c>
      <c r="F192" s="172">
        <v>9.96178344826547E-4</v>
      </c>
      <c r="G192" s="172">
        <v>1.93905777229214</v>
      </c>
    </row>
    <row r="193" spans="2:7" hidden="1" x14ac:dyDescent="0.3">
      <c r="B193" s="172" t="s">
        <v>25</v>
      </c>
      <c r="C193" s="172" t="s">
        <v>81</v>
      </c>
      <c r="D193" s="172" t="s">
        <v>221</v>
      </c>
      <c r="E193" s="172">
        <v>1.0487089501414901E-2</v>
      </c>
      <c r="F193" s="172">
        <v>9.1774328771969706E-3</v>
      </c>
      <c r="G193" s="172">
        <v>1.14270402646823</v>
      </c>
    </row>
    <row r="194" spans="2:7" hidden="1" x14ac:dyDescent="0.3">
      <c r="B194" s="172" t="s">
        <v>24</v>
      </c>
      <c r="C194" s="172" t="s">
        <v>81</v>
      </c>
      <c r="D194" s="172" t="s">
        <v>218</v>
      </c>
      <c r="E194" s="172">
        <v>1.3351973884340601E-3</v>
      </c>
      <c r="F194" s="172">
        <v>6.74631135753849E-4</v>
      </c>
      <c r="G194" s="172">
        <v>1.97915174333316</v>
      </c>
    </row>
    <row r="195" spans="2:7" hidden="1" x14ac:dyDescent="0.3">
      <c r="B195" s="172" t="s">
        <v>24</v>
      </c>
      <c r="C195" s="172" t="s">
        <v>81</v>
      </c>
      <c r="D195" s="172" t="s">
        <v>221</v>
      </c>
      <c r="E195" s="172">
        <v>6.9247827911915298E-3</v>
      </c>
      <c r="F195" s="172">
        <v>5.9999900374392403E-3</v>
      </c>
      <c r="G195" s="172">
        <v>1.1541323815509199</v>
      </c>
    </row>
    <row r="196" spans="2:7" hidden="1" x14ac:dyDescent="0.3">
      <c r="B196" s="172" t="s">
        <v>22</v>
      </c>
      <c r="C196" s="172" t="s">
        <v>81</v>
      </c>
      <c r="D196" s="172" t="s">
        <v>218</v>
      </c>
      <c r="E196" s="172">
        <v>6.8364494395284695E-4</v>
      </c>
      <c r="F196" s="172">
        <v>3.4720364403502998E-4</v>
      </c>
      <c r="G196" s="172">
        <v>1.96900279043118</v>
      </c>
    </row>
    <row r="197" spans="2:7" hidden="1" x14ac:dyDescent="0.3">
      <c r="B197" s="172" t="s">
        <v>22</v>
      </c>
      <c r="C197" s="172" t="s">
        <v>81</v>
      </c>
      <c r="D197" s="172" t="s">
        <v>221</v>
      </c>
      <c r="E197" s="172">
        <v>3.3166823594037902E-3</v>
      </c>
      <c r="F197" s="172">
        <v>2.8456645395188401E-3</v>
      </c>
      <c r="G197" s="172">
        <v>1.1655212036920499</v>
      </c>
    </row>
    <row r="198" spans="2:7" hidden="1" x14ac:dyDescent="0.3">
      <c r="B198" s="172" t="s">
        <v>189</v>
      </c>
      <c r="C198" s="172" t="s">
        <v>82</v>
      </c>
      <c r="D198" s="172" t="s">
        <v>221</v>
      </c>
      <c r="E198" s="172">
        <v>2.3029165696140299E-2</v>
      </c>
      <c r="F198" s="172">
        <v>2.12588479352805E-2</v>
      </c>
      <c r="G198" s="172">
        <v>1.0832743978530399</v>
      </c>
    </row>
    <row r="199" spans="2:7" hidden="1" x14ac:dyDescent="0.3">
      <c r="B199" s="172" t="s">
        <v>187</v>
      </c>
      <c r="C199" s="172" t="s">
        <v>82</v>
      </c>
      <c r="D199" s="172" t="s">
        <v>218</v>
      </c>
      <c r="E199" s="172">
        <v>8.2864473340363305E-3</v>
      </c>
      <c r="F199" s="172">
        <v>2.7823270936278002E-3</v>
      </c>
      <c r="G199" s="172">
        <v>2.9782434110692102</v>
      </c>
    </row>
    <row r="200" spans="2:7" hidden="1" x14ac:dyDescent="0.3">
      <c r="B200" s="172" t="s">
        <v>187</v>
      </c>
      <c r="C200" s="172" t="s">
        <v>82</v>
      </c>
      <c r="D200" s="172" t="s">
        <v>221</v>
      </c>
      <c r="E200" s="172">
        <v>3.3828989306081102E-2</v>
      </c>
      <c r="F200" s="172">
        <v>2.6123220969509101E-2</v>
      </c>
      <c r="G200" s="172">
        <v>1.2949777267346201</v>
      </c>
    </row>
    <row r="201" spans="2:7" hidden="1" x14ac:dyDescent="0.3">
      <c r="B201" s="172" t="s">
        <v>185</v>
      </c>
      <c r="C201" s="172" t="s">
        <v>82</v>
      </c>
      <c r="D201" s="172" t="s">
        <v>218</v>
      </c>
      <c r="E201" s="172">
        <v>8.1287065374213603E-3</v>
      </c>
      <c r="F201" s="172">
        <v>2.6761507232311802E-3</v>
      </c>
      <c r="G201" s="172">
        <v>3.0374621529563099</v>
      </c>
    </row>
    <row r="202" spans="2:7" hidden="1" x14ac:dyDescent="0.3">
      <c r="B202" s="172" t="s">
        <v>185</v>
      </c>
      <c r="C202" s="172" t="s">
        <v>82</v>
      </c>
      <c r="D202" s="172" t="s">
        <v>221</v>
      </c>
      <c r="E202" s="172">
        <v>3.2525142896150203E-2</v>
      </c>
      <c r="F202" s="172">
        <v>2.4891564756283999E-2</v>
      </c>
      <c r="G202" s="172">
        <v>1.30667329332677</v>
      </c>
    </row>
    <row r="203" spans="2:7" hidden="1" x14ac:dyDescent="0.3">
      <c r="B203" s="172" t="s">
        <v>183</v>
      </c>
      <c r="C203" s="172" t="s">
        <v>82</v>
      </c>
      <c r="D203" s="172" t="s">
        <v>218</v>
      </c>
      <c r="E203" s="172">
        <v>7.7663234824285497E-3</v>
      </c>
      <c r="F203" s="172">
        <v>2.509783398981E-3</v>
      </c>
      <c r="G203" s="172">
        <v>3.0944198155035099</v>
      </c>
    </row>
    <row r="204" spans="2:7" hidden="1" x14ac:dyDescent="0.3">
      <c r="B204" s="172" t="s">
        <v>183</v>
      </c>
      <c r="C204" s="172" t="s">
        <v>82</v>
      </c>
      <c r="D204" s="172" t="s">
        <v>221</v>
      </c>
      <c r="E204" s="172">
        <v>3.0528249585602098E-2</v>
      </c>
      <c r="F204" s="172">
        <v>2.31690934687756E-2</v>
      </c>
      <c r="G204" s="172">
        <v>1.3176281422812</v>
      </c>
    </row>
    <row r="205" spans="2:7" hidden="1" x14ac:dyDescent="0.3">
      <c r="B205" s="172" t="s">
        <v>181</v>
      </c>
      <c r="C205" s="172" t="s">
        <v>82</v>
      </c>
      <c r="D205" s="172" t="s">
        <v>218</v>
      </c>
      <c r="E205" s="172">
        <v>7.2158887130329098E-3</v>
      </c>
      <c r="F205" s="172">
        <v>2.29370656502529E-3</v>
      </c>
      <c r="G205" s="172">
        <v>3.1459511094669401</v>
      </c>
    </row>
    <row r="206" spans="2:7" hidden="1" x14ac:dyDescent="0.3">
      <c r="B206" s="172" t="s">
        <v>181</v>
      </c>
      <c r="C206" s="172" t="s">
        <v>82</v>
      </c>
      <c r="D206" s="172" t="s">
        <v>221</v>
      </c>
      <c r="E206" s="172">
        <v>2.7897411755004702E-2</v>
      </c>
      <c r="F206" s="172">
        <v>2.1006356747794001E-2</v>
      </c>
      <c r="G206" s="172">
        <v>1.3280461762097</v>
      </c>
    </row>
    <row r="207" spans="2:7" hidden="1" x14ac:dyDescent="0.3">
      <c r="B207" s="172" t="s">
        <v>179</v>
      </c>
      <c r="C207" s="172" t="s">
        <v>82</v>
      </c>
      <c r="D207" s="172" t="s">
        <v>218</v>
      </c>
      <c r="E207" s="172">
        <v>6.5074631174398701E-3</v>
      </c>
      <c r="F207" s="172">
        <v>2.0363448065931901E-3</v>
      </c>
      <c r="G207" s="172">
        <v>3.19565875895392</v>
      </c>
    </row>
    <row r="208" spans="2:7" hidden="1" x14ac:dyDescent="0.3">
      <c r="B208" s="172" t="s">
        <v>179</v>
      </c>
      <c r="C208" s="172" t="s">
        <v>82</v>
      </c>
      <c r="D208" s="172" t="s">
        <v>221</v>
      </c>
      <c r="E208" s="172">
        <v>2.4744714840286602E-2</v>
      </c>
      <c r="F208" s="172">
        <v>1.8485149205101199E-2</v>
      </c>
      <c r="G208" s="172">
        <v>1.3386267303407999</v>
      </c>
    </row>
    <row r="209" spans="2:7" hidden="1" x14ac:dyDescent="0.3">
      <c r="B209" s="172" t="s">
        <v>39</v>
      </c>
      <c r="C209" s="172" t="s">
        <v>82</v>
      </c>
      <c r="D209" s="172" t="s">
        <v>218</v>
      </c>
      <c r="E209" s="172">
        <v>5.6636203605950897E-3</v>
      </c>
      <c r="F209" s="172">
        <v>1.7443230442404801E-3</v>
      </c>
      <c r="G209" s="172">
        <v>3.2468873121269599</v>
      </c>
    </row>
    <row r="210" spans="2:7" hidden="1" x14ac:dyDescent="0.3">
      <c r="B210" s="172" t="s">
        <v>39</v>
      </c>
      <c r="C210" s="172" t="s">
        <v>82</v>
      </c>
      <c r="D210" s="172" t="s">
        <v>221</v>
      </c>
      <c r="E210" s="172">
        <v>2.1165344541977601E-2</v>
      </c>
      <c r="F210" s="172">
        <v>1.5678328299081098E-2</v>
      </c>
      <c r="G210" s="172">
        <v>1.3499745724305301</v>
      </c>
    </row>
    <row r="211" spans="2:7" hidden="1" x14ac:dyDescent="0.3">
      <c r="B211" s="172" t="s">
        <v>26</v>
      </c>
      <c r="C211" s="172" t="s">
        <v>82</v>
      </c>
      <c r="D211" s="172" t="s">
        <v>218</v>
      </c>
      <c r="E211" s="172">
        <v>4.69235126479865E-3</v>
      </c>
      <c r="F211" s="172">
        <v>1.42160222965585E-3</v>
      </c>
      <c r="G211" s="172">
        <v>3.3007483858087401</v>
      </c>
    </row>
    <row r="212" spans="2:7" hidden="1" x14ac:dyDescent="0.3">
      <c r="B212" s="172" t="s">
        <v>26</v>
      </c>
      <c r="C212" s="172" t="s">
        <v>82</v>
      </c>
      <c r="D212" s="172" t="s">
        <v>221</v>
      </c>
      <c r="E212" s="172">
        <v>1.7234706618856101E-2</v>
      </c>
      <c r="F212" s="172">
        <v>1.26556579696562E-2</v>
      </c>
      <c r="G212" s="172">
        <v>1.3618182997817201</v>
      </c>
    </row>
    <row r="213" spans="2:7" hidden="1" x14ac:dyDescent="0.3">
      <c r="B213" s="172" t="s">
        <v>25</v>
      </c>
      <c r="C213" s="172" t="s">
        <v>82</v>
      </c>
      <c r="D213" s="172" t="s">
        <v>218</v>
      </c>
      <c r="E213" s="172">
        <v>3.61333103834909E-3</v>
      </c>
      <c r="F213" s="172">
        <v>1.0821221053893999E-3</v>
      </c>
      <c r="G213" s="172">
        <v>3.3391158172938602</v>
      </c>
    </row>
    <row r="214" spans="2:7" hidden="1" x14ac:dyDescent="0.3">
      <c r="B214" s="172" t="s">
        <v>25</v>
      </c>
      <c r="C214" s="172" t="s">
        <v>82</v>
      </c>
      <c r="D214" s="172" t="s">
        <v>221</v>
      </c>
      <c r="E214" s="172">
        <v>1.3022892655963E-2</v>
      </c>
      <c r="F214" s="172">
        <v>9.4792001498194504E-3</v>
      </c>
      <c r="G214" s="172">
        <v>1.37383876805376</v>
      </c>
    </row>
    <row r="215" spans="2:7" hidden="1" x14ac:dyDescent="0.3">
      <c r="B215" s="172" t="s">
        <v>24</v>
      </c>
      <c r="C215" s="172" t="s">
        <v>82</v>
      </c>
      <c r="D215" s="172" t="s">
        <v>218</v>
      </c>
      <c r="E215" s="172">
        <v>2.4445650949443602E-3</v>
      </c>
      <c r="F215" s="172">
        <v>7.2848553531337399E-4</v>
      </c>
      <c r="G215" s="172">
        <v>3.3556810347549</v>
      </c>
    </row>
    <row r="216" spans="2:7" hidden="1" x14ac:dyDescent="0.3">
      <c r="B216" s="172" t="s">
        <v>24</v>
      </c>
      <c r="C216" s="172" t="s">
        <v>82</v>
      </c>
      <c r="D216" s="172" t="s">
        <v>221</v>
      </c>
      <c r="E216" s="172">
        <v>8.6129115907187803E-3</v>
      </c>
      <c r="F216" s="172">
        <v>6.2104002072354003E-3</v>
      </c>
      <c r="G216" s="172">
        <v>1.3868529085588299</v>
      </c>
    </row>
    <row r="217" spans="2:7" hidden="1" x14ac:dyDescent="0.3">
      <c r="B217" s="172" t="s">
        <v>22</v>
      </c>
      <c r="C217" s="172" t="s">
        <v>82</v>
      </c>
      <c r="D217" s="172" t="s">
        <v>218</v>
      </c>
      <c r="E217" s="172">
        <v>1.21272493034283E-3</v>
      </c>
      <c r="F217" s="172">
        <v>3.6809162688322602E-4</v>
      </c>
      <c r="G217" s="172">
        <v>3.2946278637507702</v>
      </c>
    </row>
    <row r="218" spans="2:7" hidden="1" x14ac:dyDescent="0.3">
      <c r="B218" s="172" t="s">
        <v>22</v>
      </c>
      <c r="C218" s="172" t="s">
        <v>82</v>
      </c>
      <c r="D218" s="172" t="s">
        <v>221</v>
      </c>
      <c r="E218" s="172">
        <v>4.1343110317170403E-3</v>
      </c>
      <c r="F218" s="172">
        <v>2.9518244068735999E-3</v>
      </c>
      <c r="G218" s="172">
        <v>1.4005951783886299</v>
      </c>
    </row>
    <row r="219" spans="2:7" hidden="1" x14ac:dyDescent="0.3">
      <c r="B219" s="172" t="s">
        <v>189</v>
      </c>
      <c r="C219" s="172" t="s">
        <v>246</v>
      </c>
      <c r="D219" s="172" t="s">
        <v>218</v>
      </c>
      <c r="E219" s="172">
        <v>2.3754935219650799E-3</v>
      </c>
      <c r="F219" s="172">
        <v>2.30756042043617E-3</v>
      </c>
      <c r="G219" s="172">
        <v>1.0294393598222999</v>
      </c>
    </row>
    <row r="220" spans="2:7" hidden="1" x14ac:dyDescent="0.3">
      <c r="B220" s="172" t="s">
        <v>189</v>
      </c>
      <c r="C220" s="172" t="s">
        <v>246</v>
      </c>
      <c r="D220" s="172" t="s">
        <v>221</v>
      </c>
      <c r="E220" s="172">
        <v>7.4756718659821397E-4</v>
      </c>
      <c r="F220" s="172">
        <v>6.62650809687078E-4</v>
      </c>
      <c r="G220" s="172">
        <v>1.12814649234525</v>
      </c>
    </row>
    <row r="221" spans="2:7" hidden="1" x14ac:dyDescent="0.3">
      <c r="B221" s="172" t="s">
        <v>187</v>
      </c>
      <c r="C221" s="172" t="s">
        <v>246</v>
      </c>
      <c r="D221" s="172" t="s">
        <v>218</v>
      </c>
      <c r="E221" s="172">
        <v>1.76560674991292E-3</v>
      </c>
      <c r="F221" s="172">
        <v>1.5547616493364E-3</v>
      </c>
      <c r="G221" s="172">
        <v>1.13561249125647</v>
      </c>
    </row>
    <row r="222" spans="2:7" hidden="1" x14ac:dyDescent="0.3">
      <c r="B222" s="172" t="s">
        <v>187</v>
      </c>
      <c r="C222" s="172" t="s">
        <v>246</v>
      </c>
      <c r="D222" s="172" t="s">
        <v>221</v>
      </c>
      <c r="E222" s="172">
        <v>6.8751012804683096E-4</v>
      </c>
      <c r="F222" s="172">
        <v>3.9232698723970299E-4</v>
      </c>
      <c r="G222" s="172">
        <v>1.7523906088743699</v>
      </c>
    </row>
    <row r="223" spans="2:7" hidden="1" x14ac:dyDescent="0.3">
      <c r="B223" s="172" t="s">
        <v>185</v>
      </c>
      <c r="C223" s="172" t="s">
        <v>246</v>
      </c>
      <c r="D223" s="172" t="s">
        <v>218</v>
      </c>
      <c r="E223" s="172">
        <v>1.48792366441182E-3</v>
      </c>
      <c r="F223" s="172">
        <v>1.2830463341080801E-3</v>
      </c>
      <c r="G223" s="172">
        <v>1.15968038320779</v>
      </c>
    </row>
    <row r="224" spans="2:7" hidden="1" x14ac:dyDescent="0.3">
      <c r="B224" s="172" t="s">
        <v>185</v>
      </c>
      <c r="C224" s="172" t="s">
        <v>246</v>
      </c>
      <c r="D224" s="172" t="s">
        <v>221</v>
      </c>
      <c r="E224" s="172">
        <v>6.4166045043408202E-4</v>
      </c>
      <c r="F224" s="172">
        <v>3.5483218800885601E-4</v>
      </c>
      <c r="G224" s="172">
        <v>1.80834905095495</v>
      </c>
    </row>
    <row r="225" spans="2:7" hidden="1" x14ac:dyDescent="0.3">
      <c r="B225" s="172" t="s">
        <v>183</v>
      </c>
      <c r="C225" s="172" t="s">
        <v>246</v>
      </c>
      <c r="D225" s="172" t="s">
        <v>218</v>
      </c>
      <c r="E225" s="172">
        <v>1.1925533979152401E-3</v>
      </c>
      <c r="F225" s="172">
        <v>1.0052232003794201E-3</v>
      </c>
      <c r="G225" s="172">
        <v>1.18635681853056</v>
      </c>
    </row>
    <row r="226" spans="2:7" hidden="1" x14ac:dyDescent="0.3">
      <c r="B226" s="172" t="s">
        <v>183</v>
      </c>
      <c r="C226" s="172" t="s">
        <v>246</v>
      </c>
      <c r="D226" s="172" t="s">
        <v>221</v>
      </c>
      <c r="E226" s="172">
        <v>5.7160195174886996E-4</v>
      </c>
      <c r="F226" s="172">
        <v>3.09339675198725E-4</v>
      </c>
      <c r="G226" s="172">
        <v>1.84781325376922</v>
      </c>
    </row>
    <row r="227" spans="2:7" s="172" customFormat="1" hidden="1" x14ac:dyDescent="0.3">
      <c r="B227" s="172" t="s">
        <v>181</v>
      </c>
      <c r="C227" s="172" t="s">
        <v>246</v>
      </c>
      <c r="D227" s="172" t="s">
        <v>218</v>
      </c>
      <c r="E227" s="172">
        <v>9.13006673733421E-4</v>
      </c>
      <c r="F227" s="172">
        <v>7.4437244277040799E-4</v>
      </c>
      <c r="G227" s="172">
        <v>1.22654550501009</v>
      </c>
    </row>
    <row r="228" spans="2:7" hidden="1" x14ac:dyDescent="0.3">
      <c r="B228" s="172" t="s">
        <v>181</v>
      </c>
      <c r="C228" s="172" t="s">
        <v>246</v>
      </c>
      <c r="D228" s="172" t="s">
        <v>221</v>
      </c>
      <c r="E228" s="172">
        <v>5.0143051369369801E-4</v>
      </c>
      <c r="F228" s="172">
        <v>2.6534259034547997E-4</v>
      </c>
      <c r="G228" s="172">
        <v>1.8897475638601</v>
      </c>
    </row>
    <row r="229" spans="2:7" hidden="1" x14ac:dyDescent="0.3">
      <c r="B229" s="172" t="s">
        <v>179</v>
      </c>
      <c r="C229" s="172" t="s">
        <v>246</v>
      </c>
      <c r="D229" s="172" t="s">
        <v>218</v>
      </c>
      <c r="E229" s="172">
        <v>6.5263161746089804E-4</v>
      </c>
      <c r="F229" s="172">
        <v>5.0414535600769002E-4</v>
      </c>
      <c r="G229" s="172">
        <v>1.29453065407379</v>
      </c>
    </row>
    <row r="230" spans="2:7" s="172" customFormat="1" hidden="1" x14ac:dyDescent="0.3">
      <c r="B230" s="172" t="s">
        <v>179</v>
      </c>
      <c r="C230" s="172" t="s">
        <v>246</v>
      </c>
      <c r="D230" s="172" t="s">
        <v>221</v>
      </c>
      <c r="E230" s="172">
        <v>4.3064332738670599E-4</v>
      </c>
      <c r="F230" s="172">
        <v>2.22762561352214E-4</v>
      </c>
      <c r="G230" s="172">
        <v>1.9331943607247699</v>
      </c>
    </row>
    <row r="231" spans="2:7" hidden="1" x14ac:dyDescent="0.3">
      <c r="B231" s="172" t="s">
        <v>39</v>
      </c>
      <c r="C231" s="172" t="s">
        <v>246</v>
      </c>
      <c r="D231" s="172" t="s">
        <v>218</v>
      </c>
      <c r="E231" s="172">
        <v>4.17051693833219E-4</v>
      </c>
      <c r="F231" s="172">
        <v>2.9000650257957902E-4</v>
      </c>
      <c r="G231" s="172">
        <v>1.4380770435268999</v>
      </c>
    </row>
    <row r="232" spans="2:7" hidden="1" x14ac:dyDescent="0.3">
      <c r="B232" s="172" t="s">
        <v>39</v>
      </c>
      <c r="C232" s="172" t="s">
        <v>246</v>
      </c>
      <c r="D232" s="172" t="s">
        <v>221</v>
      </c>
      <c r="E232" s="172">
        <v>3.6012144413629098E-4</v>
      </c>
      <c r="F232" s="172">
        <v>1.82258176381197E-4</v>
      </c>
      <c r="G232" s="172">
        <v>1.9758863568517799</v>
      </c>
    </row>
    <row r="233" spans="2:7" s="172" customFormat="1" hidden="1" x14ac:dyDescent="0.3">
      <c r="B233" s="172" t="s">
        <v>26</v>
      </c>
      <c r="C233" s="172" t="s">
        <v>246</v>
      </c>
      <c r="D233" s="172" t="s">
        <v>218</v>
      </c>
      <c r="E233" s="172">
        <v>2.1252298808512499E-4</v>
      </c>
      <c r="F233" s="172">
        <v>1.11776494142791E-4</v>
      </c>
      <c r="G233" s="172">
        <v>1.90132093258922</v>
      </c>
    </row>
    <row r="234" spans="2:7" hidden="1" x14ac:dyDescent="0.3">
      <c r="B234" s="172" t="s">
        <v>26</v>
      </c>
      <c r="C234" s="172" t="s">
        <v>246</v>
      </c>
      <c r="D234" s="172" t="s">
        <v>221</v>
      </c>
      <c r="E234" s="172">
        <v>2.8128560801908E-4</v>
      </c>
      <c r="F234" s="172">
        <v>1.4024051649981199E-4</v>
      </c>
      <c r="G234" s="172">
        <v>2.0057371082161999</v>
      </c>
    </row>
    <row r="235" spans="2:7" hidden="1" x14ac:dyDescent="0.3">
      <c r="B235" s="172" t="s">
        <v>25</v>
      </c>
      <c r="C235" s="172" t="s">
        <v>246</v>
      </c>
      <c r="D235" s="172" t="s">
        <v>218</v>
      </c>
      <c r="E235" s="172">
        <v>1.0054024504410301E-4</v>
      </c>
      <c r="F235" s="172">
        <v>2.2978231642702801E-5</v>
      </c>
      <c r="G235" s="172">
        <v>4.3754561537824896</v>
      </c>
    </row>
    <row r="236" spans="2:7" s="172" customFormat="1" hidden="1" x14ac:dyDescent="0.3">
      <c r="B236" s="172" t="s">
        <v>25</v>
      </c>
      <c r="C236" s="172" t="s">
        <v>246</v>
      </c>
      <c r="D236" s="172" t="s">
        <v>221</v>
      </c>
      <c r="E236" s="172">
        <v>2.1232718306022399E-4</v>
      </c>
      <c r="F236" s="172">
        <v>1.03740364298263E-4</v>
      </c>
      <c r="G236" s="172">
        <v>2.0467171529277</v>
      </c>
    </row>
    <row r="237" spans="2:7" hidden="1" x14ac:dyDescent="0.3">
      <c r="B237" s="172" t="s">
        <v>24</v>
      </c>
      <c r="C237" s="172" t="s">
        <v>246</v>
      </c>
      <c r="D237" s="172" t="s">
        <v>218</v>
      </c>
      <c r="E237" s="172">
        <v>1.6243628737041001E-4</v>
      </c>
      <c r="F237" s="172">
        <v>1.07349682572147E-4</v>
      </c>
      <c r="G237" s="172">
        <v>1.5131510730014499</v>
      </c>
    </row>
    <row r="238" spans="2:7" hidden="1" x14ac:dyDescent="0.3">
      <c r="B238" s="172" t="s">
        <v>24</v>
      </c>
      <c r="C238" s="172" t="s">
        <v>246</v>
      </c>
      <c r="D238" s="172" t="s">
        <v>221</v>
      </c>
      <c r="E238" s="172">
        <v>1.4884046291493199E-4</v>
      </c>
      <c r="F238" s="172">
        <v>7.1719216197364396E-5</v>
      </c>
      <c r="G238" s="172">
        <v>2.0753219402919498</v>
      </c>
    </row>
    <row r="239" spans="2:7" s="172" customFormat="1" hidden="1" x14ac:dyDescent="0.3">
      <c r="B239" s="172" t="s">
        <v>22</v>
      </c>
      <c r="C239" s="172" t="s">
        <v>246</v>
      </c>
      <c r="D239" s="172" t="s">
        <v>218</v>
      </c>
      <c r="E239" s="172">
        <v>1.5448142124972801E-4</v>
      </c>
      <c r="F239" s="172">
        <v>1.2271924734541401E-4</v>
      </c>
      <c r="G239" s="172">
        <v>1.2588198232255501</v>
      </c>
    </row>
    <row r="240" spans="2:7" hidden="1" x14ac:dyDescent="0.3">
      <c r="B240" s="172" t="s">
        <v>22</v>
      </c>
      <c r="C240" s="172" t="s">
        <v>246</v>
      </c>
      <c r="D240" s="172" t="s">
        <v>221</v>
      </c>
      <c r="E240" s="172">
        <v>8.6157933026125797E-5</v>
      </c>
      <c r="F240" s="172">
        <v>4.1690889560087303E-5</v>
      </c>
      <c r="G240" s="172">
        <v>2.06658898227513</v>
      </c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2.39327217208656E-2</v>
      </c>
      <c r="F270" s="172">
        <v>2.33554400608206E-2</v>
      </c>
      <c r="G270" s="172">
        <v>1.0247172247040399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2.48926056544513E-2</v>
      </c>
      <c r="F271" s="172">
        <v>2.27426349131023E-2</v>
      </c>
      <c r="G271" s="172">
        <v>1.0945348131192301</v>
      </c>
    </row>
    <row r="272" spans="2:7" hidden="1" x14ac:dyDescent="0.3">
      <c r="B272" s="172" t="s">
        <v>187</v>
      </c>
      <c r="C272" s="172" t="s">
        <v>79</v>
      </c>
      <c r="D272" s="172" t="s">
        <v>221</v>
      </c>
      <c r="E272" s="172">
        <v>5.8220071119737902E-3</v>
      </c>
      <c r="F272" s="172">
        <v>2.8120480740851401E-3</v>
      </c>
      <c r="G272" s="172">
        <v>2.07037965162381</v>
      </c>
    </row>
    <row r="273" spans="2:7" hidden="1" x14ac:dyDescent="0.3">
      <c r="B273" s="172" t="s">
        <v>185</v>
      </c>
      <c r="C273" s="172" t="s">
        <v>79</v>
      </c>
      <c r="D273" s="172" t="s">
        <v>218</v>
      </c>
      <c r="E273" s="172">
        <v>2.38520654887171E-2</v>
      </c>
      <c r="F273" s="172">
        <v>2.1735434509738499E-2</v>
      </c>
      <c r="G273" s="172">
        <v>1.0973815811241401</v>
      </c>
    </row>
    <row r="274" spans="2:7" hidden="1" x14ac:dyDescent="0.3">
      <c r="B274" s="172" t="s">
        <v>185</v>
      </c>
      <c r="C274" s="172" t="s">
        <v>79</v>
      </c>
      <c r="D274" s="172" t="s">
        <v>221</v>
      </c>
      <c r="E274" s="172">
        <v>5.6455673385923198E-3</v>
      </c>
      <c r="F274" s="172">
        <v>2.6822839680223499E-3</v>
      </c>
      <c r="G274" s="172">
        <v>2.1047612429920401</v>
      </c>
    </row>
    <row r="275" spans="2:7" hidden="1" x14ac:dyDescent="0.3">
      <c r="B275" s="172" t="s">
        <v>183</v>
      </c>
      <c r="C275" s="172" t="s">
        <v>79</v>
      </c>
      <c r="D275" s="172" t="s">
        <v>218</v>
      </c>
      <c r="E275" s="172">
        <v>2.2309348030015701E-2</v>
      </c>
      <c r="F275" s="172">
        <v>2.0277427431198099E-2</v>
      </c>
      <c r="G275" s="172">
        <v>1.1002060347996301</v>
      </c>
    </row>
    <row r="276" spans="2:7" hidden="1" x14ac:dyDescent="0.3">
      <c r="B276" s="172" t="s">
        <v>183</v>
      </c>
      <c r="C276" s="172" t="s">
        <v>79</v>
      </c>
      <c r="D276" s="172" t="s">
        <v>221</v>
      </c>
      <c r="E276" s="172">
        <v>5.3439345218528897E-3</v>
      </c>
      <c r="F276" s="172">
        <v>2.49924568350834E-3</v>
      </c>
      <c r="G276" s="172">
        <v>2.13821896627277</v>
      </c>
    </row>
    <row r="277" spans="2:7" hidden="1" x14ac:dyDescent="0.3">
      <c r="B277" s="172" t="s">
        <v>181</v>
      </c>
      <c r="C277" s="172" t="s">
        <v>79</v>
      </c>
      <c r="D277" s="172" t="s">
        <v>218</v>
      </c>
      <c r="E277" s="172">
        <v>2.03199662726927E-2</v>
      </c>
      <c r="F277" s="172">
        <v>1.84246972830674E-2</v>
      </c>
      <c r="G277" s="172">
        <v>1.10286567863273</v>
      </c>
    </row>
    <row r="278" spans="2:7" hidden="1" x14ac:dyDescent="0.3">
      <c r="B278" s="172" t="s">
        <v>181</v>
      </c>
      <c r="C278" s="172" t="s">
        <v>79</v>
      </c>
      <c r="D278" s="172" t="s">
        <v>221</v>
      </c>
      <c r="E278" s="172">
        <v>4.9229830554304204E-3</v>
      </c>
      <c r="F278" s="172">
        <v>2.2696064699548901E-3</v>
      </c>
      <c r="G278" s="172">
        <v>2.1690910387333702</v>
      </c>
    </row>
    <row r="279" spans="2:7" hidden="1" x14ac:dyDescent="0.3">
      <c r="B279" s="172" t="s">
        <v>179</v>
      </c>
      <c r="C279" s="172" t="s">
        <v>79</v>
      </c>
      <c r="D279" s="172" t="s">
        <v>218</v>
      </c>
      <c r="E279" s="172">
        <v>1.7955305500096198E-2</v>
      </c>
      <c r="F279" s="172">
        <v>1.62414375484949E-2</v>
      </c>
      <c r="G279" s="172">
        <v>1.10552439994822</v>
      </c>
    </row>
    <row r="280" spans="2:7" hidden="1" x14ac:dyDescent="0.3">
      <c r="B280" s="172" t="s">
        <v>179</v>
      </c>
      <c r="C280" s="172" t="s">
        <v>79</v>
      </c>
      <c r="D280" s="172" t="s">
        <v>221</v>
      </c>
      <c r="E280" s="172">
        <v>4.4005864166582302E-3</v>
      </c>
      <c r="F280" s="172">
        <v>2.0011712844163602E-3</v>
      </c>
      <c r="G280" s="172">
        <v>2.1990053779637702</v>
      </c>
    </row>
    <row r="281" spans="2:7" hidden="1" x14ac:dyDescent="0.3">
      <c r="B281" s="172" t="s">
        <v>39</v>
      </c>
      <c r="C281" s="172" t="s">
        <v>79</v>
      </c>
      <c r="D281" s="172" t="s">
        <v>218</v>
      </c>
      <c r="E281" s="172">
        <v>1.52833788032939E-2</v>
      </c>
      <c r="F281" s="172">
        <v>1.3789755530848401E-2</v>
      </c>
      <c r="G281" s="172">
        <v>1.1083139776556701</v>
      </c>
    </row>
    <row r="282" spans="2:7" hidden="1" x14ac:dyDescent="0.3">
      <c r="B282" s="172" t="s">
        <v>39</v>
      </c>
      <c r="C282" s="172" t="s">
        <v>79</v>
      </c>
      <c r="D282" s="172" t="s">
        <v>221</v>
      </c>
      <c r="E282" s="172">
        <v>3.7919240904235102E-3</v>
      </c>
      <c r="F282" s="172">
        <v>1.7008515089997601E-3</v>
      </c>
      <c r="G282" s="172">
        <v>2.2294268902130501</v>
      </c>
    </row>
    <row r="283" spans="2:7" hidden="1" x14ac:dyDescent="0.3">
      <c r="B283" s="172" t="s">
        <v>26</v>
      </c>
      <c r="C283" s="172" t="s">
        <v>79</v>
      </c>
      <c r="D283" s="172" t="s">
        <v>218</v>
      </c>
      <c r="E283" s="172">
        <v>1.2393556657618401E-2</v>
      </c>
      <c r="F283" s="172">
        <v>1.11576881733616E-2</v>
      </c>
      <c r="G283" s="172">
        <v>1.1107638486624301</v>
      </c>
    </row>
    <row r="284" spans="2:7" hidden="1" x14ac:dyDescent="0.3">
      <c r="B284" s="172" t="s">
        <v>26</v>
      </c>
      <c r="C284" s="172" t="s">
        <v>79</v>
      </c>
      <c r="D284" s="172" t="s">
        <v>221</v>
      </c>
      <c r="E284" s="172">
        <v>3.1054490625853099E-3</v>
      </c>
      <c r="F284" s="172">
        <v>1.37523318462585E-3</v>
      </c>
      <c r="G284" s="172">
        <v>2.2581254563241102</v>
      </c>
    </row>
    <row r="285" spans="2:7" hidden="1" x14ac:dyDescent="0.3">
      <c r="B285" s="172" t="s">
        <v>25</v>
      </c>
      <c r="C285" s="172" t="s">
        <v>79</v>
      </c>
      <c r="D285" s="172" t="s">
        <v>218</v>
      </c>
      <c r="E285" s="172">
        <v>9.3563039458271196E-3</v>
      </c>
      <c r="F285" s="172">
        <v>8.4126525858525293E-3</v>
      </c>
      <c r="G285" s="172">
        <v>1.1121704896695199</v>
      </c>
    </row>
    <row r="286" spans="2:7" hidden="1" x14ac:dyDescent="0.3">
      <c r="B286" s="172" t="s">
        <v>25</v>
      </c>
      <c r="C286" s="172" t="s">
        <v>79</v>
      </c>
      <c r="D286" s="172" t="s">
        <v>221</v>
      </c>
      <c r="E286" s="172">
        <v>2.3537777219276102E-3</v>
      </c>
      <c r="F286" s="172">
        <v>1.0326658179631799E-3</v>
      </c>
      <c r="G286" s="172">
        <v>2.2793218105835802</v>
      </c>
    </row>
    <row r="287" spans="2:7" hidden="1" x14ac:dyDescent="0.3">
      <c r="B287" s="172" t="s">
        <v>24</v>
      </c>
      <c r="C287" s="172" t="s">
        <v>79</v>
      </c>
      <c r="D287" s="172" t="s">
        <v>218</v>
      </c>
      <c r="E287" s="172">
        <v>6.2170811624462398E-3</v>
      </c>
      <c r="F287" s="172">
        <v>5.5920887703868397E-3</v>
      </c>
      <c r="G287" s="172">
        <v>1.11176367502767</v>
      </c>
    </row>
    <row r="288" spans="2:7" hidden="1" x14ac:dyDescent="0.3">
      <c r="B288" s="172" t="s">
        <v>24</v>
      </c>
      <c r="C288" s="172" t="s">
        <v>79</v>
      </c>
      <c r="D288" s="172" t="s">
        <v>221</v>
      </c>
      <c r="E288" s="172">
        <v>1.5544684607255699E-3</v>
      </c>
      <c r="F288" s="172">
        <v>6.7947911184240803E-4</v>
      </c>
      <c r="G288" s="172">
        <v>2.2877354632883899</v>
      </c>
    </row>
    <row r="289" spans="2:7" hidden="1" x14ac:dyDescent="0.3">
      <c r="B289" s="172" t="s">
        <v>22</v>
      </c>
      <c r="C289" s="172" t="s">
        <v>79</v>
      </c>
      <c r="D289" s="172" t="s">
        <v>218</v>
      </c>
      <c r="E289" s="172">
        <v>3.0577625514980199E-3</v>
      </c>
      <c r="F289" s="172">
        <v>2.7672983512935E-3</v>
      </c>
      <c r="G289" s="172">
        <v>1.1049630951678</v>
      </c>
    </row>
    <row r="290" spans="2:7" hidden="1" x14ac:dyDescent="0.3">
      <c r="B290" s="172" t="s">
        <v>22</v>
      </c>
      <c r="C290" s="172" t="s">
        <v>79</v>
      </c>
      <c r="D290" s="172" t="s">
        <v>221</v>
      </c>
      <c r="E290" s="172">
        <v>7.3356435056569499E-4</v>
      </c>
      <c r="F290" s="172">
        <v>3.26914470279359E-4</v>
      </c>
      <c r="G290" s="172">
        <v>2.2439029692960402</v>
      </c>
    </row>
    <row r="291" spans="2:7" hidden="1" x14ac:dyDescent="0.3">
      <c r="B291" s="172" t="s">
        <v>189</v>
      </c>
      <c r="C291" s="172" t="s">
        <v>80</v>
      </c>
      <c r="D291" s="172" t="s">
        <v>218</v>
      </c>
      <c r="E291" s="172">
        <v>2.4078415536339499E-2</v>
      </c>
      <c r="F291" s="172">
        <v>2.3815768875253301E-2</v>
      </c>
      <c r="G291" s="172">
        <v>1.01102826713099</v>
      </c>
    </row>
    <row r="292" spans="2:7" hidden="1" x14ac:dyDescent="0.3">
      <c r="B292" s="172" t="s">
        <v>189</v>
      </c>
      <c r="C292" s="172" t="s">
        <v>80</v>
      </c>
      <c r="D292" s="172" t="s">
        <v>221</v>
      </c>
      <c r="E292" s="172">
        <v>3.8861741452978398E-3</v>
      </c>
      <c r="F292" s="172">
        <v>3.5578658189399899E-3</v>
      </c>
      <c r="G292" s="172">
        <v>1.09227675889577</v>
      </c>
    </row>
    <row r="293" spans="2:7" hidden="1" x14ac:dyDescent="0.3">
      <c r="B293" s="172" t="s">
        <v>187</v>
      </c>
      <c r="C293" s="172" t="s">
        <v>80</v>
      </c>
      <c r="D293" s="172" t="s">
        <v>218</v>
      </c>
      <c r="E293" s="172">
        <v>2.3488545979633599E-2</v>
      </c>
      <c r="F293" s="172">
        <v>2.2585687415059001E-2</v>
      </c>
      <c r="G293" s="172">
        <v>1.0399748100636801</v>
      </c>
    </row>
    <row r="294" spans="2:7" hidden="1" x14ac:dyDescent="0.3">
      <c r="B294" s="172" t="s">
        <v>187</v>
      </c>
      <c r="C294" s="172" t="s">
        <v>80</v>
      </c>
      <c r="D294" s="172" t="s">
        <v>221</v>
      </c>
      <c r="E294" s="172">
        <v>3.6822670096000802E-3</v>
      </c>
      <c r="F294" s="172">
        <v>2.41826501919566E-3</v>
      </c>
      <c r="G294" s="172">
        <v>1.52268960613128</v>
      </c>
    </row>
    <row r="295" spans="2:7" hidden="1" x14ac:dyDescent="0.3">
      <c r="B295" s="172" t="s">
        <v>185</v>
      </c>
      <c r="C295" s="172" t="s">
        <v>80</v>
      </c>
      <c r="D295" s="172" t="s">
        <v>218</v>
      </c>
      <c r="E295" s="172">
        <v>2.2402330921116698E-2</v>
      </c>
      <c r="F295" s="172">
        <v>2.1582989547660601E-2</v>
      </c>
      <c r="G295" s="172">
        <v>1.03796236715246</v>
      </c>
    </row>
    <row r="296" spans="2:7" hidden="1" x14ac:dyDescent="0.3">
      <c r="B296" s="172" t="s">
        <v>185</v>
      </c>
      <c r="C296" s="172" t="s">
        <v>80</v>
      </c>
      <c r="D296" s="172" t="s">
        <v>221</v>
      </c>
      <c r="E296" s="172">
        <v>3.4280177443305202E-3</v>
      </c>
      <c r="F296" s="172">
        <v>2.2809398214919899E-3</v>
      </c>
      <c r="G296" s="172">
        <v>1.5028970567440101</v>
      </c>
    </row>
    <row r="297" spans="2:7" hidden="1" x14ac:dyDescent="0.3">
      <c r="B297" s="172" t="s">
        <v>183</v>
      </c>
      <c r="C297" s="172" t="s">
        <v>80</v>
      </c>
      <c r="D297" s="172" t="s">
        <v>218</v>
      </c>
      <c r="E297" s="172">
        <v>2.0856394892296799E-2</v>
      </c>
      <c r="F297" s="172">
        <v>2.01322789163246E-2</v>
      </c>
      <c r="G297" s="172">
        <v>1.0359679089973799</v>
      </c>
    </row>
    <row r="298" spans="2:7" hidden="1" x14ac:dyDescent="0.3">
      <c r="B298" s="172" t="s">
        <v>183</v>
      </c>
      <c r="C298" s="172" t="s">
        <v>80</v>
      </c>
      <c r="D298" s="172" t="s">
        <v>221</v>
      </c>
      <c r="E298" s="172">
        <v>3.1143844626445299E-3</v>
      </c>
      <c r="F298" s="172">
        <v>2.1006220962833601E-3</v>
      </c>
      <c r="G298" s="172">
        <v>1.4826010200287001</v>
      </c>
    </row>
    <row r="299" spans="2:7" hidden="1" x14ac:dyDescent="0.3">
      <c r="B299" s="172" t="s">
        <v>181</v>
      </c>
      <c r="C299" s="172" t="s">
        <v>80</v>
      </c>
      <c r="D299" s="172" t="s">
        <v>218</v>
      </c>
      <c r="E299" s="172">
        <v>1.8913914075758799E-2</v>
      </c>
      <c r="F299" s="172">
        <v>1.8290447651844399E-2</v>
      </c>
      <c r="G299" s="172">
        <v>1.0340869964356201</v>
      </c>
    </row>
    <row r="300" spans="2:7" hidden="1" x14ac:dyDescent="0.3">
      <c r="B300" s="172" t="s">
        <v>181</v>
      </c>
      <c r="C300" s="172" t="s">
        <v>80</v>
      </c>
      <c r="D300" s="172" t="s">
        <v>221</v>
      </c>
      <c r="E300" s="172">
        <v>2.75856255881926E-3</v>
      </c>
      <c r="F300" s="172">
        <v>1.8857095653391201E-3</v>
      </c>
      <c r="G300" s="172">
        <v>1.4628777461407001</v>
      </c>
    </row>
    <row r="301" spans="2:7" hidden="1" x14ac:dyDescent="0.3">
      <c r="B301" s="172" t="s">
        <v>179</v>
      </c>
      <c r="C301" s="172" t="s">
        <v>80</v>
      </c>
      <c r="D301" s="172" t="s">
        <v>218</v>
      </c>
      <c r="E301" s="172">
        <v>1.6640127111430401E-2</v>
      </c>
      <c r="F301" s="172">
        <v>1.61212252746047E-2</v>
      </c>
      <c r="G301" s="172">
        <v>1.0321874936915101</v>
      </c>
    </row>
    <row r="302" spans="2:7" hidden="1" x14ac:dyDescent="0.3">
      <c r="B302" s="172" t="s">
        <v>179</v>
      </c>
      <c r="C302" s="172" t="s">
        <v>80</v>
      </c>
      <c r="D302" s="172" t="s">
        <v>221</v>
      </c>
      <c r="E302" s="172">
        <v>2.3690527685645301E-3</v>
      </c>
      <c r="F302" s="172">
        <v>1.64259019700858E-3</v>
      </c>
      <c r="G302" s="172">
        <v>1.4422664721115199</v>
      </c>
    </row>
    <row r="303" spans="2:7" hidden="1" x14ac:dyDescent="0.3">
      <c r="B303" s="172" t="s">
        <v>39</v>
      </c>
      <c r="C303" s="172" t="s">
        <v>80</v>
      </c>
      <c r="D303" s="172" t="s">
        <v>218</v>
      </c>
      <c r="E303" s="172">
        <v>1.4098886993074501E-2</v>
      </c>
      <c r="F303" s="172">
        <v>1.36861834659601E-2</v>
      </c>
      <c r="G303" s="172">
        <v>1.0301547563015601</v>
      </c>
    </row>
    <row r="304" spans="2:7" hidden="1" x14ac:dyDescent="0.3">
      <c r="B304" s="172" t="s">
        <v>39</v>
      </c>
      <c r="C304" s="172" t="s">
        <v>80</v>
      </c>
      <c r="D304" s="172" t="s">
        <v>221</v>
      </c>
      <c r="E304" s="172">
        <v>1.9550212506737599E-3</v>
      </c>
      <c r="F304" s="172">
        <v>1.3772363127136E-3</v>
      </c>
      <c r="G304" s="172">
        <v>1.41952490841731</v>
      </c>
    </row>
    <row r="305" spans="2:7" hidden="1" x14ac:dyDescent="0.3">
      <c r="B305" s="172" t="s">
        <v>26</v>
      </c>
      <c r="C305" s="172" t="s">
        <v>80</v>
      </c>
      <c r="D305" s="172" t="s">
        <v>218</v>
      </c>
      <c r="E305" s="172">
        <v>1.1386061166661399E-2</v>
      </c>
      <c r="F305" s="172">
        <v>1.1072984748063E-2</v>
      </c>
      <c r="G305" s="172">
        <v>1.0282738959477999</v>
      </c>
    </row>
    <row r="306" spans="2:7" hidden="1" x14ac:dyDescent="0.3">
      <c r="B306" s="172" t="s">
        <v>25</v>
      </c>
      <c r="C306" s="172" t="s">
        <v>80</v>
      </c>
      <c r="D306" s="172" t="s">
        <v>218</v>
      </c>
      <c r="E306" s="172">
        <v>8.5748366177850702E-3</v>
      </c>
      <c r="F306" s="172">
        <v>8.3496895611027602E-3</v>
      </c>
      <c r="G306" s="172">
        <v>1.0269647218659701</v>
      </c>
    </row>
    <row r="307" spans="2:7" hidden="1" x14ac:dyDescent="0.3">
      <c r="B307" s="172" t="s">
        <v>24</v>
      </c>
      <c r="C307" s="172" t="s">
        <v>80</v>
      </c>
      <c r="D307" s="172" t="s">
        <v>218</v>
      </c>
      <c r="E307" s="172">
        <v>5.6999605104248096E-3</v>
      </c>
      <c r="F307" s="172">
        <v>5.5526855319362198E-3</v>
      </c>
      <c r="G307" s="172">
        <v>1.0265231981248599</v>
      </c>
    </row>
    <row r="308" spans="2:7" hidden="1" x14ac:dyDescent="0.3">
      <c r="B308" s="172" t="s">
        <v>22</v>
      </c>
      <c r="C308" s="172" t="s">
        <v>80</v>
      </c>
      <c r="D308" s="172" t="s">
        <v>218</v>
      </c>
      <c r="E308" s="172">
        <v>2.8330385547833E-3</v>
      </c>
      <c r="F308" s="172">
        <v>2.7520334477351802E-3</v>
      </c>
      <c r="G308" s="172">
        <v>1.0294346375458401</v>
      </c>
    </row>
    <row r="309" spans="2:7" x14ac:dyDescent="0.3">
      <c r="B309" s="172" t="s">
        <v>189</v>
      </c>
      <c r="C309" s="172" t="s">
        <v>81</v>
      </c>
      <c r="D309" s="172" t="s">
        <v>221</v>
      </c>
      <c r="E309" s="172">
        <v>2.5662983354547399E-2</v>
      </c>
      <c r="F309" s="172">
        <v>2.5325505448038702E-2</v>
      </c>
      <c r="G309" s="172">
        <v>1.0133256138639</v>
      </c>
    </row>
    <row r="310" spans="2:7" hidden="1" x14ac:dyDescent="0.3">
      <c r="B310" s="172" t="s">
        <v>187</v>
      </c>
      <c r="C310" s="172" t="s">
        <v>81</v>
      </c>
      <c r="D310" s="172" t="s">
        <v>218</v>
      </c>
      <c r="E310" s="172">
        <v>3.90013239020261E-3</v>
      </c>
      <c r="F310" s="172">
        <v>2.5679580985136E-3</v>
      </c>
      <c r="G310" s="172">
        <v>1.5187679240016001</v>
      </c>
    </row>
    <row r="311" spans="2:7" x14ac:dyDescent="0.3">
      <c r="B311" s="172" t="s">
        <v>187</v>
      </c>
      <c r="C311" s="172" t="s">
        <v>81</v>
      </c>
      <c r="D311" s="172" t="s">
        <v>221</v>
      </c>
      <c r="E311" s="172">
        <v>2.7450373723484599E-2</v>
      </c>
      <c r="F311" s="172">
        <v>2.5585329715119998E-2</v>
      </c>
      <c r="G311" s="172">
        <v>1.0728950546712099</v>
      </c>
    </row>
    <row r="312" spans="2:7" hidden="1" x14ac:dyDescent="0.3">
      <c r="B312" s="172" t="s">
        <v>185</v>
      </c>
      <c r="C312" s="172" t="s">
        <v>81</v>
      </c>
      <c r="D312" s="172" t="s">
        <v>218</v>
      </c>
      <c r="E312" s="172">
        <v>3.9088490359283096E-3</v>
      </c>
      <c r="F312" s="172">
        <v>2.46794440931943E-3</v>
      </c>
      <c r="G312" s="172">
        <v>1.5838480887850399</v>
      </c>
    </row>
    <row r="313" spans="2:7" x14ac:dyDescent="0.3">
      <c r="B313" s="172" t="s">
        <v>185</v>
      </c>
      <c r="C313" s="172" t="s">
        <v>81</v>
      </c>
      <c r="D313" s="172" t="s">
        <v>221</v>
      </c>
      <c r="E313" s="172">
        <v>2.6360720205516101E-2</v>
      </c>
      <c r="F313" s="172">
        <v>2.43434537282636E-2</v>
      </c>
      <c r="G313" s="172">
        <v>1.08286689718601</v>
      </c>
    </row>
    <row r="314" spans="2:7" hidden="1" x14ac:dyDescent="0.3">
      <c r="B314" s="172" t="s">
        <v>183</v>
      </c>
      <c r="C314" s="172" t="s">
        <v>81</v>
      </c>
      <c r="D314" s="172" t="s">
        <v>218</v>
      </c>
      <c r="E314" s="172">
        <v>3.8047081390510302E-3</v>
      </c>
      <c r="F314" s="172">
        <v>2.31168200062187E-3</v>
      </c>
      <c r="G314" s="172">
        <v>1.6458613849255701</v>
      </c>
    </row>
    <row r="315" spans="2:7" x14ac:dyDescent="0.3">
      <c r="B315" s="172" t="s">
        <v>183</v>
      </c>
      <c r="C315" s="172" t="s">
        <v>81</v>
      </c>
      <c r="D315" s="172" t="s">
        <v>221</v>
      </c>
      <c r="E315" s="172">
        <v>2.4715293234073E-2</v>
      </c>
      <c r="F315" s="172">
        <v>2.26250566402721E-2</v>
      </c>
      <c r="G315" s="172">
        <v>1.0923859165099401</v>
      </c>
    </row>
    <row r="316" spans="2:7" hidden="1" x14ac:dyDescent="0.3">
      <c r="B316" s="172" t="s">
        <v>181</v>
      </c>
      <c r="C316" s="172" t="s">
        <v>81</v>
      </c>
      <c r="D316" s="172" t="s">
        <v>218</v>
      </c>
      <c r="E316" s="172">
        <v>3.5961544036239401E-3</v>
      </c>
      <c r="F316" s="172">
        <v>2.1106444574811299E-3</v>
      </c>
      <c r="G316" s="172">
        <v>1.7038181825827901</v>
      </c>
    </row>
    <row r="317" spans="2:7" x14ac:dyDescent="0.3">
      <c r="B317" s="172" t="s">
        <v>181</v>
      </c>
      <c r="C317" s="172" t="s">
        <v>81</v>
      </c>
      <c r="D317" s="172" t="s">
        <v>221</v>
      </c>
      <c r="E317" s="172">
        <v>2.2562592863643701E-2</v>
      </c>
      <c r="F317" s="172">
        <v>2.0482878939043801E-2</v>
      </c>
      <c r="G317" s="172">
        <v>1.1015342584794401</v>
      </c>
    </row>
    <row r="318" spans="2:7" hidden="1" x14ac:dyDescent="0.3">
      <c r="B318" s="172" t="s">
        <v>179</v>
      </c>
      <c r="C318" s="172" t="s">
        <v>81</v>
      </c>
      <c r="D318" s="172" t="s">
        <v>218</v>
      </c>
      <c r="E318" s="172">
        <v>3.2989710924143899E-3</v>
      </c>
      <c r="F318" s="172">
        <v>1.8725221889826301E-3</v>
      </c>
      <c r="G318" s="172">
        <v>1.76177943942377</v>
      </c>
    </row>
    <row r="319" spans="2:7" x14ac:dyDescent="0.3">
      <c r="B319" s="172" t="s">
        <v>179</v>
      </c>
      <c r="C319" s="172" t="s">
        <v>81</v>
      </c>
      <c r="D319" s="172" t="s">
        <v>221</v>
      </c>
      <c r="E319" s="172">
        <v>1.9993499885898301E-2</v>
      </c>
      <c r="F319" s="172">
        <v>1.7996471421093799E-2</v>
      </c>
      <c r="G319" s="172">
        <v>1.1109677790760499</v>
      </c>
    </row>
    <row r="320" spans="2:7" hidden="1" x14ac:dyDescent="0.3">
      <c r="B320" s="172" t="s">
        <v>39</v>
      </c>
      <c r="C320" s="172" t="s">
        <v>81</v>
      </c>
      <c r="D320" s="172" t="s">
        <v>218</v>
      </c>
      <c r="E320" s="172">
        <v>2.9231856154803299E-3</v>
      </c>
      <c r="F320" s="172">
        <v>1.6031783938137299E-3</v>
      </c>
      <c r="G320" s="172">
        <v>1.82336889441636</v>
      </c>
    </row>
    <row r="321" spans="2:7" x14ac:dyDescent="0.3">
      <c r="B321" s="172" t="s">
        <v>39</v>
      </c>
      <c r="C321" s="172" t="s">
        <v>81</v>
      </c>
      <c r="D321" s="172" t="s">
        <v>221</v>
      </c>
      <c r="E321" s="172">
        <v>1.7085293764624698E-2</v>
      </c>
      <c r="F321" s="172">
        <v>1.52372836542915E-2</v>
      </c>
      <c r="G321" s="172">
        <v>1.1212821229991801</v>
      </c>
    </row>
    <row r="322" spans="2:7" hidden="1" x14ac:dyDescent="0.3">
      <c r="B322" s="172" t="s">
        <v>26</v>
      </c>
      <c r="C322" s="172" t="s">
        <v>81</v>
      </c>
      <c r="D322" s="172" t="s">
        <v>218</v>
      </c>
      <c r="E322" s="172">
        <v>2.4639186038890302E-3</v>
      </c>
      <c r="F322" s="172">
        <v>1.3061053601997399E-3</v>
      </c>
      <c r="G322" s="172">
        <v>1.88646236281599</v>
      </c>
    </row>
    <row r="323" spans="2:7" x14ac:dyDescent="0.3">
      <c r="B323" s="172" t="s">
        <v>26</v>
      </c>
      <c r="C323" s="172" t="s">
        <v>81</v>
      </c>
      <c r="D323" s="172" t="s">
        <v>221</v>
      </c>
      <c r="E323" s="172">
        <v>1.38974633765198E-2</v>
      </c>
      <c r="F323" s="172">
        <v>1.22765248353548E-2</v>
      </c>
      <c r="G323" s="172">
        <v>1.13203561780749</v>
      </c>
    </row>
    <row r="324" spans="2:7" hidden="1" x14ac:dyDescent="0.3">
      <c r="B324" s="172" t="s">
        <v>25</v>
      </c>
      <c r="C324" s="172" t="s">
        <v>81</v>
      </c>
      <c r="D324" s="172" t="s">
        <v>218</v>
      </c>
      <c r="E324" s="172">
        <v>1.9316473621250399E-3</v>
      </c>
      <c r="F324" s="172">
        <v>9.96178344826547E-4</v>
      </c>
      <c r="G324" s="172">
        <v>1.93905777229214</v>
      </c>
    </row>
    <row r="325" spans="2:7" x14ac:dyDescent="0.3">
      <c r="B325" s="172" t="s">
        <v>25</v>
      </c>
      <c r="C325" s="172" t="s">
        <v>81</v>
      </c>
      <c r="D325" s="172" t="s">
        <v>221</v>
      </c>
      <c r="E325" s="172">
        <v>1.0487089501414901E-2</v>
      </c>
      <c r="F325" s="172">
        <v>9.1774328771969706E-3</v>
      </c>
      <c r="G325" s="172">
        <v>1.14270402646823</v>
      </c>
    </row>
    <row r="326" spans="2:7" hidden="1" x14ac:dyDescent="0.3">
      <c r="B326" s="172" t="s">
        <v>24</v>
      </c>
      <c r="C326" s="172" t="s">
        <v>81</v>
      </c>
      <c r="D326" s="172" t="s">
        <v>218</v>
      </c>
      <c r="E326" s="172">
        <v>1.3351973884340601E-3</v>
      </c>
      <c r="F326" s="172">
        <v>6.74631135753849E-4</v>
      </c>
      <c r="G326" s="172">
        <v>1.97915174333316</v>
      </c>
    </row>
    <row r="327" spans="2:7" x14ac:dyDescent="0.3">
      <c r="B327" s="172" t="s">
        <v>24</v>
      </c>
      <c r="C327" s="172" t="s">
        <v>81</v>
      </c>
      <c r="D327" s="172" t="s">
        <v>221</v>
      </c>
      <c r="E327" s="172">
        <v>6.9247827911915298E-3</v>
      </c>
      <c r="F327" s="172">
        <v>5.9999900374392403E-3</v>
      </c>
      <c r="G327" s="172">
        <v>1.1541323815509199</v>
      </c>
    </row>
    <row r="328" spans="2:7" hidden="1" x14ac:dyDescent="0.3">
      <c r="B328" s="172" t="s">
        <v>22</v>
      </c>
      <c r="C328" s="172" t="s">
        <v>81</v>
      </c>
      <c r="D328" s="172" t="s">
        <v>218</v>
      </c>
      <c r="E328" s="172">
        <v>6.8364494395284695E-4</v>
      </c>
      <c r="F328" s="172">
        <v>3.4720364403502998E-4</v>
      </c>
      <c r="G328" s="172">
        <v>1.96900279043118</v>
      </c>
    </row>
    <row r="329" spans="2:7" x14ac:dyDescent="0.3">
      <c r="B329" s="172" t="s">
        <v>22</v>
      </c>
      <c r="C329" s="172" t="s">
        <v>81</v>
      </c>
      <c r="D329" s="172" t="s">
        <v>221</v>
      </c>
      <c r="E329" s="172">
        <v>3.3166823594037902E-3</v>
      </c>
      <c r="F329" s="172">
        <v>2.8456645395188401E-3</v>
      </c>
      <c r="G329" s="172">
        <v>1.1655212036920499</v>
      </c>
    </row>
    <row r="330" spans="2:7" hidden="1" x14ac:dyDescent="0.3">
      <c r="B330" s="172" t="s">
        <v>189</v>
      </c>
      <c r="C330" s="172" t="s">
        <v>82</v>
      </c>
      <c r="D330" s="172" t="s">
        <v>221</v>
      </c>
      <c r="E330" s="172">
        <v>2.3029165696140299E-2</v>
      </c>
      <c r="F330" s="172">
        <v>2.12588479352805E-2</v>
      </c>
      <c r="G330" s="172">
        <v>1.0832743978530399</v>
      </c>
    </row>
    <row r="331" spans="2:7" hidden="1" x14ac:dyDescent="0.3">
      <c r="B331" s="172" t="s">
        <v>187</v>
      </c>
      <c r="C331" s="172" t="s">
        <v>82</v>
      </c>
      <c r="D331" s="172" t="s">
        <v>218</v>
      </c>
      <c r="E331" s="172">
        <v>8.2864473340363305E-3</v>
      </c>
      <c r="F331" s="172">
        <v>2.7823270936278002E-3</v>
      </c>
      <c r="G331" s="172">
        <v>2.9782434110692102</v>
      </c>
    </row>
    <row r="332" spans="2:7" hidden="1" x14ac:dyDescent="0.3">
      <c r="B332" s="172" t="s">
        <v>187</v>
      </c>
      <c r="C332" s="172" t="s">
        <v>82</v>
      </c>
      <c r="D332" s="172" t="s">
        <v>221</v>
      </c>
      <c r="E332" s="172">
        <v>3.3828989306081102E-2</v>
      </c>
      <c r="F332" s="172">
        <v>2.6123220969509101E-2</v>
      </c>
      <c r="G332" s="172">
        <v>1.2949777267346201</v>
      </c>
    </row>
    <row r="333" spans="2:7" hidden="1" x14ac:dyDescent="0.3">
      <c r="B333" s="172" t="s">
        <v>185</v>
      </c>
      <c r="C333" s="172" t="s">
        <v>82</v>
      </c>
      <c r="D333" s="172" t="s">
        <v>218</v>
      </c>
      <c r="E333" s="172">
        <v>8.1287065374213603E-3</v>
      </c>
      <c r="F333" s="172">
        <v>2.6761507232311802E-3</v>
      </c>
      <c r="G333" s="172">
        <v>3.0374621529563099</v>
      </c>
    </row>
    <row r="334" spans="2:7" hidden="1" x14ac:dyDescent="0.3">
      <c r="B334" s="172" t="s">
        <v>185</v>
      </c>
      <c r="C334" s="172" t="s">
        <v>82</v>
      </c>
      <c r="D334" s="172" t="s">
        <v>221</v>
      </c>
      <c r="E334" s="172">
        <v>3.2525142896150203E-2</v>
      </c>
      <c r="F334" s="172">
        <v>2.4891564756283999E-2</v>
      </c>
      <c r="G334" s="172">
        <v>1.30667329332677</v>
      </c>
    </row>
    <row r="335" spans="2:7" hidden="1" x14ac:dyDescent="0.3">
      <c r="B335" s="172" t="s">
        <v>183</v>
      </c>
      <c r="C335" s="172" t="s">
        <v>82</v>
      </c>
      <c r="D335" s="172" t="s">
        <v>218</v>
      </c>
      <c r="E335" s="172">
        <v>7.7663234824285497E-3</v>
      </c>
      <c r="F335" s="172">
        <v>2.509783398981E-3</v>
      </c>
      <c r="G335" s="172">
        <v>3.0944198155035099</v>
      </c>
    </row>
    <row r="336" spans="2:7" hidden="1" x14ac:dyDescent="0.3">
      <c r="B336" s="172" t="s">
        <v>183</v>
      </c>
      <c r="C336" s="172" t="s">
        <v>82</v>
      </c>
      <c r="D336" s="172" t="s">
        <v>221</v>
      </c>
      <c r="E336" s="172">
        <v>3.0528249585602098E-2</v>
      </c>
      <c r="F336" s="172">
        <v>2.31690934687756E-2</v>
      </c>
      <c r="G336" s="172">
        <v>1.3176281422812</v>
      </c>
    </row>
    <row r="337" spans="2:7" hidden="1" x14ac:dyDescent="0.3">
      <c r="B337" s="172" t="s">
        <v>181</v>
      </c>
      <c r="C337" s="172" t="s">
        <v>82</v>
      </c>
      <c r="D337" s="172" t="s">
        <v>218</v>
      </c>
      <c r="E337" s="172">
        <v>7.2158887130329098E-3</v>
      </c>
      <c r="F337" s="172">
        <v>2.29370656502529E-3</v>
      </c>
      <c r="G337" s="172">
        <v>3.1459511094669401</v>
      </c>
    </row>
    <row r="338" spans="2:7" hidden="1" x14ac:dyDescent="0.3">
      <c r="B338" s="172" t="s">
        <v>181</v>
      </c>
      <c r="C338" s="172" t="s">
        <v>82</v>
      </c>
      <c r="D338" s="172" t="s">
        <v>221</v>
      </c>
      <c r="E338" s="172">
        <v>2.7897411755004702E-2</v>
      </c>
      <c r="F338" s="172">
        <v>2.1006356747794001E-2</v>
      </c>
      <c r="G338" s="172">
        <v>1.3280461762097</v>
      </c>
    </row>
    <row r="339" spans="2:7" s="172" customFormat="1" hidden="1" x14ac:dyDescent="0.3">
      <c r="B339" s="172" t="s">
        <v>179</v>
      </c>
      <c r="C339" s="172" t="s">
        <v>82</v>
      </c>
      <c r="D339" s="172" t="s">
        <v>218</v>
      </c>
      <c r="E339" s="172">
        <v>6.5074631174398701E-3</v>
      </c>
      <c r="F339" s="172">
        <v>2.0363448065931901E-3</v>
      </c>
      <c r="G339" s="172">
        <v>3.19565875895392</v>
      </c>
    </row>
    <row r="340" spans="2:7" hidden="1" x14ac:dyDescent="0.3">
      <c r="B340" s="172" t="s">
        <v>179</v>
      </c>
      <c r="C340" s="172" t="s">
        <v>82</v>
      </c>
      <c r="D340" s="172" t="s">
        <v>221</v>
      </c>
      <c r="E340" s="172">
        <v>2.4744714840286602E-2</v>
      </c>
      <c r="F340" s="172">
        <v>1.8485149205101199E-2</v>
      </c>
      <c r="G340" s="172">
        <v>1.3386267303407999</v>
      </c>
    </row>
    <row r="341" spans="2:7" hidden="1" x14ac:dyDescent="0.3">
      <c r="B341" s="172" t="s">
        <v>39</v>
      </c>
      <c r="C341" s="172" t="s">
        <v>82</v>
      </c>
      <c r="D341" s="172" t="s">
        <v>218</v>
      </c>
      <c r="E341" s="172">
        <v>5.6636203605950897E-3</v>
      </c>
      <c r="F341" s="172">
        <v>1.7443230442404801E-3</v>
      </c>
      <c r="G341" s="172">
        <v>3.2468873121269599</v>
      </c>
    </row>
    <row r="342" spans="2:7" hidden="1" x14ac:dyDescent="0.3">
      <c r="B342" s="172" t="s">
        <v>39</v>
      </c>
      <c r="C342" s="172" t="s">
        <v>82</v>
      </c>
      <c r="D342" s="172" t="s">
        <v>221</v>
      </c>
      <c r="E342" s="172">
        <v>2.1165344541977601E-2</v>
      </c>
      <c r="F342" s="172">
        <v>1.5678328299081098E-2</v>
      </c>
      <c r="G342" s="172">
        <v>1.3499745724305301</v>
      </c>
    </row>
    <row r="343" spans="2:7" s="172" customFormat="1" hidden="1" x14ac:dyDescent="0.3">
      <c r="B343" s="172" t="s">
        <v>26</v>
      </c>
      <c r="C343" s="172" t="s">
        <v>82</v>
      </c>
      <c r="D343" s="172" t="s">
        <v>218</v>
      </c>
      <c r="E343" s="172">
        <v>4.69235126479865E-3</v>
      </c>
      <c r="F343" s="172">
        <v>1.42160222965585E-3</v>
      </c>
      <c r="G343" s="172">
        <v>3.3007483858087401</v>
      </c>
    </row>
    <row r="344" spans="2:7" hidden="1" x14ac:dyDescent="0.3">
      <c r="B344" s="172" t="s">
        <v>26</v>
      </c>
      <c r="C344" s="172" t="s">
        <v>82</v>
      </c>
      <c r="D344" s="172" t="s">
        <v>221</v>
      </c>
      <c r="E344" s="172">
        <v>1.7234706618856101E-2</v>
      </c>
      <c r="F344" s="172">
        <v>1.26556579696562E-2</v>
      </c>
      <c r="G344" s="172">
        <v>1.3618182997817201</v>
      </c>
    </row>
    <row r="345" spans="2:7" hidden="1" x14ac:dyDescent="0.3">
      <c r="B345" s="172" t="s">
        <v>25</v>
      </c>
      <c r="C345" s="172" t="s">
        <v>82</v>
      </c>
      <c r="D345" s="172" t="s">
        <v>218</v>
      </c>
      <c r="E345" s="172">
        <v>3.61333103834909E-3</v>
      </c>
      <c r="F345" s="172">
        <v>1.0821221053893999E-3</v>
      </c>
      <c r="G345" s="172">
        <v>3.3391158172938602</v>
      </c>
    </row>
    <row r="346" spans="2:7" hidden="1" x14ac:dyDescent="0.3">
      <c r="B346" s="172" t="s">
        <v>25</v>
      </c>
      <c r="C346" s="172" t="s">
        <v>82</v>
      </c>
      <c r="D346" s="172" t="s">
        <v>221</v>
      </c>
      <c r="E346" s="172">
        <v>1.3022892655963E-2</v>
      </c>
      <c r="F346" s="172">
        <v>9.4792001498194504E-3</v>
      </c>
      <c r="G346" s="172">
        <v>1.37383876805376</v>
      </c>
    </row>
    <row r="347" spans="2:7" s="172" customFormat="1" hidden="1" x14ac:dyDescent="0.3">
      <c r="B347" s="172" t="s">
        <v>24</v>
      </c>
      <c r="C347" s="172" t="s">
        <v>82</v>
      </c>
      <c r="D347" s="172" t="s">
        <v>218</v>
      </c>
      <c r="E347" s="172">
        <v>2.4445650949443602E-3</v>
      </c>
      <c r="F347" s="172">
        <v>7.2848553531337399E-4</v>
      </c>
      <c r="G347" s="172">
        <v>3.3556810347549</v>
      </c>
    </row>
    <row r="348" spans="2:7" hidden="1" x14ac:dyDescent="0.3">
      <c r="B348" s="172" t="s">
        <v>24</v>
      </c>
      <c r="C348" s="172" t="s">
        <v>82</v>
      </c>
      <c r="D348" s="172" t="s">
        <v>221</v>
      </c>
      <c r="E348" s="172">
        <v>8.6129115907187803E-3</v>
      </c>
      <c r="F348" s="172">
        <v>6.2104002072354003E-3</v>
      </c>
      <c r="G348" s="172">
        <v>1.3868529085588299</v>
      </c>
    </row>
    <row r="349" spans="2:7" hidden="1" x14ac:dyDescent="0.3">
      <c r="B349" s="172" t="s">
        <v>22</v>
      </c>
      <c r="C349" s="172" t="s">
        <v>82</v>
      </c>
      <c r="D349" s="172" t="s">
        <v>218</v>
      </c>
      <c r="E349" s="172">
        <v>1.21272493034283E-3</v>
      </c>
      <c r="F349" s="172">
        <v>3.6809162688322602E-4</v>
      </c>
      <c r="G349" s="172">
        <v>3.2946278637507702</v>
      </c>
    </row>
    <row r="350" spans="2:7" hidden="1" x14ac:dyDescent="0.3">
      <c r="B350" s="172" t="s">
        <v>22</v>
      </c>
      <c r="C350" s="172" t="s">
        <v>82</v>
      </c>
      <c r="D350" s="172" t="s">
        <v>221</v>
      </c>
      <c r="E350" s="172">
        <v>4.1343110317170403E-3</v>
      </c>
      <c r="F350" s="172">
        <v>2.9518244068735999E-3</v>
      </c>
      <c r="G350" s="172">
        <v>1.4005951783886299</v>
      </c>
    </row>
    <row r="351" spans="2:7" s="172" customFormat="1" hidden="1" x14ac:dyDescent="0.3">
      <c r="B351" s="172" t="s">
        <v>189</v>
      </c>
      <c r="C351" s="172" t="s">
        <v>246</v>
      </c>
      <c r="D351" s="172" t="s">
        <v>218</v>
      </c>
      <c r="E351" s="172">
        <v>2.3754935219650799E-3</v>
      </c>
      <c r="F351" s="172">
        <v>2.30756042043617E-3</v>
      </c>
      <c r="G351" s="172">
        <v>1.0294393598222999</v>
      </c>
    </row>
    <row r="352" spans="2:7" hidden="1" x14ac:dyDescent="0.3">
      <c r="B352" s="172" t="s">
        <v>189</v>
      </c>
      <c r="C352" s="172" t="s">
        <v>246</v>
      </c>
      <c r="D352" s="172" t="s">
        <v>221</v>
      </c>
      <c r="E352" s="172">
        <v>7.4756718659821397E-4</v>
      </c>
      <c r="F352" s="172">
        <v>6.62650809687078E-4</v>
      </c>
      <c r="G352" s="172">
        <v>1.12814649234525</v>
      </c>
    </row>
    <row r="353" spans="2:7" hidden="1" x14ac:dyDescent="0.3">
      <c r="B353" s="172" t="s">
        <v>187</v>
      </c>
      <c r="C353" s="172" t="s">
        <v>246</v>
      </c>
      <c r="D353" s="172" t="s">
        <v>218</v>
      </c>
      <c r="E353" s="172">
        <v>1.76560674991292E-3</v>
      </c>
      <c r="F353" s="172">
        <v>1.5547616493364E-3</v>
      </c>
      <c r="G353" s="172">
        <v>1.13561249125647</v>
      </c>
    </row>
    <row r="354" spans="2:7" hidden="1" x14ac:dyDescent="0.3">
      <c r="B354" s="172" t="s">
        <v>187</v>
      </c>
      <c r="C354" s="172" t="s">
        <v>246</v>
      </c>
      <c r="D354" s="172" t="s">
        <v>221</v>
      </c>
      <c r="E354" s="172">
        <v>6.8751012804683096E-4</v>
      </c>
      <c r="F354" s="172">
        <v>3.9232698723970299E-4</v>
      </c>
      <c r="G354" s="172">
        <v>1.7523906088743699</v>
      </c>
    </row>
    <row r="355" spans="2:7" s="172" customFormat="1" hidden="1" x14ac:dyDescent="0.3">
      <c r="B355" s="172" t="s">
        <v>185</v>
      </c>
      <c r="C355" s="172" t="s">
        <v>246</v>
      </c>
      <c r="D355" s="172" t="s">
        <v>218</v>
      </c>
      <c r="E355" s="172">
        <v>1.48792366441182E-3</v>
      </c>
      <c r="F355" s="172">
        <v>1.2830463341080801E-3</v>
      </c>
      <c r="G355" s="172">
        <v>1.15968038320779</v>
      </c>
    </row>
    <row r="356" spans="2:7" hidden="1" x14ac:dyDescent="0.3">
      <c r="B356" s="172" t="s">
        <v>185</v>
      </c>
      <c r="C356" s="172" t="s">
        <v>246</v>
      </c>
      <c r="D356" s="172" t="s">
        <v>221</v>
      </c>
      <c r="E356" s="172">
        <v>6.4166045043408202E-4</v>
      </c>
      <c r="F356" s="172">
        <v>3.5483218800885601E-4</v>
      </c>
      <c r="G356" s="172">
        <v>1.80834905095495</v>
      </c>
    </row>
    <row r="357" spans="2:7" hidden="1" x14ac:dyDescent="0.3">
      <c r="B357" s="172" t="s">
        <v>183</v>
      </c>
      <c r="C357" s="172" t="s">
        <v>246</v>
      </c>
      <c r="D357" s="172" t="s">
        <v>218</v>
      </c>
      <c r="E357" s="172">
        <v>1.1925533979152401E-3</v>
      </c>
      <c r="F357" s="172">
        <v>1.0052232003794201E-3</v>
      </c>
      <c r="G357" s="172">
        <v>1.18635681853056</v>
      </c>
    </row>
    <row r="358" spans="2:7" hidden="1" x14ac:dyDescent="0.3">
      <c r="B358" s="172" t="s">
        <v>183</v>
      </c>
      <c r="C358" s="172" t="s">
        <v>246</v>
      </c>
      <c r="D358" s="172" t="s">
        <v>221</v>
      </c>
      <c r="E358" s="172">
        <v>5.7160195174886996E-4</v>
      </c>
      <c r="F358" s="172">
        <v>3.09339675198725E-4</v>
      </c>
      <c r="G358" s="172">
        <v>1.84781325376922</v>
      </c>
    </row>
    <row r="359" spans="2:7" s="172" customFormat="1" hidden="1" x14ac:dyDescent="0.3">
      <c r="B359" s="172" t="s">
        <v>181</v>
      </c>
      <c r="C359" s="172" t="s">
        <v>246</v>
      </c>
      <c r="D359" s="172" t="s">
        <v>218</v>
      </c>
      <c r="E359" s="172">
        <v>9.13006673733421E-4</v>
      </c>
      <c r="F359" s="172">
        <v>7.4437244277040799E-4</v>
      </c>
      <c r="G359" s="172">
        <v>1.22654550501009</v>
      </c>
    </row>
    <row r="360" spans="2:7" hidden="1" x14ac:dyDescent="0.3">
      <c r="B360" s="172" t="s">
        <v>181</v>
      </c>
      <c r="C360" s="172" t="s">
        <v>246</v>
      </c>
      <c r="D360" s="172" t="s">
        <v>221</v>
      </c>
      <c r="E360" s="172">
        <v>5.0143051369369801E-4</v>
      </c>
      <c r="F360" s="172">
        <v>2.6534259034547997E-4</v>
      </c>
      <c r="G360" s="172">
        <v>1.8897475638601</v>
      </c>
    </row>
    <row r="361" spans="2:7" hidden="1" x14ac:dyDescent="0.3">
      <c r="B361" s="172" t="s">
        <v>179</v>
      </c>
      <c r="C361" s="172" t="s">
        <v>246</v>
      </c>
      <c r="D361" s="172" t="s">
        <v>218</v>
      </c>
      <c r="E361" s="172">
        <v>6.5263161746089804E-4</v>
      </c>
      <c r="F361" s="172">
        <v>5.0414535600769002E-4</v>
      </c>
      <c r="G361" s="172">
        <v>1.29453065407379</v>
      </c>
    </row>
    <row r="362" spans="2:7" hidden="1" x14ac:dyDescent="0.3">
      <c r="B362" s="172" t="s">
        <v>179</v>
      </c>
      <c r="C362" s="172" t="s">
        <v>246</v>
      </c>
      <c r="D362" s="172" t="s">
        <v>221</v>
      </c>
      <c r="E362" s="172">
        <v>4.3064332738670599E-4</v>
      </c>
      <c r="F362" s="172">
        <v>2.22762561352214E-4</v>
      </c>
      <c r="G362" s="172">
        <v>1.9331943607247699</v>
      </c>
    </row>
    <row r="363" spans="2:7" hidden="1" x14ac:dyDescent="0.3">
      <c r="B363" s="172" t="s">
        <v>39</v>
      </c>
      <c r="C363" s="172" t="s">
        <v>246</v>
      </c>
      <c r="D363" s="172" t="s">
        <v>218</v>
      </c>
      <c r="E363" s="172">
        <v>4.17051693833219E-4</v>
      </c>
      <c r="F363" s="172">
        <v>2.9000650257957902E-4</v>
      </c>
      <c r="G363" s="172">
        <v>1.4380770435268999</v>
      </c>
    </row>
    <row r="364" spans="2:7" hidden="1" x14ac:dyDescent="0.3">
      <c r="B364" s="172" t="s">
        <v>39</v>
      </c>
      <c r="C364" s="172" t="s">
        <v>246</v>
      </c>
      <c r="D364" s="172" t="s">
        <v>221</v>
      </c>
      <c r="E364" s="172">
        <v>3.6012144413629098E-4</v>
      </c>
      <c r="F364" s="172">
        <v>1.82258176381197E-4</v>
      </c>
      <c r="G364" s="172">
        <v>1.9758863568517799</v>
      </c>
    </row>
    <row r="365" spans="2:7" hidden="1" x14ac:dyDescent="0.3">
      <c r="B365" s="172" t="s">
        <v>26</v>
      </c>
      <c r="C365" s="172" t="s">
        <v>246</v>
      </c>
      <c r="D365" s="172" t="s">
        <v>218</v>
      </c>
      <c r="E365" s="172">
        <v>2.1252298808512499E-4</v>
      </c>
      <c r="F365" s="172">
        <v>1.11776494142791E-4</v>
      </c>
      <c r="G365" s="172">
        <v>1.90132093258922</v>
      </c>
    </row>
    <row r="366" spans="2:7" hidden="1" x14ac:dyDescent="0.3">
      <c r="B366" s="172" t="s">
        <v>26</v>
      </c>
      <c r="C366" s="172" t="s">
        <v>246</v>
      </c>
      <c r="D366" s="172" t="s">
        <v>221</v>
      </c>
      <c r="E366" s="172">
        <v>2.8128560801908E-4</v>
      </c>
      <c r="F366" s="172">
        <v>1.4024051649981199E-4</v>
      </c>
      <c r="G366" s="172">
        <v>2.0057371082161999</v>
      </c>
    </row>
    <row r="367" spans="2:7" hidden="1" x14ac:dyDescent="0.3">
      <c r="B367" s="172" t="s">
        <v>25</v>
      </c>
      <c r="C367" s="172" t="s">
        <v>246</v>
      </c>
      <c r="D367" s="172" t="s">
        <v>218</v>
      </c>
      <c r="E367" s="172">
        <v>1.0054024504410301E-4</v>
      </c>
      <c r="F367" s="172">
        <v>2.2978231642702801E-5</v>
      </c>
      <c r="G367" s="172">
        <v>4.3754561537824896</v>
      </c>
    </row>
    <row r="368" spans="2:7" hidden="1" x14ac:dyDescent="0.3">
      <c r="B368" s="172" t="s">
        <v>25</v>
      </c>
      <c r="C368" s="172" t="s">
        <v>246</v>
      </c>
      <c r="D368" s="172" t="s">
        <v>221</v>
      </c>
      <c r="E368" s="172">
        <v>2.1232718306022399E-4</v>
      </c>
      <c r="F368" s="172">
        <v>1.03740364298263E-4</v>
      </c>
      <c r="G368" s="172">
        <v>2.0467171529277</v>
      </c>
    </row>
    <row r="369" spans="2:7" hidden="1" x14ac:dyDescent="0.3">
      <c r="B369" s="172" t="s">
        <v>24</v>
      </c>
      <c r="C369" s="172" t="s">
        <v>246</v>
      </c>
      <c r="D369" s="172" t="s">
        <v>218</v>
      </c>
      <c r="E369" s="172">
        <v>1.6243628737041001E-4</v>
      </c>
      <c r="F369" s="172">
        <v>1.07349682572147E-4</v>
      </c>
      <c r="G369" s="172">
        <v>1.5131510730014499</v>
      </c>
    </row>
    <row r="370" spans="2:7" hidden="1" x14ac:dyDescent="0.3">
      <c r="B370" s="172" t="s">
        <v>24</v>
      </c>
      <c r="C370" s="172" t="s">
        <v>246</v>
      </c>
      <c r="D370" s="172" t="s">
        <v>221</v>
      </c>
      <c r="E370" s="172">
        <v>1.4884046291493199E-4</v>
      </c>
      <c r="F370" s="172">
        <v>7.1719216197364396E-5</v>
      </c>
      <c r="G370" s="172">
        <v>2.0753219402919498</v>
      </c>
    </row>
    <row r="371" spans="2:7" hidden="1" x14ac:dyDescent="0.3">
      <c r="B371" s="172" t="s">
        <v>22</v>
      </c>
      <c r="C371" s="172" t="s">
        <v>246</v>
      </c>
      <c r="D371" s="172" t="s">
        <v>218</v>
      </c>
      <c r="E371" s="172">
        <v>1.5448142124972801E-4</v>
      </c>
      <c r="F371" s="172">
        <v>1.2271924734541401E-4</v>
      </c>
      <c r="G371" s="172">
        <v>1.2588198232255501</v>
      </c>
    </row>
    <row r="372" spans="2:7" hidden="1" x14ac:dyDescent="0.3">
      <c r="B372" s="172" t="s">
        <v>22</v>
      </c>
      <c r="C372" s="172" t="s">
        <v>246</v>
      </c>
      <c r="D372" s="172" t="s">
        <v>221</v>
      </c>
      <c r="E372" s="172">
        <v>8.6157933026125797E-5</v>
      </c>
      <c r="F372" s="172">
        <v>4.1690889560087303E-5</v>
      </c>
      <c r="G372" s="172">
        <v>2.06658898227513</v>
      </c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2.39327217208656E-2</v>
      </c>
      <c r="F402" s="172">
        <v>2.33554400608206E-2</v>
      </c>
      <c r="G402" s="172">
        <v>1.0247172247040399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2.48926056544513E-2</v>
      </c>
      <c r="F403" s="172">
        <v>2.27426349131023E-2</v>
      </c>
      <c r="G403" s="172">
        <v>1.0945348131192301</v>
      </c>
    </row>
    <row r="404" spans="2:7" hidden="1" x14ac:dyDescent="0.3">
      <c r="B404" s="172" t="s">
        <v>187</v>
      </c>
      <c r="C404" s="172" t="s">
        <v>79</v>
      </c>
      <c r="D404" s="172" t="s">
        <v>221</v>
      </c>
      <c r="E404" s="172">
        <v>5.8220071119737902E-3</v>
      </c>
      <c r="F404" s="172">
        <v>2.8120480740851401E-3</v>
      </c>
      <c r="G404" s="172">
        <v>2.07037965162381</v>
      </c>
    </row>
    <row r="405" spans="2:7" hidden="1" x14ac:dyDescent="0.3">
      <c r="B405" s="172" t="s">
        <v>185</v>
      </c>
      <c r="C405" s="172" t="s">
        <v>79</v>
      </c>
      <c r="D405" s="172" t="s">
        <v>218</v>
      </c>
      <c r="E405" s="172">
        <v>2.38520654887171E-2</v>
      </c>
      <c r="F405" s="172">
        <v>2.1735434509738499E-2</v>
      </c>
      <c r="G405" s="172">
        <v>1.0973815811241401</v>
      </c>
    </row>
    <row r="406" spans="2:7" hidden="1" x14ac:dyDescent="0.3">
      <c r="B406" s="172" t="s">
        <v>185</v>
      </c>
      <c r="C406" s="172" t="s">
        <v>79</v>
      </c>
      <c r="D406" s="172" t="s">
        <v>221</v>
      </c>
      <c r="E406" s="172">
        <v>5.6455673385923198E-3</v>
      </c>
      <c r="F406" s="172">
        <v>2.6822839680223499E-3</v>
      </c>
      <c r="G406" s="172">
        <v>2.1047612429920401</v>
      </c>
    </row>
    <row r="407" spans="2:7" hidden="1" x14ac:dyDescent="0.3">
      <c r="B407" s="172" t="s">
        <v>183</v>
      </c>
      <c r="C407" s="172" t="s">
        <v>79</v>
      </c>
      <c r="D407" s="172" t="s">
        <v>218</v>
      </c>
      <c r="E407" s="172">
        <v>2.2309348030015701E-2</v>
      </c>
      <c r="F407" s="172">
        <v>2.0277427431198099E-2</v>
      </c>
      <c r="G407" s="172">
        <v>1.1002060347996301</v>
      </c>
    </row>
    <row r="408" spans="2:7" hidden="1" x14ac:dyDescent="0.3">
      <c r="B408" s="172" t="s">
        <v>183</v>
      </c>
      <c r="C408" s="172" t="s">
        <v>79</v>
      </c>
      <c r="D408" s="172" t="s">
        <v>221</v>
      </c>
      <c r="E408" s="172">
        <v>5.3439345218528897E-3</v>
      </c>
      <c r="F408" s="172">
        <v>2.49924568350834E-3</v>
      </c>
      <c r="G408" s="172">
        <v>2.13821896627277</v>
      </c>
    </row>
    <row r="409" spans="2:7" hidden="1" x14ac:dyDescent="0.3">
      <c r="B409" s="172" t="s">
        <v>181</v>
      </c>
      <c r="C409" s="172" t="s">
        <v>79</v>
      </c>
      <c r="D409" s="172" t="s">
        <v>218</v>
      </c>
      <c r="E409" s="172">
        <v>2.03199662726927E-2</v>
      </c>
      <c r="F409" s="172">
        <v>1.84246972830674E-2</v>
      </c>
      <c r="G409" s="172">
        <v>1.10286567863273</v>
      </c>
    </row>
    <row r="410" spans="2:7" hidden="1" x14ac:dyDescent="0.3">
      <c r="B410" s="172" t="s">
        <v>181</v>
      </c>
      <c r="C410" s="172" t="s">
        <v>79</v>
      </c>
      <c r="D410" s="172" t="s">
        <v>221</v>
      </c>
      <c r="E410" s="172">
        <v>4.9229830554304204E-3</v>
      </c>
      <c r="F410" s="172">
        <v>2.2696064699548901E-3</v>
      </c>
      <c r="G410" s="172">
        <v>2.1690910387333702</v>
      </c>
    </row>
    <row r="411" spans="2:7" hidden="1" x14ac:dyDescent="0.3">
      <c r="B411" s="172" t="s">
        <v>179</v>
      </c>
      <c r="C411" s="172" t="s">
        <v>79</v>
      </c>
      <c r="D411" s="172" t="s">
        <v>218</v>
      </c>
      <c r="E411" s="172">
        <v>1.7955305500096198E-2</v>
      </c>
      <c r="F411" s="172">
        <v>1.62414375484949E-2</v>
      </c>
      <c r="G411" s="172">
        <v>1.10552439994822</v>
      </c>
    </row>
    <row r="412" spans="2:7" hidden="1" x14ac:dyDescent="0.3">
      <c r="B412" s="172" t="s">
        <v>179</v>
      </c>
      <c r="C412" s="172" t="s">
        <v>79</v>
      </c>
      <c r="D412" s="172" t="s">
        <v>221</v>
      </c>
      <c r="E412" s="172">
        <v>4.4005864166582302E-3</v>
      </c>
      <c r="F412" s="172">
        <v>2.0011712844163602E-3</v>
      </c>
      <c r="G412" s="172">
        <v>2.1990053779637702</v>
      </c>
    </row>
    <row r="413" spans="2:7" hidden="1" x14ac:dyDescent="0.3">
      <c r="B413" s="172" t="s">
        <v>39</v>
      </c>
      <c r="C413" s="172" t="s">
        <v>79</v>
      </c>
      <c r="D413" s="172" t="s">
        <v>218</v>
      </c>
      <c r="E413" s="172">
        <v>1.52833788032939E-2</v>
      </c>
      <c r="F413" s="172">
        <v>1.3789755530848401E-2</v>
      </c>
      <c r="G413" s="172">
        <v>1.1083139776556701</v>
      </c>
    </row>
    <row r="414" spans="2:7" hidden="1" x14ac:dyDescent="0.3">
      <c r="B414" s="172" t="s">
        <v>39</v>
      </c>
      <c r="C414" s="172" t="s">
        <v>79</v>
      </c>
      <c r="D414" s="172" t="s">
        <v>221</v>
      </c>
      <c r="E414" s="172">
        <v>3.7919240904235102E-3</v>
      </c>
      <c r="F414" s="172">
        <v>1.7008515089997601E-3</v>
      </c>
      <c r="G414" s="172">
        <v>2.2294268902130501</v>
      </c>
    </row>
    <row r="415" spans="2:7" hidden="1" x14ac:dyDescent="0.3">
      <c r="B415" s="172" t="s">
        <v>26</v>
      </c>
      <c r="C415" s="172" t="s">
        <v>79</v>
      </c>
      <c r="D415" s="172" t="s">
        <v>218</v>
      </c>
      <c r="E415" s="172">
        <v>1.2393556657618401E-2</v>
      </c>
      <c r="F415" s="172">
        <v>1.11576881733616E-2</v>
      </c>
      <c r="G415" s="172">
        <v>1.1107638486624301</v>
      </c>
    </row>
    <row r="416" spans="2:7" hidden="1" x14ac:dyDescent="0.3">
      <c r="B416" s="172" t="s">
        <v>26</v>
      </c>
      <c r="C416" s="172" t="s">
        <v>79</v>
      </c>
      <c r="D416" s="172" t="s">
        <v>221</v>
      </c>
      <c r="E416" s="172">
        <v>3.1054490625853099E-3</v>
      </c>
      <c r="F416" s="172">
        <v>1.37523318462585E-3</v>
      </c>
      <c r="G416" s="172">
        <v>2.2581254563241102</v>
      </c>
    </row>
    <row r="417" spans="2:7" hidden="1" x14ac:dyDescent="0.3">
      <c r="B417" s="172" t="s">
        <v>25</v>
      </c>
      <c r="C417" s="172" t="s">
        <v>79</v>
      </c>
      <c r="D417" s="172" t="s">
        <v>218</v>
      </c>
      <c r="E417" s="172">
        <v>9.3563039458271196E-3</v>
      </c>
      <c r="F417" s="172">
        <v>8.4126525858525293E-3</v>
      </c>
      <c r="G417" s="172">
        <v>1.1121704896695199</v>
      </c>
    </row>
    <row r="418" spans="2:7" hidden="1" x14ac:dyDescent="0.3">
      <c r="B418" s="172" t="s">
        <v>25</v>
      </c>
      <c r="C418" s="172" t="s">
        <v>79</v>
      </c>
      <c r="D418" s="172" t="s">
        <v>221</v>
      </c>
      <c r="E418" s="172">
        <v>2.3537777219276102E-3</v>
      </c>
      <c r="F418" s="172">
        <v>1.0326658179631799E-3</v>
      </c>
      <c r="G418" s="172">
        <v>2.2793218105835802</v>
      </c>
    </row>
    <row r="419" spans="2:7" hidden="1" x14ac:dyDescent="0.3">
      <c r="B419" s="172" t="s">
        <v>24</v>
      </c>
      <c r="C419" s="172" t="s">
        <v>79</v>
      </c>
      <c r="D419" s="172" t="s">
        <v>218</v>
      </c>
      <c r="E419" s="172">
        <v>6.2170811624462398E-3</v>
      </c>
      <c r="F419" s="172">
        <v>5.5920887703868397E-3</v>
      </c>
      <c r="G419" s="172">
        <v>1.11176367502767</v>
      </c>
    </row>
    <row r="420" spans="2:7" hidden="1" x14ac:dyDescent="0.3">
      <c r="B420" s="172" t="s">
        <v>24</v>
      </c>
      <c r="C420" s="172" t="s">
        <v>79</v>
      </c>
      <c r="D420" s="172" t="s">
        <v>221</v>
      </c>
      <c r="E420" s="172">
        <v>1.5544684607255699E-3</v>
      </c>
      <c r="F420" s="172">
        <v>6.7947911184240803E-4</v>
      </c>
      <c r="G420" s="172">
        <v>2.2877354632883899</v>
      </c>
    </row>
    <row r="421" spans="2:7" hidden="1" x14ac:dyDescent="0.3">
      <c r="B421" s="172" t="s">
        <v>22</v>
      </c>
      <c r="C421" s="172" t="s">
        <v>79</v>
      </c>
      <c r="D421" s="172" t="s">
        <v>218</v>
      </c>
      <c r="E421" s="172">
        <v>3.0577625514980199E-3</v>
      </c>
      <c r="F421" s="172">
        <v>2.7672983512935E-3</v>
      </c>
      <c r="G421" s="172">
        <v>1.1049630951678</v>
      </c>
    </row>
    <row r="422" spans="2:7" hidden="1" x14ac:dyDescent="0.3">
      <c r="B422" s="172" t="s">
        <v>22</v>
      </c>
      <c r="C422" s="172" t="s">
        <v>79</v>
      </c>
      <c r="D422" s="172" t="s">
        <v>221</v>
      </c>
      <c r="E422" s="172">
        <v>7.3356435056569499E-4</v>
      </c>
      <c r="F422" s="172">
        <v>3.26914470279359E-4</v>
      </c>
      <c r="G422" s="172">
        <v>2.2439029692960402</v>
      </c>
    </row>
    <row r="423" spans="2:7" hidden="1" x14ac:dyDescent="0.3">
      <c r="B423" s="172" t="s">
        <v>189</v>
      </c>
      <c r="C423" s="172" t="s">
        <v>80</v>
      </c>
      <c r="D423" s="172" t="s">
        <v>218</v>
      </c>
      <c r="E423" s="172">
        <v>2.4078415536339499E-2</v>
      </c>
      <c r="F423" s="172">
        <v>2.3815768875253301E-2</v>
      </c>
      <c r="G423" s="172">
        <v>1.01102826713099</v>
      </c>
    </row>
    <row r="424" spans="2:7" hidden="1" x14ac:dyDescent="0.3">
      <c r="B424" s="172" t="s">
        <v>189</v>
      </c>
      <c r="C424" s="172" t="s">
        <v>80</v>
      </c>
      <c r="D424" s="172" t="s">
        <v>221</v>
      </c>
      <c r="E424" s="172">
        <v>3.8861741452978398E-3</v>
      </c>
      <c r="F424" s="172">
        <v>3.5578658189399899E-3</v>
      </c>
      <c r="G424" s="172">
        <v>1.09227675889577</v>
      </c>
    </row>
    <row r="425" spans="2:7" hidden="1" x14ac:dyDescent="0.3">
      <c r="B425" s="172" t="s">
        <v>187</v>
      </c>
      <c r="C425" s="172" t="s">
        <v>80</v>
      </c>
      <c r="D425" s="172" t="s">
        <v>218</v>
      </c>
      <c r="E425" s="172">
        <v>2.3488545979633599E-2</v>
      </c>
      <c r="F425" s="172">
        <v>2.2585687415059001E-2</v>
      </c>
      <c r="G425" s="172">
        <v>1.0399748100636801</v>
      </c>
    </row>
    <row r="426" spans="2:7" hidden="1" x14ac:dyDescent="0.3">
      <c r="B426" s="172" t="s">
        <v>187</v>
      </c>
      <c r="C426" s="172" t="s">
        <v>80</v>
      </c>
      <c r="D426" s="172" t="s">
        <v>221</v>
      </c>
      <c r="E426" s="172">
        <v>3.6822670096000802E-3</v>
      </c>
      <c r="F426" s="172">
        <v>2.41826501919566E-3</v>
      </c>
      <c r="G426" s="172">
        <v>1.52268960613128</v>
      </c>
    </row>
    <row r="427" spans="2:7" hidden="1" x14ac:dyDescent="0.3">
      <c r="B427" s="172" t="s">
        <v>185</v>
      </c>
      <c r="C427" s="172" t="s">
        <v>80</v>
      </c>
      <c r="D427" s="172" t="s">
        <v>218</v>
      </c>
      <c r="E427" s="172">
        <v>2.2402330921116698E-2</v>
      </c>
      <c r="F427" s="172">
        <v>2.1582989547660601E-2</v>
      </c>
      <c r="G427" s="172">
        <v>1.03796236715246</v>
      </c>
    </row>
    <row r="428" spans="2:7" hidden="1" x14ac:dyDescent="0.3">
      <c r="B428" s="172" t="s">
        <v>185</v>
      </c>
      <c r="C428" s="172" t="s">
        <v>80</v>
      </c>
      <c r="D428" s="172" t="s">
        <v>221</v>
      </c>
      <c r="E428" s="172">
        <v>3.4280177443305202E-3</v>
      </c>
      <c r="F428" s="172">
        <v>2.2809398214919899E-3</v>
      </c>
      <c r="G428" s="172">
        <v>1.5028970567440101</v>
      </c>
    </row>
    <row r="429" spans="2:7" hidden="1" x14ac:dyDescent="0.3">
      <c r="B429" s="172" t="s">
        <v>183</v>
      </c>
      <c r="C429" s="172" t="s">
        <v>80</v>
      </c>
      <c r="D429" s="172" t="s">
        <v>218</v>
      </c>
      <c r="E429" s="172">
        <v>2.0856394892296799E-2</v>
      </c>
      <c r="F429" s="172">
        <v>2.01322789163246E-2</v>
      </c>
      <c r="G429" s="172">
        <v>1.0359679089973799</v>
      </c>
    </row>
    <row r="430" spans="2:7" hidden="1" x14ac:dyDescent="0.3">
      <c r="B430" s="172" t="s">
        <v>183</v>
      </c>
      <c r="C430" s="172" t="s">
        <v>80</v>
      </c>
      <c r="D430" s="172" t="s">
        <v>221</v>
      </c>
      <c r="E430" s="172">
        <v>3.1143844626445299E-3</v>
      </c>
      <c r="F430" s="172">
        <v>2.1006220962833601E-3</v>
      </c>
      <c r="G430" s="172">
        <v>1.4826010200287001</v>
      </c>
    </row>
    <row r="431" spans="2:7" hidden="1" x14ac:dyDescent="0.3">
      <c r="B431" s="172" t="s">
        <v>181</v>
      </c>
      <c r="C431" s="172" t="s">
        <v>80</v>
      </c>
      <c r="D431" s="172" t="s">
        <v>218</v>
      </c>
      <c r="E431" s="172">
        <v>1.8913914075758799E-2</v>
      </c>
      <c r="F431" s="172">
        <v>1.8290447651844399E-2</v>
      </c>
      <c r="G431" s="172">
        <v>1.0340869964356201</v>
      </c>
    </row>
    <row r="432" spans="2:7" hidden="1" x14ac:dyDescent="0.3">
      <c r="B432" s="172" t="s">
        <v>181</v>
      </c>
      <c r="C432" s="172" t="s">
        <v>80</v>
      </c>
      <c r="D432" s="172" t="s">
        <v>221</v>
      </c>
      <c r="E432" s="172">
        <v>2.75856255881926E-3</v>
      </c>
      <c r="F432" s="172">
        <v>1.8857095653391201E-3</v>
      </c>
      <c r="G432" s="172">
        <v>1.4628777461407001</v>
      </c>
    </row>
    <row r="433" spans="2:7" hidden="1" x14ac:dyDescent="0.3">
      <c r="B433" s="172" t="s">
        <v>179</v>
      </c>
      <c r="C433" s="172" t="s">
        <v>80</v>
      </c>
      <c r="D433" s="172" t="s">
        <v>218</v>
      </c>
      <c r="E433" s="172">
        <v>1.6640127111430401E-2</v>
      </c>
      <c r="F433" s="172">
        <v>1.61212252746047E-2</v>
      </c>
      <c r="G433" s="172">
        <v>1.0321874936915101</v>
      </c>
    </row>
    <row r="434" spans="2:7" hidden="1" x14ac:dyDescent="0.3">
      <c r="B434" s="172" t="s">
        <v>179</v>
      </c>
      <c r="C434" s="172" t="s">
        <v>80</v>
      </c>
      <c r="D434" s="172" t="s">
        <v>221</v>
      </c>
      <c r="E434" s="172">
        <v>2.3690527685645301E-3</v>
      </c>
      <c r="F434" s="172">
        <v>1.64259019700858E-3</v>
      </c>
      <c r="G434" s="172">
        <v>1.4422664721115199</v>
      </c>
    </row>
    <row r="435" spans="2:7" hidden="1" x14ac:dyDescent="0.3">
      <c r="B435" s="172" t="s">
        <v>39</v>
      </c>
      <c r="C435" s="172" t="s">
        <v>80</v>
      </c>
      <c r="D435" s="172" t="s">
        <v>218</v>
      </c>
      <c r="E435" s="172">
        <v>1.4098886993074501E-2</v>
      </c>
      <c r="F435" s="172">
        <v>1.36861834659601E-2</v>
      </c>
      <c r="G435" s="172">
        <v>1.0301547563015601</v>
      </c>
    </row>
    <row r="436" spans="2:7" hidden="1" x14ac:dyDescent="0.3">
      <c r="B436" s="172" t="s">
        <v>39</v>
      </c>
      <c r="C436" s="172" t="s">
        <v>80</v>
      </c>
      <c r="D436" s="172" t="s">
        <v>221</v>
      </c>
      <c r="E436" s="172">
        <v>1.9550212506737599E-3</v>
      </c>
      <c r="F436" s="172">
        <v>1.3772363127136E-3</v>
      </c>
      <c r="G436" s="172">
        <v>1.41952490841731</v>
      </c>
    </row>
    <row r="437" spans="2:7" hidden="1" x14ac:dyDescent="0.3">
      <c r="B437" s="172" t="s">
        <v>26</v>
      </c>
      <c r="C437" s="172" t="s">
        <v>80</v>
      </c>
      <c r="D437" s="172" t="s">
        <v>218</v>
      </c>
      <c r="E437" s="172">
        <v>1.1386061166661399E-2</v>
      </c>
      <c r="F437" s="172">
        <v>1.1072984748063E-2</v>
      </c>
      <c r="G437" s="172">
        <v>1.0282738959477999</v>
      </c>
    </row>
    <row r="438" spans="2:7" hidden="1" x14ac:dyDescent="0.3">
      <c r="B438" s="172" t="s">
        <v>25</v>
      </c>
      <c r="C438" s="172" t="s">
        <v>80</v>
      </c>
      <c r="D438" s="172" t="s">
        <v>218</v>
      </c>
      <c r="E438" s="172">
        <v>8.5748366177850702E-3</v>
      </c>
      <c r="F438" s="172">
        <v>8.3496895611027602E-3</v>
      </c>
      <c r="G438" s="172">
        <v>1.0269647218659701</v>
      </c>
    </row>
    <row r="439" spans="2:7" hidden="1" x14ac:dyDescent="0.3">
      <c r="B439" s="172" t="s">
        <v>24</v>
      </c>
      <c r="C439" s="172" t="s">
        <v>80</v>
      </c>
      <c r="D439" s="172" t="s">
        <v>218</v>
      </c>
      <c r="E439" s="172">
        <v>5.6999605104248096E-3</v>
      </c>
      <c r="F439" s="172">
        <v>5.5526855319362198E-3</v>
      </c>
      <c r="G439" s="172">
        <v>1.0265231981248599</v>
      </c>
    </row>
    <row r="440" spans="2:7" hidden="1" x14ac:dyDescent="0.3">
      <c r="B440" s="172" t="s">
        <v>22</v>
      </c>
      <c r="C440" s="172" t="s">
        <v>80</v>
      </c>
      <c r="D440" s="172" t="s">
        <v>218</v>
      </c>
      <c r="E440" s="172">
        <v>2.8330385547833E-3</v>
      </c>
      <c r="F440" s="172">
        <v>2.7520334477351802E-3</v>
      </c>
      <c r="G440" s="172">
        <v>1.0294346375458401</v>
      </c>
    </row>
    <row r="441" spans="2:7" hidden="1" x14ac:dyDescent="0.3">
      <c r="B441" s="172" t="s">
        <v>189</v>
      </c>
      <c r="C441" s="172" t="s">
        <v>81</v>
      </c>
      <c r="D441" s="172" t="s">
        <v>221</v>
      </c>
      <c r="E441" s="172">
        <v>2.5662983354547399E-2</v>
      </c>
      <c r="F441" s="172">
        <v>2.5325505448038702E-2</v>
      </c>
      <c r="G441" s="172">
        <v>1.0133256138639</v>
      </c>
    </row>
    <row r="442" spans="2:7" hidden="1" x14ac:dyDescent="0.3">
      <c r="B442" s="172" t="s">
        <v>187</v>
      </c>
      <c r="C442" s="172" t="s">
        <v>81</v>
      </c>
      <c r="D442" s="172" t="s">
        <v>218</v>
      </c>
      <c r="E442" s="172">
        <v>3.90013239020261E-3</v>
      </c>
      <c r="F442" s="172">
        <v>2.5679580985136E-3</v>
      </c>
      <c r="G442" s="172">
        <v>1.5187679240016001</v>
      </c>
    </row>
    <row r="443" spans="2:7" hidden="1" x14ac:dyDescent="0.3">
      <c r="B443" s="172" t="s">
        <v>187</v>
      </c>
      <c r="C443" s="172" t="s">
        <v>81</v>
      </c>
      <c r="D443" s="172" t="s">
        <v>221</v>
      </c>
      <c r="E443" s="172">
        <v>2.7450373723484599E-2</v>
      </c>
      <c r="F443" s="172">
        <v>2.5585329715119998E-2</v>
      </c>
      <c r="G443" s="172">
        <v>1.0728950546712099</v>
      </c>
    </row>
    <row r="444" spans="2:7" hidden="1" x14ac:dyDescent="0.3">
      <c r="B444" s="172" t="s">
        <v>185</v>
      </c>
      <c r="C444" s="172" t="s">
        <v>81</v>
      </c>
      <c r="D444" s="172" t="s">
        <v>218</v>
      </c>
      <c r="E444" s="172">
        <v>3.9088490359283096E-3</v>
      </c>
      <c r="F444" s="172">
        <v>2.46794440931943E-3</v>
      </c>
      <c r="G444" s="172">
        <v>1.5838480887850399</v>
      </c>
    </row>
    <row r="445" spans="2:7" hidden="1" x14ac:dyDescent="0.3">
      <c r="B445" s="172" t="s">
        <v>185</v>
      </c>
      <c r="C445" s="172" t="s">
        <v>81</v>
      </c>
      <c r="D445" s="172" t="s">
        <v>221</v>
      </c>
      <c r="E445" s="172">
        <v>2.6360720205516101E-2</v>
      </c>
      <c r="F445" s="172">
        <v>2.43434537282636E-2</v>
      </c>
      <c r="G445" s="172">
        <v>1.08286689718601</v>
      </c>
    </row>
    <row r="446" spans="2:7" hidden="1" x14ac:dyDescent="0.3">
      <c r="B446" s="172" t="s">
        <v>183</v>
      </c>
      <c r="C446" s="172" t="s">
        <v>81</v>
      </c>
      <c r="D446" s="172" t="s">
        <v>218</v>
      </c>
      <c r="E446" s="172">
        <v>3.8047081390510302E-3</v>
      </c>
      <c r="F446" s="172">
        <v>2.31168200062187E-3</v>
      </c>
      <c r="G446" s="172">
        <v>1.6458613849255701</v>
      </c>
    </row>
    <row r="447" spans="2:7" hidden="1" x14ac:dyDescent="0.3">
      <c r="B447" s="172" t="s">
        <v>183</v>
      </c>
      <c r="C447" s="172" t="s">
        <v>81</v>
      </c>
      <c r="D447" s="172" t="s">
        <v>221</v>
      </c>
      <c r="E447" s="172">
        <v>2.4715293234073E-2</v>
      </c>
      <c r="F447" s="172">
        <v>2.26250566402721E-2</v>
      </c>
      <c r="G447" s="172">
        <v>1.0923859165099401</v>
      </c>
    </row>
    <row r="448" spans="2:7" hidden="1" x14ac:dyDescent="0.3">
      <c r="B448" s="172" t="s">
        <v>181</v>
      </c>
      <c r="C448" s="172" t="s">
        <v>81</v>
      </c>
      <c r="D448" s="172" t="s">
        <v>218</v>
      </c>
      <c r="E448" s="172">
        <v>3.5961544036239401E-3</v>
      </c>
      <c r="F448" s="172">
        <v>2.1106444574811299E-3</v>
      </c>
      <c r="G448" s="172">
        <v>1.7038181825827901</v>
      </c>
    </row>
    <row r="449" spans="2:7" hidden="1" x14ac:dyDescent="0.3">
      <c r="B449" s="172" t="s">
        <v>181</v>
      </c>
      <c r="C449" s="172" t="s">
        <v>81</v>
      </c>
      <c r="D449" s="172" t="s">
        <v>221</v>
      </c>
      <c r="E449" s="172">
        <v>2.2562592863643701E-2</v>
      </c>
      <c r="F449" s="172">
        <v>2.0482878939043801E-2</v>
      </c>
      <c r="G449" s="172">
        <v>1.1015342584794401</v>
      </c>
    </row>
    <row r="450" spans="2:7" hidden="1" x14ac:dyDescent="0.3">
      <c r="B450" s="172" t="s">
        <v>179</v>
      </c>
      <c r="C450" s="172" t="s">
        <v>81</v>
      </c>
      <c r="D450" s="172" t="s">
        <v>218</v>
      </c>
      <c r="E450" s="172">
        <v>3.2989710924143899E-3</v>
      </c>
      <c r="F450" s="172">
        <v>1.8725221889826301E-3</v>
      </c>
      <c r="G450" s="172">
        <v>1.76177943942377</v>
      </c>
    </row>
    <row r="451" spans="2:7" hidden="1" x14ac:dyDescent="0.3">
      <c r="B451" s="172" t="s">
        <v>179</v>
      </c>
      <c r="C451" s="172" t="s">
        <v>81</v>
      </c>
      <c r="D451" s="172" t="s">
        <v>221</v>
      </c>
      <c r="E451" s="172">
        <v>1.9993499885898301E-2</v>
      </c>
      <c r="F451" s="172">
        <v>1.7996471421093799E-2</v>
      </c>
      <c r="G451" s="172">
        <v>1.1109677790760499</v>
      </c>
    </row>
    <row r="452" spans="2:7" hidden="1" x14ac:dyDescent="0.3">
      <c r="B452" s="172" t="s">
        <v>39</v>
      </c>
      <c r="C452" s="172" t="s">
        <v>81</v>
      </c>
      <c r="D452" s="172" t="s">
        <v>218</v>
      </c>
      <c r="E452" s="172">
        <v>2.9231856154803299E-3</v>
      </c>
      <c r="F452" s="172">
        <v>1.6031783938137299E-3</v>
      </c>
      <c r="G452" s="172">
        <v>1.82336889441636</v>
      </c>
    </row>
    <row r="453" spans="2:7" hidden="1" x14ac:dyDescent="0.3">
      <c r="B453" s="172" t="s">
        <v>39</v>
      </c>
      <c r="C453" s="172" t="s">
        <v>81</v>
      </c>
      <c r="D453" s="172" t="s">
        <v>221</v>
      </c>
      <c r="E453" s="172">
        <v>1.7085293764624698E-2</v>
      </c>
      <c r="F453" s="172">
        <v>1.52372836542915E-2</v>
      </c>
      <c r="G453" s="172">
        <v>1.1212821229991801</v>
      </c>
    </row>
    <row r="454" spans="2:7" hidden="1" x14ac:dyDescent="0.3">
      <c r="B454" s="172" t="s">
        <v>26</v>
      </c>
      <c r="C454" s="172" t="s">
        <v>81</v>
      </c>
      <c r="D454" s="172" t="s">
        <v>218</v>
      </c>
      <c r="E454" s="172">
        <v>2.4639186038890302E-3</v>
      </c>
      <c r="F454" s="172">
        <v>1.3061053601997399E-3</v>
      </c>
      <c r="G454" s="172">
        <v>1.88646236281599</v>
      </c>
    </row>
    <row r="455" spans="2:7" hidden="1" x14ac:dyDescent="0.3">
      <c r="B455" s="172" t="s">
        <v>26</v>
      </c>
      <c r="C455" s="172" t="s">
        <v>81</v>
      </c>
      <c r="D455" s="172" t="s">
        <v>221</v>
      </c>
      <c r="E455" s="172">
        <v>1.38974633765198E-2</v>
      </c>
      <c r="F455" s="172">
        <v>1.22765248353548E-2</v>
      </c>
      <c r="G455" s="172">
        <v>1.13203561780749</v>
      </c>
    </row>
    <row r="456" spans="2:7" hidden="1" x14ac:dyDescent="0.3">
      <c r="B456" s="172" t="s">
        <v>25</v>
      </c>
      <c r="C456" s="172" t="s">
        <v>81</v>
      </c>
      <c r="D456" s="172" t="s">
        <v>218</v>
      </c>
      <c r="E456" s="172">
        <v>1.9316473621250399E-3</v>
      </c>
      <c r="F456" s="172">
        <v>9.96178344826547E-4</v>
      </c>
      <c r="G456" s="172">
        <v>1.93905777229214</v>
      </c>
    </row>
    <row r="457" spans="2:7" hidden="1" x14ac:dyDescent="0.3">
      <c r="B457" s="172" t="s">
        <v>25</v>
      </c>
      <c r="C457" s="172" t="s">
        <v>81</v>
      </c>
      <c r="D457" s="172" t="s">
        <v>221</v>
      </c>
      <c r="E457" s="172">
        <v>1.0487089501414901E-2</v>
      </c>
      <c r="F457" s="172">
        <v>9.1774328771969706E-3</v>
      </c>
      <c r="G457" s="172">
        <v>1.14270402646823</v>
      </c>
    </row>
    <row r="458" spans="2:7" hidden="1" x14ac:dyDescent="0.3">
      <c r="B458" s="172" t="s">
        <v>24</v>
      </c>
      <c r="C458" s="172" t="s">
        <v>81</v>
      </c>
      <c r="D458" s="172" t="s">
        <v>218</v>
      </c>
      <c r="E458" s="172">
        <v>1.3351973884340601E-3</v>
      </c>
      <c r="F458" s="172">
        <v>6.74631135753849E-4</v>
      </c>
      <c r="G458" s="172">
        <v>1.97915174333316</v>
      </c>
    </row>
    <row r="459" spans="2:7" hidden="1" x14ac:dyDescent="0.3">
      <c r="B459" s="172" t="s">
        <v>24</v>
      </c>
      <c r="C459" s="172" t="s">
        <v>81</v>
      </c>
      <c r="D459" s="172" t="s">
        <v>221</v>
      </c>
      <c r="E459" s="172">
        <v>6.9247827911915298E-3</v>
      </c>
      <c r="F459" s="172">
        <v>5.9999900374392403E-3</v>
      </c>
      <c r="G459" s="172">
        <v>1.1541323815509199</v>
      </c>
    </row>
    <row r="460" spans="2:7" hidden="1" x14ac:dyDescent="0.3">
      <c r="B460" s="172" t="s">
        <v>22</v>
      </c>
      <c r="C460" s="172" t="s">
        <v>81</v>
      </c>
      <c r="D460" s="172" t="s">
        <v>218</v>
      </c>
      <c r="E460" s="172">
        <v>6.8364494395284695E-4</v>
      </c>
      <c r="F460" s="172">
        <v>3.4720364403502998E-4</v>
      </c>
      <c r="G460" s="172">
        <v>1.96900279043118</v>
      </c>
    </row>
    <row r="461" spans="2:7" hidden="1" x14ac:dyDescent="0.3">
      <c r="B461" s="172" t="s">
        <v>22</v>
      </c>
      <c r="C461" s="172" t="s">
        <v>81</v>
      </c>
      <c r="D461" s="172" t="s">
        <v>221</v>
      </c>
      <c r="E461" s="172">
        <v>3.3166823594037902E-3</v>
      </c>
      <c r="F461" s="172">
        <v>2.8456645395188401E-3</v>
      </c>
      <c r="G461" s="172">
        <v>1.1655212036920499</v>
      </c>
    </row>
    <row r="462" spans="2:7" x14ac:dyDescent="0.3">
      <c r="B462" s="172" t="s">
        <v>189</v>
      </c>
      <c r="C462" s="172" t="s">
        <v>82</v>
      </c>
      <c r="D462" s="172" t="s">
        <v>221</v>
      </c>
      <c r="E462" s="172">
        <v>2.3029165696140299E-2</v>
      </c>
      <c r="F462" s="172">
        <v>2.12588479352805E-2</v>
      </c>
      <c r="G462" s="172">
        <v>1.0832743978530399</v>
      </c>
    </row>
    <row r="463" spans="2:7" hidden="1" x14ac:dyDescent="0.3">
      <c r="B463" s="172" t="s">
        <v>187</v>
      </c>
      <c r="C463" s="172" t="s">
        <v>82</v>
      </c>
      <c r="D463" s="172" t="s">
        <v>218</v>
      </c>
      <c r="E463" s="172">
        <v>8.2864473340363305E-3</v>
      </c>
      <c r="F463" s="172">
        <v>2.7823270936278002E-3</v>
      </c>
      <c r="G463" s="172">
        <v>2.9782434110692102</v>
      </c>
    </row>
    <row r="464" spans="2:7" x14ac:dyDescent="0.3">
      <c r="B464" s="172" t="s">
        <v>187</v>
      </c>
      <c r="C464" s="172" t="s">
        <v>82</v>
      </c>
      <c r="D464" s="172" t="s">
        <v>221</v>
      </c>
      <c r="E464" s="172">
        <v>3.3828989306081102E-2</v>
      </c>
      <c r="F464" s="172">
        <v>2.6123220969509101E-2</v>
      </c>
      <c r="G464" s="172">
        <v>1.2949777267346201</v>
      </c>
    </row>
    <row r="465" spans="2:7" hidden="1" x14ac:dyDescent="0.3">
      <c r="B465" s="172" t="s">
        <v>185</v>
      </c>
      <c r="C465" s="172" t="s">
        <v>82</v>
      </c>
      <c r="D465" s="172" t="s">
        <v>218</v>
      </c>
      <c r="E465" s="172">
        <v>8.1287065374213603E-3</v>
      </c>
      <c r="F465" s="172">
        <v>2.6761507232311802E-3</v>
      </c>
      <c r="G465" s="172">
        <v>3.0374621529563099</v>
      </c>
    </row>
    <row r="466" spans="2:7" x14ac:dyDescent="0.3">
      <c r="B466" s="172" t="s">
        <v>185</v>
      </c>
      <c r="C466" s="172" t="s">
        <v>82</v>
      </c>
      <c r="D466" s="172" t="s">
        <v>221</v>
      </c>
      <c r="E466" s="172">
        <v>3.2525142896150203E-2</v>
      </c>
      <c r="F466" s="172">
        <v>2.4891564756283999E-2</v>
      </c>
      <c r="G466" s="172">
        <v>1.30667329332677</v>
      </c>
    </row>
    <row r="467" spans="2:7" hidden="1" x14ac:dyDescent="0.3">
      <c r="B467" s="172" t="s">
        <v>183</v>
      </c>
      <c r="C467" s="172" t="s">
        <v>82</v>
      </c>
      <c r="D467" s="172" t="s">
        <v>218</v>
      </c>
      <c r="E467" s="172">
        <v>7.7663234824285497E-3</v>
      </c>
      <c r="F467" s="172">
        <v>2.509783398981E-3</v>
      </c>
      <c r="G467" s="172">
        <v>3.0944198155035099</v>
      </c>
    </row>
    <row r="468" spans="2:7" x14ac:dyDescent="0.3">
      <c r="B468" s="172" t="s">
        <v>183</v>
      </c>
      <c r="C468" s="172" t="s">
        <v>82</v>
      </c>
      <c r="D468" s="172" t="s">
        <v>221</v>
      </c>
      <c r="E468" s="172">
        <v>3.0528249585602098E-2</v>
      </c>
      <c r="F468" s="172">
        <v>2.31690934687756E-2</v>
      </c>
      <c r="G468" s="172">
        <v>1.3176281422812</v>
      </c>
    </row>
    <row r="469" spans="2:7" hidden="1" x14ac:dyDescent="0.3">
      <c r="B469" s="172" t="s">
        <v>181</v>
      </c>
      <c r="C469" s="172" t="s">
        <v>82</v>
      </c>
      <c r="D469" s="172" t="s">
        <v>218</v>
      </c>
      <c r="E469" s="172">
        <v>7.2158887130329098E-3</v>
      </c>
      <c r="F469" s="172">
        <v>2.29370656502529E-3</v>
      </c>
      <c r="G469" s="172">
        <v>3.1459511094669401</v>
      </c>
    </row>
    <row r="470" spans="2:7" x14ac:dyDescent="0.3">
      <c r="B470" s="172" t="s">
        <v>181</v>
      </c>
      <c r="C470" s="172" t="s">
        <v>82</v>
      </c>
      <c r="D470" s="172" t="s">
        <v>221</v>
      </c>
      <c r="E470" s="172">
        <v>2.7897411755004702E-2</v>
      </c>
      <c r="F470" s="172">
        <v>2.1006356747794001E-2</v>
      </c>
      <c r="G470" s="172">
        <v>1.3280461762097</v>
      </c>
    </row>
    <row r="471" spans="2:7" hidden="1" x14ac:dyDescent="0.3">
      <c r="B471" s="172" t="s">
        <v>179</v>
      </c>
      <c r="C471" s="172" t="s">
        <v>82</v>
      </c>
      <c r="D471" s="172" t="s">
        <v>218</v>
      </c>
      <c r="E471" s="172">
        <v>6.5074631174398701E-3</v>
      </c>
      <c r="F471" s="172">
        <v>2.0363448065931901E-3</v>
      </c>
      <c r="G471" s="172">
        <v>3.19565875895392</v>
      </c>
    </row>
    <row r="472" spans="2:7" x14ac:dyDescent="0.3">
      <c r="B472" s="172" t="s">
        <v>179</v>
      </c>
      <c r="C472" s="172" t="s">
        <v>82</v>
      </c>
      <c r="D472" s="172" t="s">
        <v>221</v>
      </c>
      <c r="E472" s="172">
        <v>2.4744714840286602E-2</v>
      </c>
      <c r="F472" s="172">
        <v>1.8485149205101199E-2</v>
      </c>
      <c r="G472" s="172">
        <v>1.3386267303407999</v>
      </c>
    </row>
    <row r="473" spans="2:7" hidden="1" x14ac:dyDescent="0.3">
      <c r="B473" s="172" t="s">
        <v>39</v>
      </c>
      <c r="C473" s="172" t="s">
        <v>82</v>
      </c>
      <c r="D473" s="172" t="s">
        <v>218</v>
      </c>
      <c r="E473" s="172">
        <v>5.6636203605950897E-3</v>
      </c>
      <c r="F473" s="172">
        <v>1.7443230442404801E-3</v>
      </c>
      <c r="G473" s="172">
        <v>3.2468873121269599</v>
      </c>
    </row>
    <row r="474" spans="2:7" x14ac:dyDescent="0.3">
      <c r="B474" s="172" t="s">
        <v>39</v>
      </c>
      <c r="C474" s="172" t="s">
        <v>82</v>
      </c>
      <c r="D474" s="172" t="s">
        <v>221</v>
      </c>
      <c r="E474" s="172">
        <v>2.1165344541977601E-2</v>
      </c>
      <c r="F474" s="172">
        <v>1.5678328299081098E-2</v>
      </c>
      <c r="G474" s="172">
        <v>1.3499745724305301</v>
      </c>
    </row>
    <row r="475" spans="2:7" hidden="1" x14ac:dyDescent="0.3">
      <c r="B475" s="172" t="s">
        <v>26</v>
      </c>
      <c r="C475" s="172" t="s">
        <v>82</v>
      </c>
      <c r="D475" s="172" t="s">
        <v>218</v>
      </c>
      <c r="E475" s="172">
        <v>4.69235126479865E-3</v>
      </c>
      <c r="F475" s="172">
        <v>1.42160222965585E-3</v>
      </c>
      <c r="G475" s="172">
        <v>3.3007483858087401</v>
      </c>
    </row>
    <row r="476" spans="2:7" x14ac:dyDescent="0.3">
      <c r="B476" s="172" t="s">
        <v>26</v>
      </c>
      <c r="C476" s="172" t="s">
        <v>82</v>
      </c>
      <c r="D476" s="172" t="s">
        <v>221</v>
      </c>
      <c r="E476" s="172">
        <v>1.7234706618856101E-2</v>
      </c>
      <c r="F476" s="172">
        <v>1.26556579696562E-2</v>
      </c>
      <c r="G476" s="172">
        <v>1.3618182997817201</v>
      </c>
    </row>
    <row r="477" spans="2:7" hidden="1" x14ac:dyDescent="0.3">
      <c r="B477" s="172" t="s">
        <v>25</v>
      </c>
      <c r="C477" s="172" t="s">
        <v>82</v>
      </c>
      <c r="D477" s="172" t="s">
        <v>218</v>
      </c>
      <c r="E477" s="172">
        <v>3.61333103834909E-3</v>
      </c>
      <c r="F477" s="172">
        <v>1.0821221053893999E-3</v>
      </c>
      <c r="G477" s="172">
        <v>3.3391158172938602</v>
      </c>
    </row>
    <row r="478" spans="2:7" x14ac:dyDescent="0.3">
      <c r="B478" s="172" t="s">
        <v>25</v>
      </c>
      <c r="C478" s="172" t="s">
        <v>82</v>
      </c>
      <c r="D478" s="172" t="s">
        <v>221</v>
      </c>
      <c r="E478" s="172">
        <v>1.3022892655963E-2</v>
      </c>
      <c r="F478" s="172">
        <v>9.4792001498194504E-3</v>
      </c>
      <c r="G478" s="172">
        <v>1.37383876805376</v>
      </c>
    </row>
    <row r="479" spans="2:7" hidden="1" x14ac:dyDescent="0.3">
      <c r="B479" s="172" t="s">
        <v>24</v>
      </c>
      <c r="C479" s="172" t="s">
        <v>82</v>
      </c>
      <c r="D479" s="172" t="s">
        <v>218</v>
      </c>
      <c r="E479" s="172">
        <v>2.4445650949443602E-3</v>
      </c>
      <c r="F479" s="172">
        <v>7.2848553531337399E-4</v>
      </c>
      <c r="G479" s="172">
        <v>3.3556810347549</v>
      </c>
    </row>
    <row r="480" spans="2:7" x14ac:dyDescent="0.3">
      <c r="B480" s="172" t="s">
        <v>24</v>
      </c>
      <c r="C480" s="172" t="s">
        <v>82</v>
      </c>
      <c r="D480" s="172" t="s">
        <v>221</v>
      </c>
      <c r="E480" s="172">
        <v>8.6129115907187803E-3</v>
      </c>
      <c r="F480" s="172">
        <v>6.2104002072354003E-3</v>
      </c>
      <c r="G480" s="172">
        <v>1.3868529085588299</v>
      </c>
    </row>
    <row r="481" spans="2:7" hidden="1" x14ac:dyDescent="0.3">
      <c r="B481" s="172" t="s">
        <v>22</v>
      </c>
      <c r="C481" s="172" t="s">
        <v>82</v>
      </c>
      <c r="D481" s="172" t="s">
        <v>218</v>
      </c>
      <c r="E481" s="172">
        <v>1.21272493034283E-3</v>
      </c>
      <c r="F481" s="172">
        <v>3.6809162688322602E-4</v>
      </c>
      <c r="G481" s="172">
        <v>3.2946278637507702</v>
      </c>
    </row>
    <row r="482" spans="2:7" x14ac:dyDescent="0.3">
      <c r="B482" s="172" t="s">
        <v>22</v>
      </c>
      <c r="C482" s="172" t="s">
        <v>82</v>
      </c>
      <c r="D482" s="172" t="s">
        <v>221</v>
      </c>
      <c r="E482" s="172">
        <v>4.1343110317170403E-3</v>
      </c>
      <c r="F482" s="172">
        <v>2.9518244068735999E-3</v>
      </c>
      <c r="G482" s="172">
        <v>1.4005951783886299</v>
      </c>
    </row>
    <row r="483" spans="2:7" hidden="1" x14ac:dyDescent="0.3">
      <c r="B483" s="172" t="s">
        <v>189</v>
      </c>
      <c r="C483" s="172" t="s">
        <v>246</v>
      </c>
      <c r="D483" s="172" t="s">
        <v>218</v>
      </c>
      <c r="E483" s="172">
        <v>2.3754935219650799E-3</v>
      </c>
      <c r="F483" s="172">
        <v>2.30756042043617E-3</v>
      </c>
      <c r="G483" s="172">
        <v>1.0294393598222999</v>
      </c>
    </row>
    <row r="484" spans="2:7" hidden="1" x14ac:dyDescent="0.3">
      <c r="B484" s="172" t="s">
        <v>189</v>
      </c>
      <c r="C484" s="172" t="s">
        <v>246</v>
      </c>
      <c r="D484" s="172" t="s">
        <v>221</v>
      </c>
      <c r="E484" s="172">
        <v>7.4756718659821397E-4</v>
      </c>
      <c r="F484" s="172">
        <v>6.62650809687078E-4</v>
      </c>
      <c r="G484" s="172">
        <v>1.12814649234525</v>
      </c>
    </row>
    <row r="485" spans="2:7" hidden="1" x14ac:dyDescent="0.3">
      <c r="B485" s="172" t="s">
        <v>187</v>
      </c>
      <c r="C485" s="172" t="s">
        <v>246</v>
      </c>
      <c r="D485" s="172" t="s">
        <v>218</v>
      </c>
      <c r="E485" s="172">
        <v>1.76560674991292E-3</v>
      </c>
      <c r="F485" s="172">
        <v>1.5547616493364E-3</v>
      </c>
      <c r="G485" s="172">
        <v>1.13561249125647</v>
      </c>
    </row>
    <row r="486" spans="2:7" hidden="1" x14ac:dyDescent="0.3">
      <c r="B486" s="172" t="s">
        <v>187</v>
      </c>
      <c r="C486" s="172" t="s">
        <v>246</v>
      </c>
      <c r="D486" s="172" t="s">
        <v>221</v>
      </c>
      <c r="E486" s="172">
        <v>6.8751012804683096E-4</v>
      </c>
      <c r="F486" s="172">
        <v>3.9232698723970299E-4</v>
      </c>
      <c r="G486" s="172">
        <v>1.7523906088743699</v>
      </c>
    </row>
    <row r="487" spans="2:7" hidden="1" x14ac:dyDescent="0.3">
      <c r="B487" s="172" t="s">
        <v>185</v>
      </c>
      <c r="C487" s="172" t="s">
        <v>246</v>
      </c>
      <c r="D487" s="172" t="s">
        <v>218</v>
      </c>
      <c r="E487" s="172">
        <v>1.48792366441182E-3</v>
      </c>
      <c r="F487" s="172">
        <v>1.2830463341080801E-3</v>
      </c>
      <c r="G487" s="172">
        <v>1.15968038320779</v>
      </c>
    </row>
    <row r="488" spans="2:7" hidden="1" x14ac:dyDescent="0.3">
      <c r="B488" s="172" t="s">
        <v>185</v>
      </c>
      <c r="C488" s="172" t="s">
        <v>246</v>
      </c>
      <c r="D488" s="172" t="s">
        <v>221</v>
      </c>
      <c r="E488" s="172">
        <v>6.4166045043408202E-4</v>
      </c>
      <c r="F488" s="172">
        <v>3.5483218800885601E-4</v>
      </c>
      <c r="G488" s="172">
        <v>1.80834905095495</v>
      </c>
    </row>
    <row r="489" spans="2:7" hidden="1" x14ac:dyDescent="0.3">
      <c r="B489" s="172" t="s">
        <v>183</v>
      </c>
      <c r="C489" s="172" t="s">
        <v>246</v>
      </c>
      <c r="D489" s="172" t="s">
        <v>218</v>
      </c>
      <c r="E489" s="172">
        <v>1.1925533979152401E-3</v>
      </c>
      <c r="F489" s="172">
        <v>1.0052232003794201E-3</v>
      </c>
      <c r="G489" s="172">
        <v>1.18635681853056</v>
      </c>
    </row>
    <row r="490" spans="2:7" hidden="1" x14ac:dyDescent="0.3">
      <c r="B490" s="172" t="s">
        <v>183</v>
      </c>
      <c r="C490" s="172" t="s">
        <v>246</v>
      </c>
      <c r="D490" s="172" t="s">
        <v>221</v>
      </c>
      <c r="E490" s="172">
        <v>5.7160195174886996E-4</v>
      </c>
      <c r="F490" s="172">
        <v>3.09339675198725E-4</v>
      </c>
      <c r="G490" s="172">
        <v>1.84781325376922</v>
      </c>
    </row>
    <row r="491" spans="2:7" hidden="1" x14ac:dyDescent="0.3">
      <c r="B491" s="172" t="s">
        <v>181</v>
      </c>
      <c r="C491" s="172" t="s">
        <v>246</v>
      </c>
      <c r="D491" s="172" t="s">
        <v>218</v>
      </c>
      <c r="E491" s="172">
        <v>9.13006673733421E-4</v>
      </c>
      <c r="F491" s="172">
        <v>7.4437244277040799E-4</v>
      </c>
      <c r="G491" s="172">
        <v>1.22654550501009</v>
      </c>
    </row>
    <row r="492" spans="2:7" hidden="1" x14ac:dyDescent="0.3">
      <c r="B492" s="172" t="s">
        <v>181</v>
      </c>
      <c r="C492" s="172" t="s">
        <v>246</v>
      </c>
      <c r="D492" s="172" t="s">
        <v>221</v>
      </c>
      <c r="E492" s="172">
        <v>5.0143051369369801E-4</v>
      </c>
      <c r="F492" s="172">
        <v>2.6534259034547997E-4</v>
      </c>
      <c r="G492" s="172">
        <v>1.8897475638601</v>
      </c>
    </row>
    <row r="493" spans="2:7" hidden="1" x14ac:dyDescent="0.3">
      <c r="B493" s="172" t="s">
        <v>179</v>
      </c>
      <c r="C493" s="172" t="s">
        <v>246</v>
      </c>
      <c r="D493" s="172" t="s">
        <v>218</v>
      </c>
      <c r="E493" s="172">
        <v>6.5263161746089804E-4</v>
      </c>
      <c r="F493" s="172">
        <v>5.0414535600769002E-4</v>
      </c>
      <c r="G493" s="172">
        <v>1.29453065407379</v>
      </c>
    </row>
    <row r="494" spans="2:7" hidden="1" x14ac:dyDescent="0.3">
      <c r="B494" s="172" t="s">
        <v>179</v>
      </c>
      <c r="C494" s="172" t="s">
        <v>246</v>
      </c>
      <c r="D494" s="172" t="s">
        <v>221</v>
      </c>
      <c r="E494" s="172">
        <v>4.3064332738670599E-4</v>
      </c>
      <c r="F494" s="172">
        <v>2.22762561352214E-4</v>
      </c>
      <c r="G494" s="172">
        <v>1.9331943607247699</v>
      </c>
    </row>
    <row r="495" spans="2:7" hidden="1" x14ac:dyDescent="0.3">
      <c r="B495" s="172" t="s">
        <v>39</v>
      </c>
      <c r="C495" s="172" t="s">
        <v>246</v>
      </c>
      <c r="D495" s="172" t="s">
        <v>218</v>
      </c>
      <c r="E495" s="172">
        <v>4.17051693833219E-4</v>
      </c>
      <c r="F495" s="172">
        <v>2.9000650257957902E-4</v>
      </c>
      <c r="G495" s="172">
        <v>1.4380770435268999</v>
      </c>
    </row>
    <row r="496" spans="2:7" hidden="1" x14ac:dyDescent="0.3">
      <c r="B496" s="172" t="s">
        <v>39</v>
      </c>
      <c r="C496" s="172" t="s">
        <v>246</v>
      </c>
      <c r="D496" s="172" t="s">
        <v>221</v>
      </c>
      <c r="E496" s="172">
        <v>3.6012144413629098E-4</v>
      </c>
      <c r="F496" s="172">
        <v>1.82258176381197E-4</v>
      </c>
      <c r="G496" s="172">
        <v>1.9758863568517799</v>
      </c>
    </row>
    <row r="497" spans="2:7" hidden="1" x14ac:dyDescent="0.3">
      <c r="B497" s="172" t="s">
        <v>26</v>
      </c>
      <c r="C497" s="172" t="s">
        <v>246</v>
      </c>
      <c r="D497" s="172" t="s">
        <v>218</v>
      </c>
      <c r="E497" s="172">
        <v>2.1252298808512499E-4</v>
      </c>
      <c r="F497" s="172">
        <v>1.11776494142791E-4</v>
      </c>
      <c r="G497" s="172">
        <v>1.90132093258922</v>
      </c>
    </row>
    <row r="498" spans="2:7" hidden="1" x14ac:dyDescent="0.3">
      <c r="B498" s="172" t="s">
        <v>26</v>
      </c>
      <c r="C498" s="172" t="s">
        <v>246</v>
      </c>
      <c r="D498" s="172" t="s">
        <v>221</v>
      </c>
      <c r="E498" s="172">
        <v>2.8128560801908E-4</v>
      </c>
      <c r="F498" s="172">
        <v>1.4024051649981199E-4</v>
      </c>
      <c r="G498" s="172">
        <v>2.0057371082161999</v>
      </c>
    </row>
    <row r="499" spans="2:7" hidden="1" x14ac:dyDescent="0.3">
      <c r="B499" s="172" t="s">
        <v>25</v>
      </c>
      <c r="C499" s="172" t="s">
        <v>246</v>
      </c>
      <c r="D499" s="172" t="s">
        <v>218</v>
      </c>
      <c r="E499" s="172">
        <v>1.0054024504410301E-4</v>
      </c>
      <c r="F499" s="172">
        <v>2.2978231642702801E-5</v>
      </c>
      <c r="G499" s="172">
        <v>4.3754561537824896</v>
      </c>
    </row>
    <row r="500" spans="2:7" hidden="1" x14ac:dyDescent="0.3">
      <c r="B500" s="172" t="s">
        <v>25</v>
      </c>
      <c r="C500" s="172" t="s">
        <v>246</v>
      </c>
      <c r="D500" s="172" t="s">
        <v>221</v>
      </c>
      <c r="E500" s="172">
        <v>2.1232718306022399E-4</v>
      </c>
      <c r="F500" s="172">
        <v>1.03740364298263E-4</v>
      </c>
      <c r="G500" s="172">
        <v>2.0467171529277</v>
      </c>
    </row>
    <row r="501" spans="2:7" hidden="1" x14ac:dyDescent="0.3">
      <c r="B501" s="172" t="s">
        <v>24</v>
      </c>
      <c r="C501" s="172" t="s">
        <v>246</v>
      </c>
      <c r="D501" s="172" t="s">
        <v>218</v>
      </c>
      <c r="E501" s="172">
        <v>1.6243628737041001E-4</v>
      </c>
      <c r="F501" s="172">
        <v>1.07349682572147E-4</v>
      </c>
      <c r="G501" s="172">
        <v>1.5131510730014499</v>
      </c>
    </row>
    <row r="502" spans="2:7" hidden="1" x14ac:dyDescent="0.3">
      <c r="B502" s="172" t="s">
        <v>24</v>
      </c>
      <c r="C502" s="172" t="s">
        <v>246</v>
      </c>
      <c r="D502" s="172" t="s">
        <v>221</v>
      </c>
      <c r="E502" s="172">
        <v>1.4884046291493199E-4</v>
      </c>
      <c r="F502" s="172">
        <v>7.1719216197364396E-5</v>
      </c>
      <c r="G502" s="172">
        <v>2.0753219402919498</v>
      </c>
    </row>
    <row r="503" spans="2:7" hidden="1" x14ac:dyDescent="0.3">
      <c r="B503" s="172" t="s">
        <v>22</v>
      </c>
      <c r="C503" s="172" t="s">
        <v>246</v>
      </c>
      <c r="D503" s="172" t="s">
        <v>218</v>
      </c>
      <c r="E503" s="172">
        <v>1.5448142124972801E-4</v>
      </c>
      <c r="F503" s="172">
        <v>1.2271924734541401E-4</v>
      </c>
      <c r="G503" s="172">
        <v>1.2588198232255501</v>
      </c>
    </row>
    <row r="504" spans="2:7" hidden="1" x14ac:dyDescent="0.3">
      <c r="B504" s="172" t="s">
        <v>22</v>
      </c>
      <c r="C504" s="172" t="s">
        <v>246</v>
      </c>
      <c r="D504" s="172" t="s">
        <v>221</v>
      </c>
      <c r="E504" s="172">
        <v>8.6157933026125797E-5</v>
      </c>
      <c r="F504" s="172">
        <v>4.1690889560087303E-5</v>
      </c>
      <c r="G504" s="172">
        <v>2.06658898227513</v>
      </c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80" workbookViewId="0">
      <selection activeCell="E406" sqref="E406:E495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3.4891847500224401E-4</v>
      </c>
      <c r="F6" s="172">
        <v>64</v>
      </c>
      <c r="G6" s="172">
        <v>21</v>
      </c>
      <c r="H6" s="172">
        <v>8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3.5713137482635198E-4</v>
      </c>
      <c r="F7" s="172">
        <v>107</v>
      </c>
      <c r="G7" s="172">
        <v>16</v>
      </c>
      <c r="H7" s="172">
        <v>4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221</v>
      </c>
      <c r="E8" s="172">
        <v>6.7969045232585499E-5</v>
      </c>
      <c r="F8" s="172">
        <v>79</v>
      </c>
      <c r="G8" s="172">
        <v>21</v>
      </c>
      <c r="H8" s="172">
        <v>4</v>
      </c>
      <c r="I8" s="172">
        <v>38.5</v>
      </c>
    </row>
    <row r="9" spans="2:9" s="172" customFormat="1" hidden="1" x14ac:dyDescent="0.3">
      <c r="B9" s="172" t="s">
        <v>189</v>
      </c>
      <c r="C9" s="172" t="s">
        <v>81</v>
      </c>
      <c r="D9" s="172" t="s">
        <v>221</v>
      </c>
      <c r="E9" s="172">
        <v>4.2258061159154502E-4</v>
      </c>
      <c r="F9" s="172">
        <v>79</v>
      </c>
      <c r="G9" s="172">
        <v>21</v>
      </c>
      <c r="H9" s="172">
        <v>4</v>
      </c>
      <c r="I9" s="172">
        <v>38.5</v>
      </c>
    </row>
    <row r="10" spans="2:9" s="172" customFormat="1" hidden="1" x14ac:dyDescent="0.3">
      <c r="B10" s="172" t="s">
        <v>189</v>
      </c>
      <c r="C10" s="172" t="s">
        <v>82</v>
      </c>
      <c r="D10" s="172" t="s">
        <v>221</v>
      </c>
      <c r="E10" s="172">
        <v>3.5702584716117998E-4</v>
      </c>
      <c r="F10" s="172">
        <v>79</v>
      </c>
      <c r="G10" s="172">
        <v>21</v>
      </c>
      <c r="H10" s="172">
        <v>4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218</v>
      </c>
      <c r="E11" s="172">
        <v>2.40779164119877E-4</v>
      </c>
      <c r="F11" s="172">
        <v>107</v>
      </c>
      <c r="G11" s="172">
        <v>16</v>
      </c>
      <c r="H11" s="172">
        <v>4</v>
      </c>
      <c r="I11" s="172">
        <v>38.5</v>
      </c>
    </row>
    <row r="12" spans="2:9" s="172" customFormat="1" x14ac:dyDescent="0.3">
      <c r="B12" s="172" t="s">
        <v>187</v>
      </c>
      <c r="C12" s="172" t="s">
        <v>79</v>
      </c>
      <c r="D12" s="172" t="s">
        <v>218</v>
      </c>
      <c r="E12" s="172">
        <v>2.9729719020979E-4</v>
      </c>
      <c r="F12" s="172">
        <v>33</v>
      </c>
      <c r="G12" s="172">
        <v>16</v>
      </c>
      <c r="H12" s="172">
        <v>15</v>
      </c>
      <c r="I12" s="172">
        <v>35.5</v>
      </c>
    </row>
    <row r="13" spans="2:9" s="172" customFormat="1" hidden="1" x14ac:dyDescent="0.3">
      <c r="B13" s="172" t="s">
        <v>187</v>
      </c>
      <c r="C13" s="172" t="s">
        <v>79</v>
      </c>
      <c r="D13" s="172" t="s">
        <v>221</v>
      </c>
      <c r="E13" s="172">
        <v>5.0411363823276501E-5</v>
      </c>
      <c r="F13" s="172">
        <v>19</v>
      </c>
      <c r="G13" s="172">
        <v>0</v>
      </c>
      <c r="H13" s="172">
        <v>4</v>
      </c>
      <c r="I13" s="172">
        <v>35.5</v>
      </c>
    </row>
    <row r="14" spans="2:9" hidden="1" x14ac:dyDescent="0.3">
      <c r="B14" s="172" t="s">
        <v>187</v>
      </c>
      <c r="C14" s="172" t="s">
        <v>80</v>
      </c>
      <c r="D14" s="172" t="s">
        <v>218</v>
      </c>
      <c r="E14" s="172">
        <v>3.1034715957626002E-4</v>
      </c>
      <c r="F14" s="172">
        <v>30</v>
      </c>
      <c r="G14" s="172">
        <v>16</v>
      </c>
      <c r="H14" s="172">
        <v>0</v>
      </c>
      <c r="I14" s="172">
        <v>35.5</v>
      </c>
    </row>
    <row r="15" spans="2:9" hidden="1" x14ac:dyDescent="0.3">
      <c r="B15" s="172" t="s">
        <v>187</v>
      </c>
      <c r="C15" s="172" t="s">
        <v>80</v>
      </c>
      <c r="D15" s="172" t="s">
        <v>221</v>
      </c>
      <c r="E15" s="172">
        <v>7.2642647219874307E-5</v>
      </c>
      <c r="F15" s="172">
        <v>79</v>
      </c>
      <c r="G15" s="172">
        <v>21</v>
      </c>
      <c r="H15" s="172">
        <v>4</v>
      </c>
      <c r="I15" s="172">
        <v>35.5</v>
      </c>
    </row>
    <row r="16" spans="2:9" hidden="1" x14ac:dyDescent="0.3">
      <c r="B16" s="172" t="s">
        <v>187</v>
      </c>
      <c r="C16" s="172" t="s">
        <v>81</v>
      </c>
      <c r="D16" s="172" t="s">
        <v>221</v>
      </c>
      <c r="E16" s="172">
        <v>3.9831384449833998E-4</v>
      </c>
      <c r="F16" s="172">
        <v>79</v>
      </c>
      <c r="G16" s="172">
        <v>21</v>
      </c>
      <c r="H16" s="172">
        <v>4</v>
      </c>
      <c r="I16" s="172">
        <v>35.5</v>
      </c>
    </row>
    <row r="17" spans="2:9" hidden="1" x14ac:dyDescent="0.3">
      <c r="B17" s="172" t="s">
        <v>187</v>
      </c>
      <c r="C17" s="172" t="s">
        <v>82</v>
      </c>
      <c r="D17" s="172" t="s">
        <v>221</v>
      </c>
      <c r="E17" s="172">
        <v>3.7252754569452699E-4</v>
      </c>
      <c r="F17" s="172">
        <v>21</v>
      </c>
      <c r="G17" s="172">
        <v>0</v>
      </c>
      <c r="H17" s="172">
        <v>15</v>
      </c>
      <c r="I17" s="172">
        <v>35.5</v>
      </c>
    </row>
    <row r="18" spans="2:9" hidden="1" x14ac:dyDescent="0.3">
      <c r="B18" s="172" t="s">
        <v>187</v>
      </c>
      <c r="C18" s="172" t="s">
        <v>246</v>
      </c>
      <c r="D18" s="172" t="s">
        <v>218</v>
      </c>
      <c r="E18" s="172">
        <v>7.9338024428887697E-5</v>
      </c>
      <c r="F18" s="172">
        <v>30</v>
      </c>
      <c r="G18" s="172">
        <v>16</v>
      </c>
      <c r="H18" s="172">
        <v>0</v>
      </c>
      <c r="I18" s="172">
        <v>35.5</v>
      </c>
    </row>
    <row r="19" spans="2:9" hidden="1" x14ac:dyDescent="0.3">
      <c r="B19" s="172" t="s">
        <v>187</v>
      </c>
      <c r="C19" s="172" t="s">
        <v>246</v>
      </c>
      <c r="D19" s="172" t="s">
        <v>221</v>
      </c>
      <c r="E19" s="172">
        <v>1.3099907889357001E-5</v>
      </c>
      <c r="F19" s="172">
        <v>79</v>
      </c>
      <c r="G19" s="172">
        <v>21</v>
      </c>
      <c r="H19" s="172">
        <v>4</v>
      </c>
      <c r="I19" s="172">
        <v>35.5</v>
      </c>
    </row>
    <row r="20" spans="2:9" x14ac:dyDescent="0.3">
      <c r="B20" s="172" t="s">
        <v>185</v>
      </c>
      <c r="C20" s="172" t="s">
        <v>79</v>
      </c>
      <c r="D20" s="172" t="s">
        <v>218</v>
      </c>
      <c r="E20" s="172">
        <v>4.40776416771831E-4</v>
      </c>
      <c r="F20" s="172">
        <v>33</v>
      </c>
      <c r="G20" s="172">
        <v>16</v>
      </c>
      <c r="H20" s="172">
        <v>15</v>
      </c>
      <c r="I20" s="172">
        <v>32</v>
      </c>
    </row>
    <row r="21" spans="2:9" hidden="1" x14ac:dyDescent="0.3">
      <c r="B21" s="172" t="s">
        <v>185</v>
      </c>
      <c r="C21" s="172" t="s">
        <v>79</v>
      </c>
      <c r="D21" s="172" t="s">
        <v>221</v>
      </c>
      <c r="E21" s="172">
        <v>8.6180804782694795E-5</v>
      </c>
      <c r="F21" s="172">
        <v>20</v>
      </c>
      <c r="G21" s="172">
        <v>0</v>
      </c>
      <c r="H21" s="172">
        <v>11</v>
      </c>
      <c r="I21" s="172">
        <v>32</v>
      </c>
    </row>
    <row r="22" spans="2:9" hidden="1" x14ac:dyDescent="0.3">
      <c r="B22" s="172" t="s">
        <v>185</v>
      </c>
      <c r="C22" s="172" t="s">
        <v>80</v>
      </c>
      <c r="D22" s="172" t="s">
        <v>218</v>
      </c>
      <c r="E22" s="172">
        <v>4.4169600823424997E-4</v>
      </c>
      <c r="F22" s="172">
        <v>30</v>
      </c>
      <c r="G22" s="172">
        <v>16</v>
      </c>
      <c r="H22" s="172">
        <v>0</v>
      </c>
      <c r="I22" s="172">
        <v>32</v>
      </c>
    </row>
    <row r="23" spans="2:9" hidden="1" x14ac:dyDescent="0.3">
      <c r="B23" s="172" t="s">
        <v>185</v>
      </c>
      <c r="C23" s="172" t="s">
        <v>80</v>
      </c>
      <c r="D23" s="172" t="s">
        <v>221</v>
      </c>
      <c r="E23" s="172">
        <v>8.9609509053140504E-5</v>
      </c>
      <c r="F23" s="172">
        <v>79</v>
      </c>
      <c r="G23" s="172">
        <v>21</v>
      </c>
      <c r="H23" s="172">
        <v>4</v>
      </c>
      <c r="I23" s="172">
        <v>32</v>
      </c>
    </row>
    <row r="24" spans="2:9" hidden="1" x14ac:dyDescent="0.3">
      <c r="B24" s="172" t="s">
        <v>185</v>
      </c>
      <c r="C24" s="172" t="s">
        <v>81</v>
      </c>
      <c r="D24" s="172" t="s">
        <v>221</v>
      </c>
      <c r="E24" s="172">
        <v>5.1181920129710805E-4</v>
      </c>
      <c r="F24" s="172">
        <v>79</v>
      </c>
      <c r="G24" s="172">
        <v>21</v>
      </c>
      <c r="H24" s="172">
        <v>4</v>
      </c>
      <c r="I24" s="172">
        <v>32</v>
      </c>
    </row>
    <row r="25" spans="2:9" hidden="1" x14ac:dyDescent="0.3">
      <c r="B25" s="172" t="s">
        <v>185</v>
      </c>
      <c r="C25" s="172" t="s">
        <v>82</v>
      </c>
      <c r="D25" s="172" t="s">
        <v>221</v>
      </c>
      <c r="E25" s="172">
        <v>5.7054094587088305E-4</v>
      </c>
      <c r="F25" s="172">
        <v>21</v>
      </c>
      <c r="G25" s="172">
        <v>0</v>
      </c>
      <c r="H25" s="172">
        <v>15</v>
      </c>
      <c r="I25" s="172">
        <v>32</v>
      </c>
    </row>
    <row r="26" spans="2:9" hidden="1" x14ac:dyDescent="0.3">
      <c r="B26" s="172" t="s">
        <v>185</v>
      </c>
      <c r="C26" s="172" t="s">
        <v>246</v>
      </c>
      <c r="D26" s="172" t="s">
        <v>218</v>
      </c>
      <c r="E26" s="172">
        <v>8.4391504713308201E-5</v>
      </c>
      <c r="F26" s="172">
        <v>30</v>
      </c>
      <c r="G26" s="172">
        <v>16</v>
      </c>
      <c r="H26" s="172">
        <v>0</v>
      </c>
      <c r="I26" s="172">
        <v>32</v>
      </c>
    </row>
    <row r="27" spans="2:9" hidden="1" x14ac:dyDescent="0.3">
      <c r="B27" s="172" t="s">
        <v>185</v>
      </c>
      <c r="C27" s="172" t="s">
        <v>246</v>
      </c>
      <c r="D27" s="172" t="s">
        <v>221</v>
      </c>
      <c r="E27" s="172">
        <v>2.0016713910060601E-5</v>
      </c>
      <c r="F27" s="172">
        <v>79</v>
      </c>
      <c r="G27" s="172">
        <v>21</v>
      </c>
      <c r="H27" s="172">
        <v>4</v>
      </c>
      <c r="I27" s="172">
        <v>32</v>
      </c>
    </row>
    <row r="28" spans="2:9" x14ac:dyDescent="0.3">
      <c r="B28" s="172" t="s">
        <v>183</v>
      </c>
      <c r="C28" s="172" t="s">
        <v>79</v>
      </c>
      <c r="D28" s="172" t="s">
        <v>218</v>
      </c>
      <c r="E28" s="172">
        <v>5.6839478780654695E-4</v>
      </c>
      <c r="F28" s="172">
        <v>33</v>
      </c>
      <c r="G28" s="172">
        <v>16</v>
      </c>
      <c r="H28" s="172">
        <v>15</v>
      </c>
      <c r="I28" s="172">
        <v>28.5</v>
      </c>
    </row>
    <row r="29" spans="2:9" hidden="1" x14ac:dyDescent="0.3">
      <c r="B29" s="172" t="s">
        <v>183</v>
      </c>
      <c r="C29" s="172" t="s">
        <v>79</v>
      </c>
      <c r="D29" s="172" t="s">
        <v>221</v>
      </c>
      <c r="E29" s="172">
        <v>1.20271847549277E-4</v>
      </c>
      <c r="F29" s="172">
        <v>21</v>
      </c>
      <c r="G29" s="172">
        <v>0</v>
      </c>
      <c r="H29" s="172">
        <v>15</v>
      </c>
      <c r="I29" s="172">
        <v>28.5</v>
      </c>
    </row>
    <row r="30" spans="2:9" hidden="1" x14ac:dyDescent="0.3">
      <c r="B30" s="172" t="s">
        <v>183</v>
      </c>
      <c r="C30" s="172" t="s">
        <v>80</v>
      </c>
      <c r="D30" s="172" t="s">
        <v>218</v>
      </c>
      <c r="E30" s="172">
        <v>5.5499451901086896E-4</v>
      </c>
      <c r="F30" s="172">
        <v>30</v>
      </c>
      <c r="G30" s="172">
        <v>16</v>
      </c>
      <c r="H30" s="172">
        <v>0</v>
      </c>
      <c r="I30" s="172">
        <v>28.5</v>
      </c>
    </row>
    <row r="31" spans="2:9" hidden="1" x14ac:dyDescent="0.3">
      <c r="B31" s="172" t="s">
        <v>183</v>
      </c>
      <c r="C31" s="172" t="s">
        <v>80</v>
      </c>
      <c r="D31" s="172" t="s">
        <v>221</v>
      </c>
      <c r="E31" s="172">
        <v>1.01663401092934E-4</v>
      </c>
      <c r="F31" s="172">
        <v>79</v>
      </c>
      <c r="G31" s="172">
        <v>21</v>
      </c>
      <c r="H31" s="172">
        <v>4</v>
      </c>
      <c r="I31" s="172">
        <v>28.5</v>
      </c>
    </row>
    <row r="32" spans="2:9" hidden="1" x14ac:dyDescent="0.3">
      <c r="B32" s="172" t="s">
        <v>183</v>
      </c>
      <c r="C32" s="172" t="s">
        <v>81</v>
      </c>
      <c r="D32" s="172" t="s">
        <v>221</v>
      </c>
      <c r="E32" s="172">
        <v>6.1505724869407295E-4</v>
      </c>
      <c r="F32" s="172">
        <v>21</v>
      </c>
      <c r="G32" s="172">
        <v>0</v>
      </c>
      <c r="H32" s="172">
        <v>15</v>
      </c>
      <c r="I32" s="172">
        <v>28.5</v>
      </c>
    </row>
    <row r="33" spans="2:9" hidden="1" x14ac:dyDescent="0.3">
      <c r="B33" s="172" t="s">
        <v>183</v>
      </c>
      <c r="C33" s="172" t="s">
        <v>82</v>
      </c>
      <c r="D33" s="172" t="s">
        <v>221</v>
      </c>
      <c r="E33" s="172">
        <v>7.5166795159927304E-4</v>
      </c>
      <c r="F33" s="172">
        <v>21</v>
      </c>
      <c r="G33" s="172">
        <v>0</v>
      </c>
      <c r="H33" s="172">
        <v>15</v>
      </c>
      <c r="I33" s="172">
        <v>28.5</v>
      </c>
    </row>
    <row r="34" spans="2:9" hidden="1" x14ac:dyDescent="0.3">
      <c r="B34" s="172" t="s">
        <v>183</v>
      </c>
      <c r="C34" s="172" t="s">
        <v>246</v>
      </c>
      <c r="D34" s="172" t="s">
        <v>218</v>
      </c>
      <c r="E34" s="172">
        <v>7.9870492623375895E-5</v>
      </c>
      <c r="F34" s="172">
        <v>30</v>
      </c>
      <c r="G34" s="172">
        <v>16</v>
      </c>
      <c r="H34" s="172">
        <v>0</v>
      </c>
      <c r="I34" s="172">
        <v>28.5</v>
      </c>
    </row>
    <row r="35" spans="2:9" hidden="1" x14ac:dyDescent="0.3">
      <c r="B35" s="172" t="s">
        <v>183</v>
      </c>
      <c r="C35" s="172" t="s">
        <v>246</v>
      </c>
      <c r="D35" s="172" t="s">
        <v>221</v>
      </c>
      <c r="E35" s="172">
        <v>2.0048982301477699E-5</v>
      </c>
      <c r="F35" s="172">
        <v>79</v>
      </c>
      <c r="G35" s="172">
        <v>21</v>
      </c>
      <c r="H35" s="172">
        <v>4</v>
      </c>
      <c r="I35" s="172">
        <v>28.5</v>
      </c>
    </row>
    <row r="36" spans="2:9" x14ac:dyDescent="0.3">
      <c r="B36" s="172" t="s">
        <v>181</v>
      </c>
      <c r="C36" s="172" t="s">
        <v>79</v>
      </c>
      <c r="D36" s="172" t="s">
        <v>218</v>
      </c>
      <c r="E36" s="172">
        <v>6.7561736359901504E-4</v>
      </c>
      <c r="F36" s="172">
        <v>33</v>
      </c>
      <c r="G36" s="172">
        <v>16</v>
      </c>
      <c r="H36" s="172">
        <v>15</v>
      </c>
      <c r="I36" s="172">
        <v>25</v>
      </c>
    </row>
    <row r="37" spans="2:9" hidden="1" x14ac:dyDescent="0.3">
      <c r="B37" s="172" t="s">
        <v>181</v>
      </c>
      <c r="C37" s="172" t="s">
        <v>79</v>
      </c>
      <c r="D37" s="172" t="s">
        <v>221</v>
      </c>
      <c r="E37" s="172">
        <v>1.4925618250633899E-4</v>
      </c>
      <c r="F37" s="172">
        <v>21</v>
      </c>
      <c r="G37" s="172">
        <v>0</v>
      </c>
      <c r="H37" s="172">
        <v>15</v>
      </c>
      <c r="I37" s="172">
        <v>25</v>
      </c>
    </row>
    <row r="38" spans="2:9" hidden="1" x14ac:dyDescent="0.3">
      <c r="B38" s="172" t="s">
        <v>181</v>
      </c>
      <c r="C38" s="172" t="s">
        <v>80</v>
      </c>
      <c r="D38" s="172" t="s">
        <v>218</v>
      </c>
      <c r="E38" s="172">
        <v>6.49653418379528E-4</v>
      </c>
      <c r="F38" s="172">
        <v>30</v>
      </c>
      <c r="G38" s="172">
        <v>16</v>
      </c>
      <c r="H38" s="172">
        <v>0</v>
      </c>
      <c r="I38" s="172">
        <v>25</v>
      </c>
    </row>
    <row r="39" spans="2:9" hidden="1" x14ac:dyDescent="0.3">
      <c r="B39" s="172" t="s">
        <v>181</v>
      </c>
      <c r="C39" s="172" t="s">
        <v>80</v>
      </c>
      <c r="D39" s="172" t="s">
        <v>221</v>
      </c>
      <c r="E39" s="172">
        <v>1.11288511501351E-4</v>
      </c>
      <c r="F39" s="172">
        <v>79</v>
      </c>
      <c r="G39" s="172">
        <v>21</v>
      </c>
      <c r="H39" s="172">
        <v>4</v>
      </c>
      <c r="I39" s="172">
        <v>25</v>
      </c>
    </row>
    <row r="40" spans="2:9" hidden="1" x14ac:dyDescent="0.3">
      <c r="B40" s="172" t="s">
        <v>181</v>
      </c>
      <c r="C40" s="172" t="s">
        <v>81</v>
      </c>
      <c r="D40" s="172" t="s">
        <v>221</v>
      </c>
      <c r="E40" s="172">
        <v>7.3402656507011595E-4</v>
      </c>
      <c r="F40" s="172">
        <v>21</v>
      </c>
      <c r="G40" s="172">
        <v>0</v>
      </c>
      <c r="H40" s="172">
        <v>15</v>
      </c>
      <c r="I40" s="172">
        <v>25</v>
      </c>
    </row>
    <row r="41" spans="2:9" hidden="1" x14ac:dyDescent="0.3">
      <c r="B41" s="172" t="s">
        <v>181</v>
      </c>
      <c r="C41" s="172" t="s">
        <v>82</v>
      </c>
      <c r="D41" s="172" t="s">
        <v>218</v>
      </c>
      <c r="E41" s="172">
        <v>2.02407313026584E-4</v>
      </c>
      <c r="F41" s="172">
        <v>33</v>
      </c>
      <c r="G41" s="172">
        <v>16</v>
      </c>
      <c r="H41" s="172">
        <v>15</v>
      </c>
      <c r="I41" s="172">
        <v>25</v>
      </c>
    </row>
    <row r="42" spans="2:9" hidden="1" x14ac:dyDescent="0.3">
      <c r="B42" s="172" t="s">
        <v>181</v>
      </c>
      <c r="C42" s="172" t="s">
        <v>82</v>
      </c>
      <c r="D42" s="172" t="s">
        <v>221</v>
      </c>
      <c r="E42" s="172">
        <v>9.0077054706231598E-4</v>
      </c>
      <c r="F42" s="172">
        <v>21</v>
      </c>
      <c r="G42" s="172">
        <v>0</v>
      </c>
      <c r="H42" s="172">
        <v>15</v>
      </c>
      <c r="I42" s="172">
        <v>25</v>
      </c>
    </row>
    <row r="43" spans="2:9" hidden="1" x14ac:dyDescent="0.3">
      <c r="B43" s="172" t="s">
        <v>181</v>
      </c>
      <c r="C43" s="172" t="s">
        <v>246</v>
      </c>
      <c r="D43" s="172" t="s">
        <v>218</v>
      </c>
      <c r="E43" s="172">
        <v>7.4392873220720899E-5</v>
      </c>
      <c r="F43" s="172">
        <v>30</v>
      </c>
      <c r="G43" s="172">
        <v>16</v>
      </c>
      <c r="H43" s="172">
        <v>0</v>
      </c>
      <c r="I43" s="172">
        <v>25</v>
      </c>
    </row>
    <row r="44" spans="2:9" hidden="1" x14ac:dyDescent="0.3">
      <c r="B44" s="172" t="s">
        <v>181</v>
      </c>
      <c r="C44" s="172" t="s">
        <v>246</v>
      </c>
      <c r="D44" s="172" t="s">
        <v>221</v>
      </c>
      <c r="E44" s="172">
        <v>2.02249103734263E-5</v>
      </c>
      <c r="F44" s="172">
        <v>79</v>
      </c>
      <c r="G44" s="172">
        <v>21</v>
      </c>
      <c r="H44" s="172">
        <v>4</v>
      </c>
      <c r="I44" s="172">
        <v>25</v>
      </c>
    </row>
    <row r="45" spans="2:9" x14ac:dyDescent="0.3">
      <c r="B45" s="172" t="s">
        <v>179</v>
      </c>
      <c r="C45" s="172" t="s">
        <v>79</v>
      </c>
      <c r="D45" s="172" t="s">
        <v>218</v>
      </c>
      <c r="E45" s="172">
        <v>7.6340762765778601E-4</v>
      </c>
      <c r="F45" s="172">
        <v>33</v>
      </c>
      <c r="G45" s="172">
        <v>16</v>
      </c>
      <c r="H45" s="172">
        <v>15</v>
      </c>
      <c r="I45" s="172">
        <v>21.5</v>
      </c>
    </row>
    <row r="46" spans="2:9" hidden="1" x14ac:dyDescent="0.3">
      <c r="B46" s="172" t="s">
        <v>179</v>
      </c>
      <c r="C46" s="172" t="s">
        <v>79</v>
      </c>
      <c r="D46" s="172" t="s">
        <v>221</v>
      </c>
      <c r="E46" s="172">
        <v>1.7390352178134899E-4</v>
      </c>
      <c r="F46" s="172">
        <v>21</v>
      </c>
      <c r="G46" s="172">
        <v>0</v>
      </c>
      <c r="H46" s="172">
        <v>15</v>
      </c>
      <c r="I46" s="172">
        <v>21.5</v>
      </c>
    </row>
    <row r="47" spans="2:9" hidden="1" x14ac:dyDescent="0.3">
      <c r="B47" s="172" t="s">
        <v>179</v>
      </c>
      <c r="C47" s="172" t="s">
        <v>80</v>
      </c>
      <c r="D47" s="172" t="s">
        <v>218</v>
      </c>
      <c r="E47" s="172">
        <v>7.26068605244553E-4</v>
      </c>
      <c r="F47" s="172">
        <v>30</v>
      </c>
      <c r="G47" s="172">
        <v>16</v>
      </c>
      <c r="H47" s="172">
        <v>0</v>
      </c>
      <c r="I47" s="172">
        <v>21.5</v>
      </c>
    </row>
    <row r="48" spans="2:9" hidden="1" x14ac:dyDescent="0.3">
      <c r="B48" s="172" t="s">
        <v>179</v>
      </c>
      <c r="C48" s="172" t="s">
        <v>80</v>
      </c>
      <c r="D48" s="172" t="s">
        <v>221</v>
      </c>
      <c r="E48" s="172">
        <v>1.18294719397362E-4</v>
      </c>
      <c r="F48" s="172">
        <v>79</v>
      </c>
      <c r="G48" s="172">
        <v>21</v>
      </c>
      <c r="H48" s="172">
        <v>4</v>
      </c>
      <c r="I48" s="172">
        <v>21.5</v>
      </c>
    </row>
    <row r="49" spans="2:9" hidden="1" x14ac:dyDescent="0.3">
      <c r="B49" s="172" t="s">
        <v>179</v>
      </c>
      <c r="C49" s="172" t="s">
        <v>81</v>
      </c>
      <c r="D49" s="172" t="s">
        <v>221</v>
      </c>
      <c r="E49" s="172">
        <v>8.3091603464959104E-4</v>
      </c>
      <c r="F49" s="172">
        <v>21</v>
      </c>
      <c r="G49" s="172">
        <v>0</v>
      </c>
      <c r="H49" s="172">
        <v>15</v>
      </c>
      <c r="I49" s="172">
        <v>21.5</v>
      </c>
    </row>
    <row r="50" spans="2:9" hidden="1" x14ac:dyDescent="0.3">
      <c r="B50" s="172" t="s">
        <v>179</v>
      </c>
      <c r="C50" s="172" t="s">
        <v>82</v>
      </c>
      <c r="D50" s="172" t="s">
        <v>218</v>
      </c>
      <c r="E50" s="172">
        <v>2.4109793052707899E-4</v>
      </c>
      <c r="F50" s="172">
        <v>33</v>
      </c>
      <c r="G50" s="172">
        <v>16</v>
      </c>
      <c r="H50" s="172">
        <v>15</v>
      </c>
      <c r="I50" s="172">
        <v>21.5</v>
      </c>
    </row>
    <row r="51" spans="2:9" hidden="1" x14ac:dyDescent="0.3">
      <c r="B51" s="172" t="s">
        <v>179</v>
      </c>
      <c r="C51" s="172" t="s">
        <v>82</v>
      </c>
      <c r="D51" s="172" t="s">
        <v>221</v>
      </c>
      <c r="E51" s="172">
        <v>1.0226772280882801E-3</v>
      </c>
      <c r="F51" s="172">
        <v>21</v>
      </c>
      <c r="G51" s="172">
        <v>0</v>
      </c>
      <c r="H51" s="172">
        <v>15</v>
      </c>
      <c r="I51" s="172">
        <v>21.5</v>
      </c>
    </row>
    <row r="52" spans="2:9" hidden="1" x14ac:dyDescent="0.3">
      <c r="B52" s="172" t="s">
        <v>179</v>
      </c>
      <c r="C52" s="172" t="s">
        <v>246</v>
      </c>
      <c r="D52" s="172" t="s">
        <v>218</v>
      </c>
      <c r="E52" s="172">
        <v>6.7308549607908501E-5</v>
      </c>
      <c r="F52" s="172">
        <v>30</v>
      </c>
      <c r="G52" s="172">
        <v>16</v>
      </c>
      <c r="H52" s="172">
        <v>0</v>
      </c>
      <c r="I52" s="172">
        <v>21.5</v>
      </c>
    </row>
    <row r="53" spans="2:9" hidden="1" x14ac:dyDescent="0.3">
      <c r="B53" s="172" t="s">
        <v>179</v>
      </c>
      <c r="C53" s="172" t="s">
        <v>246</v>
      </c>
      <c r="D53" s="172" t="s">
        <v>221</v>
      </c>
      <c r="E53" s="172">
        <v>2.0149109500118401E-5</v>
      </c>
      <c r="F53" s="172">
        <v>79</v>
      </c>
      <c r="G53" s="172">
        <v>21</v>
      </c>
      <c r="H53" s="172">
        <v>4</v>
      </c>
      <c r="I53" s="172">
        <v>21.5</v>
      </c>
    </row>
    <row r="54" spans="2:9" x14ac:dyDescent="0.3">
      <c r="B54" s="172" t="s">
        <v>39</v>
      </c>
      <c r="C54" s="172" t="s">
        <v>79</v>
      </c>
      <c r="D54" s="172" t="s">
        <v>218</v>
      </c>
      <c r="E54" s="172">
        <v>8.2566347019302495E-4</v>
      </c>
      <c r="F54" s="172">
        <v>33</v>
      </c>
      <c r="G54" s="172">
        <v>16</v>
      </c>
      <c r="H54" s="172">
        <v>15</v>
      </c>
      <c r="I54" s="172">
        <v>18</v>
      </c>
    </row>
    <row r="55" spans="2:9" hidden="1" x14ac:dyDescent="0.3">
      <c r="B55" s="172" t="s">
        <v>39</v>
      </c>
      <c r="C55" s="172" t="s">
        <v>79</v>
      </c>
      <c r="D55" s="172" t="s">
        <v>221</v>
      </c>
      <c r="E55" s="172">
        <v>1.96135722239486E-4</v>
      </c>
      <c r="F55" s="172">
        <v>19</v>
      </c>
      <c r="G55" s="172">
        <v>0</v>
      </c>
      <c r="H55" s="172">
        <v>4</v>
      </c>
      <c r="I55" s="172">
        <v>18</v>
      </c>
    </row>
    <row r="56" spans="2:9" hidden="1" x14ac:dyDescent="0.3">
      <c r="B56" s="172" t="s">
        <v>39</v>
      </c>
      <c r="C56" s="172" t="s">
        <v>80</v>
      </c>
      <c r="D56" s="172" t="s">
        <v>218</v>
      </c>
      <c r="E56" s="172">
        <v>7.7509309326089003E-4</v>
      </c>
      <c r="F56" s="172">
        <v>30</v>
      </c>
      <c r="G56" s="172">
        <v>16</v>
      </c>
      <c r="H56" s="172">
        <v>0</v>
      </c>
      <c r="I56" s="172">
        <v>18</v>
      </c>
    </row>
    <row r="57" spans="2:9" hidden="1" x14ac:dyDescent="0.3">
      <c r="B57" s="172" t="s">
        <v>39</v>
      </c>
      <c r="C57" s="172" t="s">
        <v>80</v>
      </c>
      <c r="D57" s="172" t="s">
        <v>221</v>
      </c>
      <c r="E57" s="172">
        <v>1.1985435845034601E-4</v>
      </c>
      <c r="F57" s="172">
        <v>79</v>
      </c>
      <c r="G57" s="172">
        <v>21</v>
      </c>
      <c r="H57" s="172">
        <v>4</v>
      </c>
      <c r="I57" s="172">
        <v>18</v>
      </c>
    </row>
    <row r="58" spans="2:9" hidden="1" x14ac:dyDescent="0.3">
      <c r="B58" s="172" t="s">
        <v>39</v>
      </c>
      <c r="C58" s="172" t="s">
        <v>81</v>
      </c>
      <c r="D58" s="172" t="s">
        <v>218</v>
      </c>
      <c r="E58" s="172">
        <v>1.3121914616894201E-4</v>
      </c>
      <c r="F58" s="172">
        <v>33</v>
      </c>
      <c r="G58" s="172">
        <v>16</v>
      </c>
      <c r="H58" s="172">
        <v>15</v>
      </c>
      <c r="I58" s="172">
        <v>18</v>
      </c>
    </row>
    <row r="59" spans="2:9" hidden="1" x14ac:dyDescent="0.3">
      <c r="B59" s="172" t="s">
        <v>39</v>
      </c>
      <c r="C59" s="172" t="s">
        <v>81</v>
      </c>
      <c r="D59" s="172" t="s">
        <v>221</v>
      </c>
      <c r="E59" s="172">
        <v>9.1080868231569996E-4</v>
      </c>
      <c r="F59" s="172">
        <v>21</v>
      </c>
      <c r="G59" s="172">
        <v>0</v>
      </c>
      <c r="H59" s="172">
        <v>15</v>
      </c>
      <c r="I59" s="172">
        <v>18</v>
      </c>
    </row>
    <row r="60" spans="2:9" hidden="1" x14ac:dyDescent="0.3">
      <c r="B60" s="172" t="s">
        <v>39</v>
      </c>
      <c r="C60" s="172" t="s">
        <v>82</v>
      </c>
      <c r="D60" s="172" t="s">
        <v>218</v>
      </c>
      <c r="E60" s="172">
        <v>2.7750545594183999E-4</v>
      </c>
      <c r="F60" s="172">
        <v>33</v>
      </c>
      <c r="G60" s="172">
        <v>16</v>
      </c>
      <c r="H60" s="172">
        <v>15</v>
      </c>
      <c r="I60" s="172">
        <v>18</v>
      </c>
    </row>
    <row r="61" spans="2:9" hidden="1" x14ac:dyDescent="0.3">
      <c r="B61" s="172" t="s">
        <v>39</v>
      </c>
      <c r="C61" s="172" t="s">
        <v>82</v>
      </c>
      <c r="D61" s="172" t="s">
        <v>221</v>
      </c>
      <c r="E61" s="172">
        <v>1.12303940660613E-3</v>
      </c>
      <c r="F61" s="172">
        <v>21</v>
      </c>
      <c r="G61" s="172">
        <v>0</v>
      </c>
      <c r="H61" s="172">
        <v>15</v>
      </c>
      <c r="I61" s="172">
        <v>18</v>
      </c>
    </row>
    <row r="62" spans="2:9" hidden="1" x14ac:dyDescent="0.3">
      <c r="B62" s="172" t="s">
        <v>39</v>
      </c>
      <c r="C62" s="172" t="s">
        <v>246</v>
      </c>
      <c r="D62" s="172" t="s">
        <v>218</v>
      </c>
      <c r="E62" s="172">
        <v>5.8436773070883798E-5</v>
      </c>
      <c r="F62" s="172">
        <v>30</v>
      </c>
      <c r="G62" s="172">
        <v>16</v>
      </c>
      <c r="H62" s="172">
        <v>0</v>
      </c>
      <c r="I62" s="172">
        <v>18</v>
      </c>
    </row>
    <row r="63" spans="2:9" hidden="1" x14ac:dyDescent="0.3">
      <c r="B63" s="172" t="s">
        <v>39</v>
      </c>
      <c r="C63" s="172" t="s">
        <v>246</v>
      </c>
      <c r="D63" s="172" t="s">
        <v>221</v>
      </c>
      <c r="E63" s="172">
        <v>2.2524524604917598E-5</v>
      </c>
      <c r="F63" s="172">
        <v>79</v>
      </c>
      <c r="G63" s="172">
        <v>21</v>
      </c>
      <c r="H63" s="172">
        <v>4</v>
      </c>
      <c r="I63" s="172">
        <v>18</v>
      </c>
    </row>
    <row r="64" spans="2:9" x14ac:dyDescent="0.3">
      <c r="B64" s="172" t="s">
        <v>26</v>
      </c>
      <c r="C64" s="172" t="s">
        <v>79</v>
      </c>
      <c r="D64" s="172" t="s">
        <v>218</v>
      </c>
      <c r="E64" s="172">
        <v>8.6778648908320899E-4</v>
      </c>
      <c r="F64" s="172">
        <v>33</v>
      </c>
      <c r="G64" s="172">
        <v>16</v>
      </c>
      <c r="H64" s="172">
        <v>15</v>
      </c>
      <c r="I64" s="172">
        <v>14.5</v>
      </c>
    </row>
    <row r="65" spans="2:9" hidden="1" x14ac:dyDescent="0.3">
      <c r="B65" s="172" t="s">
        <v>26</v>
      </c>
      <c r="C65" s="172" t="s">
        <v>79</v>
      </c>
      <c r="D65" s="172" t="s">
        <v>221</v>
      </c>
      <c r="E65" s="172">
        <v>2.1476324018791299E-4</v>
      </c>
      <c r="F65" s="172">
        <v>21</v>
      </c>
      <c r="G65" s="172">
        <v>0</v>
      </c>
      <c r="H65" s="172">
        <v>15</v>
      </c>
      <c r="I65" s="172">
        <v>14.5</v>
      </c>
    </row>
    <row r="66" spans="2:9" hidden="1" x14ac:dyDescent="0.3">
      <c r="B66" s="172" t="s">
        <v>26</v>
      </c>
      <c r="C66" s="172" t="s">
        <v>80</v>
      </c>
      <c r="D66" s="172" t="s">
        <v>218</v>
      </c>
      <c r="E66" s="172">
        <v>8.03207013964658E-4</v>
      </c>
      <c r="F66" s="172">
        <v>30</v>
      </c>
      <c r="G66" s="172">
        <v>16</v>
      </c>
      <c r="H66" s="172">
        <v>0</v>
      </c>
      <c r="I66" s="172">
        <v>14.5</v>
      </c>
    </row>
    <row r="67" spans="2:9" hidden="1" x14ac:dyDescent="0.3">
      <c r="B67" s="172" t="s">
        <v>26</v>
      </c>
      <c r="C67" s="172" t="s">
        <v>80</v>
      </c>
      <c r="D67" s="172" t="s">
        <v>221</v>
      </c>
      <c r="E67" s="172">
        <v>1.16773405699417E-4</v>
      </c>
      <c r="F67" s="172">
        <v>79</v>
      </c>
      <c r="G67" s="172">
        <v>21</v>
      </c>
      <c r="H67" s="172">
        <v>4</v>
      </c>
      <c r="I67" s="172">
        <v>14.5</v>
      </c>
    </row>
    <row r="68" spans="2:9" hidden="1" x14ac:dyDescent="0.3">
      <c r="B68" s="172" t="s">
        <v>26</v>
      </c>
      <c r="C68" s="172" t="s">
        <v>81</v>
      </c>
      <c r="D68" s="172" t="s">
        <v>218</v>
      </c>
      <c r="E68" s="172">
        <v>1.5207749764685501E-4</v>
      </c>
      <c r="F68" s="172">
        <v>33</v>
      </c>
      <c r="G68" s="172">
        <v>16</v>
      </c>
      <c r="H68" s="172">
        <v>15</v>
      </c>
      <c r="I68" s="172">
        <v>14.5</v>
      </c>
    </row>
    <row r="69" spans="2:9" hidden="1" x14ac:dyDescent="0.3">
      <c r="B69" s="172" t="s">
        <v>26</v>
      </c>
      <c r="C69" s="172" t="s">
        <v>81</v>
      </c>
      <c r="D69" s="172" t="s">
        <v>221</v>
      </c>
      <c r="E69" s="172">
        <v>9.7439253574426398E-4</v>
      </c>
      <c r="F69" s="172">
        <v>21</v>
      </c>
      <c r="G69" s="172">
        <v>0</v>
      </c>
      <c r="H69" s="172">
        <v>15</v>
      </c>
      <c r="I69" s="172">
        <v>14.5</v>
      </c>
    </row>
    <row r="70" spans="2:9" hidden="1" x14ac:dyDescent="0.3">
      <c r="B70" s="172" t="s">
        <v>26</v>
      </c>
      <c r="C70" s="172" t="s">
        <v>82</v>
      </c>
      <c r="D70" s="172" t="s">
        <v>218</v>
      </c>
      <c r="E70" s="172">
        <v>3.0829149327130198E-4</v>
      </c>
      <c r="F70" s="172">
        <v>33</v>
      </c>
      <c r="G70" s="172">
        <v>16</v>
      </c>
      <c r="H70" s="172">
        <v>15</v>
      </c>
      <c r="I70" s="172">
        <v>14.5</v>
      </c>
    </row>
    <row r="71" spans="2:9" hidden="1" x14ac:dyDescent="0.3">
      <c r="B71" s="172" t="s">
        <v>26</v>
      </c>
      <c r="C71" s="172" t="s">
        <v>82</v>
      </c>
      <c r="D71" s="172" t="s">
        <v>221</v>
      </c>
      <c r="E71" s="172">
        <v>1.2033754179694601E-3</v>
      </c>
      <c r="F71" s="172">
        <v>21</v>
      </c>
      <c r="G71" s="172">
        <v>0</v>
      </c>
      <c r="H71" s="172">
        <v>15</v>
      </c>
      <c r="I71" s="172">
        <v>14.5</v>
      </c>
    </row>
    <row r="72" spans="2:9" hidden="1" x14ac:dyDescent="0.3">
      <c r="B72" s="172" t="s">
        <v>26</v>
      </c>
      <c r="C72" s="172" t="s">
        <v>246</v>
      </c>
      <c r="D72" s="172" t="s">
        <v>218</v>
      </c>
      <c r="E72" s="172">
        <v>4.5125487521836397E-5</v>
      </c>
      <c r="F72" s="172">
        <v>30</v>
      </c>
      <c r="G72" s="172">
        <v>16</v>
      </c>
      <c r="H72" s="172">
        <v>0</v>
      </c>
      <c r="I72" s="172">
        <v>14.5</v>
      </c>
    </row>
    <row r="73" spans="2:9" hidden="1" x14ac:dyDescent="0.3">
      <c r="B73" s="172" t="s">
        <v>26</v>
      </c>
      <c r="C73" s="172" t="s">
        <v>246</v>
      </c>
      <c r="D73" s="172" t="s">
        <v>221</v>
      </c>
      <c r="E73" s="172">
        <v>1.97024071311016E-5</v>
      </c>
      <c r="F73" s="172">
        <v>79</v>
      </c>
      <c r="G73" s="172">
        <v>21</v>
      </c>
      <c r="H73" s="172">
        <v>4</v>
      </c>
      <c r="I73" s="172">
        <v>14.5</v>
      </c>
    </row>
    <row r="74" spans="2:9" x14ac:dyDescent="0.3">
      <c r="B74" s="172" t="s">
        <v>25</v>
      </c>
      <c r="C74" s="172" t="s">
        <v>79</v>
      </c>
      <c r="D74" s="172" t="s">
        <v>218</v>
      </c>
      <c r="E74" s="172">
        <v>8.9692079525168097E-4</v>
      </c>
      <c r="F74" s="172">
        <v>33</v>
      </c>
      <c r="G74" s="172">
        <v>16</v>
      </c>
      <c r="H74" s="172">
        <v>15</v>
      </c>
      <c r="I74" s="172">
        <v>11</v>
      </c>
    </row>
    <row r="75" spans="2:9" hidden="1" x14ac:dyDescent="0.3">
      <c r="B75" s="172" t="s">
        <v>25</v>
      </c>
      <c r="C75" s="172" t="s">
        <v>79</v>
      </c>
      <c r="D75" s="172" t="s">
        <v>221</v>
      </c>
      <c r="E75" s="172">
        <v>2.28374074629154E-4</v>
      </c>
      <c r="F75" s="172">
        <v>19</v>
      </c>
      <c r="G75" s="172">
        <v>0</v>
      </c>
      <c r="H75" s="172">
        <v>4</v>
      </c>
      <c r="I75" s="172">
        <v>11</v>
      </c>
    </row>
    <row r="76" spans="2:9" hidden="1" x14ac:dyDescent="0.3">
      <c r="B76" s="172" t="s">
        <v>25</v>
      </c>
      <c r="C76" s="172" t="s">
        <v>80</v>
      </c>
      <c r="D76" s="172" t="s">
        <v>218</v>
      </c>
      <c r="E76" s="172">
        <v>8.2139317353150396E-4</v>
      </c>
      <c r="F76" s="172">
        <v>30</v>
      </c>
      <c r="G76" s="172">
        <v>16</v>
      </c>
      <c r="H76" s="172">
        <v>0</v>
      </c>
      <c r="I76" s="172">
        <v>11</v>
      </c>
    </row>
    <row r="77" spans="2:9" hidden="1" x14ac:dyDescent="0.3">
      <c r="B77" s="172" t="s">
        <v>25</v>
      </c>
      <c r="C77" s="172" t="s">
        <v>80</v>
      </c>
      <c r="D77" s="172" t="s">
        <v>221</v>
      </c>
      <c r="E77" s="172">
        <v>1.1288933464018E-4</v>
      </c>
      <c r="F77" s="172">
        <v>79</v>
      </c>
      <c r="G77" s="172">
        <v>21</v>
      </c>
      <c r="H77" s="172">
        <v>4</v>
      </c>
      <c r="I77" s="172">
        <v>11</v>
      </c>
    </row>
    <row r="78" spans="2:9" hidden="1" x14ac:dyDescent="0.3">
      <c r="B78" s="172" t="s">
        <v>25</v>
      </c>
      <c r="C78" s="172" t="s">
        <v>81</v>
      </c>
      <c r="D78" s="172" t="s">
        <v>218</v>
      </c>
      <c r="E78" s="172">
        <v>1.70414278197423E-4</v>
      </c>
      <c r="F78" s="172">
        <v>33</v>
      </c>
      <c r="G78" s="172">
        <v>16</v>
      </c>
      <c r="H78" s="172">
        <v>15</v>
      </c>
      <c r="I78" s="172">
        <v>11</v>
      </c>
    </row>
    <row r="79" spans="2:9" hidden="1" x14ac:dyDescent="0.3">
      <c r="B79" s="172" t="s">
        <v>25</v>
      </c>
      <c r="C79" s="172" t="s">
        <v>81</v>
      </c>
      <c r="D79" s="172" t="s">
        <v>221</v>
      </c>
      <c r="E79" s="172">
        <v>1.01780191720667E-3</v>
      </c>
      <c r="F79" s="172">
        <v>21</v>
      </c>
      <c r="G79" s="172">
        <v>0</v>
      </c>
      <c r="H79" s="172">
        <v>15</v>
      </c>
      <c r="I79" s="172">
        <v>11</v>
      </c>
    </row>
    <row r="80" spans="2:9" hidden="1" x14ac:dyDescent="0.3">
      <c r="B80" s="172" t="s">
        <v>25</v>
      </c>
      <c r="C80" s="172" t="s">
        <v>82</v>
      </c>
      <c r="D80" s="172" t="s">
        <v>218</v>
      </c>
      <c r="E80" s="172">
        <v>3.3393312668706499E-4</v>
      </c>
      <c r="F80" s="172">
        <v>33</v>
      </c>
      <c r="G80" s="172">
        <v>16</v>
      </c>
      <c r="H80" s="172">
        <v>15</v>
      </c>
      <c r="I80" s="172">
        <v>11</v>
      </c>
    </row>
    <row r="81" spans="2:9" hidden="1" x14ac:dyDescent="0.3">
      <c r="B81" s="172" t="s">
        <v>25</v>
      </c>
      <c r="C81" s="172" t="s">
        <v>82</v>
      </c>
      <c r="D81" s="172" t="s">
        <v>221</v>
      </c>
      <c r="E81" s="172">
        <v>1.2599945900697801E-3</v>
      </c>
      <c r="F81" s="172">
        <v>21</v>
      </c>
      <c r="G81" s="172">
        <v>0</v>
      </c>
      <c r="H81" s="172">
        <v>15</v>
      </c>
      <c r="I81" s="172">
        <v>11</v>
      </c>
    </row>
    <row r="82" spans="2:9" hidden="1" x14ac:dyDescent="0.3">
      <c r="B82" s="172" t="s">
        <v>25</v>
      </c>
      <c r="C82" s="172" t="s">
        <v>246</v>
      </c>
      <c r="D82" s="172" t="s">
        <v>218</v>
      </c>
      <c r="E82" s="172">
        <v>3.0527674152166397E-5</v>
      </c>
      <c r="F82" s="172">
        <v>30</v>
      </c>
      <c r="G82" s="172">
        <v>16</v>
      </c>
      <c r="H82" s="172">
        <v>0</v>
      </c>
      <c r="I82" s="172">
        <v>11</v>
      </c>
    </row>
    <row r="83" spans="2:9" hidden="1" x14ac:dyDescent="0.3">
      <c r="B83" s="172" t="s">
        <v>25</v>
      </c>
      <c r="C83" s="172" t="s">
        <v>246</v>
      </c>
      <c r="D83" s="172" t="s">
        <v>221</v>
      </c>
      <c r="E83" s="172">
        <v>1.8139062898654899E-5</v>
      </c>
      <c r="F83" s="172">
        <v>79</v>
      </c>
      <c r="G83" s="172">
        <v>21</v>
      </c>
      <c r="H83" s="172">
        <v>4</v>
      </c>
      <c r="I83" s="172">
        <v>11</v>
      </c>
    </row>
    <row r="84" spans="2:9" x14ac:dyDescent="0.3">
      <c r="B84" s="172" t="s">
        <v>24</v>
      </c>
      <c r="C84" s="172" t="s">
        <v>79</v>
      </c>
      <c r="D84" s="172" t="s">
        <v>218</v>
      </c>
      <c r="E84" s="172">
        <v>9.0266246027092005E-4</v>
      </c>
      <c r="F84" s="172">
        <v>33</v>
      </c>
      <c r="G84" s="172">
        <v>16</v>
      </c>
      <c r="H84" s="172">
        <v>15</v>
      </c>
      <c r="I84" s="172">
        <v>7.5</v>
      </c>
    </row>
    <row r="85" spans="2:9" hidden="1" x14ac:dyDescent="0.3">
      <c r="B85" s="172" t="s">
        <v>24</v>
      </c>
      <c r="C85" s="172" t="s">
        <v>79</v>
      </c>
      <c r="D85" s="172" t="s">
        <v>221</v>
      </c>
      <c r="E85" s="172">
        <v>2.3454403147425099E-4</v>
      </c>
      <c r="F85" s="172">
        <v>21</v>
      </c>
      <c r="G85" s="172">
        <v>0</v>
      </c>
      <c r="H85" s="172">
        <v>15</v>
      </c>
      <c r="I85" s="172">
        <v>7.5</v>
      </c>
    </row>
    <row r="86" spans="2:9" hidden="1" x14ac:dyDescent="0.3">
      <c r="B86" s="172" t="s">
        <v>24</v>
      </c>
      <c r="C86" s="172" t="s">
        <v>80</v>
      </c>
      <c r="D86" s="172" t="s">
        <v>218</v>
      </c>
      <c r="E86" s="172">
        <v>8.1912055875471503E-4</v>
      </c>
      <c r="F86" s="172">
        <v>30</v>
      </c>
      <c r="G86" s="172">
        <v>16</v>
      </c>
      <c r="H86" s="172">
        <v>0</v>
      </c>
      <c r="I86" s="172">
        <v>7.5</v>
      </c>
    </row>
    <row r="87" spans="2:9" hidden="1" x14ac:dyDescent="0.3">
      <c r="B87" s="172" t="s">
        <v>24</v>
      </c>
      <c r="C87" s="172" t="s">
        <v>81</v>
      </c>
      <c r="D87" s="172" t="s">
        <v>218</v>
      </c>
      <c r="E87" s="172">
        <v>1.8615784128034601E-4</v>
      </c>
      <c r="F87" s="172">
        <v>33</v>
      </c>
      <c r="G87" s="172">
        <v>16</v>
      </c>
      <c r="H87" s="172">
        <v>15</v>
      </c>
      <c r="I87" s="172">
        <v>7.5</v>
      </c>
    </row>
    <row r="88" spans="2:9" hidden="1" x14ac:dyDescent="0.3">
      <c r="B88" s="172" t="s">
        <v>24</v>
      </c>
      <c r="C88" s="172" t="s">
        <v>81</v>
      </c>
      <c r="D88" s="172" t="s">
        <v>221</v>
      </c>
      <c r="E88" s="172">
        <v>1.0308858376536401E-3</v>
      </c>
      <c r="F88" s="172">
        <v>21</v>
      </c>
      <c r="G88" s="172">
        <v>0</v>
      </c>
      <c r="H88" s="172">
        <v>15</v>
      </c>
      <c r="I88" s="172">
        <v>7.5</v>
      </c>
    </row>
    <row r="89" spans="2:9" hidden="1" x14ac:dyDescent="0.3">
      <c r="B89" s="172" t="s">
        <v>24</v>
      </c>
      <c r="C89" s="172" t="s">
        <v>82</v>
      </c>
      <c r="D89" s="172" t="s">
        <v>218</v>
      </c>
      <c r="E89" s="172">
        <v>3.5195433274329502E-4</v>
      </c>
      <c r="F89" s="172">
        <v>33</v>
      </c>
      <c r="G89" s="172">
        <v>16</v>
      </c>
      <c r="H89" s="172">
        <v>15</v>
      </c>
      <c r="I89" s="172">
        <v>7.5</v>
      </c>
    </row>
    <row r="90" spans="2:9" hidden="1" x14ac:dyDescent="0.3">
      <c r="B90" s="172" t="s">
        <v>24</v>
      </c>
      <c r="C90" s="172" t="s">
        <v>82</v>
      </c>
      <c r="D90" s="172" t="s">
        <v>221</v>
      </c>
      <c r="E90" s="172">
        <v>1.2796001597147799E-3</v>
      </c>
      <c r="F90" s="172">
        <v>21</v>
      </c>
      <c r="G90" s="172">
        <v>0</v>
      </c>
      <c r="H90" s="172">
        <v>15</v>
      </c>
      <c r="I90" s="172">
        <v>7.5</v>
      </c>
    </row>
    <row r="91" spans="2:9" hidden="1" x14ac:dyDescent="0.3">
      <c r="B91" s="172" t="s">
        <v>24</v>
      </c>
      <c r="C91" s="172" t="s">
        <v>246</v>
      </c>
      <c r="D91" s="172" t="s">
        <v>218</v>
      </c>
      <c r="E91" s="172">
        <v>1.10554273334904E-5</v>
      </c>
      <c r="F91" s="172">
        <v>30</v>
      </c>
      <c r="G91" s="172">
        <v>16</v>
      </c>
      <c r="H91" s="172">
        <v>0</v>
      </c>
      <c r="I91" s="172">
        <v>7.5</v>
      </c>
    </row>
    <row r="92" spans="2:9" hidden="1" x14ac:dyDescent="0.3">
      <c r="B92" s="172" t="s">
        <v>24</v>
      </c>
      <c r="C92" s="172" t="s">
        <v>246</v>
      </c>
      <c r="D92" s="172" t="s">
        <v>221</v>
      </c>
      <c r="E92" s="172">
        <v>1.7909294253944599E-5</v>
      </c>
      <c r="F92" s="172">
        <v>79</v>
      </c>
      <c r="G92" s="172">
        <v>21</v>
      </c>
      <c r="H92" s="172">
        <v>4</v>
      </c>
      <c r="I92" s="172">
        <v>7.5</v>
      </c>
    </row>
    <row r="93" spans="2:9" x14ac:dyDescent="0.3">
      <c r="B93" s="172" t="s">
        <v>22</v>
      </c>
      <c r="C93" s="172" t="s">
        <v>79</v>
      </c>
      <c r="D93" s="172" t="s">
        <v>218</v>
      </c>
      <c r="E93" s="172">
        <v>7.6444063787450595E-4</v>
      </c>
      <c r="F93" s="172">
        <v>33</v>
      </c>
      <c r="G93" s="172">
        <v>16</v>
      </c>
      <c r="H93" s="172">
        <v>15</v>
      </c>
      <c r="I93" s="172">
        <v>4</v>
      </c>
    </row>
    <row r="94" spans="2:9" hidden="1" x14ac:dyDescent="0.3">
      <c r="B94" s="172" t="s">
        <v>22</v>
      </c>
      <c r="C94" s="172" t="s">
        <v>79</v>
      </c>
      <c r="D94" s="172" t="s">
        <v>221</v>
      </c>
      <c r="E94" s="172">
        <v>1.8339108764142399E-4</v>
      </c>
      <c r="F94" s="172">
        <v>21</v>
      </c>
      <c r="G94" s="172">
        <v>0</v>
      </c>
      <c r="H94" s="172">
        <v>15</v>
      </c>
      <c r="I94" s="172">
        <v>4</v>
      </c>
    </row>
    <row r="95" spans="2:9" hidden="1" x14ac:dyDescent="0.3">
      <c r="B95" s="172" t="s">
        <v>22</v>
      </c>
      <c r="C95" s="172" t="s">
        <v>80</v>
      </c>
      <c r="D95" s="172" t="s">
        <v>218</v>
      </c>
      <c r="E95" s="172">
        <v>7.0825963869582597E-4</v>
      </c>
      <c r="F95" s="172">
        <v>30</v>
      </c>
      <c r="G95" s="172">
        <v>16</v>
      </c>
      <c r="H95" s="172">
        <v>0</v>
      </c>
      <c r="I95" s="172">
        <v>4</v>
      </c>
    </row>
    <row r="96" spans="2:9" hidden="1" x14ac:dyDescent="0.3">
      <c r="B96" s="172" t="s">
        <v>22</v>
      </c>
      <c r="C96" s="172" t="s">
        <v>81</v>
      </c>
      <c r="D96" s="172" t="s">
        <v>218</v>
      </c>
      <c r="E96" s="172">
        <v>1.7091123598821201E-4</v>
      </c>
      <c r="F96" s="172">
        <v>33</v>
      </c>
      <c r="G96" s="172">
        <v>16</v>
      </c>
      <c r="H96" s="172">
        <v>15</v>
      </c>
      <c r="I96" s="172">
        <v>4</v>
      </c>
    </row>
    <row r="97" spans="2:9" hidden="1" x14ac:dyDescent="0.3">
      <c r="B97" s="172" t="s">
        <v>22</v>
      </c>
      <c r="C97" s="172" t="s">
        <v>81</v>
      </c>
      <c r="D97" s="172" t="s">
        <v>221</v>
      </c>
      <c r="E97" s="172">
        <v>8.2917058985094701E-4</v>
      </c>
      <c r="F97" s="172">
        <v>21</v>
      </c>
      <c r="G97" s="172">
        <v>0</v>
      </c>
      <c r="H97" s="172">
        <v>15</v>
      </c>
      <c r="I97" s="172">
        <v>4</v>
      </c>
    </row>
    <row r="98" spans="2:9" hidden="1" x14ac:dyDescent="0.3">
      <c r="B98" s="172" t="s">
        <v>22</v>
      </c>
      <c r="C98" s="172" t="s">
        <v>82</v>
      </c>
      <c r="D98" s="172" t="s">
        <v>218</v>
      </c>
      <c r="E98" s="172">
        <v>3.0318123258570701E-4</v>
      </c>
      <c r="F98" s="172">
        <v>33</v>
      </c>
      <c r="G98" s="172">
        <v>16</v>
      </c>
      <c r="H98" s="172">
        <v>15</v>
      </c>
      <c r="I98" s="172">
        <v>4</v>
      </c>
    </row>
    <row r="99" spans="2:9" hidden="1" x14ac:dyDescent="0.3">
      <c r="B99" s="172" t="s">
        <v>22</v>
      </c>
      <c r="C99" s="172" t="s">
        <v>82</v>
      </c>
      <c r="D99" s="172" t="s">
        <v>221</v>
      </c>
      <c r="E99" s="172">
        <v>1.0335777579292601E-3</v>
      </c>
      <c r="F99" s="172">
        <v>21</v>
      </c>
      <c r="G99" s="172">
        <v>0</v>
      </c>
      <c r="H99" s="172">
        <v>15</v>
      </c>
      <c r="I99" s="172">
        <v>4</v>
      </c>
    </row>
    <row r="100" spans="2:9" hidden="1" x14ac:dyDescent="0.3">
      <c r="B100" s="172" t="s">
        <v>22</v>
      </c>
      <c r="C100" s="172" t="s">
        <v>246</v>
      </c>
      <c r="D100" s="172" t="s">
        <v>218</v>
      </c>
      <c r="E100" s="172">
        <v>3.8620355312431901E-5</v>
      </c>
      <c r="F100" s="172">
        <v>33</v>
      </c>
      <c r="G100" s="172">
        <v>16</v>
      </c>
      <c r="H100" s="172">
        <v>15</v>
      </c>
      <c r="I100" s="172">
        <v>4</v>
      </c>
    </row>
    <row r="101" spans="2:9" hidden="1" x14ac:dyDescent="0.3">
      <c r="B101" s="172" t="s">
        <v>22</v>
      </c>
      <c r="C101" s="172" t="s">
        <v>246</v>
      </c>
      <c r="D101" s="172" t="s">
        <v>221</v>
      </c>
      <c r="E101" s="172">
        <v>2.1539483256531398E-5</v>
      </c>
      <c r="F101" s="172">
        <v>79</v>
      </c>
      <c r="G101" s="172">
        <v>21</v>
      </c>
      <c r="H101" s="172">
        <v>4</v>
      </c>
      <c r="I101" s="172">
        <v>4</v>
      </c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3.4891847500224401E-4</v>
      </c>
      <c r="F138" s="172">
        <v>64</v>
      </c>
      <c r="G138" s="172">
        <v>21</v>
      </c>
      <c r="H138" s="172">
        <v>8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3.5713137482635198E-4</v>
      </c>
      <c r="F139" s="172">
        <v>107</v>
      </c>
      <c r="G139" s="172">
        <v>16</v>
      </c>
      <c r="H139" s="172">
        <v>4</v>
      </c>
      <c r="I139" s="172">
        <v>38.5</v>
      </c>
    </row>
    <row r="140" spans="2:9" hidden="1" x14ac:dyDescent="0.3">
      <c r="B140" s="172" t="s">
        <v>189</v>
      </c>
      <c r="C140" s="172" t="s">
        <v>80</v>
      </c>
      <c r="D140" s="172" t="s">
        <v>221</v>
      </c>
      <c r="E140" s="172">
        <v>6.7969045232585499E-5</v>
      </c>
      <c r="F140" s="172">
        <v>79</v>
      </c>
      <c r="G140" s="172">
        <v>21</v>
      </c>
      <c r="H140" s="172">
        <v>4</v>
      </c>
      <c r="I140" s="172">
        <v>38.5</v>
      </c>
    </row>
    <row r="141" spans="2:9" hidden="1" x14ac:dyDescent="0.3">
      <c r="B141" s="172" t="s">
        <v>189</v>
      </c>
      <c r="C141" s="172" t="s">
        <v>81</v>
      </c>
      <c r="D141" s="172" t="s">
        <v>221</v>
      </c>
      <c r="E141" s="172">
        <v>4.2258061159154502E-4</v>
      </c>
      <c r="F141" s="172">
        <v>79</v>
      </c>
      <c r="G141" s="172">
        <v>21</v>
      </c>
      <c r="H141" s="172">
        <v>4</v>
      </c>
      <c r="I141" s="172">
        <v>38.5</v>
      </c>
    </row>
    <row r="142" spans="2:9" hidden="1" x14ac:dyDescent="0.3">
      <c r="B142" s="172" t="s">
        <v>189</v>
      </c>
      <c r="C142" s="172" t="s">
        <v>82</v>
      </c>
      <c r="D142" s="172" t="s">
        <v>221</v>
      </c>
      <c r="E142" s="172">
        <v>3.5702584716117998E-4</v>
      </c>
      <c r="F142" s="172">
        <v>79</v>
      </c>
      <c r="G142" s="172">
        <v>21</v>
      </c>
      <c r="H142" s="172">
        <v>4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218</v>
      </c>
      <c r="E143" s="172">
        <v>2.40779164119877E-4</v>
      </c>
      <c r="F143" s="172">
        <v>107</v>
      </c>
      <c r="G143" s="172">
        <v>16</v>
      </c>
      <c r="H143" s="172">
        <v>4</v>
      </c>
      <c r="I143" s="172">
        <v>38.5</v>
      </c>
    </row>
    <row r="144" spans="2:9" hidden="1" x14ac:dyDescent="0.3">
      <c r="B144" s="172" t="s">
        <v>187</v>
      </c>
      <c r="C144" s="172" t="s">
        <v>79</v>
      </c>
      <c r="D144" s="172" t="s">
        <v>218</v>
      </c>
      <c r="E144" s="172">
        <v>2.9729719020979E-4</v>
      </c>
      <c r="F144" s="172">
        <v>33</v>
      </c>
      <c r="G144" s="172">
        <v>16</v>
      </c>
      <c r="H144" s="172">
        <v>15</v>
      </c>
      <c r="I144" s="172">
        <v>35.5</v>
      </c>
    </row>
    <row r="145" spans="2:9" hidden="1" x14ac:dyDescent="0.3">
      <c r="B145" s="172" t="s">
        <v>187</v>
      </c>
      <c r="C145" s="172" t="s">
        <v>79</v>
      </c>
      <c r="D145" s="172" t="s">
        <v>221</v>
      </c>
      <c r="E145" s="172">
        <v>5.0411363823276501E-5</v>
      </c>
      <c r="F145" s="172">
        <v>19</v>
      </c>
      <c r="G145" s="172">
        <v>0</v>
      </c>
      <c r="H145" s="172">
        <v>4</v>
      </c>
      <c r="I145" s="172">
        <v>35.5</v>
      </c>
    </row>
    <row r="146" spans="2:9" x14ac:dyDescent="0.3">
      <c r="B146" s="172" t="s">
        <v>187</v>
      </c>
      <c r="C146" s="172" t="s">
        <v>80</v>
      </c>
      <c r="D146" s="172" t="s">
        <v>218</v>
      </c>
      <c r="E146" s="172">
        <v>3.1034715957626002E-4</v>
      </c>
      <c r="F146" s="172">
        <v>30</v>
      </c>
      <c r="G146" s="172">
        <v>16</v>
      </c>
      <c r="H146" s="172">
        <v>0</v>
      </c>
      <c r="I146" s="172">
        <v>35.5</v>
      </c>
    </row>
    <row r="147" spans="2:9" hidden="1" x14ac:dyDescent="0.3">
      <c r="B147" s="172" t="s">
        <v>187</v>
      </c>
      <c r="C147" s="172" t="s">
        <v>80</v>
      </c>
      <c r="D147" s="172" t="s">
        <v>221</v>
      </c>
      <c r="E147" s="172">
        <v>7.2642647219874307E-5</v>
      </c>
      <c r="F147" s="172">
        <v>79</v>
      </c>
      <c r="G147" s="172">
        <v>21</v>
      </c>
      <c r="H147" s="172">
        <v>4</v>
      </c>
      <c r="I147" s="172">
        <v>35.5</v>
      </c>
    </row>
    <row r="148" spans="2:9" hidden="1" x14ac:dyDescent="0.3">
      <c r="B148" s="172" t="s">
        <v>187</v>
      </c>
      <c r="C148" s="172" t="s">
        <v>81</v>
      </c>
      <c r="D148" s="172" t="s">
        <v>221</v>
      </c>
      <c r="E148" s="172">
        <v>3.9831384449833998E-4</v>
      </c>
      <c r="F148" s="172">
        <v>79</v>
      </c>
      <c r="G148" s="172">
        <v>21</v>
      </c>
      <c r="H148" s="172">
        <v>4</v>
      </c>
      <c r="I148" s="172">
        <v>35.5</v>
      </c>
    </row>
    <row r="149" spans="2:9" hidden="1" x14ac:dyDescent="0.3">
      <c r="B149" s="172" t="s">
        <v>187</v>
      </c>
      <c r="C149" s="172" t="s">
        <v>82</v>
      </c>
      <c r="D149" s="172" t="s">
        <v>221</v>
      </c>
      <c r="E149" s="172">
        <v>3.7252754569452699E-4</v>
      </c>
      <c r="F149" s="172">
        <v>21</v>
      </c>
      <c r="G149" s="172">
        <v>0</v>
      </c>
      <c r="H149" s="172">
        <v>15</v>
      </c>
      <c r="I149" s="172">
        <v>35.5</v>
      </c>
    </row>
    <row r="150" spans="2:9" hidden="1" x14ac:dyDescent="0.3">
      <c r="B150" s="172" t="s">
        <v>187</v>
      </c>
      <c r="C150" s="172" t="s">
        <v>246</v>
      </c>
      <c r="D150" s="172" t="s">
        <v>218</v>
      </c>
      <c r="E150" s="172">
        <v>7.9338024428887697E-5</v>
      </c>
      <c r="F150" s="172">
        <v>30</v>
      </c>
      <c r="G150" s="172">
        <v>16</v>
      </c>
      <c r="H150" s="172">
        <v>0</v>
      </c>
      <c r="I150" s="172">
        <v>35.5</v>
      </c>
    </row>
    <row r="151" spans="2:9" hidden="1" x14ac:dyDescent="0.3">
      <c r="B151" s="172" t="s">
        <v>187</v>
      </c>
      <c r="C151" s="172" t="s">
        <v>246</v>
      </c>
      <c r="D151" s="172" t="s">
        <v>221</v>
      </c>
      <c r="E151" s="172">
        <v>1.3099907889357001E-5</v>
      </c>
      <c r="F151" s="172">
        <v>79</v>
      </c>
      <c r="G151" s="172">
        <v>21</v>
      </c>
      <c r="H151" s="172">
        <v>4</v>
      </c>
      <c r="I151" s="172">
        <v>35.5</v>
      </c>
    </row>
    <row r="152" spans="2:9" hidden="1" x14ac:dyDescent="0.3">
      <c r="B152" s="172" t="s">
        <v>185</v>
      </c>
      <c r="C152" s="172" t="s">
        <v>79</v>
      </c>
      <c r="D152" s="172" t="s">
        <v>218</v>
      </c>
      <c r="E152" s="172">
        <v>4.40776416771831E-4</v>
      </c>
      <c r="F152" s="172">
        <v>33</v>
      </c>
      <c r="G152" s="172">
        <v>16</v>
      </c>
      <c r="H152" s="172">
        <v>15</v>
      </c>
      <c r="I152" s="172">
        <v>32</v>
      </c>
    </row>
    <row r="153" spans="2:9" hidden="1" x14ac:dyDescent="0.3">
      <c r="B153" s="172" t="s">
        <v>185</v>
      </c>
      <c r="C153" s="172" t="s">
        <v>79</v>
      </c>
      <c r="D153" s="172" t="s">
        <v>221</v>
      </c>
      <c r="E153" s="172">
        <v>8.6180804782694795E-5</v>
      </c>
      <c r="F153" s="172">
        <v>20</v>
      </c>
      <c r="G153" s="172">
        <v>0</v>
      </c>
      <c r="H153" s="172">
        <v>11</v>
      </c>
      <c r="I153" s="172">
        <v>32</v>
      </c>
    </row>
    <row r="154" spans="2:9" x14ac:dyDescent="0.3">
      <c r="B154" s="172" t="s">
        <v>185</v>
      </c>
      <c r="C154" s="172" t="s">
        <v>80</v>
      </c>
      <c r="D154" s="172" t="s">
        <v>218</v>
      </c>
      <c r="E154" s="172">
        <v>4.4169600823424997E-4</v>
      </c>
      <c r="F154" s="172">
        <v>30</v>
      </c>
      <c r="G154" s="172">
        <v>16</v>
      </c>
      <c r="H154" s="172">
        <v>0</v>
      </c>
      <c r="I154" s="172">
        <v>32</v>
      </c>
    </row>
    <row r="155" spans="2:9" hidden="1" x14ac:dyDescent="0.3">
      <c r="B155" s="172" t="s">
        <v>185</v>
      </c>
      <c r="C155" s="172" t="s">
        <v>80</v>
      </c>
      <c r="D155" s="172" t="s">
        <v>221</v>
      </c>
      <c r="E155" s="172">
        <v>8.9609509053140504E-5</v>
      </c>
      <c r="F155" s="172">
        <v>79</v>
      </c>
      <c r="G155" s="172">
        <v>21</v>
      </c>
      <c r="H155" s="172">
        <v>4</v>
      </c>
      <c r="I155" s="172">
        <v>32</v>
      </c>
    </row>
    <row r="156" spans="2:9" hidden="1" x14ac:dyDescent="0.3">
      <c r="B156" s="172" t="s">
        <v>185</v>
      </c>
      <c r="C156" s="172" t="s">
        <v>81</v>
      </c>
      <c r="D156" s="172" t="s">
        <v>221</v>
      </c>
      <c r="E156" s="172">
        <v>5.1181920129710805E-4</v>
      </c>
      <c r="F156" s="172">
        <v>79</v>
      </c>
      <c r="G156" s="172">
        <v>21</v>
      </c>
      <c r="H156" s="172">
        <v>4</v>
      </c>
      <c r="I156" s="172">
        <v>32</v>
      </c>
    </row>
    <row r="157" spans="2:9" hidden="1" x14ac:dyDescent="0.3">
      <c r="B157" s="172" t="s">
        <v>185</v>
      </c>
      <c r="C157" s="172" t="s">
        <v>82</v>
      </c>
      <c r="D157" s="172" t="s">
        <v>221</v>
      </c>
      <c r="E157" s="172">
        <v>5.7054094587088305E-4</v>
      </c>
      <c r="F157" s="172">
        <v>21</v>
      </c>
      <c r="G157" s="172">
        <v>0</v>
      </c>
      <c r="H157" s="172">
        <v>15</v>
      </c>
      <c r="I157" s="172">
        <v>32</v>
      </c>
    </row>
    <row r="158" spans="2:9" hidden="1" x14ac:dyDescent="0.3">
      <c r="B158" s="172" t="s">
        <v>185</v>
      </c>
      <c r="C158" s="172" t="s">
        <v>246</v>
      </c>
      <c r="D158" s="172" t="s">
        <v>218</v>
      </c>
      <c r="E158" s="172">
        <v>8.4391504713308201E-5</v>
      </c>
      <c r="F158" s="172">
        <v>30</v>
      </c>
      <c r="G158" s="172">
        <v>16</v>
      </c>
      <c r="H158" s="172">
        <v>0</v>
      </c>
      <c r="I158" s="172">
        <v>32</v>
      </c>
    </row>
    <row r="159" spans="2:9" hidden="1" x14ac:dyDescent="0.3">
      <c r="B159" s="172" t="s">
        <v>185</v>
      </c>
      <c r="C159" s="172" t="s">
        <v>246</v>
      </c>
      <c r="D159" s="172" t="s">
        <v>221</v>
      </c>
      <c r="E159" s="172">
        <v>2.0016713910060601E-5</v>
      </c>
      <c r="F159" s="172">
        <v>79</v>
      </c>
      <c r="G159" s="172">
        <v>21</v>
      </c>
      <c r="H159" s="172">
        <v>4</v>
      </c>
      <c r="I159" s="172">
        <v>32</v>
      </c>
    </row>
    <row r="160" spans="2:9" hidden="1" x14ac:dyDescent="0.3">
      <c r="B160" s="172" t="s">
        <v>183</v>
      </c>
      <c r="C160" s="172" t="s">
        <v>79</v>
      </c>
      <c r="D160" s="172" t="s">
        <v>218</v>
      </c>
      <c r="E160" s="172">
        <v>5.6839478780654695E-4</v>
      </c>
      <c r="F160" s="172">
        <v>33</v>
      </c>
      <c r="G160" s="172">
        <v>16</v>
      </c>
      <c r="H160" s="172">
        <v>15</v>
      </c>
      <c r="I160" s="172">
        <v>28.5</v>
      </c>
    </row>
    <row r="161" spans="2:9" hidden="1" x14ac:dyDescent="0.3">
      <c r="B161" s="172" t="s">
        <v>183</v>
      </c>
      <c r="C161" s="172" t="s">
        <v>79</v>
      </c>
      <c r="D161" s="172" t="s">
        <v>221</v>
      </c>
      <c r="E161" s="172">
        <v>1.20271847549277E-4</v>
      </c>
      <c r="F161" s="172">
        <v>21</v>
      </c>
      <c r="G161" s="172">
        <v>0</v>
      </c>
      <c r="H161" s="172">
        <v>15</v>
      </c>
      <c r="I161" s="172">
        <v>28.5</v>
      </c>
    </row>
    <row r="162" spans="2:9" x14ac:dyDescent="0.3">
      <c r="B162" s="172" t="s">
        <v>183</v>
      </c>
      <c r="C162" s="172" t="s">
        <v>80</v>
      </c>
      <c r="D162" s="172" t="s">
        <v>218</v>
      </c>
      <c r="E162" s="172">
        <v>5.5499451901086896E-4</v>
      </c>
      <c r="F162" s="172">
        <v>30</v>
      </c>
      <c r="G162" s="172">
        <v>16</v>
      </c>
      <c r="H162" s="172">
        <v>0</v>
      </c>
      <c r="I162" s="172">
        <v>28.5</v>
      </c>
    </row>
    <row r="163" spans="2:9" hidden="1" x14ac:dyDescent="0.3">
      <c r="B163" s="172" t="s">
        <v>183</v>
      </c>
      <c r="C163" s="172" t="s">
        <v>80</v>
      </c>
      <c r="D163" s="172" t="s">
        <v>221</v>
      </c>
      <c r="E163" s="172">
        <v>1.01663401092934E-4</v>
      </c>
      <c r="F163" s="172">
        <v>79</v>
      </c>
      <c r="G163" s="172">
        <v>21</v>
      </c>
      <c r="H163" s="172">
        <v>4</v>
      </c>
      <c r="I163" s="172">
        <v>28.5</v>
      </c>
    </row>
    <row r="164" spans="2:9" hidden="1" x14ac:dyDescent="0.3">
      <c r="B164" s="172" t="s">
        <v>183</v>
      </c>
      <c r="C164" s="172" t="s">
        <v>81</v>
      </c>
      <c r="D164" s="172" t="s">
        <v>221</v>
      </c>
      <c r="E164" s="172">
        <v>6.1505724869407295E-4</v>
      </c>
      <c r="F164" s="172">
        <v>21</v>
      </c>
      <c r="G164" s="172">
        <v>0</v>
      </c>
      <c r="H164" s="172">
        <v>15</v>
      </c>
      <c r="I164" s="172">
        <v>28.5</v>
      </c>
    </row>
    <row r="165" spans="2:9" hidden="1" x14ac:dyDescent="0.3">
      <c r="B165" s="172" t="s">
        <v>183</v>
      </c>
      <c r="C165" s="172" t="s">
        <v>82</v>
      </c>
      <c r="D165" s="172" t="s">
        <v>221</v>
      </c>
      <c r="E165" s="172">
        <v>7.5166795159927304E-4</v>
      </c>
      <c r="F165" s="172">
        <v>21</v>
      </c>
      <c r="G165" s="172">
        <v>0</v>
      </c>
      <c r="H165" s="172">
        <v>15</v>
      </c>
      <c r="I165" s="172">
        <v>28.5</v>
      </c>
    </row>
    <row r="166" spans="2:9" hidden="1" x14ac:dyDescent="0.3">
      <c r="B166" s="172" t="s">
        <v>183</v>
      </c>
      <c r="C166" s="172" t="s">
        <v>246</v>
      </c>
      <c r="D166" s="172" t="s">
        <v>218</v>
      </c>
      <c r="E166" s="172">
        <v>7.9870492623375895E-5</v>
      </c>
      <c r="F166" s="172">
        <v>30</v>
      </c>
      <c r="G166" s="172">
        <v>16</v>
      </c>
      <c r="H166" s="172">
        <v>0</v>
      </c>
      <c r="I166" s="172">
        <v>28.5</v>
      </c>
    </row>
    <row r="167" spans="2:9" hidden="1" x14ac:dyDescent="0.3">
      <c r="B167" s="172" t="s">
        <v>183</v>
      </c>
      <c r="C167" s="172" t="s">
        <v>246</v>
      </c>
      <c r="D167" s="172" t="s">
        <v>221</v>
      </c>
      <c r="E167" s="172">
        <v>2.0048982301477699E-5</v>
      </c>
      <c r="F167" s="172">
        <v>79</v>
      </c>
      <c r="G167" s="172">
        <v>21</v>
      </c>
      <c r="H167" s="172">
        <v>4</v>
      </c>
      <c r="I167" s="172">
        <v>28.5</v>
      </c>
    </row>
    <row r="168" spans="2:9" hidden="1" x14ac:dyDescent="0.3">
      <c r="B168" s="172" t="s">
        <v>181</v>
      </c>
      <c r="C168" s="172" t="s">
        <v>79</v>
      </c>
      <c r="D168" s="172" t="s">
        <v>218</v>
      </c>
      <c r="E168" s="172">
        <v>6.7561736359901504E-4</v>
      </c>
      <c r="F168" s="172">
        <v>33</v>
      </c>
      <c r="G168" s="172">
        <v>16</v>
      </c>
      <c r="H168" s="172">
        <v>15</v>
      </c>
      <c r="I168" s="172">
        <v>25</v>
      </c>
    </row>
    <row r="169" spans="2:9" hidden="1" x14ac:dyDescent="0.3">
      <c r="B169" s="172" t="s">
        <v>181</v>
      </c>
      <c r="C169" s="172" t="s">
        <v>79</v>
      </c>
      <c r="D169" s="172" t="s">
        <v>221</v>
      </c>
      <c r="E169" s="172">
        <v>1.4925618250633899E-4</v>
      </c>
      <c r="F169" s="172">
        <v>21</v>
      </c>
      <c r="G169" s="172">
        <v>0</v>
      </c>
      <c r="H169" s="172">
        <v>15</v>
      </c>
      <c r="I169" s="172">
        <v>25</v>
      </c>
    </row>
    <row r="170" spans="2:9" x14ac:dyDescent="0.3">
      <c r="B170" s="172" t="s">
        <v>181</v>
      </c>
      <c r="C170" s="172" t="s">
        <v>80</v>
      </c>
      <c r="D170" s="172" t="s">
        <v>218</v>
      </c>
      <c r="E170" s="172">
        <v>6.49653418379528E-4</v>
      </c>
      <c r="F170" s="172">
        <v>30</v>
      </c>
      <c r="G170" s="172">
        <v>16</v>
      </c>
      <c r="H170" s="172">
        <v>0</v>
      </c>
      <c r="I170" s="172">
        <v>25</v>
      </c>
    </row>
    <row r="171" spans="2:9" hidden="1" x14ac:dyDescent="0.3">
      <c r="B171" s="172" t="s">
        <v>181</v>
      </c>
      <c r="C171" s="172" t="s">
        <v>80</v>
      </c>
      <c r="D171" s="172" t="s">
        <v>221</v>
      </c>
      <c r="E171" s="172">
        <v>1.11288511501351E-4</v>
      </c>
      <c r="F171" s="172">
        <v>79</v>
      </c>
      <c r="G171" s="172">
        <v>21</v>
      </c>
      <c r="H171" s="172">
        <v>4</v>
      </c>
      <c r="I171" s="172">
        <v>25</v>
      </c>
    </row>
    <row r="172" spans="2:9" hidden="1" x14ac:dyDescent="0.3">
      <c r="B172" s="172" t="s">
        <v>181</v>
      </c>
      <c r="C172" s="172" t="s">
        <v>81</v>
      </c>
      <c r="D172" s="172" t="s">
        <v>221</v>
      </c>
      <c r="E172" s="172">
        <v>7.3402656507011595E-4</v>
      </c>
      <c r="F172" s="172">
        <v>21</v>
      </c>
      <c r="G172" s="172">
        <v>0</v>
      </c>
      <c r="H172" s="172">
        <v>15</v>
      </c>
      <c r="I172" s="172">
        <v>25</v>
      </c>
    </row>
    <row r="173" spans="2:9" hidden="1" x14ac:dyDescent="0.3">
      <c r="B173" s="172" t="s">
        <v>181</v>
      </c>
      <c r="C173" s="172" t="s">
        <v>82</v>
      </c>
      <c r="D173" s="172" t="s">
        <v>218</v>
      </c>
      <c r="E173" s="172">
        <v>2.02407313026584E-4</v>
      </c>
      <c r="F173" s="172">
        <v>33</v>
      </c>
      <c r="G173" s="172">
        <v>16</v>
      </c>
      <c r="H173" s="172">
        <v>15</v>
      </c>
      <c r="I173" s="172">
        <v>25</v>
      </c>
    </row>
    <row r="174" spans="2:9" hidden="1" x14ac:dyDescent="0.3">
      <c r="B174" s="172" t="s">
        <v>181</v>
      </c>
      <c r="C174" s="172" t="s">
        <v>82</v>
      </c>
      <c r="D174" s="172" t="s">
        <v>221</v>
      </c>
      <c r="E174" s="172">
        <v>9.0077054706231598E-4</v>
      </c>
      <c r="F174" s="172">
        <v>21</v>
      </c>
      <c r="G174" s="172">
        <v>0</v>
      </c>
      <c r="H174" s="172">
        <v>15</v>
      </c>
      <c r="I174" s="172">
        <v>25</v>
      </c>
    </row>
    <row r="175" spans="2:9" hidden="1" x14ac:dyDescent="0.3">
      <c r="B175" s="172" t="s">
        <v>181</v>
      </c>
      <c r="C175" s="172" t="s">
        <v>246</v>
      </c>
      <c r="D175" s="172" t="s">
        <v>218</v>
      </c>
      <c r="E175" s="172">
        <v>7.4392873220720899E-5</v>
      </c>
      <c r="F175" s="172">
        <v>30</v>
      </c>
      <c r="G175" s="172">
        <v>16</v>
      </c>
      <c r="H175" s="172">
        <v>0</v>
      </c>
      <c r="I175" s="172">
        <v>25</v>
      </c>
    </row>
    <row r="176" spans="2:9" hidden="1" x14ac:dyDescent="0.3">
      <c r="B176" s="172" t="s">
        <v>181</v>
      </c>
      <c r="C176" s="172" t="s">
        <v>246</v>
      </c>
      <c r="D176" s="172" t="s">
        <v>221</v>
      </c>
      <c r="E176" s="172">
        <v>2.02249103734263E-5</v>
      </c>
      <c r="F176" s="172">
        <v>79</v>
      </c>
      <c r="G176" s="172">
        <v>21</v>
      </c>
      <c r="H176" s="172">
        <v>4</v>
      </c>
      <c r="I176" s="172">
        <v>25</v>
      </c>
    </row>
    <row r="177" spans="2:9" hidden="1" x14ac:dyDescent="0.3">
      <c r="B177" s="172" t="s">
        <v>179</v>
      </c>
      <c r="C177" s="172" t="s">
        <v>79</v>
      </c>
      <c r="D177" s="172" t="s">
        <v>218</v>
      </c>
      <c r="E177" s="172">
        <v>7.6340762765778601E-4</v>
      </c>
      <c r="F177" s="172">
        <v>33</v>
      </c>
      <c r="G177" s="172">
        <v>16</v>
      </c>
      <c r="H177" s="172">
        <v>15</v>
      </c>
      <c r="I177" s="172">
        <v>21.5</v>
      </c>
    </row>
    <row r="178" spans="2:9" hidden="1" x14ac:dyDescent="0.3">
      <c r="B178" s="172" t="s">
        <v>179</v>
      </c>
      <c r="C178" s="172" t="s">
        <v>79</v>
      </c>
      <c r="D178" s="172" t="s">
        <v>221</v>
      </c>
      <c r="E178" s="172">
        <v>1.7390352178134899E-4</v>
      </c>
      <c r="F178" s="172">
        <v>21</v>
      </c>
      <c r="G178" s="172">
        <v>0</v>
      </c>
      <c r="H178" s="172">
        <v>15</v>
      </c>
      <c r="I178" s="172">
        <v>21.5</v>
      </c>
    </row>
    <row r="179" spans="2:9" x14ac:dyDescent="0.3">
      <c r="B179" s="172" t="s">
        <v>179</v>
      </c>
      <c r="C179" s="172" t="s">
        <v>80</v>
      </c>
      <c r="D179" s="172" t="s">
        <v>218</v>
      </c>
      <c r="E179" s="172">
        <v>7.26068605244553E-4</v>
      </c>
      <c r="F179" s="172">
        <v>30</v>
      </c>
      <c r="G179" s="172">
        <v>16</v>
      </c>
      <c r="H179" s="172">
        <v>0</v>
      </c>
      <c r="I179" s="172">
        <v>21.5</v>
      </c>
    </row>
    <row r="180" spans="2:9" hidden="1" x14ac:dyDescent="0.3">
      <c r="B180" s="172" t="s">
        <v>179</v>
      </c>
      <c r="C180" s="172" t="s">
        <v>80</v>
      </c>
      <c r="D180" s="172" t="s">
        <v>221</v>
      </c>
      <c r="E180" s="172">
        <v>1.18294719397362E-4</v>
      </c>
      <c r="F180" s="172">
        <v>79</v>
      </c>
      <c r="G180" s="172">
        <v>21</v>
      </c>
      <c r="H180" s="172">
        <v>4</v>
      </c>
      <c r="I180" s="172">
        <v>21.5</v>
      </c>
    </row>
    <row r="181" spans="2:9" hidden="1" x14ac:dyDescent="0.3">
      <c r="B181" s="172" t="s">
        <v>179</v>
      </c>
      <c r="C181" s="172" t="s">
        <v>81</v>
      </c>
      <c r="D181" s="172" t="s">
        <v>221</v>
      </c>
      <c r="E181" s="172">
        <v>8.3091603464959104E-4</v>
      </c>
      <c r="F181" s="172">
        <v>21</v>
      </c>
      <c r="G181" s="172">
        <v>0</v>
      </c>
      <c r="H181" s="172">
        <v>15</v>
      </c>
      <c r="I181" s="172">
        <v>21.5</v>
      </c>
    </row>
    <row r="182" spans="2:9" hidden="1" x14ac:dyDescent="0.3">
      <c r="B182" s="172" t="s">
        <v>179</v>
      </c>
      <c r="C182" s="172" t="s">
        <v>82</v>
      </c>
      <c r="D182" s="172" t="s">
        <v>218</v>
      </c>
      <c r="E182" s="172">
        <v>2.4109793052707899E-4</v>
      </c>
      <c r="F182" s="172">
        <v>33</v>
      </c>
      <c r="G182" s="172">
        <v>16</v>
      </c>
      <c r="H182" s="172">
        <v>15</v>
      </c>
      <c r="I182" s="172">
        <v>21.5</v>
      </c>
    </row>
    <row r="183" spans="2:9" hidden="1" x14ac:dyDescent="0.3">
      <c r="B183" s="172" t="s">
        <v>179</v>
      </c>
      <c r="C183" s="172" t="s">
        <v>82</v>
      </c>
      <c r="D183" s="172" t="s">
        <v>221</v>
      </c>
      <c r="E183" s="172">
        <v>1.0226772280882801E-3</v>
      </c>
      <c r="F183" s="172">
        <v>21</v>
      </c>
      <c r="G183" s="172">
        <v>0</v>
      </c>
      <c r="H183" s="172">
        <v>15</v>
      </c>
      <c r="I183" s="172">
        <v>21.5</v>
      </c>
    </row>
    <row r="184" spans="2:9" hidden="1" x14ac:dyDescent="0.3">
      <c r="B184" s="172" t="s">
        <v>179</v>
      </c>
      <c r="C184" s="172" t="s">
        <v>246</v>
      </c>
      <c r="D184" s="172" t="s">
        <v>218</v>
      </c>
      <c r="E184" s="172">
        <v>6.7308549607908501E-5</v>
      </c>
      <c r="F184" s="172">
        <v>30</v>
      </c>
      <c r="G184" s="172">
        <v>16</v>
      </c>
      <c r="H184" s="172">
        <v>0</v>
      </c>
      <c r="I184" s="172">
        <v>21.5</v>
      </c>
    </row>
    <row r="185" spans="2:9" hidden="1" x14ac:dyDescent="0.3">
      <c r="B185" s="172" t="s">
        <v>179</v>
      </c>
      <c r="C185" s="172" t="s">
        <v>246</v>
      </c>
      <c r="D185" s="172" t="s">
        <v>221</v>
      </c>
      <c r="E185" s="172">
        <v>2.0149109500118401E-5</v>
      </c>
      <c r="F185" s="172">
        <v>79</v>
      </c>
      <c r="G185" s="172">
        <v>21</v>
      </c>
      <c r="H185" s="172">
        <v>4</v>
      </c>
      <c r="I185" s="172">
        <v>21.5</v>
      </c>
    </row>
    <row r="186" spans="2:9" hidden="1" x14ac:dyDescent="0.3">
      <c r="B186" s="172" t="s">
        <v>39</v>
      </c>
      <c r="C186" s="172" t="s">
        <v>79</v>
      </c>
      <c r="D186" s="172" t="s">
        <v>218</v>
      </c>
      <c r="E186" s="172">
        <v>8.2566347019302495E-4</v>
      </c>
      <c r="F186" s="172">
        <v>33</v>
      </c>
      <c r="G186" s="172">
        <v>16</v>
      </c>
      <c r="H186" s="172">
        <v>15</v>
      </c>
      <c r="I186" s="172">
        <v>18</v>
      </c>
    </row>
    <row r="187" spans="2:9" hidden="1" x14ac:dyDescent="0.3">
      <c r="B187" s="172" t="s">
        <v>39</v>
      </c>
      <c r="C187" s="172" t="s">
        <v>79</v>
      </c>
      <c r="D187" s="172" t="s">
        <v>221</v>
      </c>
      <c r="E187" s="172">
        <v>1.96135722239486E-4</v>
      </c>
      <c r="F187" s="172">
        <v>19</v>
      </c>
      <c r="G187" s="172">
        <v>0</v>
      </c>
      <c r="H187" s="172">
        <v>4</v>
      </c>
      <c r="I187" s="172">
        <v>18</v>
      </c>
    </row>
    <row r="188" spans="2:9" x14ac:dyDescent="0.3">
      <c r="B188" s="172" t="s">
        <v>39</v>
      </c>
      <c r="C188" s="172" t="s">
        <v>80</v>
      </c>
      <c r="D188" s="172" t="s">
        <v>218</v>
      </c>
      <c r="E188" s="172">
        <v>7.7509309326089003E-4</v>
      </c>
      <c r="F188" s="172">
        <v>30</v>
      </c>
      <c r="G188" s="172">
        <v>16</v>
      </c>
      <c r="H188" s="172">
        <v>0</v>
      </c>
      <c r="I188" s="172">
        <v>18</v>
      </c>
    </row>
    <row r="189" spans="2:9" hidden="1" x14ac:dyDescent="0.3">
      <c r="B189" s="172" t="s">
        <v>39</v>
      </c>
      <c r="C189" s="172" t="s">
        <v>80</v>
      </c>
      <c r="D189" s="172" t="s">
        <v>221</v>
      </c>
      <c r="E189" s="172">
        <v>1.1985435845034601E-4</v>
      </c>
      <c r="F189" s="172">
        <v>79</v>
      </c>
      <c r="G189" s="172">
        <v>21</v>
      </c>
      <c r="H189" s="172">
        <v>4</v>
      </c>
      <c r="I189" s="172">
        <v>18</v>
      </c>
    </row>
    <row r="190" spans="2:9" hidden="1" x14ac:dyDescent="0.3">
      <c r="B190" s="172" t="s">
        <v>39</v>
      </c>
      <c r="C190" s="172" t="s">
        <v>81</v>
      </c>
      <c r="D190" s="172" t="s">
        <v>218</v>
      </c>
      <c r="E190" s="172">
        <v>1.3121914616894201E-4</v>
      </c>
      <c r="F190" s="172">
        <v>33</v>
      </c>
      <c r="G190" s="172">
        <v>16</v>
      </c>
      <c r="H190" s="172">
        <v>15</v>
      </c>
      <c r="I190" s="172">
        <v>18</v>
      </c>
    </row>
    <row r="191" spans="2:9" hidden="1" x14ac:dyDescent="0.3">
      <c r="B191" s="172" t="s">
        <v>39</v>
      </c>
      <c r="C191" s="172" t="s">
        <v>81</v>
      </c>
      <c r="D191" s="172" t="s">
        <v>221</v>
      </c>
      <c r="E191" s="172">
        <v>9.1080868231569996E-4</v>
      </c>
      <c r="F191" s="172">
        <v>21</v>
      </c>
      <c r="G191" s="172">
        <v>0</v>
      </c>
      <c r="H191" s="172">
        <v>15</v>
      </c>
      <c r="I191" s="172">
        <v>18</v>
      </c>
    </row>
    <row r="192" spans="2:9" hidden="1" x14ac:dyDescent="0.3">
      <c r="B192" s="172" t="s">
        <v>39</v>
      </c>
      <c r="C192" s="172" t="s">
        <v>82</v>
      </c>
      <c r="D192" s="172" t="s">
        <v>218</v>
      </c>
      <c r="E192" s="172">
        <v>2.7750545594183999E-4</v>
      </c>
      <c r="F192" s="172">
        <v>33</v>
      </c>
      <c r="G192" s="172">
        <v>16</v>
      </c>
      <c r="H192" s="172">
        <v>15</v>
      </c>
      <c r="I192" s="172">
        <v>18</v>
      </c>
    </row>
    <row r="193" spans="2:9" hidden="1" x14ac:dyDescent="0.3">
      <c r="B193" s="172" t="s">
        <v>39</v>
      </c>
      <c r="C193" s="172" t="s">
        <v>82</v>
      </c>
      <c r="D193" s="172" t="s">
        <v>221</v>
      </c>
      <c r="E193" s="172">
        <v>1.12303940660613E-3</v>
      </c>
      <c r="F193" s="172">
        <v>21</v>
      </c>
      <c r="G193" s="172">
        <v>0</v>
      </c>
      <c r="H193" s="172">
        <v>15</v>
      </c>
      <c r="I193" s="172">
        <v>18</v>
      </c>
    </row>
    <row r="194" spans="2:9" hidden="1" x14ac:dyDescent="0.3">
      <c r="B194" s="172" t="s">
        <v>39</v>
      </c>
      <c r="C194" s="172" t="s">
        <v>246</v>
      </c>
      <c r="D194" s="172" t="s">
        <v>218</v>
      </c>
      <c r="E194" s="172">
        <v>5.8436773070883798E-5</v>
      </c>
      <c r="F194" s="172">
        <v>30</v>
      </c>
      <c r="G194" s="172">
        <v>16</v>
      </c>
      <c r="H194" s="172">
        <v>0</v>
      </c>
      <c r="I194" s="172">
        <v>18</v>
      </c>
    </row>
    <row r="195" spans="2:9" hidden="1" x14ac:dyDescent="0.3">
      <c r="B195" s="172" t="s">
        <v>39</v>
      </c>
      <c r="C195" s="172" t="s">
        <v>246</v>
      </c>
      <c r="D195" s="172" t="s">
        <v>221</v>
      </c>
      <c r="E195" s="172">
        <v>2.2524524604917598E-5</v>
      </c>
      <c r="F195" s="172">
        <v>79</v>
      </c>
      <c r="G195" s="172">
        <v>21</v>
      </c>
      <c r="H195" s="172">
        <v>4</v>
      </c>
      <c r="I195" s="172">
        <v>18</v>
      </c>
    </row>
    <row r="196" spans="2:9" hidden="1" x14ac:dyDescent="0.3">
      <c r="B196" s="172" t="s">
        <v>26</v>
      </c>
      <c r="C196" s="172" t="s">
        <v>79</v>
      </c>
      <c r="D196" s="172" t="s">
        <v>218</v>
      </c>
      <c r="E196" s="172">
        <v>8.6778648908320899E-4</v>
      </c>
      <c r="F196" s="172">
        <v>33</v>
      </c>
      <c r="G196" s="172">
        <v>16</v>
      </c>
      <c r="H196" s="172">
        <v>15</v>
      </c>
      <c r="I196" s="172">
        <v>14.5</v>
      </c>
    </row>
    <row r="197" spans="2:9" hidden="1" x14ac:dyDescent="0.3">
      <c r="B197" s="172" t="s">
        <v>26</v>
      </c>
      <c r="C197" s="172" t="s">
        <v>79</v>
      </c>
      <c r="D197" s="172" t="s">
        <v>221</v>
      </c>
      <c r="E197" s="172">
        <v>2.1476324018791299E-4</v>
      </c>
      <c r="F197" s="172">
        <v>21</v>
      </c>
      <c r="G197" s="172">
        <v>0</v>
      </c>
      <c r="H197" s="172">
        <v>15</v>
      </c>
      <c r="I197" s="172">
        <v>14.5</v>
      </c>
    </row>
    <row r="198" spans="2:9" x14ac:dyDescent="0.3">
      <c r="B198" s="172" t="s">
        <v>26</v>
      </c>
      <c r="C198" s="172" t="s">
        <v>80</v>
      </c>
      <c r="D198" s="172" t="s">
        <v>218</v>
      </c>
      <c r="E198" s="172">
        <v>8.03207013964658E-4</v>
      </c>
      <c r="F198" s="172">
        <v>30</v>
      </c>
      <c r="G198" s="172">
        <v>16</v>
      </c>
      <c r="H198" s="172">
        <v>0</v>
      </c>
      <c r="I198" s="172">
        <v>14.5</v>
      </c>
    </row>
    <row r="199" spans="2:9" hidden="1" x14ac:dyDescent="0.3">
      <c r="B199" s="172" t="s">
        <v>26</v>
      </c>
      <c r="C199" s="172" t="s">
        <v>80</v>
      </c>
      <c r="D199" s="172" t="s">
        <v>221</v>
      </c>
      <c r="E199" s="172">
        <v>1.16773405699417E-4</v>
      </c>
      <c r="F199" s="172">
        <v>79</v>
      </c>
      <c r="G199" s="172">
        <v>21</v>
      </c>
      <c r="H199" s="172">
        <v>4</v>
      </c>
      <c r="I199" s="172">
        <v>14.5</v>
      </c>
    </row>
    <row r="200" spans="2:9" hidden="1" x14ac:dyDescent="0.3">
      <c r="B200" s="172" t="s">
        <v>26</v>
      </c>
      <c r="C200" s="172" t="s">
        <v>81</v>
      </c>
      <c r="D200" s="172" t="s">
        <v>218</v>
      </c>
      <c r="E200" s="172">
        <v>1.5207749764685501E-4</v>
      </c>
      <c r="F200" s="172">
        <v>33</v>
      </c>
      <c r="G200" s="172">
        <v>16</v>
      </c>
      <c r="H200" s="172">
        <v>15</v>
      </c>
      <c r="I200" s="172">
        <v>14.5</v>
      </c>
    </row>
    <row r="201" spans="2:9" hidden="1" x14ac:dyDescent="0.3">
      <c r="B201" s="172" t="s">
        <v>26</v>
      </c>
      <c r="C201" s="172" t="s">
        <v>81</v>
      </c>
      <c r="D201" s="172" t="s">
        <v>221</v>
      </c>
      <c r="E201" s="172">
        <v>9.7439253574426398E-4</v>
      </c>
      <c r="F201" s="172">
        <v>21</v>
      </c>
      <c r="G201" s="172">
        <v>0</v>
      </c>
      <c r="H201" s="172">
        <v>15</v>
      </c>
      <c r="I201" s="172">
        <v>14.5</v>
      </c>
    </row>
    <row r="202" spans="2:9" hidden="1" x14ac:dyDescent="0.3">
      <c r="B202" s="172" t="s">
        <v>26</v>
      </c>
      <c r="C202" s="172" t="s">
        <v>82</v>
      </c>
      <c r="D202" s="172" t="s">
        <v>218</v>
      </c>
      <c r="E202" s="172">
        <v>3.0829149327130198E-4</v>
      </c>
      <c r="F202" s="172">
        <v>33</v>
      </c>
      <c r="G202" s="172">
        <v>16</v>
      </c>
      <c r="H202" s="172">
        <v>15</v>
      </c>
      <c r="I202" s="172">
        <v>14.5</v>
      </c>
    </row>
    <row r="203" spans="2:9" hidden="1" x14ac:dyDescent="0.3">
      <c r="B203" s="172" t="s">
        <v>26</v>
      </c>
      <c r="C203" s="172" t="s">
        <v>82</v>
      </c>
      <c r="D203" s="172" t="s">
        <v>221</v>
      </c>
      <c r="E203" s="172">
        <v>1.2033754179694601E-3</v>
      </c>
      <c r="F203" s="172">
        <v>21</v>
      </c>
      <c r="G203" s="172">
        <v>0</v>
      </c>
      <c r="H203" s="172">
        <v>15</v>
      </c>
      <c r="I203" s="172">
        <v>14.5</v>
      </c>
    </row>
    <row r="204" spans="2:9" hidden="1" x14ac:dyDescent="0.3">
      <c r="B204" s="172" t="s">
        <v>26</v>
      </c>
      <c r="C204" s="172" t="s">
        <v>246</v>
      </c>
      <c r="D204" s="172" t="s">
        <v>218</v>
      </c>
      <c r="E204" s="172">
        <v>4.5125487521836397E-5</v>
      </c>
      <c r="F204" s="172">
        <v>30</v>
      </c>
      <c r="G204" s="172">
        <v>16</v>
      </c>
      <c r="H204" s="172">
        <v>0</v>
      </c>
      <c r="I204" s="172">
        <v>14.5</v>
      </c>
    </row>
    <row r="205" spans="2:9" hidden="1" x14ac:dyDescent="0.3">
      <c r="B205" s="172" t="s">
        <v>26</v>
      </c>
      <c r="C205" s="172" t="s">
        <v>246</v>
      </c>
      <c r="D205" s="172" t="s">
        <v>221</v>
      </c>
      <c r="E205" s="172">
        <v>1.97024071311016E-5</v>
      </c>
      <c r="F205" s="172">
        <v>79</v>
      </c>
      <c r="G205" s="172">
        <v>21</v>
      </c>
      <c r="H205" s="172">
        <v>4</v>
      </c>
      <c r="I205" s="172">
        <v>14.5</v>
      </c>
    </row>
    <row r="206" spans="2:9" hidden="1" x14ac:dyDescent="0.3">
      <c r="B206" s="172" t="s">
        <v>25</v>
      </c>
      <c r="C206" s="172" t="s">
        <v>79</v>
      </c>
      <c r="D206" s="172" t="s">
        <v>218</v>
      </c>
      <c r="E206" s="172">
        <v>8.9692079525168097E-4</v>
      </c>
      <c r="F206" s="172">
        <v>33</v>
      </c>
      <c r="G206" s="172">
        <v>16</v>
      </c>
      <c r="H206" s="172">
        <v>15</v>
      </c>
      <c r="I206" s="172">
        <v>11</v>
      </c>
    </row>
    <row r="207" spans="2:9" hidden="1" x14ac:dyDescent="0.3">
      <c r="B207" s="172" t="s">
        <v>25</v>
      </c>
      <c r="C207" s="172" t="s">
        <v>79</v>
      </c>
      <c r="D207" s="172" t="s">
        <v>221</v>
      </c>
      <c r="E207" s="172">
        <v>2.28374074629154E-4</v>
      </c>
      <c r="F207" s="172">
        <v>19</v>
      </c>
      <c r="G207" s="172">
        <v>0</v>
      </c>
      <c r="H207" s="172">
        <v>4</v>
      </c>
      <c r="I207" s="172">
        <v>11</v>
      </c>
    </row>
    <row r="208" spans="2:9" x14ac:dyDescent="0.3">
      <c r="B208" s="172" t="s">
        <v>25</v>
      </c>
      <c r="C208" s="172" t="s">
        <v>80</v>
      </c>
      <c r="D208" s="172" t="s">
        <v>218</v>
      </c>
      <c r="E208" s="172">
        <v>8.2139317353150396E-4</v>
      </c>
      <c r="F208" s="172">
        <v>30</v>
      </c>
      <c r="G208" s="172">
        <v>16</v>
      </c>
      <c r="H208" s="172">
        <v>0</v>
      </c>
      <c r="I208" s="172">
        <v>11</v>
      </c>
    </row>
    <row r="209" spans="2:9" hidden="1" x14ac:dyDescent="0.3">
      <c r="B209" s="172" t="s">
        <v>25</v>
      </c>
      <c r="C209" s="172" t="s">
        <v>80</v>
      </c>
      <c r="D209" s="172" t="s">
        <v>221</v>
      </c>
      <c r="E209" s="172">
        <v>1.1288933464018E-4</v>
      </c>
      <c r="F209" s="172">
        <v>79</v>
      </c>
      <c r="G209" s="172">
        <v>21</v>
      </c>
      <c r="H209" s="172">
        <v>4</v>
      </c>
      <c r="I209" s="172">
        <v>11</v>
      </c>
    </row>
    <row r="210" spans="2:9" hidden="1" x14ac:dyDescent="0.3">
      <c r="B210" s="172" t="s">
        <v>25</v>
      </c>
      <c r="C210" s="172" t="s">
        <v>81</v>
      </c>
      <c r="D210" s="172" t="s">
        <v>218</v>
      </c>
      <c r="E210" s="172">
        <v>1.70414278197423E-4</v>
      </c>
      <c r="F210" s="172">
        <v>33</v>
      </c>
      <c r="G210" s="172">
        <v>16</v>
      </c>
      <c r="H210" s="172">
        <v>15</v>
      </c>
      <c r="I210" s="172">
        <v>11</v>
      </c>
    </row>
    <row r="211" spans="2:9" hidden="1" x14ac:dyDescent="0.3">
      <c r="B211" s="172" t="s">
        <v>25</v>
      </c>
      <c r="C211" s="172" t="s">
        <v>81</v>
      </c>
      <c r="D211" s="172" t="s">
        <v>221</v>
      </c>
      <c r="E211" s="172">
        <v>1.01780191720667E-3</v>
      </c>
      <c r="F211" s="172">
        <v>21</v>
      </c>
      <c r="G211" s="172">
        <v>0</v>
      </c>
      <c r="H211" s="172">
        <v>15</v>
      </c>
      <c r="I211" s="172">
        <v>11</v>
      </c>
    </row>
    <row r="212" spans="2:9" hidden="1" x14ac:dyDescent="0.3">
      <c r="B212" s="172" t="s">
        <v>25</v>
      </c>
      <c r="C212" s="172" t="s">
        <v>82</v>
      </c>
      <c r="D212" s="172" t="s">
        <v>218</v>
      </c>
      <c r="E212" s="172">
        <v>3.3393312668706499E-4</v>
      </c>
      <c r="F212" s="172">
        <v>33</v>
      </c>
      <c r="G212" s="172">
        <v>16</v>
      </c>
      <c r="H212" s="172">
        <v>15</v>
      </c>
      <c r="I212" s="172">
        <v>11</v>
      </c>
    </row>
    <row r="213" spans="2:9" hidden="1" x14ac:dyDescent="0.3">
      <c r="B213" s="172" t="s">
        <v>25</v>
      </c>
      <c r="C213" s="172" t="s">
        <v>82</v>
      </c>
      <c r="D213" s="172" t="s">
        <v>221</v>
      </c>
      <c r="E213" s="172">
        <v>1.2599945900697801E-3</v>
      </c>
      <c r="F213" s="172">
        <v>21</v>
      </c>
      <c r="G213" s="172">
        <v>0</v>
      </c>
      <c r="H213" s="172">
        <v>15</v>
      </c>
      <c r="I213" s="172">
        <v>11</v>
      </c>
    </row>
    <row r="214" spans="2:9" hidden="1" x14ac:dyDescent="0.3">
      <c r="B214" s="172" t="s">
        <v>25</v>
      </c>
      <c r="C214" s="172" t="s">
        <v>246</v>
      </c>
      <c r="D214" s="172" t="s">
        <v>218</v>
      </c>
      <c r="E214" s="172">
        <v>3.0527674152166397E-5</v>
      </c>
      <c r="F214" s="172">
        <v>30</v>
      </c>
      <c r="G214" s="172">
        <v>16</v>
      </c>
      <c r="H214" s="172">
        <v>0</v>
      </c>
      <c r="I214" s="172">
        <v>11</v>
      </c>
    </row>
    <row r="215" spans="2:9" hidden="1" x14ac:dyDescent="0.3">
      <c r="B215" s="172" t="s">
        <v>25</v>
      </c>
      <c r="C215" s="172" t="s">
        <v>246</v>
      </c>
      <c r="D215" s="172" t="s">
        <v>221</v>
      </c>
      <c r="E215" s="172">
        <v>1.8139062898654899E-5</v>
      </c>
      <c r="F215" s="172">
        <v>79</v>
      </c>
      <c r="G215" s="172">
        <v>21</v>
      </c>
      <c r="H215" s="172">
        <v>4</v>
      </c>
      <c r="I215" s="172">
        <v>11</v>
      </c>
    </row>
    <row r="216" spans="2:9" hidden="1" x14ac:dyDescent="0.3">
      <c r="B216" s="172" t="s">
        <v>24</v>
      </c>
      <c r="C216" s="172" t="s">
        <v>79</v>
      </c>
      <c r="D216" s="172" t="s">
        <v>218</v>
      </c>
      <c r="E216" s="172">
        <v>9.0266246027092005E-4</v>
      </c>
      <c r="F216" s="172">
        <v>33</v>
      </c>
      <c r="G216" s="172">
        <v>16</v>
      </c>
      <c r="H216" s="172">
        <v>15</v>
      </c>
      <c r="I216" s="172">
        <v>7.5</v>
      </c>
    </row>
    <row r="217" spans="2:9" hidden="1" x14ac:dyDescent="0.3">
      <c r="B217" s="172" t="s">
        <v>24</v>
      </c>
      <c r="C217" s="172" t="s">
        <v>79</v>
      </c>
      <c r="D217" s="172" t="s">
        <v>221</v>
      </c>
      <c r="E217" s="172">
        <v>2.3454403147425099E-4</v>
      </c>
      <c r="F217" s="172">
        <v>21</v>
      </c>
      <c r="G217" s="172">
        <v>0</v>
      </c>
      <c r="H217" s="172">
        <v>15</v>
      </c>
      <c r="I217" s="172">
        <v>7.5</v>
      </c>
    </row>
    <row r="218" spans="2:9" x14ac:dyDescent="0.3">
      <c r="B218" s="172" t="s">
        <v>24</v>
      </c>
      <c r="C218" s="172" t="s">
        <v>80</v>
      </c>
      <c r="D218" s="172" t="s">
        <v>218</v>
      </c>
      <c r="E218" s="172">
        <v>8.1912055875471503E-4</v>
      </c>
      <c r="F218" s="172">
        <v>30</v>
      </c>
      <c r="G218" s="172">
        <v>16</v>
      </c>
      <c r="H218" s="172">
        <v>0</v>
      </c>
      <c r="I218" s="172">
        <v>7.5</v>
      </c>
    </row>
    <row r="219" spans="2:9" hidden="1" x14ac:dyDescent="0.3">
      <c r="B219" s="172" t="s">
        <v>24</v>
      </c>
      <c r="C219" s="172" t="s">
        <v>81</v>
      </c>
      <c r="D219" s="172" t="s">
        <v>218</v>
      </c>
      <c r="E219" s="172">
        <v>1.8615784128034601E-4</v>
      </c>
      <c r="F219" s="172">
        <v>33</v>
      </c>
      <c r="G219" s="172">
        <v>16</v>
      </c>
      <c r="H219" s="172">
        <v>15</v>
      </c>
      <c r="I219" s="172">
        <v>7.5</v>
      </c>
    </row>
    <row r="220" spans="2:9" hidden="1" x14ac:dyDescent="0.3">
      <c r="B220" s="172" t="s">
        <v>24</v>
      </c>
      <c r="C220" s="172" t="s">
        <v>81</v>
      </c>
      <c r="D220" s="172" t="s">
        <v>221</v>
      </c>
      <c r="E220" s="172">
        <v>1.0308858376536401E-3</v>
      </c>
      <c r="F220" s="172">
        <v>21</v>
      </c>
      <c r="G220" s="172">
        <v>0</v>
      </c>
      <c r="H220" s="172">
        <v>15</v>
      </c>
      <c r="I220" s="172">
        <v>7.5</v>
      </c>
    </row>
    <row r="221" spans="2:9" hidden="1" x14ac:dyDescent="0.3">
      <c r="B221" s="172" t="s">
        <v>24</v>
      </c>
      <c r="C221" s="172" t="s">
        <v>82</v>
      </c>
      <c r="D221" s="172" t="s">
        <v>218</v>
      </c>
      <c r="E221" s="172">
        <v>3.5195433274329502E-4</v>
      </c>
      <c r="F221" s="172">
        <v>33</v>
      </c>
      <c r="G221" s="172">
        <v>16</v>
      </c>
      <c r="H221" s="172">
        <v>15</v>
      </c>
      <c r="I221" s="172">
        <v>7.5</v>
      </c>
    </row>
    <row r="222" spans="2:9" hidden="1" x14ac:dyDescent="0.3">
      <c r="B222" s="172" t="s">
        <v>24</v>
      </c>
      <c r="C222" s="172" t="s">
        <v>82</v>
      </c>
      <c r="D222" s="172" t="s">
        <v>221</v>
      </c>
      <c r="E222" s="172">
        <v>1.2796001597147799E-3</v>
      </c>
      <c r="F222" s="172">
        <v>21</v>
      </c>
      <c r="G222" s="172">
        <v>0</v>
      </c>
      <c r="H222" s="172">
        <v>15</v>
      </c>
      <c r="I222" s="172">
        <v>7.5</v>
      </c>
    </row>
    <row r="223" spans="2:9" hidden="1" x14ac:dyDescent="0.3">
      <c r="B223" s="172" t="s">
        <v>24</v>
      </c>
      <c r="C223" s="172" t="s">
        <v>246</v>
      </c>
      <c r="D223" s="172" t="s">
        <v>218</v>
      </c>
      <c r="E223" s="172">
        <v>1.10554273334904E-5</v>
      </c>
      <c r="F223" s="172">
        <v>30</v>
      </c>
      <c r="G223" s="172">
        <v>16</v>
      </c>
      <c r="H223" s="172">
        <v>0</v>
      </c>
      <c r="I223" s="172">
        <v>7.5</v>
      </c>
    </row>
    <row r="224" spans="2:9" hidden="1" x14ac:dyDescent="0.3">
      <c r="B224" s="172" t="s">
        <v>24</v>
      </c>
      <c r="C224" s="172" t="s">
        <v>246</v>
      </c>
      <c r="D224" s="172" t="s">
        <v>221</v>
      </c>
      <c r="E224" s="172">
        <v>1.7909294253944599E-5</v>
      </c>
      <c r="F224" s="172">
        <v>79</v>
      </c>
      <c r="G224" s="172">
        <v>21</v>
      </c>
      <c r="H224" s="172">
        <v>4</v>
      </c>
      <c r="I224" s="172">
        <v>7.5</v>
      </c>
    </row>
    <row r="225" spans="2:9" hidden="1" x14ac:dyDescent="0.3">
      <c r="B225" s="172" t="s">
        <v>22</v>
      </c>
      <c r="C225" s="172" t="s">
        <v>79</v>
      </c>
      <c r="D225" s="172" t="s">
        <v>218</v>
      </c>
      <c r="E225" s="172">
        <v>7.6444063787450595E-4</v>
      </c>
      <c r="F225" s="172">
        <v>33</v>
      </c>
      <c r="G225" s="172">
        <v>16</v>
      </c>
      <c r="H225" s="172">
        <v>15</v>
      </c>
      <c r="I225" s="172">
        <v>4</v>
      </c>
    </row>
    <row r="226" spans="2:9" hidden="1" x14ac:dyDescent="0.3">
      <c r="B226" s="172" t="s">
        <v>22</v>
      </c>
      <c r="C226" s="172" t="s">
        <v>79</v>
      </c>
      <c r="D226" s="172" t="s">
        <v>221</v>
      </c>
      <c r="E226" s="172">
        <v>1.8339108764142399E-4</v>
      </c>
      <c r="F226" s="172">
        <v>21</v>
      </c>
      <c r="G226" s="172">
        <v>0</v>
      </c>
      <c r="H226" s="172">
        <v>15</v>
      </c>
      <c r="I226" s="172">
        <v>4</v>
      </c>
    </row>
    <row r="227" spans="2:9" s="172" customFormat="1" x14ac:dyDescent="0.3">
      <c r="B227" s="172" t="s">
        <v>22</v>
      </c>
      <c r="C227" s="172" t="s">
        <v>80</v>
      </c>
      <c r="D227" s="172" t="s">
        <v>218</v>
      </c>
      <c r="E227" s="172">
        <v>7.0825963869582597E-4</v>
      </c>
      <c r="F227" s="172">
        <v>30</v>
      </c>
      <c r="G227" s="172">
        <v>16</v>
      </c>
      <c r="H227" s="172">
        <v>0</v>
      </c>
      <c r="I227" s="172">
        <v>4</v>
      </c>
    </row>
    <row r="228" spans="2:9" hidden="1" x14ac:dyDescent="0.3">
      <c r="B228" s="172" t="s">
        <v>22</v>
      </c>
      <c r="C228" s="172" t="s">
        <v>81</v>
      </c>
      <c r="D228" s="172" t="s">
        <v>218</v>
      </c>
      <c r="E228" s="172">
        <v>1.7091123598821201E-4</v>
      </c>
      <c r="F228" s="172">
        <v>33</v>
      </c>
      <c r="G228" s="172">
        <v>16</v>
      </c>
      <c r="H228" s="172">
        <v>15</v>
      </c>
      <c r="I228" s="172">
        <v>4</v>
      </c>
    </row>
    <row r="229" spans="2:9" hidden="1" x14ac:dyDescent="0.3">
      <c r="B229" s="172" t="s">
        <v>22</v>
      </c>
      <c r="C229" s="172" t="s">
        <v>81</v>
      </c>
      <c r="D229" s="172" t="s">
        <v>221</v>
      </c>
      <c r="E229" s="172">
        <v>8.2917058985094701E-4</v>
      </c>
      <c r="F229" s="172">
        <v>21</v>
      </c>
      <c r="G229" s="172">
        <v>0</v>
      </c>
      <c r="H229" s="172">
        <v>15</v>
      </c>
      <c r="I229" s="172">
        <v>4</v>
      </c>
    </row>
    <row r="230" spans="2:9" s="172" customFormat="1" hidden="1" x14ac:dyDescent="0.3">
      <c r="B230" s="172" t="s">
        <v>22</v>
      </c>
      <c r="C230" s="172" t="s">
        <v>82</v>
      </c>
      <c r="D230" s="172" t="s">
        <v>218</v>
      </c>
      <c r="E230" s="172">
        <v>3.0318123258570701E-4</v>
      </c>
      <c r="F230" s="172">
        <v>33</v>
      </c>
      <c r="G230" s="172">
        <v>16</v>
      </c>
      <c r="H230" s="172">
        <v>15</v>
      </c>
      <c r="I230" s="172">
        <v>4</v>
      </c>
    </row>
    <row r="231" spans="2:9" hidden="1" x14ac:dyDescent="0.3">
      <c r="B231" s="172" t="s">
        <v>22</v>
      </c>
      <c r="C231" s="172" t="s">
        <v>82</v>
      </c>
      <c r="D231" s="172" t="s">
        <v>221</v>
      </c>
      <c r="E231" s="172">
        <v>1.0335777579292601E-3</v>
      </c>
      <c r="F231" s="172">
        <v>21</v>
      </c>
      <c r="G231" s="172">
        <v>0</v>
      </c>
      <c r="H231" s="172">
        <v>15</v>
      </c>
      <c r="I231" s="172">
        <v>4</v>
      </c>
    </row>
    <row r="232" spans="2:9" hidden="1" x14ac:dyDescent="0.3">
      <c r="B232" s="172" t="s">
        <v>22</v>
      </c>
      <c r="C232" s="172" t="s">
        <v>246</v>
      </c>
      <c r="D232" s="172" t="s">
        <v>218</v>
      </c>
      <c r="E232" s="172">
        <v>3.8620355312431901E-5</v>
      </c>
      <c r="F232" s="172">
        <v>33</v>
      </c>
      <c r="G232" s="172">
        <v>16</v>
      </c>
      <c r="H232" s="172">
        <v>15</v>
      </c>
      <c r="I232" s="172">
        <v>4</v>
      </c>
    </row>
    <row r="233" spans="2:9" s="172" customFormat="1" hidden="1" x14ac:dyDescent="0.3">
      <c r="B233" s="172" t="s">
        <v>22</v>
      </c>
      <c r="C233" s="172" t="s">
        <v>246</v>
      </c>
      <c r="D233" s="172" t="s">
        <v>221</v>
      </c>
      <c r="E233" s="172">
        <v>2.1539483256531398E-5</v>
      </c>
      <c r="F233" s="172">
        <v>79</v>
      </c>
      <c r="G233" s="172">
        <v>21</v>
      </c>
      <c r="H233" s="172">
        <v>4</v>
      </c>
      <c r="I233" s="172">
        <v>4</v>
      </c>
    </row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3.4891847500224401E-4</v>
      </c>
      <c r="F270" s="172">
        <v>64</v>
      </c>
      <c r="G270" s="172">
        <v>21</v>
      </c>
      <c r="H270" s="172">
        <v>8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3.5713137482635198E-4</v>
      </c>
      <c r="F271" s="172">
        <v>107</v>
      </c>
      <c r="G271" s="172">
        <v>16</v>
      </c>
      <c r="H271" s="172">
        <v>4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221</v>
      </c>
      <c r="E272" s="172">
        <v>6.7969045232585499E-5</v>
      </c>
      <c r="F272" s="172">
        <v>79</v>
      </c>
      <c r="G272" s="172">
        <v>21</v>
      </c>
      <c r="H272" s="172">
        <v>4</v>
      </c>
      <c r="I272" s="172">
        <v>38.5</v>
      </c>
    </row>
    <row r="273" spans="2:9" x14ac:dyDescent="0.3">
      <c r="B273" s="172" t="s">
        <v>189</v>
      </c>
      <c r="C273" s="172" t="s">
        <v>81</v>
      </c>
      <c r="D273" s="172" t="s">
        <v>221</v>
      </c>
      <c r="E273" s="172">
        <v>4.2258061159154502E-4</v>
      </c>
      <c r="F273" s="172">
        <v>79</v>
      </c>
      <c r="G273" s="172">
        <v>21</v>
      </c>
      <c r="H273" s="172">
        <v>4</v>
      </c>
      <c r="I273" s="172">
        <v>38.5</v>
      </c>
    </row>
    <row r="274" spans="2:9" hidden="1" x14ac:dyDescent="0.3">
      <c r="B274" s="172" t="s">
        <v>189</v>
      </c>
      <c r="C274" s="172" t="s">
        <v>82</v>
      </c>
      <c r="D274" s="172" t="s">
        <v>221</v>
      </c>
      <c r="E274" s="172">
        <v>3.5702584716117998E-4</v>
      </c>
      <c r="F274" s="172">
        <v>79</v>
      </c>
      <c r="G274" s="172">
        <v>21</v>
      </c>
      <c r="H274" s="172">
        <v>4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218</v>
      </c>
      <c r="E275" s="172">
        <v>2.40779164119877E-4</v>
      </c>
      <c r="F275" s="172">
        <v>107</v>
      </c>
      <c r="G275" s="172">
        <v>16</v>
      </c>
      <c r="H275" s="172">
        <v>4</v>
      </c>
      <c r="I275" s="172">
        <v>38.5</v>
      </c>
    </row>
    <row r="276" spans="2:9" hidden="1" x14ac:dyDescent="0.3">
      <c r="B276" s="172" t="s">
        <v>187</v>
      </c>
      <c r="C276" s="172" t="s">
        <v>79</v>
      </c>
      <c r="D276" s="172" t="s">
        <v>218</v>
      </c>
      <c r="E276" s="172">
        <v>2.9729719020979E-4</v>
      </c>
      <c r="F276" s="172">
        <v>33</v>
      </c>
      <c r="G276" s="172">
        <v>16</v>
      </c>
      <c r="H276" s="172">
        <v>15</v>
      </c>
      <c r="I276" s="172">
        <v>35.5</v>
      </c>
    </row>
    <row r="277" spans="2:9" hidden="1" x14ac:dyDescent="0.3">
      <c r="B277" s="172" t="s">
        <v>187</v>
      </c>
      <c r="C277" s="172" t="s">
        <v>79</v>
      </c>
      <c r="D277" s="172" t="s">
        <v>221</v>
      </c>
      <c r="E277" s="172">
        <v>5.0411363823276501E-5</v>
      </c>
      <c r="F277" s="172">
        <v>19</v>
      </c>
      <c r="G277" s="172">
        <v>0</v>
      </c>
      <c r="H277" s="172">
        <v>4</v>
      </c>
      <c r="I277" s="172">
        <v>35.5</v>
      </c>
    </row>
    <row r="278" spans="2:9" hidden="1" x14ac:dyDescent="0.3">
      <c r="B278" s="172" t="s">
        <v>187</v>
      </c>
      <c r="C278" s="172" t="s">
        <v>80</v>
      </c>
      <c r="D278" s="172" t="s">
        <v>218</v>
      </c>
      <c r="E278" s="172">
        <v>3.1034715957626002E-4</v>
      </c>
      <c r="F278" s="172">
        <v>30</v>
      </c>
      <c r="G278" s="172">
        <v>16</v>
      </c>
      <c r="H278" s="172">
        <v>0</v>
      </c>
      <c r="I278" s="172">
        <v>35.5</v>
      </c>
    </row>
    <row r="279" spans="2:9" hidden="1" x14ac:dyDescent="0.3">
      <c r="B279" s="172" t="s">
        <v>187</v>
      </c>
      <c r="C279" s="172" t="s">
        <v>80</v>
      </c>
      <c r="D279" s="172" t="s">
        <v>221</v>
      </c>
      <c r="E279" s="172">
        <v>7.2642647219874307E-5</v>
      </c>
      <c r="F279" s="172">
        <v>79</v>
      </c>
      <c r="G279" s="172">
        <v>21</v>
      </c>
      <c r="H279" s="172">
        <v>4</v>
      </c>
      <c r="I279" s="172">
        <v>35.5</v>
      </c>
    </row>
    <row r="280" spans="2:9" x14ac:dyDescent="0.3">
      <c r="B280" s="172" t="s">
        <v>187</v>
      </c>
      <c r="C280" s="172" t="s">
        <v>81</v>
      </c>
      <c r="D280" s="172" t="s">
        <v>221</v>
      </c>
      <c r="E280" s="172">
        <v>3.9831384449833998E-4</v>
      </c>
      <c r="F280" s="172">
        <v>79</v>
      </c>
      <c r="G280" s="172">
        <v>21</v>
      </c>
      <c r="H280" s="172">
        <v>4</v>
      </c>
      <c r="I280" s="172">
        <v>35.5</v>
      </c>
    </row>
    <row r="281" spans="2:9" hidden="1" x14ac:dyDescent="0.3">
      <c r="B281" s="172" t="s">
        <v>187</v>
      </c>
      <c r="C281" s="172" t="s">
        <v>82</v>
      </c>
      <c r="D281" s="172" t="s">
        <v>221</v>
      </c>
      <c r="E281" s="172">
        <v>3.7252754569452699E-4</v>
      </c>
      <c r="F281" s="172">
        <v>21</v>
      </c>
      <c r="G281" s="172">
        <v>0</v>
      </c>
      <c r="H281" s="172">
        <v>15</v>
      </c>
      <c r="I281" s="172">
        <v>35.5</v>
      </c>
    </row>
    <row r="282" spans="2:9" hidden="1" x14ac:dyDescent="0.3">
      <c r="B282" s="172" t="s">
        <v>187</v>
      </c>
      <c r="C282" s="172" t="s">
        <v>246</v>
      </c>
      <c r="D282" s="172" t="s">
        <v>218</v>
      </c>
      <c r="E282" s="172">
        <v>7.9338024428887697E-5</v>
      </c>
      <c r="F282" s="172">
        <v>30</v>
      </c>
      <c r="G282" s="172">
        <v>16</v>
      </c>
      <c r="H282" s="172">
        <v>0</v>
      </c>
      <c r="I282" s="172">
        <v>35.5</v>
      </c>
    </row>
    <row r="283" spans="2:9" hidden="1" x14ac:dyDescent="0.3">
      <c r="B283" s="172" t="s">
        <v>187</v>
      </c>
      <c r="C283" s="172" t="s">
        <v>246</v>
      </c>
      <c r="D283" s="172" t="s">
        <v>221</v>
      </c>
      <c r="E283" s="172">
        <v>1.3099907889357001E-5</v>
      </c>
      <c r="F283" s="172">
        <v>79</v>
      </c>
      <c r="G283" s="172">
        <v>21</v>
      </c>
      <c r="H283" s="172">
        <v>4</v>
      </c>
      <c r="I283" s="172">
        <v>35.5</v>
      </c>
    </row>
    <row r="284" spans="2:9" hidden="1" x14ac:dyDescent="0.3">
      <c r="B284" s="172" t="s">
        <v>185</v>
      </c>
      <c r="C284" s="172" t="s">
        <v>79</v>
      </c>
      <c r="D284" s="172" t="s">
        <v>218</v>
      </c>
      <c r="E284" s="172">
        <v>4.40776416771831E-4</v>
      </c>
      <c r="F284" s="172">
        <v>33</v>
      </c>
      <c r="G284" s="172">
        <v>16</v>
      </c>
      <c r="H284" s="172">
        <v>15</v>
      </c>
      <c r="I284" s="172">
        <v>32</v>
      </c>
    </row>
    <row r="285" spans="2:9" hidden="1" x14ac:dyDescent="0.3">
      <c r="B285" s="172" t="s">
        <v>185</v>
      </c>
      <c r="C285" s="172" t="s">
        <v>79</v>
      </c>
      <c r="D285" s="172" t="s">
        <v>221</v>
      </c>
      <c r="E285" s="172">
        <v>8.6180804782694795E-5</v>
      </c>
      <c r="F285" s="172">
        <v>20</v>
      </c>
      <c r="G285" s="172">
        <v>0</v>
      </c>
      <c r="H285" s="172">
        <v>11</v>
      </c>
      <c r="I285" s="172">
        <v>32</v>
      </c>
    </row>
    <row r="286" spans="2:9" hidden="1" x14ac:dyDescent="0.3">
      <c r="B286" s="172" t="s">
        <v>185</v>
      </c>
      <c r="C286" s="172" t="s">
        <v>80</v>
      </c>
      <c r="D286" s="172" t="s">
        <v>218</v>
      </c>
      <c r="E286" s="172">
        <v>4.4169600823424997E-4</v>
      </c>
      <c r="F286" s="172">
        <v>30</v>
      </c>
      <c r="G286" s="172">
        <v>16</v>
      </c>
      <c r="H286" s="172">
        <v>0</v>
      </c>
      <c r="I286" s="172">
        <v>32</v>
      </c>
    </row>
    <row r="287" spans="2:9" hidden="1" x14ac:dyDescent="0.3">
      <c r="B287" s="172" t="s">
        <v>185</v>
      </c>
      <c r="C287" s="172" t="s">
        <v>80</v>
      </c>
      <c r="D287" s="172" t="s">
        <v>221</v>
      </c>
      <c r="E287" s="172">
        <v>8.9609509053140504E-5</v>
      </c>
      <c r="F287" s="172">
        <v>79</v>
      </c>
      <c r="G287" s="172">
        <v>21</v>
      </c>
      <c r="H287" s="172">
        <v>4</v>
      </c>
      <c r="I287" s="172">
        <v>32</v>
      </c>
    </row>
    <row r="288" spans="2:9" x14ac:dyDescent="0.3">
      <c r="B288" s="172" t="s">
        <v>185</v>
      </c>
      <c r="C288" s="172" t="s">
        <v>81</v>
      </c>
      <c r="D288" s="172" t="s">
        <v>221</v>
      </c>
      <c r="E288" s="172">
        <v>5.1181920129710805E-4</v>
      </c>
      <c r="F288" s="172">
        <v>79</v>
      </c>
      <c r="G288" s="172">
        <v>21</v>
      </c>
      <c r="H288" s="172">
        <v>4</v>
      </c>
      <c r="I288" s="172">
        <v>32</v>
      </c>
    </row>
    <row r="289" spans="2:9" hidden="1" x14ac:dyDescent="0.3">
      <c r="B289" s="172" t="s">
        <v>185</v>
      </c>
      <c r="C289" s="172" t="s">
        <v>82</v>
      </c>
      <c r="D289" s="172" t="s">
        <v>221</v>
      </c>
      <c r="E289" s="172">
        <v>5.7054094587088305E-4</v>
      </c>
      <c r="F289" s="172">
        <v>21</v>
      </c>
      <c r="G289" s="172">
        <v>0</v>
      </c>
      <c r="H289" s="172">
        <v>15</v>
      </c>
      <c r="I289" s="172">
        <v>32</v>
      </c>
    </row>
    <row r="290" spans="2:9" hidden="1" x14ac:dyDescent="0.3">
      <c r="B290" s="172" t="s">
        <v>185</v>
      </c>
      <c r="C290" s="172" t="s">
        <v>246</v>
      </c>
      <c r="D290" s="172" t="s">
        <v>218</v>
      </c>
      <c r="E290" s="172">
        <v>8.4391504713308201E-5</v>
      </c>
      <c r="F290" s="172">
        <v>30</v>
      </c>
      <c r="G290" s="172">
        <v>16</v>
      </c>
      <c r="H290" s="172">
        <v>0</v>
      </c>
      <c r="I290" s="172">
        <v>32</v>
      </c>
    </row>
    <row r="291" spans="2:9" hidden="1" x14ac:dyDescent="0.3">
      <c r="B291" s="172" t="s">
        <v>185</v>
      </c>
      <c r="C291" s="172" t="s">
        <v>246</v>
      </c>
      <c r="D291" s="172" t="s">
        <v>221</v>
      </c>
      <c r="E291" s="172">
        <v>2.0016713910060601E-5</v>
      </c>
      <c r="F291" s="172">
        <v>79</v>
      </c>
      <c r="G291" s="172">
        <v>21</v>
      </c>
      <c r="H291" s="172">
        <v>4</v>
      </c>
      <c r="I291" s="172">
        <v>32</v>
      </c>
    </row>
    <row r="292" spans="2:9" hidden="1" x14ac:dyDescent="0.3">
      <c r="B292" s="172" t="s">
        <v>183</v>
      </c>
      <c r="C292" s="172" t="s">
        <v>79</v>
      </c>
      <c r="D292" s="172" t="s">
        <v>218</v>
      </c>
      <c r="E292" s="172">
        <v>5.6839478780654695E-4</v>
      </c>
      <c r="F292" s="172">
        <v>33</v>
      </c>
      <c r="G292" s="172">
        <v>16</v>
      </c>
      <c r="H292" s="172">
        <v>15</v>
      </c>
      <c r="I292" s="172">
        <v>28.5</v>
      </c>
    </row>
    <row r="293" spans="2:9" hidden="1" x14ac:dyDescent="0.3">
      <c r="B293" s="172" t="s">
        <v>183</v>
      </c>
      <c r="C293" s="172" t="s">
        <v>79</v>
      </c>
      <c r="D293" s="172" t="s">
        <v>221</v>
      </c>
      <c r="E293" s="172">
        <v>1.20271847549277E-4</v>
      </c>
      <c r="F293" s="172">
        <v>21</v>
      </c>
      <c r="G293" s="172">
        <v>0</v>
      </c>
      <c r="H293" s="172">
        <v>15</v>
      </c>
      <c r="I293" s="172">
        <v>28.5</v>
      </c>
    </row>
    <row r="294" spans="2:9" hidden="1" x14ac:dyDescent="0.3">
      <c r="B294" s="172" t="s">
        <v>183</v>
      </c>
      <c r="C294" s="172" t="s">
        <v>80</v>
      </c>
      <c r="D294" s="172" t="s">
        <v>218</v>
      </c>
      <c r="E294" s="172">
        <v>5.5499451901086896E-4</v>
      </c>
      <c r="F294" s="172">
        <v>30</v>
      </c>
      <c r="G294" s="172">
        <v>16</v>
      </c>
      <c r="H294" s="172">
        <v>0</v>
      </c>
      <c r="I294" s="172">
        <v>28.5</v>
      </c>
    </row>
    <row r="295" spans="2:9" hidden="1" x14ac:dyDescent="0.3">
      <c r="B295" s="172" t="s">
        <v>183</v>
      </c>
      <c r="C295" s="172" t="s">
        <v>80</v>
      </c>
      <c r="D295" s="172" t="s">
        <v>221</v>
      </c>
      <c r="E295" s="172">
        <v>1.01663401092934E-4</v>
      </c>
      <c r="F295" s="172">
        <v>79</v>
      </c>
      <c r="G295" s="172">
        <v>21</v>
      </c>
      <c r="H295" s="172">
        <v>4</v>
      </c>
      <c r="I295" s="172">
        <v>28.5</v>
      </c>
    </row>
    <row r="296" spans="2:9" x14ac:dyDescent="0.3">
      <c r="B296" s="172" t="s">
        <v>183</v>
      </c>
      <c r="C296" s="172" t="s">
        <v>81</v>
      </c>
      <c r="D296" s="172" t="s">
        <v>221</v>
      </c>
      <c r="E296" s="172">
        <v>6.1505724869407295E-4</v>
      </c>
      <c r="F296" s="172">
        <v>21</v>
      </c>
      <c r="G296" s="172">
        <v>0</v>
      </c>
      <c r="H296" s="172">
        <v>15</v>
      </c>
      <c r="I296" s="172">
        <v>28.5</v>
      </c>
    </row>
    <row r="297" spans="2:9" hidden="1" x14ac:dyDescent="0.3">
      <c r="B297" s="172" t="s">
        <v>183</v>
      </c>
      <c r="C297" s="172" t="s">
        <v>82</v>
      </c>
      <c r="D297" s="172" t="s">
        <v>221</v>
      </c>
      <c r="E297" s="172">
        <v>7.5166795159927304E-4</v>
      </c>
      <c r="F297" s="172">
        <v>21</v>
      </c>
      <c r="G297" s="172">
        <v>0</v>
      </c>
      <c r="H297" s="172">
        <v>15</v>
      </c>
      <c r="I297" s="172">
        <v>28.5</v>
      </c>
    </row>
    <row r="298" spans="2:9" hidden="1" x14ac:dyDescent="0.3">
      <c r="B298" s="172" t="s">
        <v>183</v>
      </c>
      <c r="C298" s="172" t="s">
        <v>246</v>
      </c>
      <c r="D298" s="172" t="s">
        <v>218</v>
      </c>
      <c r="E298" s="172">
        <v>7.9870492623375895E-5</v>
      </c>
      <c r="F298" s="172">
        <v>30</v>
      </c>
      <c r="G298" s="172">
        <v>16</v>
      </c>
      <c r="H298" s="172">
        <v>0</v>
      </c>
      <c r="I298" s="172">
        <v>28.5</v>
      </c>
    </row>
    <row r="299" spans="2:9" hidden="1" x14ac:dyDescent="0.3">
      <c r="B299" s="172" t="s">
        <v>183</v>
      </c>
      <c r="C299" s="172" t="s">
        <v>246</v>
      </c>
      <c r="D299" s="172" t="s">
        <v>221</v>
      </c>
      <c r="E299" s="172">
        <v>2.0048982301477699E-5</v>
      </c>
      <c r="F299" s="172">
        <v>79</v>
      </c>
      <c r="G299" s="172">
        <v>21</v>
      </c>
      <c r="H299" s="172">
        <v>4</v>
      </c>
      <c r="I299" s="172">
        <v>28.5</v>
      </c>
    </row>
    <row r="300" spans="2:9" hidden="1" x14ac:dyDescent="0.3">
      <c r="B300" s="172" t="s">
        <v>181</v>
      </c>
      <c r="C300" s="172" t="s">
        <v>79</v>
      </c>
      <c r="D300" s="172" t="s">
        <v>218</v>
      </c>
      <c r="E300" s="172">
        <v>6.7561736359901504E-4</v>
      </c>
      <c r="F300" s="172">
        <v>33</v>
      </c>
      <c r="G300" s="172">
        <v>16</v>
      </c>
      <c r="H300" s="172">
        <v>15</v>
      </c>
      <c r="I300" s="172">
        <v>25</v>
      </c>
    </row>
    <row r="301" spans="2:9" hidden="1" x14ac:dyDescent="0.3">
      <c r="B301" s="172" t="s">
        <v>181</v>
      </c>
      <c r="C301" s="172" t="s">
        <v>79</v>
      </c>
      <c r="D301" s="172" t="s">
        <v>221</v>
      </c>
      <c r="E301" s="172">
        <v>1.4925618250633899E-4</v>
      </c>
      <c r="F301" s="172">
        <v>21</v>
      </c>
      <c r="G301" s="172">
        <v>0</v>
      </c>
      <c r="H301" s="172">
        <v>15</v>
      </c>
      <c r="I301" s="172">
        <v>25</v>
      </c>
    </row>
    <row r="302" spans="2:9" hidden="1" x14ac:dyDescent="0.3">
      <c r="B302" s="172" t="s">
        <v>181</v>
      </c>
      <c r="C302" s="172" t="s">
        <v>80</v>
      </c>
      <c r="D302" s="172" t="s">
        <v>218</v>
      </c>
      <c r="E302" s="172">
        <v>6.49653418379528E-4</v>
      </c>
      <c r="F302" s="172">
        <v>30</v>
      </c>
      <c r="G302" s="172">
        <v>16</v>
      </c>
      <c r="H302" s="172">
        <v>0</v>
      </c>
      <c r="I302" s="172">
        <v>25</v>
      </c>
    </row>
    <row r="303" spans="2:9" hidden="1" x14ac:dyDescent="0.3">
      <c r="B303" s="172" t="s">
        <v>181</v>
      </c>
      <c r="C303" s="172" t="s">
        <v>80</v>
      </c>
      <c r="D303" s="172" t="s">
        <v>221</v>
      </c>
      <c r="E303" s="172">
        <v>1.11288511501351E-4</v>
      </c>
      <c r="F303" s="172">
        <v>79</v>
      </c>
      <c r="G303" s="172">
        <v>21</v>
      </c>
      <c r="H303" s="172">
        <v>4</v>
      </c>
      <c r="I303" s="172">
        <v>25</v>
      </c>
    </row>
    <row r="304" spans="2:9" x14ac:dyDescent="0.3">
      <c r="B304" s="172" t="s">
        <v>181</v>
      </c>
      <c r="C304" s="172" t="s">
        <v>81</v>
      </c>
      <c r="D304" s="172" t="s">
        <v>221</v>
      </c>
      <c r="E304" s="172">
        <v>7.3402656507011595E-4</v>
      </c>
      <c r="F304" s="172">
        <v>21</v>
      </c>
      <c r="G304" s="172">
        <v>0</v>
      </c>
      <c r="H304" s="172">
        <v>15</v>
      </c>
      <c r="I304" s="172">
        <v>25</v>
      </c>
    </row>
    <row r="305" spans="2:9" hidden="1" x14ac:dyDescent="0.3">
      <c r="B305" s="172" t="s">
        <v>181</v>
      </c>
      <c r="C305" s="172" t="s">
        <v>82</v>
      </c>
      <c r="D305" s="172" t="s">
        <v>218</v>
      </c>
      <c r="E305" s="172">
        <v>2.02407313026584E-4</v>
      </c>
      <c r="F305" s="172">
        <v>33</v>
      </c>
      <c r="G305" s="172">
        <v>16</v>
      </c>
      <c r="H305" s="172">
        <v>15</v>
      </c>
      <c r="I305" s="172">
        <v>25</v>
      </c>
    </row>
    <row r="306" spans="2:9" hidden="1" x14ac:dyDescent="0.3">
      <c r="B306" s="172" t="s">
        <v>181</v>
      </c>
      <c r="C306" s="172" t="s">
        <v>82</v>
      </c>
      <c r="D306" s="172" t="s">
        <v>221</v>
      </c>
      <c r="E306" s="172">
        <v>9.0077054706231598E-4</v>
      </c>
      <c r="F306" s="172">
        <v>21</v>
      </c>
      <c r="G306" s="172">
        <v>0</v>
      </c>
      <c r="H306" s="172">
        <v>15</v>
      </c>
      <c r="I306" s="172">
        <v>25</v>
      </c>
    </row>
    <row r="307" spans="2:9" hidden="1" x14ac:dyDescent="0.3">
      <c r="B307" s="172" t="s">
        <v>181</v>
      </c>
      <c r="C307" s="172" t="s">
        <v>246</v>
      </c>
      <c r="D307" s="172" t="s">
        <v>218</v>
      </c>
      <c r="E307" s="172">
        <v>7.4392873220720899E-5</v>
      </c>
      <c r="F307" s="172">
        <v>30</v>
      </c>
      <c r="G307" s="172">
        <v>16</v>
      </c>
      <c r="H307" s="172">
        <v>0</v>
      </c>
      <c r="I307" s="172">
        <v>25</v>
      </c>
    </row>
    <row r="308" spans="2:9" hidden="1" x14ac:dyDescent="0.3">
      <c r="B308" s="172" t="s">
        <v>181</v>
      </c>
      <c r="C308" s="172" t="s">
        <v>246</v>
      </c>
      <c r="D308" s="172" t="s">
        <v>221</v>
      </c>
      <c r="E308" s="172">
        <v>2.02249103734263E-5</v>
      </c>
      <c r="F308" s="172">
        <v>79</v>
      </c>
      <c r="G308" s="172">
        <v>21</v>
      </c>
      <c r="H308" s="172">
        <v>4</v>
      </c>
      <c r="I308" s="172">
        <v>25</v>
      </c>
    </row>
    <row r="309" spans="2:9" hidden="1" x14ac:dyDescent="0.3">
      <c r="B309" s="172" t="s">
        <v>179</v>
      </c>
      <c r="C309" s="172" t="s">
        <v>79</v>
      </c>
      <c r="D309" s="172" t="s">
        <v>218</v>
      </c>
      <c r="E309" s="172">
        <v>7.6340762765778601E-4</v>
      </c>
      <c r="F309" s="172">
        <v>33</v>
      </c>
      <c r="G309" s="172">
        <v>16</v>
      </c>
      <c r="H309" s="172">
        <v>15</v>
      </c>
      <c r="I309" s="172">
        <v>21.5</v>
      </c>
    </row>
    <row r="310" spans="2:9" hidden="1" x14ac:dyDescent="0.3">
      <c r="B310" s="172" t="s">
        <v>179</v>
      </c>
      <c r="C310" s="172" t="s">
        <v>79</v>
      </c>
      <c r="D310" s="172" t="s">
        <v>221</v>
      </c>
      <c r="E310" s="172">
        <v>1.7390352178134899E-4</v>
      </c>
      <c r="F310" s="172">
        <v>21</v>
      </c>
      <c r="G310" s="172">
        <v>0</v>
      </c>
      <c r="H310" s="172">
        <v>15</v>
      </c>
      <c r="I310" s="172">
        <v>21.5</v>
      </c>
    </row>
    <row r="311" spans="2:9" hidden="1" x14ac:dyDescent="0.3">
      <c r="B311" s="172" t="s">
        <v>179</v>
      </c>
      <c r="C311" s="172" t="s">
        <v>80</v>
      </c>
      <c r="D311" s="172" t="s">
        <v>218</v>
      </c>
      <c r="E311" s="172">
        <v>7.26068605244553E-4</v>
      </c>
      <c r="F311" s="172">
        <v>30</v>
      </c>
      <c r="G311" s="172">
        <v>16</v>
      </c>
      <c r="H311" s="172">
        <v>0</v>
      </c>
      <c r="I311" s="172">
        <v>21.5</v>
      </c>
    </row>
    <row r="312" spans="2:9" hidden="1" x14ac:dyDescent="0.3">
      <c r="B312" s="172" t="s">
        <v>179</v>
      </c>
      <c r="C312" s="172" t="s">
        <v>80</v>
      </c>
      <c r="D312" s="172" t="s">
        <v>221</v>
      </c>
      <c r="E312" s="172">
        <v>1.18294719397362E-4</v>
      </c>
      <c r="F312" s="172">
        <v>79</v>
      </c>
      <c r="G312" s="172">
        <v>21</v>
      </c>
      <c r="H312" s="172">
        <v>4</v>
      </c>
      <c r="I312" s="172">
        <v>21.5</v>
      </c>
    </row>
    <row r="313" spans="2:9" x14ac:dyDescent="0.3">
      <c r="B313" s="172" t="s">
        <v>179</v>
      </c>
      <c r="C313" s="172" t="s">
        <v>81</v>
      </c>
      <c r="D313" s="172" t="s">
        <v>221</v>
      </c>
      <c r="E313" s="172">
        <v>8.3091603464959104E-4</v>
      </c>
      <c r="F313" s="172">
        <v>21</v>
      </c>
      <c r="G313" s="172">
        <v>0</v>
      </c>
      <c r="H313" s="172">
        <v>15</v>
      </c>
      <c r="I313" s="172">
        <v>21.5</v>
      </c>
    </row>
    <row r="314" spans="2:9" hidden="1" x14ac:dyDescent="0.3">
      <c r="B314" s="172" t="s">
        <v>179</v>
      </c>
      <c r="C314" s="172" t="s">
        <v>82</v>
      </c>
      <c r="D314" s="172" t="s">
        <v>218</v>
      </c>
      <c r="E314" s="172">
        <v>2.4109793052707899E-4</v>
      </c>
      <c r="F314" s="172">
        <v>33</v>
      </c>
      <c r="G314" s="172">
        <v>16</v>
      </c>
      <c r="H314" s="172">
        <v>15</v>
      </c>
      <c r="I314" s="172">
        <v>21.5</v>
      </c>
    </row>
    <row r="315" spans="2:9" hidden="1" x14ac:dyDescent="0.3">
      <c r="B315" s="172" t="s">
        <v>179</v>
      </c>
      <c r="C315" s="172" t="s">
        <v>82</v>
      </c>
      <c r="D315" s="172" t="s">
        <v>221</v>
      </c>
      <c r="E315" s="172">
        <v>1.0226772280882801E-3</v>
      </c>
      <c r="F315" s="172">
        <v>21</v>
      </c>
      <c r="G315" s="172">
        <v>0</v>
      </c>
      <c r="H315" s="172">
        <v>15</v>
      </c>
      <c r="I315" s="172">
        <v>21.5</v>
      </c>
    </row>
    <row r="316" spans="2:9" hidden="1" x14ac:dyDescent="0.3">
      <c r="B316" s="172" t="s">
        <v>179</v>
      </c>
      <c r="C316" s="172" t="s">
        <v>246</v>
      </c>
      <c r="D316" s="172" t="s">
        <v>218</v>
      </c>
      <c r="E316" s="172">
        <v>6.7308549607908501E-5</v>
      </c>
      <c r="F316" s="172">
        <v>30</v>
      </c>
      <c r="G316" s="172">
        <v>16</v>
      </c>
      <c r="H316" s="172">
        <v>0</v>
      </c>
      <c r="I316" s="172">
        <v>21.5</v>
      </c>
    </row>
    <row r="317" spans="2:9" hidden="1" x14ac:dyDescent="0.3">
      <c r="B317" s="172" t="s">
        <v>179</v>
      </c>
      <c r="C317" s="172" t="s">
        <v>246</v>
      </c>
      <c r="D317" s="172" t="s">
        <v>221</v>
      </c>
      <c r="E317" s="172">
        <v>2.0149109500118401E-5</v>
      </c>
      <c r="F317" s="172">
        <v>79</v>
      </c>
      <c r="G317" s="172">
        <v>21</v>
      </c>
      <c r="H317" s="172">
        <v>4</v>
      </c>
      <c r="I317" s="172">
        <v>21.5</v>
      </c>
    </row>
    <row r="318" spans="2:9" hidden="1" x14ac:dyDescent="0.3">
      <c r="B318" s="172" t="s">
        <v>39</v>
      </c>
      <c r="C318" s="172" t="s">
        <v>79</v>
      </c>
      <c r="D318" s="172" t="s">
        <v>218</v>
      </c>
      <c r="E318" s="172">
        <v>8.2566347019302495E-4</v>
      </c>
      <c r="F318" s="172">
        <v>33</v>
      </c>
      <c r="G318" s="172">
        <v>16</v>
      </c>
      <c r="H318" s="172">
        <v>15</v>
      </c>
      <c r="I318" s="172">
        <v>18</v>
      </c>
    </row>
    <row r="319" spans="2:9" hidden="1" x14ac:dyDescent="0.3">
      <c r="B319" s="172" t="s">
        <v>39</v>
      </c>
      <c r="C319" s="172" t="s">
        <v>79</v>
      </c>
      <c r="D319" s="172" t="s">
        <v>221</v>
      </c>
      <c r="E319" s="172">
        <v>1.96135722239486E-4</v>
      </c>
      <c r="F319" s="172">
        <v>19</v>
      </c>
      <c r="G319" s="172">
        <v>0</v>
      </c>
      <c r="H319" s="172">
        <v>4</v>
      </c>
      <c r="I319" s="172">
        <v>18</v>
      </c>
    </row>
    <row r="320" spans="2:9" hidden="1" x14ac:dyDescent="0.3">
      <c r="B320" s="172" t="s">
        <v>39</v>
      </c>
      <c r="C320" s="172" t="s">
        <v>80</v>
      </c>
      <c r="D320" s="172" t="s">
        <v>218</v>
      </c>
      <c r="E320" s="172">
        <v>7.7509309326089003E-4</v>
      </c>
      <c r="F320" s="172">
        <v>30</v>
      </c>
      <c r="G320" s="172">
        <v>16</v>
      </c>
      <c r="H320" s="172">
        <v>0</v>
      </c>
      <c r="I320" s="172">
        <v>18</v>
      </c>
    </row>
    <row r="321" spans="2:9" hidden="1" x14ac:dyDescent="0.3">
      <c r="B321" s="172" t="s">
        <v>39</v>
      </c>
      <c r="C321" s="172" t="s">
        <v>80</v>
      </c>
      <c r="D321" s="172" t="s">
        <v>221</v>
      </c>
      <c r="E321" s="172">
        <v>1.1985435845034601E-4</v>
      </c>
      <c r="F321" s="172">
        <v>79</v>
      </c>
      <c r="G321" s="172">
        <v>21</v>
      </c>
      <c r="H321" s="172">
        <v>4</v>
      </c>
      <c r="I321" s="172">
        <v>18</v>
      </c>
    </row>
    <row r="322" spans="2:9" hidden="1" x14ac:dyDescent="0.3">
      <c r="B322" s="172" t="s">
        <v>39</v>
      </c>
      <c r="C322" s="172" t="s">
        <v>81</v>
      </c>
      <c r="D322" s="172" t="s">
        <v>218</v>
      </c>
      <c r="E322" s="172">
        <v>1.3121914616894201E-4</v>
      </c>
      <c r="F322" s="172">
        <v>33</v>
      </c>
      <c r="G322" s="172">
        <v>16</v>
      </c>
      <c r="H322" s="172">
        <v>15</v>
      </c>
      <c r="I322" s="172">
        <v>18</v>
      </c>
    </row>
    <row r="323" spans="2:9" x14ac:dyDescent="0.3">
      <c r="B323" s="172" t="s">
        <v>39</v>
      </c>
      <c r="C323" s="172" t="s">
        <v>81</v>
      </c>
      <c r="D323" s="172" t="s">
        <v>221</v>
      </c>
      <c r="E323" s="172">
        <v>9.1080868231569996E-4</v>
      </c>
      <c r="F323" s="172">
        <v>21</v>
      </c>
      <c r="G323" s="172">
        <v>0</v>
      </c>
      <c r="H323" s="172">
        <v>15</v>
      </c>
      <c r="I323" s="172">
        <v>18</v>
      </c>
    </row>
    <row r="324" spans="2:9" hidden="1" x14ac:dyDescent="0.3">
      <c r="B324" s="172" t="s">
        <v>39</v>
      </c>
      <c r="C324" s="172" t="s">
        <v>82</v>
      </c>
      <c r="D324" s="172" t="s">
        <v>218</v>
      </c>
      <c r="E324" s="172">
        <v>2.7750545594183999E-4</v>
      </c>
      <c r="F324" s="172">
        <v>33</v>
      </c>
      <c r="G324" s="172">
        <v>16</v>
      </c>
      <c r="H324" s="172">
        <v>15</v>
      </c>
      <c r="I324" s="172">
        <v>18</v>
      </c>
    </row>
    <row r="325" spans="2:9" hidden="1" x14ac:dyDescent="0.3">
      <c r="B325" s="172" t="s">
        <v>39</v>
      </c>
      <c r="C325" s="172" t="s">
        <v>82</v>
      </c>
      <c r="D325" s="172" t="s">
        <v>221</v>
      </c>
      <c r="E325" s="172">
        <v>1.12303940660613E-3</v>
      </c>
      <c r="F325" s="172">
        <v>21</v>
      </c>
      <c r="G325" s="172">
        <v>0</v>
      </c>
      <c r="H325" s="172">
        <v>15</v>
      </c>
      <c r="I325" s="172">
        <v>18</v>
      </c>
    </row>
    <row r="326" spans="2:9" hidden="1" x14ac:dyDescent="0.3">
      <c r="B326" s="172" t="s">
        <v>39</v>
      </c>
      <c r="C326" s="172" t="s">
        <v>246</v>
      </c>
      <c r="D326" s="172" t="s">
        <v>218</v>
      </c>
      <c r="E326" s="172">
        <v>5.8436773070883798E-5</v>
      </c>
      <c r="F326" s="172">
        <v>30</v>
      </c>
      <c r="G326" s="172">
        <v>16</v>
      </c>
      <c r="H326" s="172">
        <v>0</v>
      </c>
      <c r="I326" s="172">
        <v>18</v>
      </c>
    </row>
    <row r="327" spans="2:9" hidden="1" x14ac:dyDescent="0.3">
      <c r="B327" s="172" t="s">
        <v>39</v>
      </c>
      <c r="C327" s="172" t="s">
        <v>246</v>
      </c>
      <c r="D327" s="172" t="s">
        <v>221</v>
      </c>
      <c r="E327" s="172">
        <v>2.2524524604917598E-5</v>
      </c>
      <c r="F327" s="172">
        <v>79</v>
      </c>
      <c r="G327" s="172">
        <v>21</v>
      </c>
      <c r="H327" s="172">
        <v>4</v>
      </c>
      <c r="I327" s="172">
        <v>18</v>
      </c>
    </row>
    <row r="328" spans="2:9" hidden="1" x14ac:dyDescent="0.3">
      <c r="B328" s="172" t="s">
        <v>26</v>
      </c>
      <c r="C328" s="172" t="s">
        <v>79</v>
      </c>
      <c r="D328" s="172" t="s">
        <v>218</v>
      </c>
      <c r="E328" s="172">
        <v>8.6778648908320899E-4</v>
      </c>
      <c r="F328" s="172">
        <v>33</v>
      </c>
      <c r="G328" s="172">
        <v>16</v>
      </c>
      <c r="H328" s="172">
        <v>15</v>
      </c>
      <c r="I328" s="172">
        <v>14.5</v>
      </c>
    </row>
    <row r="329" spans="2:9" hidden="1" x14ac:dyDescent="0.3">
      <c r="B329" s="172" t="s">
        <v>26</v>
      </c>
      <c r="C329" s="172" t="s">
        <v>79</v>
      </c>
      <c r="D329" s="172" t="s">
        <v>221</v>
      </c>
      <c r="E329" s="172">
        <v>2.1476324018791299E-4</v>
      </c>
      <c r="F329" s="172">
        <v>21</v>
      </c>
      <c r="G329" s="172">
        <v>0</v>
      </c>
      <c r="H329" s="172">
        <v>15</v>
      </c>
      <c r="I329" s="172">
        <v>14.5</v>
      </c>
    </row>
    <row r="330" spans="2:9" hidden="1" x14ac:dyDescent="0.3">
      <c r="B330" s="172" t="s">
        <v>26</v>
      </c>
      <c r="C330" s="172" t="s">
        <v>80</v>
      </c>
      <c r="D330" s="172" t="s">
        <v>218</v>
      </c>
      <c r="E330" s="172">
        <v>8.03207013964658E-4</v>
      </c>
      <c r="F330" s="172">
        <v>30</v>
      </c>
      <c r="G330" s="172">
        <v>16</v>
      </c>
      <c r="H330" s="172">
        <v>0</v>
      </c>
      <c r="I330" s="172">
        <v>14.5</v>
      </c>
    </row>
    <row r="331" spans="2:9" hidden="1" x14ac:dyDescent="0.3">
      <c r="B331" s="172" t="s">
        <v>26</v>
      </c>
      <c r="C331" s="172" t="s">
        <v>80</v>
      </c>
      <c r="D331" s="172" t="s">
        <v>221</v>
      </c>
      <c r="E331" s="172">
        <v>1.16773405699417E-4</v>
      </c>
      <c r="F331" s="172">
        <v>79</v>
      </c>
      <c r="G331" s="172">
        <v>21</v>
      </c>
      <c r="H331" s="172">
        <v>4</v>
      </c>
      <c r="I331" s="172">
        <v>14.5</v>
      </c>
    </row>
    <row r="332" spans="2:9" hidden="1" x14ac:dyDescent="0.3">
      <c r="B332" s="172" t="s">
        <v>26</v>
      </c>
      <c r="C332" s="172" t="s">
        <v>81</v>
      </c>
      <c r="D332" s="172" t="s">
        <v>218</v>
      </c>
      <c r="E332" s="172">
        <v>1.5207749764685501E-4</v>
      </c>
      <c r="F332" s="172">
        <v>33</v>
      </c>
      <c r="G332" s="172">
        <v>16</v>
      </c>
      <c r="H332" s="172">
        <v>15</v>
      </c>
      <c r="I332" s="172">
        <v>14.5</v>
      </c>
    </row>
    <row r="333" spans="2:9" x14ac:dyDescent="0.3">
      <c r="B333" s="172" t="s">
        <v>26</v>
      </c>
      <c r="C333" s="172" t="s">
        <v>81</v>
      </c>
      <c r="D333" s="172" t="s">
        <v>221</v>
      </c>
      <c r="E333" s="172">
        <v>9.7439253574426398E-4</v>
      </c>
      <c r="F333" s="172">
        <v>21</v>
      </c>
      <c r="G333" s="172">
        <v>0</v>
      </c>
      <c r="H333" s="172">
        <v>15</v>
      </c>
      <c r="I333" s="172">
        <v>14.5</v>
      </c>
    </row>
    <row r="334" spans="2:9" hidden="1" x14ac:dyDescent="0.3">
      <c r="B334" s="172" t="s">
        <v>26</v>
      </c>
      <c r="C334" s="172" t="s">
        <v>82</v>
      </c>
      <c r="D334" s="172" t="s">
        <v>218</v>
      </c>
      <c r="E334" s="172">
        <v>3.0829149327130198E-4</v>
      </c>
      <c r="F334" s="172">
        <v>33</v>
      </c>
      <c r="G334" s="172">
        <v>16</v>
      </c>
      <c r="H334" s="172">
        <v>15</v>
      </c>
      <c r="I334" s="172">
        <v>14.5</v>
      </c>
    </row>
    <row r="335" spans="2:9" hidden="1" x14ac:dyDescent="0.3">
      <c r="B335" s="172" t="s">
        <v>26</v>
      </c>
      <c r="C335" s="172" t="s">
        <v>82</v>
      </c>
      <c r="D335" s="172" t="s">
        <v>221</v>
      </c>
      <c r="E335" s="172">
        <v>1.2033754179694601E-3</v>
      </c>
      <c r="F335" s="172">
        <v>21</v>
      </c>
      <c r="G335" s="172">
        <v>0</v>
      </c>
      <c r="H335" s="172">
        <v>15</v>
      </c>
      <c r="I335" s="172">
        <v>14.5</v>
      </c>
    </row>
    <row r="336" spans="2:9" hidden="1" x14ac:dyDescent="0.3">
      <c r="B336" s="172" t="s">
        <v>26</v>
      </c>
      <c r="C336" s="172" t="s">
        <v>246</v>
      </c>
      <c r="D336" s="172" t="s">
        <v>218</v>
      </c>
      <c r="E336" s="172">
        <v>4.5125487521836397E-5</v>
      </c>
      <c r="F336" s="172">
        <v>30</v>
      </c>
      <c r="G336" s="172">
        <v>16</v>
      </c>
      <c r="H336" s="172">
        <v>0</v>
      </c>
      <c r="I336" s="172">
        <v>14.5</v>
      </c>
    </row>
    <row r="337" spans="2:9" hidden="1" x14ac:dyDescent="0.3">
      <c r="B337" s="172" t="s">
        <v>26</v>
      </c>
      <c r="C337" s="172" t="s">
        <v>246</v>
      </c>
      <c r="D337" s="172" t="s">
        <v>221</v>
      </c>
      <c r="E337" s="172">
        <v>1.97024071311016E-5</v>
      </c>
      <c r="F337" s="172">
        <v>79</v>
      </c>
      <c r="G337" s="172">
        <v>21</v>
      </c>
      <c r="H337" s="172">
        <v>4</v>
      </c>
      <c r="I337" s="172">
        <v>14.5</v>
      </c>
    </row>
    <row r="338" spans="2:9" hidden="1" x14ac:dyDescent="0.3">
      <c r="B338" s="172" t="s">
        <v>25</v>
      </c>
      <c r="C338" s="172" t="s">
        <v>79</v>
      </c>
      <c r="D338" s="172" t="s">
        <v>218</v>
      </c>
      <c r="E338" s="172">
        <v>8.9692079525168097E-4</v>
      </c>
      <c r="F338" s="172">
        <v>33</v>
      </c>
      <c r="G338" s="172">
        <v>16</v>
      </c>
      <c r="H338" s="172">
        <v>15</v>
      </c>
      <c r="I338" s="172">
        <v>11</v>
      </c>
    </row>
    <row r="339" spans="2:9" s="172" customFormat="1" hidden="1" x14ac:dyDescent="0.3">
      <c r="B339" s="172" t="s">
        <v>25</v>
      </c>
      <c r="C339" s="172" t="s">
        <v>79</v>
      </c>
      <c r="D339" s="172" t="s">
        <v>221</v>
      </c>
      <c r="E339" s="172">
        <v>2.28374074629154E-4</v>
      </c>
      <c r="F339" s="172">
        <v>19</v>
      </c>
      <c r="G339" s="172">
        <v>0</v>
      </c>
      <c r="H339" s="172">
        <v>4</v>
      </c>
      <c r="I339" s="172">
        <v>11</v>
      </c>
    </row>
    <row r="340" spans="2:9" hidden="1" x14ac:dyDescent="0.3">
      <c r="B340" s="172" t="s">
        <v>25</v>
      </c>
      <c r="C340" s="172" t="s">
        <v>80</v>
      </c>
      <c r="D340" s="172" t="s">
        <v>218</v>
      </c>
      <c r="E340" s="172">
        <v>8.2139317353150396E-4</v>
      </c>
      <c r="F340" s="172">
        <v>30</v>
      </c>
      <c r="G340" s="172">
        <v>16</v>
      </c>
      <c r="H340" s="172">
        <v>0</v>
      </c>
      <c r="I340" s="172">
        <v>11</v>
      </c>
    </row>
    <row r="341" spans="2:9" hidden="1" x14ac:dyDescent="0.3">
      <c r="B341" s="172" t="s">
        <v>25</v>
      </c>
      <c r="C341" s="172" t="s">
        <v>80</v>
      </c>
      <c r="D341" s="172" t="s">
        <v>221</v>
      </c>
      <c r="E341" s="172">
        <v>1.1288933464018E-4</v>
      </c>
      <c r="F341" s="172">
        <v>79</v>
      </c>
      <c r="G341" s="172">
        <v>21</v>
      </c>
      <c r="H341" s="172">
        <v>4</v>
      </c>
      <c r="I341" s="172">
        <v>11</v>
      </c>
    </row>
    <row r="342" spans="2:9" hidden="1" x14ac:dyDescent="0.3">
      <c r="B342" s="172" t="s">
        <v>25</v>
      </c>
      <c r="C342" s="172" t="s">
        <v>81</v>
      </c>
      <c r="D342" s="172" t="s">
        <v>218</v>
      </c>
      <c r="E342" s="172">
        <v>1.70414278197423E-4</v>
      </c>
      <c r="F342" s="172">
        <v>33</v>
      </c>
      <c r="G342" s="172">
        <v>16</v>
      </c>
      <c r="H342" s="172">
        <v>15</v>
      </c>
      <c r="I342" s="172">
        <v>11</v>
      </c>
    </row>
    <row r="343" spans="2:9" s="172" customFormat="1" x14ac:dyDescent="0.3">
      <c r="B343" s="172" t="s">
        <v>25</v>
      </c>
      <c r="C343" s="172" t="s">
        <v>81</v>
      </c>
      <c r="D343" s="172" t="s">
        <v>221</v>
      </c>
      <c r="E343" s="172">
        <v>1.01780191720667E-3</v>
      </c>
      <c r="F343" s="172">
        <v>21</v>
      </c>
      <c r="G343" s="172">
        <v>0</v>
      </c>
      <c r="H343" s="172">
        <v>15</v>
      </c>
      <c r="I343" s="172">
        <v>11</v>
      </c>
    </row>
    <row r="344" spans="2:9" hidden="1" x14ac:dyDescent="0.3">
      <c r="B344" s="172" t="s">
        <v>25</v>
      </c>
      <c r="C344" s="172" t="s">
        <v>82</v>
      </c>
      <c r="D344" s="172" t="s">
        <v>218</v>
      </c>
      <c r="E344" s="172">
        <v>3.3393312668706499E-4</v>
      </c>
      <c r="F344" s="172">
        <v>33</v>
      </c>
      <c r="G344" s="172">
        <v>16</v>
      </c>
      <c r="H344" s="172">
        <v>15</v>
      </c>
      <c r="I344" s="172">
        <v>11</v>
      </c>
    </row>
    <row r="345" spans="2:9" hidden="1" x14ac:dyDescent="0.3">
      <c r="B345" s="172" t="s">
        <v>25</v>
      </c>
      <c r="C345" s="172" t="s">
        <v>82</v>
      </c>
      <c r="D345" s="172" t="s">
        <v>221</v>
      </c>
      <c r="E345" s="172">
        <v>1.2599945900697801E-3</v>
      </c>
      <c r="F345" s="172">
        <v>21</v>
      </c>
      <c r="G345" s="172">
        <v>0</v>
      </c>
      <c r="H345" s="172">
        <v>15</v>
      </c>
      <c r="I345" s="172">
        <v>11</v>
      </c>
    </row>
    <row r="346" spans="2:9" hidden="1" x14ac:dyDescent="0.3">
      <c r="B346" s="172" t="s">
        <v>25</v>
      </c>
      <c r="C346" s="172" t="s">
        <v>246</v>
      </c>
      <c r="D346" s="172" t="s">
        <v>218</v>
      </c>
      <c r="E346" s="172">
        <v>3.0527674152166397E-5</v>
      </c>
      <c r="F346" s="172">
        <v>30</v>
      </c>
      <c r="G346" s="172">
        <v>16</v>
      </c>
      <c r="H346" s="172">
        <v>0</v>
      </c>
      <c r="I346" s="172">
        <v>11</v>
      </c>
    </row>
    <row r="347" spans="2:9" s="172" customFormat="1" hidden="1" x14ac:dyDescent="0.3">
      <c r="B347" s="172" t="s">
        <v>25</v>
      </c>
      <c r="C347" s="172" t="s">
        <v>246</v>
      </c>
      <c r="D347" s="172" t="s">
        <v>221</v>
      </c>
      <c r="E347" s="172">
        <v>1.8139062898654899E-5</v>
      </c>
      <c r="F347" s="172">
        <v>79</v>
      </c>
      <c r="G347" s="172">
        <v>21</v>
      </c>
      <c r="H347" s="172">
        <v>4</v>
      </c>
      <c r="I347" s="172">
        <v>11</v>
      </c>
    </row>
    <row r="348" spans="2:9" hidden="1" x14ac:dyDescent="0.3">
      <c r="B348" s="172" t="s">
        <v>24</v>
      </c>
      <c r="C348" s="172" t="s">
        <v>79</v>
      </c>
      <c r="D348" s="172" t="s">
        <v>218</v>
      </c>
      <c r="E348" s="172">
        <v>9.0266246027092005E-4</v>
      </c>
      <c r="F348" s="172">
        <v>33</v>
      </c>
      <c r="G348" s="172">
        <v>16</v>
      </c>
      <c r="H348" s="172">
        <v>15</v>
      </c>
      <c r="I348" s="172">
        <v>7.5</v>
      </c>
    </row>
    <row r="349" spans="2:9" hidden="1" x14ac:dyDescent="0.3">
      <c r="B349" s="172" t="s">
        <v>24</v>
      </c>
      <c r="C349" s="172" t="s">
        <v>79</v>
      </c>
      <c r="D349" s="172" t="s">
        <v>221</v>
      </c>
      <c r="E349" s="172">
        <v>2.3454403147425099E-4</v>
      </c>
      <c r="F349" s="172">
        <v>21</v>
      </c>
      <c r="G349" s="172">
        <v>0</v>
      </c>
      <c r="H349" s="172">
        <v>15</v>
      </c>
      <c r="I349" s="172">
        <v>7.5</v>
      </c>
    </row>
    <row r="350" spans="2:9" hidden="1" x14ac:dyDescent="0.3">
      <c r="B350" s="172" t="s">
        <v>24</v>
      </c>
      <c r="C350" s="172" t="s">
        <v>80</v>
      </c>
      <c r="D350" s="172" t="s">
        <v>218</v>
      </c>
      <c r="E350" s="172">
        <v>8.1912055875471503E-4</v>
      </c>
      <c r="F350" s="172">
        <v>30</v>
      </c>
      <c r="G350" s="172">
        <v>16</v>
      </c>
      <c r="H350" s="172">
        <v>0</v>
      </c>
      <c r="I350" s="172">
        <v>7.5</v>
      </c>
    </row>
    <row r="351" spans="2:9" s="172" customFormat="1" hidden="1" x14ac:dyDescent="0.3">
      <c r="B351" s="172" t="s">
        <v>24</v>
      </c>
      <c r="C351" s="172" t="s">
        <v>81</v>
      </c>
      <c r="D351" s="172" t="s">
        <v>218</v>
      </c>
      <c r="E351" s="172">
        <v>1.8615784128034601E-4</v>
      </c>
      <c r="F351" s="172">
        <v>33</v>
      </c>
      <c r="G351" s="172">
        <v>16</v>
      </c>
      <c r="H351" s="172">
        <v>15</v>
      </c>
      <c r="I351" s="172">
        <v>7.5</v>
      </c>
    </row>
    <row r="352" spans="2:9" x14ac:dyDescent="0.3">
      <c r="B352" s="172" t="s">
        <v>24</v>
      </c>
      <c r="C352" s="172" t="s">
        <v>81</v>
      </c>
      <c r="D352" s="172" t="s">
        <v>221</v>
      </c>
      <c r="E352" s="172">
        <v>1.0308858376536401E-3</v>
      </c>
      <c r="F352" s="172">
        <v>21</v>
      </c>
      <c r="G352" s="172">
        <v>0</v>
      </c>
      <c r="H352" s="172">
        <v>15</v>
      </c>
      <c r="I352" s="172">
        <v>7.5</v>
      </c>
    </row>
    <row r="353" spans="2:9" hidden="1" x14ac:dyDescent="0.3">
      <c r="B353" s="172" t="s">
        <v>24</v>
      </c>
      <c r="C353" s="172" t="s">
        <v>82</v>
      </c>
      <c r="D353" s="172" t="s">
        <v>218</v>
      </c>
      <c r="E353" s="172">
        <v>3.5195433274329502E-4</v>
      </c>
      <c r="F353" s="172">
        <v>33</v>
      </c>
      <c r="G353" s="172">
        <v>16</v>
      </c>
      <c r="H353" s="172">
        <v>15</v>
      </c>
      <c r="I353" s="172">
        <v>7.5</v>
      </c>
    </row>
    <row r="354" spans="2:9" hidden="1" x14ac:dyDescent="0.3">
      <c r="B354" s="172" t="s">
        <v>24</v>
      </c>
      <c r="C354" s="172" t="s">
        <v>82</v>
      </c>
      <c r="D354" s="172" t="s">
        <v>221</v>
      </c>
      <c r="E354" s="172">
        <v>1.2796001597147799E-3</v>
      </c>
      <c r="F354" s="172">
        <v>21</v>
      </c>
      <c r="G354" s="172">
        <v>0</v>
      </c>
      <c r="H354" s="172">
        <v>15</v>
      </c>
      <c r="I354" s="172">
        <v>7.5</v>
      </c>
    </row>
    <row r="355" spans="2:9" s="172" customFormat="1" hidden="1" x14ac:dyDescent="0.3">
      <c r="B355" s="172" t="s">
        <v>24</v>
      </c>
      <c r="C355" s="172" t="s">
        <v>246</v>
      </c>
      <c r="D355" s="172" t="s">
        <v>218</v>
      </c>
      <c r="E355" s="172">
        <v>1.10554273334904E-5</v>
      </c>
      <c r="F355" s="172">
        <v>30</v>
      </c>
      <c r="G355" s="172">
        <v>16</v>
      </c>
      <c r="H355" s="172">
        <v>0</v>
      </c>
      <c r="I355" s="172">
        <v>7.5</v>
      </c>
    </row>
    <row r="356" spans="2:9" hidden="1" x14ac:dyDescent="0.3">
      <c r="B356" s="172" t="s">
        <v>24</v>
      </c>
      <c r="C356" s="172" t="s">
        <v>246</v>
      </c>
      <c r="D356" s="172" t="s">
        <v>221</v>
      </c>
      <c r="E356" s="172">
        <v>1.7909294253944599E-5</v>
      </c>
      <c r="F356" s="172">
        <v>79</v>
      </c>
      <c r="G356" s="172">
        <v>21</v>
      </c>
      <c r="H356" s="172">
        <v>4</v>
      </c>
      <c r="I356" s="172">
        <v>7.5</v>
      </c>
    </row>
    <row r="357" spans="2:9" hidden="1" x14ac:dyDescent="0.3">
      <c r="B357" s="172" t="s">
        <v>22</v>
      </c>
      <c r="C357" s="172" t="s">
        <v>79</v>
      </c>
      <c r="D357" s="172" t="s">
        <v>218</v>
      </c>
      <c r="E357" s="172">
        <v>7.6444063787450595E-4</v>
      </c>
      <c r="F357" s="172">
        <v>33</v>
      </c>
      <c r="G357" s="172">
        <v>16</v>
      </c>
      <c r="H357" s="172">
        <v>15</v>
      </c>
      <c r="I357" s="172">
        <v>4</v>
      </c>
    </row>
    <row r="358" spans="2:9" hidden="1" x14ac:dyDescent="0.3">
      <c r="B358" s="172" t="s">
        <v>22</v>
      </c>
      <c r="C358" s="172" t="s">
        <v>79</v>
      </c>
      <c r="D358" s="172" t="s">
        <v>221</v>
      </c>
      <c r="E358" s="172">
        <v>1.8339108764142399E-4</v>
      </c>
      <c r="F358" s="172">
        <v>21</v>
      </c>
      <c r="G358" s="172">
        <v>0</v>
      </c>
      <c r="H358" s="172">
        <v>15</v>
      </c>
      <c r="I358" s="172">
        <v>4</v>
      </c>
    </row>
    <row r="359" spans="2:9" s="172" customFormat="1" hidden="1" x14ac:dyDescent="0.3">
      <c r="B359" s="172" t="s">
        <v>22</v>
      </c>
      <c r="C359" s="172" t="s">
        <v>80</v>
      </c>
      <c r="D359" s="172" t="s">
        <v>218</v>
      </c>
      <c r="E359" s="172">
        <v>7.0825963869582597E-4</v>
      </c>
      <c r="F359" s="172">
        <v>30</v>
      </c>
      <c r="G359" s="172">
        <v>16</v>
      </c>
      <c r="H359" s="172">
        <v>0</v>
      </c>
      <c r="I359" s="172">
        <v>4</v>
      </c>
    </row>
    <row r="360" spans="2:9" hidden="1" x14ac:dyDescent="0.3">
      <c r="B360" s="172" t="s">
        <v>22</v>
      </c>
      <c r="C360" s="172" t="s">
        <v>81</v>
      </c>
      <c r="D360" s="172" t="s">
        <v>218</v>
      </c>
      <c r="E360" s="172">
        <v>1.7091123598821201E-4</v>
      </c>
      <c r="F360" s="172">
        <v>33</v>
      </c>
      <c r="G360" s="172">
        <v>16</v>
      </c>
      <c r="H360" s="172">
        <v>15</v>
      </c>
      <c r="I360" s="172">
        <v>4</v>
      </c>
    </row>
    <row r="361" spans="2:9" x14ac:dyDescent="0.3">
      <c r="B361" s="172" t="s">
        <v>22</v>
      </c>
      <c r="C361" s="172" t="s">
        <v>81</v>
      </c>
      <c r="D361" s="172" t="s">
        <v>221</v>
      </c>
      <c r="E361" s="172">
        <v>8.2917058985094701E-4</v>
      </c>
      <c r="F361" s="172">
        <v>21</v>
      </c>
      <c r="G361" s="172">
        <v>0</v>
      </c>
      <c r="H361" s="172">
        <v>15</v>
      </c>
      <c r="I361" s="172">
        <v>4</v>
      </c>
    </row>
    <row r="362" spans="2:9" hidden="1" x14ac:dyDescent="0.3">
      <c r="B362" s="172" t="s">
        <v>22</v>
      </c>
      <c r="C362" s="172" t="s">
        <v>82</v>
      </c>
      <c r="D362" s="172" t="s">
        <v>218</v>
      </c>
      <c r="E362" s="172">
        <v>3.0318123258570701E-4</v>
      </c>
      <c r="F362" s="172">
        <v>33</v>
      </c>
      <c r="G362" s="172">
        <v>16</v>
      </c>
      <c r="H362" s="172">
        <v>15</v>
      </c>
      <c r="I362" s="172">
        <v>4</v>
      </c>
    </row>
    <row r="363" spans="2:9" hidden="1" x14ac:dyDescent="0.3">
      <c r="B363" s="172" t="s">
        <v>22</v>
      </c>
      <c r="C363" s="172" t="s">
        <v>82</v>
      </c>
      <c r="D363" s="172" t="s">
        <v>221</v>
      </c>
      <c r="E363" s="172">
        <v>1.0335777579292601E-3</v>
      </c>
      <c r="F363" s="172">
        <v>21</v>
      </c>
      <c r="G363" s="172">
        <v>0</v>
      </c>
      <c r="H363" s="172">
        <v>15</v>
      </c>
      <c r="I363" s="172">
        <v>4</v>
      </c>
    </row>
    <row r="364" spans="2:9" hidden="1" x14ac:dyDescent="0.3">
      <c r="B364" s="172" t="s">
        <v>22</v>
      </c>
      <c r="C364" s="172" t="s">
        <v>246</v>
      </c>
      <c r="D364" s="172" t="s">
        <v>218</v>
      </c>
      <c r="E364" s="172">
        <v>3.8620355312431901E-5</v>
      </c>
      <c r="F364" s="172">
        <v>33</v>
      </c>
      <c r="G364" s="172">
        <v>16</v>
      </c>
      <c r="H364" s="172">
        <v>15</v>
      </c>
      <c r="I364" s="172">
        <v>4</v>
      </c>
    </row>
    <row r="365" spans="2:9" hidden="1" x14ac:dyDescent="0.3">
      <c r="B365" s="172" t="s">
        <v>22</v>
      </c>
      <c r="C365" s="172" t="s">
        <v>246</v>
      </c>
      <c r="D365" s="172" t="s">
        <v>221</v>
      </c>
      <c r="E365" s="172">
        <v>2.1539483256531398E-5</v>
      </c>
      <c r="F365" s="172">
        <v>79</v>
      </c>
      <c r="G365" s="172">
        <v>21</v>
      </c>
      <c r="H365" s="172">
        <v>4</v>
      </c>
      <c r="I365" s="172">
        <v>4</v>
      </c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3.4891847500224401E-4</v>
      </c>
      <c r="F402" s="172">
        <v>64</v>
      </c>
      <c r="G402" s="172">
        <v>21</v>
      </c>
      <c r="H402" s="172">
        <v>8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3.5713137482635198E-4</v>
      </c>
      <c r="F403" s="172">
        <v>107</v>
      </c>
      <c r="G403" s="172">
        <v>16</v>
      </c>
      <c r="H403" s="172">
        <v>4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221</v>
      </c>
      <c r="E404" s="172">
        <v>6.7969045232585499E-5</v>
      </c>
      <c r="F404" s="172">
        <v>79</v>
      </c>
      <c r="G404" s="172">
        <v>21</v>
      </c>
      <c r="H404" s="172">
        <v>4</v>
      </c>
      <c r="I404" s="172">
        <v>38.5</v>
      </c>
    </row>
    <row r="405" spans="2:9" hidden="1" x14ac:dyDescent="0.3">
      <c r="B405" s="172" t="s">
        <v>189</v>
      </c>
      <c r="C405" s="172" t="s">
        <v>81</v>
      </c>
      <c r="D405" s="172" t="s">
        <v>221</v>
      </c>
      <c r="E405" s="172">
        <v>4.2258061159154502E-4</v>
      </c>
      <c r="F405" s="172">
        <v>79</v>
      </c>
      <c r="G405" s="172">
        <v>21</v>
      </c>
      <c r="H405" s="172">
        <v>4</v>
      </c>
      <c r="I405" s="172">
        <v>38.5</v>
      </c>
    </row>
    <row r="406" spans="2:9" x14ac:dyDescent="0.3">
      <c r="B406" s="172" t="s">
        <v>189</v>
      </c>
      <c r="C406" s="172" t="s">
        <v>82</v>
      </c>
      <c r="D406" s="172" t="s">
        <v>221</v>
      </c>
      <c r="E406" s="172">
        <v>3.5702584716117998E-4</v>
      </c>
      <c r="F406" s="172">
        <v>79</v>
      </c>
      <c r="G406" s="172">
        <v>21</v>
      </c>
      <c r="H406" s="172">
        <v>4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218</v>
      </c>
      <c r="E407" s="172">
        <v>2.40779164119877E-4</v>
      </c>
      <c r="F407" s="172">
        <v>107</v>
      </c>
      <c r="G407" s="172">
        <v>16</v>
      </c>
      <c r="H407" s="172">
        <v>4</v>
      </c>
      <c r="I407" s="172">
        <v>38.5</v>
      </c>
    </row>
    <row r="408" spans="2:9" hidden="1" x14ac:dyDescent="0.3">
      <c r="B408" s="172" t="s">
        <v>187</v>
      </c>
      <c r="C408" s="172" t="s">
        <v>79</v>
      </c>
      <c r="D408" s="172" t="s">
        <v>218</v>
      </c>
      <c r="E408" s="172">
        <v>2.9729719020979E-4</v>
      </c>
      <c r="F408" s="172">
        <v>33</v>
      </c>
      <c r="G408" s="172">
        <v>16</v>
      </c>
      <c r="H408" s="172">
        <v>15</v>
      </c>
      <c r="I408" s="172">
        <v>35.5</v>
      </c>
    </row>
    <row r="409" spans="2:9" hidden="1" x14ac:dyDescent="0.3">
      <c r="B409" s="172" t="s">
        <v>187</v>
      </c>
      <c r="C409" s="172" t="s">
        <v>79</v>
      </c>
      <c r="D409" s="172" t="s">
        <v>221</v>
      </c>
      <c r="E409" s="172">
        <v>5.0411363823276501E-5</v>
      </c>
      <c r="F409" s="172">
        <v>19</v>
      </c>
      <c r="G409" s="172">
        <v>0</v>
      </c>
      <c r="H409" s="172">
        <v>4</v>
      </c>
      <c r="I409" s="172">
        <v>35.5</v>
      </c>
    </row>
    <row r="410" spans="2:9" hidden="1" x14ac:dyDescent="0.3">
      <c r="B410" s="172" t="s">
        <v>187</v>
      </c>
      <c r="C410" s="172" t="s">
        <v>80</v>
      </c>
      <c r="D410" s="172" t="s">
        <v>218</v>
      </c>
      <c r="E410" s="172">
        <v>3.1034715957626002E-4</v>
      </c>
      <c r="F410" s="172">
        <v>30</v>
      </c>
      <c r="G410" s="172">
        <v>16</v>
      </c>
      <c r="H410" s="172">
        <v>0</v>
      </c>
      <c r="I410" s="172">
        <v>35.5</v>
      </c>
    </row>
    <row r="411" spans="2:9" hidden="1" x14ac:dyDescent="0.3">
      <c r="B411" s="172" t="s">
        <v>187</v>
      </c>
      <c r="C411" s="172" t="s">
        <v>80</v>
      </c>
      <c r="D411" s="172" t="s">
        <v>221</v>
      </c>
      <c r="E411" s="172">
        <v>7.2642647219874307E-5</v>
      </c>
      <c r="F411" s="172">
        <v>79</v>
      </c>
      <c r="G411" s="172">
        <v>21</v>
      </c>
      <c r="H411" s="172">
        <v>4</v>
      </c>
      <c r="I411" s="172">
        <v>35.5</v>
      </c>
    </row>
    <row r="412" spans="2:9" hidden="1" x14ac:dyDescent="0.3">
      <c r="B412" s="172" t="s">
        <v>187</v>
      </c>
      <c r="C412" s="172" t="s">
        <v>81</v>
      </c>
      <c r="D412" s="172" t="s">
        <v>221</v>
      </c>
      <c r="E412" s="172">
        <v>3.9831384449833998E-4</v>
      </c>
      <c r="F412" s="172">
        <v>79</v>
      </c>
      <c r="G412" s="172">
        <v>21</v>
      </c>
      <c r="H412" s="172">
        <v>4</v>
      </c>
      <c r="I412" s="172">
        <v>35.5</v>
      </c>
    </row>
    <row r="413" spans="2:9" x14ac:dyDescent="0.3">
      <c r="B413" s="172" t="s">
        <v>187</v>
      </c>
      <c r="C413" s="172" t="s">
        <v>82</v>
      </c>
      <c r="D413" s="172" t="s">
        <v>221</v>
      </c>
      <c r="E413" s="172">
        <v>3.7252754569452699E-4</v>
      </c>
      <c r="F413" s="172">
        <v>21</v>
      </c>
      <c r="G413" s="172">
        <v>0</v>
      </c>
      <c r="H413" s="172">
        <v>15</v>
      </c>
      <c r="I413" s="172">
        <v>35.5</v>
      </c>
    </row>
    <row r="414" spans="2:9" hidden="1" x14ac:dyDescent="0.3">
      <c r="B414" s="172" t="s">
        <v>187</v>
      </c>
      <c r="C414" s="172" t="s">
        <v>246</v>
      </c>
      <c r="D414" s="172" t="s">
        <v>218</v>
      </c>
      <c r="E414" s="172">
        <v>7.9338024428887697E-5</v>
      </c>
      <c r="F414" s="172">
        <v>30</v>
      </c>
      <c r="G414" s="172">
        <v>16</v>
      </c>
      <c r="H414" s="172">
        <v>0</v>
      </c>
      <c r="I414" s="172">
        <v>35.5</v>
      </c>
    </row>
    <row r="415" spans="2:9" hidden="1" x14ac:dyDescent="0.3">
      <c r="B415" s="172" t="s">
        <v>187</v>
      </c>
      <c r="C415" s="172" t="s">
        <v>246</v>
      </c>
      <c r="D415" s="172" t="s">
        <v>221</v>
      </c>
      <c r="E415" s="172">
        <v>1.3099907889357001E-5</v>
      </c>
      <c r="F415" s="172">
        <v>79</v>
      </c>
      <c r="G415" s="172">
        <v>21</v>
      </c>
      <c r="H415" s="172">
        <v>4</v>
      </c>
      <c r="I415" s="172">
        <v>35.5</v>
      </c>
    </row>
    <row r="416" spans="2:9" hidden="1" x14ac:dyDescent="0.3">
      <c r="B416" s="172" t="s">
        <v>185</v>
      </c>
      <c r="C416" s="172" t="s">
        <v>79</v>
      </c>
      <c r="D416" s="172" t="s">
        <v>218</v>
      </c>
      <c r="E416" s="172">
        <v>4.40776416771831E-4</v>
      </c>
      <c r="F416" s="172">
        <v>33</v>
      </c>
      <c r="G416" s="172">
        <v>16</v>
      </c>
      <c r="H416" s="172">
        <v>15</v>
      </c>
      <c r="I416" s="172">
        <v>32</v>
      </c>
    </row>
    <row r="417" spans="2:9" hidden="1" x14ac:dyDescent="0.3">
      <c r="B417" s="172" t="s">
        <v>185</v>
      </c>
      <c r="C417" s="172" t="s">
        <v>79</v>
      </c>
      <c r="D417" s="172" t="s">
        <v>221</v>
      </c>
      <c r="E417" s="172">
        <v>8.6180804782694795E-5</v>
      </c>
      <c r="F417" s="172">
        <v>20</v>
      </c>
      <c r="G417" s="172">
        <v>0</v>
      </c>
      <c r="H417" s="172">
        <v>11</v>
      </c>
      <c r="I417" s="172">
        <v>32</v>
      </c>
    </row>
    <row r="418" spans="2:9" hidden="1" x14ac:dyDescent="0.3">
      <c r="B418" s="172" t="s">
        <v>185</v>
      </c>
      <c r="C418" s="172" t="s">
        <v>80</v>
      </c>
      <c r="D418" s="172" t="s">
        <v>218</v>
      </c>
      <c r="E418" s="172">
        <v>4.4169600823424997E-4</v>
      </c>
      <c r="F418" s="172">
        <v>30</v>
      </c>
      <c r="G418" s="172">
        <v>16</v>
      </c>
      <c r="H418" s="172">
        <v>0</v>
      </c>
      <c r="I418" s="172">
        <v>32</v>
      </c>
    </row>
    <row r="419" spans="2:9" hidden="1" x14ac:dyDescent="0.3">
      <c r="B419" s="172" t="s">
        <v>185</v>
      </c>
      <c r="C419" s="172" t="s">
        <v>80</v>
      </c>
      <c r="D419" s="172" t="s">
        <v>221</v>
      </c>
      <c r="E419" s="172">
        <v>8.9609509053140504E-5</v>
      </c>
      <c r="F419" s="172">
        <v>79</v>
      </c>
      <c r="G419" s="172">
        <v>21</v>
      </c>
      <c r="H419" s="172">
        <v>4</v>
      </c>
      <c r="I419" s="172">
        <v>32</v>
      </c>
    </row>
    <row r="420" spans="2:9" hidden="1" x14ac:dyDescent="0.3">
      <c r="B420" s="172" t="s">
        <v>185</v>
      </c>
      <c r="C420" s="172" t="s">
        <v>81</v>
      </c>
      <c r="D420" s="172" t="s">
        <v>221</v>
      </c>
      <c r="E420" s="172">
        <v>5.1181920129710805E-4</v>
      </c>
      <c r="F420" s="172">
        <v>79</v>
      </c>
      <c r="G420" s="172">
        <v>21</v>
      </c>
      <c r="H420" s="172">
        <v>4</v>
      </c>
      <c r="I420" s="172">
        <v>32</v>
      </c>
    </row>
    <row r="421" spans="2:9" x14ac:dyDescent="0.3">
      <c r="B421" s="172" t="s">
        <v>185</v>
      </c>
      <c r="C421" s="172" t="s">
        <v>82</v>
      </c>
      <c r="D421" s="172" t="s">
        <v>221</v>
      </c>
      <c r="E421" s="172">
        <v>5.7054094587088305E-4</v>
      </c>
      <c r="F421" s="172">
        <v>21</v>
      </c>
      <c r="G421" s="172">
        <v>0</v>
      </c>
      <c r="H421" s="172">
        <v>15</v>
      </c>
      <c r="I421" s="172">
        <v>32</v>
      </c>
    </row>
    <row r="422" spans="2:9" hidden="1" x14ac:dyDescent="0.3">
      <c r="B422" s="172" t="s">
        <v>185</v>
      </c>
      <c r="C422" s="172" t="s">
        <v>246</v>
      </c>
      <c r="D422" s="172" t="s">
        <v>218</v>
      </c>
      <c r="E422" s="172">
        <v>8.4391504713308201E-5</v>
      </c>
      <c r="F422" s="172">
        <v>30</v>
      </c>
      <c r="G422" s="172">
        <v>16</v>
      </c>
      <c r="H422" s="172">
        <v>0</v>
      </c>
      <c r="I422" s="172">
        <v>32</v>
      </c>
    </row>
    <row r="423" spans="2:9" hidden="1" x14ac:dyDescent="0.3">
      <c r="B423" s="172" t="s">
        <v>185</v>
      </c>
      <c r="C423" s="172" t="s">
        <v>246</v>
      </c>
      <c r="D423" s="172" t="s">
        <v>221</v>
      </c>
      <c r="E423" s="172">
        <v>2.0016713910060601E-5</v>
      </c>
      <c r="F423" s="172">
        <v>79</v>
      </c>
      <c r="G423" s="172">
        <v>21</v>
      </c>
      <c r="H423" s="172">
        <v>4</v>
      </c>
      <c r="I423" s="172">
        <v>32</v>
      </c>
    </row>
    <row r="424" spans="2:9" hidden="1" x14ac:dyDescent="0.3">
      <c r="B424" s="172" t="s">
        <v>183</v>
      </c>
      <c r="C424" s="172" t="s">
        <v>79</v>
      </c>
      <c r="D424" s="172" t="s">
        <v>218</v>
      </c>
      <c r="E424" s="172">
        <v>5.6839478780654695E-4</v>
      </c>
      <c r="F424" s="172">
        <v>33</v>
      </c>
      <c r="G424" s="172">
        <v>16</v>
      </c>
      <c r="H424" s="172">
        <v>15</v>
      </c>
      <c r="I424" s="172">
        <v>28.5</v>
      </c>
    </row>
    <row r="425" spans="2:9" hidden="1" x14ac:dyDescent="0.3">
      <c r="B425" s="172" t="s">
        <v>183</v>
      </c>
      <c r="C425" s="172" t="s">
        <v>79</v>
      </c>
      <c r="D425" s="172" t="s">
        <v>221</v>
      </c>
      <c r="E425" s="172">
        <v>1.20271847549277E-4</v>
      </c>
      <c r="F425" s="172">
        <v>21</v>
      </c>
      <c r="G425" s="172">
        <v>0</v>
      </c>
      <c r="H425" s="172">
        <v>15</v>
      </c>
      <c r="I425" s="172">
        <v>28.5</v>
      </c>
    </row>
    <row r="426" spans="2:9" hidden="1" x14ac:dyDescent="0.3">
      <c r="B426" s="172" t="s">
        <v>183</v>
      </c>
      <c r="C426" s="172" t="s">
        <v>80</v>
      </c>
      <c r="D426" s="172" t="s">
        <v>218</v>
      </c>
      <c r="E426" s="172">
        <v>5.5499451901086896E-4</v>
      </c>
      <c r="F426" s="172">
        <v>30</v>
      </c>
      <c r="G426" s="172">
        <v>16</v>
      </c>
      <c r="H426" s="172">
        <v>0</v>
      </c>
      <c r="I426" s="172">
        <v>28.5</v>
      </c>
    </row>
    <row r="427" spans="2:9" hidden="1" x14ac:dyDescent="0.3">
      <c r="B427" s="172" t="s">
        <v>183</v>
      </c>
      <c r="C427" s="172" t="s">
        <v>80</v>
      </c>
      <c r="D427" s="172" t="s">
        <v>221</v>
      </c>
      <c r="E427" s="172">
        <v>1.01663401092934E-4</v>
      </c>
      <c r="F427" s="172">
        <v>79</v>
      </c>
      <c r="G427" s="172">
        <v>21</v>
      </c>
      <c r="H427" s="172">
        <v>4</v>
      </c>
      <c r="I427" s="172">
        <v>28.5</v>
      </c>
    </row>
    <row r="428" spans="2:9" hidden="1" x14ac:dyDescent="0.3">
      <c r="B428" s="172" t="s">
        <v>183</v>
      </c>
      <c r="C428" s="172" t="s">
        <v>81</v>
      </c>
      <c r="D428" s="172" t="s">
        <v>221</v>
      </c>
      <c r="E428" s="172">
        <v>6.1505724869407295E-4</v>
      </c>
      <c r="F428" s="172">
        <v>21</v>
      </c>
      <c r="G428" s="172">
        <v>0</v>
      </c>
      <c r="H428" s="172">
        <v>15</v>
      </c>
      <c r="I428" s="172">
        <v>28.5</v>
      </c>
    </row>
    <row r="429" spans="2:9" x14ac:dyDescent="0.3">
      <c r="B429" s="172" t="s">
        <v>183</v>
      </c>
      <c r="C429" s="172" t="s">
        <v>82</v>
      </c>
      <c r="D429" s="172" t="s">
        <v>221</v>
      </c>
      <c r="E429" s="172">
        <v>7.5166795159927304E-4</v>
      </c>
      <c r="F429" s="172">
        <v>21</v>
      </c>
      <c r="G429" s="172">
        <v>0</v>
      </c>
      <c r="H429" s="172">
        <v>15</v>
      </c>
      <c r="I429" s="172">
        <v>28.5</v>
      </c>
    </row>
    <row r="430" spans="2:9" hidden="1" x14ac:dyDescent="0.3">
      <c r="B430" s="172" t="s">
        <v>183</v>
      </c>
      <c r="C430" s="172" t="s">
        <v>246</v>
      </c>
      <c r="D430" s="172" t="s">
        <v>218</v>
      </c>
      <c r="E430" s="172">
        <v>7.9870492623375895E-5</v>
      </c>
      <c r="F430" s="172">
        <v>30</v>
      </c>
      <c r="G430" s="172">
        <v>16</v>
      </c>
      <c r="H430" s="172">
        <v>0</v>
      </c>
      <c r="I430" s="172">
        <v>28.5</v>
      </c>
    </row>
    <row r="431" spans="2:9" hidden="1" x14ac:dyDescent="0.3">
      <c r="B431" s="172" t="s">
        <v>183</v>
      </c>
      <c r="C431" s="172" t="s">
        <v>246</v>
      </c>
      <c r="D431" s="172" t="s">
        <v>221</v>
      </c>
      <c r="E431" s="172">
        <v>2.0048982301477699E-5</v>
      </c>
      <c r="F431" s="172">
        <v>79</v>
      </c>
      <c r="G431" s="172">
        <v>21</v>
      </c>
      <c r="H431" s="172">
        <v>4</v>
      </c>
      <c r="I431" s="172">
        <v>28.5</v>
      </c>
    </row>
    <row r="432" spans="2:9" hidden="1" x14ac:dyDescent="0.3">
      <c r="B432" s="172" t="s">
        <v>181</v>
      </c>
      <c r="C432" s="172" t="s">
        <v>79</v>
      </c>
      <c r="D432" s="172" t="s">
        <v>218</v>
      </c>
      <c r="E432" s="172">
        <v>6.7561736359901504E-4</v>
      </c>
      <c r="F432" s="172">
        <v>33</v>
      </c>
      <c r="G432" s="172">
        <v>16</v>
      </c>
      <c r="H432" s="172">
        <v>15</v>
      </c>
      <c r="I432" s="172">
        <v>25</v>
      </c>
    </row>
    <row r="433" spans="2:9" hidden="1" x14ac:dyDescent="0.3">
      <c r="B433" s="172" t="s">
        <v>181</v>
      </c>
      <c r="C433" s="172" t="s">
        <v>79</v>
      </c>
      <c r="D433" s="172" t="s">
        <v>221</v>
      </c>
      <c r="E433" s="172">
        <v>1.4925618250633899E-4</v>
      </c>
      <c r="F433" s="172">
        <v>21</v>
      </c>
      <c r="G433" s="172">
        <v>0</v>
      </c>
      <c r="H433" s="172">
        <v>15</v>
      </c>
      <c r="I433" s="172">
        <v>25</v>
      </c>
    </row>
    <row r="434" spans="2:9" hidden="1" x14ac:dyDescent="0.3">
      <c r="B434" s="172" t="s">
        <v>181</v>
      </c>
      <c r="C434" s="172" t="s">
        <v>80</v>
      </c>
      <c r="D434" s="172" t="s">
        <v>218</v>
      </c>
      <c r="E434" s="172">
        <v>6.49653418379528E-4</v>
      </c>
      <c r="F434" s="172">
        <v>30</v>
      </c>
      <c r="G434" s="172">
        <v>16</v>
      </c>
      <c r="H434" s="172">
        <v>0</v>
      </c>
      <c r="I434" s="172">
        <v>25</v>
      </c>
    </row>
    <row r="435" spans="2:9" hidden="1" x14ac:dyDescent="0.3">
      <c r="B435" s="172" t="s">
        <v>181</v>
      </c>
      <c r="C435" s="172" t="s">
        <v>80</v>
      </c>
      <c r="D435" s="172" t="s">
        <v>221</v>
      </c>
      <c r="E435" s="172">
        <v>1.11288511501351E-4</v>
      </c>
      <c r="F435" s="172">
        <v>79</v>
      </c>
      <c r="G435" s="172">
        <v>21</v>
      </c>
      <c r="H435" s="172">
        <v>4</v>
      </c>
      <c r="I435" s="172">
        <v>25</v>
      </c>
    </row>
    <row r="436" spans="2:9" hidden="1" x14ac:dyDescent="0.3">
      <c r="B436" s="172" t="s">
        <v>181</v>
      </c>
      <c r="C436" s="172" t="s">
        <v>81</v>
      </c>
      <c r="D436" s="172" t="s">
        <v>221</v>
      </c>
      <c r="E436" s="172">
        <v>7.3402656507011595E-4</v>
      </c>
      <c r="F436" s="172">
        <v>21</v>
      </c>
      <c r="G436" s="172">
        <v>0</v>
      </c>
      <c r="H436" s="172">
        <v>15</v>
      </c>
      <c r="I436" s="172">
        <v>25</v>
      </c>
    </row>
    <row r="437" spans="2:9" hidden="1" x14ac:dyDescent="0.3">
      <c r="B437" s="172" t="s">
        <v>181</v>
      </c>
      <c r="C437" s="172" t="s">
        <v>82</v>
      </c>
      <c r="D437" s="172" t="s">
        <v>218</v>
      </c>
      <c r="E437" s="172">
        <v>2.02407313026584E-4</v>
      </c>
      <c r="F437" s="172">
        <v>33</v>
      </c>
      <c r="G437" s="172">
        <v>16</v>
      </c>
      <c r="H437" s="172">
        <v>15</v>
      </c>
      <c r="I437" s="172">
        <v>25</v>
      </c>
    </row>
    <row r="438" spans="2:9" x14ac:dyDescent="0.3">
      <c r="B438" s="172" t="s">
        <v>181</v>
      </c>
      <c r="C438" s="172" t="s">
        <v>82</v>
      </c>
      <c r="D438" s="172" t="s">
        <v>221</v>
      </c>
      <c r="E438" s="172">
        <v>9.0077054706231598E-4</v>
      </c>
      <c r="F438" s="172">
        <v>21</v>
      </c>
      <c r="G438" s="172">
        <v>0</v>
      </c>
      <c r="H438" s="172">
        <v>15</v>
      </c>
      <c r="I438" s="172">
        <v>25</v>
      </c>
    </row>
    <row r="439" spans="2:9" hidden="1" x14ac:dyDescent="0.3">
      <c r="B439" s="172" t="s">
        <v>181</v>
      </c>
      <c r="C439" s="172" t="s">
        <v>246</v>
      </c>
      <c r="D439" s="172" t="s">
        <v>218</v>
      </c>
      <c r="E439" s="172">
        <v>7.4392873220720899E-5</v>
      </c>
      <c r="F439" s="172">
        <v>30</v>
      </c>
      <c r="G439" s="172">
        <v>16</v>
      </c>
      <c r="H439" s="172">
        <v>0</v>
      </c>
      <c r="I439" s="172">
        <v>25</v>
      </c>
    </row>
    <row r="440" spans="2:9" hidden="1" x14ac:dyDescent="0.3">
      <c r="B440" s="172" t="s">
        <v>181</v>
      </c>
      <c r="C440" s="172" t="s">
        <v>246</v>
      </c>
      <c r="D440" s="172" t="s">
        <v>221</v>
      </c>
      <c r="E440" s="172">
        <v>2.02249103734263E-5</v>
      </c>
      <c r="F440" s="172">
        <v>79</v>
      </c>
      <c r="G440" s="172">
        <v>21</v>
      </c>
      <c r="H440" s="172">
        <v>4</v>
      </c>
      <c r="I440" s="172">
        <v>25</v>
      </c>
    </row>
    <row r="441" spans="2:9" hidden="1" x14ac:dyDescent="0.3">
      <c r="B441" s="172" t="s">
        <v>179</v>
      </c>
      <c r="C441" s="172" t="s">
        <v>79</v>
      </c>
      <c r="D441" s="172" t="s">
        <v>218</v>
      </c>
      <c r="E441" s="172">
        <v>7.6340762765778601E-4</v>
      </c>
      <c r="F441" s="172">
        <v>33</v>
      </c>
      <c r="G441" s="172">
        <v>16</v>
      </c>
      <c r="H441" s="172">
        <v>15</v>
      </c>
      <c r="I441" s="172">
        <v>21.5</v>
      </c>
    </row>
    <row r="442" spans="2:9" hidden="1" x14ac:dyDescent="0.3">
      <c r="B442" s="172" t="s">
        <v>179</v>
      </c>
      <c r="C442" s="172" t="s">
        <v>79</v>
      </c>
      <c r="D442" s="172" t="s">
        <v>221</v>
      </c>
      <c r="E442" s="172">
        <v>1.7390352178134899E-4</v>
      </c>
      <c r="F442" s="172">
        <v>21</v>
      </c>
      <c r="G442" s="172">
        <v>0</v>
      </c>
      <c r="H442" s="172">
        <v>15</v>
      </c>
      <c r="I442" s="172">
        <v>21.5</v>
      </c>
    </row>
    <row r="443" spans="2:9" hidden="1" x14ac:dyDescent="0.3">
      <c r="B443" s="172" t="s">
        <v>179</v>
      </c>
      <c r="C443" s="172" t="s">
        <v>80</v>
      </c>
      <c r="D443" s="172" t="s">
        <v>218</v>
      </c>
      <c r="E443" s="172">
        <v>7.26068605244553E-4</v>
      </c>
      <c r="F443" s="172">
        <v>30</v>
      </c>
      <c r="G443" s="172">
        <v>16</v>
      </c>
      <c r="H443" s="172">
        <v>0</v>
      </c>
      <c r="I443" s="172">
        <v>21.5</v>
      </c>
    </row>
    <row r="444" spans="2:9" hidden="1" x14ac:dyDescent="0.3">
      <c r="B444" s="172" t="s">
        <v>179</v>
      </c>
      <c r="C444" s="172" t="s">
        <v>80</v>
      </c>
      <c r="D444" s="172" t="s">
        <v>221</v>
      </c>
      <c r="E444" s="172">
        <v>1.18294719397362E-4</v>
      </c>
      <c r="F444" s="172">
        <v>79</v>
      </c>
      <c r="G444" s="172">
        <v>21</v>
      </c>
      <c r="H444" s="172">
        <v>4</v>
      </c>
      <c r="I444" s="172">
        <v>21.5</v>
      </c>
    </row>
    <row r="445" spans="2:9" hidden="1" x14ac:dyDescent="0.3">
      <c r="B445" s="172" t="s">
        <v>179</v>
      </c>
      <c r="C445" s="172" t="s">
        <v>81</v>
      </c>
      <c r="D445" s="172" t="s">
        <v>221</v>
      </c>
      <c r="E445" s="172">
        <v>8.3091603464959104E-4</v>
      </c>
      <c r="F445" s="172">
        <v>21</v>
      </c>
      <c r="G445" s="172">
        <v>0</v>
      </c>
      <c r="H445" s="172">
        <v>15</v>
      </c>
      <c r="I445" s="172">
        <v>21.5</v>
      </c>
    </row>
    <row r="446" spans="2:9" hidden="1" x14ac:dyDescent="0.3">
      <c r="B446" s="172" t="s">
        <v>179</v>
      </c>
      <c r="C446" s="172" t="s">
        <v>82</v>
      </c>
      <c r="D446" s="172" t="s">
        <v>218</v>
      </c>
      <c r="E446" s="172">
        <v>2.4109793052707899E-4</v>
      </c>
      <c r="F446" s="172">
        <v>33</v>
      </c>
      <c r="G446" s="172">
        <v>16</v>
      </c>
      <c r="H446" s="172">
        <v>15</v>
      </c>
      <c r="I446" s="172">
        <v>21.5</v>
      </c>
    </row>
    <row r="447" spans="2:9" x14ac:dyDescent="0.3">
      <c r="B447" s="172" t="s">
        <v>179</v>
      </c>
      <c r="C447" s="172" t="s">
        <v>82</v>
      </c>
      <c r="D447" s="172" t="s">
        <v>221</v>
      </c>
      <c r="E447" s="172">
        <v>1.0226772280882801E-3</v>
      </c>
      <c r="F447" s="172">
        <v>21</v>
      </c>
      <c r="G447" s="172">
        <v>0</v>
      </c>
      <c r="H447" s="172">
        <v>15</v>
      </c>
      <c r="I447" s="172">
        <v>21.5</v>
      </c>
    </row>
    <row r="448" spans="2:9" hidden="1" x14ac:dyDescent="0.3">
      <c r="B448" s="172" t="s">
        <v>179</v>
      </c>
      <c r="C448" s="172" t="s">
        <v>246</v>
      </c>
      <c r="D448" s="172" t="s">
        <v>218</v>
      </c>
      <c r="E448" s="172">
        <v>6.7308549607908501E-5</v>
      </c>
      <c r="F448" s="172">
        <v>30</v>
      </c>
      <c r="G448" s="172">
        <v>16</v>
      </c>
      <c r="H448" s="172">
        <v>0</v>
      </c>
      <c r="I448" s="172">
        <v>21.5</v>
      </c>
    </row>
    <row r="449" spans="2:9" hidden="1" x14ac:dyDescent="0.3">
      <c r="B449" s="172" t="s">
        <v>179</v>
      </c>
      <c r="C449" s="172" t="s">
        <v>246</v>
      </c>
      <c r="D449" s="172" t="s">
        <v>221</v>
      </c>
      <c r="E449" s="172">
        <v>2.0149109500118401E-5</v>
      </c>
      <c r="F449" s="172">
        <v>79</v>
      </c>
      <c r="G449" s="172">
        <v>21</v>
      </c>
      <c r="H449" s="172">
        <v>4</v>
      </c>
      <c r="I449" s="172">
        <v>21.5</v>
      </c>
    </row>
    <row r="450" spans="2:9" hidden="1" x14ac:dyDescent="0.3">
      <c r="B450" s="172" t="s">
        <v>39</v>
      </c>
      <c r="C450" s="172" t="s">
        <v>79</v>
      </c>
      <c r="D450" s="172" t="s">
        <v>218</v>
      </c>
      <c r="E450" s="172">
        <v>8.2566347019302495E-4</v>
      </c>
      <c r="F450" s="172">
        <v>33</v>
      </c>
      <c r="G450" s="172">
        <v>16</v>
      </c>
      <c r="H450" s="172">
        <v>15</v>
      </c>
      <c r="I450" s="172">
        <v>18</v>
      </c>
    </row>
    <row r="451" spans="2:9" hidden="1" x14ac:dyDescent="0.3">
      <c r="B451" s="172" t="s">
        <v>39</v>
      </c>
      <c r="C451" s="172" t="s">
        <v>79</v>
      </c>
      <c r="D451" s="172" t="s">
        <v>221</v>
      </c>
      <c r="E451" s="172">
        <v>1.96135722239486E-4</v>
      </c>
      <c r="F451" s="172">
        <v>19</v>
      </c>
      <c r="G451" s="172">
        <v>0</v>
      </c>
      <c r="H451" s="172">
        <v>4</v>
      </c>
      <c r="I451" s="172">
        <v>18</v>
      </c>
    </row>
    <row r="452" spans="2:9" hidden="1" x14ac:dyDescent="0.3">
      <c r="B452" s="172" t="s">
        <v>39</v>
      </c>
      <c r="C452" s="172" t="s">
        <v>80</v>
      </c>
      <c r="D452" s="172" t="s">
        <v>218</v>
      </c>
      <c r="E452" s="172">
        <v>7.7509309326089003E-4</v>
      </c>
      <c r="F452" s="172">
        <v>30</v>
      </c>
      <c r="G452" s="172">
        <v>16</v>
      </c>
      <c r="H452" s="172">
        <v>0</v>
      </c>
      <c r="I452" s="172">
        <v>18</v>
      </c>
    </row>
    <row r="453" spans="2:9" hidden="1" x14ac:dyDescent="0.3">
      <c r="B453" s="172" t="s">
        <v>39</v>
      </c>
      <c r="C453" s="172" t="s">
        <v>80</v>
      </c>
      <c r="D453" s="172" t="s">
        <v>221</v>
      </c>
      <c r="E453" s="172">
        <v>1.1985435845034601E-4</v>
      </c>
      <c r="F453" s="172">
        <v>79</v>
      </c>
      <c r="G453" s="172">
        <v>21</v>
      </c>
      <c r="H453" s="172">
        <v>4</v>
      </c>
      <c r="I453" s="172">
        <v>18</v>
      </c>
    </row>
    <row r="454" spans="2:9" hidden="1" x14ac:dyDescent="0.3">
      <c r="B454" s="172" t="s">
        <v>39</v>
      </c>
      <c r="C454" s="172" t="s">
        <v>81</v>
      </c>
      <c r="D454" s="172" t="s">
        <v>218</v>
      </c>
      <c r="E454" s="172">
        <v>1.3121914616894201E-4</v>
      </c>
      <c r="F454" s="172">
        <v>33</v>
      </c>
      <c r="G454" s="172">
        <v>16</v>
      </c>
      <c r="H454" s="172">
        <v>15</v>
      </c>
      <c r="I454" s="172">
        <v>18</v>
      </c>
    </row>
    <row r="455" spans="2:9" hidden="1" x14ac:dyDescent="0.3">
      <c r="B455" s="172" t="s">
        <v>39</v>
      </c>
      <c r="C455" s="172" t="s">
        <v>81</v>
      </c>
      <c r="D455" s="172" t="s">
        <v>221</v>
      </c>
      <c r="E455" s="172">
        <v>9.1080868231569996E-4</v>
      </c>
      <c r="F455" s="172">
        <v>21</v>
      </c>
      <c r="G455" s="172">
        <v>0</v>
      </c>
      <c r="H455" s="172">
        <v>15</v>
      </c>
      <c r="I455" s="172">
        <v>18</v>
      </c>
    </row>
    <row r="456" spans="2:9" hidden="1" x14ac:dyDescent="0.3">
      <c r="B456" s="172" t="s">
        <v>39</v>
      </c>
      <c r="C456" s="172" t="s">
        <v>82</v>
      </c>
      <c r="D456" s="172" t="s">
        <v>218</v>
      </c>
      <c r="E456" s="172">
        <v>2.7750545594183999E-4</v>
      </c>
      <c r="F456" s="172">
        <v>33</v>
      </c>
      <c r="G456" s="172">
        <v>16</v>
      </c>
      <c r="H456" s="172">
        <v>15</v>
      </c>
      <c r="I456" s="172">
        <v>18</v>
      </c>
    </row>
    <row r="457" spans="2:9" x14ac:dyDescent="0.3">
      <c r="B457" s="172" t="s">
        <v>39</v>
      </c>
      <c r="C457" s="172" t="s">
        <v>82</v>
      </c>
      <c r="D457" s="172" t="s">
        <v>221</v>
      </c>
      <c r="E457" s="172">
        <v>1.12303940660613E-3</v>
      </c>
      <c r="F457" s="172">
        <v>21</v>
      </c>
      <c r="G457" s="172">
        <v>0</v>
      </c>
      <c r="H457" s="172">
        <v>15</v>
      </c>
      <c r="I457" s="172">
        <v>18</v>
      </c>
    </row>
    <row r="458" spans="2:9" hidden="1" x14ac:dyDescent="0.3">
      <c r="B458" s="172" t="s">
        <v>39</v>
      </c>
      <c r="C458" s="172" t="s">
        <v>246</v>
      </c>
      <c r="D458" s="172" t="s">
        <v>218</v>
      </c>
      <c r="E458" s="172">
        <v>5.8436773070883798E-5</v>
      </c>
      <c r="F458" s="172">
        <v>30</v>
      </c>
      <c r="G458" s="172">
        <v>16</v>
      </c>
      <c r="H458" s="172">
        <v>0</v>
      </c>
      <c r="I458" s="172">
        <v>18</v>
      </c>
    </row>
    <row r="459" spans="2:9" hidden="1" x14ac:dyDescent="0.3">
      <c r="B459" s="172" t="s">
        <v>39</v>
      </c>
      <c r="C459" s="172" t="s">
        <v>246</v>
      </c>
      <c r="D459" s="172" t="s">
        <v>221</v>
      </c>
      <c r="E459" s="172">
        <v>2.2524524604917598E-5</v>
      </c>
      <c r="F459" s="172">
        <v>79</v>
      </c>
      <c r="G459" s="172">
        <v>21</v>
      </c>
      <c r="H459" s="172">
        <v>4</v>
      </c>
      <c r="I459" s="172">
        <v>18</v>
      </c>
    </row>
    <row r="460" spans="2:9" hidden="1" x14ac:dyDescent="0.3">
      <c r="B460" s="172" t="s">
        <v>26</v>
      </c>
      <c r="C460" s="172" t="s">
        <v>79</v>
      </c>
      <c r="D460" s="172" t="s">
        <v>218</v>
      </c>
      <c r="E460" s="172">
        <v>8.6778648908320899E-4</v>
      </c>
      <c r="F460" s="172">
        <v>33</v>
      </c>
      <c r="G460" s="172">
        <v>16</v>
      </c>
      <c r="H460" s="172">
        <v>15</v>
      </c>
      <c r="I460" s="172">
        <v>14.5</v>
      </c>
    </row>
    <row r="461" spans="2:9" hidden="1" x14ac:dyDescent="0.3">
      <c r="B461" s="172" t="s">
        <v>26</v>
      </c>
      <c r="C461" s="172" t="s">
        <v>79</v>
      </c>
      <c r="D461" s="172" t="s">
        <v>221</v>
      </c>
      <c r="E461" s="172">
        <v>2.1476324018791299E-4</v>
      </c>
      <c r="F461" s="172">
        <v>21</v>
      </c>
      <c r="G461" s="172">
        <v>0</v>
      </c>
      <c r="H461" s="172">
        <v>15</v>
      </c>
      <c r="I461" s="172">
        <v>14.5</v>
      </c>
    </row>
    <row r="462" spans="2:9" hidden="1" x14ac:dyDescent="0.3">
      <c r="B462" s="172" t="s">
        <v>26</v>
      </c>
      <c r="C462" s="172" t="s">
        <v>80</v>
      </c>
      <c r="D462" s="172" t="s">
        <v>218</v>
      </c>
      <c r="E462" s="172">
        <v>8.03207013964658E-4</v>
      </c>
      <c r="F462" s="172">
        <v>30</v>
      </c>
      <c r="G462" s="172">
        <v>16</v>
      </c>
      <c r="H462" s="172">
        <v>0</v>
      </c>
      <c r="I462" s="172">
        <v>14.5</v>
      </c>
    </row>
    <row r="463" spans="2:9" hidden="1" x14ac:dyDescent="0.3">
      <c r="B463" s="172" t="s">
        <v>26</v>
      </c>
      <c r="C463" s="172" t="s">
        <v>80</v>
      </c>
      <c r="D463" s="172" t="s">
        <v>221</v>
      </c>
      <c r="E463" s="172">
        <v>1.16773405699417E-4</v>
      </c>
      <c r="F463" s="172">
        <v>79</v>
      </c>
      <c r="G463" s="172">
        <v>21</v>
      </c>
      <c r="H463" s="172">
        <v>4</v>
      </c>
      <c r="I463" s="172">
        <v>14.5</v>
      </c>
    </row>
    <row r="464" spans="2:9" hidden="1" x14ac:dyDescent="0.3">
      <c r="B464" s="172" t="s">
        <v>26</v>
      </c>
      <c r="C464" s="172" t="s">
        <v>81</v>
      </c>
      <c r="D464" s="172" t="s">
        <v>218</v>
      </c>
      <c r="E464" s="172">
        <v>1.5207749764685501E-4</v>
      </c>
      <c r="F464" s="172">
        <v>33</v>
      </c>
      <c r="G464" s="172">
        <v>16</v>
      </c>
      <c r="H464" s="172">
        <v>15</v>
      </c>
      <c r="I464" s="172">
        <v>14.5</v>
      </c>
    </row>
    <row r="465" spans="2:9" hidden="1" x14ac:dyDescent="0.3">
      <c r="B465" s="172" t="s">
        <v>26</v>
      </c>
      <c r="C465" s="172" t="s">
        <v>81</v>
      </c>
      <c r="D465" s="172" t="s">
        <v>221</v>
      </c>
      <c r="E465" s="172">
        <v>9.7439253574426398E-4</v>
      </c>
      <c r="F465" s="172">
        <v>21</v>
      </c>
      <c r="G465" s="172">
        <v>0</v>
      </c>
      <c r="H465" s="172">
        <v>15</v>
      </c>
      <c r="I465" s="172">
        <v>14.5</v>
      </c>
    </row>
    <row r="466" spans="2:9" hidden="1" x14ac:dyDescent="0.3">
      <c r="B466" s="172" t="s">
        <v>26</v>
      </c>
      <c r="C466" s="172" t="s">
        <v>82</v>
      </c>
      <c r="D466" s="172" t="s">
        <v>218</v>
      </c>
      <c r="E466" s="172">
        <v>3.0829149327130198E-4</v>
      </c>
      <c r="F466" s="172">
        <v>33</v>
      </c>
      <c r="G466" s="172">
        <v>16</v>
      </c>
      <c r="H466" s="172">
        <v>15</v>
      </c>
      <c r="I466" s="172">
        <v>14.5</v>
      </c>
    </row>
    <row r="467" spans="2:9" x14ac:dyDescent="0.3">
      <c r="B467" s="172" t="s">
        <v>26</v>
      </c>
      <c r="C467" s="172" t="s">
        <v>82</v>
      </c>
      <c r="D467" s="172" t="s">
        <v>221</v>
      </c>
      <c r="E467" s="172">
        <v>1.2033754179694601E-3</v>
      </c>
      <c r="F467" s="172">
        <v>21</v>
      </c>
      <c r="G467" s="172">
        <v>0</v>
      </c>
      <c r="H467" s="172">
        <v>15</v>
      </c>
      <c r="I467" s="172">
        <v>14.5</v>
      </c>
    </row>
    <row r="468" spans="2:9" hidden="1" x14ac:dyDescent="0.3">
      <c r="B468" s="172" t="s">
        <v>26</v>
      </c>
      <c r="C468" s="172" t="s">
        <v>246</v>
      </c>
      <c r="D468" s="172" t="s">
        <v>218</v>
      </c>
      <c r="E468" s="172">
        <v>4.5125487521836397E-5</v>
      </c>
      <c r="F468" s="172">
        <v>30</v>
      </c>
      <c r="G468" s="172">
        <v>16</v>
      </c>
      <c r="H468" s="172">
        <v>0</v>
      </c>
      <c r="I468" s="172">
        <v>14.5</v>
      </c>
    </row>
    <row r="469" spans="2:9" hidden="1" x14ac:dyDescent="0.3">
      <c r="B469" s="172" t="s">
        <v>26</v>
      </c>
      <c r="C469" s="172" t="s">
        <v>246</v>
      </c>
      <c r="D469" s="172" t="s">
        <v>221</v>
      </c>
      <c r="E469" s="172">
        <v>1.97024071311016E-5</v>
      </c>
      <c r="F469" s="172">
        <v>79</v>
      </c>
      <c r="G469" s="172">
        <v>21</v>
      </c>
      <c r="H469" s="172">
        <v>4</v>
      </c>
      <c r="I469" s="172">
        <v>14.5</v>
      </c>
    </row>
    <row r="470" spans="2:9" hidden="1" x14ac:dyDescent="0.3">
      <c r="B470" s="172" t="s">
        <v>25</v>
      </c>
      <c r="C470" s="172" t="s">
        <v>79</v>
      </c>
      <c r="D470" s="172" t="s">
        <v>218</v>
      </c>
      <c r="E470" s="172">
        <v>8.9692079525168097E-4</v>
      </c>
      <c r="F470" s="172">
        <v>33</v>
      </c>
      <c r="G470" s="172">
        <v>16</v>
      </c>
      <c r="H470" s="172">
        <v>15</v>
      </c>
      <c r="I470" s="172">
        <v>11</v>
      </c>
    </row>
    <row r="471" spans="2:9" hidden="1" x14ac:dyDescent="0.3">
      <c r="B471" s="172" t="s">
        <v>25</v>
      </c>
      <c r="C471" s="172" t="s">
        <v>79</v>
      </c>
      <c r="D471" s="172" t="s">
        <v>221</v>
      </c>
      <c r="E471" s="172">
        <v>2.28374074629154E-4</v>
      </c>
      <c r="F471" s="172">
        <v>19</v>
      </c>
      <c r="G471" s="172">
        <v>0</v>
      </c>
      <c r="H471" s="172">
        <v>4</v>
      </c>
      <c r="I471" s="172">
        <v>11</v>
      </c>
    </row>
    <row r="472" spans="2:9" hidden="1" x14ac:dyDescent="0.3">
      <c r="B472" s="172" t="s">
        <v>25</v>
      </c>
      <c r="C472" s="172" t="s">
        <v>80</v>
      </c>
      <c r="D472" s="172" t="s">
        <v>218</v>
      </c>
      <c r="E472" s="172">
        <v>8.2139317353150396E-4</v>
      </c>
      <c r="F472" s="172">
        <v>30</v>
      </c>
      <c r="G472" s="172">
        <v>16</v>
      </c>
      <c r="H472" s="172">
        <v>0</v>
      </c>
      <c r="I472" s="172">
        <v>11</v>
      </c>
    </row>
    <row r="473" spans="2:9" hidden="1" x14ac:dyDescent="0.3">
      <c r="B473" s="172" t="s">
        <v>25</v>
      </c>
      <c r="C473" s="172" t="s">
        <v>80</v>
      </c>
      <c r="D473" s="172" t="s">
        <v>221</v>
      </c>
      <c r="E473" s="172">
        <v>1.1288933464018E-4</v>
      </c>
      <c r="F473" s="172">
        <v>79</v>
      </c>
      <c r="G473" s="172">
        <v>21</v>
      </c>
      <c r="H473" s="172">
        <v>4</v>
      </c>
      <c r="I473" s="172">
        <v>11</v>
      </c>
    </row>
    <row r="474" spans="2:9" hidden="1" x14ac:dyDescent="0.3">
      <c r="B474" s="172" t="s">
        <v>25</v>
      </c>
      <c r="C474" s="172" t="s">
        <v>81</v>
      </c>
      <c r="D474" s="172" t="s">
        <v>218</v>
      </c>
      <c r="E474" s="172">
        <v>1.70414278197423E-4</v>
      </c>
      <c r="F474" s="172">
        <v>33</v>
      </c>
      <c r="G474" s="172">
        <v>16</v>
      </c>
      <c r="H474" s="172">
        <v>15</v>
      </c>
      <c r="I474" s="172">
        <v>11</v>
      </c>
    </row>
    <row r="475" spans="2:9" hidden="1" x14ac:dyDescent="0.3">
      <c r="B475" s="172" t="s">
        <v>25</v>
      </c>
      <c r="C475" s="172" t="s">
        <v>81</v>
      </c>
      <c r="D475" s="172" t="s">
        <v>221</v>
      </c>
      <c r="E475" s="172">
        <v>1.01780191720667E-3</v>
      </c>
      <c r="F475" s="172">
        <v>21</v>
      </c>
      <c r="G475" s="172">
        <v>0</v>
      </c>
      <c r="H475" s="172">
        <v>15</v>
      </c>
      <c r="I475" s="172">
        <v>11</v>
      </c>
    </row>
    <row r="476" spans="2:9" hidden="1" x14ac:dyDescent="0.3">
      <c r="B476" s="172" t="s">
        <v>25</v>
      </c>
      <c r="C476" s="172" t="s">
        <v>82</v>
      </c>
      <c r="D476" s="172" t="s">
        <v>218</v>
      </c>
      <c r="E476" s="172">
        <v>3.3393312668706499E-4</v>
      </c>
      <c r="F476" s="172">
        <v>33</v>
      </c>
      <c r="G476" s="172">
        <v>16</v>
      </c>
      <c r="H476" s="172">
        <v>15</v>
      </c>
      <c r="I476" s="172">
        <v>11</v>
      </c>
    </row>
    <row r="477" spans="2:9" x14ac:dyDescent="0.3">
      <c r="B477" s="172" t="s">
        <v>25</v>
      </c>
      <c r="C477" s="172" t="s">
        <v>82</v>
      </c>
      <c r="D477" s="172" t="s">
        <v>221</v>
      </c>
      <c r="E477" s="172">
        <v>1.2599945900697801E-3</v>
      </c>
      <c r="F477" s="172">
        <v>21</v>
      </c>
      <c r="G477" s="172">
        <v>0</v>
      </c>
      <c r="H477" s="172">
        <v>15</v>
      </c>
      <c r="I477" s="172">
        <v>11</v>
      </c>
    </row>
    <row r="478" spans="2:9" hidden="1" x14ac:dyDescent="0.3">
      <c r="B478" s="172" t="s">
        <v>25</v>
      </c>
      <c r="C478" s="172" t="s">
        <v>246</v>
      </c>
      <c r="D478" s="172" t="s">
        <v>218</v>
      </c>
      <c r="E478" s="172">
        <v>3.0527674152166397E-5</v>
      </c>
      <c r="F478" s="172">
        <v>30</v>
      </c>
      <c r="G478" s="172">
        <v>16</v>
      </c>
      <c r="H478" s="172">
        <v>0</v>
      </c>
      <c r="I478" s="172">
        <v>11</v>
      </c>
    </row>
    <row r="479" spans="2:9" hidden="1" x14ac:dyDescent="0.3">
      <c r="B479" s="172" t="s">
        <v>25</v>
      </c>
      <c r="C479" s="172" t="s">
        <v>246</v>
      </c>
      <c r="D479" s="172" t="s">
        <v>221</v>
      </c>
      <c r="E479" s="172">
        <v>1.8139062898654899E-5</v>
      </c>
      <c r="F479" s="172">
        <v>79</v>
      </c>
      <c r="G479" s="172">
        <v>21</v>
      </c>
      <c r="H479" s="172">
        <v>4</v>
      </c>
      <c r="I479" s="172">
        <v>11</v>
      </c>
    </row>
    <row r="480" spans="2:9" hidden="1" x14ac:dyDescent="0.3">
      <c r="B480" s="172" t="s">
        <v>24</v>
      </c>
      <c r="C480" s="172" t="s">
        <v>79</v>
      </c>
      <c r="D480" s="172" t="s">
        <v>218</v>
      </c>
      <c r="E480" s="172">
        <v>9.0266246027092005E-4</v>
      </c>
      <c r="F480" s="172">
        <v>33</v>
      </c>
      <c r="G480" s="172">
        <v>16</v>
      </c>
      <c r="H480" s="172">
        <v>15</v>
      </c>
      <c r="I480" s="172">
        <v>7.5</v>
      </c>
    </row>
    <row r="481" spans="2:9" hidden="1" x14ac:dyDescent="0.3">
      <c r="B481" s="172" t="s">
        <v>24</v>
      </c>
      <c r="C481" s="172" t="s">
        <v>79</v>
      </c>
      <c r="D481" s="172" t="s">
        <v>221</v>
      </c>
      <c r="E481" s="172">
        <v>2.3454403147425099E-4</v>
      </c>
      <c r="F481" s="172">
        <v>21</v>
      </c>
      <c r="G481" s="172">
        <v>0</v>
      </c>
      <c r="H481" s="172">
        <v>15</v>
      </c>
      <c r="I481" s="172">
        <v>7.5</v>
      </c>
    </row>
    <row r="482" spans="2:9" hidden="1" x14ac:dyDescent="0.3">
      <c r="B482" s="172" t="s">
        <v>24</v>
      </c>
      <c r="C482" s="172" t="s">
        <v>80</v>
      </c>
      <c r="D482" s="172" t="s">
        <v>218</v>
      </c>
      <c r="E482" s="172">
        <v>8.1912055875471503E-4</v>
      </c>
      <c r="F482" s="172">
        <v>30</v>
      </c>
      <c r="G482" s="172">
        <v>16</v>
      </c>
      <c r="H482" s="172">
        <v>0</v>
      </c>
      <c r="I482" s="172">
        <v>7.5</v>
      </c>
    </row>
    <row r="483" spans="2:9" hidden="1" x14ac:dyDescent="0.3">
      <c r="B483" s="172" t="s">
        <v>24</v>
      </c>
      <c r="C483" s="172" t="s">
        <v>81</v>
      </c>
      <c r="D483" s="172" t="s">
        <v>218</v>
      </c>
      <c r="E483" s="172">
        <v>1.8615784128034601E-4</v>
      </c>
      <c r="F483" s="172">
        <v>33</v>
      </c>
      <c r="G483" s="172">
        <v>16</v>
      </c>
      <c r="H483" s="172">
        <v>15</v>
      </c>
      <c r="I483" s="172">
        <v>7.5</v>
      </c>
    </row>
    <row r="484" spans="2:9" hidden="1" x14ac:dyDescent="0.3">
      <c r="B484" s="172" t="s">
        <v>24</v>
      </c>
      <c r="C484" s="172" t="s">
        <v>81</v>
      </c>
      <c r="D484" s="172" t="s">
        <v>221</v>
      </c>
      <c r="E484" s="172">
        <v>1.0308858376536401E-3</v>
      </c>
      <c r="F484" s="172">
        <v>21</v>
      </c>
      <c r="G484" s="172">
        <v>0</v>
      </c>
      <c r="H484" s="172">
        <v>15</v>
      </c>
      <c r="I484" s="172">
        <v>7.5</v>
      </c>
    </row>
    <row r="485" spans="2:9" hidden="1" x14ac:dyDescent="0.3">
      <c r="B485" s="172" t="s">
        <v>24</v>
      </c>
      <c r="C485" s="172" t="s">
        <v>82</v>
      </c>
      <c r="D485" s="172" t="s">
        <v>218</v>
      </c>
      <c r="E485" s="172">
        <v>3.5195433274329502E-4</v>
      </c>
      <c r="F485" s="172">
        <v>33</v>
      </c>
      <c r="G485" s="172">
        <v>16</v>
      </c>
      <c r="H485" s="172">
        <v>15</v>
      </c>
      <c r="I485" s="172">
        <v>7.5</v>
      </c>
    </row>
    <row r="486" spans="2:9" x14ac:dyDescent="0.3">
      <c r="B486" s="172" t="s">
        <v>24</v>
      </c>
      <c r="C486" s="172" t="s">
        <v>82</v>
      </c>
      <c r="D486" s="172" t="s">
        <v>221</v>
      </c>
      <c r="E486" s="172">
        <v>1.2796001597147799E-3</v>
      </c>
      <c r="F486" s="172">
        <v>21</v>
      </c>
      <c r="G486" s="172">
        <v>0</v>
      </c>
      <c r="H486" s="172">
        <v>15</v>
      </c>
      <c r="I486" s="172">
        <v>7.5</v>
      </c>
    </row>
    <row r="487" spans="2:9" hidden="1" x14ac:dyDescent="0.3">
      <c r="B487" s="172" t="s">
        <v>24</v>
      </c>
      <c r="C487" s="172" t="s">
        <v>246</v>
      </c>
      <c r="D487" s="172" t="s">
        <v>218</v>
      </c>
      <c r="E487" s="172">
        <v>1.10554273334904E-5</v>
      </c>
      <c r="F487" s="172">
        <v>30</v>
      </c>
      <c r="G487" s="172">
        <v>16</v>
      </c>
      <c r="H487" s="172">
        <v>0</v>
      </c>
      <c r="I487" s="172">
        <v>7.5</v>
      </c>
    </row>
    <row r="488" spans="2:9" hidden="1" x14ac:dyDescent="0.3">
      <c r="B488" s="172" t="s">
        <v>24</v>
      </c>
      <c r="C488" s="172" t="s">
        <v>246</v>
      </c>
      <c r="D488" s="172" t="s">
        <v>221</v>
      </c>
      <c r="E488" s="172">
        <v>1.7909294253944599E-5</v>
      </c>
      <c r="F488" s="172">
        <v>79</v>
      </c>
      <c r="G488" s="172">
        <v>21</v>
      </c>
      <c r="H488" s="172">
        <v>4</v>
      </c>
      <c r="I488" s="172">
        <v>7.5</v>
      </c>
    </row>
    <row r="489" spans="2:9" hidden="1" x14ac:dyDescent="0.3">
      <c r="B489" s="172" t="s">
        <v>22</v>
      </c>
      <c r="C489" s="172" t="s">
        <v>79</v>
      </c>
      <c r="D489" s="172" t="s">
        <v>218</v>
      </c>
      <c r="E489" s="172">
        <v>7.6444063787450595E-4</v>
      </c>
      <c r="F489" s="172">
        <v>33</v>
      </c>
      <c r="G489" s="172">
        <v>16</v>
      </c>
      <c r="H489" s="172">
        <v>15</v>
      </c>
      <c r="I489" s="172">
        <v>4</v>
      </c>
    </row>
    <row r="490" spans="2:9" hidden="1" x14ac:dyDescent="0.3">
      <c r="B490" s="172" t="s">
        <v>22</v>
      </c>
      <c r="C490" s="172" t="s">
        <v>79</v>
      </c>
      <c r="D490" s="172" t="s">
        <v>221</v>
      </c>
      <c r="E490" s="172">
        <v>1.8339108764142399E-4</v>
      </c>
      <c r="F490" s="172">
        <v>21</v>
      </c>
      <c r="G490" s="172">
        <v>0</v>
      </c>
      <c r="H490" s="172">
        <v>15</v>
      </c>
      <c r="I490" s="172">
        <v>4</v>
      </c>
    </row>
    <row r="491" spans="2:9" hidden="1" x14ac:dyDescent="0.3">
      <c r="B491" s="172" t="s">
        <v>22</v>
      </c>
      <c r="C491" s="172" t="s">
        <v>80</v>
      </c>
      <c r="D491" s="172" t="s">
        <v>218</v>
      </c>
      <c r="E491" s="172">
        <v>7.0825963869582597E-4</v>
      </c>
      <c r="F491" s="172">
        <v>30</v>
      </c>
      <c r="G491" s="172">
        <v>16</v>
      </c>
      <c r="H491" s="172">
        <v>0</v>
      </c>
      <c r="I491" s="172">
        <v>4</v>
      </c>
    </row>
    <row r="492" spans="2:9" hidden="1" x14ac:dyDescent="0.3">
      <c r="B492" s="172" t="s">
        <v>22</v>
      </c>
      <c r="C492" s="172" t="s">
        <v>81</v>
      </c>
      <c r="D492" s="172" t="s">
        <v>218</v>
      </c>
      <c r="E492" s="172">
        <v>1.7091123598821201E-4</v>
      </c>
      <c r="F492" s="172">
        <v>33</v>
      </c>
      <c r="G492" s="172">
        <v>16</v>
      </c>
      <c r="H492" s="172">
        <v>15</v>
      </c>
      <c r="I492" s="172">
        <v>4</v>
      </c>
    </row>
    <row r="493" spans="2:9" hidden="1" x14ac:dyDescent="0.3">
      <c r="B493" s="172" t="s">
        <v>22</v>
      </c>
      <c r="C493" s="172" t="s">
        <v>81</v>
      </c>
      <c r="D493" s="172" t="s">
        <v>221</v>
      </c>
      <c r="E493" s="172">
        <v>8.2917058985094701E-4</v>
      </c>
      <c r="F493" s="172">
        <v>21</v>
      </c>
      <c r="G493" s="172">
        <v>0</v>
      </c>
      <c r="H493" s="172">
        <v>15</v>
      </c>
      <c r="I493" s="172">
        <v>4</v>
      </c>
    </row>
    <row r="494" spans="2:9" hidden="1" x14ac:dyDescent="0.3">
      <c r="B494" s="172" t="s">
        <v>22</v>
      </c>
      <c r="C494" s="172" t="s">
        <v>82</v>
      </c>
      <c r="D494" s="172" t="s">
        <v>218</v>
      </c>
      <c r="E494" s="172">
        <v>3.0318123258570701E-4</v>
      </c>
      <c r="F494" s="172">
        <v>33</v>
      </c>
      <c r="G494" s="172">
        <v>16</v>
      </c>
      <c r="H494" s="172">
        <v>15</v>
      </c>
      <c r="I494" s="172">
        <v>4</v>
      </c>
    </row>
    <row r="495" spans="2:9" x14ac:dyDescent="0.3">
      <c r="B495" s="172" t="s">
        <v>22</v>
      </c>
      <c r="C495" s="172" t="s">
        <v>82</v>
      </c>
      <c r="D495" s="172" t="s">
        <v>221</v>
      </c>
      <c r="E495" s="172">
        <v>1.0335777579292601E-3</v>
      </c>
      <c r="F495" s="172">
        <v>21</v>
      </c>
      <c r="G495" s="172">
        <v>0</v>
      </c>
      <c r="H495" s="172">
        <v>15</v>
      </c>
      <c r="I495" s="172">
        <v>4</v>
      </c>
    </row>
    <row r="496" spans="2:9" hidden="1" x14ac:dyDescent="0.3">
      <c r="B496" s="172" t="s">
        <v>22</v>
      </c>
      <c r="C496" s="172" t="s">
        <v>246</v>
      </c>
      <c r="D496" s="172" t="s">
        <v>218</v>
      </c>
      <c r="E496" s="172">
        <v>3.8620355312431901E-5</v>
      </c>
      <c r="F496" s="172">
        <v>33</v>
      </c>
      <c r="G496" s="172">
        <v>16</v>
      </c>
      <c r="H496" s="172">
        <v>15</v>
      </c>
      <c r="I496" s="172">
        <v>4</v>
      </c>
    </row>
    <row r="497" spans="2:9" hidden="1" x14ac:dyDescent="0.3">
      <c r="B497" s="172" t="s">
        <v>22</v>
      </c>
      <c r="C497" s="172" t="s">
        <v>246</v>
      </c>
      <c r="D497" s="172" t="s">
        <v>221</v>
      </c>
      <c r="E497" s="172">
        <v>2.1539483256531398E-5</v>
      </c>
      <c r="F497" s="172">
        <v>79</v>
      </c>
      <c r="G497" s="172">
        <v>21</v>
      </c>
      <c r="H497" s="172">
        <v>4</v>
      </c>
      <c r="I497" s="172">
        <v>4</v>
      </c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K73" sqref="K73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3.4891847500224401E-4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2.9729719020979E-4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4.40776416771831E-4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5.6839478780654695E-4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6.7561736359901504E-4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7.6340762765778601E-4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8.2566347019302495E-4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8.6778648908320899E-4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8.9692079525168097E-4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9.0266246027092005E-4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7.6444063787450595E-4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3.5713137482635198E-4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3.1034715957626002E-4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4.4169600823424997E-4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5.5499451901086896E-4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6.49653418379528E-4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7.26068605244553E-4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7.7509309326089003E-4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8.03207013964658E-4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8.2139317353150396E-4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8.1912055875471503E-4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7.0825963869582597E-4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4.2258061159154502E-4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3.9831384449833998E-4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5.1181920129710805E-4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6.1505724869407295E-4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7.3402656507011595E-4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8.3091603464959104E-4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9.1080868231569996E-4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9.7439253574426398E-4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1.01780191720667E-3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1.0308858376536401E-3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8.2917058985094701E-4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3.5702584716117998E-4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3.7252754569452699E-4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5.7054094587088305E-4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7.5166795159927304E-4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9.0077054706231598E-4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1.0226772280882801E-3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1.12303940660613E-3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1.2033754179694601E-3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1.2599945900697801E-3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1.2796001597147799E-3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1.0335777579292601E-3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topLeftCell="A46" zoomScale="80" zoomScaleNormal="80" workbookViewId="0">
      <selection activeCell="P75" sqref="P75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15</v>
      </c>
      <c r="O3" s="183">
        <v>21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2.39327217208656E-2</v>
      </c>
      <c r="F6" s="185">
        <v>2.33554400608206E-2</v>
      </c>
      <c r="G6" s="186">
        <v>1.0247172247040399</v>
      </c>
      <c r="H6" s="42">
        <f>+E6/(1.2*F6)</f>
        <v>0.85393102058669856</v>
      </c>
      <c r="I6" s="47">
        <f>+'Centers of Mass and Rigidity'!L5-'Centers of Mass and Rigidity'!F5</f>
        <v>-2.3179786667787994</v>
      </c>
      <c r="J6" s="47">
        <f>+'Centers of Mass and Rigidity'!M5-'Centers of Mass and Rigidity'!G5</f>
        <v>0.28046391384420044</v>
      </c>
      <c r="K6" s="172">
        <f>IF(+'Sismo UBC-94 y Dinamico'!O15=0,'Sismo UBC-94 y Dinamico'!M15,'Sismo UBC-94 y Dinamico'!O15)</f>
        <v>1128.4957804944099</v>
      </c>
      <c r="L6" s="172">
        <f>IF(+'Sismo UBC-94 y Dinamico'!P15=0,'Sismo UBC-94 y Dinamico'!N15,'Sismo UBC-94 y Dinamico'!P15)</f>
        <v>153.820749378892</v>
      </c>
      <c r="M6" s="52">
        <f>0.05*N6*K6*(H6-1)+0.05*O6*L6*(H6-1)</f>
        <v>-147.22053206485882</v>
      </c>
      <c r="N6">
        <f>+$N$3</f>
        <v>15</v>
      </c>
      <c r="O6">
        <f>+$O$3</f>
        <v>21</v>
      </c>
      <c r="P6" s="95">
        <f>+K6*(J6+0.05*N6*H6)-K6*(J6+0.05*N6)</f>
        <v>-123.62867019677651</v>
      </c>
      <c r="Q6" s="95">
        <f>+L6*(I6+0.05*O6*H6)-L6*(I6+0.05*O6)</f>
        <v>-23.591861868082134</v>
      </c>
      <c r="R6" s="95">
        <f>+P6+Q6</f>
        <v>-147.22053206485865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2.48926056544513E-2</v>
      </c>
      <c r="F7" s="185">
        <v>2.27426349131023E-2</v>
      </c>
      <c r="G7" s="186">
        <v>1.0945348131192301</v>
      </c>
      <c r="H7" s="42">
        <f t="shared" ref="H7:H16" si="0">+E7/(1.2*F7)</f>
        <v>0.91211234426602505</v>
      </c>
      <c r="I7" s="47">
        <f>+'Centers of Mass and Rigidity'!L6-'Centers of Mass and Rigidity'!F6</f>
        <v>1.4774822057837405</v>
      </c>
      <c r="J7" s="47">
        <f>+'Centers of Mass and Rigidity'!M6-'Centers of Mass and Rigidity'!G6</f>
        <v>-0.12998363677898972</v>
      </c>
      <c r="K7" s="172">
        <f>IF(+'Sismo UBC-94 y Dinamico'!O16=0,'Sismo UBC-94 y Dinamico'!M16,'Sismo UBC-94 y Dinamico'!O16)</f>
        <v>12510.431409333491</v>
      </c>
      <c r="L7" s="172">
        <f>IF(+'Sismo UBC-94 y Dinamico'!P16=0,'Sismo UBC-94 y Dinamico'!N16,'Sismo UBC-94 y Dinamico'!P16)</f>
        <v>1008.400969390708</v>
      </c>
      <c r="M7" s="52">
        <f>0.05*N7*K7*(H7-1)+0.05*O7*L7*(H7-1)</f>
        <v>-917.69166369185461</v>
      </c>
      <c r="N7" s="172">
        <f t="shared" ref="N7:N16" si="1">+$N$3</f>
        <v>15</v>
      </c>
      <c r="O7" s="172">
        <f t="shared" ref="O7:O16" si="2">+$O$3</f>
        <v>21</v>
      </c>
      <c r="P7" s="95">
        <f>+K7*(J7+0.05*N7*H7)-K7*(J7+0.05*N7)</f>
        <v>-824.63436659025683</v>
      </c>
      <c r="Q7" s="95">
        <f>+L7*(I7+0.05*O7*H7)-L7*(I7+0.05*O7)</f>
        <v>-93.057297101598124</v>
      </c>
      <c r="R7" s="95">
        <f>+P7+Q7</f>
        <v>-917.69166369185496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2.38520654887171E-2</v>
      </c>
      <c r="F8" s="185">
        <v>2.1735434509738499E-2</v>
      </c>
      <c r="G8" s="186">
        <v>1.0973815811241401</v>
      </c>
      <c r="H8" s="42">
        <f t="shared" si="0"/>
        <v>0.91448465093678599</v>
      </c>
      <c r="I8" s="47">
        <f>+'Centers of Mass and Rigidity'!L7-'Centers of Mass and Rigidity'!F7</f>
        <v>1.7667418514350803</v>
      </c>
      <c r="J8" s="47">
        <f>+'Centers of Mass and Rigidity'!M7-'Centers of Mass and Rigidity'!G7</f>
        <v>-0.1962414901320999</v>
      </c>
      <c r="K8" s="172">
        <f>IF(+'Sismo UBC-94 y Dinamico'!O17=0,'Sismo UBC-94 y Dinamico'!M17,'Sismo UBC-94 y Dinamico'!O17)</f>
        <v>14596.907513426198</v>
      </c>
      <c r="L8" s="172">
        <f>IF(+'Sismo UBC-94 y Dinamico'!P17=0,'Sismo UBC-94 y Dinamico'!N17,'Sismo UBC-94 y Dinamico'!P17)</f>
        <v>1227.4079852672598</v>
      </c>
      <c r="M8" s="52">
        <f>0.05*N8*K8*(H8-1)+0.05*O8*L8*(H8-1)</f>
        <v>-1046.4050643588307</v>
      </c>
      <c r="N8" s="172">
        <f t="shared" si="1"/>
        <v>15</v>
      </c>
      <c r="O8" s="172">
        <f t="shared" si="2"/>
        <v>21</v>
      </c>
      <c r="P8" s="95">
        <f>+K8*(J8+0.05*N8*H8)-K8*(J8+0.05*N8)</f>
        <v>-936.19473094056957</v>
      </c>
      <c r="Q8" s="95">
        <f>+L8*(I8+0.05*O8*H8)-L8*(I8+0.05*O8)</f>
        <v>-110.21033341826069</v>
      </c>
      <c r="R8" s="95">
        <f>+P8+Q8</f>
        <v>-1046.4050643588303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2.2309348030015701E-2</v>
      </c>
      <c r="F9" s="185">
        <v>2.0277427431198099E-2</v>
      </c>
      <c r="G9" s="186">
        <v>1.1002060347996301</v>
      </c>
      <c r="H9" s="42">
        <f t="shared" si="0"/>
        <v>0.91683836233302474</v>
      </c>
      <c r="I9" s="47">
        <f>+'Centers of Mass and Rigidity'!L8-'Centers of Mass and Rigidity'!F8</f>
        <v>1.8796466921369799</v>
      </c>
      <c r="J9" s="47">
        <f>+'Centers of Mass and Rigidity'!M8-'Centers of Mass and Rigidity'!G8</f>
        <v>-0.21402874884511025</v>
      </c>
      <c r="K9" s="172">
        <f>IF(+'Sismo UBC-94 y Dinamico'!O18=0,'Sismo UBC-94 y Dinamico'!M18,'Sismo UBC-94 y Dinamico'!O18)</f>
        <v>12415.547162106304</v>
      </c>
      <c r="L9" s="172">
        <f>IF(+'Sismo UBC-94 y Dinamico'!P18=0,'Sismo UBC-94 y Dinamico'!N18,'Sismo UBC-94 y Dinamico'!P18)</f>
        <v>1034.71570044691</v>
      </c>
      <c r="M9" s="52">
        <f>0.05*N9*K9*(H9-1)+0.05*O9*L9*(H9-1)</f>
        <v>-864.72401067658689</v>
      </c>
      <c r="N9" s="172">
        <f t="shared" si="1"/>
        <v>15</v>
      </c>
      <c r="O9" s="172">
        <f t="shared" si="2"/>
        <v>21</v>
      </c>
      <c r="P9" s="95">
        <f>+K9*(J9+0.05*N9*H9)-K9*(J9+0.05*N9)</f>
        <v>-774.37292589924527</v>
      </c>
      <c r="Q9" s="95">
        <f>+L9*(I9+0.05*O9*H9)-L9*(I9+0.05*O9)</f>
        <v>-90.35108477734093</v>
      </c>
      <c r="R9" s="95">
        <f>+P9+Q9</f>
        <v>-864.7240106765862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2.03199662726927E-2</v>
      </c>
      <c r="F10" s="185">
        <v>1.84246972830674E-2</v>
      </c>
      <c r="G10" s="186">
        <v>1.10286567863273</v>
      </c>
      <c r="H10" s="42">
        <f t="shared" si="0"/>
        <v>0.91905473219393974</v>
      </c>
      <c r="I10" s="47">
        <f>+'Centers of Mass and Rigidity'!L9-'Centers of Mass and Rigidity'!F9</f>
        <v>1.9866497051158802</v>
      </c>
      <c r="J10" s="47">
        <f>+'Centers of Mass and Rigidity'!M9-'Centers of Mass and Rigidity'!G9</f>
        <v>-0.23043737790360996</v>
      </c>
      <c r="K10" s="172">
        <f>IF(+'Sismo UBC-94 y Dinamico'!O19=0,'Sismo UBC-94 y Dinamico'!M19,'Sismo UBC-94 y Dinamico'!O19)</f>
        <v>10551.660080957299</v>
      </c>
      <c r="L10" s="172">
        <f>IF(+'Sismo UBC-94 y Dinamico'!P19=0,'Sismo UBC-94 y Dinamico'!N19,'Sismo UBC-94 y Dinamico'!P19)</f>
        <v>872.59755164795024</v>
      </c>
      <c r="M10" s="52">
        <f>0.05*N10*K10*(H10-1)+0.05*O10*L10*(H10-1)</f>
        <v>-714.74448791901159</v>
      </c>
      <c r="N10" s="172">
        <f t="shared" si="1"/>
        <v>15</v>
      </c>
      <c r="O10" s="172">
        <f t="shared" si="2"/>
        <v>21</v>
      </c>
      <c r="P10" s="95">
        <f>+K10*(J10+0.05*N10*H10)-K10*(J10+0.05*N10)</f>
        <v>-640.58021328870291</v>
      </c>
      <c r="Q10" s="95">
        <f>+L10*(I10+0.05*O10*H10)-L10*(I10+0.05*O10)</f>
        <v>-74.164274630308228</v>
      </c>
      <c r="R10" s="95">
        <f>+P10+Q10</f>
        <v>-714.74448791901114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1.7955305500096198E-2</v>
      </c>
      <c r="F11" s="185">
        <v>1.62414375484949E-2</v>
      </c>
      <c r="G11" s="186">
        <v>1.10552439994822</v>
      </c>
      <c r="H11" s="42">
        <f t="shared" si="0"/>
        <v>0.92127033329017749</v>
      </c>
      <c r="I11" s="47">
        <f>+'Centers of Mass and Rigidity'!L10-'Centers of Mass and Rigidity'!F10</f>
        <v>2.092009670233681</v>
      </c>
      <c r="J11" s="47">
        <f>+'Centers of Mass and Rigidity'!M10-'Centers of Mass and Rigidity'!G10</f>
        <v>-0.24576823103247047</v>
      </c>
      <c r="K11" s="172">
        <f>IF(+'Sismo UBC-94 y Dinamico'!O20=0,'Sismo UBC-94 y Dinamico'!M20,'Sismo UBC-94 y Dinamico'!O20)</f>
        <v>9067.8823574296985</v>
      </c>
      <c r="L11" s="172">
        <f>IF(+'Sismo UBC-94 y Dinamico'!P20=0,'Sismo UBC-94 y Dinamico'!N20,'Sismo UBC-94 y Dinamico'!P20)</f>
        <v>752.36365788150943</v>
      </c>
      <c r="M11" s="52">
        <f t="shared" ref="M11:M16" si="3">0.05*N11*K11*(H11-1)+0.05*O11*L11*(H11-1)</f>
        <v>-597.6285238543137</v>
      </c>
      <c r="N11" s="172">
        <f t="shared" si="1"/>
        <v>15</v>
      </c>
      <c r="O11" s="172">
        <f t="shared" si="2"/>
        <v>21</v>
      </c>
      <c r="P11" s="95">
        <f t="shared" ref="P11:P16" si="4">+K11*(J11+0.05*N11*H11)-K11*(J11+0.05*N11)</f>
        <v>-535.4335168232401</v>
      </c>
      <c r="Q11" s="95">
        <f t="shared" ref="Q11:Q16" si="5">+L11*(I11+0.05*O11*H11)-L11*(I11+0.05*O11)</f>
        <v>-62.195007031074056</v>
      </c>
      <c r="R11" s="95">
        <f t="shared" ref="R11:R16" si="6">+P11+Q11</f>
        <v>-597.62852385431415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1.52833788032939E-2</v>
      </c>
      <c r="F12" s="185">
        <v>1.3789755530848401E-2</v>
      </c>
      <c r="G12" s="186">
        <v>1.1083139776556701</v>
      </c>
      <c r="H12" s="42">
        <f t="shared" si="0"/>
        <v>0.92359498137972718</v>
      </c>
      <c r="I12" s="47">
        <f>+'Centers of Mass and Rigidity'!L11-'Centers of Mass and Rigidity'!F11</f>
        <v>2.1981391968172801</v>
      </c>
      <c r="J12" s="47">
        <f>+'Centers of Mass and Rigidity'!M11-'Centers of Mass and Rigidity'!G11</f>
        <v>-0.26058412822267041</v>
      </c>
      <c r="K12" s="172">
        <f>IF(+'Sismo UBC-94 y Dinamico'!O21=0,'Sismo UBC-94 y Dinamico'!M21,'Sismo UBC-94 y Dinamico'!O21)</f>
        <v>7842.5540838779925</v>
      </c>
      <c r="L12" s="172">
        <f>IF(+'Sismo UBC-94 y Dinamico'!P21=0,'Sismo UBC-94 y Dinamico'!N21,'Sismo UBC-94 y Dinamico'!P21)</f>
        <v>656.68036699355071</v>
      </c>
      <c r="M12" s="52">
        <f t="shared" si="3"/>
        <v>-502.0902275579914</v>
      </c>
      <c r="N12" s="172">
        <f t="shared" si="1"/>
        <v>15</v>
      </c>
      <c r="O12" s="172">
        <f t="shared" si="2"/>
        <v>21</v>
      </c>
      <c r="P12" s="95">
        <f t="shared" si="4"/>
        <v>-449.40786810689633</v>
      </c>
      <c r="Q12" s="95">
        <f t="shared" si="5"/>
        <v>-52.682359451095181</v>
      </c>
      <c r="R12" s="95">
        <f t="shared" si="6"/>
        <v>-502.09022755799151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1.2393556657618401E-2</v>
      </c>
      <c r="F13" s="185">
        <v>1.11576881733616E-2</v>
      </c>
      <c r="G13" s="186">
        <v>1.1107638486624301</v>
      </c>
      <c r="H13" s="42">
        <f t="shared" si="0"/>
        <v>0.92563654055202438</v>
      </c>
      <c r="I13" s="47">
        <f>+'Centers of Mass and Rigidity'!L12-'Centers of Mass and Rigidity'!F12</f>
        <v>2.1719579238254401</v>
      </c>
      <c r="J13" s="47">
        <f>+'Centers of Mass and Rigidity'!M12-'Centers of Mass and Rigidity'!G12</f>
        <v>-0.25260886109124936</v>
      </c>
      <c r="K13" s="172">
        <f>IF(+'Sismo UBC-94 y Dinamico'!O22=0,'Sismo UBC-94 y Dinamico'!M22,'Sismo UBC-94 y Dinamico'!O22)</f>
        <v>6797.4837278842024</v>
      </c>
      <c r="L13" s="172">
        <f>IF(+'Sismo UBC-94 y Dinamico'!P22=0,'Sismo UBC-94 y Dinamico'!N22,'Sismo UBC-94 y Dinamico'!P22)</f>
        <v>570.52584013255</v>
      </c>
      <c r="M13" s="52">
        <f t="shared" si="3"/>
        <v>-423.66089309564831</v>
      </c>
      <c r="N13" s="172">
        <f t="shared" si="1"/>
        <v>15</v>
      </c>
      <c r="O13" s="172">
        <f t="shared" si="2"/>
        <v>21</v>
      </c>
      <c r="P13" s="95">
        <f t="shared" si="4"/>
        <v>-379.11330416009332</v>
      </c>
      <c r="Q13" s="95">
        <f t="shared" si="5"/>
        <v>-44.547588935554813</v>
      </c>
      <c r="R13" s="95">
        <f t="shared" si="6"/>
        <v>-423.66089309564813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9.3563039458271196E-3</v>
      </c>
      <c r="F14" s="185">
        <v>8.4126525858525293E-3</v>
      </c>
      <c r="G14" s="186">
        <v>1.1121704896695199</v>
      </c>
      <c r="H14" s="42">
        <f t="shared" si="0"/>
        <v>0.92680874139126257</v>
      </c>
      <c r="I14" s="47">
        <f>+'Centers of Mass and Rigidity'!L13-'Centers of Mass and Rigidity'!F13</f>
        <v>2.2400329497738394</v>
      </c>
      <c r="J14" s="47">
        <f>+'Centers of Mass and Rigidity'!M13-'Centers of Mass and Rigidity'!G13</f>
        <v>-0.25083975172682926</v>
      </c>
      <c r="K14" s="172">
        <f>IF(+'Sismo UBC-94 y Dinamico'!O23=0,'Sismo UBC-94 y Dinamico'!M23,'Sismo UBC-94 y Dinamico'!O23)</f>
        <v>5717.9542026154086</v>
      </c>
      <c r="L14" s="172">
        <f>IF(+'Sismo UBC-94 y Dinamico'!P23=0,'Sismo UBC-94 y Dinamico'!N23,'Sismo UBC-94 y Dinamico'!P23)</f>
        <v>477.57552782989933</v>
      </c>
      <c r="M14" s="52">
        <f t="shared" si="3"/>
        <v>-350.5802702281386</v>
      </c>
      <c r="N14" s="172">
        <f t="shared" si="1"/>
        <v>15</v>
      </c>
      <c r="O14" s="172">
        <f t="shared" si="2"/>
        <v>21</v>
      </c>
      <c r="P14" s="95">
        <f t="shared" si="4"/>
        <v>-313.87819856740589</v>
      </c>
      <c r="Q14" s="95">
        <f t="shared" si="5"/>
        <v>-36.702071660732372</v>
      </c>
      <c r="R14" s="95">
        <f t="shared" si="6"/>
        <v>-350.58027022813826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6.2170811624462398E-3</v>
      </c>
      <c r="F15" s="185">
        <v>5.5920887703868397E-3</v>
      </c>
      <c r="G15" s="186">
        <v>1.11176367502767</v>
      </c>
      <c r="H15" s="42">
        <f t="shared" si="0"/>
        <v>0.92646972918972548</v>
      </c>
      <c r="I15" s="47">
        <f>+'Centers of Mass and Rigidity'!L14-'Centers of Mass and Rigidity'!F14</f>
        <v>2.2625972707148385</v>
      </c>
      <c r="J15" s="47">
        <f>+'Centers of Mass and Rigidity'!M14-'Centers of Mass and Rigidity'!G14</f>
        <v>-0.22738077623389952</v>
      </c>
      <c r="K15" s="172">
        <f>IF(+'Sismo UBC-94 y Dinamico'!O24=0,'Sismo UBC-94 y Dinamico'!M24,'Sismo UBC-94 y Dinamico'!O24)</f>
        <v>4412.2208669351967</v>
      </c>
      <c r="L15" s="172">
        <f>IF(+'Sismo UBC-94 y Dinamico'!P24=0,'Sismo UBC-94 y Dinamico'!N24,'Sismo UBC-94 y Dinamico'!P24)</f>
        <v>374.58758497314011</v>
      </c>
      <c r="M15" s="52">
        <f t="shared" si="3"/>
        <v>-272.24454930887077</v>
      </c>
      <c r="N15" s="172">
        <f t="shared" si="1"/>
        <v>15</v>
      </c>
      <c r="O15" s="172">
        <f t="shared" si="2"/>
        <v>21</v>
      </c>
      <c r="P15" s="95">
        <f t="shared" si="4"/>
        <v>-243.32384641536692</v>
      </c>
      <c r="Q15" s="95">
        <f t="shared" si="5"/>
        <v>-28.920702893503858</v>
      </c>
      <c r="R15" s="95">
        <f t="shared" si="6"/>
        <v>-272.24454930887077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3.0577625514980199E-3</v>
      </c>
      <c r="F16" s="188">
        <v>2.7672983512935E-3</v>
      </c>
      <c r="G16" s="189">
        <v>1.1049630951678</v>
      </c>
      <c r="H16" s="42">
        <f t="shared" si="0"/>
        <v>0.92080257930650133</v>
      </c>
      <c r="I16" s="47">
        <f>+'Centers of Mass and Rigidity'!L15-'Centers of Mass and Rigidity'!F15</f>
        <v>2.0788669643529296</v>
      </c>
      <c r="J16" s="47">
        <f>+'Centers of Mass and Rigidity'!M15-'Centers of Mass and Rigidity'!G15</f>
        <v>-0.13033358992726995</v>
      </c>
      <c r="K16" s="172">
        <f>IF(+'Sismo UBC-94 y Dinamico'!O25=0,'Sismo UBC-94 y Dinamico'!M25,'Sismo UBC-94 y Dinamico'!O25)</f>
        <v>2626.661163302706</v>
      </c>
      <c r="L16" s="172">
        <f>IF(+'Sismo UBC-94 y Dinamico'!P25=0,'Sismo UBC-94 y Dinamico'!N25,'Sismo UBC-94 y Dinamico'!P25)</f>
        <v>226.10651104208046</v>
      </c>
      <c r="M16" s="52">
        <f t="shared" si="3"/>
        <v>-174.82099697738505</v>
      </c>
      <c r="N16" s="172">
        <f t="shared" si="1"/>
        <v>15</v>
      </c>
      <c r="O16" s="172">
        <f t="shared" si="2"/>
        <v>21</v>
      </c>
      <c r="P16" s="95">
        <f t="shared" si="4"/>
        <v>-156.01859187701939</v>
      </c>
      <c r="Q16" s="95">
        <f t="shared" si="5"/>
        <v>-18.802405100365831</v>
      </c>
      <c r="R16" s="95">
        <f t="shared" si="6"/>
        <v>-174.82099697738522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2.4078415536339499E-2</v>
      </c>
      <c r="F24" s="185">
        <v>2.3815768875253301E-2</v>
      </c>
      <c r="G24" s="186">
        <v>1.01102826713099</v>
      </c>
      <c r="H24" s="42">
        <f>+E24/(1.2*F24)</f>
        <v>0.84252355594249129</v>
      </c>
      <c r="I24" s="47">
        <f t="shared" ref="I24:L28" si="7">+I6</f>
        <v>-2.3179786667787994</v>
      </c>
      <c r="J24" s="47">
        <f t="shared" si="7"/>
        <v>0.28046391384420044</v>
      </c>
      <c r="K24" s="48">
        <f>+K6</f>
        <v>1128.4957804944099</v>
      </c>
      <c r="L24" s="48">
        <f>+L6</f>
        <v>153.820749378892</v>
      </c>
      <c r="M24" s="52">
        <f>-0.05*N24*K24*(H24-1)-0.05*O24*L24*(H24-1)</f>
        <v>158.71792885079356</v>
      </c>
      <c r="N24" s="172">
        <f>+$N$3</f>
        <v>15</v>
      </c>
      <c r="O24" s="172">
        <f>+$O$3</f>
        <v>21</v>
      </c>
      <c r="P24" s="95">
        <f>+K24*(J24-0.05*N24*H24)-K24*(J24-0.05*N24)</f>
        <v>133.28362698462183</v>
      </c>
      <c r="Q24" s="95">
        <f>+L24*(I24-0.05*O24*H24)-L24*(I24-0.05*O24)</f>
        <v>25.434301866171552</v>
      </c>
      <c r="R24" s="95">
        <f>+P24+Q24</f>
        <v>158.71792885079338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2.3488545979633599E-2</v>
      </c>
      <c r="F25" s="185">
        <v>2.2585687415059001E-2</v>
      </c>
      <c r="G25" s="186">
        <v>1.0399748100636801</v>
      </c>
      <c r="H25" s="42">
        <f>+E25/(1.2*F25)</f>
        <v>0.86664567505306556</v>
      </c>
      <c r="I25" s="47">
        <f t="shared" si="7"/>
        <v>1.4774822057837405</v>
      </c>
      <c r="J25" s="47">
        <f t="shared" si="7"/>
        <v>-0.12998363677898972</v>
      </c>
      <c r="K25" s="48">
        <f t="shared" si="7"/>
        <v>12510.431409333491</v>
      </c>
      <c r="L25" s="48">
        <f t="shared" si="7"/>
        <v>1008.400969390708</v>
      </c>
      <c r="M25" s="52">
        <f>-0.05*N25*K25*(H25-1)-0.05*O25*L25*(H25-1)</f>
        <v>1392.4384636163238</v>
      </c>
      <c r="N25" s="172">
        <f t="shared" ref="N25:N34" si="8">+$N$3</f>
        <v>15</v>
      </c>
      <c r="O25" s="172">
        <f t="shared" ref="O25:O34" si="9">+$O$3</f>
        <v>21</v>
      </c>
      <c r="P25" s="95">
        <f>+K25*(J25-0.05*N25*H25)-K25*(J25-0.05*N25)</f>
        <v>1251.2401015399446</v>
      </c>
      <c r="Q25" s="95">
        <f>+L25*(I25-0.05*O25*H25)-L25*(I25-0.05*O25)</f>
        <v>141.19836207637883</v>
      </c>
      <c r="R25" s="95">
        <f>+P25+Q25</f>
        <v>1392.4384636163234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2.2402330921116698E-2</v>
      </c>
      <c r="F26" s="185">
        <v>2.1582989547660601E-2</v>
      </c>
      <c r="G26" s="186">
        <v>1.03796236715246</v>
      </c>
      <c r="H26" s="42">
        <f>+E26/(1.2*F26)</f>
        <v>0.86496863929372059</v>
      </c>
      <c r="I26" s="47">
        <f t="shared" si="7"/>
        <v>1.7667418514350803</v>
      </c>
      <c r="J26" s="47">
        <f t="shared" si="7"/>
        <v>-0.1962414901320999</v>
      </c>
      <c r="K26" s="48">
        <f t="shared" si="7"/>
        <v>14596.907513426198</v>
      </c>
      <c r="L26" s="48">
        <f t="shared" si="7"/>
        <v>1227.4079852672598</v>
      </c>
      <c r="M26" s="52">
        <f>-0.05*N26*K26*(H26-1)-0.05*O26*L26*(H26-1)</f>
        <v>1652.3057116432506</v>
      </c>
      <c r="N26" s="172">
        <f t="shared" si="8"/>
        <v>15</v>
      </c>
      <c r="O26" s="172">
        <f t="shared" si="9"/>
        <v>21</v>
      </c>
      <c r="P26" s="95">
        <f>+K26*(J26-0.05*N26*H26)-K26*(J26-0.05*N26)</f>
        <v>1478.2802127312389</v>
      </c>
      <c r="Q26" s="95">
        <f>+L26*(I26-0.05*O26*H26)-L26*(I26-0.05*O26)</f>
        <v>174.02549891201068</v>
      </c>
      <c r="R26" s="95">
        <f>+P26+Q26</f>
        <v>1652.3057116432497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2.0856394892296799E-2</v>
      </c>
      <c r="F27" s="185">
        <v>2.01322789163246E-2</v>
      </c>
      <c r="G27" s="186">
        <v>1.0359679089973799</v>
      </c>
      <c r="H27" s="42">
        <f>+E27/(1.2*F27)</f>
        <v>0.86330659083114858</v>
      </c>
      <c r="I27" s="47">
        <f t="shared" si="7"/>
        <v>1.8796466921369799</v>
      </c>
      <c r="J27" s="47">
        <f t="shared" si="7"/>
        <v>-0.21402874884511025</v>
      </c>
      <c r="K27" s="48">
        <f t="shared" si="7"/>
        <v>12415.547162106304</v>
      </c>
      <c r="L27" s="48">
        <f t="shared" si="7"/>
        <v>1034.71570044691</v>
      </c>
      <c r="M27" s="52">
        <f>-0.05*N27*K27*(H27-1)-0.05*O27*L27*(H27-1)</f>
        <v>1421.353358659082</v>
      </c>
      <c r="N27" s="172">
        <f t="shared" si="8"/>
        <v>15</v>
      </c>
      <c r="O27" s="172">
        <f t="shared" si="9"/>
        <v>21</v>
      </c>
      <c r="P27" s="95">
        <f>+K27*(J27-0.05*N27*H27)-K27*(J27-0.05*N27)</f>
        <v>1272.8426012137279</v>
      </c>
      <c r="Q27" s="95">
        <f>+L27*(I27-0.05*O27*H27)-L27*(I27-0.05*O27)</f>
        <v>148.51075744535535</v>
      </c>
      <c r="R27" s="95">
        <f>+P27+Q27</f>
        <v>1421.3533586590834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1.8913914075758799E-2</v>
      </c>
      <c r="F28" s="185">
        <v>1.8290447651844399E-2</v>
      </c>
      <c r="G28" s="186">
        <v>1.0340869964356201</v>
      </c>
      <c r="H28" s="42">
        <f>+E28/(1.2*F28)</f>
        <v>0.86173916369635384</v>
      </c>
      <c r="I28" s="47">
        <f t="shared" si="7"/>
        <v>1.9866497051158802</v>
      </c>
      <c r="J28" s="47">
        <f t="shared" si="7"/>
        <v>-0.23043737790360996</v>
      </c>
      <c r="K28" s="48">
        <f t="shared" si="7"/>
        <v>10551.660080957299</v>
      </c>
      <c r="L28" s="48">
        <f t="shared" si="7"/>
        <v>872.59755164795024</v>
      </c>
      <c r="M28" s="52">
        <f>-0.05*N28*K28*(H28-1)-0.05*O28*L28*(H28-1)</f>
        <v>1220.8393809984439</v>
      </c>
      <c r="N28" s="172">
        <f t="shared" si="8"/>
        <v>15</v>
      </c>
      <c r="O28" s="172">
        <f t="shared" si="9"/>
        <v>21</v>
      </c>
      <c r="P28" s="95">
        <f>+K28*(J28-0.05*N28*H28)-K28*(J28-0.05*N28)</f>
        <v>1094.161010388716</v>
      </c>
      <c r="Q28" s="95">
        <f>+L28*(I28-0.05*O28*H28)-L28*(I28-0.05*O28)</f>
        <v>126.67837060972749</v>
      </c>
      <c r="R28" s="95">
        <f>+P28+Q28</f>
        <v>1220.8393809984436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1.6640127111430401E-2</v>
      </c>
      <c r="F29" s="185">
        <v>1.61212252746047E-2</v>
      </c>
      <c r="G29" s="186">
        <v>1.0321874936915101</v>
      </c>
      <c r="H29" s="42">
        <f t="shared" ref="H29:H34" si="10">+E29/(1.2*F29)</f>
        <v>0.8601562447429224</v>
      </c>
      <c r="I29" s="47">
        <f t="shared" ref="I29:L34" si="11">+I11</f>
        <v>2.092009670233681</v>
      </c>
      <c r="J29" s="47">
        <f t="shared" si="11"/>
        <v>-0.24576823103247047</v>
      </c>
      <c r="K29" s="48">
        <f t="shared" si="11"/>
        <v>9067.8823574296985</v>
      </c>
      <c r="L29" s="48">
        <f t="shared" si="11"/>
        <v>752.36365788150943</v>
      </c>
      <c r="M29" s="52">
        <f t="shared" ref="M29:M34" si="12">-0.05*N29*K29*(H29-1)-0.05*O29*L29*(H29-1)</f>
        <v>1061.5390680182345</v>
      </c>
      <c r="N29" s="172">
        <f t="shared" si="8"/>
        <v>15</v>
      </c>
      <c r="O29" s="172">
        <f t="shared" si="9"/>
        <v>21</v>
      </c>
      <c r="P29" s="95">
        <f t="shared" ref="P29:P34" si="13">+K29*(J29-0.05*N29*H29)-K29*(J29-0.05*N29)</f>
        <v>951.06504081927869</v>
      </c>
      <c r="Q29" s="95">
        <f t="shared" ref="Q29:Q34" si="14">+L29*(I29-0.05*O29*H29)-L29*(I29-0.05*O29)</f>
        <v>110.47402719895649</v>
      </c>
      <c r="R29" s="95">
        <f t="shared" ref="R29:R34" si="15">+P29+Q29</f>
        <v>1061.5390680182352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1.4098886993074501E-2</v>
      </c>
      <c r="F30" s="185">
        <v>1.36861834659601E-2</v>
      </c>
      <c r="G30" s="186">
        <v>1.0301547563015601</v>
      </c>
      <c r="H30" s="42">
        <f t="shared" si="10"/>
        <v>0.85846229691796272</v>
      </c>
      <c r="I30" s="47">
        <f t="shared" si="11"/>
        <v>2.1981391968172801</v>
      </c>
      <c r="J30" s="47">
        <f t="shared" si="11"/>
        <v>-0.26058412822267041</v>
      </c>
      <c r="K30" s="48">
        <f t="shared" si="11"/>
        <v>7842.5540838779925</v>
      </c>
      <c r="L30" s="48">
        <f t="shared" si="11"/>
        <v>656.68036699355071</v>
      </c>
      <c r="M30" s="52">
        <f t="shared" si="12"/>
        <v>930.10510084005989</v>
      </c>
      <c r="N30" s="172">
        <f t="shared" si="8"/>
        <v>15</v>
      </c>
      <c r="O30" s="172">
        <f t="shared" si="9"/>
        <v>21</v>
      </c>
      <c r="P30" s="95">
        <f t="shared" si="13"/>
        <v>832.51281849655606</v>
      </c>
      <c r="Q30" s="95">
        <f t="shared" si="14"/>
        <v>97.592282343503257</v>
      </c>
      <c r="R30" s="95">
        <f t="shared" si="15"/>
        <v>930.10510084005932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1.1386061166661399E-2</v>
      </c>
      <c r="F31" s="185">
        <v>1.1072984748063E-2</v>
      </c>
      <c r="G31" s="186">
        <v>1.0282738959477999</v>
      </c>
      <c r="H31" s="42">
        <f t="shared" si="10"/>
        <v>0.85689491328984013</v>
      </c>
      <c r="I31" s="47">
        <f t="shared" si="11"/>
        <v>2.1719579238254401</v>
      </c>
      <c r="J31" s="47">
        <f t="shared" si="11"/>
        <v>-0.25260886109124936</v>
      </c>
      <c r="K31" s="48">
        <f t="shared" si="11"/>
        <v>6797.4837278842024</v>
      </c>
      <c r="L31" s="48">
        <f t="shared" si="11"/>
        <v>570.52584013255</v>
      </c>
      <c r="M31" s="52">
        <f t="shared" si="12"/>
        <v>815.29328103101022</v>
      </c>
      <c r="N31" s="172">
        <f t="shared" si="8"/>
        <v>15</v>
      </c>
      <c r="O31" s="172">
        <f t="shared" si="9"/>
        <v>21</v>
      </c>
      <c r="P31" s="95">
        <f t="shared" si="13"/>
        <v>729.56587371732712</v>
      </c>
      <c r="Q31" s="95">
        <f t="shared" si="14"/>
        <v>85.727407313683102</v>
      </c>
      <c r="R31" s="95">
        <f t="shared" si="15"/>
        <v>815.29328103101022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8.5748366177850702E-3</v>
      </c>
      <c r="F32" s="185">
        <v>8.3496895611027602E-3</v>
      </c>
      <c r="G32" s="186">
        <v>1.0269647218659701</v>
      </c>
      <c r="H32" s="42">
        <f t="shared" si="10"/>
        <v>0.85580393488830642</v>
      </c>
      <c r="I32" s="47">
        <f t="shared" si="11"/>
        <v>2.2400329497738394</v>
      </c>
      <c r="J32" s="47">
        <f t="shared" si="11"/>
        <v>-0.25083975172682926</v>
      </c>
      <c r="K32" s="48">
        <f t="shared" si="11"/>
        <v>5717.9542026154086</v>
      </c>
      <c r="L32" s="48">
        <f t="shared" si="11"/>
        <v>477.57552782989933</v>
      </c>
      <c r="M32" s="52">
        <f t="shared" si="12"/>
        <v>690.68760988155725</v>
      </c>
      <c r="N32" s="172">
        <f t="shared" si="8"/>
        <v>15</v>
      </c>
      <c r="O32" s="172">
        <f t="shared" si="9"/>
        <v>21</v>
      </c>
      <c r="P32" s="95">
        <f t="shared" si="13"/>
        <v>618.37987237950983</v>
      </c>
      <c r="Q32" s="95">
        <f t="shared" si="14"/>
        <v>72.307737502047189</v>
      </c>
      <c r="R32" s="95">
        <f t="shared" si="15"/>
        <v>690.68760988155702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5.6999605104248096E-3</v>
      </c>
      <c r="F33" s="185">
        <v>5.5526855319362198E-3</v>
      </c>
      <c r="G33" s="186">
        <v>1.0265231981248599</v>
      </c>
      <c r="H33" s="42">
        <f t="shared" si="10"/>
        <v>0.8554359984373836</v>
      </c>
      <c r="I33" s="47">
        <f t="shared" si="11"/>
        <v>2.2625972707148385</v>
      </c>
      <c r="J33" s="47">
        <f t="shared" si="11"/>
        <v>-0.22738077623389952</v>
      </c>
      <c r="K33" s="48">
        <f t="shared" si="11"/>
        <v>4412.2208669351967</v>
      </c>
      <c r="L33" s="48">
        <f t="shared" si="11"/>
        <v>374.58758497314011</v>
      </c>
      <c r="M33" s="52">
        <f t="shared" si="12"/>
        <v>535.24570245703478</v>
      </c>
      <c r="N33" s="172">
        <f t="shared" si="8"/>
        <v>15</v>
      </c>
      <c r="O33" s="172">
        <f t="shared" si="9"/>
        <v>21</v>
      </c>
      <c r="P33" s="95">
        <f t="shared" si="13"/>
        <v>478.38622822667094</v>
      </c>
      <c r="Q33" s="95">
        <f t="shared" si="14"/>
        <v>56.859474230363503</v>
      </c>
      <c r="R33" s="95">
        <f t="shared" si="15"/>
        <v>535.24570245703444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2.8330385547833E-3</v>
      </c>
      <c r="F34" s="188">
        <v>2.7520334477351802E-3</v>
      </c>
      <c r="G34" s="189">
        <v>1.0294346375458401</v>
      </c>
      <c r="H34" s="42">
        <f t="shared" si="10"/>
        <v>0.85786219795486862</v>
      </c>
      <c r="I34" s="47">
        <f t="shared" si="11"/>
        <v>2.0788669643529296</v>
      </c>
      <c r="J34" s="47">
        <f t="shared" si="11"/>
        <v>-0.13033358992726995</v>
      </c>
      <c r="K34" s="48">
        <f t="shared" si="11"/>
        <v>2626.661163302706</v>
      </c>
      <c r="L34" s="48">
        <f t="shared" si="11"/>
        <v>226.10651104208046</v>
      </c>
      <c r="M34" s="52">
        <f t="shared" si="12"/>
        <v>313.75607998486117</v>
      </c>
      <c r="N34" s="172">
        <f t="shared" si="8"/>
        <v>15</v>
      </c>
      <c r="O34" s="172">
        <f t="shared" si="9"/>
        <v>21</v>
      </c>
      <c r="P34" s="95">
        <f t="shared" si="13"/>
        <v>280.01088335186591</v>
      </c>
      <c r="Q34" s="95">
        <f t="shared" si="14"/>
        <v>33.74519663299526</v>
      </c>
      <c r="R34" s="95">
        <f t="shared" si="15"/>
        <v>313.75607998486117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2.5662983354547399E-2</v>
      </c>
      <c r="F42" s="185">
        <v>2.5325505448038702E-2</v>
      </c>
      <c r="G42" s="186">
        <v>1.0133256138639</v>
      </c>
      <c r="H42" s="42">
        <f>+E42/(1.2*F42)</f>
        <v>0.84443801155325127</v>
      </c>
      <c r="I42" s="181">
        <f>+I24</f>
        <v>-2.3179786667787994</v>
      </c>
      <c r="J42" s="181">
        <f>+J24</f>
        <v>0.28046391384420044</v>
      </c>
      <c r="K42" s="48">
        <f>IF(+'Sismo UBC-94 y Dinamico'!O34=0,'Sismo UBC-94 y Dinamico'!M34,'Sismo UBC-94 y Dinamico'!O34)</f>
        <v>175.7025122298364</v>
      </c>
      <c r="L42" s="48">
        <f>IF(+'Sismo UBC-94 y Dinamico'!P34=0,'Sismo UBC-94 y Dinamico'!N34,'Sismo UBC-94 y Dinamico'!P34)</f>
        <v>1048.1870473643935</v>
      </c>
      <c r="M42" s="52">
        <f>0.05*N42*K42*(H42-1)+0.05*O42*L42*(H42-1)</f>
        <v>-191.71043855290992</v>
      </c>
      <c r="N42" s="172">
        <f>+$N$3</f>
        <v>15</v>
      </c>
      <c r="O42" s="172">
        <f>+$O$3</f>
        <v>21</v>
      </c>
      <c r="P42" s="95">
        <f>+K42*(J42+0.05*N42*H42)-K42*(J42+0.05*N42)</f>
        <v>-20.499474133171901</v>
      </c>
      <c r="Q42" s="95">
        <f>+L42*(I42+0.05*O42*H42)-L42*(I42+0.05*O42)</f>
        <v>-171.21096441973827</v>
      </c>
      <c r="R42" s="95">
        <f>+P42+Q42</f>
        <v>-191.71043855291018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2.7450373723484599E-2</v>
      </c>
      <c r="F43" s="185">
        <v>2.5585329715119998E-2</v>
      </c>
      <c r="G43" s="186">
        <v>1.0728950546712099</v>
      </c>
      <c r="H43" s="42">
        <f t="shared" ref="H43:H52" si="16">+E43/(1.2*F43)</f>
        <v>0.89407921222600817</v>
      </c>
      <c r="I43" s="181">
        <f t="shared" ref="I43:J43" si="17">+I25</f>
        <v>1.4774822057837405</v>
      </c>
      <c r="J43" s="181">
        <f t="shared" si="17"/>
        <v>-0.12998363677898972</v>
      </c>
      <c r="K43" s="48">
        <f>IF(+'Sismo UBC-94 y Dinamico'!O35=0,'Sismo UBC-94 y Dinamico'!M35,'Sismo UBC-94 y Dinamico'!O35)</f>
        <v>1293.8376896819041</v>
      </c>
      <c r="L43" s="48">
        <f>IF(+'Sismo UBC-94 y Dinamico'!P35=0,'Sismo UBC-94 y Dinamico'!N35,'Sismo UBC-94 y Dinamico'!P35)</f>
        <v>11810.848780333592</v>
      </c>
      <c r="M43" s="52">
        <f>0.05*N43*K43*(H43-1)+0.05*O43*L43*(H43-1)</f>
        <v>-1416.3483579541378</v>
      </c>
      <c r="N43" s="172">
        <f t="shared" ref="N43:N52" si="18">+$N$3</f>
        <v>15</v>
      </c>
      <c r="O43" s="172">
        <f t="shared" ref="O43:O52" si="19">+$O$3</f>
        <v>21</v>
      </c>
      <c r="P43" s="95">
        <f>+K43*(J43+0.05*N43*H43)-K43*(J43+0.05*N43)</f>
        <v>-102.7832305070915</v>
      </c>
      <c r="Q43" s="95">
        <f>+L43*(I43+0.05*O43*H43)-L43*(I43+0.05*O43)</f>
        <v>-1313.5651274470401</v>
      </c>
      <c r="R43" s="95">
        <f>+P43+Q43</f>
        <v>-1416.3483579541316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2.6360720205516101E-2</v>
      </c>
      <c r="F44" s="185">
        <v>2.43434537282636E-2</v>
      </c>
      <c r="G44" s="186">
        <v>1.08286689718601</v>
      </c>
      <c r="H44" s="42">
        <f t="shared" si="16"/>
        <v>0.9023890809883448</v>
      </c>
      <c r="I44" s="181">
        <f t="shared" ref="I44:J44" si="20">+I26</f>
        <v>1.7667418514350803</v>
      </c>
      <c r="J44" s="181">
        <f t="shared" si="20"/>
        <v>-0.1962414901320999</v>
      </c>
      <c r="K44" s="48">
        <f>IF(+'Sismo UBC-94 y Dinamico'!O36=0,'Sismo UBC-94 y Dinamico'!M36,'Sismo UBC-94 y Dinamico'!O36)</f>
        <v>1492.1265217629082</v>
      </c>
      <c r="L44" s="48">
        <f>IF(+'Sismo UBC-94 y Dinamico'!P36=0,'Sismo UBC-94 y Dinamico'!N36,'Sismo UBC-94 y Dinamico'!P36)</f>
        <v>13942.661659178559</v>
      </c>
      <c r="M44" s="52">
        <f>0.05*N44*K44*(H44-1)+0.05*O44*L44*(H44-1)</f>
        <v>-1538.2396997252442</v>
      </c>
      <c r="N44" s="172">
        <f t="shared" si="18"/>
        <v>15</v>
      </c>
      <c r="O44" s="172">
        <f t="shared" si="19"/>
        <v>21</v>
      </c>
      <c r="P44" s="95">
        <f>+K44*(J44+0.05*N44*H44)-K44*(J44+0.05*N44)</f>
        <v>-109.23588080320656</v>
      </c>
      <c r="Q44" s="95">
        <f>+L44*(I44+0.05*O44*H44)-L44*(I44+0.05*O44)</f>
        <v>-1429.0038189220359</v>
      </c>
      <c r="R44" s="95">
        <f>+P44+Q44</f>
        <v>-1538.2396997252424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2.4715293234073E-2</v>
      </c>
      <c r="F45" s="185">
        <v>2.26250566402721E-2</v>
      </c>
      <c r="G45" s="186">
        <v>1.0923859165099401</v>
      </c>
      <c r="H45" s="42">
        <f t="shared" si="16"/>
        <v>0.91032159709161886</v>
      </c>
      <c r="I45" s="181">
        <f t="shared" ref="I45:J45" si="21">+I27</f>
        <v>1.8796466921369799</v>
      </c>
      <c r="J45" s="181">
        <f t="shared" si="21"/>
        <v>-0.21402874884511025</v>
      </c>
      <c r="K45" s="48">
        <f>IF(+'Sismo UBC-94 y Dinamico'!O37=0,'Sismo UBC-94 y Dinamico'!M37,'Sismo UBC-94 y Dinamico'!O37)</f>
        <v>1240.4743312450851</v>
      </c>
      <c r="L45" s="48">
        <f>IF(+'Sismo UBC-94 y Dinamico'!P37=0,'Sismo UBC-94 y Dinamico'!N37,'Sismo UBC-94 y Dinamico'!P37)</f>
        <v>11643.384812003243</v>
      </c>
      <c r="M45" s="52">
        <f>0.05*N45*K45*(H45-1)+0.05*O45*L45*(H45-1)</f>
        <v>-1179.800979763736</v>
      </c>
      <c r="N45" s="172">
        <f t="shared" si="18"/>
        <v>15</v>
      </c>
      <c r="O45" s="172">
        <f t="shared" si="19"/>
        <v>21</v>
      </c>
      <c r="P45" s="95">
        <f>+K45*(J45+0.05*N45*H45)-K45*(J45+0.05*N45)</f>
        <v>-83.432817656176098</v>
      </c>
      <c r="Q45" s="95">
        <f>+L45*(I45+0.05*O45*H45)-L45*(I45+0.05*O45)</f>
        <v>-1096.3681621075593</v>
      </c>
      <c r="R45" s="95">
        <f>+P45+Q45</f>
        <v>-1179.8009797637355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2.2562592863643701E-2</v>
      </c>
      <c r="F46" s="185">
        <v>2.0482878939043801E-2</v>
      </c>
      <c r="G46" s="186">
        <v>1.1015342584794401</v>
      </c>
      <c r="H46" s="42">
        <f t="shared" si="16"/>
        <v>0.91794521539953122</v>
      </c>
      <c r="I46" s="181">
        <f t="shared" ref="I46:J46" si="22">+I28</f>
        <v>1.9866497051158802</v>
      </c>
      <c r="J46" s="181">
        <f t="shared" si="22"/>
        <v>-0.23043737790360996</v>
      </c>
      <c r="K46" s="48">
        <f>IF(+'Sismo UBC-94 y Dinamico'!O38=0,'Sismo UBC-94 y Dinamico'!M38,'Sismo UBC-94 y Dinamico'!O38)</f>
        <v>1048.5973931393821</v>
      </c>
      <c r="L46" s="48">
        <f>IF(+'Sismo UBC-94 y Dinamico'!P38=0,'Sismo UBC-94 y Dinamico'!N38,'Sismo UBC-94 y Dinamico'!P38)</f>
        <v>9645.7063802347438</v>
      </c>
      <c r="M46" s="52">
        <f>0.05*N46*K46*(H46-1)+0.05*O46*L46*(H46-1)</f>
        <v>-895.58200223700464</v>
      </c>
      <c r="N46" s="172">
        <f t="shared" si="18"/>
        <v>15</v>
      </c>
      <c r="O46" s="172">
        <f t="shared" si="19"/>
        <v>21</v>
      </c>
      <c r="P46" s="95">
        <f>+K46*(J46+0.05*N46*H46)-K46*(J46+0.05*N46)</f>
        <v>-64.531824919998712</v>
      </c>
      <c r="Q46" s="95">
        <f>+L46*(I46+0.05*O46*H46)-L46*(I46+0.05*O46)</f>
        <v>-831.05017731699991</v>
      </c>
      <c r="R46" s="95">
        <f>+P46+Q46</f>
        <v>-895.58200223699862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1.9993499885898301E-2</v>
      </c>
      <c r="F47" s="185">
        <v>1.7996471421093799E-2</v>
      </c>
      <c r="G47" s="186">
        <v>1.1109677790760499</v>
      </c>
      <c r="H47" s="42">
        <f t="shared" si="16"/>
        <v>0.9258064825633805</v>
      </c>
      <c r="I47" s="181">
        <f t="shared" ref="I47:J47" si="23">+I29</f>
        <v>2.092009670233681</v>
      </c>
      <c r="J47" s="181">
        <f t="shared" si="23"/>
        <v>-0.24576823103247047</v>
      </c>
      <c r="K47" s="48">
        <f>IF(+'Sismo UBC-94 y Dinamico'!O39=0,'Sismo UBC-94 y Dinamico'!M39,'Sismo UBC-94 y Dinamico'!O39)</f>
        <v>902.80270823573437</v>
      </c>
      <c r="L47" s="48">
        <f>IF(+'Sismo UBC-94 y Dinamico'!P39=0,'Sismo UBC-94 y Dinamico'!N39,'Sismo UBC-94 y Dinamico'!P39)</f>
        <v>8172.2376211782039</v>
      </c>
      <c r="M47" s="52">
        <f t="shared" ref="M47:M52" si="24">0.05*N47*K47*(H47-1)+0.05*O47*L47*(H47-1)</f>
        <v>-686.8799885217237</v>
      </c>
      <c r="N47" s="172">
        <f t="shared" si="18"/>
        <v>15</v>
      </c>
      <c r="O47" s="172">
        <f t="shared" si="19"/>
        <v>21</v>
      </c>
      <c r="P47" s="95">
        <f t="shared" ref="P47:P52" si="25">+K47*(J47+0.05*N47*H47)-K47*(J47+0.05*N47)</f>
        <v>-50.236581356486454</v>
      </c>
      <c r="Q47" s="95">
        <f t="shared" ref="Q47:Q52" si="26">+L47*(I47+0.05*O47*H47)-L47*(I47+0.05*O47)</f>
        <v>-636.64340716523293</v>
      </c>
      <c r="R47" s="95">
        <f t="shared" ref="R47:R52" si="27">+P47+Q47</f>
        <v>-686.87998852171938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1.7085293764624698E-2</v>
      </c>
      <c r="F48" s="185">
        <v>1.52372836542915E-2</v>
      </c>
      <c r="G48" s="186">
        <v>1.1212821229991801</v>
      </c>
      <c r="H48" s="42">
        <f t="shared" si="16"/>
        <v>0.93440176916598461</v>
      </c>
      <c r="I48" s="181">
        <f t="shared" ref="I48:J48" si="28">+I30</f>
        <v>2.1981391968172801</v>
      </c>
      <c r="J48" s="181">
        <f t="shared" si="28"/>
        <v>-0.26058412822267041</v>
      </c>
      <c r="K48" s="48">
        <f>IF(+'Sismo UBC-94 y Dinamico'!O40=0,'Sismo UBC-94 y Dinamico'!M40,'Sismo UBC-94 y Dinamico'!O40)</f>
        <v>786.88770570279416</v>
      </c>
      <c r="L48" s="48">
        <f>IF(+'Sismo UBC-94 y Dinamico'!P40=0,'Sismo UBC-94 y Dinamico'!N40,'Sismo UBC-94 y Dinamico'!P40)</f>
        <v>7134.0175027716487</v>
      </c>
      <c r="M48" s="52">
        <f t="shared" si="24"/>
        <v>-530.09170428611219</v>
      </c>
      <c r="N48" s="172">
        <f t="shared" si="18"/>
        <v>15</v>
      </c>
      <c r="O48" s="172">
        <f t="shared" si="19"/>
        <v>21</v>
      </c>
      <c r="P48" s="95">
        <f t="shared" si="25"/>
        <v>-38.713831019355496</v>
      </c>
      <c r="Q48" s="95">
        <f t="shared" si="26"/>
        <v>-491.37787326675243</v>
      </c>
      <c r="R48" s="95">
        <f t="shared" si="27"/>
        <v>-530.09170428610787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1.38974633765198E-2</v>
      </c>
      <c r="F49" s="185">
        <v>1.22765248353548E-2</v>
      </c>
      <c r="G49" s="186">
        <v>1.13203561780749</v>
      </c>
      <c r="H49" s="42">
        <f t="shared" si="16"/>
        <v>0.94336301483957063</v>
      </c>
      <c r="I49" s="181">
        <f t="shared" ref="I49:J49" si="29">+I31</f>
        <v>2.1719579238254401</v>
      </c>
      <c r="J49" s="181">
        <f t="shared" si="29"/>
        <v>-0.25260886109124936</v>
      </c>
      <c r="K49" s="48">
        <f>IF(+'Sismo UBC-94 y Dinamico'!O41=0,'Sismo UBC-94 y Dinamico'!M41,'Sismo UBC-94 y Dinamico'!O41)</f>
        <v>685.48149057180876</v>
      </c>
      <c r="L49" s="48">
        <f>IF(+'Sismo UBC-94 y Dinamico'!P41=0,'Sismo UBC-94 y Dinamico'!N41,'Sismo UBC-94 y Dinamico'!P41)</f>
        <v>6313.2413410808867</v>
      </c>
      <c r="M49" s="52">
        <f t="shared" si="24"/>
        <v>-404.55880771340611</v>
      </c>
      <c r="N49" s="172">
        <f t="shared" si="18"/>
        <v>15</v>
      </c>
      <c r="O49" s="172">
        <f t="shared" si="19"/>
        <v>21</v>
      </c>
      <c r="P49" s="95">
        <f t="shared" si="25"/>
        <v>-29.117703756948401</v>
      </c>
      <c r="Q49" s="95">
        <f t="shared" si="26"/>
        <v>-375.44110395645839</v>
      </c>
      <c r="R49" s="95">
        <f t="shared" si="27"/>
        <v>-404.55880771340679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1.0487089501414901E-2</v>
      </c>
      <c r="F50" s="185">
        <v>9.1774328771969706E-3</v>
      </c>
      <c r="G50" s="186">
        <v>1.14270402646823</v>
      </c>
      <c r="H50" s="42">
        <f t="shared" si="16"/>
        <v>0.95225335539019262</v>
      </c>
      <c r="I50" s="181">
        <f t="shared" ref="I50:J50" si="30">+I32</f>
        <v>2.2400329497738394</v>
      </c>
      <c r="J50" s="181">
        <f t="shared" si="30"/>
        <v>-0.25083975172682926</v>
      </c>
      <c r="K50" s="48">
        <f>IF(+'Sismo UBC-94 y Dinamico'!O42=0,'Sismo UBC-94 y Dinamico'!M42,'Sismo UBC-94 y Dinamico'!O42)</f>
        <v>582.52830092804663</v>
      </c>
      <c r="L50" s="48">
        <f>IF(+'Sismo UBC-94 y Dinamico'!P42=0,'Sismo UBC-94 y Dinamico'!N42,'Sismo UBC-94 y Dinamico'!P42)</f>
        <v>5441.3124414376616</v>
      </c>
      <c r="M50" s="52">
        <f t="shared" si="24"/>
        <v>-293.65496073953443</v>
      </c>
      <c r="N50" s="172">
        <f t="shared" si="18"/>
        <v>15</v>
      </c>
      <c r="O50" s="172">
        <f t="shared" si="19"/>
        <v>21</v>
      </c>
      <c r="P50" s="95">
        <f t="shared" si="25"/>
        <v>-20.860328819674805</v>
      </c>
      <c r="Q50" s="95">
        <f t="shared" si="26"/>
        <v>-272.79463191985633</v>
      </c>
      <c r="R50" s="95">
        <f t="shared" si="27"/>
        <v>-293.65496073953113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6.9247827911915298E-3</v>
      </c>
      <c r="F51" s="185">
        <v>5.9999900374392403E-3</v>
      </c>
      <c r="G51" s="186">
        <v>1.1541323815509199</v>
      </c>
      <c r="H51" s="42">
        <f t="shared" si="16"/>
        <v>0.96177698462576466</v>
      </c>
      <c r="I51" s="181">
        <f t="shared" ref="I51:J51" si="31">+I33</f>
        <v>2.2625972707148385</v>
      </c>
      <c r="J51" s="181">
        <f t="shared" si="31"/>
        <v>-0.22738077623389952</v>
      </c>
      <c r="K51" s="48">
        <f>IF(+'Sismo UBC-94 y Dinamico'!O43=0,'Sismo UBC-94 y Dinamico'!M43,'Sismo UBC-94 y Dinamico'!O43)</f>
        <v>465.63593230315536</v>
      </c>
      <c r="L51" s="48">
        <f>IF(+'Sismo UBC-94 y Dinamico'!P43=0,'Sismo UBC-94 y Dinamico'!N43,'Sismo UBC-94 y Dinamico'!P43)</f>
        <v>4330.2303435139984</v>
      </c>
      <c r="M51" s="52">
        <f t="shared" si="24"/>
        <v>-187.13869109323664</v>
      </c>
      <c r="N51" s="172">
        <f t="shared" si="18"/>
        <v>15</v>
      </c>
      <c r="O51" s="172">
        <f t="shared" si="19"/>
        <v>21</v>
      </c>
      <c r="P51" s="95">
        <f t="shared" si="25"/>
        <v>-13.348507049414906</v>
      </c>
      <c r="Q51" s="95">
        <f t="shared" si="26"/>
        <v>-173.79018404381895</v>
      </c>
      <c r="R51" s="95">
        <f t="shared" si="27"/>
        <v>-187.13869109323386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3.3166823594037902E-3</v>
      </c>
      <c r="F52" s="188">
        <v>2.8456645395188401E-3</v>
      </c>
      <c r="G52" s="189">
        <v>1.1655212036920499</v>
      </c>
      <c r="H52" s="42">
        <f t="shared" si="16"/>
        <v>0.97126766974337753</v>
      </c>
      <c r="I52" s="181">
        <f t="shared" ref="I52:J52" si="32">+I34</f>
        <v>2.0788669643529296</v>
      </c>
      <c r="J52" s="181">
        <f t="shared" si="32"/>
        <v>-0.13033358992726995</v>
      </c>
      <c r="K52" s="48">
        <f>IF(+'Sismo UBC-94 y Dinamico'!O44=0,'Sismo UBC-94 y Dinamico'!M44,'Sismo UBC-94 y Dinamico'!O44)</f>
        <v>298.14409678650509</v>
      </c>
      <c r="L52" s="48">
        <f>IF(+'Sismo UBC-94 y Dinamico'!P44=0,'Sismo UBC-94 y Dinamico'!N44,'Sismo UBC-94 y Dinamico'!P44)</f>
        <v>2624.0819157329802</v>
      </c>
      <c r="M52" s="52">
        <f t="shared" si="24"/>
        <v>-85.590568624133326</v>
      </c>
      <c r="N52" s="172">
        <f t="shared" si="18"/>
        <v>15</v>
      </c>
      <c r="O52" s="172">
        <f t="shared" si="19"/>
        <v>21</v>
      </c>
      <c r="P52" s="95">
        <f t="shared" si="25"/>
        <v>-6.424780989699201</v>
      </c>
      <c r="Q52" s="95">
        <f t="shared" si="26"/>
        <v>-79.165787634435219</v>
      </c>
      <c r="R52" s="95">
        <f t="shared" si="27"/>
        <v>-85.59056862413442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2.3029165696140299E-2</v>
      </c>
      <c r="F60" s="185">
        <v>2.12588479352805E-2</v>
      </c>
      <c r="G60" s="186">
        <v>1.0832743978530399</v>
      </c>
      <c r="H60" s="42">
        <f>+E60/(1.2*F60)</f>
        <v>0.90272866487753223</v>
      </c>
      <c r="I60" s="181">
        <f>+I42</f>
        <v>-2.3179786667787994</v>
      </c>
      <c r="J60" s="181">
        <f>+J42</f>
        <v>0.28046391384420044</v>
      </c>
      <c r="K60" s="48">
        <f>+K42</f>
        <v>175.7025122298364</v>
      </c>
      <c r="L60" s="48">
        <f>+L42</f>
        <v>1048.1870473643935</v>
      </c>
      <c r="M60" s="52">
        <f>-0.05*N60*K60*(H60-1)-0.05*O60*L60*(H60-1)</f>
        <v>119.87459469469844</v>
      </c>
      <c r="N60" s="172">
        <f>+$N$3</f>
        <v>15</v>
      </c>
      <c r="O60" s="172">
        <f>+$O$3</f>
        <v>21</v>
      </c>
      <c r="P60" s="95">
        <f>+K60*(J60-0.05*N60*H60)-K60*(J60-0.05*N60)</f>
        <v>12.818113461725943</v>
      </c>
      <c r="Q60" s="95">
        <f>+L60*(I60-0.05*O60*H60)-L60*(I60-0.05*O60)</f>
        <v>107.05648123297215</v>
      </c>
      <c r="R60" s="95">
        <f>+P60+Q60</f>
        <v>119.87459469469809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3.3828989306081102E-2</v>
      </c>
      <c r="F61" s="185">
        <v>2.6123220969509101E-2</v>
      </c>
      <c r="G61" s="186">
        <v>1.2949777267346201</v>
      </c>
      <c r="H61" s="42">
        <f t="shared" ref="H61:H70" si="33">+E61/(1.2*F61)</f>
        <v>1.079148105612185</v>
      </c>
      <c r="I61" s="181">
        <f t="shared" ref="I61:J61" si="34">+I43</f>
        <v>1.4774822057837405</v>
      </c>
      <c r="J61" s="181">
        <f t="shared" si="34"/>
        <v>-0.12998363677898972</v>
      </c>
      <c r="K61" s="48">
        <f t="shared" ref="K61:L64" si="35">+K43</f>
        <v>1293.8376896819041</v>
      </c>
      <c r="L61" s="48">
        <f t="shared" si="35"/>
        <v>11810.848780333592</v>
      </c>
      <c r="M61" s="52">
        <f>-0.05*N61*K61*(H61-1)-0.05*O61*L61*(H61-1)</f>
        <v>-1058.3502235481355</v>
      </c>
      <c r="N61" s="172">
        <f t="shared" ref="N61:N70" si="36">+$N$3</f>
        <v>15</v>
      </c>
      <c r="O61" s="172">
        <f t="shared" ref="O61:O70" si="37">+$O$3</f>
        <v>21</v>
      </c>
      <c r="P61" s="95">
        <f>+K61*(J61-0.05*N61*H61)-K61*(J61-0.05*N61)</f>
        <v>-76.803601580976647</v>
      </c>
      <c r="Q61" s="95">
        <f>+L61*(I61-0.05*O61*H61)-L61*(I61-0.05*O61)</f>
        <v>-981.5466219671589</v>
      </c>
      <c r="R61" s="95">
        <f>+P61+Q61</f>
        <v>-1058.3502235481355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3.2525142896150203E-2</v>
      </c>
      <c r="F62" s="185">
        <v>2.4891564756283999E-2</v>
      </c>
      <c r="G62" s="186">
        <v>1.30667329332677</v>
      </c>
      <c r="H62" s="42">
        <f t="shared" si="33"/>
        <v>1.0888944111056429</v>
      </c>
      <c r="I62" s="181">
        <f t="shared" ref="I62:J62" si="38">+I44</f>
        <v>1.7667418514350803</v>
      </c>
      <c r="J62" s="181">
        <f t="shared" si="38"/>
        <v>-0.1962414901320999</v>
      </c>
      <c r="K62" s="48">
        <f t="shared" si="35"/>
        <v>1492.1265217629082</v>
      </c>
      <c r="L62" s="48">
        <f t="shared" si="35"/>
        <v>13942.661659178559</v>
      </c>
      <c r="M62" s="52">
        <f>-0.05*N62*K62*(H62-1)-0.05*O62*L62*(H62-1)</f>
        <v>-1400.8772136452178</v>
      </c>
      <c r="N62" s="172">
        <f t="shared" si="36"/>
        <v>15</v>
      </c>
      <c r="O62" s="172">
        <f t="shared" si="37"/>
        <v>21</v>
      </c>
      <c r="P62" s="95">
        <f>+K62*(J62-0.05*N62*H62)-K62*(J62-0.05*N62)</f>
        <v>-99.481281335418771</v>
      </c>
      <c r="Q62" s="95">
        <f>+L62*(I62-0.05*O62*H62)-L62*(I62-0.05*O62)</f>
        <v>-1301.3959323098006</v>
      </c>
      <c r="R62" s="95">
        <f>+P62+Q62</f>
        <v>-1400.8772136452194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3.0528249585602098E-2</v>
      </c>
      <c r="F63" s="185">
        <v>2.31690934687756E-2</v>
      </c>
      <c r="G63" s="186">
        <v>1.3176281422812</v>
      </c>
      <c r="H63" s="42">
        <f t="shared" si="33"/>
        <v>1.0980234519009935</v>
      </c>
      <c r="I63" s="181">
        <f t="shared" ref="I63:J63" si="39">+I45</f>
        <v>1.8796466921369799</v>
      </c>
      <c r="J63" s="181">
        <f t="shared" si="39"/>
        <v>-0.21402874884511025</v>
      </c>
      <c r="K63" s="48">
        <f t="shared" si="35"/>
        <v>1240.4743312450851</v>
      </c>
      <c r="L63" s="48">
        <f t="shared" si="35"/>
        <v>11643.384812003243</v>
      </c>
      <c r="M63" s="52">
        <f>-0.05*N63*K63*(H63-1)-0.05*O63*L63*(H63-1)</f>
        <v>-1289.5876915957806</v>
      </c>
      <c r="N63" s="172">
        <f t="shared" si="36"/>
        <v>15</v>
      </c>
      <c r="O63" s="172">
        <f t="shared" si="37"/>
        <v>21</v>
      </c>
      <c r="P63" s="95">
        <f>+K63*(J63-0.05*N63*H63)-K63*(J63-0.05*N63)</f>
        <v>-91.196681957414739</v>
      </c>
      <c r="Q63" s="95">
        <f>+L63*(I63-0.05*O63*H63)-L63*(I63-0.05*O63)</f>
        <v>-1198.3910096383661</v>
      </c>
      <c r="R63" s="95">
        <f>+P63+Q63</f>
        <v>-1289.5876915957808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2.7897411755004702E-2</v>
      </c>
      <c r="F64" s="185">
        <v>2.1006356747794001E-2</v>
      </c>
      <c r="G64" s="186">
        <v>1.3280461762097</v>
      </c>
      <c r="H64" s="42">
        <f t="shared" si="33"/>
        <v>1.1067051468414186</v>
      </c>
      <c r="I64" s="181">
        <f t="shared" ref="I64:J64" si="40">+I46</f>
        <v>1.9866497051158802</v>
      </c>
      <c r="J64" s="181">
        <f t="shared" si="40"/>
        <v>-0.23043737790360996</v>
      </c>
      <c r="K64" s="48">
        <f t="shared" si="35"/>
        <v>1048.5973931393821</v>
      </c>
      <c r="L64" s="48">
        <f t="shared" si="35"/>
        <v>9645.7063802347438</v>
      </c>
      <c r="M64" s="52">
        <f>-0.05*N64*K64*(H64-1)-0.05*O64*L64*(H64-1)</f>
        <v>-1164.6268955861149</v>
      </c>
      <c r="N64" s="172">
        <f t="shared" si="36"/>
        <v>15</v>
      </c>
      <c r="O64" s="172">
        <f t="shared" si="37"/>
        <v>21</v>
      </c>
      <c r="P64" s="95">
        <f>+K64*(J64-0.05*N64*H64)-K64*(J64-0.05*N64)</f>
        <v>-83.918054109349896</v>
      </c>
      <c r="Q64" s="95">
        <f>+L64*(I64-0.05*O64*H64)-L64*(I64-0.05*O64)</f>
        <v>-1080.708841476765</v>
      </c>
      <c r="R64" s="95">
        <f>+P64+Q64</f>
        <v>-1164.6268955861149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2.4744714840286602E-2</v>
      </c>
      <c r="F65" s="185">
        <v>1.8485149205101199E-2</v>
      </c>
      <c r="G65" s="186">
        <v>1.3386267303407999</v>
      </c>
      <c r="H65" s="42">
        <f t="shared" si="33"/>
        <v>1.1155222752840066</v>
      </c>
      <c r="I65" s="181">
        <f t="shared" ref="I65:J65" si="41">+I47</f>
        <v>2.092009670233681</v>
      </c>
      <c r="J65" s="181">
        <f t="shared" si="41"/>
        <v>-0.24576823103247047</v>
      </c>
      <c r="K65" s="48">
        <f t="shared" ref="K65:L70" si="42">+K47</f>
        <v>902.80270823573437</v>
      </c>
      <c r="L65" s="48">
        <f t="shared" si="42"/>
        <v>8172.2376211782039</v>
      </c>
      <c r="M65" s="52">
        <f t="shared" ref="M65:M70" si="43">-0.05*N65*K65*(H65-1)-0.05*O65*L65*(H65-1)</f>
        <v>-1069.4996256090335</v>
      </c>
      <c r="N65" s="172">
        <f t="shared" si="36"/>
        <v>15</v>
      </c>
      <c r="O65" s="172">
        <f t="shared" si="37"/>
        <v>21</v>
      </c>
      <c r="P65" s="95">
        <f t="shared" ref="P65:P70" si="44">+K65*(J65-0.05*N65*H65)-K65*(J65-0.05*N65)</f>
        <v>-78.220367240966425</v>
      </c>
      <c r="Q65" s="95">
        <f t="shared" ref="Q65:Q70" si="45">+L65*(I65-0.05*O65*H65)-L65*(I65-0.05*O65)</f>
        <v>-991.27925836806662</v>
      </c>
      <c r="R65" s="95">
        <f t="shared" ref="R65:R70" si="46">+P65+Q65</f>
        <v>-1069.499625609033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2.1165344541977601E-2</v>
      </c>
      <c r="F66" s="185">
        <v>1.5678328299081098E-2</v>
      </c>
      <c r="G66" s="186">
        <v>1.3499745724305301</v>
      </c>
      <c r="H66" s="42">
        <f t="shared" si="33"/>
        <v>1.1249788103587812</v>
      </c>
      <c r="I66" s="181">
        <f t="shared" ref="I66:J66" si="47">+I48</f>
        <v>2.1981391968172801</v>
      </c>
      <c r="J66" s="181">
        <f t="shared" si="47"/>
        <v>-0.26058412822267041</v>
      </c>
      <c r="K66" s="48">
        <f t="shared" si="42"/>
        <v>786.88770570279416</v>
      </c>
      <c r="L66" s="48">
        <f t="shared" si="42"/>
        <v>7134.0175027716487</v>
      </c>
      <c r="M66" s="52">
        <f t="shared" si="43"/>
        <v>-1009.9392886123946</v>
      </c>
      <c r="N66" s="172">
        <f t="shared" si="36"/>
        <v>15</v>
      </c>
      <c r="O66" s="172">
        <f t="shared" si="37"/>
        <v>21</v>
      </c>
      <c r="P66" s="95">
        <f t="shared" si="44"/>
        <v>-73.758217008514407</v>
      </c>
      <c r="Q66" s="95">
        <f t="shared" si="45"/>
        <v>-936.18107160388081</v>
      </c>
      <c r="R66" s="95">
        <f t="shared" si="46"/>
        <v>-1009.9392886123952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1.7234706618856101E-2</v>
      </c>
      <c r="F67" s="185">
        <v>1.26556579696562E-2</v>
      </c>
      <c r="G67" s="186">
        <v>1.3618182997817201</v>
      </c>
      <c r="H67" s="42">
        <f t="shared" si="33"/>
        <v>1.1348485831514281</v>
      </c>
      <c r="I67" s="181">
        <f t="shared" ref="I67:J67" si="48">+I49</f>
        <v>2.1719579238254401</v>
      </c>
      <c r="J67" s="181">
        <f t="shared" si="48"/>
        <v>-0.25260886109124936</v>
      </c>
      <c r="K67" s="48">
        <f t="shared" si="42"/>
        <v>685.48149057180876</v>
      </c>
      <c r="L67" s="48">
        <f t="shared" si="42"/>
        <v>6313.2413410808867</v>
      </c>
      <c r="M67" s="52">
        <f t="shared" si="43"/>
        <v>-963.22538826977154</v>
      </c>
      <c r="N67" s="172">
        <f t="shared" si="36"/>
        <v>15</v>
      </c>
      <c r="O67" s="172">
        <f t="shared" si="37"/>
        <v>21</v>
      </c>
      <c r="P67" s="95">
        <f t="shared" si="44"/>
        <v>-69.327155835102985</v>
      </c>
      <c r="Q67" s="95">
        <f t="shared" si="45"/>
        <v>-893.8982324346689</v>
      </c>
      <c r="R67" s="95">
        <f t="shared" si="46"/>
        <v>-963.22538826977188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1.3022892655963E-2</v>
      </c>
      <c r="F68" s="185">
        <v>9.4792001498194504E-3</v>
      </c>
      <c r="G68" s="186">
        <v>1.37383876805376</v>
      </c>
      <c r="H68" s="42">
        <f t="shared" si="33"/>
        <v>1.1448656400448025</v>
      </c>
      <c r="I68" s="181">
        <f t="shared" ref="I68:J68" si="49">+I50</f>
        <v>2.2400329497738394</v>
      </c>
      <c r="J68" s="181">
        <f t="shared" si="49"/>
        <v>-0.25083975172682926</v>
      </c>
      <c r="K68" s="48">
        <f t="shared" si="42"/>
        <v>582.52830092804663</v>
      </c>
      <c r="L68" s="48">
        <f t="shared" si="42"/>
        <v>5441.3124414376616</v>
      </c>
      <c r="M68" s="52">
        <f t="shared" si="43"/>
        <v>-890.96342135685904</v>
      </c>
      <c r="N68" s="172">
        <f t="shared" si="36"/>
        <v>15</v>
      </c>
      <c r="O68" s="172">
        <f t="shared" si="37"/>
        <v>21</v>
      </c>
      <c r="P68" s="95">
        <f t="shared" si="44"/>
        <v>-63.291251368614553</v>
      </c>
      <c r="Q68" s="95">
        <f t="shared" si="45"/>
        <v>-827.6721699882437</v>
      </c>
      <c r="R68" s="95">
        <f t="shared" si="46"/>
        <v>-890.96342135685825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8.6129115907187803E-3</v>
      </c>
      <c r="F69" s="185">
        <v>6.2104002072354003E-3</v>
      </c>
      <c r="G69" s="186">
        <v>1.3868529085588299</v>
      </c>
      <c r="H69" s="42">
        <f t="shared" si="33"/>
        <v>1.155710757132359</v>
      </c>
      <c r="I69" s="181">
        <f t="shared" ref="I69:J69" si="50">+I51</f>
        <v>2.2625972707148385</v>
      </c>
      <c r="J69" s="181">
        <f t="shared" si="50"/>
        <v>-0.22738077623389952</v>
      </c>
      <c r="K69" s="48">
        <f t="shared" si="42"/>
        <v>465.63593230315536</v>
      </c>
      <c r="L69" s="48">
        <f t="shared" si="42"/>
        <v>4330.2303435139984</v>
      </c>
      <c r="M69" s="52">
        <f t="shared" si="43"/>
        <v>-762.35501028860097</v>
      </c>
      <c r="N69" s="172">
        <f t="shared" si="36"/>
        <v>15</v>
      </c>
      <c r="O69" s="172">
        <f t="shared" si="37"/>
        <v>21</v>
      </c>
      <c r="P69" s="95">
        <f t="shared" si="44"/>
        <v>-54.378392675217128</v>
      </c>
      <c r="Q69" s="95">
        <f t="shared" si="45"/>
        <v>-707.97661761338441</v>
      </c>
      <c r="R69" s="95">
        <f t="shared" si="46"/>
        <v>-762.35501028860153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4.1343110317170403E-3</v>
      </c>
      <c r="F70" s="188">
        <v>2.9518244068735999E-3</v>
      </c>
      <c r="G70" s="189">
        <v>1.4005951783886299</v>
      </c>
      <c r="H70" s="42">
        <f t="shared" si="33"/>
        <v>1.1671626486571913</v>
      </c>
      <c r="I70" s="181">
        <f t="shared" ref="I70:J70" si="51">+I52</f>
        <v>2.0788669643529296</v>
      </c>
      <c r="J70" s="181">
        <f t="shared" si="51"/>
        <v>-0.13033358992726995</v>
      </c>
      <c r="K70" s="48">
        <f t="shared" si="42"/>
        <v>298.14409678650509</v>
      </c>
      <c r="L70" s="48">
        <f t="shared" si="42"/>
        <v>2624.0819157329802</v>
      </c>
      <c r="M70" s="52">
        <f t="shared" si="43"/>
        <v>-497.95982516898351</v>
      </c>
      <c r="N70" s="172">
        <f t="shared" si="36"/>
        <v>15</v>
      </c>
      <c r="O70" s="172">
        <f t="shared" si="37"/>
        <v>21</v>
      </c>
      <c r="P70" s="95">
        <f t="shared" si="44"/>
        <v>-37.378917675253604</v>
      </c>
      <c r="Q70" s="95">
        <f t="shared" si="45"/>
        <v>-460.58090749372968</v>
      </c>
      <c r="R70" s="95">
        <f t="shared" si="46"/>
        <v>-497.95982516898329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1183636.2280009</v>
      </c>
      <c r="E6" s="53">
        <f>0.7*D6</f>
        <v>828545.35960063001</v>
      </c>
      <c r="F6" s="1" t="str">
        <f>+IF(D6&lt;E5,"piso suave","ok")</f>
        <v>ok</v>
      </c>
      <c r="G6" s="53">
        <f>0.9*D6</f>
        <v>1065272.6052008101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11920710.5198399</v>
      </c>
      <c r="E7" s="53">
        <f>0.7*D7</f>
        <v>8344497.3638879294</v>
      </c>
      <c r="F7" s="1" t="str">
        <f>+IF(D7&lt;E6,"piso suave","ok")</f>
        <v>ok</v>
      </c>
      <c r="G7" s="53">
        <f>0.9*D7</f>
        <v>10728639.46785591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18135012.604422599</v>
      </c>
      <c r="E8" s="53">
        <f>0.7*D8</f>
        <v>12694508.823095819</v>
      </c>
      <c r="F8" s="1" t="str">
        <f>+IF(D8&lt;E7,"piso suave","ok")</f>
        <v>ok</v>
      </c>
      <c r="G8" s="53">
        <f>0.9*D8</f>
        <v>16321511.34398034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21333097.291087601</v>
      </c>
      <c r="E9" s="53">
        <f>0.7*D9</f>
        <v>14933168.103761319</v>
      </c>
      <c r="F9" s="1" t="str">
        <f>+IF(D9&lt;E8,"piso suave","ok")</f>
        <v>ok</v>
      </c>
      <c r="G9" s="53">
        <f>0.9*D9</f>
        <v>19199787.561978843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23346299.637283299</v>
      </c>
      <c r="E10" s="53">
        <f>0.7*D10</f>
        <v>16342409.746098308</v>
      </c>
      <c r="F10" s="1" t="str">
        <f>+IF(D10&lt;E9,"piso suave","ok")</f>
        <v>ok</v>
      </c>
      <c r="G10" s="53">
        <f>0.9*D10</f>
        <v>21011669.673554968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24583499.044944901</v>
      </c>
      <c r="E11" s="53">
        <f t="shared" ref="E11:E16" si="0">0.7*D11</f>
        <v>17208449.33146143</v>
      </c>
      <c r="F11" s="1" t="str">
        <f t="shared" ref="F11:F16" si="1">+IF(D11&lt;E10,"piso suave","ok")</f>
        <v>ok</v>
      </c>
      <c r="G11" s="53">
        <f t="shared" ref="G11:G16" si="2">0.9*D11</f>
        <v>22125149.140450411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25878316.399395399</v>
      </c>
      <c r="E12" s="53">
        <f t="shared" si="0"/>
        <v>18114821.479576778</v>
      </c>
      <c r="F12" s="1" t="str">
        <f t="shared" si="1"/>
        <v>ok</v>
      </c>
      <c r="G12" s="53">
        <f t="shared" si="2"/>
        <v>23290484.75945586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27289611.1043755</v>
      </c>
      <c r="E13" s="53">
        <f t="shared" si="0"/>
        <v>19102727.773062848</v>
      </c>
      <c r="F13" s="1" t="str">
        <f t="shared" si="1"/>
        <v>ok</v>
      </c>
      <c r="G13" s="53">
        <f t="shared" si="2"/>
        <v>24560649.993937951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28586095.583294898</v>
      </c>
      <c r="E14" s="53">
        <f t="shared" si="0"/>
        <v>20010266.908306427</v>
      </c>
      <c r="F14" s="1" t="str">
        <f t="shared" si="1"/>
        <v>ok</v>
      </c>
      <c r="G14" s="53">
        <f t="shared" si="2"/>
        <v>25727486.024965409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30105286.412832901</v>
      </c>
      <c r="E15" s="53">
        <f t="shared" si="0"/>
        <v>21073700.488983028</v>
      </c>
      <c r="F15" s="1" t="str">
        <f t="shared" si="1"/>
        <v>ok</v>
      </c>
      <c r="G15" s="53">
        <f t="shared" si="2"/>
        <v>27094757.771549612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31679919.201216701</v>
      </c>
      <c r="E16" s="53">
        <f t="shared" si="0"/>
        <v>22175943.440851688</v>
      </c>
      <c r="F16" s="1" t="str">
        <f t="shared" si="1"/>
        <v>ok</v>
      </c>
      <c r="G16" s="53">
        <f t="shared" si="2"/>
        <v>28511927.281095032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1179483.0470261599</v>
      </c>
      <c r="E23" s="53">
        <f>0.7*D23</f>
        <v>825638.13291831187</v>
      </c>
      <c r="F23" s="1" t="str">
        <f>+IF(D23&lt;E22,"piso suave","ok")</f>
        <v>ok</v>
      </c>
      <c r="G23" s="53">
        <f>0.9*D23</f>
        <v>1061534.7423235439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12327846.913335999</v>
      </c>
      <c r="E24" s="53">
        <f>0.7*D24</f>
        <v>8629492.8393351994</v>
      </c>
      <c r="F24" s="1" t="str">
        <f>+IF(D24&lt;E23,"piso suave","ok")</f>
        <v>ok</v>
      </c>
      <c r="G24" s="53">
        <f>0.9*D24</f>
        <v>11095062.2220024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18417947.222506601</v>
      </c>
      <c r="E25" s="53">
        <f>0.7*D25</f>
        <v>12892563.055754621</v>
      </c>
      <c r="F25" s="1" t="str">
        <f>+IF(D25&lt;E24,"piso suave","ok")</f>
        <v>ok</v>
      </c>
      <c r="G25" s="53">
        <f>0.9*D25</f>
        <v>16576152.500255942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21358695.080519699</v>
      </c>
      <c r="E26" s="53">
        <f>0.7*D26</f>
        <v>14951086.556363788</v>
      </c>
      <c r="F26" s="1" t="str">
        <f>+IF(D26&lt;E25,"piso suave","ok")</f>
        <v>ok</v>
      </c>
      <c r="G26" s="53">
        <f>0.9*D26</f>
        <v>19222825.572467729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23154815.205476701</v>
      </c>
      <c r="E27" s="53">
        <f>0.7*D27</f>
        <v>16208370.643833689</v>
      </c>
      <c r="F27" s="1" t="str">
        <f>+IF(D27&lt;E26,"piso suave","ok")</f>
        <v>ok</v>
      </c>
      <c r="G27" s="53">
        <f>0.9*D27</f>
        <v>20839333.684929032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24416666.293213502</v>
      </c>
      <c r="E28" s="53">
        <f t="shared" ref="E28:E33" si="4">0.7*D28</f>
        <v>17091666.40524945</v>
      </c>
      <c r="F28" s="1" t="str">
        <f t="shared" ref="F28:F33" si="5">+IF(D28&lt;E27,"piso suave","ok")</f>
        <v>ok</v>
      </c>
      <c r="G28" s="53">
        <f t="shared" ref="G28:G33" si="6">0.9*D28</f>
        <v>21974999.663892154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26065173.870876599</v>
      </c>
      <c r="E29" s="53">
        <f t="shared" si="4"/>
        <v>18245621.709613618</v>
      </c>
      <c r="F29" s="1" t="str">
        <f t="shared" si="5"/>
        <v>ok</v>
      </c>
      <c r="G29" s="53">
        <f t="shared" si="6"/>
        <v>23458656.483788941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27484687.049976598</v>
      </c>
      <c r="E30" s="53">
        <f t="shared" si="4"/>
        <v>19239280.934983619</v>
      </c>
      <c r="F30" s="1" t="str">
        <f t="shared" si="5"/>
        <v>ok</v>
      </c>
      <c r="G30" s="53">
        <f t="shared" si="6"/>
        <v>24736218.34497894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28826883.240813699</v>
      </c>
      <c r="E31" s="53">
        <f t="shared" si="4"/>
        <v>20178818.268569589</v>
      </c>
      <c r="F31" s="1" t="str">
        <f t="shared" si="5"/>
        <v>ok</v>
      </c>
      <c r="G31" s="53">
        <f t="shared" si="6"/>
        <v>25944194.91673233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31105163.187006999</v>
      </c>
      <c r="E32" s="53">
        <f t="shared" si="4"/>
        <v>21773614.2309049</v>
      </c>
      <c r="F32" s="1" t="str">
        <f t="shared" si="5"/>
        <v>ok</v>
      </c>
      <c r="G32" s="53">
        <f t="shared" si="6"/>
        <v>27994646.868306298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31855641.171121702</v>
      </c>
      <c r="E33" s="53">
        <f t="shared" si="4"/>
        <v>22298948.819785189</v>
      </c>
      <c r="F33" s="1" t="str">
        <f t="shared" si="5"/>
        <v>ok</v>
      </c>
      <c r="G33" s="53">
        <f t="shared" si="6"/>
        <v>28670077.054009531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902705.53832102194</v>
      </c>
      <c r="E40" s="53">
        <f>0.7*D40</f>
        <v>631893.87682471529</v>
      </c>
      <c r="F40" s="1" t="str">
        <f>+IF(D40&lt;E39,"piso suave","ok")</f>
        <v>ok</v>
      </c>
      <c r="G40" s="53">
        <f>0.9*D40</f>
        <v>812434.98448891973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9318863.5365225095</v>
      </c>
      <c r="E41" s="53">
        <f>0.7*D41</f>
        <v>6523204.4755657567</v>
      </c>
      <c r="F41" s="1" t="str">
        <f>+IF(D41&lt;E40,"piso suave","ok")</f>
        <v>ok</v>
      </c>
      <c r="G41" s="53">
        <f>0.9*D41</f>
        <v>8386977.1828702586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14487650.7587293</v>
      </c>
      <c r="E42" s="53">
        <f>0.7*D42</f>
        <v>10141355.531110508</v>
      </c>
      <c r="F42" s="1" t="str">
        <f>+IF(D42&lt;E41,"piso suave","ok")</f>
        <v>ok</v>
      </c>
      <c r="G42" s="53">
        <f>0.9*D42</f>
        <v>13038885.68285637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17129750.151921801</v>
      </c>
      <c r="E43" s="53">
        <f>0.7*D43</f>
        <v>11990825.106345261</v>
      </c>
      <c r="F43" s="1" t="str">
        <f>+IF(D43&lt;E42,"piso suave","ok")</f>
        <v>ok</v>
      </c>
      <c r="G43" s="53">
        <f>0.9*D43</f>
        <v>15416775.136729622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19226896.3723161</v>
      </c>
      <c r="E44" s="53">
        <f>0.7*D44</f>
        <v>13458827.460621269</v>
      </c>
      <c r="F44" s="1" t="str">
        <f>+IF(D44&lt;E43,"piso suave","ok")</f>
        <v>ok</v>
      </c>
      <c r="G44" s="53">
        <f>0.9*D44</f>
        <v>17304206.735084489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20375434.729489699</v>
      </c>
      <c r="E45" s="53">
        <f t="shared" ref="E45:E50" si="8">0.7*D45</f>
        <v>14262804.310642788</v>
      </c>
      <c r="F45" s="1" t="str">
        <f t="shared" ref="F45:F50" si="9">+IF(D45&lt;E44,"piso suave","ok")</f>
        <v>ok</v>
      </c>
      <c r="G45" s="53">
        <f t="shared" ref="G45:G50" si="10">0.9*D45</f>
        <v>18337891.256540731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21388995.880080901</v>
      </c>
      <c r="E46" s="53">
        <f t="shared" si="8"/>
        <v>14972297.11605663</v>
      </c>
      <c r="F46" s="1" t="str">
        <f t="shared" si="9"/>
        <v>ok</v>
      </c>
      <c r="G46" s="53">
        <f t="shared" si="10"/>
        <v>19250096.29207281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22473624.3944153</v>
      </c>
      <c r="E47" s="53">
        <f t="shared" si="8"/>
        <v>15731537.076090708</v>
      </c>
      <c r="F47" s="1" t="str">
        <f t="shared" si="9"/>
        <v>ok</v>
      </c>
      <c r="G47" s="53">
        <f t="shared" si="10"/>
        <v>20226261.954973772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23860089.091117099</v>
      </c>
      <c r="E48" s="53">
        <f t="shared" si="8"/>
        <v>16702062.363781968</v>
      </c>
      <c r="F48" s="1" t="str">
        <f t="shared" si="9"/>
        <v>ok</v>
      </c>
      <c r="G48" s="53">
        <f t="shared" si="10"/>
        <v>21474080.182005391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25775476.3370184</v>
      </c>
      <c r="E49" s="53">
        <f t="shared" si="8"/>
        <v>18042833.435912877</v>
      </c>
      <c r="F49" s="1" t="str">
        <f t="shared" si="9"/>
        <v>ok</v>
      </c>
      <c r="G49" s="53">
        <f t="shared" si="10"/>
        <v>23197928.703316562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28852981.408857599</v>
      </c>
      <c r="E50" s="53">
        <f t="shared" si="8"/>
        <v>20197086.986200318</v>
      </c>
      <c r="F50" s="1" t="str">
        <f t="shared" si="9"/>
        <v>ok</v>
      </c>
      <c r="G50" s="53">
        <f t="shared" si="10"/>
        <v>25967683.26797184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1041225.70402718</v>
      </c>
      <c r="E57" s="53">
        <f>0.7*D57</f>
        <v>728857.992819026</v>
      </c>
      <c r="F57" s="1" t="str">
        <f>+IF(D57&lt;E56,"piso suave","ok")</f>
        <v>ok</v>
      </c>
      <c r="G57" s="53">
        <f>0.9*D57</f>
        <v>937103.13362446195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9932783.4777869992</v>
      </c>
      <c r="E58" s="53">
        <f>0.7*D58</f>
        <v>6952948.4344508993</v>
      </c>
      <c r="F58" s="1" t="str">
        <f>+IF(D58&lt;E57,"piso suave","ok")</f>
        <v>ok</v>
      </c>
      <c r="G58" s="53">
        <f>0.9*D58</f>
        <v>8939505.1300082989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15524693.037427099</v>
      </c>
      <c r="E59" s="53">
        <f>0.7*D59</f>
        <v>10867285.12619897</v>
      </c>
      <c r="F59" s="1" t="str">
        <f>+IF(D59&lt;E58,"piso suave","ok")</f>
        <v>ok</v>
      </c>
      <c r="G59" s="53">
        <f>0.9*D59</f>
        <v>13972223.733684389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17721331.5774896</v>
      </c>
      <c r="E60" s="53">
        <f>0.7*D60</f>
        <v>12404932.10424272</v>
      </c>
      <c r="F60" s="1" t="str">
        <f>+IF(D60&lt;E59,"piso suave","ok")</f>
        <v>ok</v>
      </c>
      <c r="G60" s="53">
        <f>0.9*D60</f>
        <v>15949198.41974064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19006498.3684492</v>
      </c>
      <c r="E61" s="53">
        <f>0.7*D61</f>
        <v>13304548.857914438</v>
      </c>
      <c r="F61" s="1" t="str">
        <f>+IF(D61&lt;E60,"piso suave","ok")</f>
        <v>ok</v>
      </c>
      <c r="G61" s="53">
        <f>0.9*D61</f>
        <v>17105848.531604279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19966599.9522212</v>
      </c>
      <c r="E62" s="53">
        <f t="shared" ref="E62:E67" si="12">0.7*D62</f>
        <v>13976619.966554839</v>
      </c>
      <c r="F62" s="1" t="str">
        <f t="shared" ref="F62:F67" si="13">+IF(D62&lt;E61,"piso suave","ok")</f>
        <v>ok</v>
      </c>
      <c r="G62" s="53">
        <f t="shared" ref="G62:G67" si="14">0.9*D62</f>
        <v>17969939.956999082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20938918.859496001</v>
      </c>
      <c r="E63" s="53">
        <f t="shared" si="12"/>
        <v>14657243.2016472</v>
      </c>
      <c r="F63" s="1" t="str">
        <f t="shared" si="13"/>
        <v>ok</v>
      </c>
      <c r="G63" s="53">
        <f t="shared" si="14"/>
        <v>18845026.973546401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21942688.7066801</v>
      </c>
      <c r="E64" s="53">
        <f t="shared" si="12"/>
        <v>15359882.09467607</v>
      </c>
      <c r="F64" s="1" t="str">
        <f t="shared" si="13"/>
        <v>ok</v>
      </c>
      <c r="G64" s="53">
        <f t="shared" si="14"/>
        <v>19748419.836012091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23155645.246635601</v>
      </c>
      <c r="E65" s="53">
        <f t="shared" si="12"/>
        <v>16208951.672644919</v>
      </c>
      <c r="F65" s="1" t="str">
        <f t="shared" si="13"/>
        <v>ok</v>
      </c>
      <c r="G65" s="53">
        <f t="shared" si="14"/>
        <v>20840080.721972041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24808075.4057924</v>
      </c>
      <c r="E66" s="53">
        <f t="shared" si="12"/>
        <v>17365652.784054678</v>
      </c>
      <c r="F66" s="1" t="str">
        <f t="shared" si="13"/>
        <v>ok</v>
      </c>
      <c r="G66" s="53">
        <f t="shared" si="14"/>
        <v>22327267.865213159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27815309.678117</v>
      </c>
      <c r="E67" s="53">
        <f t="shared" si="12"/>
        <v>19470716.7746819</v>
      </c>
      <c r="F67" s="1" t="str">
        <f t="shared" si="13"/>
        <v>ok</v>
      </c>
      <c r="G67" s="53">
        <f t="shared" si="14"/>
        <v>25033778.7103053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782.285475187766</v>
      </c>
      <c r="E7" s="171">
        <f>+'Centers of Mass and Rigidity'!E5</f>
        <v>782.285475187766</v>
      </c>
      <c r="F7" s="68">
        <f>+E7*9.807</f>
        <v>7671.8736551664215</v>
      </c>
      <c r="G7">
        <f>1.5*F7</f>
        <v>11507.810482749632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7871.1301550285798</v>
      </c>
      <c r="E8" s="171">
        <f>+'Centers of Mass and Rigidity'!E6</f>
        <v>7871.1301550285798</v>
      </c>
      <c r="F8" s="68">
        <f t="shared" ref="F8:F17" si="0">+E8*9.807</f>
        <v>77192.173430365292</v>
      </c>
      <c r="G8" s="68">
        <f t="shared" ref="G8:G17" si="1">1.5*F8</f>
        <v>115788.26014554795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9807.9779737257704</v>
      </c>
      <c r="E9" s="171">
        <f>+'Centers of Mass and Rigidity'!E7</f>
        <v>9807.9779737257704</v>
      </c>
      <c r="F9" s="68">
        <f t="shared" si="0"/>
        <v>96186.839988328633</v>
      </c>
      <c r="G9" s="68">
        <f t="shared" si="1"/>
        <v>144280.25998249295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9807.9779737257704</v>
      </c>
      <c r="E10" s="171">
        <f>+'Centers of Mass and Rigidity'!E8</f>
        <v>9807.9779737257704</v>
      </c>
      <c r="F10" s="68">
        <f t="shared" si="0"/>
        <v>96186.839988328633</v>
      </c>
      <c r="G10" s="68">
        <f t="shared" si="1"/>
        <v>144280.25998249295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9807.9779737257704</v>
      </c>
      <c r="E11" s="171">
        <f>+'Centers of Mass and Rigidity'!E9</f>
        <v>9807.9779737257704</v>
      </c>
      <c r="F11" s="68">
        <f t="shared" si="0"/>
        <v>96186.839988328633</v>
      </c>
      <c r="G11" s="68">
        <f t="shared" si="1"/>
        <v>144280.25998249295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9807.9779737257704</v>
      </c>
      <c r="E12" s="171">
        <f>+'Centers of Mass and Rigidity'!E10</f>
        <v>9807.9779737257704</v>
      </c>
      <c r="F12" s="158">
        <f t="shared" si="0"/>
        <v>96186.839988328633</v>
      </c>
      <c r="G12" s="158">
        <f t="shared" si="1"/>
        <v>144280.25998249295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9807.9779737257704</v>
      </c>
      <c r="E13" s="171">
        <f>+'Centers of Mass and Rigidity'!E11</f>
        <v>9807.9779737257704</v>
      </c>
      <c r="F13" s="158">
        <f t="shared" si="0"/>
        <v>96186.839988328633</v>
      </c>
      <c r="G13" s="158">
        <f t="shared" si="1"/>
        <v>144280.25998249295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9941.6015835545895</v>
      </c>
      <c r="E14" s="171">
        <f>+'Centers of Mass and Rigidity'!E12</f>
        <v>9941.6015835545895</v>
      </c>
      <c r="F14" s="158">
        <f t="shared" si="0"/>
        <v>97497.28672991987</v>
      </c>
      <c r="G14" s="158">
        <f t="shared" si="1"/>
        <v>146245.93009487982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9941.6015835545895</v>
      </c>
      <c r="E15" s="171">
        <f>+'Centers of Mass and Rigidity'!E13</f>
        <v>9941.6015835545895</v>
      </c>
      <c r="F15" s="158">
        <f t="shared" si="0"/>
        <v>97497.28672991987</v>
      </c>
      <c r="G15" s="158">
        <f t="shared" si="1"/>
        <v>146245.93009487982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9941.6015835545895</v>
      </c>
      <c r="E16" s="171">
        <f>+'Centers of Mass and Rigidity'!E14</f>
        <v>9941.6015835545895</v>
      </c>
      <c r="F16" s="158">
        <f t="shared" si="0"/>
        <v>97497.28672991987</v>
      </c>
      <c r="G16" s="158">
        <f t="shared" si="1"/>
        <v>146245.93009487982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10305.208621760199</v>
      </c>
      <c r="E17" s="171">
        <f>+'Centers of Mass and Rigidity'!E15</f>
        <v>10305.208621760199</v>
      </c>
      <c r="F17" s="158">
        <f t="shared" si="0"/>
        <v>101063.18095360228</v>
      </c>
      <c r="G17" s="158">
        <f t="shared" si="1"/>
        <v>151594.7714304034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959353.28817053663</v>
      </c>
      <c r="G18">
        <f>1.5*F18</f>
        <v>1439029.932255805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17697.5999999911</v>
      </c>
      <c r="F5" s="172">
        <v>-3.4748381949611898E-10</v>
      </c>
      <c r="G5" s="172">
        <v>5.0613380153663498E-10</v>
      </c>
      <c r="H5" s="172">
        <v>1.0005123840528501E-8</v>
      </c>
      <c r="I5" s="172">
        <v>106185.599999946</v>
      </c>
      <c r="J5" s="172">
        <v>-327405.599999837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342603.64764759102</v>
      </c>
      <c r="F6" s="172">
        <v>5.5265722664898898E-8</v>
      </c>
      <c r="G6" s="172">
        <v>-7.4410166917004997E-9</v>
      </c>
      <c r="H6" s="172">
        <v>-6.5707524754543596E-8</v>
      </c>
      <c r="I6" s="172">
        <v>2488284.9973537</v>
      </c>
      <c r="J6" s="172">
        <v>-3349591.5400130199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662346.09529525798</v>
      </c>
      <c r="F7" s="172">
        <v>1.8180662664235601E-7</v>
      </c>
      <c r="G7" s="172">
        <v>-1.54116435169271E-8</v>
      </c>
      <c r="H7" s="172">
        <v>-5.3206031225272497E-7</v>
      </c>
      <c r="I7" s="172">
        <v>4831657.3947081203</v>
      </c>
      <c r="J7" s="172">
        <v>-6330597.7700270303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982088.54294308403</v>
      </c>
      <c r="F8" s="172">
        <v>1.3862680248166699E-7</v>
      </c>
      <c r="G8" s="172">
        <v>-4.8653106432539101E-8</v>
      </c>
      <c r="H8" s="172">
        <v>-1.67392272487632E-7</v>
      </c>
      <c r="I8" s="172">
        <v>7175029.7920637</v>
      </c>
      <c r="J8" s="172">
        <v>-9311604.0000438802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1301830.9905906599</v>
      </c>
      <c r="F9" s="172">
        <v>1.4024664096723401E-7</v>
      </c>
      <c r="G9" s="172">
        <v>-5.4138865834829597E-8</v>
      </c>
      <c r="H9" s="172">
        <v>7.3338469519512701E-8</v>
      </c>
      <c r="I9" s="172">
        <v>9518402.1894173808</v>
      </c>
      <c r="J9" s="172">
        <v>-12292610.230056399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1621573.43823837</v>
      </c>
      <c r="F10" s="172">
        <v>9.2419668362708802E-8</v>
      </c>
      <c r="G10" s="172">
        <v>-6.5496692513988806E-8</v>
      </c>
      <c r="H10" s="172">
        <v>5.2724954002769696E-7</v>
      </c>
      <c r="I10" s="172">
        <v>11861774.586771701</v>
      </c>
      <c r="J10" s="172">
        <v>-15273616.4600715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1941315.88588597</v>
      </c>
      <c r="F11" s="172">
        <v>1.3993798120282E-7</v>
      </c>
      <c r="G11" s="172">
        <v>-7.7393309538820203E-8</v>
      </c>
      <c r="H11" s="172">
        <v>1.9866911316057699E-7</v>
      </c>
      <c r="I11" s="172">
        <v>14205146.9841257</v>
      </c>
      <c r="J11" s="172">
        <v>-18254622.690084301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2262368.7335336199</v>
      </c>
      <c r="F12" s="172">
        <v>1.50572418533557E-7</v>
      </c>
      <c r="G12" s="172">
        <v>-7.7382026120176306E-8</v>
      </c>
      <c r="H12" s="172">
        <v>1.9295794118079399E-7</v>
      </c>
      <c r="I12" s="172">
        <v>16556381.7814801</v>
      </c>
      <c r="J12" s="172">
        <v>-21259871.320098002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2583421.5811812798</v>
      </c>
      <c r="F13" s="172">
        <v>1.6986678019748101E-7</v>
      </c>
      <c r="G13" s="172">
        <v>-8.1490327374922305E-8</v>
      </c>
      <c r="H13" s="172">
        <v>1.2977125152247E-8</v>
      </c>
      <c r="I13" s="172">
        <v>18907616.5788344</v>
      </c>
      <c r="J13" s="172">
        <v>-24265119.950111799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2904474.4288290199</v>
      </c>
      <c r="F14" s="172">
        <v>1.8392472611594699E-7</v>
      </c>
      <c r="G14" s="172">
        <v>-8.7010391780495398E-8</v>
      </c>
      <c r="H14" s="172">
        <v>-1.2959662853973E-7</v>
      </c>
      <c r="I14" s="172">
        <v>21258851.376189198</v>
      </c>
      <c r="J14" s="172">
        <v>-27270368.580126699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3309165.8006871301</v>
      </c>
      <c r="F15" s="172">
        <v>1.87768023351964E-7</v>
      </c>
      <c r="G15" s="172">
        <v>-8.5802184912608897E-8</v>
      </c>
      <c r="H15" s="172">
        <v>-1.1518022802192701E-7</v>
      </c>
      <c r="I15" s="172">
        <v>24236559.171648201</v>
      </c>
      <c r="J15" s="172">
        <v>-30957259.393717401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3" t="s">
        <v>73</v>
      </c>
      <c r="F19" s="203"/>
      <c r="G19" s="203"/>
      <c r="H19" s="203"/>
      <c r="I19" s="203"/>
      <c r="J19" s="203"/>
      <c r="K19" s="203"/>
      <c r="L19" s="203"/>
      <c r="M19" s="203"/>
      <c r="N19" s="203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2.39327217208656E-2</v>
      </c>
      <c r="F22" s="83">
        <f t="shared" ref="F22:F32" si="0">+E5</f>
        <v>17697.5999999911</v>
      </c>
      <c r="G22" s="83">
        <v>0</v>
      </c>
      <c r="H22" s="83">
        <f t="shared" ref="H22:H32" si="1">+E22</f>
        <v>2.39327217208656E-2</v>
      </c>
      <c r="I22" s="83">
        <f t="shared" ref="I22:I31" si="2">+H22-H23</f>
        <v>-9.5988393358569998E-4</v>
      </c>
      <c r="J22" s="83">
        <f>IF(+'Sismo UBC-94 y Dinamico'!O15=0,'Sismo UBC-94 y Dinamico'!M15,'Sismo UBC-94 y Dinamico'!O15)</f>
        <v>1128.4957804944099</v>
      </c>
      <c r="K22" s="83">
        <f t="shared" ref="K22:K32" si="3">+C22</f>
        <v>38.5</v>
      </c>
      <c r="L22" s="83">
        <f>+G22*I22</f>
        <v>0</v>
      </c>
      <c r="M22" s="83">
        <f>+J22*K22</f>
        <v>43447.087549034783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2.48926056544513E-2</v>
      </c>
      <c r="F23" s="165">
        <f t="shared" si="0"/>
        <v>342603.64764759102</v>
      </c>
      <c r="G23" s="83">
        <f>+F23</f>
        <v>342603.64764759102</v>
      </c>
      <c r="H23" s="83">
        <f t="shared" si="1"/>
        <v>2.48926056544513E-2</v>
      </c>
      <c r="I23" s="83">
        <f t="shared" si="2"/>
        <v>1.0405401657342002E-3</v>
      </c>
      <c r="J23" s="172">
        <f>IF(+'Sismo UBC-94 y Dinamico'!O16=0,'Sismo UBC-94 y Dinamico'!M16,'Sismo UBC-94 y Dinamico'!O16)</f>
        <v>12510.431409333491</v>
      </c>
      <c r="K23" s="172">
        <f t="shared" si="3"/>
        <v>35.5</v>
      </c>
      <c r="L23" s="83">
        <f t="shared" ref="L23:L32" si="4">+G23*I23</f>
        <v>356.49285630436589</v>
      </c>
      <c r="M23" s="83">
        <f t="shared" ref="M23:M32" si="5">+J23*K23</f>
        <v>444120.31503133889</v>
      </c>
      <c r="N23" s="83">
        <f t="shared" ref="N23:N32" si="6">+L23/M23</f>
        <v>8.0269432457556083E-4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2.38520654887171E-2</v>
      </c>
      <c r="F24" s="165">
        <f t="shared" si="0"/>
        <v>662346.09529525798</v>
      </c>
      <c r="G24" s="83">
        <f>+F24-F23</f>
        <v>319742.44764766697</v>
      </c>
      <c r="H24" s="83">
        <f t="shared" si="1"/>
        <v>2.38520654887171E-2</v>
      </c>
      <c r="I24" s="83">
        <f t="shared" si="2"/>
        <v>1.5427174587013988E-3</v>
      </c>
      <c r="J24" s="172">
        <f>IF(+'Sismo UBC-94 y Dinamico'!O17=0,'Sismo UBC-94 y Dinamico'!M17,'Sismo UBC-94 y Dinamico'!O17)</f>
        <v>14596.907513426198</v>
      </c>
      <c r="K24" s="172">
        <f t="shared" si="3"/>
        <v>32</v>
      </c>
      <c r="L24" s="83">
        <f t="shared" si="4"/>
        <v>493.27225627397382</v>
      </c>
      <c r="M24" s="83">
        <f t="shared" si="5"/>
        <v>467101.04042963835</v>
      </c>
      <c r="N24" s="83">
        <f t="shared" si="6"/>
        <v>1.0560290249412916E-3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2.2309348030015701E-2</v>
      </c>
      <c r="F25" s="165">
        <f t="shared" si="0"/>
        <v>982088.54294308403</v>
      </c>
      <c r="G25" s="83">
        <f>+F25-F24</f>
        <v>319742.44764782605</v>
      </c>
      <c r="H25" s="83">
        <f t="shared" si="1"/>
        <v>2.2309348030015701E-2</v>
      </c>
      <c r="I25" s="83">
        <f t="shared" si="2"/>
        <v>1.9893817573230013E-3</v>
      </c>
      <c r="J25" s="172">
        <f>IF(+'Sismo UBC-94 y Dinamico'!O18=0,'Sismo UBC-94 y Dinamico'!M18,'Sismo UBC-94 y Dinamico'!O18)</f>
        <v>12415.547162106304</v>
      </c>
      <c r="K25" s="172">
        <f t="shared" si="3"/>
        <v>28.5</v>
      </c>
      <c r="L25" s="83">
        <f t="shared" si="4"/>
        <v>636.08979239238988</v>
      </c>
      <c r="M25" s="83">
        <f t="shared" si="5"/>
        <v>353843.09412002965</v>
      </c>
      <c r="N25" s="83">
        <f t="shared" si="6"/>
        <v>1.7976606099216884E-3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2.03199662726927E-2</v>
      </c>
      <c r="F26" s="165">
        <f t="shared" si="0"/>
        <v>1301830.9905906599</v>
      </c>
      <c r="G26" s="83">
        <f>+F26-F25</f>
        <v>319742.44764757587</v>
      </c>
      <c r="H26" s="83">
        <f t="shared" si="1"/>
        <v>2.03199662726927E-2</v>
      </c>
      <c r="I26" s="83">
        <f t="shared" si="2"/>
        <v>2.3646607725965017E-3</v>
      </c>
      <c r="J26" s="172">
        <f>IF(+'Sismo UBC-94 y Dinamico'!O19=0,'Sismo UBC-94 y Dinamico'!M19,'Sismo UBC-94 y Dinamico'!O19)</f>
        <v>10551.660080957299</v>
      </c>
      <c r="K26" s="172">
        <f t="shared" si="3"/>
        <v>25</v>
      </c>
      <c r="L26" s="83">
        <f t="shared" si="4"/>
        <v>756.08242328621327</v>
      </c>
      <c r="M26" s="83">
        <f t="shared" si="5"/>
        <v>263791.50202393247</v>
      </c>
      <c r="N26" s="83">
        <f t="shared" si="6"/>
        <v>2.866212207312189E-3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1.7955305500096198E-2</v>
      </c>
      <c r="F27" s="165">
        <f t="shared" si="0"/>
        <v>1621573.43823837</v>
      </c>
      <c r="G27" s="165">
        <f t="shared" ref="G27:G32" si="8">+F27-F26</f>
        <v>319742.4476477101</v>
      </c>
      <c r="H27" s="165">
        <f t="shared" si="1"/>
        <v>1.7955305500096198E-2</v>
      </c>
      <c r="I27" s="165">
        <f t="shared" si="2"/>
        <v>2.671926696802298E-3</v>
      </c>
      <c r="J27" s="172">
        <f>IF(+'Sismo UBC-94 y Dinamico'!O20=0,'Sismo UBC-94 y Dinamico'!M20,'Sismo UBC-94 y Dinamico'!O20)</f>
        <v>9067.8823574296985</v>
      </c>
      <c r="K27" s="172">
        <f t="shared" si="3"/>
        <v>21.5</v>
      </c>
      <c r="L27" s="165">
        <f t="shared" si="4"/>
        <v>854.32838197082776</v>
      </c>
      <c r="M27" s="165">
        <f t="shared" si="5"/>
        <v>194959.47068473851</v>
      </c>
      <c r="N27" s="165">
        <f t="shared" si="6"/>
        <v>4.382081973090343E-3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1.52833788032939E-2</v>
      </c>
      <c r="F28" s="165">
        <f t="shared" si="0"/>
        <v>1941315.88588597</v>
      </c>
      <c r="G28" s="165">
        <f t="shared" si="8"/>
        <v>319742.44764759997</v>
      </c>
      <c r="H28" s="165">
        <f t="shared" si="1"/>
        <v>1.52833788032939E-2</v>
      </c>
      <c r="I28" s="165">
        <f t="shared" si="2"/>
        <v>2.8898221456754997E-3</v>
      </c>
      <c r="J28" s="172">
        <f>IF(+'Sismo UBC-94 y Dinamico'!O21=0,'Sismo UBC-94 y Dinamico'!M21,'Sismo UBC-94 y Dinamico'!O21)</f>
        <v>7842.5540838779925</v>
      </c>
      <c r="K28" s="172">
        <f t="shared" si="3"/>
        <v>18</v>
      </c>
      <c r="L28" s="165">
        <f t="shared" si="4"/>
        <v>923.99880612452341</v>
      </c>
      <c r="M28" s="165">
        <f t="shared" si="5"/>
        <v>141165.97350980388</v>
      </c>
      <c r="N28" s="165">
        <f t="shared" si="6"/>
        <v>6.5454782278702049E-3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1.2393556657618401E-2</v>
      </c>
      <c r="F29" s="165">
        <f t="shared" si="0"/>
        <v>2262368.7335336199</v>
      </c>
      <c r="G29" s="165">
        <f t="shared" si="8"/>
        <v>321052.84764764993</v>
      </c>
      <c r="H29" s="165">
        <f t="shared" si="1"/>
        <v>1.2393556657618401E-2</v>
      </c>
      <c r="I29" s="165">
        <f t="shared" si="2"/>
        <v>3.0372527117912811E-3</v>
      </c>
      <c r="J29" s="172">
        <f>IF(+'Sismo UBC-94 y Dinamico'!O22=0,'Sismo UBC-94 y Dinamico'!M22,'Sismo UBC-94 y Dinamico'!O22)</f>
        <v>6797.4837278842024</v>
      </c>
      <c r="K29" s="172">
        <f t="shared" si="3"/>
        <v>14.5</v>
      </c>
      <c r="L29" s="165">
        <f t="shared" si="4"/>
        <v>975.11863214613777</v>
      </c>
      <c r="M29" s="165">
        <f t="shared" si="5"/>
        <v>98563.514054320927</v>
      </c>
      <c r="N29" s="165">
        <f t="shared" si="6"/>
        <v>9.8933022173775618E-3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9.3563039458271196E-3</v>
      </c>
      <c r="F30" s="165">
        <f t="shared" si="0"/>
        <v>2583421.5811812798</v>
      </c>
      <c r="G30" s="165">
        <f t="shared" si="8"/>
        <v>321052.84764765995</v>
      </c>
      <c r="H30" s="165">
        <f t="shared" si="1"/>
        <v>9.3563039458271196E-3</v>
      </c>
      <c r="I30" s="165">
        <f t="shared" si="2"/>
        <v>3.1392227833808798E-3</v>
      </c>
      <c r="J30" s="172">
        <f>IF(+'Sismo UBC-94 y Dinamico'!O23=0,'Sismo UBC-94 y Dinamico'!M23,'Sismo UBC-94 y Dinamico'!O23)</f>
        <v>5717.9542026154086</v>
      </c>
      <c r="K30" s="172">
        <f t="shared" si="3"/>
        <v>11</v>
      </c>
      <c r="L30" s="165">
        <f t="shared" si="4"/>
        <v>1007.8564140048446</v>
      </c>
      <c r="M30" s="165">
        <f t="shared" si="5"/>
        <v>62897.496228769494</v>
      </c>
      <c r="N30" s="165">
        <f t="shared" si="6"/>
        <v>1.60237922720976E-2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6.2170811624462398E-3</v>
      </c>
      <c r="F31" s="165">
        <f t="shared" si="0"/>
        <v>2904474.4288290199</v>
      </c>
      <c r="G31" s="165">
        <f t="shared" si="8"/>
        <v>321052.84764774004</v>
      </c>
      <c r="H31" s="165">
        <f t="shared" si="1"/>
        <v>6.2170811624462398E-3</v>
      </c>
      <c r="I31" s="165">
        <f t="shared" si="2"/>
        <v>3.1593186109482199E-3</v>
      </c>
      <c r="J31" s="172">
        <f>IF(+'Sismo UBC-94 y Dinamico'!O24=0,'Sismo UBC-94 y Dinamico'!M24,'Sismo UBC-94 y Dinamico'!O24)</f>
        <v>4412.2208669351967</v>
      </c>
      <c r="K31" s="172">
        <f t="shared" si="3"/>
        <v>7.5</v>
      </c>
      <c r="L31" s="165">
        <f t="shared" si="4"/>
        <v>1014.3082366714285</v>
      </c>
      <c r="M31" s="165">
        <f t="shared" si="5"/>
        <v>33091.656502013975</v>
      </c>
      <c r="N31" s="165">
        <f t="shared" si="6"/>
        <v>3.065147967463331E-2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3.0577625514980199E-3</v>
      </c>
      <c r="F32" s="165">
        <f t="shared" si="0"/>
        <v>3309165.8006871301</v>
      </c>
      <c r="G32" s="165">
        <f t="shared" si="8"/>
        <v>404691.37185811019</v>
      </c>
      <c r="H32" s="165">
        <f t="shared" si="1"/>
        <v>3.0577625514980199E-3</v>
      </c>
      <c r="I32" s="165">
        <f>+H32-I33</f>
        <v>3.0577625514980199E-3</v>
      </c>
      <c r="J32" s="172">
        <f>IF(+'Sismo UBC-94 y Dinamico'!O25=0,'Sismo UBC-94 y Dinamico'!M25,'Sismo UBC-94 y Dinamico'!O25)</f>
        <v>2626.661163302706</v>
      </c>
      <c r="K32" s="172">
        <f t="shared" si="3"/>
        <v>4</v>
      </c>
      <c r="L32" s="165">
        <f t="shared" si="4"/>
        <v>1237.4501217820889</v>
      </c>
      <c r="M32" s="165">
        <f t="shared" si="5"/>
        <v>10506.644653210824</v>
      </c>
      <c r="N32" s="165">
        <f t="shared" si="6"/>
        <v>0.11777785988069225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3" t="s">
        <v>73</v>
      </c>
      <c r="F37" s="203"/>
      <c r="G37" s="203"/>
      <c r="H37" s="203"/>
      <c r="I37" s="203"/>
      <c r="J37" s="203"/>
      <c r="K37" s="203"/>
      <c r="L37" s="203"/>
      <c r="M37" s="203"/>
      <c r="N37" s="203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2.4078415536339499E-2</v>
      </c>
      <c r="F40" s="165">
        <f t="shared" ref="F40:F50" si="9">+E5</f>
        <v>17697.5999999911</v>
      </c>
      <c r="G40" s="165">
        <v>0</v>
      </c>
      <c r="H40" s="165">
        <f t="shared" ref="H40:H50" si="10">+E40</f>
        <v>2.4078415536339499E-2</v>
      </c>
      <c r="I40" s="165">
        <f t="shared" ref="I40:I49" si="11">+H40-H41</f>
        <v>5.8986955670589994E-4</v>
      </c>
      <c r="J40" s="165">
        <f>+J22</f>
        <v>1128.4957804944099</v>
      </c>
      <c r="K40" s="165">
        <f t="shared" ref="K40:K50" si="12">+C40</f>
        <v>38.5</v>
      </c>
      <c r="L40" s="165">
        <f>+G40*I40</f>
        <v>0</v>
      </c>
      <c r="M40" s="165">
        <f>+J40*K40</f>
        <v>43447.087549034783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2.3488545979633599E-2</v>
      </c>
      <c r="F41" s="165">
        <f t="shared" si="9"/>
        <v>342603.64764759102</v>
      </c>
      <c r="G41" s="165">
        <f>+F41</f>
        <v>342603.64764759102</v>
      </c>
      <c r="H41" s="165">
        <f t="shared" si="10"/>
        <v>2.3488545979633599E-2</v>
      </c>
      <c r="I41" s="165">
        <f t="shared" si="11"/>
        <v>1.0862150585169011E-3</v>
      </c>
      <c r="J41" s="172">
        <f t="shared" ref="J41:J50" si="13">+J23</f>
        <v>12510.431409333491</v>
      </c>
      <c r="K41" s="172">
        <f t="shared" si="12"/>
        <v>35.5</v>
      </c>
      <c r="L41" s="165">
        <f t="shared" ref="L41:L50" si="14">+G41*I41</f>
        <v>372.14124117763185</v>
      </c>
      <c r="M41" s="165">
        <f t="shared" ref="M41:M50" si="15">+J41*K41</f>
        <v>444120.31503133889</v>
      </c>
      <c r="N41" s="165">
        <f t="shared" ref="N41:N50" si="16">+L41/M41</f>
        <v>8.3792888679584969E-4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2.2402330921116698E-2</v>
      </c>
      <c r="F42" s="165">
        <f t="shared" si="9"/>
        <v>662346.09529525798</v>
      </c>
      <c r="G42" s="165">
        <f>+F42-F41</f>
        <v>319742.44764766697</v>
      </c>
      <c r="H42" s="165">
        <f t="shared" si="10"/>
        <v>2.2402330921116698E-2</v>
      </c>
      <c r="I42" s="165">
        <f t="shared" si="11"/>
        <v>1.5459360288198991E-3</v>
      </c>
      <c r="J42" s="172">
        <f t="shared" si="13"/>
        <v>14596.907513426198</v>
      </c>
      <c r="K42" s="172">
        <f t="shared" si="12"/>
        <v>32</v>
      </c>
      <c r="L42" s="165">
        <f t="shared" si="14"/>
        <v>494.30136976158877</v>
      </c>
      <c r="M42" s="165">
        <f t="shared" si="15"/>
        <v>467101.04042963835</v>
      </c>
      <c r="N42" s="165">
        <f t="shared" si="16"/>
        <v>1.0582322173954732E-3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2.0856394892296799E-2</v>
      </c>
      <c r="F43" s="165">
        <f t="shared" si="9"/>
        <v>982088.54294308403</v>
      </c>
      <c r="G43" s="165">
        <f t="shared" ref="G43:G50" si="18">+F43-F42</f>
        <v>319742.44764782605</v>
      </c>
      <c r="H43" s="165">
        <f t="shared" si="10"/>
        <v>2.0856394892296799E-2</v>
      </c>
      <c r="I43" s="165">
        <f t="shared" si="11"/>
        <v>1.9424808165380003E-3</v>
      </c>
      <c r="J43" s="172">
        <f t="shared" si="13"/>
        <v>12415.547162106304</v>
      </c>
      <c r="K43" s="172">
        <f t="shared" si="12"/>
        <v>28.5</v>
      </c>
      <c r="L43" s="165">
        <f t="shared" si="14"/>
        <v>621.09357078880794</v>
      </c>
      <c r="M43" s="165">
        <f t="shared" si="15"/>
        <v>353843.09412002965</v>
      </c>
      <c r="N43" s="165">
        <f t="shared" si="16"/>
        <v>1.755279617180044E-3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1.8913914075758799E-2</v>
      </c>
      <c r="F44" s="165">
        <f t="shared" si="9"/>
        <v>1301830.9905906599</v>
      </c>
      <c r="G44" s="165">
        <f t="shared" si="18"/>
        <v>319742.44764757587</v>
      </c>
      <c r="H44" s="165">
        <f t="shared" si="10"/>
        <v>1.8913914075758799E-2</v>
      </c>
      <c r="I44" s="165">
        <f t="shared" si="11"/>
        <v>2.2737869643283982E-3</v>
      </c>
      <c r="J44" s="172">
        <f t="shared" si="13"/>
        <v>10551.660080957299</v>
      </c>
      <c r="K44" s="172">
        <f t="shared" si="12"/>
        <v>25</v>
      </c>
      <c r="L44" s="165">
        <f t="shared" si="14"/>
        <v>727.02620940351335</v>
      </c>
      <c r="M44" s="165">
        <f t="shared" si="15"/>
        <v>263791.50202393247</v>
      </c>
      <c r="N44" s="165">
        <f t="shared" si="16"/>
        <v>2.7560637997260198E-3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1.6640127111430401E-2</v>
      </c>
      <c r="F45" s="165">
        <f t="shared" si="9"/>
        <v>1621573.43823837</v>
      </c>
      <c r="G45" s="165">
        <f t="shared" si="18"/>
        <v>319742.4476477101</v>
      </c>
      <c r="H45" s="165">
        <f t="shared" si="10"/>
        <v>1.6640127111430401E-2</v>
      </c>
      <c r="I45" s="165">
        <f t="shared" si="11"/>
        <v>2.5412401183558999E-3</v>
      </c>
      <c r="J45" s="172">
        <f t="shared" si="13"/>
        <v>9067.8823574296985</v>
      </c>
      <c r="K45" s="172">
        <f t="shared" si="12"/>
        <v>21.5</v>
      </c>
      <c r="L45" s="165">
        <f t="shared" si="14"/>
        <v>812.54233550367189</v>
      </c>
      <c r="M45" s="165">
        <f t="shared" si="15"/>
        <v>194959.47068473851</v>
      </c>
      <c r="N45" s="165">
        <f t="shared" si="16"/>
        <v>4.1677500079880855E-3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1.4098886993074501E-2</v>
      </c>
      <c r="F46" s="165">
        <f t="shared" si="9"/>
        <v>1941315.88588597</v>
      </c>
      <c r="G46" s="165">
        <f t="shared" si="18"/>
        <v>319742.44764759997</v>
      </c>
      <c r="H46" s="165">
        <f t="shared" si="10"/>
        <v>1.4098886993074501E-2</v>
      </c>
      <c r="I46" s="165">
        <f t="shared" si="11"/>
        <v>2.7128258264131015E-3</v>
      </c>
      <c r="J46" s="172">
        <f t="shared" si="13"/>
        <v>7842.5540838779925</v>
      </c>
      <c r="K46" s="172">
        <f t="shared" si="12"/>
        <v>18</v>
      </c>
      <c r="L46" s="165">
        <f t="shared" si="14"/>
        <v>867.40556977894823</v>
      </c>
      <c r="M46" s="165">
        <f t="shared" si="15"/>
        <v>141165.97350980388</v>
      </c>
      <c r="N46" s="165">
        <f t="shared" si="16"/>
        <v>6.1445796618879089E-3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1.1386061166661399E-2</v>
      </c>
      <c r="F47" s="165">
        <f t="shared" si="9"/>
        <v>2262368.7335336199</v>
      </c>
      <c r="G47" s="165">
        <f t="shared" si="18"/>
        <v>321052.84764764993</v>
      </c>
      <c r="H47" s="165">
        <f t="shared" si="10"/>
        <v>1.1386061166661399E-2</v>
      </c>
      <c r="I47" s="165">
        <f t="shared" si="11"/>
        <v>2.8112245488763291E-3</v>
      </c>
      <c r="J47" s="172">
        <f t="shared" si="13"/>
        <v>6797.4837278842024</v>
      </c>
      <c r="K47" s="172">
        <f t="shared" si="12"/>
        <v>14.5</v>
      </c>
      <c r="L47" s="165">
        <f t="shared" si="14"/>
        <v>902.55164679372547</v>
      </c>
      <c r="M47" s="165">
        <f t="shared" si="15"/>
        <v>98563.514054320927</v>
      </c>
      <c r="N47" s="165">
        <f t="shared" si="16"/>
        <v>9.1570562946477908E-3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8.5748366177850702E-3</v>
      </c>
      <c r="F48" s="165">
        <f t="shared" si="9"/>
        <v>2583421.5811812798</v>
      </c>
      <c r="G48" s="165">
        <f t="shared" si="18"/>
        <v>321052.84764765995</v>
      </c>
      <c r="H48" s="165">
        <f t="shared" si="10"/>
        <v>8.5748366177850702E-3</v>
      </c>
      <c r="I48" s="165">
        <f t="shared" si="11"/>
        <v>2.8748761073602606E-3</v>
      </c>
      <c r="J48" s="172">
        <f t="shared" si="13"/>
        <v>5717.9542026154086</v>
      </c>
      <c r="K48" s="172">
        <f t="shared" si="12"/>
        <v>11</v>
      </c>
      <c r="L48" s="165">
        <f t="shared" si="14"/>
        <v>922.98716090223138</v>
      </c>
      <c r="M48" s="165">
        <f t="shared" si="15"/>
        <v>62897.496228769494</v>
      </c>
      <c r="N48" s="165">
        <f t="shared" si="16"/>
        <v>1.4674465857037635E-2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5.6999605104248096E-3</v>
      </c>
      <c r="F49" s="165">
        <f t="shared" si="9"/>
        <v>2904474.4288290199</v>
      </c>
      <c r="G49" s="165">
        <f t="shared" si="18"/>
        <v>321052.84764774004</v>
      </c>
      <c r="H49" s="165">
        <f t="shared" si="10"/>
        <v>5.6999605104248096E-3</v>
      </c>
      <c r="I49" s="165">
        <f t="shared" si="11"/>
        <v>2.8669219556415096E-3</v>
      </c>
      <c r="J49" s="172">
        <f t="shared" si="13"/>
        <v>4412.2208669351967</v>
      </c>
      <c r="K49" s="172">
        <f t="shared" si="12"/>
        <v>7.5</v>
      </c>
      <c r="L49" s="165">
        <f t="shared" si="14"/>
        <v>920.43345784253449</v>
      </c>
      <c r="M49" s="165">
        <f t="shared" si="15"/>
        <v>33091.656502013975</v>
      </c>
      <c r="N49" s="165">
        <f t="shared" si="16"/>
        <v>2.7814668564159564E-2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2.8330385547833E-3</v>
      </c>
      <c r="F50" s="165">
        <f t="shared" si="9"/>
        <v>3309165.8006871301</v>
      </c>
      <c r="G50" s="165">
        <f t="shared" si="18"/>
        <v>404691.37185811019</v>
      </c>
      <c r="H50" s="165">
        <f t="shared" si="10"/>
        <v>2.8330385547833E-3</v>
      </c>
      <c r="I50" s="165">
        <f>+H50-I51</f>
        <v>2.8330385547833E-3</v>
      </c>
      <c r="J50" s="172">
        <f t="shared" si="13"/>
        <v>2626.661163302706</v>
      </c>
      <c r="K50" s="172">
        <f t="shared" si="12"/>
        <v>4</v>
      </c>
      <c r="L50" s="165">
        <f t="shared" si="14"/>
        <v>1146.5062592621716</v>
      </c>
      <c r="M50" s="165">
        <f t="shared" si="15"/>
        <v>10506.644653210824</v>
      </c>
      <c r="N50" s="165">
        <f t="shared" si="16"/>
        <v>0.10912201726664469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3" t="s">
        <v>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2.5662983354547399E-2</v>
      </c>
      <c r="F58" s="83">
        <f t="shared" ref="F58:F68" si="19">+E5</f>
        <v>17697.5999999911</v>
      </c>
      <c r="G58" s="83">
        <v>0</v>
      </c>
      <c r="H58" s="83">
        <f>+E58</f>
        <v>2.5662983354547399E-2</v>
      </c>
      <c r="I58" s="83">
        <f>+H58-H59</f>
        <v>-1.7873903689372E-3</v>
      </c>
      <c r="J58" s="83">
        <f>IF(+'Sismo UBC-94 y Dinamico'!P34=0,'Sismo UBC-94 y Dinamico'!N34,'Sismo UBC-94 y Dinamico'!P34)</f>
        <v>1048.1870473643935</v>
      </c>
      <c r="K58" s="83">
        <f t="shared" ref="K58:K68" si="20">+C58</f>
        <v>38.5</v>
      </c>
      <c r="L58" s="83">
        <f>+G58*I58</f>
        <v>0</v>
      </c>
      <c r="M58" s="83">
        <f>+J58*K58</f>
        <v>40355.201323529152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2.7450373723484599E-2</v>
      </c>
      <c r="F59" s="165">
        <f t="shared" si="19"/>
        <v>342603.64764759102</v>
      </c>
      <c r="G59" s="83">
        <f>+F59</f>
        <v>342603.64764759102</v>
      </c>
      <c r="H59" s="83">
        <f t="shared" ref="H59:H68" si="21">+E59</f>
        <v>2.7450373723484599E-2</v>
      </c>
      <c r="I59" s="83">
        <f>+H59-H60</f>
        <v>1.0896535179684974E-3</v>
      </c>
      <c r="J59" s="172">
        <f>IF(+'Sismo UBC-94 y Dinamico'!P35=0,'Sismo UBC-94 y Dinamico'!N35,'Sismo UBC-94 y Dinamico'!P35)</f>
        <v>11810.848780333592</v>
      </c>
      <c r="K59" s="172">
        <f t="shared" si="20"/>
        <v>35.5</v>
      </c>
      <c r="L59" s="83">
        <f>+G59*I59</f>
        <v>373.31926992803704</v>
      </c>
      <c r="M59" s="83">
        <f>+J59*K59</f>
        <v>419285.13170184253</v>
      </c>
      <c r="N59" s="83">
        <f>+L59/M59</f>
        <v>8.9037087581132681E-4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2.6360720205516101E-2</v>
      </c>
      <c r="F60" s="165">
        <f t="shared" si="19"/>
        <v>662346.09529525798</v>
      </c>
      <c r="G60" s="83">
        <f>+F60-F59</f>
        <v>319742.44764766697</v>
      </c>
      <c r="H60" s="83">
        <f t="shared" si="21"/>
        <v>2.6360720205516101E-2</v>
      </c>
      <c r="I60" s="83">
        <f>+H60-H61</f>
        <v>1.6454269714431015E-3</v>
      </c>
      <c r="J60" s="172">
        <f>IF(+'Sismo UBC-94 y Dinamico'!P36=0,'Sismo UBC-94 y Dinamico'!N36,'Sismo UBC-94 y Dinamico'!P36)</f>
        <v>13942.661659178559</v>
      </c>
      <c r="K60" s="172">
        <f t="shared" si="20"/>
        <v>32</v>
      </c>
      <c r="L60" s="83">
        <f>+G60*I60</f>
        <v>526.11284727470513</v>
      </c>
      <c r="M60" s="83">
        <f>+J60*K60</f>
        <v>446165.17309371388</v>
      </c>
      <c r="N60" s="83">
        <f>+L60/M60</f>
        <v>1.1791885135870944E-3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2.4715293234073E-2</v>
      </c>
      <c r="F61" s="165">
        <f t="shared" si="19"/>
        <v>982088.54294308403</v>
      </c>
      <c r="G61" s="83">
        <f t="shared" ref="G61:G68" si="22">+F61-F60</f>
        <v>319742.44764782605</v>
      </c>
      <c r="H61" s="83">
        <f t="shared" si="21"/>
        <v>2.4715293234073E-2</v>
      </c>
      <c r="I61" s="83">
        <f>+H61-H62</f>
        <v>2.1527003704292988E-3</v>
      </c>
      <c r="J61" s="172">
        <f>IF(+'Sismo UBC-94 y Dinamico'!P37=0,'Sismo UBC-94 y Dinamico'!N37,'Sismo UBC-94 y Dinamico'!P37)</f>
        <v>11643.384812003243</v>
      </c>
      <c r="K61" s="172">
        <f t="shared" si="20"/>
        <v>28.5</v>
      </c>
      <c r="L61" s="83">
        <f>+G61*I61</f>
        <v>688.30968549344584</v>
      </c>
      <c r="M61" s="83">
        <f>+J61*K61</f>
        <v>331836.46714209241</v>
      </c>
      <c r="N61" s="83">
        <f>+L61/M61</f>
        <v>2.0742436520658578E-3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2.2562592863643701E-2</v>
      </c>
      <c r="F62" s="165">
        <f t="shared" si="19"/>
        <v>1301830.9905906599</v>
      </c>
      <c r="G62" s="83">
        <f t="shared" si="22"/>
        <v>319742.44764757587</v>
      </c>
      <c r="H62" s="83">
        <f t="shared" si="21"/>
        <v>2.2562592863643701E-2</v>
      </c>
      <c r="I62" s="83">
        <f>+H62-H63</f>
        <v>2.5690929777454005E-3</v>
      </c>
      <c r="J62" s="172">
        <f>IF(+'Sismo UBC-94 y Dinamico'!P38=0,'Sismo UBC-94 y Dinamico'!N38,'Sismo UBC-94 y Dinamico'!P38)</f>
        <v>9645.7063802347438</v>
      </c>
      <c r="K62" s="172">
        <f t="shared" si="20"/>
        <v>25</v>
      </c>
      <c r="L62" s="83">
        <f>+G62*I62</f>
        <v>821.44807693851351</v>
      </c>
      <c r="M62" s="83">
        <f>+J62*K62</f>
        <v>241142.65950586859</v>
      </c>
      <c r="N62" s="83">
        <f>+L62/M62</f>
        <v>3.4064817839438411E-3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1.9993499885898301E-2</v>
      </c>
      <c r="F63" s="165">
        <f t="shared" si="19"/>
        <v>1621573.43823837</v>
      </c>
      <c r="G63" s="165">
        <f t="shared" si="22"/>
        <v>319742.4476477101</v>
      </c>
      <c r="H63" s="165">
        <f t="shared" si="21"/>
        <v>1.9993499885898301E-2</v>
      </c>
      <c r="I63" s="165">
        <f t="shared" ref="I63:I68" si="23">+H63-H64</f>
        <v>2.9082061212736023E-3</v>
      </c>
      <c r="J63" s="172">
        <f>IF(+'Sismo UBC-94 y Dinamico'!P39=0,'Sismo UBC-94 y Dinamico'!N39,'Sismo UBC-94 y Dinamico'!P39)</f>
        <v>8172.2376211782039</v>
      </c>
      <c r="K63" s="172">
        <f t="shared" si="20"/>
        <v>21.5</v>
      </c>
      <c r="L63" s="165">
        <f t="shared" ref="L63:L68" si="24">+G63*I63</f>
        <v>929.87694348007483</v>
      </c>
      <c r="M63" s="165">
        <f t="shared" ref="M63:M68" si="25">+J63*K63</f>
        <v>175703.10885533137</v>
      </c>
      <c r="N63" s="165">
        <f t="shared" ref="N63:N68" si="26">+L63/M63</f>
        <v>5.2923192397563512E-3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1.7085293764624698E-2</v>
      </c>
      <c r="F64" s="165">
        <f t="shared" si="19"/>
        <v>1941315.88588597</v>
      </c>
      <c r="G64" s="165">
        <f t="shared" si="22"/>
        <v>319742.44764759997</v>
      </c>
      <c r="H64" s="165">
        <f t="shared" si="21"/>
        <v>1.7085293764624698E-2</v>
      </c>
      <c r="I64" s="165">
        <f t="shared" si="23"/>
        <v>3.187830388104898E-3</v>
      </c>
      <c r="J64" s="172">
        <f>IF(+'Sismo UBC-94 y Dinamico'!P40=0,'Sismo UBC-94 y Dinamico'!N40,'Sismo UBC-94 y Dinamico'!P40)</f>
        <v>7134.0175027716487</v>
      </c>
      <c r="K64" s="172">
        <f t="shared" si="20"/>
        <v>18</v>
      </c>
      <c r="L64" s="165">
        <f t="shared" si="24"/>
        <v>1019.2846909780586</v>
      </c>
      <c r="M64" s="165">
        <f t="shared" si="25"/>
        <v>128412.31504988967</v>
      </c>
      <c r="N64" s="165">
        <f t="shared" si="26"/>
        <v>7.9375929838353485E-3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1.38974633765198E-2</v>
      </c>
      <c r="F65" s="165">
        <f t="shared" si="19"/>
        <v>2262368.7335336199</v>
      </c>
      <c r="G65" s="165">
        <f t="shared" si="22"/>
        <v>321052.84764764993</v>
      </c>
      <c r="H65" s="165">
        <f t="shared" si="21"/>
        <v>1.38974633765198E-2</v>
      </c>
      <c r="I65" s="165">
        <f t="shared" si="23"/>
        <v>3.4103738751048995E-3</v>
      </c>
      <c r="J65" s="172">
        <f>IF(+'Sismo UBC-94 y Dinamico'!P41=0,'Sismo UBC-94 y Dinamico'!N41,'Sismo UBC-94 y Dinamico'!P41)</f>
        <v>6313.2413410808867</v>
      </c>
      <c r="K65" s="172">
        <f t="shared" si="20"/>
        <v>14.5</v>
      </c>
      <c r="L65" s="165">
        <f t="shared" si="24"/>
        <v>1094.9102441455789</v>
      </c>
      <c r="M65" s="165">
        <f t="shared" si="25"/>
        <v>91541.99944567286</v>
      </c>
      <c r="N65" s="165">
        <f t="shared" si="26"/>
        <v>1.1960742072226331E-2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1.0487089501414901E-2</v>
      </c>
      <c r="F66" s="165">
        <f t="shared" si="19"/>
        <v>2583421.5811812798</v>
      </c>
      <c r="G66" s="165">
        <f t="shared" si="22"/>
        <v>321052.84764765995</v>
      </c>
      <c r="H66" s="165">
        <f t="shared" si="21"/>
        <v>1.0487089501414901E-2</v>
      </c>
      <c r="I66" s="165">
        <f t="shared" si="23"/>
        <v>3.5623067102233709E-3</v>
      </c>
      <c r="J66" s="172">
        <f>IF(+'Sismo UBC-94 y Dinamico'!P42=0,'Sismo UBC-94 y Dinamico'!N42,'Sismo UBC-94 y Dinamico'!P42)</f>
        <v>5441.3124414376616</v>
      </c>
      <c r="K66" s="172">
        <f t="shared" si="20"/>
        <v>11</v>
      </c>
      <c r="L66" s="165">
        <f t="shared" si="24"/>
        <v>1143.6887135115805</v>
      </c>
      <c r="M66" s="165">
        <f t="shared" si="25"/>
        <v>59854.436855814274</v>
      </c>
      <c r="N66" s="165">
        <f t="shared" si="26"/>
        <v>1.9107835167953509E-2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6.9247827911915298E-3</v>
      </c>
      <c r="F67" s="165">
        <f t="shared" si="19"/>
        <v>2904474.4288290199</v>
      </c>
      <c r="G67" s="165">
        <f t="shared" si="22"/>
        <v>321052.84764774004</v>
      </c>
      <c r="H67" s="165">
        <f t="shared" si="21"/>
        <v>6.9247827911915298E-3</v>
      </c>
      <c r="I67" s="165">
        <f t="shared" si="23"/>
        <v>3.6081004317877396E-3</v>
      </c>
      <c r="J67" s="172">
        <f>IF(+'Sismo UBC-94 y Dinamico'!P43=0,'Sismo UBC-94 y Dinamico'!N43,'Sismo UBC-94 y Dinamico'!P43)</f>
        <v>4330.2303435139984</v>
      </c>
      <c r="K67" s="172">
        <f t="shared" si="20"/>
        <v>7.5</v>
      </c>
      <c r="L67" s="165">
        <f t="shared" si="24"/>
        <v>1158.3909182244943</v>
      </c>
      <c r="M67" s="165">
        <f t="shared" si="25"/>
        <v>32476.727576354988</v>
      </c>
      <c r="N67" s="165">
        <f t="shared" si="26"/>
        <v>3.5668338674241074E-2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3.3166823594037902E-3</v>
      </c>
      <c r="F68" s="165">
        <f t="shared" si="19"/>
        <v>3309165.8006871301</v>
      </c>
      <c r="G68" s="165">
        <f t="shared" si="22"/>
        <v>404691.37185811019</v>
      </c>
      <c r="H68" s="165">
        <f t="shared" si="21"/>
        <v>3.3166823594037902E-3</v>
      </c>
      <c r="I68" s="165">
        <f t="shared" si="23"/>
        <v>3.3166823594037902E-3</v>
      </c>
      <c r="J68" s="172">
        <f>IF(+'Sismo UBC-94 y Dinamico'!P44=0,'Sismo UBC-94 y Dinamico'!N44,'Sismo UBC-94 y Dinamico'!P44)</f>
        <v>2624.0819157329802</v>
      </c>
      <c r="K68" s="172">
        <f t="shared" si="20"/>
        <v>4</v>
      </c>
      <c r="L68" s="165">
        <f t="shared" si="24"/>
        <v>1342.2327340447134</v>
      </c>
      <c r="M68" s="165">
        <f t="shared" si="25"/>
        <v>10496.327662931921</v>
      </c>
      <c r="N68" s="165">
        <f t="shared" si="26"/>
        <v>0.12787641327021892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3" t="s">
        <v>73</v>
      </c>
      <c r="F73" s="203"/>
      <c r="G73" s="203"/>
      <c r="H73" s="203"/>
      <c r="I73" s="203"/>
      <c r="J73" s="203"/>
      <c r="K73" s="203"/>
      <c r="L73" s="203"/>
      <c r="M73" s="203"/>
      <c r="N73" s="203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2.3029165696140299E-2</v>
      </c>
      <c r="F76" s="83">
        <f t="shared" ref="F76:F86" si="28">+E5</f>
        <v>17697.5999999911</v>
      </c>
      <c r="G76" s="83">
        <v>0</v>
      </c>
      <c r="H76" s="83">
        <f>+E76</f>
        <v>2.3029165696140299E-2</v>
      </c>
      <c r="I76" s="83">
        <f>+H76-H77</f>
        <v>-1.0799823609940803E-2</v>
      </c>
      <c r="J76" s="83">
        <f>+J58</f>
        <v>1048.1870473643935</v>
      </c>
      <c r="K76" s="83">
        <f t="shared" ref="K76:K86" si="29">+C76</f>
        <v>38.5</v>
      </c>
      <c r="L76" s="83">
        <f>+G76*I76</f>
        <v>0</v>
      </c>
      <c r="M76" s="83">
        <f>+J76*K76</f>
        <v>40355.201323529152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3.3828989306081102E-2</v>
      </c>
      <c r="F77" s="165">
        <f t="shared" si="28"/>
        <v>342603.64764759102</v>
      </c>
      <c r="G77" s="83">
        <f>+F77</f>
        <v>342603.64764759102</v>
      </c>
      <c r="H77" s="83">
        <f>+E77</f>
        <v>3.3828989306081102E-2</v>
      </c>
      <c r="I77" s="83">
        <f>+H77-H78</f>
        <v>1.3038464099308991E-3</v>
      </c>
      <c r="J77" s="172">
        <f t="shared" ref="J77:J86" si="30">+J59</f>
        <v>11810.848780333592</v>
      </c>
      <c r="K77" s="172">
        <f t="shared" si="29"/>
        <v>35.5</v>
      </c>
      <c r="L77" s="83">
        <f>+G77*I77</f>
        <v>446.70253601454226</v>
      </c>
      <c r="M77" s="83">
        <f>+J77*K77</f>
        <v>419285.13170184253</v>
      </c>
      <c r="N77" s="83">
        <f>+L77/M77</f>
        <v>1.0653908336825941E-3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3.2525142896150203E-2</v>
      </c>
      <c r="F78" s="165">
        <f t="shared" si="28"/>
        <v>662346.09529525798</v>
      </c>
      <c r="G78" s="83">
        <f>+F78-F77</f>
        <v>319742.44764766697</v>
      </c>
      <c r="H78" s="83">
        <f>+E78</f>
        <v>3.2525142896150203E-2</v>
      </c>
      <c r="I78" s="83">
        <f>+H78-H79</f>
        <v>1.9968933105481042E-3</v>
      </c>
      <c r="J78" s="172">
        <f t="shared" si="30"/>
        <v>13942.661659178559</v>
      </c>
      <c r="K78" s="172">
        <f t="shared" si="29"/>
        <v>32</v>
      </c>
      <c r="L78" s="83">
        <f>+G78*I78</f>
        <v>638.49155480590355</v>
      </c>
      <c r="M78" s="83">
        <f>+J78*K78</f>
        <v>446165.17309371388</v>
      </c>
      <c r="N78" s="83">
        <f>+L78/M78</f>
        <v>1.4310654289275799E-3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3.0528249585602098E-2</v>
      </c>
      <c r="F79" s="165">
        <f t="shared" si="28"/>
        <v>982088.54294308403</v>
      </c>
      <c r="G79" s="83">
        <f t="shared" ref="G79:G86" si="31">+F79-F78</f>
        <v>319742.44764782605</v>
      </c>
      <c r="H79" s="83">
        <f>+E79</f>
        <v>3.0528249585602098E-2</v>
      </c>
      <c r="I79" s="83">
        <f>+H79-H80</f>
        <v>2.6308378305973969E-3</v>
      </c>
      <c r="J79" s="172">
        <f t="shared" si="30"/>
        <v>11643.384812003243</v>
      </c>
      <c r="K79" s="172">
        <f t="shared" si="29"/>
        <v>28.5</v>
      </c>
      <c r="L79" s="83">
        <f>+G79*I79</f>
        <v>841.19052731970839</v>
      </c>
      <c r="M79" s="83">
        <f>+J79*K79</f>
        <v>331836.46714209241</v>
      </c>
      <c r="N79" s="83">
        <f>+L79/M79</f>
        <v>2.5349550474797894E-3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2.7897411755004702E-2</v>
      </c>
      <c r="F80" s="165">
        <f t="shared" si="28"/>
        <v>1301830.9905906599</v>
      </c>
      <c r="G80" s="83">
        <f t="shared" si="31"/>
        <v>319742.44764757587</v>
      </c>
      <c r="H80" s="83">
        <f>+E80</f>
        <v>2.7897411755004702E-2</v>
      </c>
      <c r="I80" s="83">
        <f>+H80-H81</f>
        <v>3.1526969147180998E-3</v>
      </c>
      <c r="J80" s="172">
        <f t="shared" si="30"/>
        <v>9645.7063802347438</v>
      </c>
      <c r="K80" s="172">
        <f t="shared" si="29"/>
        <v>25</v>
      </c>
      <c r="L80" s="83">
        <f>+G80*I80</f>
        <v>1008.051028202926</v>
      </c>
      <c r="M80" s="83">
        <f>+J80*K80</f>
        <v>241142.65950586859</v>
      </c>
      <c r="N80" s="83">
        <f>+L80/M80</f>
        <v>4.1803098226939539E-3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2.4744714840286602E-2</v>
      </c>
      <c r="F81" s="165">
        <f t="shared" si="28"/>
        <v>1621573.43823837</v>
      </c>
      <c r="G81" s="165">
        <f t="shared" si="31"/>
        <v>319742.4476477101</v>
      </c>
      <c r="H81" s="165">
        <f t="shared" ref="H81:H86" si="32">+E81</f>
        <v>2.4744714840286602E-2</v>
      </c>
      <c r="I81" s="165">
        <f t="shared" ref="I81:I86" si="33">+H81-H82</f>
        <v>3.5793702983090009E-3</v>
      </c>
      <c r="J81" s="172">
        <f t="shared" si="30"/>
        <v>8172.2376211782039</v>
      </c>
      <c r="K81" s="172">
        <f t="shared" si="29"/>
        <v>21.5</v>
      </c>
      <c r="L81" s="165">
        <f t="shared" ref="L81:L86" si="34">+G81*I81</f>
        <v>1144.4766202188341</v>
      </c>
      <c r="M81" s="165">
        <f t="shared" ref="M81:M86" si="35">+J81*K81</f>
        <v>175703.10885533137</v>
      </c>
      <c r="N81" s="165">
        <f t="shared" ref="N81:N86" si="36">+L81/M81</f>
        <v>6.5136959025646011E-3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2.1165344541977601E-2</v>
      </c>
      <c r="F82" s="165">
        <f t="shared" si="28"/>
        <v>1941315.88588597</v>
      </c>
      <c r="G82" s="165">
        <f t="shared" si="31"/>
        <v>319742.44764759997</v>
      </c>
      <c r="H82" s="165">
        <f t="shared" si="32"/>
        <v>2.1165344541977601E-2</v>
      </c>
      <c r="I82" s="165">
        <f t="shared" si="33"/>
        <v>3.9306379231215001E-3</v>
      </c>
      <c r="J82" s="172">
        <f t="shared" si="30"/>
        <v>7134.0175027716487</v>
      </c>
      <c r="K82" s="172">
        <f t="shared" si="29"/>
        <v>18</v>
      </c>
      <c r="L82" s="165">
        <f t="shared" si="34"/>
        <v>1256.7917903553473</v>
      </c>
      <c r="M82" s="165">
        <f t="shared" si="35"/>
        <v>128412.31504988967</v>
      </c>
      <c r="N82" s="165">
        <f t="shared" si="36"/>
        <v>9.7871593535796709E-3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1.7234706618856101E-2</v>
      </c>
      <c r="F83" s="165">
        <f t="shared" si="28"/>
        <v>2262368.7335336199</v>
      </c>
      <c r="G83" s="165">
        <f t="shared" si="31"/>
        <v>321052.84764764993</v>
      </c>
      <c r="H83" s="165">
        <f t="shared" si="32"/>
        <v>1.7234706618856101E-2</v>
      </c>
      <c r="I83" s="165">
        <f t="shared" si="33"/>
        <v>4.2118139628931003E-3</v>
      </c>
      <c r="J83" s="172">
        <f t="shared" si="30"/>
        <v>6313.2413410808867</v>
      </c>
      <c r="K83" s="172">
        <f t="shared" si="29"/>
        <v>14.5</v>
      </c>
      <c r="L83" s="165">
        <f t="shared" si="34"/>
        <v>1352.2148665489633</v>
      </c>
      <c r="M83" s="165">
        <f t="shared" si="35"/>
        <v>91541.99944567286</v>
      </c>
      <c r="N83" s="165">
        <f t="shared" si="36"/>
        <v>1.4771524270140701E-2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1.3022892655963E-2</v>
      </c>
      <c r="F84" s="165">
        <f t="shared" si="28"/>
        <v>2583421.5811812798</v>
      </c>
      <c r="G84" s="165">
        <f t="shared" si="31"/>
        <v>321052.84764765995</v>
      </c>
      <c r="H84" s="165">
        <f t="shared" si="32"/>
        <v>1.3022892655963E-2</v>
      </c>
      <c r="I84" s="165">
        <f t="shared" si="33"/>
        <v>4.4099810652442201E-3</v>
      </c>
      <c r="J84" s="172">
        <f t="shared" si="30"/>
        <v>5441.3124414376616</v>
      </c>
      <c r="K84" s="172">
        <f t="shared" si="29"/>
        <v>11</v>
      </c>
      <c r="L84" s="165">
        <f t="shared" si="34"/>
        <v>1415.8369790689178</v>
      </c>
      <c r="M84" s="165">
        <f t="shared" si="35"/>
        <v>59854.436855814274</v>
      </c>
      <c r="N84" s="165">
        <f t="shared" si="36"/>
        <v>2.3654670454582735E-2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8.6129115907187803E-3</v>
      </c>
      <c r="F85" s="165">
        <f t="shared" si="28"/>
        <v>2904474.4288290199</v>
      </c>
      <c r="G85" s="165">
        <f t="shared" si="31"/>
        <v>321052.84764774004</v>
      </c>
      <c r="H85" s="165">
        <f t="shared" si="32"/>
        <v>8.6129115907187803E-3</v>
      </c>
      <c r="I85" s="165">
        <f t="shared" si="33"/>
        <v>4.47860055900174E-3</v>
      </c>
      <c r="J85" s="172">
        <f t="shared" si="30"/>
        <v>4330.2303435139984</v>
      </c>
      <c r="K85" s="172">
        <f t="shared" si="29"/>
        <v>7.5</v>
      </c>
      <c r="L85" s="165">
        <f t="shared" si="34"/>
        <v>1437.8674629442689</v>
      </c>
      <c r="M85" s="165">
        <f t="shared" si="35"/>
        <v>32476.727576354988</v>
      </c>
      <c r="N85" s="165">
        <f t="shared" si="36"/>
        <v>4.4273779110402825E-2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4.1343110317170403E-3</v>
      </c>
      <c r="F86" s="165">
        <f t="shared" si="28"/>
        <v>3309165.8006871301</v>
      </c>
      <c r="G86" s="165">
        <f t="shared" si="31"/>
        <v>404691.37185811019</v>
      </c>
      <c r="H86" s="165">
        <f t="shared" si="32"/>
        <v>4.1343110317170403E-3</v>
      </c>
      <c r="I86" s="165">
        <f t="shared" si="33"/>
        <v>4.1343110317170403E-3</v>
      </c>
      <c r="J86" s="172">
        <f t="shared" si="30"/>
        <v>2624.0819157329802</v>
      </c>
      <c r="K86" s="172">
        <f t="shared" si="29"/>
        <v>4</v>
      </c>
      <c r="L86" s="165">
        <f t="shared" si="34"/>
        <v>1673.120003113688</v>
      </c>
      <c r="M86" s="165">
        <f t="shared" si="35"/>
        <v>10496.327662931921</v>
      </c>
      <c r="N86" s="165">
        <f t="shared" si="36"/>
        <v>0.15940051195451518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2021-05-20T23:02:24Z</dcterms:modified>
</cp:coreProperties>
</file>