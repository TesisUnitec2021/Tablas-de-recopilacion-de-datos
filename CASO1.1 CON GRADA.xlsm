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1\"/>
    </mc:Choice>
  </mc:AlternateContent>
  <bookViews>
    <workbookView xWindow="0" yWindow="0" windowWidth="23040" windowHeight="9972" tabRatio="830" firstSheet="6" activeTab="12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<sst xmlns="http://schemas.openxmlformats.org/spreadsheetml/2006/main" count="3668" uniqueCount="262">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</sst>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848.73018227297905</v>
      </c>
      <c r="E5" s="172">
        <f t="shared" si="0"/>
        <v>848.73018227297905</v>
      </c>
      <c r="F5" s="172">
        <f t="shared" si="0"/>
        <v>20.908304498395498</v>
      </c>
      <c r="G5" s="172">
        <f t="shared" si="0"/>
        <v>14.1247837405593</v>
      </c>
      <c r="H5" s="172">
        <f t="shared" si="0"/>
        <v>848.73018227297905</v>
      </c>
      <c r="I5" s="172">
        <f t="shared" si="0"/>
        <v>848.73018227297905</v>
      </c>
      <c r="J5" s="172">
        <f t="shared" si="0"/>
        <v>20.908304498395498</v>
      </c>
      <c r="K5" s="172">
        <f t="shared" si="0"/>
        <v>14.1247837405593</v>
      </c>
      <c r="L5" s="172">
        <f t="shared" si="0"/>
        <v>20.118679034528999</v>
      </c>
      <c r="M5" s="172">
        <f t="shared" si="0"/>
        <v>13.6365606852602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16605.490581036898</v>
      </c>
      <c r="E6" s="172">
        <f t="shared" si="1"/>
        <v>16605.490581036898</v>
      </c>
      <c r="F6" s="172">
        <f t="shared" si="1"/>
        <v>12.0290427705505</v>
      </c>
      <c r="G6" s="172">
        <f t="shared" si="1"/>
        <v>15.466077030309201</v>
      </c>
      <c r="H6" s="172">
        <f t="shared" si="1"/>
        <v>16605.490581036898</v>
      </c>
      <c r="I6" s="172">
        <f t="shared" si="1"/>
        <v>16605.490581036898</v>
      </c>
      <c r="J6" s="172">
        <f t="shared" si="1"/>
        <v>12.0290427705505</v>
      </c>
      <c r="K6" s="172">
        <f t="shared" si="1"/>
        <v>15.466077030309201</v>
      </c>
      <c r="L6" s="172">
        <f t="shared" si="1"/>
        <v>13.5568172417229</v>
      </c>
      <c r="M6" s="172">
        <f t="shared" si="1"/>
        <v>15.4823017118692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21360.320714287001</v>
      </c>
      <c r="E7" s="172">
        <f t="shared" si="2"/>
        <v>21360.320714287001</v>
      </c>
      <c r="F7" s="172">
        <f t="shared" si="2"/>
        <v>11.9193344761227</v>
      </c>
      <c r="G7" s="172">
        <f t="shared" si="2"/>
        <v>15.509407309798</v>
      </c>
      <c r="H7" s="172">
        <f t="shared" si="2"/>
        <v>21360.320714287001</v>
      </c>
      <c r="I7" s="172">
        <f t="shared" si="2"/>
        <v>21360.320714287001</v>
      </c>
      <c r="J7" s="172">
        <f t="shared" si="2"/>
        <v>11.9193344761227</v>
      </c>
      <c r="K7" s="172">
        <f t="shared" si="2"/>
        <v>15.509407309798</v>
      </c>
      <c r="L7" s="172">
        <f t="shared" si="2"/>
        <v>13.588607748629499</v>
      </c>
      <c r="M7" s="172">
        <f t="shared" si="2"/>
        <v>15.4872955995124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21360.320714287001</v>
      </c>
      <c r="E8" s="172">
        <f t="shared" si="3"/>
        <v>21360.320714287001</v>
      </c>
      <c r="F8" s="172">
        <f t="shared" si="3"/>
        <v>11.9193344761227</v>
      </c>
      <c r="G8" s="172">
        <f t="shared" si="3"/>
        <v>15.509407309798</v>
      </c>
      <c r="H8" s="172">
        <f t="shared" si="3"/>
        <v>21360.320714287001</v>
      </c>
      <c r="I8" s="172">
        <f t="shared" si="3"/>
        <v>21360.320714287001</v>
      </c>
      <c r="J8" s="172">
        <f t="shared" si="3"/>
        <v>11.9193344761227</v>
      </c>
      <c r="K8" s="172">
        <f t="shared" si="3"/>
        <v>15.509407309798</v>
      </c>
      <c r="L8" s="172">
        <f t="shared" si="3"/>
        <v>13.622092232803199</v>
      </c>
      <c r="M8" s="172">
        <f t="shared" si="3"/>
        <v>15.4924344735639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21360.320714287001</v>
      </c>
      <c r="E9" s="172">
        <f t="shared" si="4"/>
        <v>21360.320714287001</v>
      </c>
      <c r="F9" s="172">
        <f t="shared" si="4"/>
        <v>11.9193344761227</v>
      </c>
      <c r="G9" s="172">
        <f t="shared" si="4"/>
        <v>15.509407309798</v>
      </c>
      <c r="H9" s="172">
        <f t="shared" si="4"/>
        <v>21360.320714287001</v>
      </c>
      <c r="I9" s="172">
        <f t="shared" si="4"/>
        <v>21360.320714287001</v>
      </c>
      <c r="J9" s="172">
        <f t="shared" si="4"/>
        <v>11.9193344761227</v>
      </c>
      <c r="K9" s="172">
        <f t="shared" si="4"/>
        <v>15.509407309798</v>
      </c>
      <c r="L9" s="172">
        <f t="shared" si="4"/>
        <v>13.6362049335794</v>
      </c>
      <c r="M9" s="172">
        <f t="shared" si="4"/>
        <v>15.4974622591601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21360.320714287001</v>
      </c>
      <c r="E10" s="172">
        <f t="shared" si="5"/>
        <v>21360.320714287001</v>
      </c>
      <c r="F10" s="172">
        <f t="shared" si="5"/>
        <v>11.9193344761227</v>
      </c>
      <c r="G10" s="172">
        <f t="shared" si="5"/>
        <v>15.509407309798</v>
      </c>
      <c r="H10" s="172">
        <f t="shared" si="5"/>
        <v>21360.320714287001</v>
      </c>
      <c r="I10" s="172">
        <f t="shared" si="5"/>
        <v>21360.320714287001</v>
      </c>
      <c r="J10" s="172">
        <f t="shared" si="5"/>
        <v>11.9193344761227</v>
      </c>
      <c r="K10" s="172">
        <f t="shared" si="5"/>
        <v>15.509407309798</v>
      </c>
      <c r="L10" s="172">
        <f t="shared" si="5"/>
        <v>13.624505342045</v>
      </c>
      <c r="M10" s="172">
        <f t="shared" si="5"/>
        <v>15.502866290910401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21360.320714287001</v>
      </c>
      <c r="E11" s="172">
        <f t="shared" si="6"/>
        <v>21360.320714287001</v>
      </c>
      <c r="F11" s="172">
        <f t="shared" si="6"/>
        <v>11.9193344761227</v>
      </c>
      <c r="G11" s="172">
        <f t="shared" si="6"/>
        <v>15.509407309798</v>
      </c>
      <c r="H11" s="172">
        <f t="shared" si="6"/>
        <v>21360.320714287001</v>
      </c>
      <c r="I11" s="172">
        <f t="shared" si="6"/>
        <v>21360.320714287001</v>
      </c>
      <c r="J11" s="172">
        <f t="shared" si="6"/>
        <v>11.9193344761227</v>
      </c>
      <c r="K11" s="172">
        <f t="shared" si="6"/>
        <v>15.509407309798</v>
      </c>
      <c r="L11" s="172">
        <f t="shared" si="6"/>
        <v>13.589542577438101</v>
      </c>
      <c r="M11" s="172">
        <f t="shared" si="6"/>
        <v>15.508843863492899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22770.710574073601</v>
      </c>
      <c r="E12" s="172">
        <f t="shared" si="7"/>
        <v>22770.710574073601</v>
      </c>
      <c r="F12" s="172">
        <f t="shared" si="7"/>
        <v>11.878900435086599</v>
      </c>
      <c r="G12" s="172">
        <f t="shared" si="7"/>
        <v>15.505958634330501</v>
      </c>
      <c r="H12" s="172">
        <f t="shared" si="7"/>
        <v>22770.710574073601</v>
      </c>
      <c r="I12" s="172">
        <f t="shared" si="7"/>
        <v>22770.710574073601</v>
      </c>
      <c r="J12" s="172">
        <f t="shared" si="7"/>
        <v>11.878900435086599</v>
      </c>
      <c r="K12" s="172">
        <f t="shared" si="7"/>
        <v>15.505958634330501</v>
      </c>
      <c r="L12" s="172">
        <f t="shared" si="7"/>
        <v>13.539867813723101</v>
      </c>
      <c r="M12" s="172">
        <f t="shared" si="7"/>
        <v>15.513929955553699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22770.710574073601</v>
      </c>
      <c r="E13" s="172">
        <f t="shared" si="8"/>
        <v>22770.710574073601</v>
      </c>
      <c r="F13" s="172">
        <f t="shared" si="8"/>
        <v>11.878900435086599</v>
      </c>
      <c r="G13" s="172">
        <f t="shared" si="8"/>
        <v>15.505958634330501</v>
      </c>
      <c r="H13" s="172">
        <f t="shared" si="8"/>
        <v>22770.710574073601</v>
      </c>
      <c r="I13" s="172">
        <f t="shared" si="8"/>
        <v>22770.710574073601</v>
      </c>
      <c r="J13" s="172">
        <f t="shared" si="8"/>
        <v>11.878900435086599</v>
      </c>
      <c r="K13" s="172">
        <f t="shared" si="8"/>
        <v>15.505958634330501</v>
      </c>
      <c r="L13" s="172">
        <f t="shared" si="8"/>
        <v>13.4416613010972</v>
      </c>
      <c r="M13" s="172">
        <f t="shared" si="8"/>
        <v>15.515862774555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22770.710574073601</v>
      </c>
      <c r="E14" s="172">
        <f t="shared" si="9"/>
        <v>22770.710574073601</v>
      </c>
      <c r="F14" s="172">
        <f t="shared" si="9"/>
        <v>11.878900435086599</v>
      </c>
      <c r="G14" s="172">
        <f t="shared" si="9"/>
        <v>15.505958634330501</v>
      </c>
      <c r="H14" s="172">
        <f t="shared" si="9"/>
        <v>22770.710574073601</v>
      </c>
      <c r="I14" s="172">
        <f t="shared" si="9"/>
        <v>22770.710574073601</v>
      </c>
      <c r="J14" s="172">
        <f t="shared" si="9"/>
        <v>11.878900435086599</v>
      </c>
      <c r="K14" s="172">
        <f t="shared" si="9"/>
        <v>15.505958634330501</v>
      </c>
      <c r="L14" s="172">
        <f t="shared" si="9"/>
        <v>13.2027637765785</v>
      </c>
      <c r="M14" s="172">
        <f t="shared" si="9"/>
        <v>15.5141331537369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23522.664317860799</v>
      </c>
      <c r="E15" s="172">
        <f t="shared" si="10"/>
        <v>23522.664317860799</v>
      </c>
      <c r="F15" s="172">
        <f t="shared" si="10"/>
        <v>11.903969718597599</v>
      </c>
      <c r="G15" s="172">
        <f t="shared" si="10"/>
        <v>15.5072210735577</v>
      </c>
      <c r="H15" s="172">
        <f t="shared" si="10"/>
        <v>23522.664317860799</v>
      </c>
      <c r="I15" s="172">
        <f t="shared" si="10"/>
        <v>23522.664317860799</v>
      </c>
      <c r="J15" s="172">
        <f t="shared" si="10"/>
        <v>11.903969718597599</v>
      </c>
      <c r="K15" s="172">
        <f t="shared" si="10"/>
        <v>15.5072210735577</v>
      </c>
      <c r="L15" s="172">
        <f t="shared" si="10"/>
        <v>12.648780303814901</v>
      </c>
      <c r="M15" s="172">
        <f t="shared" si="10"/>
        <v>15.5035930423376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23522.664317860799</v>
      </c>
      <c r="E23" s="172">
        <v>23522.664317860799</v>
      </c>
      <c r="F23" s="172">
        <v>11.903969718597599</v>
      </c>
      <c r="G23" s="172">
        <v>15.5072210735577</v>
      </c>
      <c r="H23" s="172">
        <v>23522.664317860799</v>
      </c>
      <c r="I23" s="172">
        <v>23522.664317860799</v>
      </c>
      <c r="J23" s="172">
        <v>11.903969718597599</v>
      </c>
      <c r="K23" s="172">
        <v>15.5072210735577</v>
      </c>
      <c r="L23" s="172">
        <v>12.648780303814901</v>
      </c>
      <c r="M23" s="172">
        <v>15.5035930423376</v>
      </c>
    </row>
    <row r="24" spans="2:15" x14ac:dyDescent="0.3">
      <c r="B24" s="172" t="s">
        <v>24</v>
      </c>
      <c r="C24" s="172" t="s">
        <v>175</v>
      </c>
      <c r="D24" s="172">
        <v>22770.710574073601</v>
      </c>
      <c r="E24" s="172">
        <v>22770.710574073601</v>
      </c>
      <c r="F24" s="172">
        <v>11.878900435086599</v>
      </c>
      <c r="G24" s="172">
        <v>15.505958634330501</v>
      </c>
      <c r="H24" s="172">
        <v>22770.710574073601</v>
      </c>
      <c r="I24" s="172">
        <v>22770.710574073601</v>
      </c>
      <c r="J24" s="172">
        <v>11.878900435086599</v>
      </c>
      <c r="K24" s="172">
        <v>15.505958634330501</v>
      </c>
      <c r="L24" s="172">
        <v>13.2027637765785</v>
      </c>
      <c r="M24" s="172">
        <v>15.5141331537369</v>
      </c>
    </row>
    <row r="25" spans="2:15" x14ac:dyDescent="0.3">
      <c r="B25" s="172" t="s">
        <v>25</v>
      </c>
      <c r="C25" s="172" t="s">
        <v>176</v>
      </c>
      <c r="D25" s="172">
        <v>22770.710574073601</v>
      </c>
      <c r="E25" s="172">
        <v>22770.710574073601</v>
      </c>
      <c r="F25" s="172">
        <v>11.878900435086599</v>
      </c>
      <c r="G25" s="172">
        <v>15.505958634330501</v>
      </c>
      <c r="H25" s="172">
        <v>22770.710574073601</v>
      </c>
      <c r="I25" s="172">
        <v>22770.710574073601</v>
      </c>
      <c r="J25" s="172">
        <v>11.878900435086599</v>
      </c>
      <c r="K25" s="172">
        <v>15.505958634330501</v>
      </c>
      <c r="L25" s="172">
        <v>13.4416613010972</v>
      </c>
      <c r="M25" s="172">
        <v>15.515862774555</v>
      </c>
    </row>
    <row r="26" spans="2:15" x14ac:dyDescent="0.3">
      <c r="B26" s="172" t="s">
        <v>26</v>
      </c>
      <c r="C26" s="172" t="s">
        <v>177</v>
      </c>
      <c r="D26" s="172">
        <v>22770.710574073601</v>
      </c>
      <c r="E26" s="172">
        <v>22770.710574073601</v>
      </c>
      <c r="F26" s="172">
        <v>11.878900435086599</v>
      </c>
      <c r="G26" s="172">
        <v>15.505958634330501</v>
      </c>
      <c r="H26" s="172">
        <v>22770.710574073601</v>
      </c>
      <c r="I26" s="172">
        <v>22770.710574073601</v>
      </c>
      <c r="J26" s="172">
        <v>11.878900435086599</v>
      </c>
      <c r="K26" s="172">
        <v>15.505958634330501</v>
      </c>
      <c r="L26" s="172">
        <v>13.539867813723101</v>
      </c>
      <c r="M26" s="172">
        <v>15.513929955553699</v>
      </c>
    </row>
    <row r="27" spans="2:15" x14ac:dyDescent="0.3">
      <c r="B27" s="172" t="s">
        <v>39</v>
      </c>
      <c r="C27" s="172" t="s">
        <v>178</v>
      </c>
      <c r="D27" s="172">
        <v>21360.320714287001</v>
      </c>
      <c r="E27" s="172">
        <v>21360.320714287001</v>
      </c>
      <c r="F27" s="172">
        <v>11.9193344761227</v>
      </c>
      <c r="G27" s="172">
        <v>15.509407309798</v>
      </c>
      <c r="H27" s="172">
        <v>21360.320714287001</v>
      </c>
      <c r="I27" s="172">
        <v>21360.320714287001</v>
      </c>
      <c r="J27" s="172">
        <v>11.9193344761227</v>
      </c>
      <c r="K27" s="172">
        <v>15.509407309798</v>
      </c>
      <c r="L27" s="172">
        <v>13.589542577438101</v>
      </c>
      <c r="M27" s="172">
        <v>15.508843863492899</v>
      </c>
    </row>
    <row r="28" spans="2:15" x14ac:dyDescent="0.3">
      <c r="B28" s="172" t="s">
        <v>179</v>
      </c>
      <c r="C28" s="172" t="s">
        <v>180</v>
      </c>
      <c r="D28" s="172">
        <v>21360.320714287001</v>
      </c>
      <c r="E28" s="172">
        <v>21360.320714287001</v>
      </c>
      <c r="F28" s="172">
        <v>11.9193344761227</v>
      </c>
      <c r="G28" s="172">
        <v>15.509407309798</v>
      </c>
      <c r="H28" s="172">
        <v>21360.320714287001</v>
      </c>
      <c r="I28" s="172">
        <v>21360.320714287001</v>
      </c>
      <c r="J28" s="172">
        <v>11.9193344761227</v>
      </c>
      <c r="K28" s="172">
        <v>15.509407309798</v>
      </c>
      <c r="L28" s="172">
        <v>13.624505342045</v>
      </c>
      <c r="M28" s="172">
        <v>15.502866290910401</v>
      </c>
    </row>
    <row r="29" spans="2:15" x14ac:dyDescent="0.3">
      <c r="B29" s="172" t="s">
        <v>181</v>
      </c>
      <c r="C29" s="172" t="s">
        <v>182</v>
      </c>
      <c r="D29" s="172">
        <v>21360.320714287001</v>
      </c>
      <c r="E29" s="172">
        <v>21360.320714287001</v>
      </c>
      <c r="F29" s="172">
        <v>11.9193344761227</v>
      </c>
      <c r="G29" s="172">
        <v>15.509407309798</v>
      </c>
      <c r="H29" s="172">
        <v>21360.320714287001</v>
      </c>
      <c r="I29" s="172">
        <v>21360.320714287001</v>
      </c>
      <c r="J29" s="172">
        <v>11.9193344761227</v>
      </c>
      <c r="K29" s="172">
        <v>15.509407309798</v>
      </c>
      <c r="L29" s="172">
        <v>13.6362049335794</v>
      </c>
      <c r="M29" s="172">
        <v>15.4974622591601</v>
      </c>
    </row>
    <row r="30" spans="2:15" x14ac:dyDescent="0.3">
      <c r="B30" s="172" t="s">
        <v>183</v>
      </c>
      <c r="C30" s="172" t="s">
        <v>184</v>
      </c>
      <c r="D30" s="172">
        <v>21360.320714287001</v>
      </c>
      <c r="E30" s="172">
        <v>21360.320714287001</v>
      </c>
      <c r="F30" s="172">
        <v>11.9193344761227</v>
      </c>
      <c r="G30" s="172">
        <v>15.509407309798</v>
      </c>
      <c r="H30" s="172">
        <v>21360.320714287001</v>
      </c>
      <c r="I30" s="172">
        <v>21360.320714287001</v>
      </c>
      <c r="J30" s="172">
        <v>11.9193344761227</v>
      </c>
      <c r="K30" s="172">
        <v>15.509407309798</v>
      </c>
      <c r="L30" s="172">
        <v>13.622092232803199</v>
      </c>
      <c r="M30" s="172">
        <v>15.4924344735639</v>
      </c>
    </row>
    <row r="31" spans="2:15" x14ac:dyDescent="0.3">
      <c r="B31" s="172" t="s">
        <v>185</v>
      </c>
      <c r="C31" s="172" t="s">
        <v>186</v>
      </c>
      <c r="D31" s="172">
        <v>21360.320714287001</v>
      </c>
      <c r="E31" s="172">
        <v>21360.320714287001</v>
      </c>
      <c r="F31" s="172">
        <v>11.9193344761227</v>
      </c>
      <c r="G31" s="172">
        <v>15.509407309798</v>
      </c>
      <c r="H31" s="172">
        <v>21360.320714287001</v>
      </c>
      <c r="I31" s="172">
        <v>21360.320714287001</v>
      </c>
      <c r="J31" s="172">
        <v>11.9193344761227</v>
      </c>
      <c r="K31" s="172">
        <v>15.509407309798</v>
      </c>
      <c r="L31" s="172">
        <v>13.588607748629499</v>
      </c>
      <c r="M31" s="172">
        <v>15.4872955995124</v>
      </c>
    </row>
    <row r="32" spans="2:15" x14ac:dyDescent="0.3">
      <c r="B32" s="172" t="s">
        <v>187</v>
      </c>
      <c r="C32" s="172" t="s">
        <v>188</v>
      </c>
      <c r="D32" s="172">
        <v>16605.490581036898</v>
      </c>
      <c r="E32" s="172">
        <v>16605.490581036898</v>
      </c>
      <c r="F32" s="172">
        <v>12.0290427705505</v>
      </c>
      <c r="G32" s="172">
        <v>15.466077030309201</v>
      </c>
      <c r="H32" s="172">
        <v>16605.490581036898</v>
      </c>
      <c r="I32" s="172">
        <v>16605.490581036898</v>
      </c>
      <c r="J32" s="172">
        <v>12.0290427705505</v>
      </c>
      <c r="K32" s="172">
        <v>15.466077030309201</v>
      </c>
      <c r="L32" s="172">
        <v>13.5568172417229</v>
      </c>
      <c r="M32" s="172">
        <v>15.4823017118692</v>
      </c>
    </row>
    <row r="33" spans="2:13" x14ac:dyDescent="0.3">
      <c r="B33" s="172" t="s">
        <v>189</v>
      </c>
      <c r="C33" s="172" t="s">
        <v>190</v>
      </c>
      <c r="D33" s="172">
        <v>848.73018227297905</v>
      </c>
      <c r="E33" s="172">
        <v>848.73018227297905</v>
      </c>
      <c r="F33" s="172">
        <v>20.908304498395498</v>
      </c>
      <c r="G33" s="172">
        <v>14.1247837405593</v>
      </c>
      <c r="H33" s="172">
        <v>848.73018227297905</v>
      </c>
      <c r="I33" s="172">
        <v>848.73018227297905</v>
      </c>
      <c r="J33" s="172">
        <v>20.908304498395498</v>
      </c>
      <c r="K33" s="172">
        <v>14.1247837405593</v>
      </c>
      <c r="L33" s="172">
        <v>20.118679034528999</v>
      </c>
      <c r="M33" s="172">
        <v>13.6365606852602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4.0283447701560901E-10</v>
      </c>
      <c r="G6" s="172">
        <v>1149.78649691025</v>
      </c>
      <c r="H6" s="172">
        <v>72.543820809112304</v>
      </c>
      <c r="I6" s="172">
        <v>16469.971365829701</v>
      </c>
      <c r="J6" s="172">
        <v>6.30189599415873E-9</v>
      </c>
      <c r="K6" s="172">
        <v>8.7657258035599695E-9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2.53617968992664E-10</v>
      </c>
      <c r="G7" s="172">
        <v>1149.7864969099901</v>
      </c>
      <c r="H7" s="172">
        <v>72.543820809120604</v>
      </c>
      <c r="I7" s="172">
        <v>16469.971365826401</v>
      </c>
      <c r="J7" s="172">
        <v>217.63146242734899</v>
      </c>
      <c r="K7" s="172">
        <v>3449.3594907359202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9.1290946667741296E-11</v>
      </c>
      <c r="G8" s="172">
        <v>83.588374657386495</v>
      </c>
      <c r="H8" s="172">
        <v>873.40140782892104</v>
      </c>
      <c r="I8" s="172">
        <v>18317.526616625801</v>
      </c>
      <c r="J8" s="172">
        <v>1.3686150678371499E-9</v>
      </c>
      <c r="K8" s="172">
        <v>2.00074482240855E-9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1.7398332720990201E-10</v>
      </c>
      <c r="G9" s="172">
        <v>83.588374657349803</v>
      </c>
      <c r="H9" s="172">
        <v>873.40140782972799</v>
      </c>
      <c r="I9" s="172">
        <v>18317.526616640502</v>
      </c>
      <c r="J9" s="172">
        <v>2620.2042234902101</v>
      </c>
      <c r="K9" s="172">
        <v>250.76512397239301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2.04684282460365E-7</v>
      </c>
      <c r="G10" s="172">
        <v>30900.298448580299</v>
      </c>
      <c r="H10" s="172">
        <v>818.99799785948301</v>
      </c>
      <c r="I10" s="172">
        <v>476429.19629209401</v>
      </c>
      <c r="J10" s="172">
        <v>217.63146250368601</v>
      </c>
      <c r="K10" s="172">
        <v>3449.35948727815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1.97559855268156E-7</v>
      </c>
      <c r="G11" s="172">
        <v>31447.528069045398</v>
      </c>
      <c r="H11" s="172">
        <v>824.93127262436201</v>
      </c>
      <c r="I11" s="172">
        <v>484923.52878842998</v>
      </c>
      <c r="J11" s="172">
        <v>2934.0913954310099</v>
      </c>
      <c r="K11" s="172">
        <v>112351.07035782799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1.0914864178257599E-6</v>
      </c>
      <c r="G12" s="172">
        <v>821.68664605370805</v>
      </c>
      <c r="H12" s="172">
        <v>26180.058746382801</v>
      </c>
      <c r="I12" s="172">
        <v>297468.81707584299</v>
      </c>
      <c r="J12" s="172">
        <v>2620.2042342154</v>
      </c>
      <c r="K12" s="172">
        <v>250.76512373226501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1.0844362957049201E-6</v>
      </c>
      <c r="G13" s="172">
        <v>836.64254128582297</v>
      </c>
      <c r="H13" s="172">
        <v>26567.536575947299</v>
      </c>
      <c r="I13" s="172">
        <v>306700.44616921002</v>
      </c>
      <c r="J13" s="172">
        <v>94548.305557248197</v>
      </c>
      <c r="K13" s="172">
        <v>3070.1846984364502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1.9305543450503399E-7</v>
      </c>
      <c r="G14" s="172">
        <v>64153.935079601397</v>
      </c>
      <c r="H14" s="172">
        <v>1688.1255406131099</v>
      </c>
      <c r="I14" s="172">
        <v>992647.90892937395</v>
      </c>
      <c r="J14" s="172">
        <v>2934.0913951993698</v>
      </c>
      <c r="K14" s="172">
        <v>112351.070357975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1.9363576526948001E-7</v>
      </c>
      <c r="G15" s="172">
        <v>64614.313982264699</v>
      </c>
      <c r="H15" s="172">
        <v>1692.9756436426401</v>
      </c>
      <c r="I15" s="172">
        <v>999861.24688029301</v>
      </c>
      <c r="J15" s="172">
        <v>8796.9225944781301</v>
      </c>
      <c r="K15" s="172">
        <v>336697.76690572302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5.3805920052707398E-7</v>
      </c>
      <c r="G16" s="172">
        <v>1678.39812068995</v>
      </c>
      <c r="H16" s="172">
        <v>54799.787980736503</v>
      </c>
      <c r="I16" s="172">
        <v>619080.87813196494</v>
      </c>
      <c r="J16" s="172">
        <v>94548.305551162804</v>
      </c>
      <c r="K16" s="172">
        <v>3070.1846995547398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5.0690005040307401E-7</v>
      </c>
      <c r="G17" s="172">
        <v>1691.29918517075</v>
      </c>
      <c r="H17" s="172">
        <v>55131.544077995197</v>
      </c>
      <c r="I17" s="172">
        <v>626976.26984194003</v>
      </c>
      <c r="J17" s="172">
        <v>286067.17961604299</v>
      </c>
      <c r="K17" s="172">
        <v>8926.2716725250702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3.76960710139207E-7</v>
      </c>
      <c r="G18" s="172">
        <v>91783.061783918005</v>
      </c>
      <c r="H18" s="172">
        <v>2428.2114923091499</v>
      </c>
      <c r="I18" s="172">
        <v>1422067.17579533</v>
      </c>
      <c r="J18" s="172">
        <v>8796.9225937451192</v>
      </c>
      <c r="K18" s="172">
        <v>336697.766902073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3.66763952417903E-7</v>
      </c>
      <c r="G19" s="172">
        <v>92165.905051801907</v>
      </c>
      <c r="H19" s="172">
        <v>2432.6733252219201</v>
      </c>
      <c r="I19" s="172">
        <v>1428092.4017805001</v>
      </c>
      <c r="J19" s="172">
        <v>17191.055358810099</v>
      </c>
      <c r="K19" s="172">
        <v>655198.20381371805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4.08540186391722E-7</v>
      </c>
      <c r="G20" s="172">
        <v>2416.3224490965799</v>
      </c>
      <c r="H20" s="172">
        <v>78932.496102347504</v>
      </c>
      <c r="I20" s="172">
        <v>890954.00223319</v>
      </c>
      <c r="J20" s="172">
        <v>286067.17961348</v>
      </c>
      <c r="K20" s="172">
        <v>8926.2716738728395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3.77948593235014E-7</v>
      </c>
      <c r="G21" s="172">
        <v>2427.4843894368701</v>
      </c>
      <c r="H21" s="172">
        <v>79213.3895042363</v>
      </c>
      <c r="I21" s="172">
        <v>897621.39682521904</v>
      </c>
      <c r="J21" s="172">
        <v>560005.99597847799</v>
      </c>
      <c r="K21" s="172">
        <v>17313.3346400669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4.9132623478311895E-7</v>
      </c>
      <c r="G22" s="172">
        <v>114832.547436184</v>
      </c>
      <c r="H22" s="172">
        <v>3061.3687257432098</v>
      </c>
      <c r="I22" s="172">
        <v>1780408.2197771</v>
      </c>
      <c r="J22" s="172">
        <v>17191.0553582266</v>
      </c>
      <c r="K22" s="172">
        <v>655198.20381128101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4.9416648285530002E-7</v>
      </c>
      <c r="G23" s="172">
        <v>115154.728421416</v>
      </c>
      <c r="H23" s="172">
        <v>3065.4139352789898</v>
      </c>
      <c r="I23" s="172">
        <v>1785491.24024359</v>
      </c>
      <c r="J23" s="172">
        <v>27714.382226227899</v>
      </c>
      <c r="K23" s="172">
        <v>1050171.7213966199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2.7244673050770602E-7</v>
      </c>
      <c r="G24" s="172">
        <v>3052.6631664266902</v>
      </c>
      <c r="H24" s="172">
        <v>99290.747947891505</v>
      </c>
      <c r="I24" s="172">
        <v>1120798.78865455</v>
      </c>
      <c r="J24" s="172">
        <v>560005.99597565504</v>
      </c>
      <c r="K24" s="172">
        <v>17313.334640421901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2.8721379038173199E-7</v>
      </c>
      <c r="G25" s="172">
        <v>3062.2976732962002</v>
      </c>
      <c r="H25" s="172">
        <v>99530.196517649994</v>
      </c>
      <c r="I25" s="172">
        <v>1126472.88720692</v>
      </c>
      <c r="J25" s="172">
        <v>901846.79238074902</v>
      </c>
      <c r="K25" s="172">
        <v>27846.599026605199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3.9776185611885899E-7</v>
      </c>
      <c r="G26" s="172">
        <v>134377.28199807799</v>
      </c>
      <c r="H26" s="172">
        <v>3605.3435283947301</v>
      </c>
      <c r="I26" s="172">
        <v>2084230.4912761101</v>
      </c>
      <c r="J26" s="172">
        <v>27714.382226387301</v>
      </c>
      <c r="K26" s="172">
        <v>1050171.72139886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3.9585247953135502E-7</v>
      </c>
      <c r="G27" s="172">
        <v>134653.01498460001</v>
      </c>
      <c r="H27" s="172">
        <v>3608.8399828881802</v>
      </c>
      <c r="I27" s="172">
        <v>2088590.15796256</v>
      </c>
      <c r="J27" s="172">
        <v>40033.405582458698</v>
      </c>
      <c r="K27" s="172">
        <v>1507972.25009499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2.6418097733221498E-7</v>
      </c>
      <c r="G28" s="172">
        <v>3600.86872703376</v>
      </c>
      <c r="H28" s="172">
        <v>116645.691109779</v>
      </c>
      <c r="I28" s="172">
        <v>1317420.8721825599</v>
      </c>
      <c r="J28" s="172">
        <v>901846.79237802199</v>
      </c>
      <c r="K28" s="172">
        <v>27846.599026754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2.6131389922271298E-7</v>
      </c>
      <c r="G29" s="172">
        <v>3609.1854462197798</v>
      </c>
      <c r="H29" s="172">
        <v>116852.083735063</v>
      </c>
      <c r="I29" s="172">
        <v>1322298.69794984</v>
      </c>
      <c r="J29" s="172">
        <v>1299967.81870498</v>
      </c>
      <c r="K29" s="172">
        <v>40197.764580505602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4.0126097972904601E-7</v>
      </c>
      <c r="G30" s="172">
        <v>151224.10214600901</v>
      </c>
      <c r="H30" s="172">
        <v>4071.7766800651698</v>
      </c>
      <c r="I30" s="172">
        <v>2346071.6795823802</v>
      </c>
      <c r="J30" s="172">
        <v>40033.4055822218</v>
      </c>
      <c r="K30" s="172">
        <v>1507972.25009498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3.9202855525186598E-7</v>
      </c>
      <c r="G31" s="172">
        <v>151463.84404638599</v>
      </c>
      <c r="H31" s="172">
        <v>4074.7800677996902</v>
      </c>
      <c r="I31" s="172">
        <v>2349868.97839195</v>
      </c>
      <c r="J31" s="172">
        <v>53864.777765974097</v>
      </c>
      <c r="K31" s="172">
        <v>2018231.52751183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6.3008055971851698E-7</v>
      </c>
      <c r="G32" s="172">
        <v>4070.3534618173599</v>
      </c>
      <c r="H32" s="172">
        <v>131606.47394710401</v>
      </c>
      <c r="I32" s="172">
        <v>1486922.17328992</v>
      </c>
      <c r="J32" s="172">
        <v>1299967.81869947</v>
      </c>
      <c r="K32" s="172">
        <v>40197.764581126801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7.2747055863862097E-7</v>
      </c>
      <c r="G33" s="172">
        <v>4077.4920233203502</v>
      </c>
      <c r="H33" s="172">
        <v>131785.74592709501</v>
      </c>
      <c r="I33" s="172">
        <v>1491138.8792169299</v>
      </c>
      <c r="J33" s="172">
        <v>1745207.47300978</v>
      </c>
      <c r="K33" s="172">
        <v>54079.820167431499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4.0283798193753498E-7</v>
      </c>
      <c r="G34" s="172">
        <v>166287.28159931899</v>
      </c>
      <c r="H34" s="172">
        <v>4480.2048697859</v>
      </c>
      <c r="I34" s="172">
        <v>2580213.5661939601</v>
      </c>
      <c r="J34" s="172">
        <v>53864.777765862702</v>
      </c>
      <c r="K34" s="172">
        <v>2018231.52751188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3.9434572066098901E-7</v>
      </c>
      <c r="G35" s="172">
        <v>166496.65189452801</v>
      </c>
      <c r="H35" s="172">
        <v>4482.5464009683001</v>
      </c>
      <c r="I35" s="172">
        <v>2583552.5947119701</v>
      </c>
      <c r="J35" s="172">
        <v>68993.330506847604</v>
      </c>
      <c r="K35" s="172">
        <v>2574047.9936123602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7.4091188807631799E-7</v>
      </c>
      <c r="G36" s="172">
        <v>4478.6011782805899</v>
      </c>
      <c r="H36" s="172">
        <v>144927.67785629499</v>
      </c>
      <c r="I36" s="172">
        <v>1637442.8854716299</v>
      </c>
      <c r="J36" s="172">
        <v>1745207.4730095</v>
      </c>
      <c r="K36" s="172">
        <v>54079.820167689497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7.4967940593523802E-7</v>
      </c>
      <c r="G37" s="172">
        <v>4484.6175916468101</v>
      </c>
      <c r="H37" s="172">
        <v>145082.690327452</v>
      </c>
      <c r="I37" s="172">
        <v>1641086.4600142499</v>
      </c>
      <c r="J37" s="172">
        <v>2231257.9886967302</v>
      </c>
      <c r="K37" s="172">
        <v>69267.795637309697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5.2448708675079505E-7</v>
      </c>
      <c r="G38" s="172">
        <v>179230.107021175</v>
      </c>
      <c r="H38" s="172">
        <v>4816.7461033357004</v>
      </c>
      <c r="I38" s="172">
        <v>2781540.6329036602</v>
      </c>
      <c r="J38" s="172">
        <v>68993.330506471</v>
      </c>
      <c r="K38" s="172">
        <v>2574047.99360959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5.1532969118104904E-7</v>
      </c>
      <c r="G39" s="172">
        <v>179402.55553644401</v>
      </c>
      <c r="H39" s="172">
        <v>4818.1686144415098</v>
      </c>
      <c r="I39" s="172">
        <v>2784334.6300991201</v>
      </c>
      <c r="J39" s="172">
        <v>85193.249438386702</v>
      </c>
      <c r="K39" s="172">
        <v>3169019.79374432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4.8691714096792898E-7</v>
      </c>
      <c r="G40" s="172">
        <v>4812.8085474674999</v>
      </c>
      <c r="H40" s="172">
        <v>156278.188175444</v>
      </c>
      <c r="I40" s="172">
        <v>1765637.45972046</v>
      </c>
      <c r="J40" s="172">
        <v>2231257.9887001901</v>
      </c>
      <c r="K40" s="172">
        <v>69267.795637056101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5.0064296209746396E-7</v>
      </c>
      <c r="G41" s="172">
        <v>4817.5448422027803</v>
      </c>
      <c r="H41" s="172">
        <v>156404.35370312599</v>
      </c>
      <c r="I41" s="172">
        <v>1768611.0373847899</v>
      </c>
      <c r="J41" s="172">
        <v>2752045.0512566199</v>
      </c>
      <c r="K41" s="172">
        <v>85524.485038093102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5.8426668542592398E-7</v>
      </c>
      <c r="G42" s="172">
        <v>189246.49061173099</v>
      </c>
      <c r="H42" s="172">
        <v>5061.6834839325302</v>
      </c>
      <c r="I42" s="172">
        <v>2937531.3771399902</v>
      </c>
      <c r="J42" s="172">
        <v>85193.249438213097</v>
      </c>
      <c r="K42" s="172">
        <v>3169019.7937429198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5.7832052219084102E-7</v>
      </c>
      <c r="G43" s="172">
        <v>189364.30489473001</v>
      </c>
      <c r="H43" s="172">
        <v>5061.7040006082398</v>
      </c>
      <c r="I43" s="172">
        <v>2939522.9365456901</v>
      </c>
      <c r="J43" s="172">
        <v>102207.190289012</v>
      </c>
      <c r="K43" s="172">
        <v>3795748.7107550902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4.2782359511739701E-7</v>
      </c>
      <c r="G44" s="172">
        <v>5056.1849323575198</v>
      </c>
      <c r="H44" s="172">
        <v>164995.41764173101</v>
      </c>
      <c r="I44" s="172">
        <v>1864959.2508727999</v>
      </c>
      <c r="J44" s="172">
        <v>2752045.0512579898</v>
      </c>
      <c r="K44" s="172">
        <v>85524.485038055893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4.26485628136995E-7</v>
      </c>
      <c r="G45" s="172">
        <v>5059.2728211992699</v>
      </c>
      <c r="H45" s="172">
        <v>165081.15824091999</v>
      </c>
      <c r="I45" s="172">
        <v>1866987.5759505299</v>
      </c>
      <c r="J45" s="172">
        <v>3300581.8617364499</v>
      </c>
      <c r="K45" s="172">
        <v>102585.388522129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6.3328864697025796E-7</v>
      </c>
      <c r="G46" s="172">
        <v>194852.984876378</v>
      </c>
      <c r="H46" s="172">
        <v>5184.7052389161299</v>
      </c>
      <c r="I46" s="172">
        <v>3025111.8556228001</v>
      </c>
      <c r="J46" s="172">
        <v>102207.190288813</v>
      </c>
      <c r="K46" s="172">
        <v>3795748.7107539601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6.3373224868290904E-7</v>
      </c>
      <c r="G47" s="172">
        <v>194895.18475498</v>
      </c>
      <c r="H47" s="172">
        <v>5183.1984697407597</v>
      </c>
      <c r="I47" s="172">
        <v>3025990.9378448701</v>
      </c>
      <c r="J47" s="172">
        <v>122234.63877956101</v>
      </c>
      <c r="K47" s="172">
        <v>4537573.2414444797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4.19340632762551E-7</v>
      </c>
      <c r="G48" s="172">
        <v>5182.10314630632</v>
      </c>
      <c r="H48" s="172">
        <v>169856.442711148</v>
      </c>
      <c r="I48" s="172">
        <v>1922041.1363655101</v>
      </c>
      <c r="J48" s="172">
        <v>3300581.8617364499</v>
      </c>
      <c r="K48" s="172">
        <v>102585.38852204999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4.1827207019703102E-7</v>
      </c>
      <c r="G49" s="172">
        <v>5183.1985895992102</v>
      </c>
      <c r="H49" s="172">
        <v>169891.66003625799</v>
      </c>
      <c r="I49" s="172">
        <v>1922874.7895827999</v>
      </c>
      <c r="J49" s="172">
        <v>3949318.33789255</v>
      </c>
      <c r="K49" s="172">
        <v>122657.22240568799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10"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1.4175518644488401</v>
      </c>
      <c r="N5" s="172">
        <v>1.4858511350864501</v>
      </c>
      <c r="O5" s="172">
        <v>6292864.0124927703</v>
      </c>
      <c r="P5" s="172">
        <v>218172.71317116401</v>
      </c>
      <c r="Q5" s="172">
        <v>21648.979542935202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1.4720927665396699</v>
      </c>
      <c r="N6" s="172">
        <v>1.4489202637797201</v>
      </c>
      <c r="O6" s="172">
        <v>6292864.0124927703</v>
      </c>
      <c r="P6" s="172">
        <v>212750.02431458901</v>
      </c>
      <c r="Q6" s="172">
        <v>21923.1440312251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203002.60054106361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203002.60054106361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4.0283447701560901E-10</v>
      </c>
      <c r="F15" s="172">
        <v>1149.78649691025</v>
      </c>
      <c r="G15" s="172">
        <v>72.543820809112304</v>
      </c>
      <c r="H15" s="172">
        <v>16469.971365829701</v>
      </c>
      <c r="I15" s="172">
        <v>6.30189599415873E-9</v>
      </c>
      <c r="J15" s="172">
        <v>8.7657258035599695E-9</v>
      </c>
      <c r="K15" s="166"/>
      <c r="L15" s="166" t="s">
        <v>189</v>
      </c>
      <c r="M15">
        <f>+F15</f>
        <v>1149.78649691025</v>
      </c>
      <c r="N15">
        <f>+G15</f>
        <v>72.543820809112304</v>
      </c>
      <c r="O15" s="18">
        <f t="shared" ref="O15:P19" si="0">+M15*$O$55</f>
        <v>1197.8756655324739</v>
      </c>
      <c r="P15" s="19">
        <f t="shared" si="0"/>
        <v>75.577925002164164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2.04684282460365E-7</v>
      </c>
      <c r="F16" s="172">
        <v>30900.298448580299</v>
      </c>
      <c r="G16" s="172">
        <v>818.99799785948301</v>
      </c>
      <c r="H16" s="172">
        <v>476429.19629209401</v>
      </c>
      <c r="I16" s="172">
        <v>217.63146250368601</v>
      </c>
      <c r="J16" s="172">
        <v>3449.35948727815</v>
      </c>
      <c r="K16" s="166"/>
      <c r="L16" s="166" t="s">
        <v>187</v>
      </c>
      <c r="M16" s="13">
        <f>+F16-F15</f>
        <v>29750.511951670051</v>
      </c>
      <c r="N16">
        <f>+G16-G15</f>
        <v>746.45417705037073</v>
      </c>
      <c r="O16" s="18">
        <f t="shared" si="0"/>
        <v>30994.810253733885</v>
      </c>
      <c r="P16" s="19">
        <f t="shared" si="0"/>
        <v>777.67419997236595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1.9305543450503399E-7</v>
      </c>
      <c r="F17" s="172">
        <v>64153.935079601397</v>
      </c>
      <c r="G17" s="172">
        <v>1688.1255406131099</v>
      </c>
      <c r="H17" s="172">
        <v>992647.90892937395</v>
      </c>
      <c r="I17" s="172">
        <v>2934.0913951993698</v>
      </c>
      <c r="J17" s="172">
        <v>112351.070357975</v>
      </c>
      <c r="K17" s="166"/>
      <c r="L17" s="166" t="s">
        <v>185</v>
      </c>
      <c r="M17" s="13">
        <f t="shared" ref="M17:M25" si="1">+F17-F16</f>
        <v>33253.636631021101</v>
      </c>
      <c r="N17" s="13">
        <f t="shared" ref="N17:N25" si="2">+G17-G16</f>
        <v>869.12754275362693</v>
      </c>
      <c r="O17" s="18">
        <f t="shared" si="0"/>
        <v>34644.451137495656</v>
      </c>
      <c r="P17" s="19">
        <f t="shared" si="0"/>
        <v>905.47830967427967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3.76960710139207E-7</v>
      </c>
      <c r="F18" s="172">
        <v>91783.061783918005</v>
      </c>
      <c r="G18" s="172">
        <v>2428.2114923091499</v>
      </c>
      <c r="H18" s="172">
        <v>1422067.17579533</v>
      </c>
      <c r="I18" s="172">
        <v>8796.9225937451192</v>
      </c>
      <c r="J18" s="172">
        <v>336697.766902073</v>
      </c>
      <c r="K18" s="166"/>
      <c r="L18" s="166" t="s">
        <v>183</v>
      </c>
      <c r="M18" s="13">
        <f t="shared" si="1"/>
        <v>27629.126704316608</v>
      </c>
      <c r="N18" s="13">
        <f t="shared" si="2"/>
        <v>740.08595169603996</v>
      </c>
      <c r="O18" s="18">
        <f t="shared" si="0"/>
        <v>28784.699270648791</v>
      </c>
      <c r="P18" s="19">
        <f t="shared" si="0"/>
        <v>771.03962720161337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4.9132623478311895E-7</v>
      </c>
      <c r="F19" s="172">
        <v>114832.547436184</v>
      </c>
      <c r="G19" s="172">
        <v>3061.3687257432098</v>
      </c>
      <c r="H19" s="172">
        <v>1780408.2197771</v>
      </c>
      <c r="I19" s="172">
        <v>17191.0553582266</v>
      </c>
      <c r="J19" s="172">
        <v>655198.20381128101</v>
      </c>
      <c r="K19" s="166"/>
      <c r="L19" s="166" t="s">
        <v>181</v>
      </c>
      <c r="M19" s="13">
        <f t="shared" si="1"/>
        <v>23049.485652265997</v>
      </c>
      <c r="N19" s="13">
        <f t="shared" si="2"/>
        <v>633.15723343405989</v>
      </c>
      <c r="O19" s="18">
        <f t="shared" si="0"/>
        <v>24013.51732698645</v>
      </c>
      <c r="P19" s="19">
        <f t="shared" si="0"/>
        <v>659.63867589734525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3.9776185611885899E-7</v>
      </c>
      <c r="F20" s="172">
        <v>134377.28199807799</v>
      </c>
      <c r="G20" s="172">
        <v>3605.3435283947301</v>
      </c>
      <c r="H20" s="172">
        <v>2084230.4912761101</v>
      </c>
      <c r="I20" s="172">
        <v>27714.382226387301</v>
      </c>
      <c r="J20" s="172">
        <v>1050171.72139886</v>
      </c>
      <c r="K20" s="166"/>
      <c r="L20" s="166" t="s">
        <v>179</v>
      </c>
      <c r="M20" s="113">
        <f t="shared" si="1"/>
        <v>19544.734561893987</v>
      </c>
      <c r="N20" s="113">
        <f t="shared" si="2"/>
        <v>543.97480265152035</v>
      </c>
      <c r="O20" s="18">
        <f t="shared" ref="O20:O25" si="3">+M20*$O$55</f>
        <v>20362.182008484495</v>
      </c>
      <c r="P20" s="19">
        <f t="shared" ref="P20:P25" si="4">+N20*$O$55</f>
        <v>566.72624048910689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4.0126097972904601E-7</v>
      </c>
      <c r="F21" s="172">
        <v>151224.10214600901</v>
      </c>
      <c r="G21" s="172">
        <v>4071.7766800651698</v>
      </c>
      <c r="H21" s="172">
        <v>2346071.6795823802</v>
      </c>
      <c r="I21" s="172">
        <v>40033.4055822218</v>
      </c>
      <c r="J21" s="172">
        <v>1507972.25009498</v>
      </c>
      <c r="K21" s="166"/>
      <c r="L21" s="166" t="s">
        <v>39</v>
      </c>
      <c r="M21" s="113">
        <f t="shared" si="1"/>
        <v>16846.820147931023</v>
      </c>
      <c r="N21" s="113">
        <f t="shared" si="2"/>
        <v>466.43315167043966</v>
      </c>
      <c r="O21" s="18">
        <f t="shared" si="3"/>
        <v>17551.428853129073</v>
      </c>
      <c r="P21" s="19">
        <f t="shared" si="4"/>
        <v>485.94145390041962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4.0283798193753498E-7</v>
      </c>
      <c r="F22" s="172">
        <v>166287.28159931899</v>
      </c>
      <c r="G22" s="172">
        <v>4480.2048697859</v>
      </c>
      <c r="H22" s="172">
        <v>2580213.5661939601</v>
      </c>
      <c r="I22" s="172">
        <v>53864.777765862702</v>
      </c>
      <c r="J22" s="172">
        <v>2018231.52751188</v>
      </c>
      <c r="K22" s="166"/>
      <c r="L22" s="166" t="s">
        <v>26</v>
      </c>
      <c r="M22" s="113">
        <f t="shared" si="1"/>
        <v>15063.179453309975</v>
      </c>
      <c r="N22" s="113">
        <f t="shared" si="2"/>
        <v>408.42818972073019</v>
      </c>
      <c r="O22" s="18">
        <f t="shared" si="3"/>
        <v>15693.188397286627</v>
      </c>
      <c r="P22" s="19">
        <f t="shared" si="4"/>
        <v>425.51046728993958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5.2448708675079505E-7</v>
      </c>
      <c r="F23" s="172">
        <v>179230.107021175</v>
      </c>
      <c r="G23" s="172">
        <v>4816.7461033357004</v>
      </c>
      <c r="H23" s="172">
        <v>2781540.6329036602</v>
      </c>
      <c r="I23" s="172">
        <v>68993.330506471</v>
      </c>
      <c r="J23" s="172">
        <v>2574047.99360959</v>
      </c>
      <c r="K23" s="166"/>
      <c r="L23" s="166" t="s">
        <v>25</v>
      </c>
      <c r="M23" s="113">
        <f t="shared" si="1"/>
        <v>12942.825421856018</v>
      </c>
      <c r="N23" s="113">
        <f t="shared" si="2"/>
        <v>336.54123354980038</v>
      </c>
      <c r="O23" s="18">
        <f t="shared" si="3"/>
        <v>13484.151760121602</v>
      </c>
      <c r="P23" s="19">
        <f t="shared" si="4"/>
        <v>350.61687991718929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5.8426668542592398E-7</v>
      </c>
      <c r="F24" s="172">
        <v>189246.49061173099</v>
      </c>
      <c r="G24" s="172">
        <v>5061.6834839325302</v>
      </c>
      <c r="H24" s="172">
        <v>2937531.3771399902</v>
      </c>
      <c r="I24" s="172">
        <v>85193.249438213097</v>
      </c>
      <c r="J24" s="172">
        <v>3169019.7937429198</v>
      </c>
      <c r="K24" s="166"/>
      <c r="L24" s="166" t="s">
        <v>24</v>
      </c>
      <c r="M24" s="113">
        <f t="shared" si="1"/>
        <v>10016.383590555983</v>
      </c>
      <c r="N24" s="113">
        <f t="shared" si="2"/>
        <v>244.93738059682983</v>
      </c>
      <c r="O24" s="18">
        <f t="shared" si="3"/>
        <v>10435.313157710851</v>
      </c>
      <c r="P24" s="19">
        <f t="shared" si="4"/>
        <v>255.18174772851845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6.3328864697025796E-7</v>
      </c>
      <c r="F25" s="172">
        <v>194852.984876378</v>
      </c>
      <c r="G25" s="172">
        <v>5184.7052389161299</v>
      </c>
      <c r="H25" s="172">
        <v>3025111.8556228001</v>
      </c>
      <c r="I25" s="172">
        <v>102207.190288813</v>
      </c>
      <c r="J25" s="172">
        <v>3795748.7107539601</v>
      </c>
      <c r="K25" s="166"/>
      <c r="L25" s="166" t="s">
        <v>22</v>
      </c>
      <c r="M25" s="113">
        <f t="shared" si="1"/>
        <v>5606.4942646470154</v>
      </c>
      <c r="N25" s="113">
        <f t="shared" si="2"/>
        <v>123.02175498359975</v>
      </c>
      <c r="O25" s="30">
        <f t="shared" si="3"/>
        <v>5840.982709933729</v>
      </c>
      <c r="P25" s="24">
        <f t="shared" si="4"/>
        <v>128.16707016646717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9.1290946667741296E-11</v>
      </c>
      <c r="F34" s="172">
        <v>83.588374657386495</v>
      </c>
      <c r="G34" s="172">
        <v>873.40140782892104</v>
      </c>
      <c r="H34" s="172">
        <v>18317.526616625801</v>
      </c>
      <c r="I34" s="172">
        <v>1.3686150678371499E-9</v>
      </c>
      <c r="J34" s="172">
        <v>2.00074482240855E-9</v>
      </c>
      <c r="L34" s="113" t="s">
        <v>189</v>
      </c>
      <c r="M34" s="13">
        <f>+F34</f>
        <v>83.588374657386495</v>
      </c>
      <c r="N34" s="13">
        <f>+G34</f>
        <v>873.40140782892104</v>
      </c>
      <c r="O34" s="18">
        <f>+M34*$O$56</f>
        <v>99.89999295644327</v>
      </c>
      <c r="P34" s="19">
        <f>+N34*$O$56</f>
        <v>1043.8388693151428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1.0914864178257599E-6</v>
      </c>
      <c r="F35" s="172">
        <v>821.68664605370805</v>
      </c>
      <c r="G35" s="172">
        <v>26180.058746382801</v>
      </c>
      <c r="H35" s="172">
        <v>297468.81707584299</v>
      </c>
      <c r="I35" s="172">
        <v>2620.2042342154</v>
      </c>
      <c r="J35" s="172">
        <v>250.76512373226501</v>
      </c>
      <c r="L35" s="113" t="s">
        <v>187</v>
      </c>
      <c r="M35" s="13">
        <f>+F35-F34</f>
        <v>738.09827139632159</v>
      </c>
      <c r="N35" s="13">
        <f>+G35-G34</f>
        <v>25306.65733855388</v>
      </c>
      <c r="O35" s="18">
        <f t="shared" ref="O35:P44" si="5">+M35*$O$56</f>
        <v>882.13238283297108</v>
      </c>
      <c r="P35" s="19">
        <f t="shared" si="5"/>
        <v>30245.053815617543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5.3805920052707398E-7</v>
      </c>
      <c r="F36" s="172">
        <v>1678.39812068995</v>
      </c>
      <c r="G36" s="172">
        <v>54799.787980736503</v>
      </c>
      <c r="H36" s="172">
        <v>619080.87813196494</v>
      </c>
      <c r="I36" s="172">
        <v>94548.305551162804</v>
      </c>
      <c r="J36" s="172">
        <v>3070.1846995547398</v>
      </c>
      <c r="L36" s="113" t="s">
        <v>185</v>
      </c>
      <c r="M36" s="13">
        <f t="shared" ref="M36:M44" si="6">+F36-F35</f>
        <v>856.71147463624197</v>
      </c>
      <c r="N36" s="13">
        <f t="shared" ref="N36:N44" si="7">+G36-G35</f>
        <v>28619.729234353701</v>
      </c>
      <c r="O36" s="18">
        <f t="shared" si="5"/>
        <v>1023.8920260462527</v>
      </c>
      <c r="P36" s="19">
        <f t="shared" si="5"/>
        <v>34204.645809255439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4.08540186391722E-7</v>
      </c>
      <c r="F37" s="172">
        <v>2416.3224490965799</v>
      </c>
      <c r="G37" s="172">
        <v>78932.496102347504</v>
      </c>
      <c r="H37" s="172">
        <v>890954.00223319</v>
      </c>
      <c r="I37" s="172">
        <v>286067.17961348</v>
      </c>
      <c r="J37" s="172">
        <v>8926.2716738728395</v>
      </c>
      <c r="L37" s="113" t="s">
        <v>183</v>
      </c>
      <c r="M37" s="13">
        <f t="shared" si="6"/>
        <v>737.92432840662991</v>
      </c>
      <c r="N37" s="13">
        <f t="shared" si="7"/>
        <v>24132.708121611002</v>
      </c>
      <c r="O37" s="18">
        <f t="shared" si="5"/>
        <v>881.92449622773142</v>
      </c>
      <c r="P37" s="19">
        <f t="shared" si="5"/>
        <v>28842.017580201853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2.7244673050770602E-7</v>
      </c>
      <c r="F38" s="172">
        <v>3052.6631664266902</v>
      </c>
      <c r="G38" s="172">
        <v>99290.747947891505</v>
      </c>
      <c r="H38" s="172">
        <v>1120798.78865455</v>
      </c>
      <c r="I38" s="172">
        <v>560005.99597565504</v>
      </c>
      <c r="J38" s="172">
        <v>17313.334640421901</v>
      </c>
      <c r="L38" s="113" t="s">
        <v>181</v>
      </c>
      <c r="M38" s="13">
        <f t="shared" si="6"/>
        <v>636.34071733011024</v>
      </c>
      <c r="N38" s="13">
        <f t="shared" si="7"/>
        <v>20358.251845544</v>
      </c>
      <c r="O38" s="18">
        <f t="shared" si="5"/>
        <v>760.5176370486887</v>
      </c>
      <c r="P38" s="19">
        <f t="shared" si="5"/>
        <v>24331.005648949093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2.6418097733221498E-7</v>
      </c>
      <c r="F39" s="172">
        <v>3600.86872703376</v>
      </c>
      <c r="G39" s="172">
        <v>116645.691109779</v>
      </c>
      <c r="H39" s="172">
        <v>1317420.8721825599</v>
      </c>
      <c r="I39" s="172">
        <v>901846.79237802199</v>
      </c>
      <c r="J39" s="172">
        <v>27846.599026754</v>
      </c>
      <c r="L39" s="113" t="s">
        <v>179</v>
      </c>
      <c r="M39" s="113">
        <f t="shared" si="6"/>
        <v>548.20556060706986</v>
      </c>
      <c r="N39" s="113">
        <f t="shared" si="7"/>
        <v>17354.943161887495</v>
      </c>
      <c r="O39" s="18">
        <f t="shared" si="5"/>
        <v>655.18359302718898</v>
      </c>
      <c r="P39" s="19">
        <f t="shared" si="5"/>
        <v>20741.624738349023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6.3008055971851698E-7</v>
      </c>
      <c r="F40" s="172">
        <v>4070.3534618173599</v>
      </c>
      <c r="G40" s="172">
        <v>131606.47394710401</v>
      </c>
      <c r="H40" s="172">
        <v>1486922.17328992</v>
      </c>
      <c r="I40" s="172">
        <v>1299967.81869947</v>
      </c>
      <c r="J40" s="172">
        <v>40197.764581126801</v>
      </c>
      <c r="L40" s="13" t="s">
        <v>39</v>
      </c>
      <c r="M40" s="113">
        <f t="shared" si="6"/>
        <v>469.48473478359983</v>
      </c>
      <c r="N40" s="113">
        <f t="shared" si="7"/>
        <v>14960.782837325009</v>
      </c>
      <c r="O40" s="18">
        <f t="shared" si="5"/>
        <v>561.10101303297313</v>
      </c>
      <c r="P40" s="19">
        <f t="shared" si="5"/>
        <v>17880.262730285944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7.4091188807631799E-7</v>
      </c>
      <c r="F41" s="172">
        <v>4478.6011782805899</v>
      </c>
      <c r="G41" s="172">
        <v>144927.67785629499</v>
      </c>
      <c r="H41" s="172">
        <v>1637442.8854716299</v>
      </c>
      <c r="I41" s="172">
        <v>1745207.4730095</v>
      </c>
      <c r="J41" s="172">
        <v>54079.820167689497</v>
      </c>
      <c r="L41" s="13" t="s">
        <v>26</v>
      </c>
      <c r="M41" s="113">
        <f t="shared" si="6"/>
        <v>408.24771646323006</v>
      </c>
      <c r="N41" s="113">
        <f t="shared" si="7"/>
        <v>13321.203909190983</v>
      </c>
      <c r="O41" s="18">
        <f t="shared" si="5"/>
        <v>487.91406898778308</v>
      </c>
      <c r="P41" s="19">
        <f t="shared" si="5"/>
        <v>15920.732783167299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4.8691714096792898E-7</v>
      </c>
      <c r="F42" s="172">
        <v>4812.8085474674999</v>
      </c>
      <c r="G42" s="172">
        <v>156278.188175444</v>
      </c>
      <c r="H42" s="172">
        <v>1765637.45972046</v>
      </c>
      <c r="I42" s="172">
        <v>2231257.9887001901</v>
      </c>
      <c r="J42" s="172">
        <v>69267.795637056101</v>
      </c>
      <c r="L42" s="13" t="s">
        <v>25</v>
      </c>
      <c r="M42" s="113">
        <f t="shared" si="6"/>
        <v>334.20736918691</v>
      </c>
      <c r="N42" s="113">
        <f t="shared" si="7"/>
        <v>11350.510319149005</v>
      </c>
      <c r="O42" s="18">
        <f t="shared" si="5"/>
        <v>399.42532636401</v>
      </c>
      <c r="P42" s="19">
        <f t="shared" si="5"/>
        <v>13565.473734628013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4.2782359511739701E-7</v>
      </c>
      <c r="F43" s="172">
        <v>5056.1849323575198</v>
      </c>
      <c r="G43" s="172">
        <v>164995.41764173101</v>
      </c>
      <c r="H43" s="172">
        <v>1864959.2508727999</v>
      </c>
      <c r="I43" s="172">
        <v>2752045.0512579898</v>
      </c>
      <c r="J43" s="172">
        <v>85524.485038055893</v>
      </c>
      <c r="L43" s="13" t="s">
        <v>24</v>
      </c>
      <c r="M43" s="113">
        <f t="shared" si="6"/>
        <v>243.37638489001984</v>
      </c>
      <c r="N43" s="113">
        <f t="shared" si="7"/>
        <v>8717.2294662870117</v>
      </c>
      <c r="O43" s="18">
        <f t="shared" si="5"/>
        <v>290.86938507816893</v>
      </c>
      <c r="P43" s="19">
        <f t="shared" si="5"/>
        <v>10418.328695242997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4.19340632762551E-7</v>
      </c>
      <c r="F44" s="172">
        <v>5182.10314630632</v>
      </c>
      <c r="G44" s="172">
        <v>169856.442711148</v>
      </c>
      <c r="H44" s="172">
        <v>1922041.1363655101</v>
      </c>
      <c r="I44" s="172">
        <v>3300581.8617364499</v>
      </c>
      <c r="J44" s="172">
        <v>102585.38852204999</v>
      </c>
      <c r="L44" s="13" t="s">
        <v>22</v>
      </c>
      <c r="M44" s="113">
        <f t="shared" si="6"/>
        <v>125.91821394880026</v>
      </c>
      <c r="N44" s="113">
        <f t="shared" si="7"/>
        <v>4861.0250694169954</v>
      </c>
      <c r="O44" s="30">
        <f t="shared" si="5"/>
        <v>150.49016969325012</v>
      </c>
      <c r="P44" s="24">
        <f t="shared" si="5"/>
        <v>5809.6161360512742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196355.44185404762</v>
      </c>
      <c r="O51" s="14" t="str">
        <f>+K10</f>
        <v>USAR TA</v>
      </c>
      <c r="P51" s="107">
        <f>+IF(O51="USAR TA",(I10),N51)</f>
        <v>203002.60054106361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191475.0218831301</v>
      </c>
      <c r="O52" s="14" t="str">
        <f>+K11</f>
        <v>USAR TA</v>
      </c>
      <c r="P52" s="107">
        <f>+IF(O52="USAR TB",(N52),I11)</f>
        <v>203002.60054106361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194852.984876378</v>
      </c>
      <c r="N55" s="16" t="str">
        <f>+IF(M55&lt;P51,"ESCALAR",N51)</f>
        <v>ESCALAR</v>
      </c>
      <c r="O55" s="14">
        <f>+IF(N55="ESCALAR",(P51/M55))</f>
        <v>1.041824433276483</v>
      </c>
      <c r="P55" s="19">
        <f>+M55*O55</f>
        <v>203002.60054106361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169856.442711148</v>
      </c>
      <c r="N56" s="112" t="str">
        <f>+IF(M56&lt;P52,"ESCALAR",M56)</f>
        <v>ESCALAR</v>
      </c>
      <c r="O56" s="23">
        <f>+IF(N56="ESCALAR",(P52/M56))</f>
        <v>1.1951421877254478</v>
      </c>
      <c r="P56" s="24">
        <f>+M56*O56</f>
        <v>203002.60054106361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1.4720927665396699</v>
      </c>
      <c r="E62" s="172">
        <v>2.8753476862393599E-3</v>
      </c>
      <c r="F62" s="172">
        <v>0.67927458129094997</v>
      </c>
      <c r="G62" s="172">
        <v>0</v>
      </c>
      <c r="H62" s="172">
        <v>2.8753476862393599E-3</v>
      </c>
      <c r="I62" s="172">
        <v>0.67927458129094997</v>
      </c>
      <c r="J62" s="172">
        <v>0</v>
      </c>
      <c r="K62" s="172">
        <v>0.16324670703052099</v>
      </c>
      <c r="L62" s="172">
        <v>7.59330698387942E-4</v>
      </c>
      <c r="M62" s="172">
        <v>0.129154582919532</v>
      </c>
      <c r="N62" s="172">
        <v>0.16324670703052099</v>
      </c>
      <c r="O62" s="172">
        <v>7.59330698387942E-4</v>
      </c>
      <c r="P62" s="172">
        <v>0.129154582919532</v>
      </c>
    </row>
    <row r="63" spans="2:16" x14ac:dyDescent="0.3">
      <c r="B63" s="172" t="s">
        <v>238</v>
      </c>
      <c r="C63" s="172">
        <v>2</v>
      </c>
      <c r="D63" s="172">
        <v>1.4175518644488401</v>
      </c>
      <c r="E63" s="172">
        <v>0.80368784687032702</v>
      </c>
      <c r="F63" s="172">
        <v>2.1539123263832199E-3</v>
      </c>
      <c r="G63" s="172">
        <v>0</v>
      </c>
      <c r="H63" s="172">
        <v>0.806563194556566</v>
      </c>
      <c r="I63" s="172">
        <v>0.68142849361733304</v>
      </c>
      <c r="J63" s="172">
        <v>0</v>
      </c>
      <c r="K63" s="172">
        <v>5.4033702909900803E-4</v>
      </c>
      <c r="L63" s="172">
        <v>0.202007972428632</v>
      </c>
      <c r="M63" s="172">
        <v>7.8482652573963604E-4</v>
      </c>
      <c r="N63" s="172">
        <v>0.16378704405962</v>
      </c>
      <c r="O63" s="172">
        <v>0.20276730312701999</v>
      </c>
      <c r="P63" s="172">
        <v>0.12993940944527099</v>
      </c>
    </row>
    <row r="64" spans="2:16" x14ac:dyDescent="0.3">
      <c r="B64" s="172" t="s">
        <v>238</v>
      </c>
      <c r="C64" s="172">
        <v>3</v>
      </c>
      <c r="D64" s="172">
        <v>1.21472707880296</v>
      </c>
      <c r="E64" s="172">
        <v>5.4192363003763603E-5</v>
      </c>
      <c r="F64" s="172">
        <v>0.131283779760619</v>
      </c>
      <c r="G64" s="172">
        <v>0</v>
      </c>
      <c r="H64" s="172">
        <v>0.80661738691956997</v>
      </c>
      <c r="I64" s="172">
        <v>0.81271227337795204</v>
      </c>
      <c r="J64" s="172">
        <v>0</v>
      </c>
      <c r="K64" s="172">
        <v>3.1972004476970899E-2</v>
      </c>
      <c r="L64" s="172">
        <v>1.05055850326766E-5</v>
      </c>
      <c r="M64" s="172">
        <v>0.68174080010789795</v>
      </c>
      <c r="N64" s="172">
        <v>0.19575904853659101</v>
      </c>
      <c r="O64" s="172">
        <v>0.202777808712052</v>
      </c>
      <c r="P64" s="172">
        <v>0.811680209553169</v>
      </c>
    </row>
    <row r="65" spans="2:16" x14ac:dyDescent="0.3">
      <c r="B65" s="172" t="s">
        <v>238</v>
      </c>
      <c r="C65" s="172">
        <v>4</v>
      </c>
      <c r="D65" s="172">
        <v>0.49319972126767497</v>
      </c>
      <c r="E65" s="172">
        <v>1.7576403857040099E-4</v>
      </c>
      <c r="F65" s="172">
        <v>8.5245249932676806E-2</v>
      </c>
      <c r="G65" s="172">
        <v>0</v>
      </c>
      <c r="H65" s="172">
        <v>0.80679315095814097</v>
      </c>
      <c r="I65" s="172">
        <v>0.89795752331062895</v>
      </c>
      <c r="J65" s="172">
        <v>0</v>
      </c>
      <c r="K65" s="172">
        <v>0.44877220307934501</v>
      </c>
      <c r="L65" s="172">
        <v>9.2430674591749396E-4</v>
      </c>
      <c r="M65" s="172">
        <v>2.5159593154213601E-2</v>
      </c>
      <c r="N65" s="172">
        <v>0.64453125161593605</v>
      </c>
      <c r="O65" s="172">
        <v>0.20370211545797001</v>
      </c>
      <c r="P65" s="172">
        <v>0.83683980270738201</v>
      </c>
    </row>
    <row r="66" spans="2:16" x14ac:dyDescent="0.3">
      <c r="B66" s="172" t="s">
        <v>238</v>
      </c>
      <c r="C66" s="172">
        <v>5</v>
      </c>
      <c r="D66" s="172">
        <v>0.46792709062202498</v>
      </c>
      <c r="E66" s="172">
        <v>0.115512141494513</v>
      </c>
      <c r="F66" s="172">
        <v>9.0239598181822206E-5</v>
      </c>
      <c r="G66" s="172">
        <v>0</v>
      </c>
      <c r="H66" s="172">
        <v>0.92230529245265402</v>
      </c>
      <c r="I66" s="172">
        <v>0.89804776290881105</v>
      </c>
      <c r="J66" s="172">
        <v>0</v>
      </c>
      <c r="K66" s="172">
        <v>5.9669751246677299E-4</v>
      </c>
      <c r="L66" s="172">
        <v>0.57224103552222805</v>
      </c>
      <c r="M66" s="172">
        <v>8.8572540295326794E-5</v>
      </c>
      <c r="N66" s="172">
        <v>0.64512794912840299</v>
      </c>
      <c r="O66" s="172">
        <v>0.77594315098019795</v>
      </c>
      <c r="P66" s="172">
        <v>0.83692837524767805</v>
      </c>
    </row>
    <row r="67" spans="2:16" x14ac:dyDescent="0.3">
      <c r="B67" s="172" t="s">
        <v>238</v>
      </c>
      <c r="C67" s="172">
        <v>6</v>
      </c>
      <c r="D67" s="172">
        <v>0.412876438816691</v>
      </c>
      <c r="E67" s="172">
        <v>7.3595103988390999E-6</v>
      </c>
      <c r="F67" s="172">
        <v>2.4831033470640199E-2</v>
      </c>
      <c r="G67" s="172">
        <v>0</v>
      </c>
      <c r="H67" s="172">
        <v>0.92231265196305301</v>
      </c>
      <c r="I67" s="172">
        <v>0.92287879637945103</v>
      </c>
      <c r="J67" s="172">
        <v>0</v>
      </c>
      <c r="K67" s="172">
        <v>0.132832262330976</v>
      </c>
      <c r="L67" s="172">
        <v>2.7142174746182401E-5</v>
      </c>
      <c r="M67" s="172">
        <v>8.9914382575656607E-2</v>
      </c>
      <c r="N67" s="172">
        <v>0.77796021145937999</v>
      </c>
      <c r="O67" s="172">
        <v>0.77597029315494404</v>
      </c>
      <c r="P67" s="172">
        <v>0.92684275782333403</v>
      </c>
    </row>
    <row r="68" spans="2:16" x14ac:dyDescent="0.3">
      <c r="B68" s="172" t="s">
        <v>238</v>
      </c>
      <c r="C68" s="172">
        <v>7</v>
      </c>
      <c r="D68" s="172">
        <v>0.27945931853168898</v>
      </c>
      <c r="E68" s="172">
        <v>3.5857208179471999E-5</v>
      </c>
      <c r="F68" s="172">
        <v>2.72141063882647E-2</v>
      </c>
      <c r="G68" s="172">
        <v>0</v>
      </c>
      <c r="H68" s="172">
        <v>0.92234850917123201</v>
      </c>
      <c r="I68" s="172">
        <v>0.95009290276771596</v>
      </c>
      <c r="J68" s="172">
        <v>0</v>
      </c>
      <c r="K68" s="172">
        <v>5.3105635571486301E-2</v>
      </c>
      <c r="L68" s="172">
        <v>6.7242552439754604E-5</v>
      </c>
      <c r="M68" s="172">
        <v>8.1780712895220299E-3</v>
      </c>
      <c r="N68" s="172">
        <v>0.83106584703086595</v>
      </c>
      <c r="O68" s="172">
        <v>0.77603753570738399</v>
      </c>
      <c r="P68" s="172">
        <v>0.935020829112857</v>
      </c>
    </row>
    <row r="69" spans="2:16" x14ac:dyDescent="0.3">
      <c r="B69" s="172" t="s">
        <v>238</v>
      </c>
      <c r="C69" s="172">
        <v>8</v>
      </c>
      <c r="D69" s="172">
        <v>0.262902969760479</v>
      </c>
      <c r="E69" s="172">
        <v>3.5734765135851401E-2</v>
      </c>
      <c r="F69" s="172">
        <v>2.1013540700894601E-5</v>
      </c>
      <c r="G69" s="172">
        <v>0</v>
      </c>
      <c r="H69" s="172">
        <v>0.95808327430708395</v>
      </c>
      <c r="I69" s="172">
        <v>0.95011391630841602</v>
      </c>
      <c r="J69" s="172">
        <v>0</v>
      </c>
      <c r="K69" s="172">
        <v>2.6942956048214199E-5</v>
      </c>
      <c r="L69" s="172">
        <v>7.3022527186975605E-2</v>
      </c>
      <c r="M69" s="172">
        <v>1.9332277133679399E-5</v>
      </c>
      <c r="N69" s="172">
        <v>0.83109278998691405</v>
      </c>
      <c r="O69" s="172">
        <v>0.84906006289435998</v>
      </c>
      <c r="P69" s="172">
        <v>0.93504016138999002</v>
      </c>
    </row>
    <row r="70" spans="2:16" x14ac:dyDescent="0.3">
      <c r="B70" s="172" t="s">
        <v>238</v>
      </c>
      <c r="C70" s="172">
        <v>9</v>
      </c>
      <c r="D70" s="172">
        <v>0.23544328306022899</v>
      </c>
      <c r="E70" s="172">
        <v>2.9593555301392199E-6</v>
      </c>
      <c r="F70" s="172">
        <v>8.0796147178929297E-3</v>
      </c>
      <c r="G70" s="172">
        <v>0</v>
      </c>
      <c r="H70" s="172">
        <v>0.95808623366261403</v>
      </c>
      <c r="I70" s="172">
        <v>0.958193531026309</v>
      </c>
      <c r="J70" s="172">
        <v>0</v>
      </c>
      <c r="K70" s="172">
        <v>1.69074175110277E-2</v>
      </c>
      <c r="L70" s="172">
        <v>9.0229707585951294E-6</v>
      </c>
      <c r="M70" s="172">
        <v>2.5581706449036099E-2</v>
      </c>
      <c r="N70" s="172">
        <v>0.84800020749794203</v>
      </c>
      <c r="O70" s="172">
        <v>0.84906908586511798</v>
      </c>
      <c r="P70" s="172">
        <v>0.96062186783902603</v>
      </c>
    </row>
    <row r="71" spans="2:16" x14ac:dyDescent="0.3">
      <c r="B71" s="172" t="s">
        <v>238</v>
      </c>
      <c r="C71" s="172">
        <v>10</v>
      </c>
      <c r="D71" s="172">
        <v>0.189576302820674</v>
      </c>
      <c r="E71" s="172">
        <v>1.94554344253398E-5</v>
      </c>
      <c r="F71" s="172">
        <v>1.47063447236015E-2</v>
      </c>
      <c r="G71" s="172">
        <v>0</v>
      </c>
      <c r="H71" s="172">
        <v>0.95810568909703897</v>
      </c>
      <c r="I71" s="172">
        <v>0.97289987574991099</v>
      </c>
      <c r="J71" s="172">
        <v>0</v>
      </c>
      <c r="K71" s="172">
        <v>6.3003184352652494E-2</v>
      </c>
      <c r="L71" s="172">
        <v>9.2103692650373901E-5</v>
      </c>
      <c r="M71" s="172">
        <v>4.6647366082837498E-3</v>
      </c>
      <c r="N71" s="172">
        <v>0.91100339185059498</v>
      </c>
      <c r="O71" s="172">
        <v>0.84916118955776798</v>
      </c>
      <c r="P71" s="172">
        <v>0.96528660444730996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1197.8756661395</v>
      </c>
      <c r="E6" s="172">
        <v>1.13463494053962E-3</v>
      </c>
      <c r="F6" s="172">
        <v>1055736.6280028401</v>
      </c>
      <c r="G6" s="172">
        <v>75.577925000150998</v>
      </c>
      <c r="H6" s="172">
        <v>4.8388754317992202E-5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32192.685785922298</v>
      </c>
      <c r="E7" s="172">
        <v>1.2844209484928E-3</v>
      </c>
      <c r="F7" s="172">
        <v>25063968.182470702</v>
      </c>
      <c r="G7" s="172">
        <v>853.25212478848698</v>
      </c>
      <c r="H7" s="172">
        <v>7.2425651801961903E-5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66837.136736618602</v>
      </c>
      <c r="E8" s="172">
        <v>1.7971797146142899E-3</v>
      </c>
      <c r="F8" s="172">
        <v>37190012.881356701</v>
      </c>
      <c r="G8" s="172">
        <v>1758.7304323968301</v>
      </c>
      <c r="H8" s="172">
        <v>1.16374684465095E-4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95621.835890847404</v>
      </c>
      <c r="E9" s="172">
        <v>2.2431076373771101E-3</v>
      </c>
      <c r="F9" s="172">
        <v>42629178.509979703</v>
      </c>
      <c r="G9" s="172">
        <v>2529.7700589248002</v>
      </c>
      <c r="H9" s="172">
        <v>1.6758152102696599E-4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119635.352908972</v>
      </c>
      <c r="E10" s="172">
        <v>2.6641029993552299E-3</v>
      </c>
      <c r="F10" s="172">
        <v>44906429.270161897</v>
      </c>
      <c r="G10" s="172">
        <v>3189.40873501036</v>
      </c>
      <c r="H10" s="172">
        <v>2.2234509572724201E-4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139997.53476884699</v>
      </c>
      <c r="E11" s="172">
        <v>3.0009810748322799E-3</v>
      </c>
      <c r="F11" s="172">
        <v>46650589.016683802</v>
      </c>
      <c r="G11" s="172">
        <v>3756.13497404494</v>
      </c>
      <c r="H11" s="172">
        <v>2.5474797258274198E-4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157548.96349853801</v>
      </c>
      <c r="E12" s="172">
        <v>3.1556632361801201E-3</v>
      </c>
      <c r="F12" s="172">
        <v>49925784.7580873</v>
      </c>
      <c r="G12" s="172">
        <v>4242.0764276072396</v>
      </c>
      <c r="H12" s="172">
        <v>2.60177956087125E-4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173242.15180808201</v>
      </c>
      <c r="E13" s="172">
        <v>3.2371121399833299E-3</v>
      </c>
      <c r="F13" s="172">
        <v>53517500.882429801</v>
      </c>
      <c r="G13" s="172">
        <v>4667.5868957212097</v>
      </c>
      <c r="H13" s="172">
        <v>2.5684111769798098E-4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186726.30349385901</v>
      </c>
      <c r="E14" s="172">
        <v>3.3480199813674498E-3</v>
      </c>
      <c r="F14" s="172">
        <v>55772159.226359501</v>
      </c>
      <c r="G14" s="172">
        <v>5018.2037758019696</v>
      </c>
      <c r="H14" s="172">
        <v>2.7550038676436199E-4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197161.616582263</v>
      </c>
      <c r="E15" s="172">
        <v>3.3326435279331301E-3</v>
      </c>
      <c r="F15" s="172">
        <v>59160727.791531898</v>
      </c>
      <c r="G15" s="172">
        <v>5273.38552330736</v>
      </c>
      <c r="H15" s="172">
        <v>2.7376113962337099E-4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203002.59927427</v>
      </c>
      <c r="E16" s="172">
        <v>2.76870514650454E-3</v>
      </c>
      <c r="F16" s="172">
        <v>73320410.998100996</v>
      </c>
      <c r="G16" s="172">
        <v>5401.5525934105799</v>
      </c>
      <c r="H16" s="172">
        <v>2.1966322675662001E-4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1197.87566614243</v>
      </c>
      <c r="E17" s="172">
        <v>1.10648897563146E-3</v>
      </c>
      <c r="F17" s="172">
        <v>1082591.5960516599</v>
      </c>
      <c r="G17" s="172">
        <v>75.577924989099401</v>
      </c>
      <c r="H17" s="172">
        <v>3.9245944153372903E-5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32192.685786546801</v>
      </c>
      <c r="E18" s="172">
        <v>1.27785746875309E-3</v>
      </c>
      <c r="F18" s="172">
        <v>25192704.643312</v>
      </c>
      <c r="G18" s="172">
        <v>853.25212378297704</v>
      </c>
      <c r="H18" s="172">
        <v>1.24489128995078E-4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66837.136737635694</v>
      </c>
      <c r="E19" s="172">
        <v>1.79363090739284E-3</v>
      </c>
      <c r="F19" s="172">
        <v>37263595.571503498</v>
      </c>
      <c r="G19" s="172">
        <v>1758.7304357984699</v>
      </c>
      <c r="H19" s="172">
        <v>1.5015652104026901E-4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95621.835892127099</v>
      </c>
      <c r="E20" s="172">
        <v>2.2535680331849601E-3</v>
      </c>
      <c r="F20" s="172">
        <v>42431306.481120497</v>
      </c>
      <c r="G20" s="172">
        <v>2529.7700627893</v>
      </c>
      <c r="H20" s="172">
        <v>1.71895207240754E-4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119635.352910699</v>
      </c>
      <c r="E21" s="172">
        <v>2.66233977576625E-3</v>
      </c>
      <c r="F21" s="172">
        <v>44936170.056005299</v>
      </c>
      <c r="G21" s="172">
        <v>3189.4087374165001</v>
      </c>
      <c r="H21" s="172">
        <v>1.8887212143971899E-4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139997.53477067701</v>
      </c>
      <c r="E22" s="172">
        <v>2.99965431011506E-3</v>
      </c>
      <c r="F22" s="172">
        <v>46671222.8467777</v>
      </c>
      <c r="G22" s="172">
        <v>3756.1349790054301</v>
      </c>
      <c r="H22" s="172">
        <v>1.87961698570038E-4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157548.96350059099</v>
      </c>
      <c r="E23" s="172">
        <v>3.15494820897704E-3</v>
      </c>
      <c r="F23" s="172">
        <v>49937099.776251003</v>
      </c>
      <c r="G23" s="172">
        <v>4242.0764327789902</v>
      </c>
      <c r="H23" s="172">
        <v>1.9387957485965699E-4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173242.151810182</v>
      </c>
      <c r="E24" s="172">
        <v>3.2370853790973401E-3</v>
      </c>
      <c r="F24" s="172">
        <v>53517943.3106241</v>
      </c>
      <c r="G24" s="172">
        <v>4667.58689912521</v>
      </c>
      <c r="H24" s="172">
        <v>2.01235420053969E-4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186726.30349599701</v>
      </c>
      <c r="E25" s="172">
        <v>3.34858997250998E-3</v>
      </c>
      <c r="F25" s="172">
        <v>55762665.787365504</v>
      </c>
      <c r="G25" s="172">
        <v>5018.2037785560096</v>
      </c>
      <c r="H25" s="172">
        <v>2.0630648217511899E-4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197161.61658424401</v>
      </c>
      <c r="E26" s="172">
        <v>3.33364060296828E-3</v>
      </c>
      <c r="F26" s="172">
        <v>59143033.117814399</v>
      </c>
      <c r="G26" s="172">
        <v>5273.3855262526004</v>
      </c>
      <c r="H26" s="172">
        <v>2.0428196487025401E-4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203002.59927626699</v>
      </c>
      <c r="E27" s="172">
        <v>2.7690560409918902E-3</v>
      </c>
      <c r="F27" s="172">
        <v>73311119.844129503</v>
      </c>
      <c r="G27" s="172">
        <v>5401.5525964907001</v>
      </c>
      <c r="H27" s="172">
        <v>1.8053552649143401E-4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99.899992959240095</v>
      </c>
      <c r="E28" s="172">
        <v>2.70357976355586E-5</v>
      </c>
      <c r="F28" s="172">
        <v>0</v>
      </c>
      <c r="G28" s="172">
        <v>1043.8388689141</v>
      </c>
      <c r="H28" s="172">
        <v>8.3864748032907001E-4</v>
      </c>
      <c r="I28" s="172">
        <v>1244669.4152166501</v>
      </c>
    </row>
    <row r="29" spans="2:9" hidden="1" x14ac:dyDescent="0.3">
      <c r="B29" s="172" t="s">
        <v>187</v>
      </c>
      <c r="C29" s="172" t="s">
        <v>81</v>
      </c>
      <c r="D29" s="172">
        <v>982.032372032338</v>
      </c>
      <c r="E29" s="172">
        <v>3.5104666420186302E-5</v>
      </c>
      <c r="F29" s="172">
        <v>0</v>
      </c>
      <c r="G29" s="172">
        <v>31288.8926731063</v>
      </c>
      <c r="H29" s="172">
        <v>1.17301490574484E-3</v>
      </c>
      <c r="I29" s="172">
        <v>26673908.847934499</v>
      </c>
    </row>
    <row r="30" spans="2:9" hidden="1" x14ac:dyDescent="0.3">
      <c r="B30" s="172" t="s">
        <v>185</v>
      </c>
      <c r="C30" s="172" t="s">
        <v>81</v>
      </c>
      <c r="D30" s="172">
        <v>2005.92439285398</v>
      </c>
      <c r="E30" s="172">
        <v>4.7446091607969501E-5</v>
      </c>
      <c r="F30" s="172">
        <v>0</v>
      </c>
      <c r="G30" s="172">
        <v>65493.538509162703</v>
      </c>
      <c r="H30" s="172">
        <v>1.7516942810844099E-3</v>
      </c>
      <c r="I30" s="172">
        <v>37388680.899624802</v>
      </c>
    </row>
    <row r="31" spans="2:9" hidden="1" x14ac:dyDescent="0.3">
      <c r="B31" s="172" t="s">
        <v>183</v>
      </c>
      <c r="C31" s="172" t="s">
        <v>81</v>
      </c>
      <c r="D31" s="172">
        <v>2887.8488856775798</v>
      </c>
      <c r="E31" s="172">
        <v>6.1168578544626805E-5</v>
      </c>
      <c r="F31" s="172">
        <v>0</v>
      </c>
      <c r="G31" s="172">
        <v>94335.556087740304</v>
      </c>
      <c r="H31" s="172">
        <v>2.2357606276393401E-3</v>
      </c>
      <c r="I31" s="172">
        <v>42193942.822647199</v>
      </c>
    </row>
    <row r="32" spans="2:9" hidden="1" x14ac:dyDescent="0.3">
      <c r="B32" s="172" t="s">
        <v>181</v>
      </c>
      <c r="C32" s="172" t="s">
        <v>81</v>
      </c>
      <c r="D32" s="172">
        <v>3648.3665142034101</v>
      </c>
      <c r="E32" s="172">
        <v>9.9367957727936493E-5</v>
      </c>
      <c r="F32" s="172">
        <v>0</v>
      </c>
      <c r="G32" s="172">
        <v>118666.561729237</v>
      </c>
      <c r="H32" s="172">
        <v>2.6373768057557099E-3</v>
      </c>
      <c r="I32" s="172">
        <v>44994162.9388199</v>
      </c>
    </row>
    <row r="33" spans="2:9" hidden="1" x14ac:dyDescent="0.3">
      <c r="B33" s="172" t="s">
        <v>179</v>
      </c>
      <c r="C33" s="172" t="s">
        <v>81</v>
      </c>
      <c r="D33" s="172">
        <v>4303.5501029643501</v>
      </c>
      <c r="E33" s="172">
        <v>1.3623908028657499E-4</v>
      </c>
      <c r="F33" s="172">
        <v>0</v>
      </c>
      <c r="G33" s="172">
        <v>139408.18647520299</v>
      </c>
      <c r="H33" s="172">
        <v>2.9547781873058301E-3</v>
      </c>
      <c r="I33" s="172">
        <v>47180592.8018969</v>
      </c>
    </row>
    <row r="34" spans="2:9" hidden="1" x14ac:dyDescent="0.3">
      <c r="B34" s="172" t="s">
        <v>39</v>
      </c>
      <c r="C34" s="172" t="s">
        <v>81</v>
      </c>
      <c r="D34" s="172">
        <v>4864.6511124851204</v>
      </c>
      <c r="E34" s="172">
        <v>1.3746760347568899E-4</v>
      </c>
      <c r="F34" s="172">
        <v>0</v>
      </c>
      <c r="G34" s="172">
        <v>157288.449207111</v>
      </c>
      <c r="H34" s="172">
        <v>3.14300557861722E-3</v>
      </c>
      <c r="I34" s="172">
        <v>50043961.193448097</v>
      </c>
    </row>
    <row r="35" spans="2:9" hidden="1" x14ac:dyDescent="0.3">
      <c r="B35" s="172" t="s">
        <v>26</v>
      </c>
      <c r="C35" s="172" t="s">
        <v>81</v>
      </c>
      <c r="D35" s="172">
        <v>5352.5651788327305</v>
      </c>
      <c r="E35" s="172">
        <v>1.32251163370906E-4</v>
      </c>
      <c r="F35" s="172">
        <v>0</v>
      </c>
      <c r="G35" s="172">
        <v>173209.18199152901</v>
      </c>
      <c r="H35" s="172">
        <v>3.2629003133196298E-3</v>
      </c>
      <c r="I35" s="172">
        <v>53084423.4757846</v>
      </c>
    </row>
    <row r="36" spans="2:9" hidden="1" x14ac:dyDescent="0.3">
      <c r="B36" s="172" t="s">
        <v>25</v>
      </c>
      <c r="C36" s="172" t="s">
        <v>81</v>
      </c>
      <c r="D36" s="172">
        <v>5751.9905030618102</v>
      </c>
      <c r="E36" s="172">
        <v>1.46291120638425E-4</v>
      </c>
      <c r="F36" s="172">
        <v>0</v>
      </c>
      <c r="G36" s="172">
        <v>186774.655720654</v>
      </c>
      <c r="H36" s="172">
        <v>3.4139970989767502E-3</v>
      </c>
      <c r="I36" s="172">
        <v>54708498.661769196</v>
      </c>
    </row>
    <row r="37" spans="2:9" hidden="1" x14ac:dyDescent="0.3">
      <c r="B37" s="172" t="s">
        <v>24</v>
      </c>
      <c r="C37" s="172" t="s">
        <v>81</v>
      </c>
      <c r="D37" s="172">
        <v>6042.8598861390901</v>
      </c>
      <c r="E37" s="172">
        <v>1.3048187869804101E-4</v>
      </c>
      <c r="F37" s="172">
        <v>0</v>
      </c>
      <c r="G37" s="172">
        <v>197192.98442168799</v>
      </c>
      <c r="H37" s="172">
        <v>3.18408410141548E-3</v>
      </c>
      <c r="I37" s="172">
        <v>61930834.155425198</v>
      </c>
    </row>
    <row r="38" spans="2:9" hidden="1" x14ac:dyDescent="0.3">
      <c r="B38" s="172" t="s">
        <v>22</v>
      </c>
      <c r="C38" s="172" t="s">
        <v>81</v>
      </c>
      <c r="D38" s="172">
        <v>6193.3500553212998</v>
      </c>
      <c r="E38" s="172">
        <v>7.2872242399517603E-5</v>
      </c>
      <c r="F38" s="172">
        <v>0</v>
      </c>
      <c r="G38" s="172">
        <v>203002.60056020101</v>
      </c>
      <c r="H38" s="172">
        <v>2.8627893711388398E-3</v>
      </c>
      <c r="I38" s="172">
        <v>70910770.665410593</v>
      </c>
    </row>
    <row r="39" spans="2:9" x14ac:dyDescent="0.3">
      <c r="B39" s="172" t="s">
        <v>189</v>
      </c>
      <c r="C39" s="172" t="s">
        <v>82</v>
      </c>
      <c r="D39" s="172">
        <v>99.899992956959395</v>
      </c>
      <c r="E39" s="172">
        <v>3.0385506385794301E-5</v>
      </c>
      <c r="F39" s="172">
        <v>0</v>
      </c>
      <c r="G39" s="172">
        <v>1043.83886892194</v>
      </c>
      <c r="H39" s="172">
        <v>7.7691602967665599E-4</v>
      </c>
      <c r="I39" s="172">
        <v>1343567.1669129699</v>
      </c>
    </row>
    <row r="40" spans="2:9" x14ac:dyDescent="0.3">
      <c r="B40" s="172" t="s">
        <v>187</v>
      </c>
      <c r="C40" s="172" t="s">
        <v>82</v>
      </c>
      <c r="D40" s="172">
        <v>982.032371577356</v>
      </c>
      <c r="E40" s="172">
        <v>8.8901413556527803E-5</v>
      </c>
      <c r="F40" s="172">
        <v>0</v>
      </c>
      <c r="G40" s="172">
        <v>31288.892673835398</v>
      </c>
      <c r="H40" s="172">
        <v>1.08712792217459E-3</v>
      </c>
      <c r="I40" s="172">
        <v>28781242.791784901</v>
      </c>
    </row>
    <row r="41" spans="2:9" x14ac:dyDescent="0.3">
      <c r="B41" s="172" t="s">
        <v>185</v>
      </c>
      <c r="C41" s="172" t="s">
        <v>82</v>
      </c>
      <c r="D41" s="172">
        <v>2005.9243921186301</v>
      </c>
      <c r="E41" s="172">
        <v>1.8261776577252199E-4</v>
      </c>
      <c r="F41" s="172">
        <v>0</v>
      </c>
      <c r="G41" s="172">
        <v>65493.538506683697</v>
      </c>
      <c r="H41" s="172">
        <v>1.6051999343195001E-3</v>
      </c>
      <c r="I41" s="172">
        <v>40800860.4451188</v>
      </c>
    </row>
    <row r="42" spans="2:9" x14ac:dyDescent="0.3">
      <c r="B42" s="172" t="s">
        <v>183</v>
      </c>
      <c r="C42" s="172" t="s">
        <v>82</v>
      </c>
      <c r="D42" s="172">
        <v>2887.8488847475101</v>
      </c>
      <c r="E42" s="172">
        <v>2.8029307058789001E-4</v>
      </c>
      <c r="F42" s="172">
        <v>0</v>
      </c>
      <c r="G42" s="172">
        <v>94335.556084924698</v>
      </c>
      <c r="H42" s="172">
        <v>2.17620441643909E-3</v>
      </c>
      <c r="I42" s="172">
        <v>43348664.938051</v>
      </c>
    </row>
    <row r="43" spans="2:9" x14ac:dyDescent="0.3">
      <c r="B43" s="172" t="s">
        <v>181</v>
      </c>
      <c r="C43" s="172" t="s">
        <v>82</v>
      </c>
      <c r="D43" s="172">
        <v>3648.3665129465899</v>
      </c>
      <c r="E43" s="172">
        <v>3.7540199817548902E-4</v>
      </c>
      <c r="F43" s="172">
        <v>0</v>
      </c>
      <c r="G43" s="172">
        <v>118666.561727482</v>
      </c>
      <c r="H43" s="172">
        <v>2.66087014663697E-3</v>
      </c>
      <c r="I43" s="172">
        <v>44596900.708387703</v>
      </c>
    </row>
    <row r="44" spans="2:9" x14ac:dyDescent="0.3">
      <c r="B44" s="172" t="s">
        <v>179</v>
      </c>
      <c r="C44" s="172" t="s">
        <v>82</v>
      </c>
      <c r="D44" s="172">
        <v>4303.5501016314602</v>
      </c>
      <c r="E44" s="172">
        <v>4.4974129665741801E-4</v>
      </c>
      <c r="F44" s="172">
        <v>0</v>
      </c>
      <c r="G44" s="172">
        <v>139408.186471589</v>
      </c>
      <c r="H44" s="172">
        <v>3.0426124931212401E-3</v>
      </c>
      <c r="I44" s="172">
        <v>45818580.836949997</v>
      </c>
    </row>
    <row r="45" spans="2:9" x14ac:dyDescent="0.3">
      <c r="B45" s="172" t="s">
        <v>39</v>
      </c>
      <c r="C45" s="172" t="s">
        <v>82</v>
      </c>
      <c r="D45" s="172">
        <v>4864.6511109888297</v>
      </c>
      <c r="E45" s="172">
        <v>4.5571923876851098E-4</v>
      </c>
      <c r="F45" s="172">
        <v>0</v>
      </c>
      <c r="G45" s="172">
        <v>157288.44920334101</v>
      </c>
      <c r="H45" s="172">
        <v>3.2323008836352999E-3</v>
      </c>
      <c r="I45" s="172">
        <v>48661450.423650503</v>
      </c>
    </row>
    <row r="46" spans="2:9" x14ac:dyDescent="0.3">
      <c r="B46" s="172" t="s">
        <v>26</v>
      </c>
      <c r="C46" s="172" t="s">
        <v>82</v>
      </c>
      <c r="D46" s="172">
        <v>5352.5651773039299</v>
      </c>
      <c r="E46" s="172">
        <v>4.4841464220158402E-4</v>
      </c>
      <c r="F46" s="172">
        <v>0</v>
      </c>
      <c r="G46" s="172">
        <v>173209.18198905201</v>
      </c>
      <c r="H46" s="172">
        <v>3.3510133893719001E-3</v>
      </c>
      <c r="I46" s="172">
        <v>51688597.407102004</v>
      </c>
    </row>
    <row r="47" spans="2:9" x14ac:dyDescent="0.3">
      <c r="B47" s="172" t="s">
        <v>25</v>
      </c>
      <c r="C47" s="172" t="s">
        <v>82</v>
      </c>
      <c r="D47" s="172">
        <v>5751.99050150326</v>
      </c>
      <c r="E47" s="172">
        <v>4.7603695973114497E-4</v>
      </c>
      <c r="F47" s="172">
        <v>0</v>
      </c>
      <c r="G47" s="172">
        <v>186774.65571865201</v>
      </c>
      <c r="H47" s="172">
        <v>3.5067390362456801E-3</v>
      </c>
      <c r="I47" s="172">
        <v>53261635.322203502</v>
      </c>
    </row>
    <row r="48" spans="2:9" x14ac:dyDescent="0.3">
      <c r="B48" s="172" t="s">
        <v>24</v>
      </c>
      <c r="C48" s="172" t="s">
        <v>82</v>
      </c>
      <c r="D48" s="172">
        <v>6042.8598846968498</v>
      </c>
      <c r="E48" s="172">
        <v>4.7517451199045001E-4</v>
      </c>
      <c r="F48" s="172">
        <v>0</v>
      </c>
      <c r="G48" s="172">
        <v>197192.984419546</v>
      </c>
      <c r="H48" s="172">
        <v>3.31100691088373E-3</v>
      </c>
      <c r="I48" s="172">
        <v>59556802.4250708</v>
      </c>
    </row>
    <row r="49" spans="2:9" x14ac:dyDescent="0.3">
      <c r="B49" s="172" t="s">
        <v>22</v>
      </c>
      <c r="C49" s="172" t="s">
        <v>82</v>
      </c>
      <c r="D49" s="172">
        <v>6193.3500538667904</v>
      </c>
      <c r="E49" s="172">
        <v>3.3909069266387098E-4</v>
      </c>
      <c r="F49" s="172">
        <v>0</v>
      </c>
      <c r="G49" s="172">
        <v>203002.60055796101</v>
      </c>
      <c r="H49" s="172">
        <v>2.92394017111758E-3</v>
      </c>
      <c r="I49" s="172">
        <v>69427754.563244194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-3.3469405025243801E-10</v>
      </c>
      <c r="H6" s="172">
        <v>-1197.87566613984</v>
      </c>
      <c r="I6" s="172">
        <v>-75.577925000208396</v>
      </c>
      <c r="J6" s="172">
        <v>15623.881794527</v>
      </c>
      <c r="K6" s="172">
        <v>-4.82145878777374E-9</v>
      </c>
      <c r="L6" s="172">
        <v>7.5197021942585707E-9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-1.7462298274040199E-10</v>
      </c>
      <c r="H7" s="172">
        <v>-1197.8756661395</v>
      </c>
      <c r="I7" s="172">
        <v>-75.577925000150998</v>
      </c>
      <c r="J7" s="172">
        <v>15623.8817945224</v>
      </c>
      <c r="K7" s="172">
        <v>226.73377499848499</v>
      </c>
      <c r="L7" s="172">
        <v>-3593.6269984155101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-3.92901711165905E-10</v>
      </c>
      <c r="H8" s="172">
        <v>-1197.8756661428599</v>
      </c>
      <c r="I8" s="172">
        <v>-75.577924988961101</v>
      </c>
      <c r="J8" s="172">
        <v>15055.1751317853</v>
      </c>
      <c r="K8" s="172">
        <v>-5.7747229220694904E-9</v>
      </c>
      <c r="L8" s="172">
        <v>8.7220541900023801E-9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-2.3283064365386999E-10</v>
      </c>
      <c r="H9" s="172">
        <v>-1197.87566614243</v>
      </c>
      <c r="I9" s="172">
        <v>-75.577924989099401</v>
      </c>
      <c r="J9" s="172">
        <v>15055.1751317751</v>
      </c>
      <c r="K9" s="172">
        <v>226.73377496395199</v>
      </c>
      <c r="L9" s="172">
        <v>-3593.62699842339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7.2759576141834298E-11</v>
      </c>
      <c r="H10" s="172">
        <v>-99.899992959256707</v>
      </c>
      <c r="I10" s="172">
        <v>-1043.8388689118301</v>
      </c>
      <c r="J10" s="172">
        <v>-20597.627897818202</v>
      </c>
      <c r="K10" s="172">
        <v>1.0068106348626299E-9</v>
      </c>
      <c r="L10" s="172">
        <v>-1.5511432138737299E-9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2.1827872842550301E-10</v>
      </c>
      <c r="H11" s="172">
        <v>-99.899992959240095</v>
      </c>
      <c r="I11" s="172">
        <v>-1043.8388689141</v>
      </c>
      <c r="J11" s="172">
        <v>-20597.6278978665</v>
      </c>
      <c r="K11" s="172">
        <v>3131.5166067414698</v>
      </c>
      <c r="L11" s="172">
        <v>-299.69997888236497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1.3824319466948499E-10</v>
      </c>
      <c r="H12" s="172">
        <v>-99.899992956964795</v>
      </c>
      <c r="I12" s="172">
        <v>-1043.8388689199801</v>
      </c>
      <c r="J12" s="172">
        <v>-20230.042346886399</v>
      </c>
      <c r="K12" s="172">
        <v>1.8794708012137599E-9</v>
      </c>
      <c r="L12" s="172">
        <v>-2.86354406853206E-9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2.3283064365386999E-10</v>
      </c>
      <c r="H13" s="172">
        <v>-99.899992956959395</v>
      </c>
      <c r="I13" s="172">
        <v>-1043.83886892194</v>
      </c>
      <c r="J13" s="172">
        <v>-20230.042346927701</v>
      </c>
      <c r="K13" s="172">
        <v>3131.5166067656801</v>
      </c>
      <c r="L13" s="172">
        <v>-299.69997887568798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12085.1999999945</v>
      </c>
      <c r="H14" s="172">
        <v>6.5601284404692697E-9</v>
      </c>
      <c r="I14" s="172">
        <v>-1.2936851589984101E-9</v>
      </c>
      <c r="J14" s="172">
        <v>-1.18609364108124E-7</v>
      </c>
      <c r="K14" s="172">
        <v>174819.959999919</v>
      </c>
      <c r="L14" s="172">
        <v>-253849.049999885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18781.199999996399</v>
      </c>
      <c r="H15" s="172">
        <v>6.5433027884864697E-9</v>
      </c>
      <c r="I15" s="172">
        <v>-1.28298438539787E-9</v>
      </c>
      <c r="J15" s="172">
        <v>-1.18098228085728E-7</v>
      </c>
      <c r="K15" s="172">
        <v>266691.95999995602</v>
      </c>
      <c r="L15" s="172">
        <v>-392881.04999990598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-3.0790965865889998E-7</v>
      </c>
      <c r="H16" s="172">
        <v>-32192.685785929501</v>
      </c>
      <c r="I16" s="172">
        <v>-853.25212481699396</v>
      </c>
      <c r="J16" s="172">
        <v>533540.38534981303</v>
      </c>
      <c r="K16" s="172">
        <v>226.73377060761601</v>
      </c>
      <c r="L16" s="172">
        <v>-3593.6269916497599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-2.9945960022814699E-7</v>
      </c>
      <c r="H17" s="172">
        <v>-32192.685785922298</v>
      </c>
      <c r="I17" s="172">
        <v>-853.25212478848698</v>
      </c>
      <c r="J17" s="172">
        <v>533540.38535031502</v>
      </c>
      <c r="K17" s="172">
        <v>3213.1162075553302</v>
      </c>
      <c r="L17" s="172">
        <v>-116268.027242568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-5.4562292461923802E-8</v>
      </c>
      <c r="H18" s="172">
        <v>-32192.685786554899</v>
      </c>
      <c r="I18" s="172">
        <v>-853.25212378412505</v>
      </c>
      <c r="J18" s="172">
        <v>437165.56080887298</v>
      </c>
      <c r="K18" s="172">
        <v>226.73377390172899</v>
      </c>
      <c r="L18" s="172">
        <v>-3593.6269973809099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-4.7638081923650997E-8</v>
      </c>
      <c r="H19" s="172">
        <v>-32192.685786546801</v>
      </c>
      <c r="I19" s="172">
        <v>-853.25212378297704</v>
      </c>
      <c r="J19" s="172">
        <v>437165.560808793</v>
      </c>
      <c r="K19" s="172">
        <v>3213.1162072470502</v>
      </c>
      <c r="L19" s="172">
        <v>-116268.02725045499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1.54508322225411E-6</v>
      </c>
      <c r="H20" s="172">
        <v>-982.03237205052199</v>
      </c>
      <c r="I20" s="172">
        <v>-31288.892672893599</v>
      </c>
      <c r="J20" s="172">
        <v>-404922.12603386701</v>
      </c>
      <c r="K20" s="172">
        <v>3131.5166268686298</v>
      </c>
      <c r="L20" s="172">
        <v>-299.70001380808998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1.53170952899018E-6</v>
      </c>
      <c r="H21" s="172">
        <v>-982.032372032338</v>
      </c>
      <c r="I21" s="172">
        <v>-31288.8926731063</v>
      </c>
      <c r="J21" s="172">
        <v>-404922.12603850802</v>
      </c>
      <c r="K21" s="172">
        <v>112642.64098207001</v>
      </c>
      <c r="L21" s="172">
        <v>-3736.81331566781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1.3588467879799301E-6</v>
      </c>
      <c r="H22" s="172">
        <v>-982.03237159610705</v>
      </c>
      <c r="I22" s="172">
        <v>-31288.892673643299</v>
      </c>
      <c r="J22" s="172">
        <v>-336257.38104029797</v>
      </c>
      <c r="K22" s="172">
        <v>3131.5166244471002</v>
      </c>
      <c r="L22" s="172">
        <v>-299.70000959622001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1.34826808562138E-6</v>
      </c>
      <c r="H23" s="172">
        <v>-982.032371577356</v>
      </c>
      <c r="I23" s="172">
        <v>-31288.892673835398</v>
      </c>
      <c r="J23" s="172">
        <v>-336257.381044521</v>
      </c>
      <c r="K23" s="172">
        <v>112642.640982297</v>
      </c>
      <c r="L23" s="172">
        <v>-3736.81330992623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708590.77874990099</v>
      </c>
      <c r="H24" s="172">
        <v>-3.7487517996481799E-6</v>
      </c>
      <c r="I24" s="172">
        <v>-4.1368051029167E-7</v>
      </c>
      <c r="J24" s="172">
        <v>5.00175629269961E-5</v>
      </c>
      <c r="K24" s="172">
        <v>10956012.8153894</v>
      </c>
      <c r="L24" s="172">
        <v>-8256552.3628039397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822040.38014766399</v>
      </c>
      <c r="H25" s="172">
        <v>-3.75150244735778E-6</v>
      </c>
      <c r="I25" s="172">
        <v>-4.11756786888873E-7</v>
      </c>
      <c r="J25" s="172">
        <v>5.0099930376745801E-5</v>
      </c>
      <c r="K25" s="172">
        <v>12713172.230987201</v>
      </c>
      <c r="L25" s="172">
        <v>-9782024.8284358103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-2.6772204364533499E-7</v>
      </c>
      <c r="H26" s="172">
        <v>-66837.136736585904</v>
      </c>
      <c r="I26" s="172">
        <v>-1758.73043240736</v>
      </c>
      <c r="J26" s="172">
        <v>1113563.6608927499</v>
      </c>
      <c r="K26" s="172">
        <v>3213.1162076830801</v>
      </c>
      <c r="L26" s="172">
        <v>-116268.027243469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-2.68088228949637E-7</v>
      </c>
      <c r="H27" s="172">
        <v>-66837.136736618602</v>
      </c>
      <c r="I27" s="172">
        <v>-1758.7304323968301</v>
      </c>
      <c r="J27" s="172">
        <v>1113563.66089346</v>
      </c>
      <c r="K27" s="172">
        <v>9368.6727210828994</v>
      </c>
      <c r="L27" s="172">
        <v>-350198.00582155102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-1.07494429357757E-7</v>
      </c>
      <c r="H28" s="172">
        <v>-66837.136737593406</v>
      </c>
      <c r="I28" s="172">
        <v>-1758.7304358230799</v>
      </c>
      <c r="J28" s="172">
        <v>910186.689191891</v>
      </c>
      <c r="K28" s="172">
        <v>3213.1162061394002</v>
      </c>
      <c r="L28" s="172">
        <v>-116268.027249229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-1.13593614514684E-7</v>
      </c>
      <c r="H29" s="172">
        <v>-66837.136737635694</v>
      </c>
      <c r="I29" s="172">
        <v>-1758.7304357984699</v>
      </c>
      <c r="J29" s="172">
        <v>910186.68919302197</v>
      </c>
      <c r="K29" s="172">
        <v>9368.6727313853808</v>
      </c>
      <c r="L29" s="172">
        <v>-350198.00583073299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7.6200677767701595E-7</v>
      </c>
      <c r="H30" s="172">
        <v>-2005.92439286791</v>
      </c>
      <c r="I30" s="172">
        <v>-65493.538509264501</v>
      </c>
      <c r="J30" s="172">
        <v>-835316.61117756704</v>
      </c>
      <c r="K30" s="172">
        <v>112642.640971639</v>
      </c>
      <c r="L30" s="172">
        <v>-3736.8132982791299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7.2498062309023205E-7</v>
      </c>
      <c r="H31" s="172">
        <v>-2005.92439285398</v>
      </c>
      <c r="I31" s="172">
        <v>-65493.538509162703</v>
      </c>
      <c r="J31" s="172">
        <v>-835316.61117570696</v>
      </c>
      <c r="K31" s="172">
        <v>341870.02575334901</v>
      </c>
      <c r="L31" s="172">
        <v>-10757.5486725676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6.4781303876770803E-7</v>
      </c>
      <c r="H32" s="172">
        <v>-2005.9243921315001</v>
      </c>
      <c r="I32" s="172">
        <v>-65493.538506777601</v>
      </c>
      <c r="J32" s="172">
        <v>-689496.208342119</v>
      </c>
      <c r="K32" s="172">
        <v>112642.640972801</v>
      </c>
      <c r="L32" s="172">
        <v>-3736.8132941436402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6.1216144331410802E-7</v>
      </c>
      <c r="H33" s="172">
        <v>-2005.9243921186301</v>
      </c>
      <c r="I33" s="172">
        <v>-65493.538506683697</v>
      </c>
      <c r="J33" s="172">
        <v>-689496.20834040002</v>
      </c>
      <c r="K33" s="172">
        <v>341870.02574584202</v>
      </c>
      <c r="L33" s="172">
        <v>-10757.548665877001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1498313.9588983201</v>
      </c>
      <c r="H34" s="172">
        <v>-8.6924328890347607E-6</v>
      </c>
      <c r="I34" s="172">
        <v>-2.6493074756217501E-7</v>
      </c>
      <c r="J34" s="172">
        <v>1.3015472762845101E-4</v>
      </c>
      <c r="K34" s="172">
        <v>23192193.686387401</v>
      </c>
      <c r="L34" s="172">
        <v>-17500450.7662577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1611763.5602961399</v>
      </c>
      <c r="H35" s="172">
        <v>-8.6908302705523999E-6</v>
      </c>
      <c r="I35" s="172">
        <v>-2.5411281967535599E-7</v>
      </c>
      <c r="J35" s="172">
        <v>1.3034380845056099E-4</v>
      </c>
      <c r="K35" s="172">
        <v>24949353.101985499</v>
      </c>
      <c r="L35" s="172">
        <v>-19025923.2319079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-4.9373147703590803E-7</v>
      </c>
      <c r="H36" s="172">
        <v>-95621.835890845497</v>
      </c>
      <c r="I36" s="172">
        <v>-2529.7700589686401</v>
      </c>
      <c r="J36" s="172">
        <v>1595236.93494413</v>
      </c>
      <c r="K36" s="172">
        <v>9368.6727179674508</v>
      </c>
      <c r="L36" s="172">
        <v>-350198.00581670599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-4.8089850679389201E-7</v>
      </c>
      <c r="H37" s="172">
        <v>-95621.835890847404</v>
      </c>
      <c r="I37" s="172">
        <v>-2529.7700589248002</v>
      </c>
      <c r="J37" s="172">
        <v>1595236.93494508</v>
      </c>
      <c r="K37" s="172">
        <v>18222.867924492999</v>
      </c>
      <c r="L37" s="172">
        <v>-684874.431434953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-2.8859221856691901E-7</v>
      </c>
      <c r="H38" s="172">
        <v>-95621.835892126095</v>
      </c>
      <c r="I38" s="172">
        <v>-2529.7700627535801</v>
      </c>
      <c r="J38" s="172">
        <v>1303000.1036556601</v>
      </c>
      <c r="K38" s="172">
        <v>9368.6727289047994</v>
      </c>
      <c r="L38" s="172">
        <v>-350198.00582696201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-2.8160229703644301E-7</v>
      </c>
      <c r="H39" s="172">
        <v>-95621.835892127099</v>
      </c>
      <c r="I39" s="172">
        <v>-2529.7700627893</v>
      </c>
      <c r="J39" s="172">
        <v>1303000.10365498</v>
      </c>
      <c r="K39" s="172">
        <v>18222.8679486984</v>
      </c>
      <c r="L39" s="172">
        <v>-684874.43144957197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5.2148385520922602E-7</v>
      </c>
      <c r="H40" s="172">
        <v>-2887.8488856936101</v>
      </c>
      <c r="I40" s="172">
        <v>-94335.556087095203</v>
      </c>
      <c r="J40" s="172">
        <v>-1197916.47906914</v>
      </c>
      <c r="K40" s="172">
        <v>341870.02575024602</v>
      </c>
      <c r="L40" s="172">
        <v>-10757.5486686043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4.6389618546527302E-7</v>
      </c>
      <c r="H41" s="172">
        <v>-2887.8488856775798</v>
      </c>
      <c r="I41" s="172">
        <v>-94335.556087740304</v>
      </c>
      <c r="J41" s="172">
        <v>-1197916.47908242</v>
      </c>
      <c r="K41" s="172">
        <v>672044.47205508302</v>
      </c>
      <c r="L41" s="172">
        <v>-20865.019767357098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3.68526627880783E-7</v>
      </c>
      <c r="H42" s="172">
        <v>-2887.8488847618901</v>
      </c>
      <c r="I42" s="172">
        <v>-94335.556084331198</v>
      </c>
      <c r="J42" s="172">
        <v>-987095.39707545901</v>
      </c>
      <c r="K42" s="172">
        <v>341870.02574223903</v>
      </c>
      <c r="L42" s="172">
        <v>-10757.5486610551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3.19462287734495E-7</v>
      </c>
      <c r="H43" s="172">
        <v>-2887.8488847475101</v>
      </c>
      <c r="I43" s="172">
        <v>-94335.556084924698</v>
      </c>
      <c r="J43" s="172">
        <v>-987095.39708767901</v>
      </c>
      <c r="K43" s="172">
        <v>672044.47203746403</v>
      </c>
      <c r="L43" s="172">
        <v>-20865.0197567303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2288037.1390457801</v>
      </c>
      <c r="H44" s="172">
        <v>-1.1377748151630799E-5</v>
      </c>
      <c r="I44" s="172">
        <v>-1.8316887917535501E-7</v>
      </c>
      <c r="J44" s="172">
        <v>1.7259071336184201E-4</v>
      </c>
      <c r="K44" s="172">
        <v>35428374.5573733</v>
      </c>
      <c r="L44" s="172">
        <v>-26744349.1697069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2401486.7404435501</v>
      </c>
      <c r="H45" s="172">
        <v>-1.1379754369045299E-5</v>
      </c>
      <c r="I45" s="172">
        <v>-1.7478726022091001E-7</v>
      </c>
      <c r="J45" s="172">
        <v>1.7278691393585199E-4</v>
      </c>
      <c r="K45" s="172">
        <v>37185533.972970299</v>
      </c>
      <c r="L45" s="172">
        <v>-28269821.635365501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-6.0559978010132898E-7</v>
      </c>
      <c r="H46" s="172">
        <v>-119635.352908945</v>
      </c>
      <c r="I46" s="172">
        <v>-3189.40873499288</v>
      </c>
      <c r="J46" s="172">
        <v>1996856.11163364</v>
      </c>
      <c r="K46" s="172">
        <v>18222.867922494901</v>
      </c>
      <c r="L46" s="172">
        <v>-684874.43143238802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-6.1163018472143396E-7</v>
      </c>
      <c r="H47" s="172">
        <v>-119635.352908972</v>
      </c>
      <c r="I47" s="172">
        <v>-3189.40873501036</v>
      </c>
      <c r="J47" s="172">
        <v>1996856.1116337699</v>
      </c>
      <c r="K47" s="172">
        <v>29385.798494888899</v>
      </c>
      <c r="L47" s="172">
        <v>-1103598.1666135599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-4.3751015255111301E-7</v>
      </c>
      <c r="H48" s="172">
        <v>-119635.35291067501</v>
      </c>
      <c r="I48" s="172">
        <v>-3189.4087374788801</v>
      </c>
      <c r="J48" s="172">
        <v>1630526.8516746</v>
      </c>
      <c r="K48" s="172">
        <v>18222.867946213501</v>
      </c>
      <c r="L48" s="172">
        <v>-684874.43144627498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-4.3702721086447101E-7</v>
      </c>
      <c r="H49" s="172">
        <v>-119635.352910699</v>
      </c>
      <c r="I49" s="172">
        <v>-3189.4087374165001</v>
      </c>
      <c r="J49" s="172">
        <v>1630526.8516762799</v>
      </c>
      <c r="K49" s="172">
        <v>29385.7985273048</v>
      </c>
      <c r="L49" s="172">
        <v>-1103598.1666336299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1.66283157909675E-7</v>
      </c>
      <c r="H50" s="172">
        <v>-3648.3665142177501</v>
      </c>
      <c r="I50" s="172">
        <v>-118666.561729926</v>
      </c>
      <c r="J50" s="172">
        <v>-1503521.8120756</v>
      </c>
      <c r="K50" s="172">
        <v>672044.47205055598</v>
      </c>
      <c r="L50" s="172">
        <v>-20865.0197607189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2.2269227883953101E-7</v>
      </c>
      <c r="H51" s="172">
        <v>-3648.3665142034101</v>
      </c>
      <c r="I51" s="172">
        <v>-118666.561729237</v>
      </c>
      <c r="J51" s="172">
        <v>-1503521.8120619799</v>
      </c>
      <c r="K51" s="172">
        <v>1087377.43810525</v>
      </c>
      <c r="L51" s="172">
        <v>-33634.302561605298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4.4251152075958102E-8</v>
      </c>
      <c r="H52" s="172">
        <v>-3648.3665129582701</v>
      </c>
      <c r="I52" s="172">
        <v>-118666.561728118</v>
      </c>
      <c r="J52" s="172">
        <v>-1237918.4973833601</v>
      </c>
      <c r="K52" s="172">
        <v>672044.47203328297</v>
      </c>
      <c r="L52" s="172">
        <v>-20865.019750616801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9.6813209893298296E-8</v>
      </c>
      <c r="H53" s="172">
        <v>-3648.3665129465899</v>
      </c>
      <c r="I53" s="172">
        <v>-118666.561727482</v>
      </c>
      <c r="J53" s="172">
        <v>-1237918.49737078</v>
      </c>
      <c r="K53" s="172">
        <v>1087377.4380816601</v>
      </c>
      <c r="L53" s="172">
        <v>-33634.302547022402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3077760.3191937301</v>
      </c>
      <c r="H54" s="172">
        <v>-1.7785957457938701E-5</v>
      </c>
      <c r="I54" s="172">
        <v>-6.5888571043615203E-8</v>
      </c>
      <c r="J54" s="172">
        <v>2.7484154038859298E-4</v>
      </c>
      <c r="K54" s="172">
        <v>47664555.428363703</v>
      </c>
      <c r="L54" s="172">
        <v>-35988247.573176101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3191209.9205915602</v>
      </c>
      <c r="H55" s="172">
        <v>-1.7784899000616901E-5</v>
      </c>
      <c r="I55" s="172">
        <v>-7.3613477979961304E-8</v>
      </c>
      <c r="J55" s="172">
        <v>2.7466115625429698E-4</v>
      </c>
      <c r="K55" s="172">
        <v>49421714.843961202</v>
      </c>
      <c r="L55" s="172">
        <v>-37513720.038858399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-4.8426318244310096E-7</v>
      </c>
      <c r="H56" s="172">
        <v>-139997.53476884999</v>
      </c>
      <c r="I56" s="172">
        <v>-3756.1349740649398</v>
      </c>
      <c r="J56" s="172">
        <v>2337311.0175500601</v>
      </c>
      <c r="K56" s="172">
        <v>29385.798496165899</v>
      </c>
      <c r="L56" s="172">
        <v>-1103598.1666166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-4.8278525355271995E-7</v>
      </c>
      <c r="H57" s="172">
        <v>-139997.53476884699</v>
      </c>
      <c r="I57" s="172">
        <v>-3756.13497404494</v>
      </c>
      <c r="J57" s="172">
        <v>2337311.01755042</v>
      </c>
      <c r="K57" s="172">
        <v>42532.2709053906</v>
      </c>
      <c r="L57" s="172">
        <v>-1593589.53830761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-3.7302925193216699E-7</v>
      </c>
      <c r="H58" s="172">
        <v>-139997.53477067599</v>
      </c>
      <c r="I58" s="172">
        <v>-3756.1349789983301</v>
      </c>
      <c r="J58" s="172">
        <v>1908172.6908803899</v>
      </c>
      <c r="K58" s="172">
        <v>29385.798527750401</v>
      </c>
      <c r="L58" s="172">
        <v>-1103598.16663529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-3.6948222259525199E-7</v>
      </c>
      <c r="H59" s="172">
        <v>-139997.53477067701</v>
      </c>
      <c r="I59" s="172">
        <v>-3756.1349790054301</v>
      </c>
      <c r="J59" s="172">
        <v>1908172.69088025</v>
      </c>
      <c r="K59" s="172">
        <v>42532.2709543116</v>
      </c>
      <c r="L59" s="172">
        <v>-1593589.5383327501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-1.2129514459502399E-7</v>
      </c>
      <c r="H60" s="172">
        <v>-4303.5501029729303</v>
      </c>
      <c r="I60" s="172">
        <v>-139408.18647497401</v>
      </c>
      <c r="J60" s="172">
        <v>-1763926.16090597</v>
      </c>
      <c r="K60" s="172">
        <v>1087377.4381007301</v>
      </c>
      <c r="L60" s="172">
        <v>-33634.302554053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-1.06481593320495E-7</v>
      </c>
      <c r="H61" s="172">
        <v>-4303.5501029643501</v>
      </c>
      <c r="I61" s="172">
        <v>-139408.18647520299</v>
      </c>
      <c r="J61" s="172">
        <v>-1763926.16091074</v>
      </c>
      <c r="K61" s="172">
        <v>1575306.09076369</v>
      </c>
      <c r="L61" s="172">
        <v>-48696.727914763003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-2.0279629353581199E-7</v>
      </c>
      <c r="H62" s="172">
        <v>-4303.5501016403005</v>
      </c>
      <c r="I62" s="172">
        <v>-139408.18647138</v>
      </c>
      <c r="J62" s="172">
        <v>-1451643.8563605</v>
      </c>
      <c r="K62" s="172">
        <v>1087377.4380777299</v>
      </c>
      <c r="L62" s="172">
        <v>-33634.302540435398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-1.89242655324051E-7</v>
      </c>
      <c r="H63" s="172">
        <v>-4303.5501016314602</v>
      </c>
      <c r="I63" s="172">
        <v>-139408.186471589</v>
      </c>
      <c r="J63" s="172">
        <v>-1451643.85636488</v>
      </c>
      <c r="K63" s="172">
        <v>1575306.0907280601</v>
      </c>
      <c r="L63" s="172">
        <v>-48696.727896457298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3867483.4993428802</v>
      </c>
      <c r="H64" s="172">
        <v>-2.04847929101692E-5</v>
      </c>
      <c r="I64" s="172">
        <v>-1.35569678150205E-7</v>
      </c>
      <c r="J64" s="172">
        <v>3.1505429853595501E-4</v>
      </c>
      <c r="K64" s="172">
        <v>59900736.299369298</v>
      </c>
      <c r="L64" s="172">
        <v>-45232145.9766948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3980933.10074068</v>
      </c>
      <c r="H65" s="172">
        <v>-2.0485510106027501E-5</v>
      </c>
      <c r="I65" s="172">
        <v>-1.45138528750977E-7</v>
      </c>
      <c r="J65" s="172">
        <v>3.1486568650507301E-4</v>
      </c>
      <c r="K65" s="172">
        <v>61657895.714966699</v>
      </c>
      <c r="L65" s="172">
        <v>-46757618.442386001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-4.60404407931492E-7</v>
      </c>
      <c r="H66" s="172">
        <v>-157548.963498545</v>
      </c>
      <c r="I66" s="172">
        <v>-4242.0764276152904</v>
      </c>
      <c r="J66" s="172">
        <v>2630803.6950871898</v>
      </c>
      <c r="K66" s="172">
        <v>42532.2709053996</v>
      </c>
      <c r="L66" s="172">
        <v>-1593589.53830823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-4.4653643271885802E-7</v>
      </c>
      <c r="H67" s="172">
        <v>-157548.96349853801</v>
      </c>
      <c r="I67" s="172">
        <v>-4242.0764276072396</v>
      </c>
      <c r="J67" s="172">
        <v>2630803.6950872699</v>
      </c>
      <c r="K67" s="172">
        <v>57379.538402255799</v>
      </c>
      <c r="L67" s="172">
        <v>-2145010.91055344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-4.2791816667886499E-7</v>
      </c>
      <c r="H68" s="172">
        <v>-157548.96350059801</v>
      </c>
      <c r="I68" s="172">
        <v>-4242.07643277846</v>
      </c>
      <c r="J68" s="172">
        <v>2147520.3299546302</v>
      </c>
      <c r="K68" s="172">
        <v>42532.270953211497</v>
      </c>
      <c r="L68" s="172">
        <v>-1593589.5383315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-4.3055115384049698E-7</v>
      </c>
      <c r="H69" s="172">
        <v>-157548.96350059099</v>
      </c>
      <c r="I69" s="172">
        <v>-4242.0764327789902</v>
      </c>
      <c r="J69" s="172">
        <v>2147520.3299545199</v>
      </c>
      <c r="K69" s="172">
        <v>57379.538467896797</v>
      </c>
      <c r="L69" s="172">
        <v>-2145010.9105835701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-7.4154657170311101E-7</v>
      </c>
      <c r="H70" s="172">
        <v>-4864.6511124930403</v>
      </c>
      <c r="I70" s="172">
        <v>-157288.44920703699</v>
      </c>
      <c r="J70" s="172">
        <v>-1988470.2234607299</v>
      </c>
      <c r="K70" s="172">
        <v>1575306.09075499</v>
      </c>
      <c r="L70" s="172">
        <v>-48696.727900416503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-8.8263777797692498E-7</v>
      </c>
      <c r="H71" s="172">
        <v>-4864.6511124851204</v>
      </c>
      <c r="I71" s="172">
        <v>-157288.449207111</v>
      </c>
      <c r="J71" s="172">
        <v>-1988470.22346239</v>
      </c>
      <c r="K71" s="172">
        <v>2125815.66297756</v>
      </c>
      <c r="L71" s="172">
        <v>-65723.006791266307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-7.6519432212762705E-7</v>
      </c>
      <c r="H72" s="172">
        <v>-4864.6511109963503</v>
      </c>
      <c r="I72" s="172">
        <v>-157288.449203275</v>
      </c>
      <c r="J72" s="172">
        <v>-1635936.7696891299</v>
      </c>
      <c r="K72" s="172">
        <v>1575306.0907201699</v>
      </c>
      <c r="L72" s="172">
        <v>-48696.727883472602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-8.9279637904837696E-7</v>
      </c>
      <c r="H73" s="172">
        <v>-4864.6511109888297</v>
      </c>
      <c r="I73" s="172">
        <v>-157288.44920334101</v>
      </c>
      <c r="J73" s="172">
        <v>-1635936.76969062</v>
      </c>
      <c r="K73" s="172">
        <v>2125815.6629297598</v>
      </c>
      <c r="L73" s="172">
        <v>-65723.006769358704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4657206.6794907805</v>
      </c>
      <c r="H74" s="172">
        <v>-2.2349564238410801E-5</v>
      </c>
      <c r="I74" s="172">
        <v>-4.2941223910020199E-9</v>
      </c>
      <c r="J74" s="172">
        <v>3.46885618057513E-4</v>
      </c>
      <c r="K74" s="172">
        <v>72136917.170358703</v>
      </c>
      <c r="L74" s="172">
        <v>-54476044.3801964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4770656.2808885695</v>
      </c>
      <c r="H75" s="172">
        <v>-2.2350653466673999E-5</v>
      </c>
      <c r="I75" s="172">
        <v>3.9731389733788098E-8</v>
      </c>
      <c r="J75" s="172">
        <v>3.4779507495841201E-4</v>
      </c>
      <c r="K75" s="172">
        <v>73894076.585955396</v>
      </c>
      <c r="L75" s="172">
        <v>-56001516.845893897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-4.65093762613833E-7</v>
      </c>
      <c r="H76" s="172">
        <v>-173242.151808094</v>
      </c>
      <c r="I76" s="172">
        <v>-4667.58689573009</v>
      </c>
      <c r="J76" s="172">
        <v>2893303.82430912</v>
      </c>
      <c r="K76" s="172">
        <v>57379.538401722901</v>
      </c>
      <c r="L76" s="172">
        <v>-2145010.9105533501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-4.5539673010352999E-7</v>
      </c>
      <c r="H77" s="172">
        <v>-173242.15180808201</v>
      </c>
      <c r="I77" s="172">
        <v>-4667.5868957212097</v>
      </c>
      <c r="J77" s="172">
        <v>2893303.8243091102</v>
      </c>
      <c r="K77" s="172">
        <v>73716.0925369139</v>
      </c>
      <c r="L77" s="172">
        <v>-2751358.4418818699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-4.3457657739054401E-7</v>
      </c>
      <c r="H78" s="172">
        <v>-173242.151810193</v>
      </c>
      <c r="I78" s="172">
        <v>-4667.5868991305297</v>
      </c>
      <c r="J78" s="172">
        <v>2361586.8653211002</v>
      </c>
      <c r="K78" s="172">
        <v>57379.538467553401</v>
      </c>
      <c r="L78" s="172">
        <v>-2145010.9105838202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-4.2691772250691402E-7</v>
      </c>
      <c r="H79" s="172">
        <v>-173242.151810182</v>
      </c>
      <c r="I79" s="172">
        <v>-4667.58689912521</v>
      </c>
      <c r="J79" s="172">
        <v>2361586.8653210299</v>
      </c>
      <c r="K79" s="172">
        <v>73716.092614619105</v>
      </c>
      <c r="L79" s="172">
        <v>-2751358.44191965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-8.79147449950324E-7</v>
      </c>
      <c r="H80" s="172">
        <v>-5352.5651788391797</v>
      </c>
      <c r="I80" s="172">
        <v>-173209.18199149999</v>
      </c>
      <c r="J80" s="172">
        <v>-2187963.8439918598</v>
      </c>
      <c r="K80" s="172">
        <v>2125815.6629775101</v>
      </c>
      <c r="L80" s="172">
        <v>-65723.006791647407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-8.8986530499823899E-7</v>
      </c>
      <c r="H81" s="172">
        <v>-5352.5651788327305</v>
      </c>
      <c r="I81" s="172">
        <v>-173209.18199152901</v>
      </c>
      <c r="J81" s="172">
        <v>-2187963.8439925299</v>
      </c>
      <c r="K81" s="172">
        <v>2732047.7999476301</v>
      </c>
      <c r="L81" s="172">
        <v>-84456.984917345995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-9.0092663640462E-7</v>
      </c>
      <c r="H82" s="172">
        <v>-5352.5651773094696</v>
      </c>
      <c r="I82" s="172">
        <v>-173209.18198902399</v>
      </c>
      <c r="J82" s="172">
        <v>-1799553.59750922</v>
      </c>
      <c r="K82" s="172">
        <v>2125815.6629295698</v>
      </c>
      <c r="L82" s="172">
        <v>-65723.006769464104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-9.1058063844684501E-7</v>
      </c>
      <c r="H83" s="172">
        <v>-5352.5651773039299</v>
      </c>
      <c r="I83" s="172">
        <v>-173209.18198905201</v>
      </c>
      <c r="J83" s="172">
        <v>-1799553.59750985</v>
      </c>
      <c r="K83" s="172">
        <v>2732047.7998910402</v>
      </c>
      <c r="L83" s="172">
        <v>-84456.984889831903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5460761.0596393496</v>
      </c>
      <c r="H84" s="172">
        <v>-2.35171606135509E-5</v>
      </c>
      <c r="I84" s="172">
        <v>8.1242887972621198E-9</v>
      </c>
      <c r="J84" s="172">
        <v>3.6579576681106102E-4</v>
      </c>
      <c r="K84" s="172">
        <v>84586842.821357295</v>
      </c>
      <c r="L84" s="172">
        <v>-63875772.383719698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5574210.6610371098</v>
      </c>
      <c r="H85" s="172">
        <v>-2.3517389593052899E-5</v>
      </c>
      <c r="I85" s="172">
        <v>3.9901806303532802E-9</v>
      </c>
      <c r="J85" s="172">
        <v>3.6572240878740602E-4</v>
      </c>
      <c r="K85" s="172">
        <v>86344002.236953497</v>
      </c>
      <c r="L85" s="172">
        <v>-65401244.8494206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-6.2023809732636405E-7</v>
      </c>
      <c r="H86" s="172">
        <v>-186726.30349386501</v>
      </c>
      <c r="I86" s="172">
        <v>-5018.2037758207798</v>
      </c>
      <c r="J86" s="172">
        <v>3119049.1437527202</v>
      </c>
      <c r="K86" s="172">
        <v>73716.092534631796</v>
      </c>
      <c r="L86" s="172">
        <v>-2751358.44187835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-6.0914135247003298E-7</v>
      </c>
      <c r="H87" s="172">
        <v>-186726.30349385901</v>
      </c>
      <c r="I87" s="172">
        <v>-5018.2037758019696</v>
      </c>
      <c r="J87" s="172">
        <v>3119049.1437530098</v>
      </c>
      <c r="K87" s="172">
        <v>91279.805750146596</v>
      </c>
      <c r="L87" s="172">
        <v>-3404900.5041070799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-5.2306040743133096E-7</v>
      </c>
      <c r="H88" s="172">
        <v>-186726.30349600501</v>
      </c>
      <c r="I88" s="172">
        <v>-5018.2037785604798</v>
      </c>
      <c r="J88" s="172">
        <v>2545681.0563809499</v>
      </c>
      <c r="K88" s="172">
        <v>73716.092613219502</v>
      </c>
      <c r="L88" s="172">
        <v>-2751358.4419176499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-5.1490042096702403E-7</v>
      </c>
      <c r="H89" s="172">
        <v>-186726.30349599701</v>
      </c>
      <c r="I89" s="172">
        <v>-5018.2037785560096</v>
      </c>
      <c r="J89" s="172">
        <v>2545681.0563809401</v>
      </c>
      <c r="K89" s="172">
        <v>91279.805838296597</v>
      </c>
      <c r="L89" s="172">
        <v>-3404900.5041538202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-4.6314090695887E-7</v>
      </c>
      <c r="H90" s="172">
        <v>-5751.9905030692098</v>
      </c>
      <c r="I90" s="172">
        <v>-186774.655720537</v>
      </c>
      <c r="J90" s="172">
        <v>-2358223.61992099</v>
      </c>
      <c r="K90" s="172">
        <v>2732047.7999530202</v>
      </c>
      <c r="L90" s="172">
        <v>-84456.984926887206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-4.8466472435393402E-7</v>
      </c>
      <c r="H91" s="172">
        <v>-5751.9905030618102</v>
      </c>
      <c r="I91" s="172">
        <v>-186774.655720654</v>
      </c>
      <c r="J91" s="172">
        <v>-2358223.6199234799</v>
      </c>
      <c r="K91" s="172">
        <v>3385759.0949747302</v>
      </c>
      <c r="L91" s="172">
        <v>-104588.95168718199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-5.3300544777812299E-7</v>
      </c>
      <c r="H92" s="172">
        <v>-5751.9905015097802</v>
      </c>
      <c r="I92" s="172">
        <v>-186774.655718547</v>
      </c>
      <c r="J92" s="172">
        <v>-1939192.69994559</v>
      </c>
      <c r="K92" s="172">
        <v>2732047.7998958002</v>
      </c>
      <c r="L92" s="172">
        <v>-84456.984898282899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-5.5414056987501702E-7</v>
      </c>
      <c r="H93" s="172">
        <v>-5751.99050150326</v>
      </c>
      <c r="I93" s="172">
        <v>-186774.65571865201</v>
      </c>
      <c r="J93" s="172">
        <v>-1939192.6999478401</v>
      </c>
      <c r="K93" s="172">
        <v>3385759.0949105299</v>
      </c>
      <c r="L93" s="172">
        <v>-104588.951653128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6264315.4397868104</v>
      </c>
      <c r="H94" s="172">
        <v>-2.4262573326439E-5</v>
      </c>
      <c r="I94" s="172">
        <v>-7.3481999152136295E-8</v>
      </c>
      <c r="J94" s="172">
        <v>3.75150204376951E-4</v>
      </c>
      <c r="K94" s="172">
        <v>97036768.472341493</v>
      </c>
      <c r="L94" s="172">
        <v>-73275500.387222007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6377765.04118458</v>
      </c>
      <c r="H95" s="172">
        <v>-2.4263217142106401E-5</v>
      </c>
      <c r="I95" s="172">
        <v>-7.7889353633509004E-8</v>
      </c>
      <c r="J95" s="172">
        <v>3.7507196520891701E-4</v>
      </c>
      <c r="K95" s="172">
        <v>98793927.887938201</v>
      </c>
      <c r="L95" s="172">
        <v>-74800972.852925897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-6.9593170337611799E-7</v>
      </c>
      <c r="H96" s="172">
        <v>-197161.61658226801</v>
      </c>
      <c r="I96" s="172">
        <v>-5273.38552334626</v>
      </c>
      <c r="J96" s="172">
        <v>3293963.1779545899</v>
      </c>
      <c r="K96" s="172">
        <v>91279.805749080799</v>
      </c>
      <c r="L96" s="172">
        <v>-3404900.5041053202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-6.8952613219153104E-7</v>
      </c>
      <c r="H97" s="172">
        <v>-197161.616582263</v>
      </c>
      <c r="I97" s="172">
        <v>-5273.38552330736</v>
      </c>
      <c r="J97" s="172">
        <v>3293963.1779552898</v>
      </c>
      <c r="K97" s="172">
        <v>109736.655080838</v>
      </c>
      <c r="L97" s="172">
        <v>-4094966.1621433799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-5.7080978876911104E-7</v>
      </c>
      <c r="H98" s="172">
        <v>-197161.61658425</v>
      </c>
      <c r="I98" s="172">
        <v>-5273.3855262627103</v>
      </c>
      <c r="J98" s="172">
        <v>2688323.53121797</v>
      </c>
      <c r="K98" s="172">
        <v>91279.805837661494</v>
      </c>
      <c r="L98" s="172">
        <v>-3404900.5041527399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-5.6361750466749104E-7</v>
      </c>
      <c r="H99" s="172">
        <v>-197161.61658424401</v>
      </c>
      <c r="I99" s="172">
        <v>-5273.3855262526004</v>
      </c>
      <c r="J99" s="172">
        <v>2688323.5312180901</v>
      </c>
      <c r="K99" s="172">
        <v>109736.655179678</v>
      </c>
      <c r="L99" s="172">
        <v>-4094966.1621977501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-3.2720481613068799E-7</v>
      </c>
      <c r="H100" s="172">
        <v>-6042.8598861421797</v>
      </c>
      <c r="I100" s="172">
        <v>-197192.98442146499</v>
      </c>
      <c r="J100" s="172">
        <v>-2489255.11758831</v>
      </c>
      <c r="K100" s="172">
        <v>3385759.0949769202</v>
      </c>
      <c r="L100" s="172">
        <v>-104588.95169085301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-3.2291791285388198E-7</v>
      </c>
      <c r="H101" s="172">
        <v>-6042.8598861390901</v>
      </c>
      <c r="I101" s="172">
        <v>-197192.98442168799</v>
      </c>
      <c r="J101" s="172">
        <v>-2489255.1175928498</v>
      </c>
      <c r="K101" s="172">
        <v>4075934.5404524198</v>
      </c>
      <c r="L101" s="172">
        <v>-125738.96129243101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-4.18168269789021E-7</v>
      </c>
      <c r="H102" s="172">
        <v>-6042.8598846995401</v>
      </c>
      <c r="I102" s="172">
        <v>-197192.984419343</v>
      </c>
      <c r="J102" s="172">
        <v>-2046657.3637178</v>
      </c>
      <c r="K102" s="172">
        <v>3385759.09491242</v>
      </c>
      <c r="L102" s="172">
        <v>-104588.951656316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-4.1462885747023398E-7</v>
      </c>
      <c r="H103" s="172">
        <v>-6042.8598846968498</v>
      </c>
      <c r="I103" s="172">
        <v>-197192.984419546</v>
      </c>
      <c r="J103" s="172">
        <v>-2046657.36372193</v>
      </c>
      <c r="K103" s="172">
        <v>4075934.54038045</v>
      </c>
      <c r="L103" s="172">
        <v>-125738.961252831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7067869.8199345898</v>
      </c>
      <c r="H104" s="172">
        <v>-2.4722987689074199E-5</v>
      </c>
      <c r="I104" s="172">
        <v>-1.11355348053621E-7</v>
      </c>
      <c r="J104" s="172">
        <v>3.8068417006797999E-4</v>
      </c>
      <c r="K104" s="172">
        <v>109486694.12333199</v>
      </c>
      <c r="L104" s="172">
        <v>-82675228.390734196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7181319.4213323696</v>
      </c>
      <c r="H105" s="172">
        <v>-2.472274337606E-5</v>
      </c>
      <c r="I105" s="172">
        <v>-1.42337171382678E-7</v>
      </c>
      <c r="J105" s="172">
        <v>3.8005465466994798E-4</v>
      </c>
      <c r="K105" s="172">
        <v>111243853.538929</v>
      </c>
      <c r="L105" s="172">
        <v>-84200700.856439799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-7.48255843063816E-7</v>
      </c>
      <c r="H106" s="172">
        <v>-203002.599274273</v>
      </c>
      <c r="I106" s="172">
        <v>-5401.5525934362304</v>
      </c>
      <c r="J106" s="172">
        <v>3392063.8423871999</v>
      </c>
      <c r="K106" s="172">
        <v>109736.65508</v>
      </c>
      <c r="L106" s="172">
        <v>-4094966.1621421799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-7.4898707680404197E-7</v>
      </c>
      <c r="H107" s="172">
        <v>-203002.59927427</v>
      </c>
      <c r="I107" s="172">
        <v>-5401.5525934105799</v>
      </c>
      <c r="J107" s="172">
        <v>3392063.84238768</v>
      </c>
      <c r="K107" s="172">
        <v>131342.86545368601</v>
      </c>
      <c r="L107" s="172">
        <v>-4906976.5592392497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-6.2274011725094201E-7</v>
      </c>
      <c r="H108" s="172">
        <v>-203002.59927626999</v>
      </c>
      <c r="I108" s="172">
        <v>-5401.5525965070401</v>
      </c>
      <c r="J108" s="172">
        <v>2768326.2927234401</v>
      </c>
      <c r="K108" s="172">
        <v>109736.655178813</v>
      </c>
      <c r="L108" s="172">
        <v>-4094966.1621965398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-6.2316212279256401E-7</v>
      </c>
      <c r="H109" s="172">
        <v>-203002.59927626699</v>
      </c>
      <c r="I109" s="172">
        <v>-5401.5525964907001</v>
      </c>
      <c r="J109" s="172">
        <v>2768326.29272372</v>
      </c>
      <c r="K109" s="172">
        <v>131342.86556480499</v>
      </c>
      <c r="L109" s="172">
        <v>-4906976.5593016101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-3.1697561553301099E-7</v>
      </c>
      <c r="H110" s="172">
        <v>-6193.3500553231097</v>
      </c>
      <c r="I110" s="172">
        <v>-203002.60056013599</v>
      </c>
      <c r="J110" s="172">
        <v>-2562668.2048108699</v>
      </c>
      <c r="K110" s="172">
        <v>4075934.5404523402</v>
      </c>
      <c r="L110" s="172">
        <v>-125738.9612926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-3.1448553272639401E-7</v>
      </c>
      <c r="H111" s="172">
        <v>-6193.3500553212998</v>
      </c>
      <c r="I111" s="172">
        <v>-203002.60056020101</v>
      </c>
      <c r="J111" s="172">
        <v>-2562668.2048122301</v>
      </c>
      <c r="K111" s="172">
        <v>4887944.9426930398</v>
      </c>
      <c r="L111" s="172">
        <v>-150512.36151394001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-4.0828373926160598E-7</v>
      </c>
      <c r="H112" s="172">
        <v>-6193.3500538683602</v>
      </c>
      <c r="I112" s="172">
        <v>-203002.600557903</v>
      </c>
      <c r="J112" s="172">
        <v>-2106891.8970512501</v>
      </c>
      <c r="K112" s="172">
        <v>4075934.5403803899</v>
      </c>
      <c r="L112" s="172">
        <v>-125738.961253013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-4.0598388295620701E-7</v>
      </c>
      <c r="H113" s="172">
        <v>-6193.3500538667904</v>
      </c>
      <c r="I113" s="172">
        <v>-203002.60055796101</v>
      </c>
      <c r="J113" s="172">
        <v>-2106891.8970524599</v>
      </c>
      <c r="K113" s="172">
        <v>4887944.9426121498</v>
      </c>
      <c r="L113" s="172">
        <v>-150512.36146853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8087424.2000822602</v>
      </c>
      <c r="H114" s="172">
        <v>-2.4746809685893799E-5</v>
      </c>
      <c r="I114" s="172">
        <v>-2.02359274226183E-7</v>
      </c>
      <c r="J114" s="172">
        <v>3.79438874006155E-4</v>
      </c>
      <c r="K114" s="172">
        <v>125290694.77431799</v>
      </c>
      <c r="L114" s="172">
        <v>-94499877.019245699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8214980.9656904396</v>
      </c>
      <c r="H115" s="172">
        <v>-2.4746319780888401E-5</v>
      </c>
      <c r="I115" s="172">
        <v>-2.2552490008820301E-7</v>
      </c>
      <c r="J115" s="172">
        <v>3.7896372896284398E-4</v>
      </c>
      <c r="K115" s="172">
        <v>127266767.306651</v>
      </c>
      <c r="L115" s="172">
        <v>-96198251.7289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8" workbookViewId="0">
      <selection activeCell="B435" sqref="B435:G445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2.8181769779159899E-2</v>
      </c>
      <c r="F6" s="172">
        <v>2.7524896838525902E-2</v>
      </c>
      <c r="G6" s="172">
        <v>1.02386468310808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3.0252851101232301E-2</v>
      </c>
      <c r="F7" s="172">
        <v>2.65806284162751E-2</v>
      </c>
      <c r="G7" s="172">
        <v>1.1381540958117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2.8989960259704999E-2</v>
      </c>
      <c r="F8" s="172">
        <v>2.54448311858958E-2</v>
      </c>
      <c r="G8" s="172">
        <v>1.13932609919512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2.70633101750988E-2</v>
      </c>
      <c r="F9" s="172">
        <v>2.3736911765767699E-2</v>
      </c>
      <c r="G9" s="172">
        <v>1.1401361070958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2.4528424072473999E-2</v>
      </c>
      <c r="F10" s="172">
        <v>2.1507228106156101E-2</v>
      </c>
      <c r="G10" s="172">
        <v>1.14047351668964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2.1486111643268298E-2</v>
      </c>
      <c r="F11" s="172">
        <v>1.88431251068009E-2</v>
      </c>
      <c r="G11" s="172">
        <v>1.1402626433506799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1.8051824578351E-2</v>
      </c>
      <c r="F12" s="172">
        <v>1.58421440319686E-2</v>
      </c>
      <c r="G12" s="172">
        <v>1.1394811549449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1.44578609655706E-2</v>
      </c>
      <c r="F13" s="172">
        <v>1.26864807957884E-2</v>
      </c>
      <c r="G13" s="172">
        <v>1.13962738747614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1.07904321519124E-2</v>
      </c>
      <c r="F14" s="172">
        <v>9.4493686558051199E-3</v>
      </c>
      <c r="G14" s="172">
        <v>1.1419209626543001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6.9911998809843497E-3</v>
      </c>
      <c r="F15" s="172">
        <v>6.1013486744376797E-3</v>
      </c>
      <c r="G15" s="172">
        <v>1.1458450014952899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3.1944200008233799E-3</v>
      </c>
      <c r="F16" s="172">
        <v>2.76870514650454E-3</v>
      </c>
      <c r="G16" s="172">
        <v>1.1537595488838199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2.84931662274602E-2</v>
      </c>
      <c r="F17" s="172">
        <v>2.7968311304597301E-2</v>
      </c>
      <c r="G17" s="172">
        <v>1.0187660569544901</v>
      </c>
    </row>
    <row r="18" spans="2:7" hidden="1" x14ac:dyDescent="0.3">
      <c r="B18" s="172" t="s">
        <v>187</v>
      </c>
      <c r="C18" s="172" t="s">
        <v>80</v>
      </c>
      <c r="D18" s="172" t="s">
        <v>218</v>
      </c>
      <c r="E18" s="172">
        <v>3.0083355370770299E-2</v>
      </c>
      <c r="F18" s="172">
        <v>2.6571961184337901E-2</v>
      </c>
      <c r="G18" s="172">
        <v>1.1321465947535001</v>
      </c>
    </row>
    <row r="19" spans="2:7" hidden="1" x14ac:dyDescent="0.3">
      <c r="B19" s="172" t="s">
        <v>185</v>
      </c>
      <c r="C19" s="172" t="s">
        <v>80</v>
      </c>
      <c r="D19" s="172" t="s">
        <v>218</v>
      </c>
      <c r="E19" s="172">
        <v>2.88212327445206E-2</v>
      </c>
      <c r="F19" s="172">
        <v>2.5438495782059398E-2</v>
      </c>
      <c r="G19" s="172">
        <v>1.1329770828999599</v>
      </c>
    </row>
    <row r="20" spans="2:7" hidden="1" x14ac:dyDescent="0.3">
      <c r="B20" s="172" t="s">
        <v>183</v>
      </c>
      <c r="C20" s="172" t="s">
        <v>80</v>
      </c>
      <c r="D20" s="172" t="s">
        <v>218</v>
      </c>
      <c r="E20" s="172">
        <v>2.6900298396568999E-2</v>
      </c>
      <c r="F20" s="172">
        <v>2.3732917149454701E-2</v>
      </c>
      <c r="G20" s="172">
        <v>1.1334594153415001</v>
      </c>
    </row>
    <row r="21" spans="2:7" hidden="1" x14ac:dyDescent="0.3">
      <c r="B21" s="172" t="s">
        <v>181</v>
      </c>
      <c r="C21" s="172" t="s">
        <v>80</v>
      </c>
      <c r="D21" s="172" t="s">
        <v>218</v>
      </c>
      <c r="E21" s="172">
        <v>2.4378027154899101E-2</v>
      </c>
      <c r="F21" s="172">
        <v>2.1505314290425799E-2</v>
      </c>
      <c r="G21" s="172">
        <v>1.13358153364688</v>
      </c>
    </row>
    <row r="22" spans="2:7" hidden="1" x14ac:dyDescent="0.3">
      <c r="B22" s="172" t="s">
        <v>179</v>
      </c>
      <c r="C22" s="172" t="s">
        <v>80</v>
      </c>
      <c r="D22" s="172" t="s">
        <v>218</v>
      </c>
      <c r="E22" s="172">
        <v>2.1355491383484099E-2</v>
      </c>
      <c r="F22" s="172">
        <v>1.8842974514659602E-2</v>
      </c>
      <c r="G22" s="172">
        <v>1.1333397159174501</v>
      </c>
    </row>
    <row r="23" spans="2:7" hidden="1" x14ac:dyDescent="0.3">
      <c r="B23" s="172" t="s">
        <v>39</v>
      </c>
      <c r="C23" s="172" t="s">
        <v>80</v>
      </c>
      <c r="D23" s="172" t="s">
        <v>218</v>
      </c>
      <c r="E23" s="172">
        <v>1.7946937939637801E-2</v>
      </c>
      <c r="F23" s="172">
        <v>1.58433202045445E-2</v>
      </c>
      <c r="G23" s="172">
        <v>1.13277631884823</v>
      </c>
    </row>
    <row r="24" spans="2:7" hidden="1" x14ac:dyDescent="0.3">
      <c r="B24" s="172" t="s">
        <v>26</v>
      </c>
      <c r="C24" s="172" t="s">
        <v>80</v>
      </c>
      <c r="D24" s="172" t="s">
        <v>218</v>
      </c>
      <c r="E24" s="172">
        <v>1.43777869929432E-2</v>
      </c>
      <c r="F24" s="172">
        <v>1.26883719955675E-2</v>
      </c>
      <c r="G24" s="172">
        <v>1.1331467108598201</v>
      </c>
    </row>
    <row r="25" spans="2:7" hidden="1" x14ac:dyDescent="0.3">
      <c r="B25" s="172" t="s">
        <v>25</v>
      </c>
      <c r="C25" s="172" t="s">
        <v>80</v>
      </c>
      <c r="D25" s="172" t="s">
        <v>218</v>
      </c>
      <c r="E25" s="172">
        <v>1.07283563823754E-2</v>
      </c>
      <c r="F25" s="172">
        <v>9.4512866164701507E-3</v>
      </c>
      <c r="G25" s="172">
        <v>1.1351212610227901</v>
      </c>
    </row>
    <row r="26" spans="2:7" hidden="1" x14ac:dyDescent="0.3">
      <c r="B26" s="172" t="s">
        <v>24</v>
      </c>
      <c r="C26" s="172" t="s">
        <v>80</v>
      </c>
      <c r="D26" s="172" t="s">
        <v>218</v>
      </c>
      <c r="E26" s="172">
        <v>6.9468567521370301E-3</v>
      </c>
      <c r="F26" s="172">
        <v>6.1026966439601798E-3</v>
      </c>
      <c r="G26" s="172">
        <v>1.13832575292962</v>
      </c>
    </row>
    <row r="27" spans="2:7" hidden="1" x14ac:dyDescent="0.3">
      <c r="B27" s="172" t="s">
        <v>22</v>
      </c>
      <c r="C27" s="172" t="s">
        <v>80</v>
      </c>
      <c r="D27" s="172" t="s">
        <v>218</v>
      </c>
      <c r="E27" s="172">
        <v>3.1688132782229199E-3</v>
      </c>
      <c r="F27" s="172">
        <v>2.7690560409918902E-3</v>
      </c>
      <c r="G27" s="172">
        <v>1.1443658890658801</v>
      </c>
    </row>
    <row r="28" spans="2:7" hidden="1" x14ac:dyDescent="0.3">
      <c r="B28" s="172" t="s">
        <v>189</v>
      </c>
      <c r="C28" s="172" t="s">
        <v>81</v>
      </c>
      <c r="D28" s="172" t="s">
        <v>221</v>
      </c>
      <c r="E28" s="172">
        <v>2.6683236951403899E-2</v>
      </c>
      <c r="F28" s="172">
        <v>2.6542541863420002E-2</v>
      </c>
      <c r="G28" s="172">
        <v>1.00530073904405</v>
      </c>
    </row>
    <row r="29" spans="2:7" hidden="1" x14ac:dyDescent="0.3">
      <c r="B29" s="172" t="s">
        <v>187</v>
      </c>
      <c r="C29" s="172" t="s">
        <v>81</v>
      </c>
      <c r="D29" s="172" t="s">
        <v>221</v>
      </c>
      <c r="E29" s="172">
        <v>2.70723243050549E-2</v>
      </c>
      <c r="F29" s="172">
        <v>2.63322748290305E-2</v>
      </c>
      <c r="G29" s="172">
        <v>1.02810427434885</v>
      </c>
    </row>
    <row r="30" spans="2:7" hidden="1" x14ac:dyDescent="0.3">
      <c r="B30" s="172" t="s">
        <v>185</v>
      </c>
      <c r="C30" s="172" t="s">
        <v>81</v>
      </c>
      <c r="D30" s="172" t="s">
        <v>221</v>
      </c>
      <c r="E30" s="172">
        <v>2.6118509213504702E-2</v>
      </c>
      <c r="F30" s="172">
        <v>2.5352923980460101E-2</v>
      </c>
      <c r="G30" s="172">
        <v>1.0301971178407101</v>
      </c>
    </row>
    <row r="31" spans="2:7" hidden="1" x14ac:dyDescent="0.3">
      <c r="B31" s="172" t="s">
        <v>183</v>
      </c>
      <c r="C31" s="172" t="s">
        <v>81</v>
      </c>
      <c r="D31" s="172" t="s">
        <v>221</v>
      </c>
      <c r="E31" s="172">
        <v>2.45442850382541E-2</v>
      </c>
      <c r="F31" s="172">
        <v>2.3783847655746499E-2</v>
      </c>
      <c r="G31" s="172">
        <v>1.03197284953698</v>
      </c>
    </row>
    <row r="32" spans="2:7" hidden="1" x14ac:dyDescent="0.3">
      <c r="B32" s="172" t="s">
        <v>181</v>
      </c>
      <c r="C32" s="172" t="s">
        <v>81</v>
      </c>
      <c r="D32" s="172" t="s">
        <v>221</v>
      </c>
      <c r="E32" s="172">
        <v>2.23744057389412E-2</v>
      </c>
      <c r="F32" s="172">
        <v>2.1664589282332301E-2</v>
      </c>
      <c r="G32" s="172">
        <v>1.0327639009149301</v>
      </c>
    </row>
    <row r="33" spans="2:7" hidden="1" x14ac:dyDescent="0.3">
      <c r="B33" s="172" t="s">
        <v>179</v>
      </c>
      <c r="C33" s="172" t="s">
        <v>81</v>
      </c>
      <c r="D33" s="172" t="s">
        <v>221</v>
      </c>
      <c r="E33" s="172">
        <v>1.96957378413594E-2</v>
      </c>
      <c r="F33" s="172">
        <v>1.9078861933987001E-2</v>
      </c>
      <c r="G33" s="172">
        <v>1.03233295096462</v>
      </c>
    </row>
    <row r="34" spans="2:7" hidden="1" x14ac:dyDescent="0.3">
      <c r="B34" s="172" t="s">
        <v>39</v>
      </c>
      <c r="C34" s="172" t="s">
        <v>81</v>
      </c>
      <c r="D34" s="172" t="s">
        <v>221</v>
      </c>
      <c r="E34" s="172">
        <v>1.6616860689832098E-2</v>
      </c>
      <c r="F34" s="172">
        <v>1.61240837466812E-2</v>
      </c>
      <c r="G34" s="172">
        <v>1.0305615469934699</v>
      </c>
    </row>
    <row r="35" spans="2:7" hidden="1" x14ac:dyDescent="0.3">
      <c r="B35" s="172" t="s">
        <v>26</v>
      </c>
      <c r="C35" s="172" t="s">
        <v>81</v>
      </c>
      <c r="D35" s="172" t="s">
        <v>221</v>
      </c>
      <c r="E35" s="172">
        <v>1.3348637096167701E-2</v>
      </c>
      <c r="F35" s="172">
        <v>1.2981078168064E-2</v>
      </c>
      <c r="G35" s="172">
        <v>1.02831497687211</v>
      </c>
    </row>
    <row r="36" spans="2:7" hidden="1" x14ac:dyDescent="0.3">
      <c r="B36" s="172" t="s">
        <v>25</v>
      </c>
      <c r="C36" s="172" t="s">
        <v>81</v>
      </c>
      <c r="D36" s="172" t="s">
        <v>221</v>
      </c>
      <c r="E36" s="172">
        <v>9.9652703766092299E-3</v>
      </c>
      <c r="F36" s="172">
        <v>9.7181778547443306E-3</v>
      </c>
      <c r="G36" s="172">
        <v>1.0254258077551299</v>
      </c>
    </row>
    <row r="37" spans="2:7" hidden="1" x14ac:dyDescent="0.3">
      <c r="B37" s="172" t="s">
        <v>24</v>
      </c>
      <c r="C37" s="172" t="s">
        <v>81</v>
      </c>
      <c r="D37" s="172" t="s">
        <v>221</v>
      </c>
      <c r="E37" s="172">
        <v>6.4180179994271797E-3</v>
      </c>
      <c r="F37" s="172">
        <v>6.3041807557675704E-3</v>
      </c>
      <c r="G37" s="172">
        <v>1.0180574206339901</v>
      </c>
    </row>
    <row r="38" spans="2:7" hidden="1" x14ac:dyDescent="0.3">
      <c r="B38" s="172" t="s">
        <v>22</v>
      </c>
      <c r="C38" s="172" t="s">
        <v>81</v>
      </c>
      <c r="D38" s="172" t="s">
        <v>221</v>
      </c>
      <c r="E38" s="172">
        <v>2.8678069080754699E-3</v>
      </c>
      <c r="F38" s="172">
        <v>2.8627893711388398E-3</v>
      </c>
      <c r="G38" s="172">
        <v>1.00175267415312</v>
      </c>
    </row>
    <row r="39" spans="2:7" hidden="1" x14ac:dyDescent="0.3">
      <c r="B39" s="172" t="s">
        <v>189</v>
      </c>
      <c r="C39" s="172" t="s">
        <v>82</v>
      </c>
      <c r="D39" s="172" t="s">
        <v>221</v>
      </c>
      <c r="E39" s="172">
        <v>2.4805431054938001E-2</v>
      </c>
      <c r="F39" s="172">
        <v>2.3977979972362101E-2</v>
      </c>
      <c r="G39" s="172">
        <v>1.0345087902954999</v>
      </c>
    </row>
    <row r="40" spans="2:7" hidden="1" x14ac:dyDescent="0.3">
      <c r="B40" s="172" t="s">
        <v>187</v>
      </c>
      <c r="C40" s="172" t="s">
        <v>82</v>
      </c>
      <c r="D40" s="172" t="s">
        <v>221</v>
      </c>
      <c r="E40" s="172">
        <v>3.1646785271496003E-2</v>
      </c>
      <c r="F40" s="172">
        <v>2.7028714876058901E-2</v>
      </c>
      <c r="G40" s="172">
        <v>1.1708579344823999</v>
      </c>
    </row>
    <row r="41" spans="2:7" hidden="1" x14ac:dyDescent="0.3">
      <c r="B41" s="172" t="s">
        <v>185</v>
      </c>
      <c r="C41" s="172" t="s">
        <v>82</v>
      </c>
      <c r="D41" s="172" t="s">
        <v>221</v>
      </c>
      <c r="E41" s="172">
        <v>3.0539644185369801E-2</v>
      </c>
      <c r="F41" s="172">
        <v>2.60321020249887E-2</v>
      </c>
      <c r="G41" s="172">
        <v>1.1731532150594</v>
      </c>
    </row>
    <row r="42" spans="2:7" hidden="1" x14ac:dyDescent="0.3">
      <c r="B42" s="172" t="s">
        <v>183</v>
      </c>
      <c r="C42" s="172" t="s">
        <v>82</v>
      </c>
      <c r="D42" s="172" t="s">
        <v>221</v>
      </c>
      <c r="E42" s="172">
        <v>2.86976879901077E-2</v>
      </c>
      <c r="F42" s="172">
        <v>2.4426902090669202E-2</v>
      </c>
      <c r="G42" s="172">
        <v>1.17483944069477</v>
      </c>
    </row>
    <row r="43" spans="2:7" hidden="1" x14ac:dyDescent="0.3">
      <c r="B43" s="172" t="s">
        <v>181</v>
      </c>
      <c r="C43" s="172" t="s">
        <v>82</v>
      </c>
      <c r="D43" s="172" t="s">
        <v>221</v>
      </c>
      <c r="E43" s="172">
        <v>2.61494182480131E-2</v>
      </c>
      <c r="F43" s="172">
        <v>2.2250697674230099E-2</v>
      </c>
      <c r="G43" s="172">
        <v>1.1752179024165299</v>
      </c>
    </row>
    <row r="44" spans="2:7" hidden="1" x14ac:dyDescent="0.3">
      <c r="B44" s="172" t="s">
        <v>179</v>
      </c>
      <c r="C44" s="172" t="s">
        <v>82</v>
      </c>
      <c r="D44" s="172" t="s">
        <v>221</v>
      </c>
      <c r="E44" s="172">
        <v>2.29983144757697E-2</v>
      </c>
      <c r="F44" s="172">
        <v>1.9589827527593098E-2</v>
      </c>
      <c r="G44" s="172">
        <v>1.17399269816825</v>
      </c>
    </row>
    <row r="45" spans="2:7" hidden="1" x14ac:dyDescent="0.3">
      <c r="B45" s="172" t="s">
        <v>39</v>
      </c>
      <c r="C45" s="172" t="s">
        <v>82</v>
      </c>
      <c r="D45" s="172" t="s">
        <v>221</v>
      </c>
      <c r="E45" s="172">
        <v>1.93770138806557E-2</v>
      </c>
      <c r="F45" s="172">
        <v>1.6547215034471902E-2</v>
      </c>
      <c r="G45" s="172">
        <v>1.1710136020042501</v>
      </c>
    </row>
    <row r="46" spans="2:7" hidden="1" x14ac:dyDescent="0.3">
      <c r="B46" s="172" t="s">
        <v>26</v>
      </c>
      <c r="C46" s="172" t="s">
        <v>82</v>
      </c>
      <c r="D46" s="172" t="s">
        <v>221</v>
      </c>
      <c r="E46" s="172">
        <v>1.55583329974861E-2</v>
      </c>
      <c r="F46" s="172">
        <v>1.3314914150836601E-2</v>
      </c>
      <c r="G46" s="172">
        <v>1.16848917095786</v>
      </c>
    </row>
    <row r="47" spans="2:7" hidden="1" x14ac:dyDescent="0.3">
      <c r="B47" s="172" t="s">
        <v>25</v>
      </c>
      <c r="C47" s="172" t="s">
        <v>82</v>
      </c>
      <c r="D47" s="172" t="s">
        <v>221</v>
      </c>
      <c r="E47" s="172">
        <v>1.1630338530036701E-2</v>
      </c>
      <c r="F47" s="172">
        <v>9.9639007614646807E-3</v>
      </c>
      <c r="G47" s="172">
        <v>1.1672475276968799</v>
      </c>
    </row>
    <row r="48" spans="2:7" hidden="1" x14ac:dyDescent="0.3">
      <c r="B48" s="172" t="s">
        <v>24</v>
      </c>
      <c r="C48" s="172" t="s">
        <v>82</v>
      </c>
      <c r="D48" s="172" t="s">
        <v>221</v>
      </c>
      <c r="E48" s="172">
        <v>7.5110764127383203E-3</v>
      </c>
      <c r="F48" s="172">
        <v>6.4571617252189998E-3</v>
      </c>
      <c r="G48" s="172">
        <v>1.16321639945971</v>
      </c>
    </row>
    <row r="49" spans="2:7" hidden="1" x14ac:dyDescent="0.3">
      <c r="B49" s="172" t="s">
        <v>22</v>
      </c>
      <c r="C49" s="172" t="s">
        <v>82</v>
      </c>
      <c r="D49" s="172" t="s">
        <v>221</v>
      </c>
      <c r="E49" s="172">
        <v>3.3664415005512801E-3</v>
      </c>
      <c r="F49" s="172">
        <v>2.92394017111758E-3</v>
      </c>
      <c r="G49" s="172">
        <v>1.1513373405532299</v>
      </c>
    </row>
    <row r="50" spans="2:7" hidden="1" x14ac:dyDescent="0.3">
      <c r="B50" s="172" t="s">
        <v>189</v>
      </c>
      <c r="C50" s="172" t="s">
        <v>246</v>
      </c>
      <c r="D50" s="172" t="s">
        <v>218</v>
      </c>
      <c r="E50" s="172">
        <v>1.3314579500335699E-3</v>
      </c>
      <c r="F50" s="172">
        <v>1.3046363044076901E-3</v>
      </c>
      <c r="G50" s="172">
        <v>1.0205587147431601</v>
      </c>
    </row>
    <row r="51" spans="2:7" hidden="1" x14ac:dyDescent="0.3">
      <c r="B51" s="172" t="s">
        <v>189</v>
      </c>
      <c r="C51" s="172" t="s">
        <v>246</v>
      </c>
      <c r="D51" s="172" t="s">
        <v>221</v>
      </c>
      <c r="E51" s="172">
        <v>3.54894409128432E-4</v>
      </c>
      <c r="F51" s="172">
        <v>3.3343709262772202E-4</v>
      </c>
      <c r="G51" s="172">
        <v>1.0643519181732599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7.7513083031059704E-4</v>
      </c>
      <c r="F52" s="172">
        <v>7.6813637192495697E-4</v>
      </c>
      <c r="G52" s="172">
        <v>1.00910575080322</v>
      </c>
    </row>
    <row r="53" spans="2:7" hidden="1" x14ac:dyDescent="0.3">
      <c r="B53" s="172" t="s">
        <v>185</v>
      </c>
      <c r="C53" s="172" t="s">
        <v>246</v>
      </c>
      <c r="D53" s="172" t="s">
        <v>218</v>
      </c>
      <c r="E53" s="172">
        <v>6.9232908005680699E-4</v>
      </c>
      <c r="F53" s="172">
        <v>6.6448751426080805E-4</v>
      </c>
      <c r="G53" s="172">
        <v>1.0418993061547099</v>
      </c>
    </row>
    <row r="54" spans="2:7" hidden="1" x14ac:dyDescent="0.3">
      <c r="B54" s="172" t="s">
        <v>183</v>
      </c>
      <c r="C54" s="172" t="s">
        <v>246</v>
      </c>
      <c r="D54" s="172" t="s">
        <v>218</v>
      </c>
      <c r="E54" s="172">
        <v>6.0548316409864502E-4</v>
      </c>
      <c r="F54" s="172">
        <v>5.5127080892107701E-4</v>
      </c>
      <c r="G54" s="172">
        <v>1.09834069626083</v>
      </c>
    </row>
    <row r="55" spans="2:7" hidden="1" x14ac:dyDescent="0.3">
      <c r="B55" s="172" t="s">
        <v>181</v>
      </c>
      <c r="C55" s="172" t="s">
        <v>246</v>
      </c>
      <c r="D55" s="172" t="s">
        <v>218</v>
      </c>
      <c r="E55" s="172">
        <v>5.1917968314519995E-4</v>
      </c>
      <c r="F55" s="172">
        <v>4.4179545776537501E-4</v>
      </c>
      <c r="G55" s="172">
        <v>1.17515849024623</v>
      </c>
    </row>
    <row r="56" spans="2:7" hidden="1" x14ac:dyDescent="0.3">
      <c r="B56" s="172" t="s">
        <v>181</v>
      </c>
      <c r="C56" s="172" t="s">
        <v>246</v>
      </c>
      <c r="D56" s="172" t="s">
        <v>221</v>
      </c>
      <c r="E56" s="172">
        <v>1.44689874910682E-4</v>
      </c>
      <c r="F56" s="172">
        <v>8.7275772209521798E-5</v>
      </c>
      <c r="G56" s="172">
        <v>1.6578469745684701</v>
      </c>
    </row>
    <row r="57" spans="2:7" hidden="1" x14ac:dyDescent="0.3">
      <c r="B57" s="172" t="s">
        <v>179</v>
      </c>
      <c r="C57" s="172" t="s">
        <v>246</v>
      </c>
      <c r="D57" s="172" t="s">
        <v>218</v>
      </c>
      <c r="E57" s="172">
        <v>4.3515113950441799E-4</v>
      </c>
      <c r="F57" s="172">
        <v>3.3906800744063701E-4</v>
      </c>
      <c r="G57" s="172">
        <v>1.28337421978864</v>
      </c>
    </row>
    <row r="58" spans="2:7" hidden="1" x14ac:dyDescent="0.3">
      <c r="B58" s="172" t="s">
        <v>179</v>
      </c>
      <c r="C58" s="172" t="s">
        <v>246</v>
      </c>
      <c r="D58" s="172" t="s">
        <v>221</v>
      </c>
      <c r="E58" s="172">
        <v>1.94269013843227E-4</v>
      </c>
      <c r="F58" s="172">
        <v>1.22981528763648E-4</v>
      </c>
      <c r="G58" s="172">
        <v>1.57966009852246</v>
      </c>
    </row>
    <row r="59" spans="2:7" hidden="1" x14ac:dyDescent="0.3">
      <c r="B59" s="172" t="s">
        <v>39</v>
      </c>
      <c r="C59" s="172" t="s">
        <v>246</v>
      </c>
      <c r="D59" s="172" t="s">
        <v>218</v>
      </c>
      <c r="E59" s="172">
        <v>3.5396467743057801E-4</v>
      </c>
      <c r="F59" s="172">
        <v>2.4521563054747699E-4</v>
      </c>
      <c r="G59" s="172">
        <v>1.4434833401129601</v>
      </c>
    </row>
    <row r="60" spans="2:7" hidden="1" x14ac:dyDescent="0.3">
      <c r="B60" s="172" t="s">
        <v>39</v>
      </c>
      <c r="C60" s="172" t="s">
        <v>246</v>
      </c>
      <c r="D60" s="172" t="s">
        <v>221</v>
      </c>
      <c r="E60" s="172">
        <v>2.2840549383907401E-4</v>
      </c>
      <c r="F60" s="172">
        <v>1.47720717119354E-4</v>
      </c>
      <c r="G60" s="172">
        <v>1.5461981114979899</v>
      </c>
    </row>
    <row r="61" spans="2:7" hidden="1" x14ac:dyDescent="0.3">
      <c r="B61" s="172" t="s">
        <v>26</v>
      </c>
      <c r="C61" s="172" t="s">
        <v>246</v>
      </c>
      <c r="D61" s="172" t="s">
        <v>218</v>
      </c>
      <c r="E61" s="172">
        <v>2.75481349023549E-4</v>
      </c>
      <c r="F61" s="172">
        <v>1.63791174113461E-4</v>
      </c>
      <c r="G61" s="172">
        <v>1.6819059422134599</v>
      </c>
    </row>
    <row r="62" spans="2:7" hidden="1" x14ac:dyDescent="0.3">
      <c r="B62" s="172" t="s">
        <v>26</v>
      </c>
      <c r="C62" s="172" t="s">
        <v>246</v>
      </c>
      <c r="D62" s="172" t="s">
        <v>221</v>
      </c>
      <c r="E62" s="172">
        <v>2.3949233440803799E-4</v>
      </c>
      <c r="F62" s="172">
        <v>1.5662543044248799E-4</v>
      </c>
      <c r="G62" s="172">
        <v>1.52907694319779</v>
      </c>
    </row>
    <row r="63" spans="2:7" hidden="1" x14ac:dyDescent="0.3">
      <c r="B63" s="172" t="s">
        <v>25</v>
      </c>
      <c r="C63" s="172" t="s">
        <v>246</v>
      </c>
      <c r="D63" s="172" t="s">
        <v>218</v>
      </c>
      <c r="E63" s="172">
        <v>1.9670227727304799E-4</v>
      </c>
      <c r="F63" s="172">
        <v>9.4953099180040005E-5</v>
      </c>
      <c r="G63" s="172">
        <v>2.0715730078497199</v>
      </c>
    </row>
    <row r="64" spans="2:7" hidden="1" x14ac:dyDescent="0.3">
      <c r="B64" s="172" t="s">
        <v>25</v>
      </c>
      <c r="C64" s="172" t="s">
        <v>246</v>
      </c>
      <c r="D64" s="172" t="s">
        <v>221</v>
      </c>
      <c r="E64" s="172">
        <v>2.2094346071300201E-4</v>
      </c>
      <c r="F64" s="172">
        <v>1.4545213503109301E-4</v>
      </c>
      <c r="G64" s="172">
        <v>1.5190114649452999</v>
      </c>
    </row>
    <row r="65" spans="2:7" hidden="1" x14ac:dyDescent="0.3">
      <c r="B65" s="172" t="s">
        <v>24</v>
      </c>
      <c r="C65" s="172" t="s">
        <v>246</v>
      </c>
      <c r="D65" s="172" t="s">
        <v>218</v>
      </c>
      <c r="E65" s="172">
        <v>1.22992370540492E-4</v>
      </c>
      <c r="F65" s="172">
        <v>3.9907048577058198E-5</v>
      </c>
      <c r="G65" s="172">
        <v>3.0819711035006998</v>
      </c>
    </row>
    <row r="66" spans="2:7" hidden="1" x14ac:dyDescent="0.3">
      <c r="B66" s="172" t="s">
        <v>24</v>
      </c>
      <c r="C66" s="172" t="s">
        <v>246</v>
      </c>
      <c r="D66" s="172" t="s">
        <v>221</v>
      </c>
      <c r="E66" s="172">
        <v>1.7901593996571101E-4</v>
      </c>
      <c r="F66" s="172">
        <v>1.17371991412195E-4</v>
      </c>
      <c r="G66" s="172">
        <v>1.52520152220158</v>
      </c>
    </row>
    <row r="67" spans="2:7" hidden="1" x14ac:dyDescent="0.3">
      <c r="B67" s="172" t="s">
        <v>22</v>
      </c>
      <c r="C67" s="172" t="s">
        <v>246</v>
      </c>
      <c r="D67" s="172" t="s">
        <v>221</v>
      </c>
      <c r="E67" s="172">
        <v>1.0847776267293101E-4</v>
      </c>
      <c r="F67" s="172">
        <v>6.9276381361910494E-5</v>
      </c>
      <c r="G67" s="172">
        <v>1.56586935605406</v>
      </c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2.8181769779159899E-2</v>
      </c>
      <c r="F138" s="172">
        <v>2.7524896838525902E-2</v>
      </c>
      <c r="G138" s="172">
        <v>1.02386468310808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3.0252851101232301E-2</v>
      </c>
      <c r="F139" s="172">
        <v>2.65806284162751E-2</v>
      </c>
      <c r="G139" s="172">
        <v>1.1381540958117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2.8989960259704999E-2</v>
      </c>
      <c r="F140" s="172">
        <v>2.54448311858958E-2</v>
      </c>
      <c r="G140" s="172">
        <v>1.13932609919512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2.70633101750988E-2</v>
      </c>
      <c r="F141" s="172">
        <v>2.3736911765767699E-2</v>
      </c>
      <c r="G141" s="172">
        <v>1.1401361070958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2.4528424072473999E-2</v>
      </c>
      <c r="F142" s="172">
        <v>2.1507228106156101E-2</v>
      </c>
      <c r="G142" s="172">
        <v>1.14047351668964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2.1486111643268298E-2</v>
      </c>
      <c r="F143" s="172">
        <v>1.88431251068009E-2</v>
      </c>
      <c r="G143" s="172">
        <v>1.1402626433506799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1.8051824578351E-2</v>
      </c>
      <c r="F144" s="172">
        <v>1.58421440319686E-2</v>
      </c>
      <c r="G144" s="172">
        <v>1.1394811549449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1.44578609655706E-2</v>
      </c>
      <c r="F145" s="172">
        <v>1.26864807957884E-2</v>
      </c>
      <c r="G145" s="172">
        <v>1.13962738747614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1.07904321519124E-2</v>
      </c>
      <c r="F146" s="172">
        <v>9.4493686558051199E-3</v>
      </c>
      <c r="G146" s="172">
        <v>1.1419209626543001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6.9911998809843497E-3</v>
      </c>
      <c r="F147" s="172">
        <v>6.1013486744376797E-3</v>
      </c>
      <c r="G147" s="172">
        <v>1.1458450014952899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3.1944200008233799E-3</v>
      </c>
      <c r="F148" s="172">
        <v>2.76870514650454E-3</v>
      </c>
      <c r="G148" s="172">
        <v>1.1537595488838199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2.84931662274602E-2</v>
      </c>
      <c r="F149" s="172">
        <v>2.7968311304597301E-2</v>
      </c>
      <c r="G149" s="172">
        <v>1.0187660569544901</v>
      </c>
    </row>
    <row r="150" spans="2:7" x14ac:dyDescent="0.3">
      <c r="B150" s="172" t="s">
        <v>187</v>
      </c>
      <c r="C150" s="172" t="s">
        <v>80</v>
      </c>
      <c r="D150" s="172" t="s">
        <v>218</v>
      </c>
      <c r="E150" s="172">
        <v>3.0083355370770299E-2</v>
      </c>
      <c r="F150" s="172">
        <v>2.6571961184337901E-2</v>
      </c>
      <c r="G150" s="172">
        <v>1.1321465947535001</v>
      </c>
    </row>
    <row r="151" spans="2:7" x14ac:dyDescent="0.3">
      <c r="B151" s="172" t="s">
        <v>185</v>
      </c>
      <c r="C151" s="172" t="s">
        <v>80</v>
      </c>
      <c r="D151" s="172" t="s">
        <v>218</v>
      </c>
      <c r="E151" s="172">
        <v>2.88212327445206E-2</v>
      </c>
      <c r="F151" s="172">
        <v>2.5438495782059398E-2</v>
      </c>
      <c r="G151" s="172">
        <v>1.1329770828999599</v>
      </c>
    </row>
    <row r="152" spans="2:7" x14ac:dyDescent="0.3">
      <c r="B152" s="172" t="s">
        <v>183</v>
      </c>
      <c r="C152" s="172" t="s">
        <v>80</v>
      </c>
      <c r="D152" s="172" t="s">
        <v>218</v>
      </c>
      <c r="E152" s="172">
        <v>2.6900298396568999E-2</v>
      </c>
      <c r="F152" s="172">
        <v>2.3732917149454701E-2</v>
      </c>
      <c r="G152" s="172">
        <v>1.1334594153415001</v>
      </c>
    </row>
    <row r="153" spans="2:7" x14ac:dyDescent="0.3">
      <c r="B153" s="172" t="s">
        <v>181</v>
      </c>
      <c r="C153" s="172" t="s">
        <v>80</v>
      </c>
      <c r="D153" s="172" t="s">
        <v>218</v>
      </c>
      <c r="E153" s="172">
        <v>2.4378027154899101E-2</v>
      </c>
      <c r="F153" s="172">
        <v>2.1505314290425799E-2</v>
      </c>
      <c r="G153" s="172">
        <v>1.13358153364688</v>
      </c>
    </row>
    <row r="154" spans="2:7" x14ac:dyDescent="0.3">
      <c r="B154" s="172" t="s">
        <v>179</v>
      </c>
      <c r="C154" s="172" t="s">
        <v>80</v>
      </c>
      <c r="D154" s="172" t="s">
        <v>218</v>
      </c>
      <c r="E154" s="172">
        <v>2.1355491383484099E-2</v>
      </c>
      <c r="F154" s="172">
        <v>1.8842974514659602E-2</v>
      </c>
      <c r="G154" s="172">
        <v>1.1333397159174501</v>
      </c>
    </row>
    <row r="155" spans="2:7" x14ac:dyDescent="0.3">
      <c r="B155" s="172" t="s">
        <v>39</v>
      </c>
      <c r="C155" s="172" t="s">
        <v>80</v>
      </c>
      <c r="D155" s="172" t="s">
        <v>218</v>
      </c>
      <c r="E155" s="172">
        <v>1.7946937939637801E-2</v>
      </c>
      <c r="F155" s="172">
        <v>1.58433202045445E-2</v>
      </c>
      <c r="G155" s="172">
        <v>1.13277631884823</v>
      </c>
    </row>
    <row r="156" spans="2:7" x14ac:dyDescent="0.3">
      <c r="B156" s="172" t="s">
        <v>26</v>
      </c>
      <c r="C156" s="172" t="s">
        <v>80</v>
      </c>
      <c r="D156" s="172" t="s">
        <v>218</v>
      </c>
      <c r="E156" s="172">
        <v>1.43777869929432E-2</v>
      </c>
      <c r="F156" s="172">
        <v>1.26883719955675E-2</v>
      </c>
      <c r="G156" s="172">
        <v>1.1331467108598201</v>
      </c>
    </row>
    <row r="157" spans="2:7" x14ac:dyDescent="0.3">
      <c r="B157" s="172" t="s">
        <v>25</v>
      </c>
      <c r="C157" s="172" t="s">
        <v>80</v>
      </c>
      <c r="D157" s="172" t="s">
        <v>218</v>
      </c>
      <c r="E157" s="172">
        <v>1.07283563823754E-2</v>
      </c>
      <c r="F157" s="172">
        <v>9.4512866164701507E-3</v>
      </c>
      <c r="G157" s="172">
        <v>1.1351212610227901</v>
      </c>
    </row>
    <row r="158" spans="2:7" x14ac:dyDescent="0.3">
      <c r="B158" s="172" t="s">
        <v>24</v>
      </c>
      <c r="C158" s="172" t="s">
        <v>80</v>
      </c>
      <c r="D158" s="172" t="s">
        <v>218</v>
      </c>
      <c r="E158" s="172">
        <v>6.9468567521370301E-3</v>
      </c>
      <c r="F158" s="172">
        <v>6.1026966439601798E-3</v>
      </c>
      <c r="G158" s="172">
        <v>1.13832575292962</v>
      </c>
    </row>
    <row r="159" spans="2:7" x14ac:dyDescent="0.3">
      <c r="B159" s="172" t="s">
        <v>22</v>
      </c>
      <c r="C159" s="172" t="s">
        <v>80</v>
      </c>
      <c r="D159" s="172" t="s">
        <v>218</v>
      </c>
      <c r="E159" s="172">
        <v>3.1688132782229199E-3</v>
      </c>
      <c r="F159" s="172">
        <v>2.7690560409918902E-3</v>
      </c>
      <c r="G159" s="172">
        <v>1.1443658890658801</v>
      </c>
    </row>
    <row r="160" spans="2:7" hidden="1" x14ac:dyDescent="0.3">
      <c r="B160" s="172" t="s">
        <v>189</v>
      </c>
      <c r="C160" s="172" t="s">
        <v>81</v>
      </c>
      <c r="D160" s="172" t="s">
        <v>221</v>
      </c>
      <c r="E160" s="172">
        <v>2.6683236951403899E-2</v>
      </c>
      <c r="F160" s="172">
        <v>2.6542541863420002E-2</v>
      </c>
      <c r="G160" s="172">
        <v>1.00530073904405</v>
      </c>
    </row>
    <row r="161" spans="2:7" hidden="1" x14ac:dyDescent="0.3">
      <c r="B161" s="172" t="s">
        <v>187</v>
      </c>
      <c r="C161" s="172" t="s">
        <v>81</v>
      </c>
      <c r="D161" s="172" t="s">
        <v>221</v>
      </c>
      <c r="E161" s="172">
        <v>2.70723243050549E-2</v>
      </c>
      <c r="F161" s="172">
        <v>2.63322748290305E-2</v>
      </c>
      <c r="G161" s="172">
        <v>1.02810427434885</v>
      </c>
    </row>
    <row r="162" spans="2:7" hidden="1" x14ac:dyDescent="0.3">
      <c r="B162" s="172" t="s">
        <v>185</v>
      </c>
      <c r="C162" s="172" t="s">
        <v>81</v>
      </c>
      <c r="D162" s="172" t="s">
        <v>221</v>
      </c>
      <c r="E162" s="172">
        <v>2.6118509213504702E-2</v>
      </c>
      <c r="F162" s="172">
        <v>2.5352923980460101E-2</v>
      </c>
      <c r="G162" s="172">
        <v>1.0301971178407101</v>
      </c>
    </row>
    <row r="163" spans="2:7" hidden="1" x14ac:dyDescent="0.3">
      <c r="B163" s="172" t="s">
        <v>183</v>
      </c>
      <c r="C163" s="172" t="s">
        <v>81</v>
      </c>
      <c r="D163" s="172" t="s">
        <v>221</v>
      </c>
      <c r="E163" s="172">
        <v>2.45442850382541E-2</v>
      </c>
      <c r="F163" s="172">
        <v>2.3783847655746499E-2</v>
      </c>
      <c r="G163" s="172">
        <v>1.03197284953698</v>
      </c>
    </row>
    <row r="164" spans="2:7" hidden="1" x14ac:dyDescent="0.3">
      <c r="B164" s="172" t="s">
        <v>181</v>
      </c>
      <c r="C164" s="172" t="s">
        <v>81</v>
      </c>
      <c r="D164" s="172" t="s">
        <v>221</v>
      </c>
      <c r="E164" s="172">
        <v>2.23744057389412E-2</v>
      </c>
      <c r="F164" s="172">
        <v>2.1664589282332301E-2</v>
      </c>
      <c r="G164" s="172">
        <v>1.0327639009149301</v>
      </c>
    </row>
    <row r="165" spans="2:7" hidden="1" x14ac:dyDescent="0.3">
      <c r="B165" s="172" t="s">
        <v>179</v>
      </c>
      <c r="C165" s="172" t="s">
        <v>81</v>
      </c>
      <c r="D165" s="172" t="s">
        <v>221</v>
      </c>
      <c r="E165" s="172">
        <v>1.96957378413594E-2</v>
      </c>
      <c r="F165" s="172">
        <v>1.9078861933987001E-2</v>
      </c>
      <c r="G165" s="172">
        <v>1.03233295096462</v>
      </c>
    </row>
    <row r="166" spans="2:7" hidden="1" x14ac:dyDescent="0.3">
      <c r="B166" s="172" t="s">
        <v>39</v>
      </c>
      <c r="C166" s="172" t="s">
        <v>81</v>
      </c>
      <c r="D166" s="172" t="s">
        <v>221</v>
      </c>
      <c r="E166" s="172">
        <v>1.6616860689832098E-2</v>
      </c>
      <c r="F166" s="172">
        <v>1.61240837466812E-2</v>
      </c>
      <c r="G166" s="172">
        <v>1.0305615469934699</v>
      </c>
    </row>
    <row r="167" spans="2:7" hidden="1" x14ac:dyDescent="0.3">
      <c r="B167" s="172" t="s">
        <v>26</v>
      </c>
      <c r="C167" s="172" t="s">
        <v>81</v>
      </c>
      <c r="D167" s="172" t="s">
        <v>221</v>
      </c>
      <c r="E167" s="172">
        <v>1.3348637096167701E-2</v>
      </c>
      <c r="F167" s="172">
        <v>1.2981078168064E-2</v>
      </c>
      <c r="G167" s="172">
        <v>1.02831497687211</v>
      </c>
    </row>
    <row r="168" spans="2:7" hidden="1" x14ac:dyDescent="0.3">
      <c r="B168" s="172" t="s">
        <v>25</v>
      </c>
      <c r="C168" s="172" t="s">
        <v>81</v>
      </c>
      <c r="D168" s="172" t="s">
        <v>221</v>
      </c>
      <c r="E168" s="172">
        <v>9.9652703766092299E-3</v>
      </c>
      <c r="F168" s="172">
        <v>9.7181778547443306E-3</v>
      </c>
      <c r="G168" s="172">
        <v>1.0254258077551299</v>
      </c>
    </row>
    <row r="169" spans="2:7" hidden="1" x14ac:dyDescent="0.3">
      <c r="B169" s="172" t="s">
        <v>24</v>
      </c>
      <c r="C169" s="172" t="s">
        <v>81</v>
      </c>
      <c r="D169" s="172" t="s">
        <v>221</v>
      </c>
      <c r="E169" s="172">
        <v>6.4180179994271797E-3</v>
      </c>
      <c r="F169" s="172">
        <v>6.3041807557675704E-3</v>
      </c>
      <c r="G169" s="172">
        <v>1.0180574206339901</v>
      </c>
    </row>
    <row r="170" spans="2:7" hidden="1" x14ac:dyDescent="0.3">
      <c r="B170" s="172" t="s">
        <v>22</v>
      </c>
      <c r="C170" s="172" t="s">
        <v>81</v>
      </c>
      <c r="D170" s="172" t="s">
        <v>221</v>
      </c>
      <c r="E170" s="172">
        <v>2.8678069080754699E-3</v>
      </c>
      <c r="F170" s="172">
        <v>2.8627893711388398E-3</v>
      </c>
      <c r="G170" s="172">
        <v>1.00175267415312</v>
      </c>
    </row>
    <row r="171" spans="2:7" hidden="1" x14ac:dyDescent="0.3">
      <c r="B171" s="172" t="s">
        <v>189</v>
      </c>
      <c r="C171" s="172" t="s">
        <v>82</v>
      </c>
      <c r="D171" s="172" t="s">
        <v>221</v>
      </c>
      <c r="E171" s="172">
        <v>2.4805431054938001E-2</v>
      </c>
      <c r="F171" s="172">
        <v>2.3977979972362101E-2</v>
      </c>
      <c r="G171" s="172">
        <v>1.0345087902954999</v>
      </c>
    </row>
    <row r="172" spans="2:7" hidden="1" x14ac:dyDescent="0.3">
      <c r="B172" s="172" t="s">
        <v>187</v>
      </c>
      <c r="C172" s="172" t="s">
        <v>82</v>
      </c>
      <c r="D172" s="172" t="s">
        <v>221</v>
      </c>
      <c r="E172" s="172">
        <v>3.1646785271496003E-2</v>
      </c>
      <c r="F172" s="172">
        <v>2.7028714876058901E-2</v>
      </c>
      <c r="G172" s="172">
        <v>1.1708579344823999</v>
      </c>
    </row>
    <row r="173" spans="2:7" hidden="1" x14ac:dyDescent="0.3">
      <c r="B173" s="172" t="s">
        <v>185</v>
      </c>
      <c r="C173" s="172" t="s">
        <v>82</v>
      </c>
      <c r="D173" s="172" t="s">
        <v>221</v>
      </c>
      <c r="E173" s="172">
        <v>3.0539644185369801E-2</v>
      </c>
      <c r="F173" s="172">
        <v>2.60321020249887E-2</v>
      </c>
      <c r="G173" s="172">
        <v>1.1731532150594</v>
      </c>
    </row>
    <row r="174" spans="2:7" hidden="1" x14ac:dyDescent="0.3">
      <c r="B174" s="172" t="s">
        <v>183</v>
      </c>
      <c r="C174" s="172" t="s">
        <v>82</v>
      </c>
      <c r="D174" s="172" t="s">
        <v>221</v>
      </c>
      <c r="E174" s="172">
        <v>2.86976879901077E-2</v>
      </c>
      <c r="F174" s="172">
        <v>2.4426902090669202E-2</v>
      </c>
      <c r="G174" s="172">
        <v>1.17483944069477</v>
      </c>
    </row>
    <row r="175" spans="2:7" hidden="1" x14ac:dyDescent="0.3">
      <c r="B175" s="172" t="s">
        <v>181</v>
      </c>
      <c r="C175" s="172" t="s">
        <v>82</v>
      </c>
      <c r="D175" s="172" t="s">
        <v>221</v>
      </c>
      <c r="E175" s="172">
        <v>2.61494182480131E-2</v>
      </c>
      <c r="F175" s="172">
        <v>2.2250697674230099E-2</v>
      </c>
      <c r="G175" s="172">
        <v>1.1752179024165299</v>
      </c>
    </row>
    <row r="176" spans="2:7" hidden="1" x14ac:dyDescent="0.3">
      <c r="B176" s="172" t="s">
        <v>179</v>
      </c>
      <c r="C176" s="172" t="s">
        <v>82</v>
      </c>
      <c r="D176" s="172" t="s">
        <v>221</v>
      </c>
      <c r="E176" s="172">
        <v>2.29983144757697E-2</v>
      </c>
      <c r="F176" s="172">
        <v>1.9589827527593098E-2</v>
      </c>
      <c r="G176" s="172">
        <v>1.17399269816825</v>
      </c>
    </row>
    <row r="177" spans="2:7" hidden="1" x14ac:dyDescent="0.3">
      <c r="B177" s="172" t="s">
        <v>39</v>
      </c>
      <c r="C177" s="172" t="s">
        <v>82</v>
      </c>
      <c r="D177" s="172" t="s">
        <v>221</v>
      </c>
      <c r="E177" s="172">
        <v>1.93770138806557E-2</v>
      </c>
      <c r="F177" s="172">
        <v>1.6547215034471902E-2</v>
      </c>
      <c r="G177" s="172">
        <v>1.1710136020042501</v>
      </c>
    </row>
    <row r="178" spans="2:7" hidden="1" x14ac:dyDescent="0.3">
      <c r="B178" s="172" t="s">
        <v>26</v>
      </c>
      <c r="C178" s="172" t="s">
        <v>82</v>
      </c>
      <c r="D178" s="172" t="s">
        <v>221</v>
      </c>
      <c r="E178" s="172">
        <v>1.55583329974861E-2</v>
      </c>
      <c r="F178" s="172">
        <v>1.3314914150836601E-2</v>
      </c>
      <c r="G178" s="172">
        <v>1.16848917095786</v>
      </c>
    </row>
    <row r="179" spans="2:7" hidden="1" x14ac:dyDescent="0.3">
      <c r="B179" s="172" t="s">
        <v>25</v>
      </c>
      <c r="C179" s="172" t="s">
        <v>82</v>
      </c>
      <c r="D179" s="172" t="s">
        <v>221</v>
      </c>
      <c r="E179" s="172">
        <v>1.1630338530036701E-2</v>
      </c>
      <c r="F179" s="172">
        <v>9.9639007614646807E-3</v>
      </c>
      <c r="G179" s="172">
        <v>1.1672475276968799</v>
      </c>
    </row>
    <row r="180" spans="2:7" hidden="1" x14ac:dyDescent="0.3">
      <c r="B180" s="172" t="s">
        <v>24</v>
      </c>
      <c r="C180" s="172" t="s">
        <v>82</v>
      </c>
      <c r="D180" s="172" t="s">
        <v>221</v>
      </c>
      <c r="E180" s="172">
        <v>7.5110764127383203E-3</v>
      </c>
      <c r="F180" s="172">
        <v>6.4571617252189998E-3</v>
      </c>
      <c r="G180" s="172">
        <v>1.16321639945971</v>
      </c>
    </row>
    <row r="181" spans="2:7" hidden="1" x14ac:dyDescent="0.3">
      <c r="B181" s="172" t="s">
        <v>22</v>
      </c>
      <c r="C181" s="172" t="s">
        <v>82</v>
      </c>
      <c r="D181" s="172" t="s">
        <v>221</v>
      </c>
      <c r="E181" s="172">
        <v>3.3664415005512801E-3</v>
      </c>
      <c r="F181" s="172">
        <v>2.92394017111758E-3</v>
      </c>
      <c r="G181" s="172">
        <v>1.1513373405532299</v>
      </c>
    </row>
    <row r="182" spans="2:7" hidden="1" x14ac:dyDescent="0.3">
      <c r="B182" s="172" t="s">
        <v>189</v>
      </c>
      <c r="C182" s="172" t="s">
        <v>246</v>
      </c>
      <c r="D182" s="172" t="s">
        <v>218</v>
      </c>
      <c r="E182" s="172">
        <v>1.3314579500335699E-3</v>
      </c>
      <c r="F182" s="172">
        <v>1.3046363044076901E-3</v>
      </c>
      <c r="G182" s="172">
        <v>1.0205587147431601</v>
      </c>
    </row>
    <row r="183" spans="2:7" hidden="1" x14ac:dyDescent="0.3">
      <c r="B183" s="172" t="s">
        <v>189</v>
      </c>
      <c r="C183" s="172" t="s">
        <v>246</v>
      </c>
      <c r="D183" s="172" t="s">
        <v>221</v>
      </c>
      <c r="E183" s="172">
        <v>3.54894409128432E-4</v>
      </c>
      <c r="F183" s="172">
        <v>3.3343709262772202E-4</v>
      </c>
      <c r="G183" s="172">
        <v>1.0643519181732599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7.7513083031059704E-4</v>
      </c>
      <c r="F184" s="172">
        <v>7.6813637192495697E-4</v>
      </c>
      <c r="G184" s="172">
        <v>1.00910575080322</v>
      </c>
    </row>
    <row r="185" spans="2:7" hidden="1" x14ac:dyDescent="0.3">
      <c r="B185" s="172" t="s">
        <v>185</v>
      </c>
      <c r="C185" s="172" t="s">
        <v>246</v>
      </c>
      <c r="D185" s="172" t="s">
        <v>218</v>
      </c>
      <c r="E185" s="172">
        <v>6.9232908005680699E-4</v>
      </c>
      <c r="F185" s="172">
        <v>6.6448751426080805E-4</v>
      </c>
      <c r="G185" s="172">
        <v>1.0418993061547099</v>
      </c>
    </row>
    <row r="186" spans="2:7" hidden="1" x14ac:dyDescent="0.3">
      <c r="B186" s="172" t="s">
        <v>183</v>
      </c>
      <c r="C186" s="172" t="s">
        <v>246</v>
      </c>
      <c r="D186" s="172" t="s">
        <v>218</v>
      </c>
      <c r="E186" s="172">
        <v>6.0548316409864502E-4</v>
      </c>
      <c r="F186" s="172">
        <v>5.5127080892107701E-4</v>
      </c>
      <c r="G186" s="172">
        <v>1.09834069626083</v>
      </c>
    </row>
    <row r="187" spans="2:7" hidden="1" x14ac:dyDescent="0.3">
      <c r="B187" s="172" t="s">
        <v>181</v>
      </c>
      <c r="C187" s="172" t="s">
        <v>246</v>
      </c>
      <c r="D187" s="172" t="s">
        <v>218</v>
      </c>
      <c r="E187" s="172">
        <v>5.1917968314519995E-4</v>
      </c>
      <c r="F187" s="172">
        <v>4.4179545776537501E-4</v>
      </c>
      <c r="G187" s="172">
        <v>1.17515849024623</v>
      </c>
    </row>
    <row r="188" spans="2:7" hidden="1" x14ac:dyDescent="0.3">
      <c r="B188" s="172" t="s">
        <v>181</v>
      </c>
      <c r="C188" s="172" t="s">
        <v>246</v>
      </c>
      <c r="D188" s="172" t="s">
        <v>221</v>
      </c>
      <c r="E188" s="172">
        <v>1.44689874910682E-4</v>
      </c>
      <c r="F188" s="172">
        <v>8.7275772209521798E-5</v>
      </c>
      <c r="G188" s="172">
        <v>1.6578469745684701</v>
      </c>
    </row>
    <row r="189" spans="2:7" hidden="1" x14ac:dyDescent="0.3">
      <c r="B189" s="172" t="s">
        <v>179</v>
      </c>
      <c r="C189" s="172" t="s">
        <v>246</v>
      </c>
      <c r="D189" s="172" t="s">
        <v>218</v>
      </c>
      <c r="E189" s="172">
        <v>4.3515113950441799E-4</v>
      </c>
      <c r="F189" s="172">
        <v>3.3906800744063701E-4</v>
      </c>
      <c r="G189" s="172">
        <v>1.28337421978864</v>
      </c>
    </row>
    <row r="190" spans="2:7" hidden="1" x14ac:dyDescent="0.3">
      <c r="B190" s="172" t="s">
        <v>179</v>
      </c>
      <c r="C190" s="172" t="s">
        <v>246</v>
      </c>
      <c r="D190" s="172" t="s">
        <v>221</v>
      </c>
      <c r="E190" s="172">
        <v>1.94269013843227E-4</v>
      </c>
      <c r="F190" s="172">
        <v>1.22981528763648E-4</v>
      </c>
      <c r="G190" s="172">
        <v>1.57966009852246</v>
      </c>
    </row>
    <row r="191" spans="2:7" hidden="1" x14ac:dyDescent="0.3">
      <c r="B191" s="172" t="s">
        <v>39</v>
      </c>
      <c r="C191" s="172" t="s">
        <v>246</v>
      </c>
      <c r="D191" s="172" t="s">
        <v>218</v>
      </c>
      <c r="E191" s="172">
        <v>3.5396467743057801E-4</v>
      </c>
      <c r="F191" s="172">
        <v>2.4521563054747699E-4</v>
      </c>
      <c r="G191" s="172">
        <v>1.4434833401129601</v>
      </c>
    </row>
    <row r="192" spans="2:7" hidden="1" x14ac:dyDescent="0.3">
      <c r="B192" s="172" t="s">
        <v>39</v>
      </c>
      <c r="C192" s="172" t="s">
        <v>246</v>
      </c>
      <c r="D192" s="172" t="s">
        <v>221</v>
      </c>
      <c r="E192" s="172">
        <v>2.2840549383907401E-4</v>
      </c>
      <c r="F192" s="172">
        <v>1.47720717119354E-4</v>
      </c>
      <c r="G192" s="172">
        <v>1.5461981114979899</v>
      </c>
    </row>
    <row r="193" spans="2:7" hidden="1" x14ac:dyDescent="0.3">
      <c r="B193" s="172" t="s">
        <v>26</v>
      </c>
      <c r="C193" s="172" t="s">
        <v>246</v>
      </c>
      <c r="D193" s="172" t="s">
        <v>218</v>
      </c>
      <c r="E193" s="172">
        <v>2.75481349023549E-4</v>
      </c>
      <c r="F193" s="172">
        <v>1.63791174113461E-4</v>
      </c>
      <c r="G193" s="172">
        <v>1.6819059422134599</v>
      </c>
    </row>
    <row r="194" spans="2:7" hidden="1" x14ac:dyDescent="0.3">
      <c r="B194" s="172" t="s">
        <v>26</v>
      </c>
      <c r="C194" s="172" t="s">
        <v>246</v>
      </c>
      <c r="D194" s="172" t="s">
        <v>221</v>
      </c>
      <c r="E194" s="172">
        <v>2.3949233440803799E-4</v>
      </c>
      <c r="F194" s="172">
        <v>1.5662543044248799E-4</v>
      </c>
      <c r="G194" s="172">
        <v>1.52907694319779</v>
      </c>
    </row>
    <row r="195" spans="2:7" hidden="1" x14ac:dyDescent="0.3">
      <c r="B195" s="172" t="s">
        <v>25</v>
      </c>
      <c r="C195" s="172" t="s">
        <v>246</v>
      </c>
      <c r="D195" s="172" t="s">
        <v>218</v>
      </c>
      <c r="E195" s="172">
        <v>1.9670227727304799E-4</v>
      </c>
      <c r="F195" s="172">
        <v>9.4953099180040005E-5</v>
      </c>
      <c r="G195" s="172">
        <v>2.0715730078497199</v>
      </c>
    </row>
    <row r="196" spans="2:7" hidden="1" x14ac:dyDescent="0.3">
      <c r="B196" s="172" t="s">
        <v>25</v>
      </c>
      <c r="C196" s="172" t="s">
        <v>246</v>
      </c>
      <c r="D196" s="172" t="s">
        <v>221</v>
      </c>
      <c r="E196" s="172">
        <v>2.2094346071300201E-4</v>
      </c>
      <c r="F196" s="172">
        <v>1.4545213503109301E-4</v>
      </c>
      <c r="G196" s="172">
        <v>1.5190114649452999</v>
      </c>
    </row>
    <row r="197" spans="2:7" hidden="1" x14ac:dyDescent="0.3">
      <c r="B197" s="172" t="s">
        <v>24</v>
      </c>
      <c r="C197" s="172" t="s">
        <v>246</v>
      </c>
      <c r="D197" s="172" t="s">
        <v>218</v>
      </c>
      <c r="E197" s="172">
        <v>1.22992370540492E-4</v>
      </c>
      <c r="F197" s="172">
        <v>3.9907048577058198E-5</v>
      </c>
      <c r="G197" s="172">
        <v>3.0819711035006998</v>
      </c>
    </row>
    <row r="198" spans="2:7" hidden="1" x14ac:dyDescent="0.3">
      <c r="B198" s="172" t="s">
        <v>24</v>
      </c>
      <c r="C198" s="172" t="s">
        <v>246</v>
      </c>
      <c r="D198" s="172" t="s">
        <v>221</v>
      </c>
      <c r="E198" s="172">
        <v>1.7901593996571101E-4</v>
      </c>
      <c r="F198" s="172">
        <v>1.17371991412195E-4</v>
      </c>
      <c r="G198" s="172">
        <v>1.52520152220158</v>
      </c>
    </row>
    <row r="199" spans="2:7" hidden="1" x14ac:dyDescent="0.3">
      <c r="B199" s="172" t="s">
        <v>22</v>
      </c>
      <c r="C199" s="172" t="s">
        <v>246</v>
      </c>
      <c r="D199" s="172" t="s">
        <v>221</v>
      </c>
      <c r="E199" s="172">
        <v>1.0847776267293101E-4</v>
      </c>
      <c r="F199" s="172">
        <v>6.9276381361910494E-5</v>
      </c>
      <c r="G199" s="172">
        <v>1.56586935605406</v>
      </c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2.8181769779159899E-2</v>
      </c>
      <c r="F270" s="172">
        <v>2.7524896838525902E-2</v>
      </c>
      <c r="G270" s="172">
        <v>1.02386468310808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3.0252851101232301E-2</v>
      </c>
      <c r="F271" s="172">
        <v>2.65806284162751E-2</v>
      </c>
      <c r="G271" s="172">
        <v>1.1381540958117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2.8989960259704999E-2</v>
      </c>
      <c r="F272" s="172">
        <v>2.54448311858958E-2</v>
      </c>
      <c r="G272" s="172">
        <v>1.13932609919512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2.70633101750988E-2</v>
      </c>
      <c r="F273" s="172">
        <v>2.3736911765767699E-2</v>
      </c>
      <c r="G273" s="172">
        <v>1.1401361070958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2.4528424072473999E-2</v>
      </c>
      <c r="F274" s="172">
        <v>2.1507228106156101E-2</v>
      </c>
      <c r="G274" s="172">
        <v>1.14047351668964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2.1486111643268298E-2</v>
      </c>
      <c r="F275" s="172">
        <v>1.88431251068009E-2</v>
      </c>
      <c r="G275" s="172">
        <v>1.1402626433506799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1.8051824578351E-2</v>
      </c>
      <c r="F276" s="172">
        <v>1.58421440319686E-2</v>
      </c>
      <c r="G276" s="172">
        <v>1.1394811549449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1.44578609655706E-2</v>
      </c>
      <c r="F277" s="172">
        <v>1.26864807957884E-2</v>
      </c>
      <c r="G277" s="172">
        <v>1.13962738747614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1.07904321519124E-2</v>
      </c>
      <c r="F278" s="172">
        <v>9.4493686558051199E-3</v>
      </c>
      <c r="G278" s="172">
        <v>1.1419209626543001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6.9911998809843497E-3</v>
      </c>
      <c r="F279" s="172">
        <v>6.1013486744376797E-3</v>
      </c>
      <c r="G279" s="172">
        <v>1.1458450014952899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3.1944200008233799E-3</v>
      </c>
      <c r="F280" s="172">
        <v>2.76870514650454E-3</v>
      </c>
      <c r="G280" s="172">
        <v>1.1537595488838199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2.84931662274602E-2</v>
      </c>
      <c r="F281" s="172">
        <v>2.7968311304597301E-2</v>
      </c>
      <c r="G281" s="172">
        <v>1.0187660569544901</v>
      </c>
    </row>
    <row r="282" spans="2:7" hidden="1" x14ac:dyDescent="0.3">
      <c r="B282" s="172" t="s">
        <v>187</v>
      </c>
      <c r="C282" s="172" t="s">
        <v>80</v>
      </c>
      <c r="D282" s="172" t="s">
        <v>218</v>
      </c>
      <c r="E282" s="172">
        <v>3.0083355370770299E-2</v>
      </c>
      <c r="F282" s="172">
        <v>2.6571961184337901E-2</v>
      </c>
      <c r="G282" s="172">
        <v>1.1321465947535001</v>
      </c>
    </row>
    <row r="283" spans="2:7" hidden="1" x14ac:dyDescent="0.3">
      <c r="B283" s="172" t="s">
        <v>185</v>
      </c>
      <c r="C283" s="172" t="s">
        <v>80</v>
      </c>
      <c r="D283" s="172" t="s">
        <v>218</v>
      </c>
      <c r="E283" s="172">
        <v>2.88212327445206E-2</v>
      </c>
      <c r="F283" s="172">
        <v>2.5438495782059398E-2</v>
      </c>
      <c r="G283" s="172">
        <v>1.1329770828999599</v>
      </c>
    </row>
    <row r="284" spans="2:7" hidden="1" x14ac:dyDescent="0.3">
      <c r="B284" s="172" t="s">
        <v>183</v>
      </c>
      <c r="C284" s="172" t="s">
        <v>80</v>
      </c>
      <c r="D284" s="172" t="s">
        <v>218</v>
      </c>
      <c r="E284" s="172">
        <v>2.6900298396568999E-2</v>
      </c>
      <c r="F284" s="172">
        <v>2.3732917149454701E-2</v>
      </c>
      <c r="G284" s="172">
        <v>1.1334594153415001</v>
      </c>
    </row>
    <row r="285" spans="2:7" hidden="1" x14ac:dyDescent="0.3">
      <c r="B285" s="172" t="s">
        <v>181</v>
      </c>
      <c r="C285" s="172" t="s">
        <v>80</v>
      </c>
      <c r="D285" s="172" t="s">
        <v>218</v>
      </c>
      <c r="E285" s="172">
        <v>2.4378027154899101E-2</v>
      </c>
      <c r="F285" s="172">
        <v>2.1505314290425799E-2</v>
      </c>
      <c r="G285" s="172">
        <v>1.13358153364688</v>
      </c>
    </row>
    <row r="286" spans="2:7" hidden="1" x14ac:dyDescent="0.3">
      <c r="B286" s="172" t="s">
        <v>179</v>
      </c>
      <c r="C286" s="172" t="s">
        <v>80</v>
      </c>
      <c r="D286" s="172" t="s">
        <v>218</v>
      </c>
      <c r="E286" s="172">
        <v>2.1355491383484099E-2</v>
      </c>
      <c r="F286" s="172">
        <v>1.8842974514659602E-2</v>
      </c>
      <c r="G286" s="172">
        <v>1.1333397159174501</v>
      </c>
    </row>
    <row r="287" spans="2:7" hidden="1" x14ac:dyDescent="0.3">
      <c r="B287" s="172" t="s">
        <v>39</v>
      </c>
      <c r="C287" s="172" t="s">
        <v>80</v>
      </c>
      <c r="D287" s="172" t="s">
        <v>218</v>
      </c>
      <c r="E287" s="172">
        <v>1.7946937939637801E-2</v>
      </c>
      <c r="F287" s="172">
        <v>1.58433202045445E-2</v>
      </c>
      <c r="G287" s="172">
        <v>1.13277631884823</v>
      </c>
    </row>
    <row r="288" spans="2:7" hidden="1" x14ac:dyDescent="0.3">
      <c r="B288" s="172" t="s">
        <v>26</v>
      </c>
      <c r="C288" s="172" t="s">
        <v>80</v>
      </c>
      <c r="D288" s="172" t="s">
        <v>218</v>
      </c>
      <c r="E288" s="172">
        <v>1.43777869929432E-2</v>
      </c>
      <c r="F288" s="172">
        <v>1.26883719955675E-2</v>
      </c>
      <c r="G288" s="172">
        <v>1.1331467108598201</v>
      </c>
    </row>
    <row r="289" spans="2:7" hidden="1" x14ac:dyDescent="0.3">
      <c r="B289" s="172" t="s">
        <v>25</v>
      </c>
      <c r="C289" s="172" t="s">
        <v>80</v>
      </c>
      <c r="D289" s="172" t="s">
        <v>218</v>
      </c>
      <c r="E289" s="172">
        <v>1.07283563823754E-2</v>
      </c>
      <c r="F289" s="172">
        <v>9.4512866164701507E-3</v>
      </c>
      <c r="G289" s="172">
        <v>1.1351212610227901</v>
      </c>
    </row>
    <row r="290" spans="2:7" hidden="1" x14ac:dyDescent="0.3">
      <c r="B290" s="172" t="s">
        <v>24</v>
      </c>
      <c r="C290" s="172" t="s">
        <v>80</v>
      </c>
      <c r="D290" s="172" t="s">
        <v>218</v>
      </c>
      <c r="E290" s="172">
        <v>6.9468567521370301E-3</v>
      </c>
      <c r="F290" s="172">
        <v>6.1026966439601798E-3</v>
      </c>
      <c r="G290" s="172">
        <v>1.13832575292962</v>
      </c>
    </row>
    <row r="291" spans="2:7" hidden="1" x14ac:dyDescent="0.3">
      <c r="B291" s="172" t="s">
        <v>22</v>
      </c>
      <c r="C291" s="172" t="s">
        <v>80</v>
      </c>
      <c r="D291" s="172" t="s">
        <v>218</v>
      </c>
      <c r="E291" s="172">
        <v>3.1688132782229199E-3</v>
      </c>
      <c r="F291" s="172">
        <v>2.7690560409918902E-3</v>
      </c>
      <c r="G291" s="172">
        <v>1.1443658890658801</v>
      </c>
    </row>
    <row r="292" spans="2:7" x14ac:dyDescent="0.3">
      <c r="B292" s="172" t="s">
        <v>189</v>
      </c>
      <c r="C292" s="172" t="s">
        <v>81</v>
      </c>
      <c r="D292" s="172" t="s">
        <v>221</v>
      </c>
      <c r="E292" s="172">
        <v>2.6683236951403899E-2</v>
      </c>
      <c r="F292" s="172">
        <v>2.6542541863420002E-2</v>
      </c>
      <c r="G292" s="172">
        <v>1.00530073904405</v>
      </c>
    </row>
    <row r="293" spans="2:7" x14ac:dyDescent="0.3">
      <c r="B293" s="172" t="s">
        <v>187</v>
      </c>
      <c r="C293" s="172" t="s">
        <v>81</v>
      </c>
      <c r="D293" s="172" t="s">
        <v>221</v>
      </c>
      <c r="E293" s="172">
        <v>2.70723243050549E-2</v>
      </c>
      <c r="F293" s="172">
        <v>2.63322748290305E-2</v>
      </c>
      <c r="G293" s="172">
        <v>1.02810427434885</v>
      </c>
    </row>
    <row r="294" spans="2:7" x14ac:dyDescent="0.3">
      <c r="B294" s="172" t="s">
        <v>185</v>
      </c>
      <c r="C294" s="172" t="s">
        <v>81</v>
      </c>
      <c r="D294" s="172" t="s">
        <v>221</v>
      </c>
      <c r="E294" s="172">
        <v>2.6118509213504702E-2</v>
      </c>
      <c r="F294" s="172">
        <v>2.5352923980460101E-2</v>
      </c>
      <c r="G294" s="172">
        <v>1.0301971178407101</v>
      </c>
    </row>
    <row r="295" spans="2:7" x14ac:dyDescent="0.3">
      <c r="B295" s="172" t="s">
        <v>183</v>
      </c>
      <c r="C295" s="172" t="s">
        <v>81</v>
      </c>
      <c r="D295" s="172" t="s">
        <v>221</v>
      </c>
      <c r="E295" s="172">
        <v>2.45442850382541E-2</v>
      </c>
      <c r="F295" s="172">
        <v>2.3783847655746499E-2</v>
      </c>
      <c r="G295" s="172">
        <v>1.03197284953698</v>
      </c>
    </row>
    <row r="296" spans="2:7" x14ac:dyDescent="0.3">
      <c r="B296" s="172" t="s">
        <v>181</v>
      </c>
      <c r="C296" s="172" t="s">
        <v>81</v>
      </c>
      <c r="D296" s="172" t="s">
        <v>221</v>
      </c>
      <c r="E296" s="172">
        <v>2.23744057389412E-2</v>
      </c>
      <c r="F296" s="172">
        <v>2.1664589282332301E-2</v>
      </c>
      <c r="G296" s="172">
        <v>1.0327639009149301</v>
      </c>
    </row>
    <row r="297" spans="2:7" x14ac:dyDescent="0.3">
      <c r="B297" s="172" t="s">
        <v>179</v>
      </c>
      <c r="C297" s="172" t="s">
        <v>81</v>
      </c>
      <c r="D297" s="172" t="s">
        <v>221</v>
      </c>
      <c r="E297" s="172">
        <v>1.96957378413594E-2</v>
      </c>
      <c r="F297" s="172">
        <v>1.9078861933987001E-2</v>
      </c>
      <c r="G297" s="172">
        <v>1.03233295096462</v>
      </c>
    </row>
    <row r="298" spans="2:7" x14ac:dyDescent="0.3">
      <c r="B298" s="172" t="s">
        <v>39</v>
      </c>
      <c r="C298" s="172" t="s">
        <v>81</v>
      </c>
      <c r="D298" s="172" t="s">
        <v>221</v>
      </c>
      <c r="E298" s="172">
        <v>1.6616860689832098E-2</v>
      </c>
      <c r="F298" s="172">
        <v>1.61240837466812E-2</v>
      </c>
      <c r="G298" s="172">
        <v>1.0305615469934699</v>
      </c>
    </row>
    <row r="299" spans="2:7" x14ac:dyDescent="0.3">
      <c r="B299" s="172" t="s">
        <v>26</v>
      </c>
      <c r="C299" s="172" t="s">
        <v>81</v>
      </c>
      <c r="D299" s="172" t="s">
        <v>221</v>
      </c>
      <c r="E299" s="172">
        <v>1.3348637096167701E-2</v>
      </c>
      <c r="F299" s="172">
        <v>1.2981078168064E-2</v>
      </c>
      <c r="G299" s="172">
        <v>1.02831497687211</v>
      </c>
    </row>
    <row r="300" spans="2:7" x14ac:dyDescent="0.3">
      <c r="B300" s="172" t="s">
        <v>25</v>
      </c>
      <c r="C300" s="172" t="s">
        <v>81</v>
      </c>
      <c r="D300" s="172" t="s">
        <v>221</v>
      </c>
      <c r="E300" s="172">
        <v>9.9652703766092299E-3</v>
      </c>
      <c r="F300" s="172">
        <v>9.7181778547443306E-3</v>
      </c>
      <c r="G300" s="172">
        <v>1.0254258077551299</v>
      </c>
    </row>
    <row r="301" spans="2:7" x14ac:dyDescent="0.3">
      <c r="B301" s="172" t="s">
        <v>24</v>
      </c>
      <c r="C301" s="172" t="s">
        <v>81</v>
      </c>
      <c r="D301" s="172" t="s">
        <v>221</v>
      </c>
      <c r="E301" s="172">
        <v>6.4180179994271797E-3</v>
      </c>
      <c r="F301" s="172">
        <v>6.3041807557675704E-3</v>
      </c>
      <c r="G301" s="172">
        <v>1.0180574206339901</v>
      </c>
    </row>
    <row r="302" spans="2:7" x14ac:dyDescent="0.3">
      <c r="B302" s="172" t="s">
        <v>22</v>
      </c>
      <c r="C302" s="172" t="s">
        <v>81</v>
      </c>
      <c r="D302" s="172" t="s">
        <v>221</v>
      </c>
      <c r="E302" s="172">
        <v>2.8678069080754699E-3</v>
      </c>
      <c r="F302" s="172">
        <v>2.8627893711388398E-3</v>
      </c>
      <c r="G302" s="172">
        <v>1.00175267415312</v>
      </c>
    </row>
    <row r="303" spans="2:7" hidden="1" x14ac:dyDescent="0.3">
      <c r="B303" s="172" t="s">
        <v>189</v>
      </c>
      <c r="C303" s="172" t="s">
        <v>82</v>
      </c>
      <c r="D303" s="172" t="s">
        <v>221</v>
      </c>
      <c r="E303" s="172">
        <v>2.4805431054938001E-2</v>
      </c>
      <c r="F303" s="172">
        <v>2.3977979972362101E-2</v>
      </c>
      <c r="G303" s="172">
        <v>1.0345087902954999</v>
      </c>
    </row>
    <row r="304" spans="2:7" hidden="1" x14ac:dyDescent="0.3">
      <c r="B304" s="172" t="s">
        <v>187</v>
      </c>
      <c r="C304" s="172" t="s">
        <v>82</v>
      </c>
      <c r="D304" s="172" t="s">
        <v>221</v>
      </c>
      <c r="E304" s="172">
        <v>3.1646785271496003E-2</v>
      </c>
      <c r="F304" s="172">
        <v>2.7028714876058901E-2</v>
      </c>
      <c r="G304" s="172">
        <v>1.1708579344823999</v>
      </c>
    </row>
    <row r="305" spans="2:7" hidden="1" x14ac:dyDescent="0.3">
      <c r="B305" s="172" t="s">
        <v>185</v>
      </c>
      <c r="C305" s="172" t="s">
        <v>82</v>
      </c>
      <c r="D305" s="172" t="s">
        <v>221</v>
      </c>
      <c r="E305" s="172">
        <v>3.0539644185369801E-2</v>
      </c>
      <c r="F305" s="172">
        <v>2.60321020249887E-2</v>
      </c>
      <c r="G305" s="172">
        <v>1.1731532150594</v>
      </c>
    </row>
    <row r="306" spans="2:7" hidden="1" x14ac:dyDescent="0.3">
      <c r="B306" s="172" t="s">
        <v>183</v>
      </c>
      <c r="C306" s="172" t="s">
        <v>82</v>
      </c>
      <c r="D306" s="172" t="s">
        <v>221</v>
      </c>
      <c r="E306" s="172">
        <v>2.86976879901077E-2</v>
      </c>
      <c r="F306" s="172">
        <v>2.4426902090669202E-2</v>
      </c>
      <c r="G306" s="172">
        <v>1.17483944069477</v>
      </c>
    </row>
    <row r="307" spans="2:7" hidden="1" x14ac:dyDescent="0.3">
      <c r="B307" s="172" t="s">
        <v>181</v>
      </c>
      <c r="C307" s="172" t="s">
        <v>82</v>
      </c>
      <c r="D307" s="172" t="s">
        <v>221</v>
      </c>
      <c r="E307" s="172">
        <v>2.61494182480131E-2</v>
      </c>
      <c r="F307" s="172">
        <v>2.2250697674230099E-2</v>
      </c>
      <c r="G307" s="172">
        <v>1.1752179024165299</v>
      </c>
    </row>
    <row r="308" spans="2:7" hidden="1" x14ac:dyDescent="0.3">
      <c r="B308" s="172" t="s">
        <v>179</v>
      </c>
      <c r="C308" s="172" t="s">
        <v>82</v>
      </c>
      <c r="D308" s="172" t="s">
        <v>221</v>
      </c>
      <c r="E308" s="172">
        <v>2.29983144757697E-2</v>
      </c>
      <c r="F308" s="172">
        <v>1.9589827527593098E-2</v>
      </c>
      <c r="G308" s="172">
        <v>1.17399269816825</v>
      </c>
    </row>
    <row r="309" spans="2:7" hidden="1" x14ac:dyDescent="0.3">
      <c r="B309" s="172" t="s">
        <v>39</v>
      </c>
      <c r="C309" s="172" t="s">
        <v>82</v>
      </c>
      <c r="D309" s="172" t="s">
        <v>221</v>
      </c>
      <c r="E309" s="172">
        <v>1.93770138806557E-2</v>
      </c>
      <c r="F309" s="172">
        <v>1.6547215034471902E-2</v>
      </c>
      <c r="G309" s="172">
        <v>1.1710136020042501</v>
      </c>
    </row>
    <row r="310" spans="2:7" hidden="1" x14ac:dyDescent="0.3">
      <c r="B310" s="172" t="s">
        <v>26</v>
      </c>
      <c r="C310" s="172" t="s">
        <v>82</v>
      </c>
      <c r="D310" s="172" t="s">
        <v>221</v>
      </c>
      <c r="E310" s="172">
        <v>1.55583329974861E-2</v>
      </c>
      <c r="F310" s="172">
        <v>1.3314914150836601E-2</v>
      </c>
      <c r="G310" s="172">
        <v>1.16848917095786</v>
      </c>
    </row>
    <row r="311" spans="2:7" hidden="1" x14ac:dyDescent="0.3">
      <c r="B311" s="172" t="s">
        <v>25</v>
      </c>
      <c r="C311" s="172" t="s">
        <v>82</v>
      </c>
      <c r="D311" s="172" t="s">
        <v>221</v>
      </c>
      <c r="E311" s="172">
        <v>1.1630338530036701E-2</v>
      </c>
      <c r="F311" s="172">
        <v>9.9639007614646807E-3</v>
      </c>
      <c r="G311" s="172">
        <v>1.1672475276968799</v>
      </c>
    </row>
    <row r="312" spans="2:7" hidden="1" x14ac:dyDescent="0.3">
      <c r="B312" s="172" t="s">
        <v>24</v>
      </c>
      <c r="C312" s="172" t="s">
        <v>82</v>
      </c>
      <c r="D312" s="172" t="s">
        <v>221</v>
      </c>
      <c r="E312" s="172">
        <v>7.5110764127383203E-3</v>
      </c>
      <c r="F312" s="172">
        <v>6.4571617252189998E-3</v>
      </c>
      <c r="G312" s="172">
        <v>1.16321639945971</v>
      </c>
    </row>
    <row r="313" spans="2:7" hidden="1" x14ac:dyDescent="0.3">
      <c r="B313" s="172" t="s">
        <v>22</v>
      </c>
      <c r="C313" s="172" t="s">
        <v>82</v>
      </c>
      <c r="D313" s="172" t="s">
        <v>221</v>
      </c>
      <c r="E313" s="172">
        <v>3.3664415005512801E-3</v>
      </c>
      <c r="F313" s="172">
        <v>2.92394017111758E-3</v>
      </c>
      <c r="G313" s="172">
        <v>1.1513373405532299</v>
      </c>
    </row>
    <row r="314" spans="2:7" hidden="1" x14ac:dyDescent="0.3">
      <c r="B314" s="172" t="s">
        <v>189</v>
      </c>
      <c r="C314" s="172" t="s">
        <v>246</v>
      </c>
      <c r="D314" s="172" t="s">
        <v>218</v>
      </c>
      <c r="E314" s="172">
        <v>1.3314579500335699E-3</v>
      </c>
      <c r="F314" s="172">
        <v>1.3046363044076901E-3</v>
      </c>
      <c r="G314" s="172">
        <v>1.0205587147431601</v>
      </c>
    </row>
    <row r="315" spans="2:7" hidden="1" x14ac:dyDescent="0.3">
      <c r="B315" s="172" t="s">
        <v>189</v>
      </c>
      <c r="C315" s="172" t="s">
        <v>246</v>
      </c>
      <c r="D315" s="172" t="s">
        <v>221</v>
      </c>
      <c r="E315" s="172">
        <v>3.54894409128432E-4</v>
      </c>
      <c r="F315" s="172">
        <v>3.3343709262772202E-4</v>
      </c>
      <c r="G315" s="172">
        <v>1.0643519181732599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7.7513083031059704E-4</v>
      </c>
      <c r="F316" s="172">
        <v>7.6813637192495697E-4</v>
      </c>
      <c r="G316" s="172">
        <v>1.00910575080322</v>
      </c>
    </row>
    <row r="317" spans="2:7" hidden="1" x14ac:dyDescent="0.3">
      <c r="B317" s="172" t="s">
        <v>185</v>
      </c>
      <c r="C317" s="172" t="s">
        <v>246</v>
      </c>
      <c r="D317" s="172" t="s">
        <v>218</v>
      </c>
      <c r="E317" s="172">
        <v>6.9232908005680699E-4</v>
      </c>
      <c r="F317" s="172">
        <v>6.6448751426080805E-4</v>
      </c>
      <c r="G317" s="172">
        <v>1.0418993061547099</v>
      </c>
    </row>
    <row r="318" spans="2:7" hidden="1" x14ac:dyDescent="0.3">
      <c r="B318" s="172" t="s">
        <v>183</v>
      </c>
      <c r="C318" s="172" t="s">
        <v>246</v>
      </c>
      <c r="D318" s="172" t="s">
        <v>218</v>
      </c>
      <c r="E318" s="172">
        <v>6.0548316409864502E-4</v>
      </c>
      <c r="F318" s="172">
        <v>5.5127080892107701E-4</v>
      </c>
      <c r="G318" s="172">
        <v>1.09834069626083</v>
      </c>
    </row>
    <row r="319" spans="2:7" hidden="1" x14ac:dyDescent="0.3">
      <c r="B319" s="172" t="s">
        <v>181</v>
      </c>
      <c r="C319" s="172" t="s">
        <v>246</v>
      </c>
      <c r="D319" s="172" t="s">
        <v>218</v>
      </c>
      <c r="E319" s="172">
        <v>5.1917968314519995E-4</v>
      </c>
      <c r="F319" s="172">
        <v>4.4179545776537501E-4</v>
      </c>
      <c r="G319" s="172">
        <v>1.17515849024623</v>
      </c>
    </row>
    <row r="320" spans="2:7" hidden="1" x14ac:dyDescent="0.3">
      <c r="B320" s="172" t="s">
        <v>181</v>
      </c>
      <c r="C320" s="172" t="s">
        <v>246</v>
      </c>
      <c r="D320" s="172" t="s">
        <v>221</v>
      </c>
      <c r="E320" s="172">
        <v>1.44689874910682E-4</v>
      </c>
      <c r="F320" s="172">
        <v>8.7275772209521798E-5</v>
      </c>
      <c r="G320" s="172">
        <v>1.6578469745684701</v>
      </c>
    </row>
    <row r="321" spans="2:7" hidden="1" x14ac:dyDescent="0.3">
      <c r="B321" s="172" t="s">
        <v>179</v>
      </c>
      <c r="C321" s="172" t="s">
        <v>246</v>
      </c>
      <c r="D321" s="172" t="s">
        <v>218</v>
      </c>
      <c r="E321" s="172">
        <v>4.3515113950441799E-4</v>
      </c>
      <c r="F321" s="172">
        <v>3.3906800744063701E-4</v>
      </c>
      <c r="G321" s="172">
        <v>1.28337421978864</v>
      </c>
    </row>
    <row r="322" spans="2:7" hidden="1" x14ac:dyDescent="0.3">
      <c r="B322" s="172" t="s">
        <v>179</v>
      </c>
      <c r="C322" s="172" t="s">
        <v>246</v>
      </c>
      <c r="D322" s="172" t="s">
        <v>221</v>
      </c>
      <c r="E322" s="172">
        <v>1.94269013843227E-4</v>
      </c>
      <c r="F322" s="172">
        <v>1.22981528763648E-4</v>
      </c>
      <c r="G322" s="172">
        <v>1.57966009852246</v>
      </c>
    </row>
    <row r="323" spans="2:7" hidden="1" x14ac:dyDescent="0.3">
      <c r="B323" s="172" t="s">
        <v>39</v>
      </c>
      <c r="C323" s="172" t="s">
        <v>246</v>
      </c>
      <c r="D323" s="172" t="s">
        <v>218</v>
      </c>
      <c r="E323" s="172">
        <v>3.5396467743057801E-4</v>
      </c>
      <c r="F323" s="172">
        <v>2.4521563054747699E-4</v>
      </c>
      <c r="G323" s="172">
        <v>1.4434833401129601</v>
      </c>
    </row>
    <row r="324" spans="2:7" hidden="1" x14ac:dyDescent="0.3">
      <c r="B324" s="172" t="s">
        <v>39</v>
      </c>
      <c r="C324" s="172" t="s">
        <v>246</v>
      </c>
      <c r="D324" s="172" t="s">
        <v>221</v>
      </c>
      <c r="E324" s="172">
        <v>2.2840549383907401E-4</v>
      </c>
      <c r="F324" s="172">
        <v>1.47720717119354E-4</v>
      </c>
      <c r="G324" s="172">
        <v>1.5461981114979899</v>
      </c>
    </row>
    <row r="325" spans="2:7" hidden="1" x14ac:dyDescent="0.3">
      <c r="B325" s="172" t="s">
        <v>26</v>
      </c>
      <c r="C325" s="172" t="s">
        <v>246</v>
      </c>
      <c r="D325" s="172" t="s">
        <v>218</v>
      </c>
      <c r="E325" s="172">
        <v>2.75481349023549E-4</v>
      </c>
      <c r="F325" s="172">
        <v>1.63791174113461E-4</v>
      </c>
      <c r="G325" s="172">
        <v>1.6819059422134599</v>
      </c>
    </row>
    <row r="326" spans="2:7" hidden="1" x14ac:dyDescent="0.3">
      <c r="B326" s="172" t="s">
        <v>26</v>
      </c>
      <c r="C326" s="172" t="s">
        <v>246</v>
      </c>
      <c r="D326" s="172" t="s">
        <v>221</v>
      </c>
      <c r="E326" s="172">
        <v>2.3949233440803799E-4</v>
      </c>
      <c r="F326" s="172">
        <v>1.5662543044248799E-4</v>
      </c>
      <c r="G326" s="172">
        <v>1.52907694319779</v>
      </c>
    </row>
    <row r="327" spans="2:7" hidden="1" x14ac:dyDescent="0.3">
      <c r="B327" s="172" t="s">
        <v>25</v>
      </c>
      <c r="C327" s="172" t="s">
        <v>246</v>
      </c>
      <c r="D327" s="172" t="s">
        <v>218</v>
      </c>
      <c r="E327" s="172">
        <v>1.9670227727304799E-4</v>
      </c>
      <c r="F327" s="172">
        <v>9.4953099180040005E-5</v>
      </c>
      <c r="G327" s="172">
        <v>2.0715730078497199</v>
      </c>
    </row>
    <row r="328" spans="2:7" hidden="1" x14ac:dyDescent="0.3">
      <c r="B328" s="172" t="s">
        <v>25</v>
      </c>
      <c r="C328" s="172" t="s">
        <v>246</v>
      </c>
      <c r="D328" s="172" t="s">
        <v>221</v>
      </c>
      <c r="E328" s="172">
        <v>2.2094346071300201E-4</v>
      </c>
      <c r="F328" s="172">
        <v>1.4545213503109301E-4</v>
      </c>
      <c r="G328" s="172">
        <v>1.5190114649452999</v>
      </c>
    </row>
    <row r="329" spans="2:7" hidden="1" x14ac:dyDescent="0.3">
      <c r="B329" s="172" t="s">
        <v>24</v>
      </c>
      <c r="C329" s="172" t="s">
        <v>246</v>
      </c>
      <c r="D329" s="172" t="s">
        <v>218</v>
      </c>
      <c r="E329" s="172">
        <v>1.22992370540492E-4</v>
      </c>
      <c r="F329" s="172">
        <v>3.9907048577058198E-5</v>
      </c>
      <c r="G329" s="172">
        <v>3.0819711035006998</v>
      </c>
    </row>
    <row r="330" spans="2:7" hidden="1" x14ac:dyDescent="0.3">
      <c r="B330" s="172" t="s">
        <v>24</v>
      </c>
      <c r="C330" s="172" t="s">
        <v>246</v>
      </c>
      <c r="D330" s="172" t="s">
        <v>221</v>
      </c>
      <c r="E330" s="172">
        <v>1.7901593996571101E-4</v>
      </c>
      <c r="F330" s="172">
        <v>1.17371991412195E-4</v>
      </c>
      <c r="G330" s="172">
        <v>1.52520152220158</v>
      </c>
    </row>
    <row r="331" spans="2:7" hidden="1" x14ac:dyDescent="0.3">
      <c r="B331" s="172" t="s">
        <v>22</v>
      </c>
      <c r="C331" s="172" t="s">
        <v>246</v>
      </c>
      <c r="D331" s="172" t="s">
        <v>221</v>
      </c>
      <c r="E331" s="172">
        <v>1.0847776267293101E-4</v>
      </c>
      <c r="F331" s="172">
        <v>6.9276381361910494E-5</v>
      </c>
      <c r="G331" s="172">
        <v>1.56586935605406</v>
      </c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2.8181769779159899E-2</v>
      </c>
      <c r="F402" s="172">
        <v>2.7524896838525902E-2</v>
      </c>
      <c r="G402" s="172">
        <v>1.02386468310808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3.0252851101232301E-2</v>
      </c>
      <c r="F403" s="172">
        <v>2.65806284162751E-2</v>
      </c>
      <c r="G403" s="172">
        <v>1.1381540958117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2.8989960259704999E-2</v>
      </c>
      <c r="F404" s="172">
        <v>2.54448311858958E-2</v>
      </c>
      <c r="G404" s="172">
        <v>1.13932609919512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2.70633101750988E-2</v>
      </c>
      <c r="F405" s="172">
        <v>2.3736911765767699E-2</v>
      </c>
      <c r="G405" s="172">
        <v>1.1401361070958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2.4528424072473999E-2</v>
      </c>
      <c r="F406" s="172">
        <v>2.1507228106156101E-2</v>
      </c>
      <c r="G406" s="172">
        <v>1.14047351668964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2.1486111643268298E-2</v>
      </c>
      <c r="F407" s="172">
        <v>1.88431251068009E-2</v>
      </c>
      <c r="G407" s="172">
        <v>1.1402626433506799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1.8051824578351E-2</v>
      </c>
      <c r="F408" s="172">
        <v>1.58421440319686E-2</v>
      </c>
      <c r="G408" s="172">
        <v>1.1394811549449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1.44578609655706E-2</v>
      </c>
      <c r="F409" s="172">
        <v>1.26864807957884E-2</v>
      </c>
      <c r="G409" s="172">
        <v>1.13962738747614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1.07904321519124E-2</v>
      </c>
      <c r="F410" s="172">
        <v>9.4493686558051199E-3</v>
      </c>
      <c r="G410" s="172">
        <v>1.1419209626543001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6.9911998809843497E-3</v>
      </c>
      <c r="F411" s="172">
        <v>6.1013486744376797E-3</v>
      </c>
      <c r="G411" s="172">
        <v>1.1458450014952899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3.1944200008233799E-3</v>
      </c>
      <c r="F412" s="172">
        <v>2.76870514650454E-3</v>
      </c>
      <c r="G412" s="172">
        <v>1.1537595488838199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2.84931662274602E-2</v>
      </c>
      <c r="F413" s="172">
        <v>2.7968311304597301E-2</v>
      </c>
      <c r="G413" s="172">
        <v>1.0187660569544901</v>
      </c>
    </row>
    <row r="414" spans="2:7" hidden="1" x14ac:dyDescent="0.3">
      <c r="B414" s="172" t="s">
        <v>187</v>
      </c>
      <c r="C414" s="172" t="s">
        <v>80</v>
      </c>
      <c r="D414" s="172" t="s">
        <v>218</v>
      </c>
      <c r="E414" s="172">
        <v>3.0083355370770299E-2</v>
      </c>
      <c r="F414" s="172">
        <v>2.6571961184337901E-2</v>
      </c>
      <c r="G414" s="172">
        <v>1.1321465947535001</v>
      </c>
    </row>
    <row r="415" spans="2:7" hidden="1" x14ac:dyDescent="0.3">
      <c r="B415" s="172" t="s">
        <v>185</v>
      </c>
      <c r="C415" s="172" t="s">
        <v>80</v>
      </c>
      <c r="D415" s="172" t="s">
        <v>218</v>
      </c>
      <c r="E415" s="172">
        <v>2.88212327445206E-2</v>
      </c>
      <c r="F415" s="172">
        <v>2.5438495782059398E-2</v>
      </c>
      <c r="G415" s="172">
        <v>1.1329770828999599</v>
      </c>
    </row>
    <row r="416" spans="2:7" hidden="1" x14ac:dyDescent="0.3">
      <c r="B416" s="172" t="s">
        <v>183</v>
      </c>
      <c r="C416" s="172" t="s">
        <v>80</v>
      </c>
      <c r="D416" s="172" t="s">
        <v>218</v>
      </c>
      <c r="E416" s="172">
        <v>2.6900298396568999E-2</v>
      </c>
      <c r="F416" s="172">
        <v>2.3732917149454701E-2</v>
      </c>
      <c r="G416" s="172">
        <v>1.1334594153415001</v>
      </c>
    </row>
    <row r="417" spans="2:7" hidden="1" x14ac:dyDescent="0.3">
      <c r="B417" s="172" t="s">
        <v>181</v>
      </c>
      <c r="C417" s="172" t="s">
        <v>80</v>
      </c>
      <c r="D417" s="172" t="s">
        <v>218</v>
      </c>
      <c r="E417" s="172">
        <v>2.4378027154899101E-2</v>
      </c>
      <c r="F417" s="172">
        <v>2.1505314290425799E-2</v>
      </c>
      <c r="G417" s="172">
        <v>1.13358153364688</v>
      </c>
    </row>
    <row r="418" spans="2:7" hidden="1" x14ac:dyDescent="0.3">
      <c r="B418" s="172" t="s">
        <v>179</v>
      </c>
      <c r="C418" s="172" t="s">
        <v>80</v>
      </c>
      <c r="D418" s="172" t="s">
        <v>218</v>
      </c>
      <c r="E418" s="172">
        <v>2.1355491383484099E-2</v>
      </c>
      <c r="F418" s="172">
        <v>1.8842974514659602E-2</v>
      </c>
      <c r="G418" s="172">
        <v>1.1333397159174501</v>
      </c>
    </row>
    <row r="419" spans="2:7" hidden="1" x14ac:dyDescent="0.3">
      <c r="B419" s="172" t="s">
        <v>39</v>
      </c>
      <c r="C419" s="172" t="s">
        <v>80</v>
      </c>
      <c r="D419" s="172" t="s">
        <v>218</v>
      </c>
      <c r="E419" s="172">
        <v>1.7946937939637801E-2</v>
      </c>
      <c r="F419" s="172">
        <v>1.58433202045445E-2</v>
      </c>
      <c r="G419" s="172">
        <v>1.13277631884823</v>
      </c>
    </row>
    <row r="420" spans="2:7" hidden="1" x14ac:dyDescent="0.3">
      <c r="B420" s="172" t="s">
        <v>26</v>
      </c>
      <c r="C420" s="172" t="s">
        <v>80</v>
      </c>
      <c r="D420" s="172" t="s">
        <v>218</v>
      </c>
      <c r="E420" s="172">
        <v>1.43777869929432E-2</v>
      </c>
      <c r="F420" s="172">
        <v>1.26883719955675E-2</v>
      </c>
      <c r="G420" s="172">
        <v>1.1331467108598201</v>
      </c>
    </row>
    <row r="421" spans="2:7" hidden="1" x14ac:dyDescent="0.3">
      <c r="B421" s="172" t="s">
        <v>25</v>
      </c>
      <c r="C421" s="172" t="s">
        <v>80</v>
      </c>
      <c r="D421" s="172" t="s">
        <v>218</v>
      </c>
      <c r="E421" s="172">
        <v>1.07283563823754E-2</v>
      </c>
      <c r="F421" s="172">
        <v>9.4512866164701507E-3</v>
      </c>
      <c r="G421" s="172">
        <v>1.1351212610227901</v>
      </c>
    </row>
    <row r="422" spans="2:7" hidden="1" x14ac:dyDescent="0.3">
      <c r="B422" s="172" t="s">
        <v>24</v>
      </c>
      <c r="C422" s="172" t="s">
        <v>80</v>
      </c>
      <c r="D422" s="172" t="s">
        <v>218</v>
      </c>
      <c r="E422" s="172">
        <v>6.9468567521370301E-3</v>
      </c>
      <c r="F422" s="172">
        <v>6.1026966439601798E-3</v>
      </c>
      <c r="G422" s="172">
        <v>1.13832575292962</v>
      </c>
    </row>
    <row r="423" spans="2:7" hidden="1" x14ac:dyDescent="0.3">
      <c r="B423" s="172" t="s">
        <v>22</v>
      </c>
      <c r="C423" s="172" t="s">
        <v>80</v>
      </c>
      <c r="D423" s="172" t="s">
        <v>218</v>
      </c>
      <c r="E423" s="172">
        <v>3.1688132782229199E-3</v>
      </c>
      <c r="F423" s="172">
        <v>2.7690560409918902E-3</v>
      </c>
      <c r="G423" s="172">
        <v>1.1443658890658801</v>
      </c>
    </row>
    <row r="424" spans="2:7" hidden="1" x14ac:dyDescent="0.3">
      <c r="B424" s="172" t="s">
        <v>189</v>
      </c>
      <c r="C424" s="172" t="s">
        <v>81</v>
      </c>
      <c r="D424" s="172" t="s">
        <v>221</v>
      </c>
      <c r="E424" s="172">
        <v>2.6683236951403899E-2</v>
      </c>
      <c r="F424" s="172">
        <v>2.6542541863420002E-2</v>
      </c>
      <c r="G424" s="172">
        <v>1.00530073904405</v>
      </c>
    </row>
    <row r="425" spans="2:7" hidden="1" x14ac:dyDescent="0.3">
      <c r="B425" s="172" t="s">
        <v>187</v>
      </c>
      <c r="C425" s="172" t="s">
        <v>81</v>
      </c>
      <c r="D425" s="172" t="s">
        <v>221</v>
      </c>
      <c r="E425" s="172">
        <v>2.70723243050549E-2</v>
      </c>
      <c r="F425" s="172">
        <v>2.63322748290305E-2</v>
      </c>
      <c r="G425" s="172">
        <v>1.02810427434885</v>
      </c>
    </row>
    <row r="426" spans="2:7" hidden="1" x14ac:dyDescent="0.3">
      <c r="B426" s="172" t="s">
        <v>185</v>
      </c>
      <c r="C426" s="172" t="s">
        <v>81</v>
      </c>
      <c r="D426" s="172" t="s">
        <v>221</v>
      </c>
      <c r="E426" s="172">
        <v>2.6118509213504702E-2</v>
      </c>
      <c r="F426" s="172">
        <v>2.5352923980460101E-2</v>
      </c>
      <c r="G426" s="172">
        <v>1.0301971178407101</v>
      </c>
    </row>
    <row r="427" spans="2:7" hidden="1" x14ac:dyDescent="0.3">
      <c r="B427" s="172" t="s">
        <v>183</v>
      </c>
      <c r="C427" s="172" t="s">
        <v>81</v>
      </c>
      <c r="D427" s="172" t="s">
        <v>221</v>
      </c>
      <c r="E427" s="172">
        <v>2.45442850382541E-2</v>
      </c>
      <c r="F427" s="172">
        <v>2.3783847655746499E-2</v>
      </c>
      <c r="G427" s="172">
        <v>1.03197284953698</v>
      </c>
    </row>
    <row r="428" spans="2:7" hidden="1" x14ac:dyDescent="0.3">
      <c r="B428" s="172" t="s">
        <v>181</v>
      </c>
      <c r="C428" s="172" t="s">
        <v>81</v>
      </c>
      <c r="D428" s="172" t="s">
        <v>221</v>
      </c>
      <c r="E428" s="172">
        <v>2.23744057389412E-2</v>
      </c>
      <c r="F428" s="172">
        <v>2.1664589282332301E-2</v>
      </c>
      <c r="G428" s="172">
        <v>1.0327639009149301</v>
      </c>
    </row>
    <row r="429" spans="2:7" hidden="1" x14ac:dyDescent="0.3">
      <c r="B429" s="172" t="s">
        <v>179</v>
      </c>
      <c r="C429" s="172" t="s">
        <v>81</v>
      </c>
      <c r="D429" s="172" t="s">
        <v>221</v>
      </c>
      <c r="E429" s="172">
        <v>1.96957378413594E-2</v>
      </c>
      <c r="F429" s="172">
        <v>1.9078861933987001E-2</v>
      </c>
      <c r="G429" s="172">
        <v>1.03233295096462</v>
      </c>
    </row>
    <row r="430" spans="2:7" hidden="1" x14ac:dyDescent="0.3">
      <c r="B430" s="172" t="s">
        <v>39</v>
      </c>
      <c r="C430" s="172" t="s">
        <v>81</v>
      </c>
      <c r="D430" s="172" t="s">
        <v>221</v>
      </c>
      <c r="E430" s="172">
        <v>1.6616860689832098E-2</v>
      </c>
      <c r="F430" s="172">
        <v>1.61240837466812E-2</v>
      </c>
      <c r="G430" s="172">
        <v>1.0305615469934699</v>
      </c>
    </row>
    <row r="431" spans="2:7" hidden="1" x14ac:dyDescent="0.3">
      <c r="B431" s="172" t="s">
        <v>26</v>
      </c>
      <c r="C431" s="172" t="s">
        <v>81</v>
      </c>
      <c r="D431" s="172" t="s">
        <v>221</v>
      </c>
      <c r="E431" s="172">
        <v>1.3348637096167701E-2</v>
      </c>
      <c r="F431" s="172">
        <v>1.2981078168064E-2</v>
      </c>
      <c r="G431" s="172">
        <v>1.02831497687211</v>
      </c>
    </row>
    <row r="432" spans="2:7" hidden="1" x14ac:dyDescent="0.3">
      <c r="B432" s="172" t="s">
        <v>25</v>
      </c>
      <c r="C432" s="172" t="s">
        <v>81</v>
      </c>
      <c r="D432" s="172" t="s">
        <v>221</v>
      </c>
      <c r="E432" s="172">
        <v>9.9652703766092299E-3</v>
      </c>
      <c r="F432" s="172">
        <v>9.7181778547443306E-3</v>
      </c>
      <c r="G432" s="172">
        <v>1.0254258077551299</v>
      </c>
    </row>
    <row r="433" spans="2:7" hidden="1" x14ac:dyDescent="0.3">
      <c r="B433" s="172" t="s">
        <v>24</v>
      </c>
      <c r="C433" s="172" t="s">
        <v>81</v>
      </c>
      <c r="D433" s="172" t="s">
        <v>221</v>
      </c>
      <c r="E433" s="172">
        <v>6.4180179994271797E-3</v>
      </c>
      <c r="F433" s="172">
        <v>6.3041807557675704E-3</v>
      </c>
      <c r="G433" s="172">
        <v>1.0180574206339901</v>
      </c>
    </row>
    <row r="434" spans="2:7" hidden="1" x14ac:dyDescent="0.3">
      <c r="B434" s="172" t="s">
        <v>22</v>
      </c>
      <c r="C434" s="172" t="s">
        <v>81</v>
      </c>
      <c r="D434" s="172" t="s">
        <v>221</v>
      </c>
      <c r="E434" s="172">
        <v>2.8678069080754699E-3</v>
      </c>
      <c r="F434" s="172">
        <v>2.8627893711388398E-3</v>
      </c>
      <c r="G434" s="172">
        <v>1.00175267415312</v>
      </c>
    </row>
    <row r="435" spans="2:7" x14ac:dyDescent="0.3">
      <c r="B435" s="172" t="s">
        <v>189</v>
      </c>
      <c r="C435" s="172" t="s">
        <v>82</v>
      </c>
      <c r="D435" s="172" t="s">
        <v>221</v>
      </c>
      <c r="E435" s="172">
        <v>2.4805431054938001E-2</v>
      </c>
      <c r="F435" s="172">
        <v>2.3977979972362101E-2</v>
      </c>
      <c r="G435" s="172">
        <v>1.0345087902954999</v>
      </c>
    </row>
    <row r="436" spans="2:7" x14ac:dyDescent="0.3">
      <c r="B436" s="172" t="s">
        <v>187</v>
      </c>
      <c r="C436" s="172" t="s">
        <v>82</v>
      </c>
      <c r="D436" s="172" t="s">
        <v>221</v>
      </c>
      <c r="E436" s="172">
        <v>3.1646785271496003E-2</v>
      </c>
      <c r="F436" s="172">
        <v>2.7028714876058901E-2</v>
      </c>
      <c r="G436" s="172">
        <v>1.1708579344823999</v>
      </c>
    </row>
    <row r="437" spans="2:7" x14ac:dyDescent="0.3">
      <c r="B437" s="172" t="s">
        <v>185</v>
      </c>
      <c r="C437" s="172" t="s">
        <v>82</v>
      </c>
      <c r="D437" s="172" t="s">
        <v>221</v>
      </c>
      <c r="E437" s="172">
        <v>3.0539644185369801E-2</v>
      </c>
      <c r="F437" s="172">
        <v>2.60321020249887E-2</v>
      </c>
      <c r="G437" s="172">
        <v>1.1731532150594</v>
      </c>
    </row>
    <row r="438" spans="2:7" x14ac:dyDescent="0.3">
      <c r="B438" s="172" t="s">
        <v>183</v>
      </c>
      <c r="C438" s="172" t="s">
        <v>82</v>
      </c>
      <c r="D438" s="172" t="s">
        <v>221</v>
      </c>
      <c r="E438" s="172">
        <v>2.86976879901077E-2</v>
      </c>
      <c r="F438" s="172">
        <v>2.4426902090669202E-2</v>
      </c>
      <c r="G438" s="172">
        <v>1.17483944069477</v>
      </c>
    </row>
    <row r="439" spans="2:7" x14ac:dyDescent="0.3">
      <c r="B439" s="172" t="s">
        <v>181</v>
      </c>
      <c r="C439" s="172" t="s">
        <v>82</v>
      </c>
      <c r="D439" s="172" t="s">
        <v>221</v>
      </c>
      <c r="E439" s="172">
        <v>2.61494182480131E-2</v>
      </c>
      <c r="F439" s="172">
        <v>2.2250697674230099E-2</v>
      </c>
      <c r="G439" s="172">
        <v>1.1752179024165299</v>
      </c>
    </row>
    <row r="440" spans="2:7" x14ac:dyDescent="0.3">
      <c r="B440" s="172" t="s">
        <v>179</v>
      </c>
      <c r="C440" s="172" t="s">
        <v>82</v>
      </c>
      <c r="D440" s="172" t="s">
        <v>221</v>
      </c>
      <c r="E440" s="172">
        <v>2.29983144757697E-2</v>
      </c>
      <c r="F440" s="172">
        <v>1.9589827527593098E-2</v>
      </c>
      <c r="G440" s="172">
        <v>1.17399269816825</v>
      </c>
    </row>
    <row r="441" spans="2:7" x14ac:dyDescent="0.3">
      <c r="B441" s="172" t="s">
        <v>39</v>
      </c>
      <c r="C441" s="172" t="s">
        <v>82</v>
      </c>
      <c r="D441" s="172" t="s">
        <v>221</v>
      </c>
      <c r="E441" s="172">
        <v>1.93770138806557E-2</v>
      </c>
      <c r="F441" s="172">
        <v>1.6547215034471902E-2</v>
      </c>
      <c r="G441" s="172">
        <v>1.1710136020042501</v>
      </c>
    </row>
    <row r="442" spans="2:7" x14ac:dyDescent="0.3">
      <c r="B442" s="172" t="s">
        <v>26</v>
      </c>
      <c r="C442" s="172" t="s">
        <v>82</v>
      </c>
      <c r="D442" s="172" t="s">
        <v>221</v>
      </c>
      <c r="E442" s="172">
        <v>1.55583329974861E-2</v>
      </c>
      <c r="F442" s="172">
        <v>1.3314914150836601E-2</v>
      </c>
      <c r="G442" s="172">
        <v>1.16848917095786</v>
      </c>
    </row>
    <row r="443" spans="2:7" x14ac:dyDescent="0.3">
      <c r="B443" s="172" t="s">
        <v>25</v>
      </c>
      <c r="C443" s="172" t="s">
        <v>82</v>
      </c>
      <c r="D443" s="172" t="s">
        <v>221</v>
      </c>
      <c r="E443" s="172">
        <v>1.1630338530036701E-2</v>
      </c>
      <c r="F443" s="172">
        <v>9.9639007614646807E-3</v>
      </c>
      <c r="G443" s="172">
        <v>1.1672475276968799</v>
      </c>
    </row>
    <row r="444" spans="2:7" x14ac:dyDescent="0.3">
      <c r="B444" s="172" t="s">
        <v>24</v>
      </c>
      <c r="C444" s="172" t="s">
        <v>82</v>
      </c>
      <c r="D444" s="172" t="s">
        <v>221</v>
      </c>
      <c r="E444" s="172">
        <v>7.5110764127383203E-3</v>
      </c>
      <c r="F444" s="172">
        <v>6.4571617252189998E-3</v>
      </c>
      <c r="G444" s="172">
        <v>1.16321639945971</v>
      </c>
    </row>
    <row r="445" spans="2:7" x14ac:dyDescent="0.3">
      <c r="B445" s="172" t="s">
        <v>22</v>
      </c>
      <c r="C445" s="172" t="s">
        <v>82</v>
      </c>
      <c r="D445" s="172" t="s">
        <v>221</v>
      </c>
      <c r="E445" s="172">
        <v>3.3664415005512801E-3</v>
      </c>
      <c r="F445" s="172">
        <v>2.92394017111758E-3</v>
      </c>
      <c r="G445" s="172">
        <v>1.1513373405532299</v>
      </c>
    </row>
    <row r="446" spans="2:7" hidden="1" x14ac:dyDescent="0.3">
      <c r="B446" s="172" t="s">
        <v>189</v>
      </c>
      <c r="C446" s="172" t="s">
        <v>246</v>
      </c>
      <c r="D446" s="172" t="s">
        <v>218</v>
      </c>
      <c r="E446" s="172">
        <v>1.3314579500335699E-3</v>
      </c>
      <c r="F446" s="172">
        <v>1.3046363044076901E-3</v>
      </c>
      <c r="G446" s="172">
        <v>1.0205587147431601</v>
      </c>
    </row>
    <row r="447" spans="2:7" hidden="1" x14ac:dyDescent="0.3">
      <c r="B447" s="172" t="s">
        <v>189</v>
      </c>
      <c r="C447" s="172" t="s">
        <v>246</v>
      </c>
      <c r="D447" s="172" t="s">
        <v>221</v>
      </c>
      <c r="E447" s="172">
        <v>3.54894409128432E-4</v>
      </c>
      <c r="F447" s="172">
        <v>3.3343709262772202E-4</v>
      </c>
      <c r="G447" s="172">
        <v>1.0643519181732599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7.7513083031059704E-4</v>
      </c>
      <c r="F448" s="172">
        <v>7.6813637192495697E-4</v>
      </c>
      <c r="G448" s="172">
        <v>1.00910575080322</v>
      </c>
    </row>
    <row r="449" spans="2:7" hidden="1" x14ac:dyDescent="0.3">
      <c r="B449" s="172" t="s">
        <v>185</v>
      </c>
      <c r="C449" s="172" t="s">
        <v>246</v>
      </c>
      <c r="D449" s="172" t="s">
        <v>218</v>
      </c>
      <c r="E449" s="172">
        <v>6.9232908005680699E-4</v>
      </c>
      <c r="F449" s="172">
        <v>6.6448751426080805E-4</v>
      </c>
      <c r="G449" s="172">
        <v>1.0418993061547099</v>
      </c>
    </row>
    <row r="450" spans="2:7" hidden="1" x14ac:dyDescent="0.3">
      <c r="B450" s="172" t="s">
        <v>183</v>
      </c>
      <c r="C450" s="172" t="s">
        <v>246</v>
      </c>
      <c r="D450" s="172" t="s">
        <v>218</v>
      </c>
      <c r="E450" s="172">
        <v>6.0548316409864502E-4</v>
      </c>
      <c r="F450" s="172">
        <v>5.5127080892107701E-4</v>
      </c>
      <c r="G450" s="172">
        <v>1.09834069626083</v>
      </c>
    </row>
    <row r="451" spans="2:7" hidden="1" x14ac:dyDescent="0.3">
      <c r="B451" s="172" t="s">
        <v>181</v>
      </c>
      <c r="C451" s="172" t="s">
        <v>246</v>
      </c>
      <c r="D451" s="172" t="s">
        <v>218</v>
      </c>
      <c r="E451" s="172">
        <v>5.1917968314519995E-4</v>
      </c>
      <c r="F451" s="172">
        <v>4.4179545776537501E-4</v>
      </c>
      <c r="G451" s="172">
        <v>1.17515849024623</v>
      </c>
    </row>
    <row r="452" spans="2:7" hidden="1" x14ac:dyDescent="0.3">
      <c r="B452" s="172" t="s">
        <v>181</v>
      </c>
      <c r="C452" s="172" t="s">
        <v>246</v>
      </c>
      <c r="D452" s="172" t="s">
        <v>221</v>
      </c>
      <c r="E452" s="172">
        <v>1.44689874910682E-4</v>
      </c>
      <c r="F452" s="172">
        <v>8.7275772209521798E-5</v>
      </c>
      <c r="G452" s="172">
        <v>1.6578469745684701</v>
      </c>
    </row>
    <row r="453" spans="2:7" hidden="1" x14ac:dyDescent="0.3">
      <c r="B453" s="172" t="s">
        <v>179</v>
      </c>
      <c r="C453" s="172" t="s">
        <v>246</v>
      </c>
      <c r="D453" s="172" t="s">
        <v>218</v>
      </c>
      <c r="E453" s="172">
        <v>4.3515113950441799E-4</v>
      </c>
      <c r="F453" s="172">
        <v>3.3906800744063701E-4</v>
      </c>
      <c r="G453" s="172">
        <v>1.28337421978864</v>
      </c>
    </row>
    <row r="454" spans="2:7" hidden="1" x14ac:dyDescent="0.3">
      <c r="B454" s="172" t="s">
        <v>179</v>
      </c>
      <c r="C454" s="172" t="s">
        <v>246</v>
      </c>
      <c r="D454" s="172" t="s">
        <v>221</v>
      </c>
      <c r="E454" s="172">
        <v>1.94269013843227E-4</v>
      </c>
      <c r="F454" s="172">
        <v>1.22981528763648E-4</v>
      </c>
      <c r="G454" s="172">
        <v>1.57966009852246</v>
      </c>
    </row>
    <row r="455" spans="2:7" hidden="1" x14ac:dyDescent="0.3">
      <c r="B455" s="172" t="s">
        <v>39</v>
      </c>
      <c r="C455" s="172" t="s">
        <v>246</v>
      </c>
      <c r="D455" s="172" t="s">
        <v>218</v>
      </c>
      <c r="E455" s="172">
        <v>3.5396467743057801E-4</v>
      </c>
      <c r="F455" s="172">
        <v>2.4521563054747699E-4</v>
      </c>
      <c r="G455" s="172">
        <v>1.4434833401129601</v>
      </c>
    </row>
    <row r="456" spans="2:7" hidden="1" x14ac:dyDescent="0.3">
      <c r="B456" s="172" t="s">
        <v>39</v>
      </c>
      <c r="C456" s="172" t="s">
        <v>246</v>
      </c>
      <c r="D456" s="172" t="s">
        <v>221</v>
      </c>
      <c r="E456" s="172">
        <v>2.2840549383907401E-4</v>
      </c>
      <c r="F456" s="172">
        <v>1.47720717119354E-4</v>
      </c>
      <c r="G456" s="172">
        <v>1.5461981114979899</v>
      </c>
    </row>
    <row r="457" spans="2:7" hidden="1" x14ac:dyDescent="0.3">
      <c r="B457" s="172" t="s">
        <v>26</v>
      </c>
      <c r="C457" s="172" t="s">
        <v>246</v>
      </c>
      <c r="D457" s="172" t="s">
        <v>218</v>
      </c>
      <c r="E457" s="172">
        <v>2.75481349023549E-4</v>
      </c>
      <c r="F457" s="172">
        <v>1.63791174113461E-4</v>
      </c>
      <c r="G457" s="172">
        <v>1.6819059422134599</v>
      </c>
    </row>
    <row r="458" spans="2:7" hidden="1" x14ac:dyDescent="0.3">
      <c r="B458" s="172" t="s">
        <v>26</v>
      </c>
      <c r="C458" s="172" t="s">
        <v>246</v>
      </c>
      <c r="D458" s="172" t="s">
        <v>221</v>
      </c>
      <c r="E458" s="172">
        <v>2.3949233440803799E-4</v>
      </c>
      <c r="F458" s="172">
        <v>1.5662543044248799E-4</v>
      </c>
      <c r="G458" s="172">
        <v>1.52907694319779</v>
      </c>
    </row>
    <row r="459" spans="2:7" hidden="1" x14ac:dyDescent="0.3">
      <c r="B459" s="172" t="s">
        <v>25</v>
      </c>
      <c r="C459" s="172" t="s">
        <v>246</v>
      </c>
      <c r="D459" s="172" t="s">
        <v>218</v>
      </c>
      <c r="E459" s="172">
        <v>1.9670227727304799E-4</v>
      </c>
      <c r="F459" s="172">
        <v>9.4953099180040005E-5</v>
      </c>
      <c r="G459" s="172">
        <v>2.0715730078497199</v>
      </c>
    </row>
    <row r="460" spans="2:7" hidden="1" x14ac:dyDescent="0.3">
      <c r="B460" s="172" t="s">
        <v>25</v>
      </c>
      <c r="C460" s="172" t="s">
        <v>246</v>
      </c>
      <c r="D460" s="172" t="s">
        <v>221</v>
      </c>
      <c r="E460" s="172">
        <v>2.2094346071300201E-4</v>
      </c>
      <c r="F460" s="172">
        <v>1.4545213503109301E-4</v>
      </c>
      <c r="G460" s="172">
        <v>1.5190114649452999</v>
      </c>
    </row>
    <row r="461" spans="2:7" hidden="1" x14ac:dyDescent="0.3">
      <c r="B461" s="172" t="s">
        <v>24</v>
      </c>
      <c r="C461" s="172" t="s">
        <v>246</v>
      </c>
      <c r="D461" s="172" t="s">
        <v>218</v>
      </c>
      <c r="E461" s="172">
        <v>1.22992370540492E-4</v>
      </c>
      <c r="F461" s="172">
        <v>3.9907048577058198E-5</v>
      </c>
      <c r="G461" s="172">
        <v>3.0819711035006998</v>
      </c>
    </row>
    <row r="462" spans="2:7" hidden="1" x14ac:dyDescent="0.3">
      <c r="B462" s="172" t="s">
        <v>24</v>
      </c>
      <c r="C462" s="172" t="s">
        <v>246</v>
      </c>
      <c r="D462" s="172" t="s">
        <v>221</v>
      </c>
      <c r="E462" s="172">
        <v>1.7901593996571101E-4</v>
      </c>
      <c r="F462" s="172">
        <v>1.17371991412195E-4</v>
      </c>
      <c r="G462" s="172">
        <v>1.52520152220158</v>
      </c>
    </row>
    <row r="463" spans="2:7" hidden="1" x14ac:dyDescent="0.3">
      <c r="B463" s="172" t="s">
        <v>22</v>
      </c>
      <c r="C463" s="172" t="s">
        <v>246</v>
      </c>
      <c r="D463" s="172" t="s">
        <v>221</v>
      </c>
      <c r="E463" s="172">
        <v>1.0847776267293101E-4</v>
      </c>
      <c r="F463" s="172">
        <v>6.9276381361910494E-5</v>
      </c>
      <c r="G463" s="172">
        <v>1.56586935605406</v>
      </c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78" workbookViewId="0">
      <selection activeCell="E405" sqref="E405:E465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4.1525499133933602E-4</v>
      </c>
      <c r="F6" s="172">
        <v>165</v>
      </c>
      <c r="G6" s="172">
        <v>23</v>
      </c>
      <c r="H6" s="172">
        <v>17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4.03769179339666E-4</v>
      </c>
      <c r="F7" s="172">
        <v>165</v>
      </c>
      <c r="G7" s="172">
        <v>23</v>
      </c>
      <c r="H7" s="172">
        <v>17</v>
      </c>
      <c r="I7" s="172">
        <v>38.5</v>
      </c>
    </row>
    <row r="8" spans="2:9" s="172" customFormat="1" hidden="1" x14ac:dyDescent="0.3">
      <c r="B8" s="172" t="s">
        <v>189</v>
      </c>
      <c r="C8" s="172" t="s">
        <v>81</v>
      </c>
      <c r="D8" s="172" t="s">
        <v>221</v>
      </c>
      <c r="E8" s="172">
        <v>2.7786769499931803E-4</v>
      </c>
      <c r="F8" s="172">
        <v>166</v>
      </c>
      <c r="G8" s="172">
        <v>19</v>
      </c>
      <c r="H8" s="172">
        <v>17</v>
      </c>
      <c r="I8" s="172">
        <v>38.5</v>
      </c>
    </row>
    <row r="9" spans="2:9" s="172" customFormat="1" hidden="1" x14ac:dyDescent="0.3">
      <c r="B9" s="172" t="s">
        <v>189</v>
      </c>
      <c r="C9" s="172" t="s">
        <v>82</v>
      </c>
      <c r="D9" s="172" t="s">
        <v>221</v>
      </c>
      <c r="E9" s="172">
        <v>2.6283373979383299E-4</v>
      </c>
      <c r="F9" s="172">
        <v>166</v>
      </c>
      <c r="G9" s="172">
        <v>19</v>
      </c>
      <c r="H9" s="172">
        <v>17</v>
      </c>
      <c r="I9" s="172">
        <v>38.5</v>
      </c>
    </row>
    <row r="10" spans="2:9" s="172" customFormat="1" hidden="1" x14ac:dyDescent="0.3">
      <c r="B10" s="172" t="s">
        <v>189</v>
      </c>
      <c r="C10" s="172" t="s">
        <v>246</v>
      </c>
      <c r="D10" s="172" t="s">
        <v>218</v>
      </c>
      <c r="E10" s="172">
        <v>1.87548231679679E-4</v>
      </c>
      <c r="F10" s="172">
        <v>165</v>
      </c>
      <c r="G10" s="172">
        <v>23</v>
      </c>
      <c r="H10" s="172">
        <v>17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221</v>
      </c>
      <c r="E11" s="172">
        <v>1.02380416565465E-4</v>
      </c>
      <c r="F11" s="172">
        <v>166</v>
      </c>
      <c r="G11" s="172">
        <v>19</v>
      </c>
      <c r="H11" s="172">
        <v>17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3.6141163956608901E-4</v>
      </c>
      <c r="F12" s="172">
        <v>91</v>
      </c>
      <c r="G12" s="172">
        <v>23.25</v>
      </c>
      <c r="H12" s="172">
        <v>31.25</v>
      </c>
      <c r="I12" s="172">
        <v>35.5</v>
      </c>
    </row>
    <row r="13" spans="2:9" s="172" customFormat="1" hidden="1" x14ac:dyDescent="0.3">
      <c r="B13" s="172" t="s">
        <v>187</v>
      </c>
      <c r="C13" s="172" t="s">
        <v>80</v>
      </c>
      <c r="D13" s="172" t="s">
        <v>218</v>
      </c>
      <c r="E13" s="172">
        <v>3.6119935507581601E-4</v>
      </c>
      <c r="F13" s="172">
        <v>103</v>
      </c>
      <c r="G13" s="172">
        <v>23.25</v>
      </c>
      <c r="H13" s="172">
        <v>-0.25</v>
      </c>
      <c r="I13" s="172">
        <v>35.5</v>
      </c>
    </row>
    <row r="14" spans="2:9" hidden="1" x14ac:dyDescent="0.3">
      <c r="B14" s="172" t="s">
        <v>187</v>
      </c>
      <c r="C14" s="172" t="s">
        <v>81</v>
      </c>
      <c r="D14" s="172" t="s">
        <v>221</v>
      </c>
      <c r="E14" s="172">
        <v>2.8726906592664797E-4</v>
      </c>
      <c r="F14" s="172">
        <v>103</v>
      </c>
      <c r="G14" s="172">
        <v>23.25</v>
      </c>
      <c r="H14" s="172">
        <v>-0.25</v>
      </c>
      <c r="I14" s="172">
        <v>35.5</v>
      </c>
    </row>
    <row r="15" spans="2:9" hidden="1" x14ac:dyDescent="0.3">
      <c r="B15" s="172" t="s">
        <v>187</v>
      </c>
      <c r="C15" s="172" t="s">
        <v>82</v>
      </c>
      <c r="D15" s="172" t="s">
        <v>221</v>
      </c>
      <c r="E15" s="172">
        <v>3.1701253538421302E-4</v>
      </c>
      <c r="F15" s="172">
        <v>92</v>
      </c>
      <c r="G15" s="172">
        <v>-0.25</v>
      </c>
      <c r="H15" s="172">
        <v>-0.25</v>
      </c>
      <c r="I15" s="172">
        <v>35.5</v>
      </c>
    </row>
    <row r="16" spans="2:9" hidden="1" x14ac:dyDescent="0.3">
      <c r="B16" s="172" t="s">
        <v>187</v>
      </c>
      <c r="C16" s="172" t="s">
        <v>246</v>
      </c>
      <c r="D16" s="172" t="s">
        <v>218</v>
      </c>
      <c r="E16" s="172">
        <v>3.5666345354976198E-5</v>
      </c>
      <c r="F16" s="172">
        <v>103</v>
      </c>
      <c r="G16" s="172">
        <v>23.25</v>
      </c>
      <c r="H16" s="172">
        <v>-0.25</v>
      </c>
      <c r="I16" s="172">
        <v>35.5</v>
      </c>
    </row>
    <row r="17" spans="2:9" hidden="1" x14ac:dyDescent="0.3">
      <c r="B17" s="172" t="s">
        <v>187</v>
      </c>
      <c r="C17" s="172" t="s">
        <v>246</v>
      </c>
      <c r="D17" s="172" t="s">
        <v>221</v>
      </c>
      <c r="E17" s="172">
        <v>1.71368641891927E-5</v>
      </c>
      <c r="F17" s="172">
        <v>103</v>
      </c>
      <c r="G17" s="172">
        <v>23.25</v>
      </c>
      <c r="H17" s="172">
        <v>-0.25</v>
      </c>
      <c r="I17" s="172">
        <v>35.5</v>
      </c>
    </row>
    <row r="18" spans="2:9" x14ac:dyDescent="0.3">
      <c r="B18" s="172" t="s">
        <v>185</v>
      </c>
      <c r="C18" s="172" t="s">
        <v>79</v>
      </c>
      <c r="D18" s="172" t="s">
        <v>218</v>
      </c>
      <c r="E18" s="172">
        <v>5.5147942815695803E-4</v>
      </c>
      <c r="F18" s="172">
        <v>91</v>
      </c>
      <c r="G18" s="172">
        <v>23.25</v>
      </c>
      <c r="H18" s="172">
        <v>31.25</v>
      </c>
      <c r="I18" s="172">
        <v>32</v>
      </c>
    </row>
    <row r="19" spans="2:9" hidden="1" x14ac:dyDescent="0.3">
      <c r="B19" s="172" t="s">
        <v>185</v>
      </c>
      <c r="C19" s="172" t="s">
        <v>80</v>
      </c>
      <c r="D19" s="172" t="s">
        <v>218</v>
      </c>
      <c r="E19" s="172">
        <v>5.4983080778037705E-4</v>
      </c>
      <c r="F19" s="172">
        <v>103</v>
      </c>
      <c r="G19" s="172">
        <v>23.25</v>
      </c>
      <c r="H19" s="172">
        <v>-0.25</v>
      </c>
      <c r="I19" s="172">
        <v>32</v>
      </c>
    </row>
    <row r="20" spans="2:9" hidden="1" x14ac:dyDescent="0.3">
      <c r="B20" s="172" t="s">
        <v>185</v>
      </c>
      <c r="C20" s="172" t="s">
        <v>81</v>
      </c>
      <c r="D20" s="172" t="s">
        <v>221</v>
      </c>
      <c r="E20" s="172">
        <v>4.4981031001281498E-4</v>
      </c>
      <c r="F20" s="172">
        <v>92</v>
      </c>
      <c r="G20" s="172">
        <v>-0.25</v>
      </c>
      <c r="H20" s="172">
        <v>-0.25</v>
      </c>
      <c r="I20" s="172">
        <v>32</v>
      </c>
    </row>
    <row r="21" spans="2:9" hidden="1" x14ac:dyDescent="0.3">
      <c r="B21" s="172" t="s">
        <v>185</v>
      </c>
      <c r="C21" s="172" t="s">
        <v>82</v>
      </c>
      <c r="D21" s="172" t="s">
        <v>221</v>
      </c>
      <c r="E21" s="172">
        <v>5.2774373442857905E-4</v>
      </c>
      <c r="F21" s="172">
        <v>92</v>
      </c>
      <c r="G21" s="172">
        <v>-0.25</v>
      </c>
      <c r="H21" s="172">
        <v>-0.25</v>
      </c>
      <c r="I21" s="172">
        <v>32</v>
      </c>
    </row>
    <row r="22" spans="2:9" hidden="1" x14ac:dyDescent="0.3">
      <c r="B22" s="172" t="s">
        <v>185</v>
      </c>
      <c r="C22" s="172" t="s">
        <v>246</v>
      </c>
      <c r="D22" s="172" t="s">
        <v>218</v>
      </c>
      <c r="E22" s="172">
        <v>4.0003665723973103E-5</v>
      </c>
      <c r="F22" s="172">
        <v>103</v>
      </c>
      <c r="G22" s="172">
        <v>23.25</v>
      </c>
      <c r="H22" s="172">
        <v>-0.25</v>
      </c>
      <c r="I22" s="172">
        <v>32</v>
      </c>
    </row>
    <row r="23" spans="2:9" hidden="1" x14ac:dyDescent="0.3">
      <c r="B23" s="172" t="s">
        <v>185</v>
      </c>
      <c r="C23" s="172" t="s">
        <v>246</v>
      </c>
      <c r="D23" s="172" t="s">
        <v>221</v>
      </c>
      <c r="E23" s="172">
        <v>2.0022324622766001E-5</v>
      </c>
      <c r="F23" s="172">
        <v>103</v>
      </c>
      <c r="G23" s="172">
        <v>23.25</v>
      </c>
      <c r="H23" s="172">
        <v>-0.25</v>
      </c>
      <c r="I23" s="172">
        <v>32</v>
      </c>
    </row>
    <row r="24" spans="2:9" x14ac:dyDescent="0.3">
      <c r="B24" s="172" t="s">
        <v>183</v>
      </c>
      <c r="C24" s="172" t="s">
        <v>79</v>
      </c>
      <c r="D24" s="172" t="s">
        <v>218</v>
      </c>
      <c r="E24" s="172">
        <v>7.2565963504955095E-4</v>
      </c>
      <c r="F24" s="172">
        <v>91</v>
      </c>
      <c r="G24" s="172">
        <v>23.25</v>
      </c>
      <c r="H24" s="172">
        <v>31.25</v>
      </c>
      <c r="I24" s="172">
        <v>28.5</v>
      </c>
    </row>
    <row r="25" spans="2:9" hidden="1" x14ac:dyDescent="0.3">
      <c r="B25" s="172" t="s">
        <v>183</v>
      </c>
      <c r="C25" s="172" t="s">
        <v>80</v>
      </c>
      <c r="D25" s="172" t="s">
        <v>218</v>
      </c>
      <c r="E25" s="172">
        <v>7.2200684500543398E-4</v>
      </c>
      <c r="F25" s="172">
        <v>103</v>
      </c>
      <c r="G25" s="172">
        <v>23.25</v>
      </c>
      <c r="H25" s="172">
        <v>-0.25</v>
      </c>
      <c r="I25" s="172">
        <v>28.5</v>
      </c>
    </row>
    <row r="26" spans="2:9" hidden="1" x14ac:dyDescent="0.3">
      <c r="B26" s="172" t="s">
        <v>183</v>
      </c>
      <c r="C26" s="172" t="s">
        <v>81</v>
      </c>
      <c r="D26" s="172" t="s">
        <v>221</v>
      </c>
      <c r="E26" s="172">
        <v>6.2027992977820804E-4</v>
      </c>
      <c r="F26" s="172">
        <v>92</v>
      </c>
      <c r="G26" s="172">
        <v>-0.25</v>
      </c>
      <c r="H26" s="172">
        <v>-0.25</v>
      </c>
      <c r="I26" s="172">
        <v>28.5</v>
      </c>
    </row>
    <row r="27" spans="2:9" hidden="1" x14ac:dyDescent="0.3">
      <c r="B27" s="172" t="s">
        <v>183</v>
      </c>
      <c r="C27" s="172" t="s">
        <v>82</v>
      </c>
      <c r="D27" s="172" t="s">
        <v>221</v>
      </c>
      <c r="E27" s="172">
        <v>7.3038803392551398E-4</v>
      </c>
      <c r="F27" s="172">
        <v>92</v>
      </c>
      <c r="G27" s="172">
        <v>-0.25</v>
      </c>
      <c r="H27" s="172">
        <v>-0.25</v>
      </c>
      <c r="I27" s="172">
        <v>28.5</v>
      </c>
    </row>
    <row r="28" spans="2:9" hidden="1" x14ac:dyDescent="0.3">
      <c r="B28" s="172" t="s">
        <v>183</v>
      </c>
      <c r="C28" s="172" t="s">
        <v>246</v>
      </c>
      <c r="D28" s="172" t="s">
        <v>218</v>
      </c>
      <c r="E28" s="172">
        <v>3.8005988914266102E-5</v>
      </c>
      <c r="F28" s="172">
        <v>103</v>
      </c>
      <c r="G28" s="172">
        <v>23.25</v>
      </c>
      <c r="H28" s="172">
        <v>-0.25</v>
      </c>
      <c r="I28" s="172">
        <v>28.5</v>
      </c>
    </row>
    <row r="29" spans="2:9" hidden="1" x14ac:dyDescent="0.3">
      <c r="B29" s="172" t="s">
        <v>183</v>
      </c>
      <c r="C29" s="172" t="s">
        <v>246</v>
      </c>
      <c r="D29" s="172" t="s">
        <v>221</v>
      </c>
      <c r="E29" s="172">
        <v>1.7633191658421801E-5</v>
      </c>
      <c r="F29" s="172">
        <v>103</v>
      </c>
      <c r="G29" s="172">
        <v>23.25</v>
      </c>
      <c r="H29" s="172">
        <v>-0.25</v>
      </c>
      <c r="I29" s="172">
        <v>28.5</v>
      </c>
    </row>
    <row r="30" spans="2:9" x14ac:dyDescent="0.3">
      <c r="B30" s="172" t="s">
        <v>181</v>
      </c>
      <c r="C30" s="172" t="s">
        <v>79</v>
      </c>
      <c r="D30" s="172" t="s">
        <v>218</v>
      </c>
      <c r="E30" s="172">
        <v>8.7097502322859197E-4</v>
      </c>
      <c r="F30" s="172">
        <v>91</v>
      </c>
      <c r="G30" s="172">
        <v>23.25</v>
      </c>
      <c r="H30" s="172">
        <v>31.25</v>
      </c>
      <c r="I30" s="172">
        <v>25</v>
      </c>
    </row>
    <row r="31" spans="2:9" hidden="1" x14ac:dyDescent="0.3">
      <c r="B31" s="172" t="s">
        <v>181</v>
      </c>
      <c r="C31" s="172" t="s">
        <v>80</v>
      </c>
      <c r="D31" s="172" t="s">
        <v>218</v>
      </c>
      <c r="E31" s="172">
        <v>8.6524153835656895E-4</v>
      </c>
      <c r="F31" s="172">
        <v>103</v>
      </c>
      <c r="G31" s="172">
        <v>23.25</v>
      </c>
      <c r="H31" s="172">
        <v>-0.25</v>
      </c>
      <c r="I31" s="172">
        <v>25</v>
      </c>
    </row>
    <row r="32" spans="2:9" hidden="1" x14ac:dyDescent="0.3">
      <c r="B32" s="172" t="s">
        <v>181</v>
      </c>
      <c r="C32" s="172" t="s">
        <v>81</v>
      </c>
      <c r="D32" s="172" t="s">
        <v>221</v>
      </c>
      <c r="E32" s="172">
        <v>7.6591095551554599E-4</v>
      </c>
      <c r="F32" s="172">
        <v>92</v>
      </c>
      <c r="G32" s="172">
        <v>-0.25</v>
      </c>
      <c r="H32" s="172">
        <v>-0.25</v>
      </c>
      <c r="I32" s="172">
        <v>25</v>
      </c>
    </row>
    <row r="33" spans="2:9" hidden="1" x14ac:dyDescent="0.3">
      <c r="B33" s="172" t="s">
        <v>181</v>
      </c>
      <c r="C33" s="172" t="s">
        <v>82</v>
      </c>
      <c r="D33" s="172" t="s">
        <v>221</v>
      </c>
      <c r="E33" s="172">
        <v>9.0336029284969498E-4</v>
      </c>
      <c r="F33" s="172">
        <v>92</v>
      </c>
      <c r="G33" s="172">
        <v>-0.25</v>
      </c>
      <c r="H33" s="172">
        <v>-0.25</v>
      </c>
      <c r="I33" s="172">
        <v>25</v>
      </c>
    </row>
    <row r="34" spans="2:9" hidden="1" x14ac:dyDescent="0.3">
      <c r="B34" s="172" t="s">
        <v>181</v>
      </c>
      <c r="C34" s="172" t="s">
        <v>246</v>
      </c>
      <c r="D34" s="172" t="s">
        <v>218</v>
      </c>
      <c r="E34" s="172">
        <v>3.47794149365114E-5</v>
      </c>
      <c r="F34" s="172">
        <v>103</v>
      </c>
      <c r="G34" s="172">
        <v>23.25</v>
      </c>
      <c r="H34" s="172">
        <v>-0.25</v>
      </c>
      <c r="I34" s="172">
        <v>25</v>
      </c>
    </row>
    <row r="35" spans="2:9" hidden="1" x14ac:dyDescent="0.3">
      <c r="B35" s="172" t="s">
        <v>181</v>
      </c>
      <c r="C35" s="172" t="s">
        <v>246</v>
      </c>
      <c r="D35" s="172" t="s">
        <v>221</v>
      </c>
      <c r="E35" s="172">
        <v>1.4251638343325899E-5</v>
      </c>
      <c r="F35" s="172">
        <v>103</v>
      </c>
      <c r="G35" s="172">
        <v>23.25</v>
      </c>
      <c r="H35" s="172">
        <v>-0.25</v>
      </c>
      <c r="I35" s="172">
        <v>25</v>
      </c>
    </row>
    <row r="36" spans="2:9" x14ac:dyDescent="0.3">
      <c r="B36" s="172" t="s">
        <v>179</v>
      </c>
      <c r="C36" s="172" t="s">
        <v>79</v>
      </c>
      <c r="D36" s="172" t="s">
        <v>218</v>
      </c>
      <c r="E36" s="172">
        <v>9.8322167748828493E-4</v>
      </c>
      <c r="F36" s="172">
        <v>91</v>
      </c>
      <c r="G36" s="172">
        <v>23.25</v>
      </c>
      <c r="H36" s="172">
        <v>31.25</v>
      </c>
      <c r="I36" s="172">
        <v>21.5</v>
      </c>
    </row>
    <row r="37" spans="2:9" hidden="1" x14ac:dyDescent="0.3">
      <c r="B37" s="172" t="s">
        <v>179</v>
      </c>
      <c r="C37" s="172" t="s">
        <v>80</v>
      </c>
      <c r="D37" s="172" t="s">
        <v>218</v>
      </c>
      <c r="E37" s="172">
        <v>9.7575674033274697E-4</v>
      </c>
      <c r="F37" s="172">
        <v>103</v>
      </c>
      <c r="G37" s="172">
        <v>23.25</v>
      </c>
      <c r="H37" s="172">
        <v>-0.25</v>
      </c>
      <c r="I37" s="172">
        <v>21.5</v>
      </c>
    </row>
    <row r="38" spans="2:9" hidden="1" x14ac:dyDescent="0.3">
      <c r="B38" s="172" t="s">
        <v>179</v>
      </c>
      <c r="C38" s="172" t="s">
        <v>81</v>
      </c>
      <c r="D38" s="172" t="s">
        <v>221</v>
      </c>
      <c r="E38" s="172">
        <v>8.8044998717065495E-4</v>
      </c>
      <c r="F38" s="172">
        <v>92</v>
      </c>
      <c r="G38" s="172">
        <v>-0.25</v>
      </c>
      <c r="H38" s="172">
        <v>-0.25</v>
      </c>
      <c r="I38" s="172">
        <v>21.5</v>
      </c>
    </row>
    <row r="39" spans="2:9" hidden="1" x14ac:dyDescent="0.3">
      <c r="B39" s="172" t="s">
        <v>179</v>
      </c>
      <c r="C39" s="172" t="s">
        <v>82</v>
      </c>
      <c r="D39" s="172" t="s">
        <v>221</v>
      </c>
      <c r="E39" s="172">
        <v>1.03825164892694E-3</v>
      </c>
      <c r="F39" s="172">
        <v>92</v>
      </c>
      <c r="G39" s="172">
        <v>-0.25</v>
      </c>
      <c r="H39" s="172">
        <v>-0.25</v>
      </c>
      <c r="I39" s="172">
        <v>21.5</v>
      </c>
    </row>
    <row r="40" spans="2:9" hidden="1" x14ac:dyDescent="0.3">
      <c r="B40" s="172" t="s">
        <v>179</v>
      </c>
      <c r="C40" s="172" t="s">
        <v>246</v>
      </c>
      <c r="D40" s="172" t="s">
        <v>218</v>
      </c>
      <c r="E40" s="172">
        <v>3.0492165903194E-5</v>
      </c>
      <c r="F40" s="172">
        <v>103</v>
      </c>
      <c r="G40" s="172">
        <v>23.25</v>
      </c>
      <c r="H40" s="172">
        <v>-0.25</v>
      </c>
      <c r="I40" s="172">
        <v>21.5</v>
      </c>
    </row>
    <row r="41" spans="2:9" hidden="1" x14ac:dyDescent="0.3">
      <c r="B41" s="172" t="s">
        <v>179</v>
      </c>
      <c r="C41" s="172" t="s">
        <v>246</v>
      </c>
      <c r="D41" s="172" t="s">
        <v>221</v>
      </c>
      <c r="E41" s="172">
        <v>9.8116482698701899E-6</v>
      </c>
      <c r="F41" s="172">
        <v>103</v>
      </c>
      <c r="G41" s="172">
        <v>23.25</v>
      </c>
      <c r="H41" s="172">
        <v>-0.25</v>
      </c>
      <c r="I41" s="172">
        <v>21.5</v>
      </c>
    </row>
    <row r="42" spans="2:9" x14ac:dyDescent="0.3">
      <c r="B42" s="172" t="s">
        <v>39</v>
      </c>
      <c r="C42" s="172" t="s">
        <v>79</v>
      </c>
      <c r="D42" s="172" t="s">
        <v>218</v>
      </c>
      <c r="E42" s="172">
        <v>1.0288665639123799E-3</v>
      </c>
      <c r="F42" s="172">
        <v>91</v>
      </c>
      <c r="G42" s="172">
        <v>23.25</v>
      </c>
      <c r="H42" s="172">
        <v>31.25</v>
      </c>
      <c r="I42" s="172">
        <v>18</v>
      </c>
    </row>
    <row r="43" spans="2:9" hidden="1" x14ac:dyDescent="0.3">
      <c r="B43" s="172" t="s">
        <v>39</v>
      </c>
      <c r="C43" s="172" t="s">
        <v>80</v>
      </c>
      <c r="D43" s="172" t="s">
        <v>218</v>
      </c>
      <c r="E43" s="172">
        <v>1.02166618171788E-3</v>
      </c>
      <c r="F43" s="172">
        <v>103</v>
      </c>
      <c r="G43" s="172">
        <v>23.25</v>
      </c>
      <c r="H43" s="172">
        <v>-0.25</v>
      </c>
      <c r="I43" s="172">
        <v>18</v>
      </c>
    </row>
    <row r="44" spans="2:9" hidden="1" x14ac:dyDescent="0.3">
      <c r="B44" s="172" t="s">
        <v>39</v>
      </c>
      <c r="C44" s="172" t="s">
        <v>81</v>
      </c>
      <c r="D44" s="172" t="s">
        <v>221</v>
      </c>
      <c r="E44" s="172">
        <v>9.3455592126465105E-4</v>
      </c>
      <c r="F44" s="172">
        <v>92</v>
      </c>
      <c r="G44" s="172">
        <v>-0.25</v>
      </c>
      <c r="H44" s="172">
        <v>-0.25</v>
      </c>
      <c r="I44" s="172">
        <v>18</v>
      </c>
    </row>
    <row r="45" spans="2:9" hidden="1" x14ac:dyDescent="0.3">
      <c r="B45" s="172" t="s">
        <v>39</v>
      </c>
      <c r="C45" s="172" t="s">
        <v>82</v>
      </c>
      <c r="D45" s="172" t="s">
        <v>221</v>
      </c>
      <c r="E45" s="172">
        <v>1.0946937927039501E-3</v>
      </c>
      <c r="F45" s="172">
        <v>92</v>
      </c>
      <c r="G45" s="172">
        <v>-0.25</v>
      </c>
      <c r="H45" s="172">
        <v>-0.25</v>
      </c>
      <c r="I45" s="172">
        <v>18</v>
      </c>
    </row>
    <row r="46" spans="2:9" hidden="1" x14ac:dyDescent="0.3">
      <c r="B46" s="172" t="s">
        <v>39</v>
      </c>
      <c r="C46" s="172" t="s">
        <v>246</v>
      </c>
      <c r="D46" s="172" t="s">
        <v>218</v>
      </c>
      <c r="E46" s="172">
        <v>2.41180062885215E-5</v>
      </c>
      <c r="F46" s="172">
        <v>103</v>
      </c>
      <c r="G46" s="172">
        <v>23.25</v>
      </c>
      <c r="H46" s="172">
        <v>-0.25</v>
      </c>
      <c r="I46" s="172">
        <v>18</v>
      </c>
    </row>
    <row r="47" spans="2:9" hidden="1" x14ac:dyDescent="0.3">
      <c r="B47" s="172" t="s">
        <v>39</v>
      </c>
      <c r="C47" s="172" t="s">
        <v>246</v>
      </c>
      <c r="D47" s="172" t="s">
        <v>221</v>
      </c>
      <c r="E47" s="172">
        <v>3.1812223193675199E-6</v>
      </c>
      <c r="F47" s="172">
        <v>91</v>
      </c>
      <c r="G47" s="172">
        <v>23.25</v>
      </c>
      <c r="H47" s="172">
        <v>31.25</v>
      </c>
      <c r="I47" s="172">
        <v>18</v>
      </c>
    </row>
    <row r="48" spans="2:9" x14ac:dyDescent="0.3">
      <c r="B48" s="172" t="s">
        <v>26</v>
      </c>
      <c r="C48" s="172" t="s">
        <v>79</v>
      </c>
      <c r="D48" s="172" t="s">
        <v>218</v>
      </c>
      <c r="E48" s="172">
        <v>1.0498198300483001E-3</v>
      </c>
      <c r="F48" s="172">
        <v>91</v>
      </c>
      <c r="G48" s="172">
        <v>23.25</v>
      </c>
      <c r="H48" s="172">
        <v>31.25</v>
      </c>
      <c r="I48" s="172">
        <v>14.5</v>
      </c>
    </row>
    <row r="49" spans="2:9" hidden="1" x14ac:dyDescent="0.3">
      <c r="B49" s="172" t="s">
        <v>26</v>
      </c>
      <c r="C49" s="172" t="s">
        <v>80</v>
      </c>
      <c r="D49" s="172" t="s">
        <v>218</v>
      </c>
      <c r="E49" s="172">
        <v>1.0445946686021799E-3</v>
      </c>
      <c r="F49" s="172">
        <v>103</v>
      </c>
      <c r="G49" s="172">
        <v>23.25</v>
      </c>
      <c r="H49" s="172">
        <v>-0.25</v>
      </c>
      <c r="I49" s="172">
        <v>14.5</v>
      </c>
    </row>
    <row r="50" spans="2:9" hidden="1" x14ac:dyDescent="0.3">
      <c r="B50" s="172" t="s">
        <v>26</v>
      </c>
      <c r="C50" s="172" t="s">
        <v>81</v>
      </c>
      <c r="D50" s="172" t="s">
        <v>221</v>
      </c>
      <c r="E50" s="172">
        <v>9.6742444413620301E-4</v>
      </c>
      <c r="F50" s="172">
        <v>92</v>
      </c>
      <c r="G50" s="172">
        <v>-0.25</v>
      </c>
      <c r="H50" s="172">
        <v>-0.25</v>
      </c>
      <c r="I50" s="172">
        <v>14.5</v>
      </c>
    </row>
    <row r="51" spans="2:9" hidden="1" x14ac:dyDescent="0.3">
      <c r="B51" s="172" t="s">
        <v>26</v>
      </c>
      <c r="C51" s="172" t="s">
        <v>82</v>
      </c>
      <c r="D51" s="172" t="s">
        <v>221</v>
      </c>
      <c r="E51" s="172">
        <v>1.1258678669611999E-3</v>
      </c>
      <c r="F51" s="172">
        <v>92</v>
      </c>
      <c r="G51" s="172">
        <v>-0.25</v>
      </c>
      <c r="H51" s="172">
        <v>-0.25</v>
      </c>
      <c r="I51" s="172">
        <v>14.5</v>
      </c>
    </row>
    <row r="52" spans="2:9" hidden="1" x14ac:dyDescent="0.3">
      <c r="B52" s="172" t="s">
        <v>26</v>
      </c>
      <c r="C52" s="172" t="s">
        <v>246</v>
      </c>
      <c r="D52" s="172" t="s">
        <v>218</v>
      </c>
      <c r="E52" s="172">
        <v>2.2554117259669102E-5</v>
      </c>
      <c r="F52" s="172">
        <v>91</v>
      </c>
      <c r="G52" s="172">
        <v>23.25</v>
      </c>
      <c r="H52" s="172">
        <v>31.25</v>
      </c>
      <c r="I52" s="172">
        <v>14.5</v>
      </c>
    </row>
    <row r="53" spans="2:9" hidden="1" x14ac:dyDescent="0.3">
      <c r="B53" s="172" t="s">
        <v>26</v>
      </c>
      <c r="C53" s="172" t="s">
        <v>246</v>
      </c>
      <c r="D53" s="172" t="s">
        <v>221</v>
      </c>
      <c r="E53" s="172">
        <v>5.3454892438217202E-6</v>
      </c>
      <c r="F53" s="172">
        <v>103</v>
      </c>
      <c r="G53" s="172">
        <v>23.25</v>
      </c>
      <c r="H53" s="172">
        <v>-0.25</v>
      </c>
      <c r="I53" s="172">
        <v>14.5</v>
      </c>
    </row>
    <row r="54" spans="2:9" x14ac:dyDescent="0.3">
      <c r="B54" s="172" t="s">
        <v>25</v>
      </c>
      <c r="C54" s="172" t="s">
        <v>79</v>
      </c>
      <c r="D54" s="172" t="s">
        <v>218</v>
      </c>
      <c r="E54" s="172">
        <v>1.0875742538576001E-3</v>
      </c>
      <c r="F54" s="172">
        <v>91</v>
      </c>
      <c r="G54" s="172">
        <v>23.25</v>
      </c>
      <c r="H54" s="172">
        <v>31.25</v>
      </c>
      <c r="I54" s="172">
        <v>11</v>
      </c>
    </row>
    <row r="55" spans="2:9" hidden="1" x14ac:dyDescent="0.3">
      <c r="B55" s="172" t="s">
        <v>25</v>
      </c>
      <c r="C55" s="172" t="s">
        <v>80</v>
      </c>
      <c r="D55" s="172" t="s">
        <v>218</v>
      </c>
      <c r="E55" s="172">
        <v>1.08242344116363E-3</v>
      </c>
      <c r="F55" s="172">
        <v>103</v>
      </c>
      <c r="G55" s="172">
        <v>23.25</v>
      </c>
      <c r="H55" s="172">
        <v>-0.25</v>
      </c>
      <c r="I55" s="172">
        <v>11</v>
      </c>
    </row>
    <row r="56" spans="2:9" hidden="1" x14ac:dyDescent="0.3">
      <c r="B56" s="172" t="s">
        <v>25</v>
      </c>
      <c r="C56" s="172" t="s">
        <v>81</v>
      </c>
      <c r="D56" s="172" t="s">
        <v>221</v>
      </c>
      <c r="E56" s="172">
        <v>1.0143283517303099E-3</v>
      </c>
      <c r="F56" s="172">
        <v>92</v>
      </c>
      <c r="G56" s="172">
        <v>-0.25</v>
      </c>
      <c r="H56" s="172">
        <v>-0.25</v>
      </c>
      <c r="I56" s="172">
        <v>11</v>
      </c>
    </row>
    <row r="57" spans="2:9" hidden="1" x14ac:dyDescent="0.3">
      <c r="B57" s="172" t="s">
        <v>25</v>
      </c>
      <c r="C57" s="172" t="s">
        <v>82</v>
      </c>
      <c r="D57" s="172" t="s">
        <v>221</v>
      </c>
      <c r="E57" s="172">
        <v>1.1807365247004701E-3</v>
      </c>
      <c r="F57" s="172">
        <v>92</v>
      </c>
      <c r="G57" s="172">
        <v>-0.25</v>
      </c>
      <c r="H57" s="172">
        <v>-0.25</v>
      </c>
      <c r="I57" s="172">
        <v>11</v>
      </c>
    </row>
    <row r="58" spans="2:9" hidden="1" x14ac:dyDescent="0.3">
      <c r="B58" s="172" t="s">
        <v>25</v>
      </c>
      <c r="C58" s="172" t="s">
        <v>246</v>
      </c>
      <c r="D58" s="172" t="s">
        <v>218</v>
      </c>
      <c r="E58" s="172">
        <v>2.1145981905751201E-5</v>
      </c>
      <c r="F58" s="172">
        <v>91</v>
      </c>
      <c r="G58" s="172">
        <v>23.25</v>
      </c>
      <c r="H58" s="172">
        <v>31.25</v>
      </c>
      <c r="I58" s="172">
        <v>11</v>
      </c>
    </row>
    <row r="59" spans="2:9" hidden="1" x14ac:dyDescent="0.3">
      <c r="B59" s="172" t="s">
        <v>25</v>
      </c>
      <c r="C59" s="172" t="s">
        <v>246</v>
      </c>
      <c r="D59" s="172" t="s">
        <v>221</v>
      </c>
      <c r="E59" s="172">
        <v>1.20653001956757E-5</v>
      </c>
      <c r="F59" s="172">
        <v>103</v>
      </c>
      <c r="G59" s="172">
        <v>23.25</v>
      </c>
      <c r="H59" s="172">
        <v>-0.25</v>
      </c>
      <c r="I59" s="172">
        <v>11</v>
      </c>
    </row>
    <row r="60" spans="2:9" x14ac:dyDescent="0.3">
      <c r="B60" s="172" t="s">
        <v>24</v>
      </c>
      <c r="C60" s="172" t="s">
        <v>79</v>
      </c>
      <c r="D60" s="172" t="s">
        <v>218</v>
      </c>
      <c r="E60" s="172">
        <v>1.08693312867377E-3</v>
      </c>
      <c r="F60" s="172">
        <v>91</v>
      </c>
      <c r="G60" s="172">
        <v>23.25</v>
      </c>
      <c r="H60" s="172">
        <v>31.25</v>
      </c>
      <c r="I60" s="172">
        <v>7.5</v>
      </c>
    </row>
    <row r="61" spans="2:9" hidden="1" x14ac:dyDescent="0.3">
      <c r="B61" s="172" t="s">
        <v>24</v>
      </c>
      <c r="C61" s="172" t="s">
        <v>80</v>
      </c>
      <c r="D61" s="172" t="s">
        <v>218</v>
      </c>
      <c r="E61" s="172">
        <v>1.08148893204433E-3</v>
      </c>
      <c r="F61" s="172">
        <v>103</v>
      </c>
      <c r="G61" s="172">
        <v>23.25</v>
      </c>
      <c r="H61" s="172">
        <v>-0.25</v>
      </c>
      <c r="I61" s="172">
        <v>7.5</v>
      </c>
    </row>
    <row r="62" spans="2:9" hidden="1" x14ac:dyDescent="0.3">
      <c r="B62" s="172" t="s">
        <v>24</v>
      </c>
      <c r="C62" s="172" t="s">
        <v>81</v>
      </c>
      <c r="D62" s="172" t="s">
        <v>221</v>
      </c>
      <c r="E62" s="172">
        <v>1.01795141851519E-3</v>
      </c>
      <c r="F62" s="172">
        <v>92</v>
      </c>
      <c r="G62" s="172">
        <v>-0.25</v>
      </c>
      <c r="H62" s="172">
        <v>-0.25</v>
      </c>
      <c r="I62" s="172">
        <v>7.5</v>
      </c>
    </row>
    <row r="63" spans="2:9" hidden="1" x14ac:dyDescent="0.3">
      <c r="B63" s="172" t="s">
        <v>24</v>
      </c>
      <c r="C63" s="172" t="s">
        <v>82</v>
      </c>
      <c r="D63" s="172" t="s">
        <v>221</v>
      </c>
      <c r="E63" s="172">
        <v>1.1879790019794401E-3</v>
      </c>
      <c r="F63" s="172">
        <v>92</v>
      </c>
      <c r="G63" s="172">
        <v>-0.25</v>
      </c>
      <c r="H63" s="172">
        <v>-0.25</v>
      </c>
      <c r="I63" s="172">
        <v>7.5</v>
      </c>
    </row>
    <row r="64" spans="2:9" hidden="1" x14ac:dyDescent="0.3">
      <c r="B64" s="172" t="s">
        <v>24</v>
      </c>
      <c r="C64" s="172" t="s">
        <v>246</v>
      </c>
      <c r="D64" s="172" t="s">
        <v>218</v>
      </c>
      <c r="E64" s="172">
        <v>1.9126078359605899E-5</v>
      </c>
      <c r="F64" s="172">
        <v>91</v>
      </c>
      <c r="G64" s="172">
        <v>23.25</v>
      </c>
      <c r="H64" s="172">
        <v>31.25</v>
      </c>
      <c r="I64" s="172">
        <v>7.5</v>
      </c>
    </row>
    <row r="65" spans="2:9" hidden="1" x14ac:dyDescent="0.3">
      <c r="B65" s="172" t="s">
        <v>24</v>
      </c>
      <c r="C65" s="172" t="s">
        <v>246</v>
      </c>
      <c r="D65" s="172" t="s">
        <v>221</v>
      </c>
      <c r="E65" s="172">
        <v>2.0293159768387499E-5</v>
      </c>
      <c r="F65" s="172">
        <v>103</v>
      </c>
      <c r="G65" s="172">
        <v>23.25</v>
      </c>
      <c r="H65" s="172">
        <v>-0.25</v>
      </c>
      <c r="I65" s="172">
        <v>7.5</v>
      </c>
    </row>
    <row r="66" spans="2:9" x14ac:dyDescent="0.3">
      <c r="B66" s="172" t="s">
        <v>22</v>
      </c>
      <c r="C66" s="172" t="s">
        <v>79</v>
      </c>
      <c r="D66" s="172" t="s">
        <v>218</v>
      </c>
      <c r="E66" s="172">
        <v>7.98605000205844E-4</v>
      </c>
      <c r="F66" s="172">
        <v>28</v>
      </c>
      <c r="G66" s="172">
        <v>19</v>
      </c>
      <c r="H66" s="172">
        <v>31</v>
      </c>
      <c r="I66" s="172">
        <v>4</v>
      </c>
    </row>
    <row r="67" spans="2:9" hidden="1" x14ac:dyDescent="0.3">
      <c r="B67" s="172" t="s">
        <v>22</v>
      </c>
      <c r="C67" s="172" t="s">
        <v>80</v>
      </c>
      <c r="D67" s="172" t="s">
        <v>218</v>
      </c>
      <c r="E67" s="172">
        <v>7.9220331955573095E-4</v>
      </c>
      <c r="F67" s="172">
        <v>24</v>
      </c>
      <c r="G67" s="172">
        <v>19</v>
      </c>
      <c r="H67" s="172">
        <v>0</v>
      </c>
      <c r="I67" s="172">
        <v>4</v>
      </c>
    </row>
    <row r="68" spans="2:9" hidden="1" x14ac:dyDescent="0.3">
      <c r="B68" s="172" t="s">
        <v>22</v>
      </c>
      <c r="C68" s="172" t="s">
        <v>81</v>
      </c>
      <c r="D68" s="172" t="s">
        <v>221</v>
      </c>
      <c r="E68" s="172">
        <v>7.1695172701886705E-4</v>
      </c>
      <c r="F68" s="172">
        <v>165</v>
      </c>
      <c r="G68" s="172">
        <v>23</v>
      </c>
      <c r="H68" s="172">
        <v>17</v>
      </c>
      <c r="I68" s="172">
        <v>4</v>
      </c>
    </row>
    <row r="69" spans="2:9" hidden="1" x14ac:dyDescent="0.3">
      <c r="B69" s="172" t="s">
        <v>22</v>
      </c>
      <c r="C69" s="172" t="s">
        <v>82</v>
      </c>
      <c r="D69" s="172" t="s">
        <v>221</v>
      </c>
      <c r="E69" s="172">
        <v>8.4161037513782002E-4</v>
      </c>
      <c r="F69" s="172">
        <v>32</v>
      </c>
      <c r="G69" s="172">
        <v>0</v>
      </c>
      <c r="H69" s="172">
        <v>25</v>
      </c>
      <c r="I69" s="172">
        <v>4</v>
      </c>
    </row>
    <row r="70" spans="2:9" hidden="1" x14ac:dyDescent="0.3">
      <c r="B70" s="172" t="s">
        <v>22</v>
      </c>
      <c r="C70" s="172" t="s">
        <v>246</v>
      </c>
      <c r="D70" s="172" t="s">
        <v>221</v>
      </c>
      <c r="E70" s="172">
        <v>2.7119440668232599E-5</v>
      </c>
      <c r="F70" s="172">
        <v>165</v>
      </c>
      <c r="G70" s="172">
        <v>23</v>
      </c>
      <c r="H70" s="172">
        <v>17</v>
      </c>
      <c r="I70" s="172">
        <v>4</v>
      </c>
    </row>
    <row r="71" spans="2:9" hidden="1" x14ac:dyDescent="0.3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4.1525499133933602E-4</v>
      </c>
      <c r="F138" s="172">
        <v>165</v>
      </c>
      <c r="G138" s="172">
        <v>23</v>
      </c>
      <c r="H138" s="172">
        <v>17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4.03769179339666E-4</v>
      </c>
      <c r="F139" s="172">
        <v>165</v>
      </c>
      <c r="G139" s="172">
        <v>23</v>
      </c>
      <c r="H139" s="172">
        <v>17</v>
      </c>
      <c r="I139" s="172">
        <v>38.5</v>
      </c>
    </row>
    <row r="140" spans="2:9" hidden="1" x14ac:dyDescent="0.3">
      <c r="B140" s="172" t="s">
        <v>189</v>
      </c>
      <c r="C140" s="172" t="s">
        <v>81</v>
      </c>
      <c r="D140" s="172" t="s">
        <v>221</v>
      </c>
      <c r="E140" s="172">
        <v>2.7786769499931803E-4</v>
      </c>
      <c r="F140" s="172">
        <v>166</v>
      </c>
      <c r="G140" s="172">
        <v>19</v>
      </c>
      <c r="H140" s="172">
        <v>17</v>
      </c>
      <c r="I140" s="172">
        <v>38.5</v>
      </c>
    </row>
    <row r="141" spans="2:9" hidden="1" x14ac:dyDescent="0.3">
      <c r="B141" s="172" t="s">
        <v>189</v>
      </c>
      <c r="C141" s="172" t="s">
        <v>82</v>
      </c>
      <c r="D141" s="172" t="s">
        <v>221</v>
      </c>
      <c r="E141" s="172">
        <v>2.6283373979383299E-4</v>
      </c>
      <c r="F141" s="172">
        <v>166</v>
      </c>
      <c r="G141" s="172">
        <v>19</v>
      </c>
      <c r="H141" s="172">
        <v>17</v>
      </c>
      <c r="I141" s="172">
        <v>38.5</v>
      </c>
    </row>
    <row r="142" spans="2:9" hidden="1" x14ac:dyDescent="0.3">
      <c r="B142" s="172" t="s">
        <v>189</v>
      </c>
      <c r="C142" s="172" t="s">
        <v>246</v>
      </c>
      <c r="D142" s="172" t="s">
        <v>218</v>
      </c>
      <c r="E142" s="172">
        <v>1.87548231679679E-4</v>
      </c>
      <c r="F142" s="172">
        <v>165</v>
      </c>
      <c r="G142" s="172">
        <v>23</v>
      </c>
      <c r="H142" s="172">
        <v>17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221</v>
      </c>
      <c r="E143" s="172">
        <v>1.02380416565465E-4</v>
      </c>
      <c r="F143" s="172">
        <v>166</v>
      </c>
      <c r="G143" s="172">
        <v>19</v>
      </c>
      <c r="H143" s="172">
        <v>17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3.6141163956608901E-4</v>
      </c>
      <c r="F144" s="172">
        <v>91</v>
      </c>
      <c r="G144" s="172">
        <v>23.25</v>
      </c>
      <c r="H144" s="172">
        <v>31.25</v>
      </c>
      <c r="I144" s="172">
        <v>35.5</v>
      </c>
    </row>
    <row r="145" spans="2:9" x14ac:dyDescent="0.3">
      <c r="B145" s="172" t="s">
        <v>187</v>
      </c>
      <c r="C145" s="172" t="s">
        <v>80</v>
      </c>
      <c r="D145" s="172" t="s">
        <v>218</v>
      </c>
      <c r="E145" s="172">
        <v>3.6119935507581601E-4</v>
      </c>
      <c r="F145" s="172">
        <v>103</v>
      </c>
      <c r="G145" s="172">
        <v>23.25</v>
      </c>
      <c r="H145" s="172">
        <v>-0.25</v>
      </c>
      <c r="I145" s="172">
        <v>35.5</v>
      </c>
    </row>
    <row r="146" spans="2:9" hidden="1" x14ac:dyDescent="0.3">
      <c r="B146" s="172" t="s">
        <v>187</v>
      </c>
      <c r="C146" s="172" t="s">
        <v>81</v>
      </c>
      <c r="D146" s="172" t="s">
        <v>221</v>
      </c>
      <c r="E146" s="172">
        <v>2.8726906592664797E-4</v>
      </c>
      <c r="F146" s="172">
        <v>103</v>
      </c>
      <c r="G146" s="172">
        <v>23.25</v>
      </c>
      <c r="H146" s="172">
        <v>-0.25</v>
      </c>
      <c r="I146" s="172">
        <v>35.5</v>
      </c>
    </row>
    <row r="147" spans="2:9" hidden="1" x14ac:dyDescent="0.3">
      <c r="B147" s="172" t="s">
        <v>187</v>
      </c>
      <c r="C147" s="172" t="s">
        <v>82</v>
      </c>
      <c r="D147" s="172" t="s">
        <v>221</v>
      </c>
      <c r="E147" s="172">
        <v>3.1701253538421302E-4</v>
      </c>
      <c r="F147" s="172">
        <v>92</v>
      </c>
      <c r="G147" s="172">
        <v>-0.25</v>
      </c>
      <c r="H147" s="172">
        <v>-0.25</v>
      </c>
      <c r="I147" s="172">
        <v>35.5</v>
      </c>
    </row>
    <row r="148" spans="2:9" hidden="1" x14ac:dyDescent="0.3">
      <c r="B148" s="172" t="s">
        <v>187</v>
      </c>
      <c r="C148" s="172" t="s">
        <v>246</v>
      </c>
      <c r="D148" s="172" t="s">
        <v>218</v>
      </c>
      <c r="E148" s="172">
        <v>3.5666345354976198E-5</v>
      </c>
      <c r="F148" s="172">
        <v>103</v>
      </c>
      <c r="G148" s="172">
        <v>23.25</v>
      </c>
      <c r="H148" s="172">
        <v>-0.25</v>
      </c>
      <c r="I148" s="172">
        <v>35.5</v>
      </c>
    </row>
    <row r="149" spans="2:9" hidden="1" x14ac:dyDescent="0.3">
      <c r="B149" s="172" t="s">
        <v>187</v>
      </c>
      <c r="C149" s="172" t="s">
        <v>246</v>
      </c>
      <c r="D149" s="172" t="s">
        <v>221</v>
      </c>
      <c r="E149" s="172">
        <v>1.71368641891927E-5</v>
      </c>
      <c r="F149" s="172">
        <v>103</v>
      </c>
      <c r="G149" s="172">
        <v>23.25</v>
      </c>
      <c r="H149" s="172">
        <v>-0.25</v>
      </c>
      <c r="I149" s="172">
        <v>35.5</v>
      </c>
    </row>
    <row r="150" spans="2:9" hidden="1" x14ac:dyDescent="0.3">
      <c r="B150" s="172" t="s">
        <v>185</v>
      </c>
      <c r="C150" s="172" t="s">
        <v>79</v>
      </c>
      <c r="D150" s="172" t="s">
        <v>218</v>
      </c>
      <c r="E150" s="172">
        <v>5.5147942815695803E-4</v>
      </c>
      <c r="F150" s="172">
        <v>91</v>
      </c>
      <c r="G150" s="172">
        <v>23.25</v>
      </c>
      <c r="H150" s="172">
        <v>31.25</v>
      </c>
      <c r="I150" s="172">
        <v>32</v>
      </c>
    </row>
    <row r="151" spans="2:9" x14ac:dyDescent="0.3">
      <c r="B151" s="172" t="s">
        <v>185</v>
      </c>
      <c r="C151" s="172" t="s">
        <v>80</v>
      </c>
      <c r="D151" s="172" t="s">
        <v>218</v>
      </c>
      <c r="E151" s="172">
        <v>5.4983080778037705E-4</v>
      </c>
      <c r="F151" s="172">
        <v>103</v>
      </c>
      <c r="G151" s="172">
        <v>23.25</v>
      </c>
      <c r="H151" s="172">
        <v>-0.25</v>
      </c>
      <c r="I151" s="172">
        <v>32</v>
      </c>
    </row>
    <row r="152" spans="2:9" hidden="1" x14ac:dyDescent="0.3">
      <c r="B152" s="172" t="s">
        <v>185</v>
      </c>
      <c r="C152" s="172" t="s">
        <v>81</v>
      </c>
      <c r="D152" s="172" t="s">
        <v>221</v>
      </c>
      <c r="E152" s="172">
        <v>4.4981031001281498E-4</v>
      </c>
      <c r="F152" s="172">
        <v>92</v>
      </c>
      <c r="G152" s="172">
        <v>-0.25</v>
      </c>
      <c r="H152" s="172">
        <v>-0.25</v>
      </c>
      <c r="I152" s="172">
        <v>32</v>
      </c>
    </row>
    <row r="153" spans="2:9" hidden="1" x14ac:dyDescent="0.3">
      <c r="B153" s="172" t="s">
        <v>185</v>
      </c>
      <c r="C153" s="172" t="s">
        <v>82</v>
      </c>
      <c r="D153" s="172" t="s">
        <v>221</v>
      </c>
      <c r="E153" s="172">
        <v>5.2774373442857905E-4</v>
      </c>
      <c r="F153" s="172">
        <v>92</v>
      </c>
      <c r="G153" s="172">
        <v>-0.25</v>
      </c>
      <c r="H153" s="172">
        <v>-0.25</v>
      </c>
      <c r="I153" s="172">
        <v>32</v>
      </c>
    </row>
    <row r="154" spans="2:9" hidden="1" x14ac:dyDescent="0.3">
      <c r="B154" s="172" t="s">
        <v>185</v>
      </c>
      <c r="C154" s="172" t="s">
        <v>246</v>
      </c>
      <c r="D154" s="172" t="s">
        <v>218</v>
      </c>
      <c r="E154" s="172">
        <v>4.0003665723973103E-5</v>
      </c>
      <c r="F154" s="172">
        <v>103</v>
      </c>
      <c r="G154" s="172">
        <v>23.25</v>
      </c>
      <c r="H154" s="172">
        <v>-0.25</v>
      </c>
      <c r="I154" s="172">
        <v>32</v>
      </c>
    </row>
    <row r="155" spans="2:9" hidden="1" x14ac:dyDescent="0.3">
      <c r="B155" s="172" t="s">
        <v>185</v>
      </c>
      <c r="C155" s="172" t="s">
        <v>246</v>
      </c>
      <c r="D155" s="172" t="s">
        <v>221</v>
      </c>
      <c r="E155" s="172">
        <v>2.0022324622766001E-5</v>
      </c>
      <c r="F155" s="172">
        <v>103</v>
      </c>
      <c r="G155" s="172">
        <v>23.25</v>
      </c>
      <c r="H155" s="172">
        <v>-0.25</v>
      </c>
      <c r="I155" s="172">
        <v>32</v>
      </c>
    </row>
    <row r="156" spans="2:9" hidden="1" x14ac:dyDescent="0.3">
      <c r="B156" s="172" t="s">
        <v>183</v>
      </c>
      <c r="C156" s="172" t="s">
        <v>79</v>
      </c>
      <c r="D156" s="172" t="s">
        <v>218</v>
      </c>
      <c r="E156" s="172">
        <v>7.2565963504955095E-4</v>
      </c>
      <c r="F156" s="172">
        <v>91</v>
      </c>
      <c r="G156" s="172">
        <v>23.25</v>
      </c>
      <c r="H156" s="172">
        <v>31.25</v>
      </c>
      <c r="I156" s="172">
        <v>28.5</v>
      </c>
    </row>
    <row r="157" spans="2:9" x14ac:dyDescent="0.3">
      <c r="B157" s="172" t="s">
        <v>183</v>
      </c>
      <c r="C157" s="172" t="s">
        <v>80</v>
      </c>
      <c r="D157" s="172" t="s">
        <v>218</v>
      </c>
      <c r="E157" s="172">
        <v>7.2200684500543398E-4</v>
      </c>
      <c r="F157" s="172">
        <v>103</v>
      </c>
      <c r="G157" s="172">
        <v>23.25</v>
      </c>
      <c r="H157" s="172">
        <v>-0.25</v>
      </c>
      <c r="I157" s="172">
        <v>28.5</v>
      </c>
    </row>
    <row r="158" spans="2:9" hidden="1" x14ac:dyDescent="0.3">
      <c r="B158" s="172" t="s">
        <v>183</v>
      </c>
      <c r="C158" s="172" t="s">
        <v>81</v>
      </c>
      <c r="D158" s="172" t="s">
        <v>221</v>
      </c>
      <c r="E158" s="172">
        <v>6.2027992977820804E-4</v>
      </c>
      <c r="F158" s="172">
        <v>92</v>
      </c>
      <c r="G158" s="172">
        <v>-0.25</v>
      </c>
      <c r="H158" s="172">
        <v>-0.25</v>
      </c>
      <c r="I158" s="172">
        <v>28.5</v>
      </c>
    </row>
    <row r="159" spans="2:9" hidden="1" x14ac:dyDescent="0.3">
      <c r="B159" s="172" t="s">
        <v>183</v>
      </c>
      <c r="C159" s="172" t="s">
        <v>82</v>
      </c>
      <c r="D159" s="172" t="s">
        <v>221</v>
      </c>
      <c r="E159" s="172">
        <v>7.3038803392551398E-4</v>
      </c>
      <c r="F159" s="172">
        <v>92</v>
      </c>
      <c r="G159" s="172">
        <v>-0.25</v>
      </c>
      <c r="H159" s="172">
        <v>-0.25</v>
      </c>
      <c r="I159" s="172">
        <v>28.5</v>
      </c>
    </row>
    <row r="160" spans="2:9" hidden="1" x14ac:dyDescent="0.3">
      <c r="B160" s="172" t="s">
        <v>183</v>
      </c>
      <c r="C160" s="172" t="s">
        <v>246</v>
      </c>
      <c r="D160" s="172" t="s">
        <v>218</v>
      </c>
      <c r="E160" s="172">
        <v>3.8005988914266102E-5</v>
      </c>
      <c r="F160" s="172">
        <v>103</v>
      </c>
      <c r="G160" s="172">
        <v>23.25</v>
      </c>
      <c r="H160" s="172">
        <v>-0.25</v>
      </c>
      <c r="I160" s="172">
        <v>28.5</v>
      </c>
    </row>
    <row r="161" spans="2:9" hidden="1" x14ac:dyDescent="0.3">
      <c r="B161" s="172" t="s">
        <v>183</v>
      </c>
      <c r="C161" s="172" t="s">
        <v>246</v>
      </c>
      <c r="D161" s="172" t="s">
        <v>221</v>
      </c>
      <c r="E161" s="172">
        <v>1.7633191658421801E-5</v>
      </c>
      <c r="F161" s="172">
        <v>103</v>
      </c>
      <c r="G161" s="172">
        <v>23.25</v>
      </c>
      <c r="H161" s="172">
        <v>-0.25</v>
      </c>
      <c r="I161" s="172">
        <v>28.5</v>
      </c>
    </row>
    <row r="162" spans="2:9" hidden="1" x14ac:dyDescent="0.3">
      <c r="B162" s="172" t="s">
        <v>181</v>
      </c>
      <c r="C162" s="172" t="s">
        <v>79</v>
      </c>
      <c r="D162" s="172" t="s">
        <v>218</v>
      </c>
      <c r="E162" s="172">
        <v>8.7097502322859197E-4</v>
      </c>
      <c r="F162" s="172">
        <v>91</v>
      </c>
      <c r="G162" s="172">
        <v>23.25</v>
      </c>
      <c r="H162" s="172">
        <v>31.25</v>
      </c>
      <c r="I162" s="172">
        <v>25</v>
      </c>
    </row>
    <row r="163" spans="2:9" x14ac:dyDescent="0.3">
      <c r="B163" s="172" t="s">
        <v>181</v>
      </c>
      <c r="C163" s="172" t="s">
        <v>80</v>
      </c>
      <c r="D163" s="172" t="s">
        <v>218</v>
      </c>
      <c r="E163" s="172">
        <v>8.6524153835656895E-4</v>
      </c>
      <c r="F163" s="172">
        <v>103</v>
      </c>
      <c r="G163" s="172">
        <v>23.25</v>
      </c>
      <c r="H163" s="172">
        <v>-0.25</v>
      </c>
      <c r="I163" s="172">
        <v>25</v>
      </c>
    </row>
    <row r="164" spans="2:9" hidden="1" x14ac:dyDescent="0.3">
      <c r="B164" s="172" t="s">
        <v>181</v>
      </c>
      <c r="C164" s="172" t="s">
        <v>81</v>
      </c>
      <c r="D164" s="172" t="s">
        <v>221</v>
      </c>
      <c r="E164" s="172">
        <v>7.6591095551554599E-4</v>
      </c>
      <c r="F164" s="172">
        <v>92</v>
      </c>
      <c r="G164" s="172">
        <v>-0.25</v>
      </c>
      <c r="H164" s="172">
        <v>-0.25</v>
      </c>
      <c r="I164" s="172">
        <v>25</v>
      </c>
    </row>
    <row r="165" spans="2:9" hidden="1" x14ac:dyDescent="0.3">
      <c r="B165" s="172" t="s">
        <v>181</v>
      </c>
      <c r="C165" s="172" t="s">
        <v>82</v>
      </c>
      <c r="D165" s="172" t="s">
        <v>221</v>
      </c>
      <c r="E165" s="172">
        <v>9.0336029284969498E-4</v>
      </c>
      <c r="F165" s="172">
        <v>92</v>
      </c>
      <c r="G165" s="172">
        <v>-0.25</v>
      </c>
      <c r="H165" s="172">
        <v>-0.25</v>
      </c>
      <c r="I165" s="172">
        <v>25</v>
      </c>
    </row>
    <row r="166" spans="2:9" hidden="1" x14ac:dyDescent="0.3">
      <c r="B166" s="172" t="s">
        <v>181</v>
      </c>
      <c r="C166" s="172" t="s">
        <v>246</v>
      </c>
      <c r="D166" s="172" t="s">
        <v>218</v>
      </c>
      <c r="E166" s="172">
        <v>3.47794149365114E-5</v>
      </c>
      <c r="F166" s="172">
        <v>103</v>
      </c>
      <c r="G166" s="172">
        <v>23.25</v>
      </c>
      <c r="H166" s="172">
        <v>-0.25</v>
      </c>
      <c r="I166" s="172">
        <v>25</v>
      </c>
    </row>
    <row r="167" spans="2:9" hidden="1" x14ac:dyDescent="0.3">
      <c r="B167" s="172" t="s">
        <v>181</v>
      </c>
      <c r="C167" s="172" t="s">
        <v>246</v>
      </c>
      <c r="D167" s="172" t="s">
        <v>221</v>
      </c>
      <c r="E167" s="172">
        <v>1.4251638343325899E-5</v>
      </c>
      <c r="F167" s="172">
        <v>103</v>
      </c>
      <c r="G167" s="172">
        <v>23.25</v>
      </c>
      <c r="H167" s="172">
        <v>-0.25</v>
      </c>
      <c r="I167" s="172">
        <v>25</v>
      </c>
    </row>
    <row r="168" spans="2:9" hidden="1" x14ac:dyDescent="0.3">
      <c r="B168" s="172" t="s">
        <v>179</v>
      </c>
      <c r="C168" s="172" t="s">
        <v>79</v>
      </c>
      <c r="D168" s="172" t="s">
        <v>218</v>
      </c>
      <c r="E168" s="172">
        <v>9.8322167748828493E-4</v>
      </c>
      <c r="F168" s="172">
        <v>91</v>
      </c>
      <c r="G168" s="172">
        <v>23.25</v>
      </c>
      <c r="H168" s="172">
        <v>31.25</v>
      </c>
      <c r="I168" s="172">
        <v>21.5</v>
      </c>
    </row>
    <row r="169" spans="2:9" x14ac:dyDescent="0.3">
      <c r="B169" s="172" t="s">
        <v>179</v>
      </c>
      <c r="C169" s="172" t="s">
        <v>80</v>
      </c>
      <c r="D169" s="172" t="s">
        <v>218</v>
      </c>
      <c r="E169" s="172">
        <v>9.7575674033274697E-4</v>
      </c>
      <c r="F169" s="172">
        <v>103</v>
      </c>
      <c r="G169" s="172">
        <v>23.25</v>
      </c>
      <c r="H169" s="172">
        <v>-0.25</v>
      </c>
      <c r="I169" s="172">
        <v>21.5</v>
      </c>
    </row>
    <row r="170" spans="2:9" hidden="1" x14ac:dyDescent="0.3">
      <c r="B170" s="172" t="s">
        <v>179</v>
      </c>
      <c r="C170" s="172" t="s">
        <v>81</v>
      </c>
      <c r="D170" s="172" t="s">
        <v>221</v>
      </c>
      <c r="E170" s="172">
        <v>8.8044998717065495E-4</v>
      </c>
      <c r="F170" s="172">
        <v>92</v>
      </c>
      <c r="G170" s="172">
        <v>-0.25</v>
      </c>
      <c r="H170" s="172">
        <v>-0.25</v>
      </c>
      <c r="I170" s="172">
        <v>21.5</v>
      </c>
    </row>
    <row r="171" spans="2:9" hidden="1" x14ac:dyDescent="0.3">
      <c r="B171" s="172" t="s">
        <v>179</v>
      </c>
      <c r="C171" s="172" t="s">
        <v>82</v>
      </c>
      <c r="D171" s="172" t="s">
        <v>221</v>
      </c>
      <c r="E171" s="172">
        <v>1.03825164892694E-3</v>
      </c>
      <c r="F171" s="172">
        <v>92</v>
      </c>
      <c r="G171" s="172">
        <v>-0.25</v>
      </c>
      <c r="H171" s="172">
        <v>-0.25</v>
      </c>
      <c r="I171" s="172">
        <v>21.5</v>
      </c>
    </row>
    <row r="172" spans="2:9" hidden="1" x14ac:dyDescent="0.3">
      <c r="B172" s="172" t="s">
        <v>179</v>
      </c>
      <c r="C172" s="172" t="s">
        <v>246</v>
      </c>
      <c r="D172" s="172" t="s">
        <v>218</v>
      </c>
      <c r="E172" s="172">
        <v>3.0492165903194E-5</v>
      </c>
      <c r="F172" s="172">
        <v>103</v>
      </c>
      <c r="G172" s="172">
        <v>23.25</v>
      </c>
      <c r="H172" s="172">
        <v>-0.25</v>
      </c>
      <c r="I172" s="172">
        <v>21.5</v>
      </c>
    </row>
    <row r="173" spans="2:9" hidden="1" x14ac:dyDescent="0.3">
      <c r="B173" s="172" t="s">
        <v>179</v>
      </c>
      <c r="C173" s="172" t="s">
        <v>246</v>
      </c>
      <c r="D173" s="172" t="s">
        <v>221</v>
      </c>
      <c r="E173" s="172">
        <v>9.8116482698701899E-6</v>
      </c>
      <c r="F173" s="172">
        <v>103</v>
      </c>
      <c r="G173" s="172">
        <v>23.25</v>
      </c>
      <c r="H173" s="172">
        <v>-0.25</v>
      </c>
      <c r="I173" s="172">
        <v>21.5</v>
      </c>
    </row>
    <row r="174" spans="2:9" hidden="1" x14ac:dyDescent="0.3">
      <c r="B174" s="172" t="s">
        <v>39</v>
      </c>
      <c r="C174" s="172" t="s">
        <v>79</v>
      </c>
      <c r="D174" s="172" t="s">
        <v>218</v>
      </c>
      <c r="E174" s="172">
        <v>1.0288665639123799E-3</v>
      </c>
      <c r="F174" s="172">
        <v>91</v>
      </c>
      <c r="G174" s="172">
        <v>23.25</v>
      </c>
      <c r="H174" s="172">
        <v>31.25</v>
      </c>
      <c r="I174" s="172">
        <v>18</v>
      </c>
    </row>
    <row r="175" spans="2:9" x14ac:dyDescent="0.3">
      <c r="B175" s="172" t="s">
        <v>39</v>
      </c>
      <c r="C175" s="172" t="s">
        <v>80</v>
      </c>
      <c r="D175" s="172" t="s">
        <v>218</v>
      </c>
      <c r="E175" s="172">
        <v>1.02166618171788E-3</v>
      </c>
      <c r="F175" s="172">
        <v>103</v>
      </c>
      <c r="G175" s="172">
        <v>23.25</v>
      </c>
      <c r="H175" s="172">
        <v>-0.25</v>
      </c>
      <c r="I175" s="172">
        <v>18</v>
      </c>
    </row>
    <row r="176" spans="2:9" hidden="1" x14ac:dyDescent="0.3">
      <c r="B176" s="172" t="s">
        <v>39</v>
      </c>
      <c r="C176" s="172" t="s">
        <v>81</v>
      </c>
      <c r="D176" s="172" t="s">
        <v>221</v>
      </c>
      <c r="E176" s="172">
        <v>9.3455592126465105E-4</v>
      </c>
      <c r="F176" s="172">
        <v>92</v>
      </c>
      <c r="G176" s="172">
        <v>-0.25</v>
      </c>
      <c r="H176" s="172">
        <v>-0.25</v>
      </c>
      <c r="I176" s="172">
        <v>18</v>
      </c>
    </row>
    <row r="177" spans="2:9" hidden="1" x14ac:dyDescent="0.3">
      <c r="B177" s="172" t="s">
        <v>39</v>
      </c>
      <c r="C177" s="172" t="s">
        <v>82</v>
      </c>
      <c r="D177" s="172" t="s">
        <v>221</v>
      </c>
      <c r="E177" s="172">
        <v>1.0946937927039501E-3</v>
      </c>
      <c r="F177" s="172">
        <v>92</v>
      </c>
      <c r="G177" s="172">
        <v>-0.25</v>
      </c>
      <c r="H177" s="172">
        <v>-0.25</v>
      </c>
      <c r="I177" s="172">
        <v>18</v>
      </c>
    </row>
    <row r="178" spans="2:9" hidden="1" x14ac:dyDescent="0.3">
      <c r="B178" s="172" t="s">
        <v>39</v>
      </c>
      <c r="C178" s="172" t="s">
        <v>246</v>
      </c>
      <c r="D178" s="172" t="s">
        <v>218</v>
      </c>
      <c r="E178" s="172">
        <v>2.41180062885215E-5</v>
      </c>
      <c r="F178" s="172">
        <v>103</v>
      </c>
      <c r="G178" s="172">
        <v>23.25</v>
      </c>
      <c r="H178" s="172">
        <v>-0.25</v>
      </c>
      <c r="I178" s="172">
        <v>18</v>
      </c>
    </row>
    <row r="179" spans="2:9" hidden="1" x14ac:dyDescent="0.3">
      <c r="B179" s="172" t="s">
        <v>39</v>
      </c>
      <c r="C179" s="172" t="s">
        <v>246</v>
      </c>
      <c r="D179" s="172" t="s">
        <v>221</v>
      </c>
      <c r="E179" s="172">
        <v>3.1812223193675199E-6</v>
      </c>
      <c r="F179" s="172">
        <v>91</v>
      </c>
      <c r="G179" s="172">
        <v>23.25</v>
      </c>
      <c r="H179" s="172">
        <v>31.25</v>
      </c>
      <c r="I179" s="172">
        <v>18</v>
      </c>
    </row>
    <row r="180" spans="2:9" hidden="1" x14ac:dyDescent="0.3">
      <c r="B180" s="172" t="s">
        <v>26</v>
      </c>
      <c r="C180" s="172" t="s">
        <v>79</v>
      </c>
      <c r="D180" s="172" t="s">
        <v>218</v>
      </c>
      <c r="E180" s="172">
        <v>1.0498198300483001E-3</v>
      </c>
      <c r="F180" s="172">
        <v>91</v>
      </c>
      <c r="G180" s="172">
        <v>23.25</v>
      </c>
      <c r="H180" s="172">
        <v>31.25</v>
      </c>
      <c r="I180" s="172">
        <v>14.5</v>
      </c>
    </row>
    <row r="181" spans="2:9" x14ac:dyDescent="0.3">
      <c r="B181" s="172" t="s">
        <v>26</v>
      </c>
      <c r="C181" s="172" t="s">
        <v>80</v>
      </c>
      <c r="D181" s="172" t="s">
        <v>218</v>
      </c>
      <c r="E181" s="172">
        <v>1.0445946686021799E-3</v>
      </c>
      <c r="F181" s="172">
        <v>103</v>
      </c>
      <c r="G181" s="172">
        <v>23.25</v>
      </c>
      <c r="H181" s="172">
        <v>-0.25</v>
      </c>
      <c r="I181" s="172">
        <v>14.5</v>
      </c>
    </row>
    <row r="182" spans="2:9" hidden="1" x14ac:dyDescent="0.3">
      <c r="B182" s="172" t="s">
        <v>26</v>
      </c>
      <c r="C182" s="172" t="s">
        <v>81</v>
      </c>
      <c r="D182" s="172" t="s">
        <v>221</v>
      </c>
      <c r="E182" s="172">
        <v>9.6742444413620301E-4</v>
      </c>
      <c r="F182" s="172">
        <v>92</v>
      </c>
      <c r="G182" s="172">
        <v>-0.25</v>
      </c>
      <c r="H182" s="172">
        <v>-0.25</v>
      </c>
      <c r="I182" s="172">
        <v>14.5</v>
      </c>
    </row>
    <row r="183" spans="2:9" hidden="1" x14ac:dyDescent="0.3">
      <c r="B183" s="172" t="s">
        <v>26</v>
      </c>
      <c r="C183" s="172" t="s">
        <v>82</v>
      </c>
      <c r="D183" s="172" t="s">
        <v>221</v>
      </c>
      <c r="E183" s="172">
        <v>1.1258678669611999E-3</v>
      </c>
      <c r="F183" s="172">
        <v>92</v>
      </c>
      <c r="G183" s="172">
        <v>-0.25</v>
      </c>
      <c r="H183" s="172">
        <v>-0.25</v>
      </c>
      <c r="I183" s="172">
        <v>14.5</v>
      </c>
    </row>
    <row r="184" spans="2:9" hidden="1" x14ac:dyDescent="0.3">
      <c r="B184" s="172" t="s">
        <v>26</v>
      </c>
      <c r="C184" s="172" t="s">
        <v>246</v>
      </c>
      <c r="D184" s="172" t="s">
        <v>218</v>
      </c>
      <c r="E184" s="172">
        <v>2.2554117259669102E-5</v>
      </c>
      <c r="F184" s="172">
        <v>91</v>
      </c>
      <c r="G184" s="172">
        <v>23.25</v>
      </c>
      <c r="H184" s="172">
        <v>31.25</v>
      </c>
      <c r="I184" s="172">
        <v>14.5</v>
      </c>
    </row>
    <row r="185" spans="2:9" hidden="1" x14ac:dyDescent="0.3">
      <c r="B185" s="172" t="s">
        <v>26</v>
      </c>
      <c r="C185" s="172" t="s">
        <v>246</v>
      </c>
      <c r="D185" s="172" t="s">
        <v>221</v>
      </c>
      <c r="E185" s="172">
        <v>5.3454892438217202E-6</v>
      </c>
      <c r="F185" s="172">
        <v>103</v>
      </c>
      <c r="G185" s="172">
        <v>23.25</v>
      </c>
      <c r="H185" s="172">
        <v>-0.25</v>
      </c>
      <c r="I185" s="172">
        <v>14.5</v>
      </c>
    </row>
    <row r="186" spans="2:9" hidden="1" x14ac:dyDescent="0.3">
      <c r="B186" s="172" t="s">
        <v>25</v>
      </c>
      <c r="C186" s="172" t="s">
        <v>79</v>
      </c>
      <c r="D186" s="172" t="s">
        <v>218</v>
      </c>
      <c r="E186" s="172">
        <v>1.0875742538576001E-3</v>
      </c>
      <c r="F186" s="172">
        <v>91</v>
      </c>
      <c r="G186" s="172">
        <v>23.25</v>
      </c>
      <c r="H186" s="172">
        <v>31.25</v>
      </c>
      <c r="I186" s="172">
        <v>11</v>
      </c>
    </row>
    <row r="187" spans="2:9" x14ac:dyDescent="0.3">
      <c r="B187" s="172" t="s">
        <v>25</v>
      </c>
      <c r="C187" s="172" t="s">
        <v>80</v>
      </c>
      <c r="D187" s="172" t="s">
        <v>218</v>
      </c>
      <c r="E187" s="172">
        <v>1.08242344116363E-3</v>
      </c>
      <c r="F187" s="172">
        <v>103</v>
      </c>
      <c r="G187" s="172">
        <v>23.25</v>
      </c>
      <c r="H187" s="172">
        <v>-0.25</v>
      </c>
      <c r="I187" s="172">
        <v>11</v>
      </c>
    </row>
    <row r="188" spans="2:9" hidden="1" x14ac:dyDescent="0.3">
      <c r="B188" s="172" t="s">
        <v>25</v>
      </c>
      <c r="C188" s="172" t="s">
        <v>81</v>
      </c>
      <c r="D188" s="172" t="s">
        <v>221</v>
      </c>
      <c r="E188" s="172">
        <v>1.0143283517303099E-3</v>
      </c>
      <c r="F188" s="172">
        <v>92</v>
      </c>
      <c r="G188" s="172">
        <v>-0.25</v>
      </c>
      <c r="H188" s="172">
        <v>-0.25</v>
      </c>
      <c r="I188" s="172">
        <v>11</v>
      </c>
    </row>
    <row r="189" spans="2:9" hidden="1" x14ac:dyDescent="0.3">
      <c r="B189" s="172" t="s">
        <v>25</v>
      </c>
      <c r="C189" s="172" t="s">
        <v>82</v>
      </c>
      <c r="D189" s="172" t="s">
        <v>221</v>
      </c>
      <c r="E189" s="172">
        <v>1.1807365247004701E-3</v>
      </c>
      <c r="F189" s="172">
        <v>92</v>
      </c>
      <c r="G189" s="172">
        <v>-0.25</v>
      </c>
      <c r="H189" s="172">
        <v>-0.25</v>
      </c>
      <c r="I189" s="172">
        <v>11</v>
      </c>
    </row>
    <row r="190" spans="2:9" hidden="1" x14ac:dyDescent="0.3">
      <c r="B190" s="172" t="s">
        <v>25</v>
      </c>
      <c r="C190" s="172" t="s">
        <v>246</v>
      </c>
      <c r="D190" s="172" t="s">
        <v>218</v>
      </c>
      <c r="E190" s="172">
        <v>2.1145981905751201E-5</v>
      </c>
      <c r="F190" s="172">
        <v>91</v>
      </c>
      <c r="G190" s="172">
        <v>23.25</v>
      </c>
      <c r="H190" s="172">
        <v>31.25</v>
      </c>
      <c r="I190" s="172">
        <v>11</v>
      </c>
    </row>
    <row r="191" spans="2:9" hidden="1" x14ac:dyDescent="0.3">
      <c r="B191" s="172" t="s">
        <v>25</v>
      </c>
      <c r="C191" s="172" t="s">
        <v>246</v>
      </c>
      <c r="D191" s="172" t="s">
        <v>221</v>
      </c>
      <c r="E191" s="172">
        <v>1.20653001956757E-5</v>
      </c>
      <c r="F191" s="172">
        <v>103</v>
      </c>
      <c r="G191" s="172">
        <v>23.25</v>
      </c>
      <c r="H191" s="172">
        <v>-0.25</v>
      </c>
      <c r="I191" s="172">
        <v>11</v>
      </c>
    </row>
    <row r="192" spans="2:9" hidden="1" x14ac:dyDescent="0.3">
      <c r="B192" s="172" t="s">
        <v>24</v>
      </c>
      <c r="C192" s="172" t="s">
        <v>79</v>
      </c>
      <c r="D192" s="172" t="s">
        <v>218</v>
      </c>
      <c r="E192" s="172">
        <v>1.08693312867377E-3</v>
      </c>
      <c r="F192" s="172">
        <v>91</v>
      </c>
      <c r="G192" s="172">
        <v>23.25</v>
      </c>
      <c r="H192" s="172">
        <v>31.25</v>
      </c>
      <c r="I192" s="172">
        <v>7.5</v>
      </c>
    </row>
    <row r="193" spans="2:9" x14ac:dyDescent="0.3">
      <c r="B193" s="172" t="s">
        <v>24</v>
      </c>
      <c r="C193" s="172" t="s">
        <v>80</v>
      </c>
      <c r="D193" s="172" t="s">
        <v>218</v>
      </c>
      <c r="E193" s="172">
        <v>1.08148893204433E-3</v>
      </c>
      <c r="F193" s="172">
        <v>103</v>
      </c>
      <c r="G193" s="172">
        <v>23.25</v>
      </c>
      <c r="H193" s="172">
        <v>-0.25</v>
      </c>
      <c r="I193" s="172">
        <v>7.5</v>
      </c>
    </row>
    <row r="194" spans="2:9" hidden="1" x14ac:dyDescent="0.3">
      <c r="B194" s="172" t="s">
        <v>24</v>
      </c>
      <c r="C194" s="172" t="s">
        <v>81</v>
      </c>
      <c r="D194" s="172" t="s">
        <v>221</v>
      </c>
      <c r="E194" s="172">
        <v>1.01795141851519E-3</v>
      </c>
      <c r="F194" s="172">
        <v>92</v>
      </c>
      <c r="G194" s="172">
        <v>-0.25</v>
      </c>
      <c r="H194" s="172">
        <v>-0.25</v>
      </c>
      <c r="I194" s="172">
        <v>7.5</v>
      </c>
    </row>
    <row r="195" spans="2:9" hidden="1" x14ac:dyDescent="0.3">
      <c r="B195" s="172" t="s">
        <v>24</v>
      </c>
      <c r="C195" s="172" t="s">
        <v>82</v>
      </c>
      <c r="D195" s="172" t="s">
        <v>221</v>
      </c>
      <c r="E195" s="172">
        <v>1.1879790019794401E-3</v>
      </c>
      <c r="F195" s="172">
        <v>92</v>
      </c>
      <c r="G195" s="172">
        <v>-0.25</v>
      </c>
      <c r="H195" s="172">
        <v>-0.25</v>
      </c>
      <c r="I195" s="172">
        <v>7.5</v>
      </c>
    </row>
    <row r="196" spans="2:9" hidden="1" x14ac:dyDescent="0.3">
      <c r="B196" s="172" t="s">
        <v>24</v>
      </c>
      <c r="C196" s="172" t="s">
        <v>246</v>
      </c>
      <c r="D196" s="172" t="s">
        <v>218</v>
      </c>
      <c r="E196" s="172">
        <v>1.9126078359605899E-5</v>
      </c>
      <c r="F196" s="172">
        <v>91</v>
      </c>
      <c r="G196" s="172">
        <v>23.25</v>
      </c>
      <c r="H196" s="172">
        <v>31.25</v>
      </c>
      <c r="I196" s="172">
        <v>7.5</v>
      </c>
    </row>
    <row r="197" spans="2:9" hidden="1" x14ac:dyDescent="0.3">
      <c r="B197" s="172" t="s">
        <v>24</v>
      </c>
      <c r="C197" s="172" t="s">
        <v>246</v>
      </c>
      <c r="D197" s="172" t="s">
        <v>221</v>
      </c>
      <c r="E197" s="172">
        <v>2.0293159768387499E-5</v>
      </c>
      <c r="F197" s="172">
        <v>103</v>
      </c>
      <c r="G197" s="172">
        <v>23.25</v>
      </c>
      <c r="H197" s="172">
        <v>-0.25</v>
      </c>
      <c r="I197" s="172">
        <v>7.5</v>
      </c>
    </row>
    <row r="198" spans="2:9" hidden="1" x14ac:dyDescent="0.3">
      <c r="B198" s="172" t="s">
        <v>22</v>
      </c>
      <c r="C198" s="172" t="s">
        <v>79</v>
      </c>
      <c r="D198" s="172" t="s">
        <v>218</v>
      </c>
      <c r="E198" s="172">
        <v>7.98605000205844E-4</v>
      </c>
      <c r="F198" s="172">
        <v>28</v>
      </c>
      <c r="G198" s="172">
        <v>19</v>
      </c>
      <c r="H198" s="172">
        <v>31</v>
      </c>
      <c r="I198" s="172">
        <v>4</v>
      </c>
    </row>
    <row r="199" spans="2:9" x14ac:dyDescent="0.3">
      <c r="B199" s="172" t="s">
        <v>22</v>
      </c>
      <c r="C199" s="172" t="s">
        <v>80</v>
      </c>
      <c r="D199" s="172" t="s">
        <v>218</v>
      </c>
      <c r="E199" s="172">
        <v>7.9220331955573095E-4</v>
      </c>
      <c r="F199" s="172">
        <v>24</v>
      </c>
      <c r="G199" s="172">
        <v>19</v>
      </c>
      <c r="H199" s="172">
        <v>0</v>
      </c>
      <c r="I199" s="172">
        <v>4</v>
      </c>
    </row>
    <row r="200" spans="2:9" hidden="1" x14ac:dyDescent="0.3">
      <c r="B200" s="172" t="s">
        <v>22</v>
      </c>
      <c r="C200" s="172" t="s">
        <v>81</v>
      </c>
      <c r="D200" s="172" t="s">
        <v>221</v>
      </c>
      <c r="E200" s="172">
        <v>7.1695172701886705E-4</v>
      </c>
      <c r="F200" s="172">
        <v>165</v>
      </c>
      <c r="G200" s="172">
        <v>23</v>
      </c>
      <c r="H200" s="172">
        <v>17</v>
      </c>
      <c r="I200" s="172">
        <v>4</v>
      </c>
    </row>
    <row r="201" spans="2:9" hidden="1" x14ac:dyDescent="0.3">
      <c r="B201" s="172" t="s">
        <v>22</v>
      </c>
      <c r="C201" s="172" t="s">
        <v>82</v>
      </c>
      <c r="D201" s="172" t="s">
        <v>221</v>
      </c>
      <c r="E201" s="172">
        <v>8.4161037513782002E-4</v>
      </c>
      <c r="F201" s="172">
        <v>32</v>
      </c>
      <c r="G201" s="172">
        <v>0</v>
      </c>
      <c r="H201" s="172">
        <v>25</v>
      </c>
      <c r="I201" s="172">
        <v>4</v>
      </c>
    </row>
    <row r="202" spans="2:9" hidden="1" x14ac:dyDescent="0.3">
      <c r="B202" s="172" t="s">
        <v>22</v>
      </c>
      <c r="C202" s="172" t="s">
        <v>246</v>
      </c>
      <c r="D202" s="172" t="s">
        <v>221</v>
      </c>
      <c r="E202" s="172">
        <v>2.7119440668232599E-5</v>
      </c>
      <c r="F202" s="172">
        <v>165</v>
      </c>
      <c r="G202" s="172">
        <v>23</v>
      </c>
      <c r="H202" s="172">
        <v>17</v>
      </c>
      <c r="I202" s="172">
        <v>4</v>
      </c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4.1525499133933602E-4</v>
      </c>
      <c r="F270" s="172">
        <v>165</v>
      </c>
      <c r="G270" s="172">
        <v>23</v>
      </c>
      <c r="H270" s="172">
        <v>17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4.03769179339666E-4</v>
      </c>
      <c r="F271" s="172">
        <v>165</v>
      </c>
      <c r="G271" s="172">
        <v>23</v>
      </c>
      <c r="H271" s="172">
        <v>17</v>
      </c>
      <c r="I271" s="172">
        <v>38.5</v>
      </c>
    </row>
    <row r="272" spans="2:9" x14ac:dyDescent="0.3">
      <c r="B272" s="172" t="s">
        <v>189</v>
      </c>
      <c r="C272" s="172" t="s">
        <v>81</v>
      </c>
      <c r="D272" s="172" t="s">
        <v>221</v>
      </c>
      <c r="E272" s="172">
        <v>2.7786769499931803E-4</v>
      </c>
      <c r="F272" s="172">
        <v>166</v>
      </c>
      <c r="G272" s="172">
        <v>19</v>
      </c>
      <c r="H272" s="172">
        <v>17</v>
      </c>
      <c r="I272" s="172">
        <v>38.5</v>
      </c>
    </row>
    <row r="273" spans="2:9" hidden="1" x14ac:dyDescent="0.3">
      <c r="B273" s="172" t="s">
        <v>189</v>
      </c>
      <c r="C273" s="172" t="s">
        <v>82</v>
      </c>
      <c r="D273" s="172" t="s">
        <v>221</v>
      </c>
      <c r="E273" s="172">
        <v>2.6283373979383299E-4</v>
      </c>
      <c r="F273" s="172">
        <v>166</v>
      </c>
      <c r="G273" s="172">
        <v>19</v>
      </c>
      <c r="H273" s="172">
        <v>17</v>
      </c>
      <c r="I273" s="172">
        <v>38.5</v>
      </c>
    </row>
    <row r="274" spans="2:9" hidden="1" x14ac:dyDescent="0.3">
      <c r="B274" s="172" t="s">
        <v>189</v>
      </c>
      <c r="C274" s="172" t="s">
        <v>246</v>
      </c>
      <c r="D274" s="172" t="s">
        <v>218</v>
      </c>
      <c r="E274" s="172">
        <v>1.87548231679679E-4</v>
      </c>
      <c r="F274" s="172">
        <v>165</v>
      </c>
      <c r="G274" s="172">
        <v>23</v>
      </c>
      <c r="H274" s="172">
        <v>17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221</v>
      </c>
      <c r="E275" s="172">
        <v>1.02380416565465E-4</v>
      </c>
      <c r="F275" s="172">
        <v>166</v>
      </c>
      <c r="G275" s="172">
        <v>19</v>
      </c>
      <c r="H275" s="172">
        <v>17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3.6141163956608901E-4</v>
      </c>
      <c r="F276" s="172">
        <v>91</v>
      </c>
      <c r="G276" s="172">
        <v>23.25</v>
      </c>
      <c r="H276" s="172">
        <v>31.25</v>
      </c>
      <c r="I276" s="172">
        <v>35.5</v>
      </c>
    </row>
    <row r="277" spans="2:9" hidden="1" x14ac:dyDescent="0.3">
      <c r="B277" s="172" t="s">
        <v>187</v>
      </c>
      <c r="C277" s="172" t="s">
        <v>80</v>
      </c>
      <c r="D277" s="172" t="s">
        <v>218</v>
      </c>
      <c r="E277" s="172">
        <v>3.6119935507581601E-4</v>
      </c>
      <c r="F277" s="172">
        <v>103</v>
      </c>
      <c r="G277" s="172">
        <v>23.25</v>
      </c>
      <c r="H277" s="172">
        <v>-0.25</v>
      </c>
      <c r="I277" s="172">
        <v>35.5</v>
      </c>
    </row>
    <row r="278" spans="2:9" x14ac:dyDescent="0.3">
      <c r="B278" s="172" t="s">
        <v>187</v>
      </c>
      <c r="C278" s="172" t="s">
        <v>81</v>
      </c>
      <c r="D278" s="172" t="s">
        <v>221</v>
      </c>
      <c r="E278" s="172">
        <v>2.8726906592664797E-4</v>
      </c>
      <c r="F278" s="172">
        <v>103</v>
      </c>
      <c r="G278" s="172">
        <v>23.25</v>
      </c>
      <c r="H278" s="172">
        <v>-0.25</v>
      </c>
      <c r="I278" s="172">
        <v>35.5</v>
      </c>
    </row>
    <row r="279" spans="2:9" hidden="1" x14ac:dyDescent="0.3">
      <c r="B279" s="172" t="s">
        <v>187</v>
      </c>
      <c r="C279" s="172" t="s">
        <v>82</v>
      </c>
      <c r="D279" s="172" t="s">
        <v>221</v>
      </c>
      <c r="E279" s="172">
        <v>3.1701253538421302E-4</v>
      </c>
      <c r="F279" s="172">
        <v>92</v>
      </c>
      <c r="G279" s="172">
        <v>-0.25</v>
      </c>
      <c r="H279" s="172">
        <v>-0.25</v>
      </c>
      <c r="I279" s="172">
        <v>35.5</v>
      </c>
    </row>
    <row r="280" spans="2:9" hidden="1" x14ac:dyDescent="0.3">
      <c r="B280" s="172" t="s">
        <v>187</v>
      </c>
      <c r="C280" s="172" t="s">
        <v>246</v>
      </c>
      <c r="D280" s="172" t="s">
        <v>218</v>
      </c>
      <c r="E280" s="172">
        <v>3.5666345354976198E-5</v>
      </c>
      <c r="F280" s="172">
        <v>103</v>
      </c>
      <c r="G280" s="172">
        <v>23.25</v>
      </c>
      <c r="H280" s="172">
        <v>-0.25</v>
      </c>
      <c r="I280" s="172">
        <v>35.5</v>
      </c>
    </row>
    <row r="281" spans="2:9" hidden="1" x14ac:dyDescent="0.3">
      <c r="B281" s="172" t="s">
        <v>187</v>
      </c>
      <c r="C281" s="172" t="s">
        <v>246</v>
      </c>
      <c r="D281" s="172" t="s">
        <v>221</v>
      </c>
      <c r="E281" s="172">
        <v>1.71368641891927E-5</v>
      </c>
      <c r="F281" s="172">
        <v>103</v>
      </c>
      <c r="G281" s="172">
        <v>23.25</v>
      </c>
      <c r="H281" s="172">
        <v>-0.25</v>
      </c>
      <c r="I281" s="172">
        <v>35.5</v>
      </c>
    </row>
    <row r="282" spans="2:9" hidden="1" x14ac:dyDescent="0.3">
      <c r="B282" s="172" t="s">
        <v>185</v>
      </c>
      <c r="C282" s="172" t="s">
        <v>79</v>
      </c>
      <c r="D282" s="172" t="s">
        <v>218</v>
      </c>
      <c r="E282" s="172">
        <v>5.5147942815695803E-4</v>
      </c>
      <c r="F282" s="172">
        <v>91</v>
      </c>
      <c r="G282" s="172">
        <v>23.25</v>
      </c>
      <c r="H282" s="172">
        <v>31.25</v>
      </c>
      <c r="I282" s="172">
        <v>32</v>
      </c>
    </row>
    <row r="283" spans="2:9" hidden="1" x14ac:dyDescent="0.3">
      <c r="B283" s="172" t="s">
        <v>185</v>
      </c>
      <c r="C283" s="172" t="s">
        <v>80</v>
      </c>
      <c r="D283" s="172" t="s">
        <v>218</v>
      </c>
      <c r="E283" s="172">
        <v>5.4983080778037705E-4</v>
      </c>
      <c r="F283" s="172">
        <v>103</v>
      </c>
      <c r="G283" s="172">
        <v>23.25</v>
      </c>
      <c r="H283" s="172">
        <v>-0.25</v>
      </c>
      <c r="I283" s="172">
        <v>32</v>
      </c>
    </row>
    <row r="284" spans="2:9" x14ac:dyDescent="0.3">
      <c r="B284" s="172" t="s">
        <v>185</v>
      </c>
      <c r="C284" s="172" t="s">
        <v>81</v>
      </c>
      <c r="D284" s="172" t="s">
        <v>221</v>
      </c>
      <c r="E284" s="172">
        <v>4.4981031001281498E-4</v>
      </c>
      <c r="F284" s="172">
        <v>92</v>
      </c>
      <c r="G284" s="172">
        <v>-0.25</v>
      </c>
      <c r="H284" s="172">
        <v>-0.25</v>
      </c>
      <c r="I284" s="172">
        <v>32</v>
      </c>
    </row>
    <row r="285" spans="2:9" hidden="1" x14ac:dyDescent="0.3">
      <c r="B285" s="172" t="s">
        <v>185</v>
      </c>
      <c r="C285" s="172" t="s">
        <v>82</v>
      </c>
      <c r="D285" s="172" t="s">
        <v>221</v>
      </c>
      <c r="E285" s="172">
        <v>5.2774373442857905E-4</v>
      </c>
      <c r="F285" s="172">
        <v>92</v>
      </c>
      <c r="G285" s="172">
        <v>-0.25</v>
      </c>
      <c r="H285" s="172">
        <v>-0.25</v>
      </c>
      <c r="I285" s="172">
        <v>32</v>
      </c>
    </row>
    <row r="286" spans="2:9" hidden="1" x14ac:dyDescent="0.3">
      <c r="B286" s="172" t="s">
        <v>185</v>
      </c>
      <c r="C286" s="172" t="s">
        <v>246</v>
      </c>
      <c r="D286" s="172" t="s">
        <v>218</v>
      </c>
      <c r="E286" s="172">
        <v>4.0003665723973103E-5</v>
      </c>
      <c r="F286" s="172">
        <v>103</v>
      </c>
      <c r="G286" s="172">
        <v>23.25</v>
      </c>
      <c r="H286" s="172">
        <v>-0.25</v>
      </c>
      <c r="I286" s="172">
        <v>32</v>
      </c>
    </row>
    <row r="287" spans="2:9" hidden="1" x14ac:dyDescent="0.3">
      <c r="B287" s="172" t="s">
        <v>185</v>
      </c>
      <c r="C287" s="172" t="s">
        <v>246</v>
      </c>
      <c r="D287" s="172" t="s">
        <v>221</v>
      </c>
      <c r="E287" s="172">
        <v>2.0022324622766001E-5</v>
      </c>
      <c r="F287" s="172">
        <v>103</v>
      </c>
      <c r="G287" s="172">
        <v>23.25</v>
      </c>
      <c r="H287" s="172">
        <v>-0.25</v>
      </c>
      <c r="I287" s="172">
        <v>32</v>
      </c>
    </row>
    <row r="288" spans="2:9" hidden="1" x14ac:dyDescent="0.3">
      <c r="B288" s="172" t="s">
        <v>183</v>
      </c>
      <c r="C288" s="172" t="s">
        <v>79</v>
      </c>
      <c r="D288" s="172" t="s">
        <v>218</v>
      </c>
      <c r="E288" s="172">
        <v>7.2565963504955095E-4</v>
      </c>
      <c r="F288" s="172">
        <v>91</v>
      </c>
      <c r="G288" s="172">
        <v>23.25</v>
      </c>
      <c r="H288" s="172">
        <v>31.25</v>
      </c>
      <c r="I288" s="172">
        <v>28.5</v>
      </c>
    </row>
    <row r="289" spans="2:9" hidden="1" x14ac:dyDescent="0.3">
      <c r="B289" s="172" t="s">
        <v>183</v>
      </c>
      <c r="C289" s="172" t="s">
        <v>80</v>
      </c>
      <c r="D289" s="172" t="s">
        <v>218</v>
      </c>
      <c r="E289" s="172">
        <v>7.2200684500543398E-4</v>
      </c>
      <c r="F289" s="172">
        <v>103</v>
      </c>
      <c r="G289" s="172">
        <v>23.25</v>
      </c>
      <c r="H289" s="172">
        <v>-0.25</v>
      </c>
      <c r="I289" s="172">
        <v>28.5</v>
      </c>
    </row>
    <row r="290" spans="2:9" x14ac:dyDescent="0.3">
      <c r="B290" s="172" t="s">
        <v>183</v>
      </c>
      <c r="C290" s="172" t="s">
        <v>81</v>
      </c>
      <c r="D290" s="172" t="s">
        <v>221</v>
      </c>
      <c r="E290" s="172">
        <v>6.2027992977820804E-4</v>
      </c>
      <c r="F290" s="172">
        <v>92</v>
      </c>
      <c r="G290" s="172">
        <v>-0.25</v>
      </c>
      <c r="H290" s="172">
        <v>-0.25</v>
      </c>
      <c r="I290" s="172">
        <v>28.5</v>
      </c>
    </row>
    <row r="291" spans="2:9" hidden="1" x14ac:dyDescent="0.3">
      <c r="B291" s="172" t="s">
        <v>183</v>
      </c>
      <c r="C291" s="172" t="s">
        <v>82</v>
      </c>
      <c r="D291" s="172" t="s">
        <v>221</v>
      </c>
      <c r="E291" s="172">
        <v>7.3038803392551398E-4</v>
      </c>
      <c r="F291" s="172">
        <v>92</v>
      </c>
      <c r="G291" s="172">
        <v>-0.25</v>
      </c>
      <c r="H291" s="172">
        <v>-0.25</v>
      </c>
      <c r="I291" s="172">
        <v>28.5</v>
      </c>
    </row>
    <row r="292" spans="2:9" hidden="1" x14ac:dyDescent="0.3">
      <c r="B292" s="172" t="s">
        <v>183</v>
      </c>
      <c r="C292" s="172" t="s">
        <v>246</v>
      </c>
      <c r="D292" s="172" t="s">
        <v>218</v>
      </c>
      <c r="E292" s="172">
        <v>3.8005988914266102E-5</v>
      </c>
      <c r="F292" s="172">
        <v>103</v>
      </c>
      <c r="G292" s="172">
        <v>23.25</v>
      </c>
      <c r="H292" s="172">
        <v>-0.25</v>
      </c>
      <c r="I292" s="172">
        <v>28.5</v>
      </c>
    </row>
    <row r="293" spans="2:9" hidden="1" x14ac:dyDescent="0.3">
      <c r="B293" s="172" t="s">
        <v>183</v>
      </c>
      <c r="C293" s="172" t="s">
        <v>246</v>
      </c>
      <c r="D293" s="172" t="s">
        <v>221</v>
      </c>
      <c r="E293" s="172">
        <v>1.7633191658421801E-5</v>
      </c>
      <c r="F293" s="172">
        <v>103</v>
      </c>
      <c r="G293" s="172">
        <v>23.25</v>
      </c>
      <c r="H293" s="172">
        <v>-0.25</v>
      </c>
      <c r="I293" s="172">
        <v>28.5</v>
      </c>
    </row>
    <row r="294" spans="2:9" hidden="1" x14ac:dyDescent="0.3">
      <c r="B294" s="172" t="s">
        <v>181</v>
      </c>
      <c r="C294" s="172" t="s">
        <v>79</v>
      </c>
      <c r="D294" s="172" t="s">
        <v>218</v>
      </c>
      <c r="E294" s="172">
        <v>8.7097502322859197E-4</v>
      </c>
      <c r="F294" s="172">
        <v>91</v>
      </c>
      <c r="G294" s="172">
        <v>23.25</v>
      </c>
      <c r="H294" s="172">
        <v>31.25</v>
      </c>
      <c r="I294" s="172">
        <v>25</v>
      </c>
    </row>
    <row r="295" spans="2:9" hidden="1" x14ac:dyDescent="0.3">
      <c r="B295" s="172" t="s">
        <v>181</v>
      </c>
      <c r="C295" s="172" t="s">
        <v>80</v>
      </c>
      <c r="D295" s="172" t="s">
        <v>218</v>
      </c>
      <c r="E295" s="172">
        <v>8.6524153835656895E-4</v>
      </c>
      <c r="F295" s="172">
        <v>103</v>
      </c>
      <c r="G295" s="172">
        <v>23.25</v>
      </c>
      <c r="H295" s="172">
        <v>-0.25</v>
      </c>
      <c r="I295" s="172">
        <v>25</v>
      </c>
    </row>
    <row r="296" spans="2:9" x14ac:dyDescent="0.3">
      <c r="B296" s="172" t="s">
        <v>181</v>
      </c>
      <c r="C296" s="172" t="s">
        <v>81</v>
      </c>
      <c r="D296" s="172" t="s">
        <v>221</v>
      </c>
      <c r="E296" s="172">
        <v>7.6591095551554599E-4</v>
      </c>
      <c r="F296" s="172">
        <v>92</v>
      </c>
      <c r="G296" s="172">
        <v>-0.25</v>
      </c>
      <c r="H296" s="172">
        <v>-0.25</v>
      </c>
      <c r="I296" s="172">
        <v>25</v>
      </c>
    </row>
    <row r="297" spans="2:9" hidden="1" x14ac:dyDescent="0.3">
      <c r="B297" s="172" t="s">
        <v>181</v>
      </c>
      <c r="C297" s="172" t="s">
        <v>82</v>
      </c>
      <c r="D297" s="172" t="s">
        <v>221</v>
      </c>
      <c r="E297" s="172">
        <v>9.0336029284969498E-4</v>
      </c>
      <c r="F297" s="172">
        <v>92</v>
      </c>
      <c r="G297" s="172">
        <v>-0.25</v>
      </c>
      <c r="H297" s="172">
        <v>-0.25</v>
      </c>
      <c r="I297" s="172">
        <v>25</v>
      </c>
    </row>
    <row r="298" spans="2:9" hidden="1" x14ac:dyDescent="0.3">
      <c r="B298" s="172" t="s">
        <v>181</v>
      </c>
      <c r="C298" s="172" t="s">
        <v>246</v>
      </c>
      <c r="D298" s="172" t="s">
        <v>218</v>
      </c>
      <c r="E298" s="172">
        <v>3.47794149365114E-5</v>
      </c>
      <c r="F298" s="172">
        <v>103</v>
      </c>
      <c r="G298" s="172">
        <v>23.25</v>
      </c>
      <c r="H298" s="172">
        <v>-0.25</v>
      </c>
      <c r="I298" s="172">
        <v>25</v>
      </c>
    </row>
    <row r="299" spans="2:9" hidden="1" x14ac:dyDescent="0.3">
      <c r="B299" s="172" t="s">
        <v>181</v>
      </c>
      <c r="C299" s="172" t="s">
        <v>246</v>
      </c>
      <c r="D299" s="172" t="s">
        <v>221</v>
      </c>
      <c r="E299" s="172">
        <v>1.4251638343325899E-5</v>
      </c>
      <c r="F299" s="172">
        <v>103</v>
      </c>
      <c r="G299" s="172">
        <v>23.25</v>
      </c>
      <c r="H299" s="172">
        <v>-0.25</v>
      </c>
      <c r="I299" s="172">
        <v>25</v>
      </c>
    </row>
    <row r="300" spans="2:9" hidden="1" x14ac:dyDescent="0.3">
      <c r="B300" s="172" t="s">
        <v>179</v>
      </c>
      <c r="C300" s="172" t="s">
        <v>79</v>
      </c>
      <c r="D300" s="172" t="s">
        <v>218</v>
      </c>
      <c r="E300" s="172">
        <v>9.8322167748828493E-4</v>
      </c>
      <c r="F300" s="172">
        <v>91</v>
      </c>
      <c r="G300" s="172">
        <v>23.25</v>
      </c>
      <c r="H300" s="172">
        <v>31.25</v>
      </c>
      <c r="I300" s="172">
        <v>21.5</v>
      </c>
    </row>
    <row r="301" spans="2:9" hidden="1" x14ac:dyDescent="0.3">
      <c r="B301" s="172" t="s">
        <v>179</v>
      </c>
      <c r="C301" s="172" t="s">
        <v>80</v>
      </c>
      <c r="D301" s="172" t="s">
        <v>218</v>
      </c>
      <c r="E301" s="172">
        <v>9.7575674033274697E-4</v>
      </c>
      <c r="F301" s="172">
        <v>103</v>
      </c>
      <c r="G301" s="172">
        <v>23.25</v>
      </c>
      <c r="H301" s="172">
        <v>-0.25</v>
      </c>
      <c r="I301" s="172">
        <v>21.5</v>
      </c>
    </row>
    <row r="302" spans="2:9" x14ac:dyDescent="0.3">
      <c r="B302" s="172" t="s">
        <v>179</v>
      </c>
      <c r="C302" s="172" t="s">
        <v>81</v>
      </c>
      <c r="D302" s="172" t="s">
        <v>221</v>
      </c>
      <c r="E302" s="172">
        <v>8.8044998717065495E-4</v>
      </c>
      <c r="F302" s="172">
        <v>92</v>
      </c>
      <c r="G302" s="172">
        <v>-0.25</v>
      </c>
      <c r="H302" s="172">
        <v>-0.25</v>
      </c>
      <c r="I302" s="172">
        <v>21.5</v>
      </c>
    </row>
    <row r="303" spans="2:9" hidden="1" x14ac:dyDescent="0.3">
      <c r="B303" s="172" t="s">
        <v>179</v>
      </c>
      <c r="C303" s="172" t="s">
        <v>82</v>
      </c>
      <c r="D303" s="172" t="s">
        <v>221</v>
      </c>
      <c r="E303" s="172">
        <v>1.03825164892694E-3</v>
      </c>
      <c r="F303" s="172">
        <v>92</v>
      </c>
      <c r="G303" s="172">
        <v>-0.25</v>
      </c>
      <c r="H303" s="172">
        <v>-0.25</v>
      </c>
      <c r="I303" s="172">
        <v>21.5</v>
      </c>
    </row>
    <row r="304" spans="2:9" hidden="1" x14ac:dyDescent="0.3">
      <c r="B304" s="172" t="s">
        <v>179</v>
      </c>
      <c r="C304" s="172" t="s">
        <v>246</v>
      </c>
      <c r="D304" s="172" t="s">
        <v>218</v>
      </c>
      <c r="E304" s="172">
        <v>3.0492165903194E-5</v>
      </c>
      <c r="F304" s="172">
        <v>103</v>
      </c>
      <c r="G304" s="172">
        <v>23.25</v>
      </c>
      <c r="H304" s="172">
        <v>-0.25</v>
      </c>
      <c r="I304" s="172">
        <v>21.5</v>
      </c>
    </row>
    <row r="305" spans="2:9" hidden="1" x14ac:dyDescent="0.3">
      <c r="B305" s="172" t="s">
        <v>179</v>
      </c>
      <c r="C305" s="172" t="s">
        <v>246</v>
      </c>
      <c r="D305" s="172" t="s">
        <v>221</v>
      </c>
      <c r="E305" s="172">
        <v>9.8116482698701899E-6</v>
      </c>
      <c r="F305" s="172">
        <v>103</v>
      </c>
      <c r="G305" s="172">
        <v>23.25</v>
      </c>
      <c r="H305" s="172">
        <v>-0.25</v>
      </c>
      <c r="I305" s="172">
        <v>21.5</v>
      </c>
    </row>
    <row r="306" spans="2:9" hidden="1" x14ac:dyDescent="0.3">
      <c r="B306" s="172" t="s">
        <v>39</v>
      </c>
      <c r="C306" s="172" t="s">
        <v>79</v>
      </c>
      <c r="D306" s="172" t="s">
        <v>218</v>
      </c>
      <c r="E306" s="172">
        <v>1.0288665639123799E-3</v>
      </c>
      <c r="F306" s="172">
        <v>91</v>
      </c>
      <c r="G306" s="172">
        <v>23.25</v>
      </c>
      <c r="H306" s="172">
        <v>31.25</v>
      </c>
      <c r="I306" s="172">
        <v>18</v>
      </c>
    </row>
    <row r="307" spans="2:9" hidden="1" x14ac:dyDescent="0.3">
      <c r="B307" s="172" t="s">
        <v>39</v>
      </c>
      <c r="C307" s="172" t="s">
        <v>80</v>
      </c>
      <c r="D307" s="172" t="s">
        <v>218</v>
      </c>
      <c r="E307" s="172">
        <v>1.02166618171788E-3</v>
      </c>
      <c r="F307" s="172">
        <v>103</v>
      </c>
      <c r="G307" s="172">
        <v>23.25</v>
      </c>
      <c r="H307" s="172">
        <v>-0.25</v>
      </c>
      <c r="I307" s="172">
        <v>18</v>
      </c>
    </row>
    <row r="308" spans="2:9" x14ac:dyDescent="0.3">
      <c r="B308" s="172" t="s">
        <v>39</v>
      </c>
      <c r="C308" s="172" t="s">
        <v>81</v>
      </c>
      <c r="D308" s="172" t="s">
        <v>221</v>
      </c>
      <c r="E308" s="172">
        <v>9.3455592126465105E-4</v>
      </c>
      <c r="F308" s="172">
        <v>92</v>
      </c>
      <c r="G308" s="172">
        <v>-0.25</v>
      </c>
      <c r="H308" s="172">
        <v>-0.25</v>
      </c>
      <c r="I308" s="172">
        <v>18</v>
      </c>
    </row>
    <row r="309" spans="2:9" hidden="1" x14ac:dyDescent="0.3">
      <c r="B309" s="172" t="s">
        <v>39</v>
      </c>
      <c r="C309" s="172" t="s">
        <v>82</v>
      </c>
      <c r="D309" s="172" t="s">
        <v>221</v>
      </c>
      <c r="E309" s="172">
        <v>1.0946937927039501E-3</v>
      </c>
      <c r="F309" s="172">
        <v>92</v>
      </c>
      <c r="G309" s="172">
        <v>-0.25</v>
      </c>
      <c r="H309" s="172">
        <v>-0.25</v>
      </c>
      <c r="I309" s="172">
        <v>18</v>
      </c>
    </row>
    <row r="310" spans="2:9" hidden="1" x14ac:dyDescent="0.3">
      <c r="B310" s="172" t="s">
        <v>39</v>
      </c>
      <c r="C310" s="172" t="s">
        <v>246</v>
      </c>
      <c r="D310" s="172" t="s">
        <v>218</v>
      </c>
      <c r="E310" s="172">
        <v>2.41180062885215E-5</v>
      </c>
      <c r="F310" s="172">
        <v>103</v>
      </c>
      <c r="G310" s="172">
        <v>23.25</v>
      </c>
      <c r="H310" s="172">
        <v>-0.25</v>
      </c>
      <c r="I310" s="172">
        <v>18</v>
      </c>
    </row>
    <row r="311" spans="2:9" hidden="1" x14ac:dyDescent="0.3">
      <c r="B311" s="172" t="s">
        <v>39</v>
      </c>
      <c r="C311" s="172" t="s">
        <v>246</v>
      </c>
      <c r="D311" s="172" t="s">
        <v>221</v>
      </c>
      <c r="E311" s="172">
        <v>3.1812223193675199E-6</v>
      </c>
      <c r="F311" s="172">
        <v>91</v>
      </c>
      <c r="G311" s="172">
        <v>23.25</v>
      </c>
      <c r="H311" s="172">
        <v>31.25</v>
      </c>
      <c r="I311" s="172">
        <v>18</v>
      </c>
    </row>
    <row r="312" spans="2:9" hidden="1" x14ac:dyDescent="0.3">
      <c r="B312" s="172" t="s">
        <v>26</v>
      </c>
      <c r="C312" s="172" t="s">
        <v>79</v>
      </c>
      <c r="D312" s="172" t="s">
        <v>218</v>
      </c>
      <c r="E312" s="172">
        <v>1.0498198300483001E-3</v>
      </c>
      <c r="F312" s="172">
        <v>91</v>
      </c>
      <c r="G312" s="172">
        <v>23.25</v>
      </c>
      <c r="H312" s="172">
        <v>31.25</v>
      </c>
      <c r="I312" s="172">
        <v>14.5</v>
      </c>
    </row>
    <row r="313" spans="2:9" hidden="1" x14ac:dyDescent="0.3">
      <c r="B313" s="172" t="s">
        <v>26</v>
      </c>
      <c r="C313" s="172" t="s">
        <v>80</v>
      </c>
      <c r="D313" s="172" t="s">
        <v>218</v>
      </c>
      <c r="E313" s="172">
        <v>1.0445946686021799E-3</v>
      </c>
      <c r="F313" s="172">
        <v>103</v>
      </c>
      <c r="G313" s="172">
        <v>23.25</v>
      </c>
      <c r="H313" s="172">
        <v>-0.25</v>
      </c>
      <c r="I313" s="172">
        <v>14.5</v>
      </c>
    </row>
    <row r="314" spans="2:9" x14ac:dyDescent="0.3">
      <c r="B314" s="172" t="s">
        <v>26</v>
      </c>
      <c r="C314" s="172" t="s">
        <v>81</v>
      </c>
      <c r="D314" s="172" t="s">
        <v>221</v>
      </c>
      <c r="E314" s="172">
        <v>9.6742444413620301E-4</v>
      </c>
      <c r="F314" s="172">
        <v>92</v>
      </c>
      <c r="G314" s="172">
        <v>-0.25</v>
      </c>
      <c r="H314" s="172">
        <v>-0.25</v>
      </c>
      <c r="I314" s="172">
        <v>14.5</v>
      </c>
    </row>
    <row r="315" spans="2:9" hidden="1" x14ac:dyDescent="0.3">
      <c r="B315" s="172" t="s">
        <v>26</v>
      </c>
      <c r="C315" s="172" t="s">
        <v>82</v>
      </c>
      <c r="D315" s="172" t="s">
        <v>221</v>
      </c>
      <c r="E315" s="172">
        <v>1.1258678669611999E-3</v>
      </c>
      <c r="F315" s="172">
        <v>92</v>
      </c>
      <c r="G315" s="172">
        <v>-0.25</v>
      </c>
      <c r="H315" s="172">
        <v>-0.25</v>
      </c>
      <c r="I315" s="172">
        <v>14.5</v>
      </c>
    </row>
    <row r="316" spans="2:9" hidden="1" x14ac:dyDescent="0.3">
      <c r="B316" s="172" t="s">
        <v>26</v>
      </c>
      <c r="C316" s="172" t="s">
        <v>246</v>
      </c>
      <c r="D316" s="172" t="s">
        <v>218</v>
      </c>
      <c r="E316" s="172">
        <v>2.2554117259669102E-5</v>
      </c>
      <c r="F316" s="172">
        <v>91</v>
      </c>
      <c r="G316" s="172">
        <v>23.25</v>
      </c>
      <c r="H316" s="172">
        <v>31.25</v>
      </c>
      <c r="I316" s="172">
        <v>14.5</v>
      </c>
    </row>
    <row r="317" spans="2:9" hidden="1" x14ac:dyDescent="0.3">
      <c r="B317" s="172" t="s">
        <v>26</v>
      </c>
      <c r="C317" s="172" t="s">
        <v>246</v>
      </c>
      <c r="D317" s="172" t="s">
        <v>221</v>
      </c>
      <c r="E317" s="172">
        <v>5.3454892438217202E-6</v>
      </c>
      <c r="F317" s="172">
        <v>103</v>
      </c>
      <c r="G317" s="172">
        <v>23.25</v>
      </c>
      <c r="H317" s="172">
        <v>-0.25</v>
      </c>
      <c r="I317" s="172">
        <v>14.5</v>
      </c>
    </row>
    <row r="318" spans="2:9" hidden="1" x14ac:dyDescent="0.3">
      <c r="B318" s="172" t="s">
        <v>25</v>
      </c>
      <c r="C318" s="172" t="s">
        <v>79</v>
      </c>
      <c r="D318" s="172" t="s">
        <v>218</v>
      </c>
      <c r="E318" s="172">
        <v>1.0875742538576001E-3</v>
      </c>
      <c r="F318" s="172">
        <v>91</v>
      </c>
      <c r="G318" s="172">
        <v>23.25</v>
      </c>
      <c r="H318" s="172">
        <v>31.25</v>
      </c>
      <c r="I318" s="172">
        <v>11</v>
      </c>
    </row>
    <row r="319" spans="2:9" hidden="1" x14ac:dyDescent="0.3">
      <c r="B319" s="172" t="s">
        <v>25</v>
      </c>
      <c r="C319" s="172" t="s">
        <v>80</v>
      </c>
      <c r="D319" s="172" t="s">
        <v>218</v>
      </c>
      <c r="E319" s="172">
        <v>1.08242344116363E-3</v>
      </c>
      <c r="F319" s="172">
        <v>103</v>
      </c>
      <c r="G319" s="172">
        <v>23.25</v>
      </c>
      <c r="H319" s="172">
        <v>-0.25</v>
      </c>
      <c r="I319" s="172">
        <v>11</v>
      </c>
    </row>
    <row r="320" spans="2:9" x14ac:dyDescent="0.3">
      <c r="B320" s="172" t="s">
        <v>25</v>
      </c>
      <c r="C320" s="172" t="s">
        <v>81</v>
      </c>
      <c r="D320" s="172" t="s">
        <v>221</v>
      </c>
      <c r="E320" s="172">
        <v>1.0143283517303099E-3</v>
      </c>
      <c r="F320" s="172">
        <v>92</v>
      </c>
      <c r="G320" s="172">
        <v>-0.25</v>
      </c>
      <c r="H320" s="172">
        <v>-0.25</v>
      </c>
      <c r="I320" s="172">
        <v>11</v>
      </c>
    </row>
    <row r="321" spans="2:9" hidden="1" x14ac:dyDescent="0.3">
      <c r="B321" s="172" t="s">
        <v>25</v>
      </c>
      <c r="C321" s="172" t="s">
        <v>82</v>
      </c>
      <c r="D321" s="172" t="s">
        <v>221</v>
      </c>
      <c r="E321" s="172">
        <v>1.1807365247004701E-3</v>
      </c>
      <c r="F321" s="172">
        <v>92</v>
      </c>
      <c r="G321" s="172">
        <v>-0.25</v>
      </c>
      <c r="H321" s="172">
        <v>-0.25</v>
      </c>
      <c r="I321" s="172">
        <v>11</v>
      </c>
    </row>
    <row r="322" spans="2:9" hidden="1" x14ac:dyDescent="0.3">
      <c r="B322" s="172" t="s">
        <v>25</v>
      </c>
      <c r="C322" s="172" t="s">
        <v>246</v>
      </c>
      <c r="D322" s="172" t="s">
        <v>218</v>
      </c>
      <c r="E322" s="172">
        <v>2.1145981905751201E-5</v>
      </c>
      <c r="F322" s="172">
        <v>91</v>
      </c>
      <c r="G322" s="172">
        <v>23.25</v>
      </c>
      <c r="H322" s="172">
        <v>31.25</v>
      </c>
      <c r="I322" s="172">
        <v>11</v>
      </c>
    </row>
    <row r="323" spans="2:9" hidden="1" x14ac:dyDescent="0.3">
      <c r="B323" s="172" t="s">
        <v>25</v>
      </c>
      <c r="C323" s="172" t="s">
        <v>246</v>
      </c>
      <c r="D323" s="172" t="s">
        <v>221</v>
      </c>
      <c r="E323" s="172">
        <v>1.20653001956757E-5</v>
      </c>
      <c r="F323" s="172">
        <v>103</v>
      </c>
      <c r="G323" s="172">
        <v>23.25</v>
      </c>
      <c r="H323" s="172">
        <v>-0.25</v>
      </c>
      <c r="I323" s="172">
        <v>11</v>
      </c>
    </row>
    <row r="324" spans="2:9" hidden="1" x14ac:dyDescent="0.3">
      <c r="B324" s="172" t="s">
        <v>24</v>
      </c>
      <c r="C324" s="172" t="s">
        <v>79</v>
      </c>
      <c r="D324" s="172" t="s">
        <v>218</v>
      </c>
      <c r="E324" s="172">
        <v>1.08693312867377E-3</v>
      </c>
      <c r="F324" s="172">
        <v>91</v>
      </c>
      <c r="G324" s="172">
        <v>23.25</v>
      </c>
      <c r="H324" s="172">
        <v>31.25</v>
      </c>
      <c r="I324" s="172">
        <v>7.5</v>
      </c>
    </row>
    <row r="325" spans="2:9" hidden="1" x14ac:dyDescent="0.3">
      <c r="B325" s="172" t="s">
        <v>24</v>
      </c>
      <c r="C325" s="172" t="s">
        <v>80</v>
      </c>
      <c r="D325" s="172" t="s">
        <v>218</v>
      </c>
      <c r="E325" s="172">
        <v>1.08148893204433E-3</v>
      </c>
      <c r="F325" s="172">
        <v>103</v>
      </c>
      <c r="G325" s="172">
        <v>23.25</v>
      </c>
      <c r="H325" s="172">
        <v>-0.25</v>
      </c>
      <c r="I325" s="172">
        <v>7.5</v>
      </c>
    </row>
    <row r="326" spans="2:9" x14ac:dyDescent="0.3">
      <c r="B326" s="172" t="s">
        <v>24</v>
      </c>
      <c r="C326" s="172" t="s">
        <v>81</v>
      </c>
      <c r="D326" s="172" t="s">
        <v>221</v>
      </c>
      <c r="E326" s="172">
        <v>1.01795141851519E-3</v>
      </c>
      <c r="F326" s="172">
        <v>92</v>
      </c>
      <c r="G326" s="172">
        <v>-0.25</v>
      </c>
      <c r="H326" s="172">
        <v>-0.25</v>
      </c>
      <c r="I326" s="172">
        <v>7.5</v>
      </c>
    </row>
    <row r="327" spans="2:9" hidden="1" x14ac:dyDescent="0.3">
      <c r="B327" s="172" t="s">
        <v>24</v>
      </c>
      <c r="C327" s="172" t="s">
        <v>82</v>
      </c>
      <c r="D327" s="172" t="s">
        <v>221</v>
      </c>
      <c r="E327" s="172">
        <v>1.1879790019794401E-3</v>
      </c>
      <c r="F327" s="172">
        <v>92</v>
      </c>
      <c r="G327" s="172">
        <v>-0.25</v>
      </c>
      <c r="H327" s="172">
        <v>-0.25</v>
      </c>
      <c r="I327" s="172">
        <v>7.5</v>
      </c>
    </row>
    <row r="328" spans="2:9" hidden="1" x14ac:dyDescent="0.3">
      <c r="B328" s="172" t="s">
        <v>24</v>
      </c>
      <c r="C328" s="172" t="s">
        <v>246</v>
      </c>
      <c r="D328" s="172" t="s">
        <v>218</v>
      </c>
      <c r="E328" s="172">
        <v>1.9126078359605899E-5</v>
      </c>
      <c r="F328" s="172">
        <v>91</v>
      </c>
      <c r="G328" s="172">
        <v>23.25</v>
      </c>
      <c r="H328" s="172">
        <v>31.25</v>
      </c>
      <c r="I328" s="172">
        <v>7.5</v>
      </c>
    </row>
    <row r="329" spans="2:9" hidden="1" x14ac:dyDescent="0.3">
      <c r="B329" s="172" t="s">
        <v>24</v>
      </c>
      <c r="C329" s="172" t="s">
        <v>246</v>
      </c>
      <c r="D329" s="172" t="s">
        <v>221</v>
      </c>
      <c r="E329" s="172">
        <v>2.0293159768387499E-5</v>
      </c>
      <c r="F329" s="172">
        <v>103</v>
      </c>
      <c r="G329" s="172">
        <v>23.25</v>
      </c>
      <c r="H329" s="172">
        <v>-0.25</v>
      </c>
      <c r="I329" s="172">
        <v>7.5</v>
      </c>
    </row>
    <row r="330" spans="2:9" hidden="1" x14ac:dyDescent="0.3">
      <c r="B330" s="172" t="s">
        <v>22</v>
      </c>
      <c r="C330" s="172" t="s">
        <v>79</v>
      </c>
      <c r="D330" s="172" t="s">
        <v>218</v>
      </c>
      <c r="E330" s="172">
        <v>7.98605000205844E-4</v>
      </c>
      <c r="F330" s="172">
        <v>28</v>
      </c>
      <c r="G330" s="172">
        <v>19</v>
      </c>
      <c r="H330" s="172">
        <v>31</v>
      </c>
      <c r="I330" s="172">
        <v>4</v>
      </c>
    </row>
    <row r="331" spans="2:9" hidden="1" x14ac:dyDescent="0.3">
      <c r="B331" s="172" t="s">
        <v>22</v>
      </c>
      <c r="C331" s="172" t="s">
        <v>80</v>
      </c>
      <c r="D331" s="172" t="s">
        <v>218</v>
      </c>
      <c r="E331" s="172">
        <v>7.9220331955573095E-4</v>
      </c>
      <c r="F331" s="172">
        <v>24</v>
      </c>
      <c r="G331" s="172">
        <v>19</v>
      </c>
      <c r="H331" s="172">
        <v>0</v>
      </c>
      <c r="I331" s="172">
        <v>4</v>
      </c>
    </row>
    <row r="332" spans="2:9" x14ac:dyDescent="0.3">
      <c r="B332" s="172" t="s">
        <v>22</v>
      </c>
      <c r="C332" s="172" t="s">
        <v>81</v>
      </c>
      <c r="D332" s="172" t="s">
        <v>221</v>
      </c>
      <c r="E332" s="172">
        <v>7.1695172701886705E-4</v>
      </c>
      <c r="F332" s="172">
        <v>165</v>
      </c>
      <c r="G332" s="172">
        <v>23</v>
      </c>
      <c r="H332" s="172">
        <v>17</v>
      </c>
      <c r="I332" s="172">
        <v>4</v>
      </c>
    </row>
    <row r="333" spans="2:9" hidden="1" x14ac:dyDescent="0.3">
      <c r="B333" s="172" t="s">
        <v>22</v>
      </c>
      <c r="C333" s="172" t="s">
        <v>82</v>
      </c>
      <c r="D333" s="172" t="s">
        <v>221</v>
      </c>
      <c r="E333" s="172">
        <v>8.4161037513782002E-4</v>
      </c>
      <c r="F333" s="172">
        <v>32</v>
      </c>
      <c r="G333" s="172">
        <v>0</v>
      </c>
      <c r="H333" s="172">
        <v>25</v>
      </c>
      <c r="I333" s="172">
        <v>4</v>
      </c>
    </row>
    <row r="334" spans="2:9" hidden="1" x14ac:dyDescent="0.3">
      <c r="B334" s="172" t="s">
        <v>22</v>
      </c>
      <c r="C334" s="172" t="s">
        <v>246</v>
      </c>
      <c r="D334" s="172" t="s">
        <v>221</v>
      </c>
      <c r="E334" s="172">
        <v>2.7119440668232599E-5</v>
      </c>
      <c r="F334" s="172">
        <v>165</v>
      </c>
      <c r="G334" s="172">
        <v>23</v>
      </c>
      <c r="H334" s="172">
        <v>17</v>
      </c>
      <c r="I334" s="172">
        <v>4</v>
      </c>
    </row>
    <row r="335" spans="2:9" hidden="1" x14ac:dyDescent="0.3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4.1525499133933602E-4</v>
      </c>
      <c r="F402" s="172">
        <v>165</v>
      </c>
      <c r="G402" s="172">
        <v>23</v>
      </c>
      <c r="H402" s="172">
        <v>17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4.03769179339666E-4</v>
      </c>
      <c r="F403" s="172">
        <v>165</v>
      </c>
      <c r="G403" s="172">
        <v>23</v>
      </c>
      <c r="H403" s="172">
        <v>17</v>
      </c>
      <c r="I403" s="172">
        <v>38.5</v>
      </c>
    </row>
    <row r="404" spans="2:9" hidden="1" x14ac:dyDescent="0.3">
      <c r="B404" s="172" t="s">
        <v>189</v>
      </c>
      <c r="C404" s="172" t="s">
        <v>81</v>
      </c>
      <c r="D404" s="172" t="s">
        <v>221</v>
      </c>
      <c r="E404" s="172">
        <v>2.7786769499931803E-4</v>
      </c>
      <c r="F404" s="172">
        <v>166</v>
      </c>
      <c r="G404" s="172">
        <v>19</v>
      </c>
      <c r="H404" s="172">
        <v>17</v>
      </c>
      <c r="I404" s="172">
        <v>38.5</v>
      </c>
    </row>
    <row r="405" spans="2:9" x14ac:dyDescent="0.3">
      <c r="B405" s="172" t="s">
        <v>189</v>
      </c>
      <c r="C405" s="172" t="s">
        <v>82</v>
      </c>
      <c r="D405" s="172" t="s">
        <v>221</v>
      </c>
      <c r="E405" s="172">
        <v>2.6283373979383299E-4</v>
      </c>
      <c r="F405" s="172">
        <v>166</v>
      </c>
      <c r="G405" s="172">
        <v>19</v>
      </c>
      <c r="H405" s="172">
        <v>17</v>
      </c>
      <c r="I405" s="172">
        <v>38.5</v>
      </c>
    </row>
    <row r="406" spans="2:9" hidden="1" x14ac:dyDescent="0.3">
      <c r="B406" s="172" t="s">
        <v>189</v>
      </c>
      <c r="C406" s="172" t="s">
        <v>246</v>
      </c>
      <c r="D406" s="172" t="s">
        <v>218</v>
      </c>
      <c r="E406" s="172">
        <v>1.87548231679679E-4</v>
      </c>
      <c r="F406" s="172">
        <v>165</v>
      </c>
      <c r="G406" s="172">
        <v>23</v>
      </c>
      <c r="H406" s="172">
        <v>17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221</v>
      </c>
      <c r="E407" s="172">
        <v>1.02380416565465E-4</v>
      </c>
      <c r="F407" s="172">
        <v>166</v>
      </c>
      <c r="G407" s="172">
        <v>19</v>
      </c>
      <c r="H407" s="172">
        <v>17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3.6141163956608901E-4</v>
      </c>
      <c r="F408" s="172">
        <v>91</v>
      </c>
      <c r="G408" s="172">
        <v>23.25</v>
      </c>
      <c r="H408" s="172">
        <v>31.25</v>
      </c>
      <c r="I408" s="172">
        <v>35.5</v>
      </c>
    </row>
    <row r="409" spans="2:9" hidden="1" x14ac:dyDescent="0.3">
      <c r="B409" s="172" t="s">
        <v>187</v>
      </c>
      <c r="C409" s="172" t="s">
        <v>80</v>
      </c>
      <c r="D409" s="172" t="s">
        <v>218</v>
      </c>
      <c r="E409" s="172">
        <v>3.6119935507581601E-4</v>
      </c>
      <c r="F409" s="172">
        <v>103</v>
      </c>
      <c r="G409" s="172">
        <v>23.25</v>
      </c>
      <c r="H409" s="172">
        <v>-0.25</v>
      </c>
      <c r="I409" s="172">
        <v>35.5</v>
      </c>
    </row>
    <row r="410" spans="2:9" hidden="1" x14ac:dyDescent="0.3">
      <c r="B410" s="172" t="s">
        <v>187</v>
      </c>
      <c r="C410" s="172" t="s">
        <v>81</v>
      </c>
      <c r="D410" s="172" t="s">
        <v>221</v>
      </c>
      <c r="E410" s="172">
        <v>2.8726906592664797E-4</v>
      </c>
      <c r="F410" s="172">
        <v>103</v>
      </c>
      <c r="G410" s="172">
        <v>23.25</v>
      </c>
      <c r="H410" s="172">
        <v>-0.25</v>
      </c>
      <c r="I410" s="172">
        <v>35.5</v>
      </c>
    </row>
    <row r="411" spans="2:9" x14ac:dyDescent="0.3">
      <c r="B411" s="172" t="s">
        <v>187</v>
      </c>
      <c r="C411" s="172" t="s">
        <v>82</v>
      </c>
      <c r="D411" s="172" t="s">
        <v>221</v>
      </c>
      <c r="E411" s="172">
        <v>3.1701253538421302E-4</v>
      </c>
      <c r="F411" s="172">
        <v>92</v>
      </c>
      <c r="G411" s="172">
        <v>-0.25</v>
      </c>
      <c r="H411" s="172">
        <v>-0.25</v>
      </c>
      <c r="I411" s="172">
        <v>35.5</v>
      </c>
    </row>
    <row r="412" spans="2:9" hidden="1" x14ac:dyDescent="0.3">
      <c r="B412" s="172" t="s">
        <v>187</v>
      </c>
      <c r="C412" s="172" t="s">
        <v>246</v>
      </c>
      <c r="D412" s="172" t="s">
        <v>218</v>
      </c>
      <c r="E412" s="172">
        <v>3.5666345354976198E-5</v>
      </c>
      <c r="F412" s="172">
        <v>103</v>
      </c>
      <c r="G412" s="172">
        <v>23.25</v>
      </c>
      <c r="H412" s="172">
        <v>-0.25</v>
      </c>
      <c r="I412" s="172">
        <v>35.5</v>
      </c>
    </row>
    <row r="413" spans="2:9" hidden="1" x14ac:dyDescent="0.3">
      <c r="B413" s="172" t="s">
        <v>187</v>
      </c>
      <c r="C413" s="172" t="s">
        <v>246</v>
      </c>
      <c r="D413" s="172" t="s">
        <v>221</v>
      </c>
      <c r="E413" s="172">
        <v>1.71368641891927E-5</v>
      </c>
      <c r="F413" s="172">
        <v>103</v>
      </c>
      <c r="G413" s="172">
        <v>23.25</v>
      </c>
      <c r="H413" s="172">
        <v>-0.25</v>
      </c>
      <c r="I413" s="172">
        <v>35.5</v>
      </c>
    </row>
    <row r="414" spans="2:9" hidden="1" x14ac:dyDescent="0.3">
      <c r="B414" s="172" t="s">
        <v>185</v>
      </c>
      <c r="C414" s="172" t="s">
        <v>79</v>
      </c>
      <c r="D414" s="172" t="s">
        <v>218</v>
      </c>
      <c r="E414" s="172">
        <v>5.5147942815695803E-4</v>
      </c>
      <c r="F414" s="172">
        <v>91</v>
      </c>
      <c r="G414" s="172">
        <v>23.25</v>
      </c>
      <c r="H414" s="172">
        <v>31.25</v>
      </c>
      <c r="I414" s="172">
        <v>32</v>
      </c>
    </row>
    <row r="415" spans="2:9" hidden="1" x14ac:dyDescent="0.3">
      <c r="B415" s="172" t="s">
        <v>185</v>
      </c>
      <c r="C415" s="172" t="s">
        <v>80</v>
      </c>
      <c r="D415" s="172" t="s">
        <v>218</v>
      </c>
      <c r="E415" s="172">
        <v>5.4983080778037705E-4</v>
      </c>
      <c r="F415" s="172">
        <v>103</v>
      </c>
      <c r="G415" s="172">
        <v>23.25</v>
      </c>
      <c r="H415" s="172">
        <v>-0.25</v>
      </c>
      <c r="I415" s="172">
        <v>32</v>
      </c>
    </row>
    <row r="416" spans="2:9" hidden="1" x14ac:dyDescent="0.3">
      <c r="B416" s="172" t="s">
        <v>185</v>
      </c>
      <c r="C416" s="172" t="s">
        <v>81</v>
      </c>
      <c r="D416" s="172" t="s">
        <v>221</v>
      </c>
      <c r="E416" s="172">
        <v>4.4981031001281498E-4</v>
      </c>
      <c r="F416" s="172">
        <v>92</v>
      </c>
      <c r="G416" s="172">
        <v>-0.25</v>
      </c>
      <c r="H416" s="172">
        <v>-0.25</v>
      </c>
      <c r="I416" s="172">
        <v>32</v>
      </c>
    </row>
    <row r="417" spans="2:9" x14ac:dyDescent="0.3">
      <c r="B417" s="172" t="s">
        <v>185</v>
      </c>
      <c r="C417" s="172" t="s">
        <v>82</v>
      </c>
      <c r="D417" s="172" t="s">
        <v>221</v>
      </c>
      <c r="E417" s="172">
        <v>5.2774373442857905E-4</v>
      </c>
      <c r="F417" s="172">
        <v>92</v>
      </c>
      <c r="G417" s="172">
        <v>-0.25</v>
      </c>
      <c r="H417" s="172">
        <v>-0.25</v>
      </c>
      <c r="I417" s="172">
        <v>32</v>
      </c>
    </row>
    <row r="418" spans="2:9" hidden="1" x14ac:dyDescent="0.3">
      <c r="B418" s="172" t="s">
        <v>185</v>
      </c>
      <c r="C418" s="172" t="s">
        <v>246</v>
      </c>
      <c r="D418" s="172" t="s">
        <v>218</v>
      </c>
      <c r="E418" s="172">
        <v>4.0003665723973103E-5</v>
      </c>
      <c r="F418" s="172">
        <v>103</v>
      </c>
      <c r="G418" s="172">
        <v>23.25</v>
      </c>
      <c r="H418" s="172">
        <v>-0.25</v>
      </c>
      <c r="I418" s="172">
        <v>32</v>
      </c>
    </row>
    <row r="419" spans="2:9" hidden="1" x14ac:dyDescent="0.3">
      <c r="B419" s="172" t="s">
        <v>185</v>
      </c>
      <c r="C419" s="172" t="s">
        <v>246</v>
      </c>
      <c r="D419" s="172" t="s">
        <v>221</v>
      </c>
      <c r="E419" s="172">
        <v>2.0022324622766001E-5</v>
      </c>
      <c r="F419" s="172">
        <v>103</v>
      </c>
      <c r="G419" s="172">
        <v>23.25</v>
      </c>
      <c r="H419" s="172">
        <v>-0.25</v>
      </c>
      <c r="I419" s="172">
        <v>32</v>
      </c>
    </row>
    <row r="420" spans="2:9" hidden="1" x14ac:dyDescent="0.3">
      <c r="B420" s="172" t="s">
        <v>183</v>
      </c>
      <c r="C420" s="172" t="s">
        <v>79</v>
      </c>
      <c r="D420" s="172" t="s">
        <v>218</v>
      </c>
      <c r="E420" s="172">
        <v>7.2565963504955095E-4</v>
      </c>
      <c r="F420" s="172">
        <v>91</v>
      </c>
      <c r="G420" s="172">
        <v>23.25</v>
      </c>
      <c r="H420" s="172">
        <v>31.25</v>
      </c>
      <c r="I420" s="172">
        <v>28.5</v>
      </c>
    </row>
    <row r="421" spans="2:9" hidden="1" x14ac:dyDescent="0.3">
      <c r="B421" s="172" t="s">
        <v>183</v>
      </c>
      <c r="C421" s="172" t="s">
        <v>80</v>
      </c>
      <c r="D421" s="172" t="s">
        <v>218</v>
      </c>
      <c r="E421" s="172">
        <v>7.2200684500543398E-4</v>
      </c>
      <c r="F421" s="172">
        <v>103</v>
      </c>
      <c r="G421" s="172">
        <v>23.25</v>
      </c>
      <c r="H421" s="172">
        <v>-0.25</v>
      </c>
      <c r="I421" s="172">
        <v>28.5</v>
      </c>
    </row>
    <row r="422" spans="2:9" hidden="1" x14ac:dyDescent="0.3">
      <c r="B422" s="172" t="s">
        <v>183</v>
      </c>
      <c r="C422" s="172" t="s">
        <v>81</v>
      </c>
      <c r="D422" s="172" t="s">
        <v>221</v>
      </c>
      <c r="E422" s="172">
        <v>6.2027992977820804E-4</v>
      </c>
      <c r="F422" s="172">
        <v>92</v>
      </c>
      <c r="G422" s="172">
        <v>-0.25</v>
      </c>
      <c r="H422" s="172">
        <v>-0.25</v>
      </c>
      <c r="I422" s="172">
        <v>28.5</v>
      </c>
    </row>
    <row r="423" spans="2:9" x14ac:dyDescent="0.3">
      <c r="B423" s="172" t="s">
        <v>183</v>
      </c>
      <c r="C423" s="172" t="s">
        <v>82</v>
      </c>
      <c r="D423" s="172" t="s">
        <v>221</v>
      </c>
      <c r="E423" s="172">
        <v>7.3038803392551398E-4</v>
      </c>
      <c r="F423" s="172">
        <v>92</v>
      </c>
      <c r="G423" s="172">
        <v>-0.25</v>
      </c>
      <c r="H423" s="172">
        <v>-0.25</v>
      </c>
      <c r="I423" s="172">
        <v>28.5</v>
      </c>
    </row>
    <row r="424" spans="2:9" hidden="1" x14ac:dyDescent="0.3">
      <c r="B424" s="172" t="s">
        <v>183</v>
      </c>
      <c r="C424" s="172" t="s">
        <v>246</v>
      </c>
      <c r="D424" s="172" t="s">
        <v>218</v>
      </c>
      <c r="E424" s="172">
        <v>3.8005988914266102E-5</v>
      </c>
      <c r="F424" s="172">
        <v>103</v>
      </c>
      <c r="G424" s="172">
        <v>23.25</v>
      </c>
      <c r="H424" s="172">
        <v>-0.25</v>
      </c>
      <c r="I424" s="172">
        <v>28.5</v>
      </c>
    </row>
    <row r="425" spans="2:9" hidden="1" x14ac:dyDescent="0.3">
      <c r="B425" s="172" t="s">
        <v>183</v>
      </c>
      <c r="C425" s="172" t="s">
        <v>246</v>
      </c>
      <c r="D425" s="172" t="s">
        <v>221</v>
      </c>
      <c r="E425" s="172">
        <v>1.7633191658421801E-5</v>
      </c>
      <c r="F425" s="172">
        <v>103</v>
      </c>
      <c r="G425" s="172">
        <v>23.25</v>
      </c>
      <c r="H425" s="172">
        <v>-0.25</v>
      </c>
      <c r="I425" s="172">
        <v>28.5</v>
      </c>
    </row>
    <row r="426" spans="2:9" hidden="1" x14ac:dyDescent="0.3">
      <c r="B426" s="172" t="s">
        <v>181</v>
      </c>
      <c r="C426" s="172" t="s">
        <v>79</v>
      </c>
      <c r="D426" s="172" t="s">
        <v>218</v>
      </c>
      <c r="E426" s="172">
        <v>8.7097502322859197E-4</v>
      </c>
      <c r="F426" s="172">
        <v>91</v>
      </c>
      <c r="G426" s="172">
        <v>23.25</v>
      </c>
      <c r="H426" s="172">
        <v>31.25</v>
      </c>
      <c r="I426" s="172">
        <v>25</v>
      </c>
    </row>
    <row r="427" spans="2:9" hidden="1" x14ac:dyDescent="0.3">
      <c r="B427" s="172" t="s">
        <v>181</v>
      </c>
      <c r="C427" s="172" t="s">
        <v>80</v>
      </c>
      <c r="D427" s="172" t="s">
        <v>218</v>
      </c>
      <c r="E427" s="172">
        <v>8.6524153835656895E-4</v>
      </c>
      <c r="F427" s="172">
        <v>103</v>
      </c>
      <c r="G427" s="172">
        <v>23.25</v>
      </c>
      <c r="H427" s="172">
        <v>-0.25</v>
      </c>
      <c r="I427" s="172">
        <v>25</v>
      </c>
    </row>
    <row r="428" spans="2:9" hidden="1" x14ac:dyDescent="0.3">
      <c r="B428" s="172" t="s">
        <v>181</v>
      </c>
      <c r="C428" s="172" t="s">
        <v>81</v>
      </c>
      <c r="D428" s="172" t="s">
        <v>221</v>
      </c>
      <c r="E428" s="172">
        <v>7.6591095551554599E-4</v>
      </c>
      <c r="F428" s="172">
        <v>92</v>
      </c>
      <c r="G428" s="172">
        <v>-0.25</v>
      </c>
      <c r="H428" s="172">
        <v>-0.25</v>
      </c>
      <c r="I428" s="172">
        <v>25</v>
      </c>
    </row>
    <row r="429" spans="2:9" x14ac:dyDescent="0.3">
      <c r="B429" s="172" t="s">
        <v>181</v>
      </c>
      <c r="C429" s="172" t="s">
        <v>82</v>
      </c>
      <c r="D429" s="172" t="s">
        <v>221</v>
      </c>
      <c r="E429" s="172">
        <v>9.0336029284969498E-4</v>
      </c>
      <c r="F429" s="172">
        <v>92</v>
      </c>
      <c r="G429" s="172">
        <v>-0.25</v>
      </c>
      <c r="H429" s="172">
        <v>-0.25</v>
      </c>
      <c r="I429" s="172">
        <v>25</v>
      </c>
    </row>
    <row r="430" spans="2:9" hidden="1" x14ac:dyDescent="0.3">
      <c r="B430" s="172" t="s">
        <v>181</v>
      </c>
      <c r="C430" s="172" t="s">
        <v>246</v>
      </c>
      <c r="D430" s="172" t="s">
        <v>218</v>
      </c>
      <c r="E430" s="172">
        <v>3.47794149365114E-5</v>
      </c>
      <c r="F430" s="172">
        <v>103</v>
      </c>
      <c r="G430" s="172">
        <v>23.25</v>
      </c>
      <c r="H430" s="172">
        <v>-0.25</v>
      </c>
      <c r="I430" s="172">
        <v>25</v>
      </c>
    </row>
    <row r="431" spans="2:9" hidden="1" x14ac:dyDescent="0.3">
      <c r="B431" s="172" t="s">
        <v>181</v>
      </c>
      <c r="C431" s="172" t="s">
        <v>246</v>
      </c>
      <c r="D431" s="172" t="s">
        <v>221</v>
      </c>
      <c r="E431" s="172">
        <v>1.4251638343325899E-5</v>
      </c>
      <c r="F431" s="172">
        <v>103</v>
      </c>
      <c r="G431" s="172">
        <v>23.25</v>
      </c>
      <c r="H431" s="172">
        <v>-0.25</v>
      </c>
      <c r="I431" s="172">
        <v>25</v>
      </c>
    </row>
    <row r="432" spans="2:9" hidden="1" x14ac:dyDescent="0.3">
      <c r="B432" s="172" t="s">
        <v>179</v>
      </c>
      <c r="C432" s="172" t="s">
        <v>79</v>
      </c>
      <c r="D432" s="172" t="s">
        <v>218</v>
      </c>
      <c r="E432" s="172">
        <v>9.8322167748828493E-4</v>
      </c>
      <c r="F432" s="172">
        <v>91</v>
      </c>
      <c r="G432" s="172">
        <v>23.25</v>
      </c>
      <c r="H432" s="172">
        <v>31.25</v>
      </c>
      <c r="I432" s="172">
        <v>21.5</v>
      </c>
    </row>
    <row r="433" spans="2:9" hidden="1" x14ac:dyDescent="0.3">
      <c r="B433" s="172" t="s">
        <v>179</v>
      </c>
      <c r="C433" s="172" t="s">
        <v>80</v>
      </c>
      <c r="D433" s="172" t="s">
        <v>218</v>
      </c>
      <c r="E433" s="172">
        <v>9.7575674033274697E-4</v>
      </c>
      <c r="F433" s="172">
        <v>103</v>
      </c>
      <c r="G433" s="172">
        <v>23.25</v>
      </c>
      <c r="H433" s="172">
        <v>-0.25</v>
      </c>
      <c r="I433" s="172">
        <v>21.5</v>
      </c>
    </row>
    <row r="434" spans="2:9" hidden="1" x14ac:dyDescent="0.3">
      <c r="B434" s="172" t="s">
        <v>179</v>
      </c>
      <c r="C434" s="172" t="s">
        <v>81</v>
      </c>
      <c r="D434" s="172" t="s">
        <v>221</v>
      </c>
      <c r="E434" s="172">
        <v>8.8044998717065495E-4</v>
      </c>
      <c r="F434" s="172">
        <v>92</v>
      </c>
      <c r="G434" s="172">
        <v>-0.25</v>
      </c>
      <c r="H434" s="172">
        <v>-0.25</v>
      </c>
      <c r="I434" s="172">
        <v>21.5</v>
      </c>
    </row>
    <row r="435" spans="2:9" x14ac:dyDescent="0.3">
      <c r="B435" s="172" t="s">
        <v>179</v>
      </c>
      <c r="C435" s="172" t="s">
        <v>82</v>
      </c>
      <c r="D435" s="172" t="s">
        <v>221</v>
      </c>
      <c r="E435" s="172">
        <v>1.03825164892694E-3</v>
      </c>
      <c r="F435" s="172">
        <v>92</v>
      </c>
      <c r="G435" s="172">
        <v>-0.25</v>
      </c>
      <c r="H435" s="172">
        <v>-0.25</v>
      </c>
      <c r="I435" s="172">
        <v>21.5</v>
      </c>
    </row>
    <row r="436" spans="2:9" hidden="1" x14ac:dyDescent="0.3">
      <c r="B436" s="172" t="s">
        <v>179</v>
      </c>
      <c r="C436" s="172" t="s">
        <v>246</v>
      </c>
      <c r="D436" s="172" t="s">
        <v>218</v>
      </c>
      <c r="E436" s="172">
        <v>3.0492165903194E-5</v>
      </c>
      <c r="F436" s="172">
        <v>103</v>
      </c>
      <c r="G436" s="172">
        <v>23.25</v>
      </c>
      <c r="H436" s="172">
        <v>-0.25</v>
      </c>
      <c r="I436" s="172">
        <v>21.5</v>
      </c>
    </row>
    <row r="437" spans="2:9" hidden="1" x14ac:dyDescent="0.3">
      <c r="B437" s="172" t="s">
        <v>179</v>
      </c>
      <c r="C437" s="172" t="s">
        <v>246</v>
      </c>
      <c r="D437" s="172" t="s">
        <v>221</v>
      </c>
      <c r="E437" s="172">
        <v>9.8116482698701899E-6</v>
      </c>
      <c r="F437" s="172">
        <v>103</v>
      </c>
      <c r="G437" s="172">
        <v>23.25</v>
      </c>
      <c r="H437" s="172">
        <v>-0.25</v>
      </c>
      <c r="I437" s="172">
        <v>21.5</v>
      </c>
    </row>
    <row r="438" spans="2:9" hidden="1" x14ac:dyDescent="0.3">
      <c r="B438" s="172" t="s">
        <v>39</v>
      </c>
      <c r="C438" s="172" t="s">
        <v>79</v>
      </c>
      <c r="D438" s="172" t="s">
        <v>218</v>
      </c>
      <c r="E438" s="172">
        <v>1.0288665639123799E-3</v>
      </c>
      <c r="F438" s="172">
        <v>91</v>
      </c>
      <c r="G438" s="172">
        <v>23.25</v>
      </c>
      <c r="H438" s="172">
        <v>31.25</v>
      </c>
      <c r="I438" s="172">
        <v>18</v>
      </c>
    </row>
    <row r="439" spans="2:9" hidden="1" x14ac:dyDescent="0.3">
      <c r="B439" s="172" t="s">
        <v>39</v>
      </c>
      <c r="C439" s="172" t="s">
        <v>80</v>
      </c>
      <c r="D439" s="172" t="s">
        <v>218</v>
      </c>
      <c r="E439" s="172">
        <v>1.02166618171788E-3</v>
      </c>
      <c r="F439" s="172">
        <v>103</v>
      </c>
      <c r="G439" s="172">
        <v>23.25</v>
      </c>
      <c r="H439" s="172">
        <v>-0.25</v>
      </c>
      <c r="I439" s="172">
        <v>18</v>
      </c>
    </row>
    <row r="440" spans="2:9" hidden="1" x14ac:dyDescent="0.3">
      <c r="B440" s="172" t="s">
        <v>39</v>
      </c>
      <c r="C440" s="172" t="s">
        <v>81</v>
      </c>
      <c r="D440" s="172" t="s">
        <v>221</v>
      </c>
      <c r="E440" s="172">
        <v>9.3455592126465105E-4</v>
      </c>
      <c r="F440" s="172">
        <v>92</v>
      </c>
      <c r="G440" s="172">
        <v>-0.25</v>
      </c>
      <c r="H440" s="172">
        <v>-0.25</v>
      </c>
      <c r="I440" s="172">
        <v>18</v>
      </c>
    </row>
    <row r="441" spans="2:9" x14ac:dyDescent="0.3">
      <c r="B441" s="172" t="s">
        <v>39</v>
      </c>
      <c r="C441" s="172" t="s">
        <v>82</v>
      </c>
      <c r="D441" s="172" t="s">
        <v>221</v>
      </c>
      <c r="E441" s="172">
        <v>1.0946937927039501E-3</v>
      </c>
      <c r="F441" s="172">
        <v>92</v>
      </c>
      <c r="G441" s="172">
        <v>-0.25</v>
      </c>
      <c r="H441" s="172">
        <v>-0.25</v>
      </c>
      <c r="I441" s="172">
        <v>18</v>
      </c>
    </row>
    <row r="442" spans="2:9" hidden="1" x14ac:dyDescent="0.3">
      <c r="B442" s="172" t="s">
        <v>39</v>
      </c>
      <c r="C442" s="172" t="s">
        <v>246</v>
      </c>
      <c r="D442" s="172" t="s">
        <v>218</v>
      </c>
      <c r="E442" s="172">
        <v>2.41180062885215E-5</v>
      </c>
      <c r="F442" s="172">
        <v>103</v>
      </c>
      <c r="G442" s="172">
        <v>23.25</v>
      </c>
      <c r="H442" s="172">
        <v>-0.25</v>
      </c>
      <c r="I442" s="172">
        <v>18</v>
      </c>
    </row>
    <row r="443" spans="2:9" hidden="1" x14ac:dyDescent="0.3">
      <c r="B443" s="172" t="s">
        <v>39</v>
      </c>
      <c r="C443" s="172" t="s">
        <v>246</v>
      </c>
      <c r="D443" s="172" t="s">
        <v>221</v>
      </c>
      <c r="E443" s="172">
        <v>3.1812223193675199E-6</v>
      </c>
      <c r="F443" s="172">
        <v>91</v>
      </c>
      <c r="G443" s="172">
        <v>23.25</v>
      </c>
      <c r="H443" s="172">
        <v>31.25</v>
      </c>
      <c r="I443" s="172">
        <v>18</v>
      </c>
    </row>
    <row r="444" spans="2:9" hidden="1" x14ac:dyDescent="0.3">
      <c r="B444" s="172" t="s">
        <v>26</v>
      </c>
      <c r="C444" s="172" t="s">
        <v>79</v>
      </c>
      <c r="D444" s="172" t="s">
        <v>218</v>
      </c>
      <c r="E444" s="172">
        <v>1.0498198300483001E-3</v>
      </c>
      <c r="F444" s="172">
        <v>91</v>
      </c>
      <c r="G444" s="172">
        <v>23.25</v>
      </c>
      <c r="H444" s="172">
        <v>31.25</v>
      </c>
      <c r="I444" s="172">
        <v>14.5</v>
      </c>
    </row>
    <row r="445" spans="2:9" hidden="1" x14ac:dyDescent="0.3">
      <c r="B445" s="172" t="s">
        <v>26</v>
      </c>
      <c r="C445" s="172" t="s">
        <v>80</v>
      </c>
      <c r="D445" s="172" t="s">
        <v>218</v>
      </c>
      <c r="E445" s="172">
        <v>1.0445946686021799E-3</v>
      </c>
      <c r="F445" s="172">
        <v>103</v>
      </c>
      <c r="G445" s="172">
        <v>23.25</v>
      </c>
      <c r="H445" s="172">
        <v>-0.25</v>
      </c>
      <c r="I445" s="172">
        <v>14.5</v>
      </c>
    </row>
    <row r="446" spans="2:9" hidden="1" x14ac:dyDescent="0.3">
      <c r="B446" s="172" t="s">
        <v>26</v>
      </c>
      <c r="C446" s="172" t="s">
        <v>81</v>
      </c>
      <c r="D446" s="172" t="s">
        <v>221</v>
      </c>
      <c r="E446" s="172">
        <v>9.6742444413620301E-4</v>
      </c>
      <c r="F446" s="172">
        <v>92</v>
      </c>
      <c r="G446" s="172">
        <v>-0.25</v>
      </c>
      <c r="H446" s="172">
        <v>-0.25</v>
      </c>
      <c r="I446" s="172">
        <v>14.5</v>
      </c>
    </row>
    <row r="447" spans="2:9" x14ac:dyDescent="0.3">
      <c r="B447" s="172" t="s">
        <v>26</v>
      </c>
      <c r="C447" s="172" t="s">
        <v>82</v>
      </c>
      <c r="D447" s="172" t="s">
        <v>221</v>
      </c>
      <c r="E447" s="172">
        <v>1.1258678669611999E-3</v>
      </c>
      <c r="F447" s="172">
        <v>92</v>
      </c>
      <c r="G447" s="172">
        <v>-0.25</v>
      </c>
      <c r="H447" s="172">
        <v>-0.25</v>
      </c>
      <c r="I447" s="172">
        <v>14.5</v>
      </c>
    </row>
    <row r="448" spans="2:9" hidden="1" x14ac:dyDescent="0.3">
      <c r="B448" s="172" t="s">
        <v>26</v>
      </c>
      <c r="C448" s="172" t="s">
        <v>246</v>
      </c>
      <c r="D448" s="172" t="s">
        <v>218</v>
      </c>
      <c r="E448" s="172">
        <v>2.2554117259669102E-5</v>
      </c>
      <c r="F448" s="172">
        <v>91</v>
      </c>
      <c r="G448" s="172">
        <v>23.25</v>
      </c>
      <c r="H448" s="172">
        <v>31.25</v>
      </c>
      <c r="I448" s="172">
        <v>14.5</v>
      </c>
    </row>
    <row r="449" spans="2:9" hidden="1" x14ac:dyDescent="0.3">
      <c r="B449" s="172" t="s">
        <v>26</v>
      </c>
      <c r="C449" s="172" t="s">
        <v>246</v>
      </c>
      <c r="D449" s="172" t="s">
        <v>221</v>
      </c>
      <c r="E449" s="172">
        <v>5.3454892438217202E-6</v>
      </c>
      <c r="F449" s="172">
        <v>103</v>
      </c>
      <c r="G449" s="172">
        <v>23.25</v>
      </c>
      <c r="H449" s="172">
        <v>-0.25</v>
      </c>
      <c r="I449" s="172">
        <v>14.5</v>
      </c>
    </row>
    <row r="450" spans="2:9" hidden="1" x14ac:dyDescent="0.3">
      <c r="B450" s="172" t="s">
        <v>25</v>
      </c>
      <c r="C450" s="172" t="s">
        <v>79</v>
      </c>
      <c r="D450" s="172" t="s">
        <v>218</v>
      </c>
      <c r="E450" s="172">
        <v>1.0875742538576001E-3</v>
      </c>
      <c r="F450" s="172">
        <v>91</v>
      </c>
      <c r="G450" s="172">
        <v>23.25</v>
      </c>
      <c r="H450" s="172">
        <v>31.25</v>
      </c>
      <c r="I450" s="172">
        <v>11</v>
      </c>
    </row>
    <row r="451" spans="2:9" hidden="1" x14ac:dyDescent="0.3">
      <c r="B451" s="172" t="s">
        <v>25</v>
      </c>
      <c r="C451" s="172" t="s">
        <v>80</v>
      </c>
      <c r="D451" s="172" t="s">
        <v>218</v>
      </c>
      <c r="E451" s="172">
        <v>1.08242344116363E-3</v>
      </c>
      <c r="F451" s="172">
        <v>103</v>
      </c>
      <c r="G451" s="172">
        <v>23.25</v>
      </c>
      <c r="H451" s="172">
        <v>-0.25</v>
      </c>
      <c r="I451" s="172">
        <v>11</v>
      </c>
    </row>
    <row r="452" spans="2:9" hidden="1" x14ac:dyDescent="0.3">
      <c r="B452" s="172" t="s">
        <v>25</v>
      </c>
      <c r="C452" s="172" t="s">
        <v>81</v>
      </c>
      <c r="D452" s="172" t="s">
        <v>221</v>
      </c>
      <c r="E452" s="172">
        <v>1.0143283517303099E-3</v>
      </c>
      <c r="F452" s="172">
        <v>92</v>
      </c>
      <c r="G452" s="172">
        <v>-0.25</v>
      </c>
      <c r="H452" s="172">
        <v>-0.25</v>
      </c>
      <c r="I452" s="172">
        <v>11</v>
      </c>
    </row>
    <row r="453" spans="2:9" x14ac:dyDescent="0.3">
      <c r="B453" s="172" t="s">
        <v>25</v>
      </c>
      <c r="C453" s="172" t="s">
        <v>82</v>
      </c>
      <c r="D453" s="172" t="s">
        <v>221</v>
      </c>
      <c r="E453" s="172">
        <v>1.1807365247004701E-3</v>
      </c>
      <c r="F453" s="172">
        <v>92</v>
      </c>
      <c r="G453" s="172">
        <v>-0.25</v>
      </c>
      <c r="H453" s="172">
        <v>-0.25</v>
      </c>
      <c r="I453" s="172">
        <v>11</v>
      </c>
    </row>
    <row r="454" spans="2:9" hidden="1" x14ac:dyDescent="0.3">
      <c r="B454" s="172" t="s">
        <v>25</v>
      </c>
      <c r="C454" s="172" t="s">
        <v>246</v>
      </c>
      <c r="D454" s="172" t="s">
        <v>218</v>
      </c>
      <c r="E454" s="172">
        <v>2.1145981905751201E-5</v>
      </c>
      <c r="F454" s="172">
        <v>91</v>
      </c>
      <c r="G454" s="172">
        <v>23.25</v>
      </c>
      <c r="H454" s="172">
        <v>31.25</v>
      </c>
      <c r="I454" s="172">
        <v>11</v>
      </c>
    </row>
    <row r="455" spans="2:9" hidden="1" x14ac:dyDescent="0.3">
      <c r="B455" s="172" t="s">
        <v>25</v>
      </c>
      <c r="C455" s="172" t="s">
        <v>246</v>
      </c>
      <c r="D455" s="172" t="s">
        <v>221</v>
      </c>
      <c r="E455" s="172">
        <v>1.20653001956757E-5</v>
      </c>
      <c r="F455" s="172">
        <v>103</v>
      </c>
      <c r="G455" s="172">
        <v>23.25</v>
      </c>
      <c r="H455" s="172">
        <v>-0.25</v>
      </c>
      <c r="I455" s="172">
        <v>11</v>
      </c>
    </row>
    <row r="456" spans="2:9" hidden="1" x14ac:dyDescent="0.3">
      <c r="B456" s="172" t="s">
        <v>24</v>
      </c>
      <c r="C456" s="172" t="s">
        <v>79</v>
      </c>
      <c r="D456" s="172" t="s">
        <v>218</v>
      </c>
      <c r="E456" s="172">
        <v>1.08693312867377E-3</v>
      </c>
      <c r="F456" s="172">
        <v>91</v>
      </c>
      <c r="G456" s="172">
        <v>23.25</v>
      </c>
      <c r="H456" s="172">
        <v>31.25</v>
      </c>
      <c r="I456" s="172">
        <v>7.5</v>
      </c>
    </row>
    <row r="457" spans="2:9" hidden="1" x14ac:dyDescent="0.3">
      <c r="B457" s="172" t="s">
        <v>24</v>
      </c>
      <c r="C457" s="172" t="s">
        <v>80</v>
      </c>
      <c r="D457" s="172" t="s">
        <v>218</v>
      </c>
      <c r="E457" s="172">
        <v>1.08148893204433E-3</v>
      </c>
      <c r="F457" s="172">
        <v>103</v>
      </c>
      <c r="G457" s="172">
        <v>23.25</v>
      </c>
      <c r="H457" s="172">
        <v>-0.25</v>
      </c>
      <c r="I457" s="172">
        <v>7.5</v>
      </c>
    </row>
    <row r="458" spans="2:9" hidden="1" x14ac:dyDescent="0.3">
      <c r="B458" s="172" t="s">
        <v>24</v>
      </c>
      <c r="C458" s="172" t="s">
        <v>81</v>
      </c>
      <c r="D458" s="172" t="s">
        <v>221</v>
      </c>
      <c r="E458" s="172">
        <v>1.01795141851519E-3</v>
      </c>
      <c r="F458" s="172">
        <v>92</v>
      </c>
      <c r="G458" s="172">
        <v>-0.25</v>
      </c>
      <c r="H458" s="172">
        <v>-0.25</v>
      </c>
      <c r="I458" s="172">
        <v>7.5</v>
      </c>
    </row>
    <row r="459" spans="2:9" x14ac:dyDescent="0.3">
      <c r="B459" s="172" t="s">
        <v>24</v>
      </c>
      <c r="C459" s="172" t="s">
        <v>82</v>
      </c>
      <c r="D459" s="172" t="s">
        <v>221</v>
      </c>
      <c r="E459" s="172">
        <v>1.1879790019794401E-3</v>
      </c>
      <c r="F459" s="172">
        <v>92</v>
      </c>
      <c r="G459" s="172">
        <v>-0.25</v>
      </c>
      <c r="H459" s="172">
        <v>-0.25</v>
      </c>
      <c r="I459" s="172">
        <v>7.5</v>
      </c>
    </row>
    <row r="460" spans="2:9" hidden="1" x14ac:dyDescent="0.3">
      <c r="B460" s="172" t="s">
        <v>24</v>
      </c>
      <c r="C460" s="172" t="s">
        <v>246</v>
      </c>
      <c r="D460" s="172" t="s">
        <v>218</v>
      </c>
      <c r="E460" s="172">
        <v>1.9126078359605899E-5</v>
      </c>
      <c r="F460" s="172">
        <v>91</v>
      </c>
      <c r="G460" s="172">
        <v>23.25</v>
      </c>
      <c r="H460" s="172">
        <v>31.25</v>
      </c>
      <c r="I460" s="172">
        <v>7.5</v>
      </c>
    </row>
    <row r="461" spans="2:9" hidden="1" x14ac:dyDescent="0.3">
      <c r="B461" s="172" t="s">
        <v>24</v>
      </c>
      <c r="C461" s="172" t="s">
        <v>246</v>
      </c>
      <c r="D461" s="172" t="s">
        <v>221</v>
      </c>
      <c r="E461" s="172">
        <v>2.0293159768387499E-5</v>
      </c>
      <c r="F461" s="172">
        <v>103</v>
      </c>
      <c r="G461" s="172">
        <v>23.25</v>
      </c>
      <c r="H461" s="172">
        <v>-0.25</v>
      </c>
      <c r="I461" s="172">
        <v>7.5</v>
      </c>
    </row>
    <row r="462" spans="2:9" hidden="1" x14ac:dyDescent="0.3">
      <c r="B462" s="172" t="s">
        <v>22</v>
      </c>
      <c r="C462" s="172" t="s">
        <v>79</v>
      </c>
      <c r="D462" s="172" t="s">
        <v>218</v>
      </c>
      <c r="E462" s="172">
        <v>7.98605000205844E-4</v>
      </c>
      <c r="F462" s="172">
        <v>28</v>
      </c>
      <c r="G462" s="172">
        <v>19</v>
      </c>
      <c r="H462" s="172">
        <v>31</v>
      </c>
      <c r="I462" s="172">
        <v>4</v>
      </c>
    </row>
    <row r="463" spans="2:9" hidden="1" x14ac:dyDescent="0.3">
      <c r="B463" s="172" t="s">
        <v>22</v>
      </c>
      <c r="C463" s="172" t="s">
        <v>80</v>
      </c>
      <c r="D463" s="172" t="s">
        <v>218</v>
      </c>
      <c r="E463" s="172">
        <v>7.9220331955573095E-4</v>
      </c>
      <c r="F463" s="172">
        <v>24</v>
      </c>
      <c r="G463" s="172">
        <v>19</v>
      </c>
      <c r="H463" s="172">
        <v>0</v>
      </c>
      <c r="I463" s="172">
        <v>4</v>
      </c>
    </row>
    <row r="464" spans="2:9" hidden="1" x14ac:dyDescent="0.3">
      <c r="B464" s="172" t="s">
        <v>22</v>
      </c>
      <c r="C464" s="172" t="s">
        <v>81</v>
      </c>
      <c r="D464" s="172" t="s">
        <v>221</v>
      </c>
      <c r="E464" s="172">
        <v>7.1695172701886705E-4</v>
      </c>
      <c r="F464" s="172">
        <v>165</v>
      </c>
      <c r="G464" s="172">
        <v>23</v>
      </c>
      <c r="H464" s="172">
        <v>17</v>
      </c>
      <c r="I464" s="172">
        <v>4</v>
      </c>
    </row>
    <row r="465" spans="2:9" x14ac:dyDescent="0.3">
      <c r="B465" s="172" t="s">
        <v>22</v>
      </c>
      <c r="C465" s="172" t="s">
        <v>82</v>
      </c>
      <c r="D465" s="172" t="s">
        <v>221</v>
      </c>
      <c r="E465" s="172">
        <v>8.4161037513782002E-4</v>
      </c>
      <c r="F465" s="172">
        <v>32</v>
      </c>
      <c r="G465" s="172">
        <v>0</v>
      </c>
      <c r="H465" s="172">
        <v>25</v>
      </c>
      <c r="I465" s="172">
        <v>4</v>
      </c>
    </row>
    <row r="466" spans="2:9" hidden="1" x14ac:dyDescent="0.3">
      <c r="B466" s="172" t="s">
        <v>22</v>
      </c>
      <c r="C466" s="172" t="s">
        <v>246</v>
      </c>
      <c r="D466" s="172" t="s">
        <v>221</v>
      </c>
      <c r="E466" s="172">
        <v>2.7119440668232599E-5</v>
      </c>
      <c r="F466" s="172">
        <v>165</v>
      </c>
      <c r="G466" s="172">
        <v>23</v>
      </c>
      <c r="H466" s="172">
        <v>17</v>
      </c>
      <c r="I466" s="172">
        <v>4</v>
      </c>
    </row>
    <row r="467" spans="2:9" hidden="1" x14ac:dyDescent="0.3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opLeftCell="A37" zoomScale="80" zoomScaleNormal="80" workbookViewId="0">
      <selection activeCell="K69" sqref="K69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4.1525499133933602E-4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3.6141163956608901E-4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5.5147942815695803E-4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7.2565963504955095E-4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8.7097502322859197E-4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9.8322167748828493E-4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1.0288665639123799E-3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1.0498198300483001E-3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1.0875742538576001E-3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1.08693312867377E-3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7.98605000205844E-4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4.03769179339666E-4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3.6119935507581601E-4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5.4983080778037705E-4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7.2200684500543398E-4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8.6524153835656895E-4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9.7575674033274697E-4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1.02166618171788E-3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1.0445946686021799E-3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1.08242344116363E-3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1.08148893204433E-3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7.9220331955573095E-4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2.7786769499931803E-4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2.8726906592664797E-4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4.4981031001281498E-4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6.2027992977820804E-4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7.6591095551554599E-4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8.8044998717065495E-4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9.3455592126465105E-4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9.6742444413620301E-4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1.0143283517303099E-3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1.01795141851519E-3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7.1695172701886705E-4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2.6283373979383299E-4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3.1701253538421302E-4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5.2774373442857905E-4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7.3038803392551398E-4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9.0336029284969498E-4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1.03825164892694E-3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1.0946937927039501E-3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1.1258678669611999E-3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1.1807365247004701E-3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1.1879790019794401E-3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8.4161037513782002E-4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zoomScale="80" zoomScaleNormal="80" workbookViewId="0">
      <selection activeCell="L77" sqref="L77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2.8181769779159899E-2</v>
      </c>
      <c r="F6" s="185">
        <v>2.7524896838525902E-2</v>
      </c>
      <c r="G6" s="186">
        <v>1.02386468310808</v>
      </c>
      <c r="H6" s="42">
        <f>+E6/(1.2*F6)</f>
        <v>0.85322056925673284</v>
      </c>
      <c r="I6" s="47">
        <f>+'Centers of Mass and Rigidity'!L5-'Centers of Mass and Rigidity'!F5</f>
        <v>-0.7896254638664999</v>
      </c>
      <c r="J6" s="47">
        <f>+'Centers of Mass and Rigidity'!M5-'Centers of Mass and Rigidity'!G5</f>
        <v>-0.48822305529910004</v>
      </c>
      <c r="K6" s="172">
        <f>IF(+'Sismo UBC-94 y Dinamico'!O15=0,'Sismo UBC-94 y Dinamico'!M15,'Sismo UBC-94 y Dinamico'!O15)</f>
        <v>1197.8756655324739</v>
      </c>
      <c r="L6" s="172">
        <f>IF(+'Sismo UBC-94 y Dinamico'!P15=0,'Sismo UBC-94 y Dinamico'!N15,'Sismo UBC-94 y Dinamico'!P15)</f>
        <v>75.577925002164164</v>
      </c>
      <c r="M6" s="52">
        <f>0.05*N6*K6*(H6-1)+0.05*O6*L6*(H6-1)</f>
        <v>-285.28371537636792</v>
      </c>
      <c r="N6">
        <f>+$N$3</f>
        <v>31</v>
      </c>
      <c r="O6">
        <f>+$O$3</f>
        <v>23</v>
      </c>
      <c r="P6" s="95">
        <f>+K6*(J6+0.05*N6*H6)-K6*(J6+0.05*N6)</f>
        <v>-272.52643784650672</v>
      </c>
      <c r="Q6" s="95">
        <f>+L6*(I6+0.05*O6*H6)-L6*(I6+0.05*O6)</f>
        <v>-12.757277529861247</v>
      </c>
      <c r="R6" s="95">
        <f>+P6+Q6</f>
        <v>-285.28371537636798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3.0252851101232301E-2</v>
      </c>
      <c r="F7" s="185">
        <v>2.65806284162751E-2</v>
      </c>
      <c r="G7" s="186">
        <v>1.1381540958117</v>
      </c>
      <c r="H7" s="42">
        <f t="shared" ref="H7:H16" si="0">+E7/(1.2*F7)</f>
        <v>0.94846174650974802</v>
      </c>
      <c r="I7" s="47">
        <f>+'Centers of Mass and Rigidity'!L6-'Centers of Mass and Rigidity'!F6</f>
        <v>1.5277744711723997</v>
      </c>
      <c r="J7" s="47">
        <f>+'Centers of Mass and Rigidity'!M6-'Centers of Mass and Rigidity'!G6</f>
        <v>1.6224681559998899E-2</v>
      </c>
      <c r="K7" s="172">
        <f>IF(+'Sismo UBC-94 y Dinamico'!O16=0,'Sismo UBC-94 y Dinamico'!M16,'Sismo UBC-94 y Dinamico'!O16)</f>
        <v>30994.810253733885</v>
      </c>
      <c r="L7" s="172">
        <f>IF(+'Sismo UBC-94 y Dinamico'!P16=0,'Sismo UBC-94 y Dinamico'!N16,'Sismo UBC-94 y Dinamico'!P16)</f>
        <v>777.67419997236595</v>
      </c>
      <c r="M7" s="52">
        <f>0.05*N7*K7*(H7-1)+0.05*O7*L7*(H7-1)</f>
        <v>-2522.0904665544131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-2475.99850099576</v>
      </c>
      <c r="Q7" s="95">
        <f>+L7*(I7+0.05*O7*H7)-L7*(I7+0.05*O7)</f>
        <v>-46.091965558655374</v>
      </c>
      <c r="R7" s="95">
        <f>+P7+Q7</f>
        <v>-2522.0904665544153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2.8989960259704999E-2</v>
      </c>
      <c r="F8" s="185">
        <v>2.54448311858958E-2</v>
      </c>
      <c r="G8" s="186">
        <v>1.13932609919512</v>
      </c>
      <c r="H8" s="42">
        <f t="shared" si="0"/>
        <v>0.94943841599593337</v>
      </c>
      <c r="I8" s="47">
        <f>+'Centers of Mass and Rigidity'!L7-'Centers of Mass and Rigidity'!F7</f>
        <v>1.6692732725067998</v>
      </c>
      <c r="J8" s="47">
        <f>+'Centers of Mass and Rigidity'!M7-'Centers of Mass and Rigidity'!G7</f>
        <v>-2.2111710285599884E-2</v>
      </c>
      <c r="K8" s="172">
        <f>IF(+'Sismo UBC-94 y Dinamico'!O17=0,'Sismo UBC-94 y Dinamico'!M17,'Sismo UBC-94 y Dinamico'!O17)</f>
        <v>34644.451137495656</v>
      </c>
      <c r="L8" s="172">
        <f>IF(+'Sismo UBC-94 y Dinamico'!P17=0,'Sismo UBC-94 y Dinamico'!N17,'Sismo UBC-94 y Dinamico'!P17)</f>
        <v>905.47830967427967</v>
      </c>
      <c r="M8" s="52">
        <f>0.05*N8*K8*(H8-1)+0.05*O8*L8*(H8-1)</f>
        <v>-2767.7511862792908</v>
      </c>
      <c r="N8" s="172">
        <f t="shared" si="1"/>
        <v>31</v>
      </c>
      <c r="O8" s="172">
        <f t="shared" si="2"/>
        <v>23</v>
      </c>
      <c r="P8" s="95">
        <f>+K8*(J8+0.05*N8*H8)-K8*(J8+0.05*N8)</f>
        <v>-2715.1014060180678</v>
      </c>
      <c r="Q8" s="95">
        <f>+L8*(I8+0.05*O8*H8)-L8*(I8+0.05*O8)</f>
        <v>-52.649780261224805</v>
      </c>
      <c r="R8" s="95">
        <f>+P8+Q8</f>
        <v>-2767.7511862792926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2.70633101750988E-2</v>
      </c>
      <c r="F9" s="185">
        <v>2.3736911765767699E-2</v>
      </c>
      <c r="G9" s="186">
        <v>1.1401361070958</v>
      </c>
      <c r="H9" s="42">
        <f t="shared" si="0"/>
        <v>0.95011342257983067</v>
      </c>
      <c r="I9" s="47">
        <f>+'Centers of Mass and Rigidity'!L8-'Centers of Mass and Rigidity'!F8</f>
        <v>1.7027577566804997</v>
      </c>
      <c r="J9" s="47">
        <f>+'Centers of Mass and Rigidity'!M8-'Centers of Mass and Rigidity'!G8</f>
        <v>-1.6972836234099731E-2</v>
      </c>
      <c r="K9" s="172">
        <f>IF(+'Sismo UBC-94 y Dinamico'!O18=0,'Sismo UBC-94 y Dinamico'!M18,'Sismo UBC-94 y Dinamico'!O18)</f>
        <v>28784.699270648791</v>
      </c>
      <c r="L9" s="172">
        <f>IF(+'Sismo UBC-94 y Dinamico'!P18=0,'Sismo UBC-94 y Dinamico'!N18,'Sismo UBC-94 y Dinamico'!P18)</f>
        <v>771.03962720161337</v>
      </c>
      <c r="M9" s="52">
        <f>0.05*N9*K9*(H9-1)+0.05*O9*L9*(H9-1)</f>
        <v>-2269.9879067212182</v>
      </c>
      <c r="N9" s="172">
        <f t="shared" si="1"/>
        <v>31</v>
      </c>
      <c r="O9" s="172">
        <f t="shared" si="2"/>
        <v>23</v>
      </c>
      <c r="P9" s="95">
        <f>+K9*(J9+0.05*N9*H9)-K9*(J9+0.05*N9)</f>
        <v>-2225.7536994563416</v>
      </c>
      <c r="Q9" s="95">
        <f>+L9*(I9+0.05*O9*H9)-L9*(I9+0.05*O9)</f>
        <v>-44.234207264873476</v>
      </c>
      <c r="R9" s="95">
        <f>+P9+Q9</f>
        <v>-2269.987906721215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2.4528424072473999E-2</v>
      </c>
      <c r="F10" s="185">
        <v>2.1507228106156101E-2</v>
      </c>
      <c r="G10" s="186">
        <v>1.14047351668964</v>
      </c>
      <c r="H10" s="42">
        <f t="shared" si="0"/>
        <v>0.95039459724136222</v>
      </c>
      <c r="I10" s="47">
        <f>+'Centers of Mass and Rigidity'!L9-'Centers of Mass and Rigidity'!F9</f>
        <v>1.7168704574567002</v>
      </c>
      <c r="J10" s="47">
        <f>+'Centers of Mass and Rigidity'!M9-'Centers of Mass and Rigidity'!G9</f>
        <v>-1.1945050637899968E-2</v>
      </c>
      <c r="K10" s="172">
        <f>IF(+'Sismo UBC-94 y Dinamico'!O19=0,'Sismo UBC-94 y Dinamico'!M19,'Sismo UBC-94 y Dinamico'!O19)</f>
        <v>24013.51732698645</v>
      </c>
      <c r="L10" s="172">
        <f>IF(+'Sismo UBC-94 y Dinamico'!P19=0,'Sismo UBC-94 y Dinamico'!N19,'Sismo UBC-94 y Dinamico'!P19)</f>
        <v>659.63867589734525</v>
      </c>
      <c r="M10" s="52">
        <f>0.05*N10*K10*(H10-1)+0.05*O10*L10*(H10-1)</f>
        <v>-1883.9901964398912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-1846.360307917872</v>
      </c>
      <c r="Q10" s="95">
        <f>+L10*(I10+0.05*O10*H10)-L10*(I10+0.05*O10)</f>
        <v>-37.629888522021702</v>
      </c>
      <c r="R10" s="95">
        <f>+P10+Q10</f>
        <v>-1883.9901964398937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2.1486111643268298E-2</v>
      </c>
      <c r="F11" s="185">
        <v>1.88431251068009E-2</v>
      </c>
      <c r="G11" s="186">
        <v>1.1402626433506799</v>
      </c>
      <c r="H11" s="42">
        <f t="shared" si="0"/>
        <v>0.95021886945889744</v>
      </c>
      <c r="I11" s="47">
        <f>+'Centers of Mass and Rigidity'!L10-'Centers of Mass and Rigidity'!F10</f>
        <v>1.7051708659222999</v>
      </c>
      <c r="J11" s="47">
        <f>+'Centers of Mass and Rigidity'!M10-'Centers of Mass and Rigidity'!G10</f>
        <v>-6.5410188875993924E-3</v>
      </c>
      <c r="K11" s="172">
        <f>IF(+'Sismo UBC-94 y Dinamico'!O20=0,'Sismo UBC-94 y Dinamico'!M20,'Sismo UBC-94 y Dinamico'!O20)</f>
        <v>20362.182008484495</v>
      </c>
      <c r="L11" s="172">
        <f>IF(+'Sismo UBC-94 y Dinamico'!P20=0,'Sismo UBC-94 y Dinamico'!N20,'Sismo UBC-94 y Dinamico'!P20)</f>
        <v>566.72624048910689</v>
      </c>
      <c r="M11" s="52">
        <f t="shared" ref="M11:M16" si="3">0.05*N11*K11*(H11-1)+0.05*O11*L11*(H11-1)</f>
        <v>-1603.6053969350728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-1571.1612830323866</v>
      </c>
      <c r="Q11" s="95">
        <f t="shared" ref="Q11:Q16" si="5">+L11*(I11+0.05*O11*H11)-L11*(I11+0.05*O11)</f>
        <v>-32.444113902685103</v>
      </c>
      <c r="R11" s="95">
        <f t="shared" ref="R11:R16" si="6">+P11+Q11</f>
        <v>-1603.6053969350717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1.8051824578351E-2</v>
      </c>
      <c r="F12" s="185">
        <v>1.58421440319686E-2</v>
      </c>
      <c r="G12" s="186">
        <v>1.1394811549449</v>
      </c>
      <c r="H12" s="42">
        <f t="shared" si="0"/>
        <v>0.9495676291207481</v>
      </c>
      <c r="I12" s="47">
        <f>+'Centers of Mass and Rigidity'!L11-'Centers of Mass and Rigidity'!F11</f>
        <v>1.6702081013154011</v>
      </c>
      <c r="J12" s="47">
        <f>+'Centers of Mass and Rigidity'!M11-'Centers of Mass and Rigidity'!G11</f>
        <v>-5.6344630510096749E-4</v>
      </c>
      <c r="K12" s="172">
        <f>IF(+'Sismo UBC-94 y Dinamico'!O21=0,'Sismo UBC-94 y Dinamico'!M21,'Sismo UBC-94 y Dinamico'!O21)</f>
        <v>17551.428853129073</v>
      </c>
      <c r="L12" s="172">
        <f>IF(+'Sismo UBC-94 y Dinamico'!P21=0,'Sismo UBC-94 y Dinamico'!N21,'Sismo UBC-94 y Dinamico'!P21)</f>
        <v>485.94145390041962</v>
      </c>
      <c r="M12" s="52">
        <f t="shared" si="3"/>
        <v>-1400.181519114818</v>
      </c>
      <c r="N12" s="172">
        <f t="shared" si="1"/>
        <v>31</v>
      </c>
      <c r="O12" s="172">
        <f t="shared" si="2"/>
        <v>23</v>
      </c>
      <c r="P12" s="95">
        <f t="shared" si="4"/>
        <v>-1371.9982625418015</v>
      </c>
      <c r="Q12" s="95">
        <f t="shared" si="5"/>
        <v>-28.183256573015115</v>
      </c>
      <c r="R12" s="95">
        <f t="shared" si="6"/>
        <v>-1400.1815191148166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1.44578609655706E-2</v>
      </c>
      <c r="F13" s="185">
        <v>1.26864807957884E-2</v>
      </c>
      <c r="G13" s="186">
        <v>1.13962738747614</v>
      </c>
      <c r="H13" s="42">
        <f t="shared" si="0"/>
        <v>0.94968948956345289</v>
      </c>
      <c r="I13" s="47">
        <f>+'Centers of Mass and Rigidity'!L12-'Centers of Mass and Rigidity'!F12</f>
        <v>1.6609673786365011</v>
      </c>
      <c r="J13" s="47">
        <f>+'Centers of Mass and Rigidity'!M12-'Centers of Mass and Rigidity'!G12</f>
        <v>7.9713212231986574E-3</v>
      </c>
      <c r="K13" s="172">
        <f>IF(+'Sismo UBC-94 y Dinamico'!O22=0,'Sismo UBC-94 y Dinamico'!M22,'Sismo UBC-94 y Dinamico'!O22)</f>
        <v>15693.188397286627</v>
      </c>
      <c r="L13" s="172">
        <f>IF(+'Sismo UBC-94 y Dinamico'!P22=0,'Sismo UBC-94 y Dinamico'!N22,'Sismo UBC-94 y Dinamico'!P22)</f>
        <v>425.51046728993958</v>
      </c>
      <c r="M13" s="52">
        <f t="shared" si="3"/>
        <v>-1248.3938900250707</v>
      </c>
      <c r="N13" s="172">
        <f t="shared" si="1"/>
        <v>31</v>
      </c>
      <c r="O13" s="172">
        <f t="shared" si="2"/>
        <v>23</v>
      </c>
      <c r="P13" s="95">
        <f t="shared" si="4"/>
        <v>-1223.7750938988029</v>
      </c>
      <c r="Q13" s="95">
        <f t="shared" si="5"/>
        <v>-24.618796126268307</v>
      </c>
      <c r="R13" s="95">
        <f t="shared" si="6"/>
        <v>-1248.3938900250712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1.07904321519124E-2</v>
      </c>
      <c r="F14" s="185">
        <v>9.4493686558051199E-3</v>
      </c>
      <c r="G14" s="186">
        <v>1.1419209626543001</v>
      </c>
      <c r="H14" s="42">
        <f t="shared" si="0"/>
        <v>0.95160080221192089</v>
      </c>
      <c r="I14" s="47">
        <f>+'Centers of Mass and Rigidity'!L13-'Centers of Mass and Rigidity'!F13</f>
        <v>1.5627608660106009</v>
      </c>
      <c r="J14" s="47">
        <f>+'Centers of Mass and Rigidity'!M13-'Centers of Mass and Rigidity'!G13</f>
        <v>9.9041402244992582E-3</v>
      </c>
      <c r="K14" s="172">
        <f>IF(+'Sismo UBC-94 y Dinamico'!O23=0,'Sismo UBC-94 y Dinamico'!M23,'Sismo UBC-94 y Dinamico'!O23)</f>
        <v>13484.151760121602</v>
      </c>
      <c r="L14" s="172">
        <f>IF(+'Sismo UBC-94 y Dinamico'!P23=0,'Sismo UBC-94 y Dinamico'!N23,'Sismo UBC-94 y Dinamico'!P23)</f>
        <v>350.61687991718929</v>
      </c>
      <c r="M14" s="52">
        <f t="shared" si="3"/>
        <v>-1031.0793105428245</v>
      </c>
      <c r="N14" s="172">
        <f t="shared" si="1"/>
        <v>31</v>
      </c>
      <c r="O14" s="172">
        <f t="shared" si="2"/>
        <v>23</v>
      </c>
      <c r="P14" s="95">
        <f t="shared" si="4"/>
        <v>-1011.5642984660299</v>
      </c>
      <c r="Q14" s="95">
        <f t="shared" si="5"/>
        <v>-19.515012076794164</v>
      </c>
      <c r="R14" s="95">
        <f t="shared" si="6"/>
        <v>-1031.079310542824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6.9911998809843497E-3</v>
      </c>
      <c r="F15" s="185">
        <v>6.1013486744376797E-3</v>
      </c>
      <c r="G15" s="186">
        <v>1.1458450014952899</v>
      </c>
      <c r="H15" s="42">
        <f t="shared" si="0"/>
        <v>0.95487083457941124</v>
      </c>
      <c r="I15" s="47">
        <f>+'Centers of Mass and Rigidity'!L14-'Centers of Mass and Rigidity'!F14</f>
        <v>1.3238633414919008</v>
      </c>
      <c r="J15" s="47">
        <f>+'Centers of Mass and Rigidity'!M14-'Centers of Mass and Rigidity'!G14</f>
        <v>8.1745194063991278E-3</v>
      </c>
      <c r="K15" s="172">
        <f>IF(+'Sismo UBC-94 y Dinamico'!O24=0,'Sismo UBC-94 y Dinamico'!M24,'Sismo UBC-94 y Dinamico'!O24)</f>
        <v>10435.313157710851</v>
      </c>
      <c r="L15" s="172">
        <f>IF(+'Sismo UBC-94 y Dinamico'!P24=0,'Sismo UBC-94 y Dinamico'!N24,'Sismo UBC-94 y Dinamico'!P24)</f>
        <v>255.18174772851845</v>
      </c>
      <c r="M15" s="52">
        <f t="shared" si="3"/>
        <v>-743.19586945185654</v>
      </c>
      <c r="N15" s="172">
        <f t="shared" si="1"/>
        <v>31</v>
      </c>
      <c r="O15" s="172">
        <f t="shared" si="2"/>
        <v>23</v>
      </c>
      <c r="P15" s="95">
        <f t="shared" si="4"/>
        <v>-729.95230925046781</v>
      </c>
      <c r="Q15" s="95">
        <f t="shared" si="5"/>
        <v>-13.243560201388618</v>
      </c>
      <c r="R15" s="95">
        <f t="shared" si="6"/>
        <v>-743.19586945185642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3.1944200008233799E-3</v>
      </c>
      <c r="F16" s="188">
        <v>2.76870514650454E-3</v>
      </c>
      <c r="G16" s="189">
        <v>1.1537595488838199</v>
      </c>
      <c r="H16" s="42">
        <f t="shared" si="0"/>
        <v>0.96146629073651391</v>
      </c>
      <c r="I16" s="47">
        <f>+'Centers of Mass and Rigidity'!L15-'Centers of Mass and Rigidity'!F15</f>
        <v>0.74481058521730148</v>
      </c>
      <c r="J16" s="47">
        <f>+'Centers of Mass and Rigidity'!M15-'Centers of Mass and Rigidity'!G15</f>
        <v>-3.6280312200993592E-3</v>
      </c>
      <c r="K16" s="172">
        <f>IF(+'Sismo UBC-94 y Dinamico'!O25=0,'Sismo UBC-94 y Dinamico'!M25,'Sismo UBC-94 y Dinamico'!O25)</f>
        <v>5840.982709933729</v>
      </c>
      <c r="L16" s="172">
        <f>IF(+'Sismo UBC-94 y Dinamico'!P25=0,'Sismo UBC-94 y Dinamico'!N25,'Sismo UBC-94 y Dinamico'!P25)</f>
        <v>128.16707016646717</v>
      </c>
      <c r="M16" s="52">
        <f t="shared" si="3"/>
        <v>-354.54539632612449</v>
      </c>
      <c r="N16" s="172">
        <f t="shared" si="1"/>
        <v>31</v>
      </c>
      <c r="O16" s="172">
        <f t="shared" si="2"/>
        <v>23</v>
      </c>
      <c r="P16" s="95">
        <f t="shared" si="4"/>
        <v>-348.86583081433491</v>
      </c>
      <c r="Q16" s="95">
        <f t="shared" si="5"/>
        <v>-5.6795655117895762</v>
      </c>
      <c r="R16" s="95">
        <f t="shared" si="6"/>
        <v>-354.54539632612449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2.84931662274602E-2</v>
      </c>
      <c r="F24" s="185">
        <v>2.7968311304597301E-2</v>
      </c>
      <c r="G24" s="186">
        <v>1.0187660569544901</v>
      </c>
      <c r="H24" s="42">
        <f>+E24/(1.2*F24)</f>
        <v>0.84897171412873929</v>
      </c>
      <c r="I24" s="47">
        <f t="shared" ref="I24:L28" si="7">+I6</f>
        <v>-0.7896254638664999</v>
      </c>
      <c r="J24" s="47">
        <f t="shared" si="7"/>
        <v>-0.48822305529910004</v>
      </c>
      <c r="K24" s="48">
        <f>+K6</f>
        <v>1197.8756655324739</v>
      </c>
      <c r="L24" s="48">
        <f>+L6</f>
        <v>75.577925002164164</v>
      </c>
      <c r="M24" s="52">
        <f>-0.05*N24*K24*(H24-1)-0.05*O24*L24*(H24-1)</f>
        <v>293.5418832332121</v>
      </c>
      <c r="N24" s="172">
        <f>+$N$3</f>
        <v>31</v>
      </c>
      <c r="O24" s="172">
        <f>+$O$3</f>
        <v>23</v>
      </c>
      <c r="P24" s="95">
        <f>+K24*(J24-0.05*N24*H24)-K24*(J24-0.05*N24)</f>
        <v>280.4153181010106</v>
      </c>
      <c r="Q24" s="95">
        <f>+L24*(I24-0.05*O24*H24)-L24*(I24-0.05*O24)</f>
        <v>13.126565132201108</v>
      </c>
      <c r="R24" s="95">
        <f>+P24+Q24</f>
        <v>293.54188323321171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3.0083355370770299E-2</v>
      </c>
      <c r="F25" s="185">
        <v>2.6571961184337901E-2</v>
      </c>
      <c r="G25" s="186">
        <v>1.1321465947535001</v>
      </c>
      <c r="H25" s="42">
        <f>+E25/(1.2*F25)</f>
        <v>0.94345549562791564</v>
      </c>
      <c r="I25" s="47">
        <f t="shared" si="7"/>
        <v>1.5277744711723997</v>
      </c>
      <c r="J25" s="47">
        <f t="shared" si="7"/>
        <v>1.6224681559998899E-2</v>
      </c>
      <c r="K25" s="48">
        <f t="shared" si="7"/>
        <v>30994.810253733885</v>
      </c>
      <c r="L25" s="48">
        <f t="shared" si="7"/>
        <v>777.67419997236595</v>
      </c>
      <c r="M25" s="52">
        <f>-0.05*N25*K25*(H25-1)-0.05*O25*L25*(H25-1)</f>
        <v>2767.077767581934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2716.5085850514806</v>
      </c>
      <c r="Q25" s="95">
        <f>+L25*(I25-0.05*O25*H25)-L25*(I25-0.05*O25)</f>
        <v>50.569182530453872</v>
      </c>
      <c r="R25" s="95">
        <f>+P25+Q25</f>
        <v>2767.0777675819345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2.88212327445206E-2</v>
      </c>
      <c r="F26" s="185">
        <v>2.5438495782059398E-2</v>
      </c>
      <c r="G26" s="186">
        <v>1.1329770828999599</v>
      </c>
      <c r="H26" s="42">
        <f>+E26/(1.2*F26)</f>
        <v>0.94414756908330022</v>
      </c>
      <c r="I26" s="47">
        <f t="shared" si="7"/>
        <v>1.6692732725067998</v>
      </c>
      <c r="J26" s="47">
        <f t="shared" si="7"/>
        <v>-2.2111710285599884E-2</v>
      </c>
      <c r="K26" s="48">
        <f t="shared" si="7"/>
        <v>34644.451137495656</v>
      </c>
      <c r="L26" s="48">
        <f t="shared" si="7"/>
        <v>905.47830967427967</v>
      </c>
      <c r="M26" s="52">
        <f>-0.05*N26*K26*(H26-1)-0.05*O26*L26*(H26-1)</f>
        <v>3057.3732008444345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2999.2140613961383</v>
      </c>
      <c r="Q26" s="95">
        <f>+L26*(I26-0.05*O26*H26)-L26*(I26-0.05*O26)</f>
        <v>58.159139448300664</v>
      </c>
      <c r="R26" s="95">
        <f>+P26+Q26</f>
        <v>3057.373200844439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2.6900298396568999E-2</v>
      </c>
      <c r="F27" s="185">
        <v>2.3732917149454701E-2</v>
      </c>
      <c r="G27" s="186">
        <v>1.1334594153415001</v>
      </c>
      <c r="H27" s="42">
        <f>+E27/(1.2*F27)</f>
        <v>0.94454951278457688</v>
      </c>
      <c r="I27" s="47">
        <f t="shared" si="7"/>
        <v>1.7027577566804997</v>
      </c>
      <c r="J27" s="47">
        <f t="shared" si="7"/>
        <v>-1.6972836234099731E-2</v>
      </c>
      <c r="K27" s="48">
        <f t="shared" si="7"/>
        <v>28784.699270648791</v>
      </c>
      <c r="L27" s="48">
        <f t="shared" si="7"/>
        <v>771.03962720161337</v>
      </c>
      <c r="M27" s="52">
        <f>-0.05*N27*K27*(H27-1)-0.05*O27*L27*(H27-1)</f>
        <v>2523.162379745047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2473.9946783057094</v>
      </c>
      <c r="Q27" s="95">
        <f>+L27*(I27-0.05*O27*H27)-L27*(I27-0.05*O27)</f>
        <v>49.167701439336838</v>
      </c>
      <c r="R27" s="95">
        <f>+P27+Q27</f>
        <v>2523.1623797450461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2.4378027154899101E-2</v>
      </c>
      <c r="F28" s="185">
        <v>2.1505314290425799E-2</v>
      </c>
      <c r="G28" s="186">
        <v>1.13358153364688</v>
      </c>
      <c r="H28" s="42">
        <f>+E28/(1.2*F28)</f>
        <v>0.9446512780390689</v>
      </c>
      <c r="I28" s="47">
        <f t="shared" si="7"/>
        <v>1.7168704574567002</v>
      </c>
      <c r="J28" s="47">
        <f t="shared" si="7"/>
        <v>-1.1945050637899968E-2</v>
      </c>
      <c r="K28" s="48">
        <f t="shared" si="7"/>
        <v>24013.51732698645</v>
      </c>
      <c r="L28" s="48">
        <f t="shared" si="7"/>
        <v>659.63867589734525</v>
      </c>
      <c r="M28" s="52">
        <f>-0.05*N28*K28*(H28-1)-0.05*O28*L28*(H28-1)</f>
        <v>2102.1187967617875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2060.1321154448378</v>
      </c>
      <c r="Q28" s="95">
        <f>+L28*(I28-0.05*O28*H28)-L28*(I28-0.05*O28)</f>
        <v>41.986681316956776</v>
      </c>
      <c r="R28" s="95">
        <f>+P28+Q28</f>
        <v>2102.1187967617948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2.1355491383484099E-2</v>
      </c>
      <c r="F29" s="185">
        <v>1.8842974514659602E-2</v>
      </c>
      <c r="G29" s="186">
        <v>1.1333397159174501</v>
      </c>
      <c r="H29" s="42">
        <f t="shared" ref="H29:H34" si="10">+E29/(1.2*F29)</f>
        <v>0.94444976326454322</v>
      </c>
      <c r="I29" s="47">
        <f t="shared" ref="I29:L34" si="11">+I11</f>
        <v>1.7051708659222999</v>
      </c>
      <c r="J29" s="47">
        <f t="shared" si="11"/>
        <v>-6.5410188875993924E-3</v>
      </c>
      <c r="K29" s="48">
        <f t="shared" si="11"/>
        <v>20362.182008484495</v>
      </c>
      <c r="L29" s="48">
        <f t="shared" si="11"/>
        <v>566.72624048910689</v>
      </c>
      <c r="M29" s="52">
        <f t="shared" ref="M29:M34" si="12">-0.05*N29*K29*(H29-1)-0.05*O29*L29*(H29-1)</f>
        <v>1789.4462914306175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1753.2422480837449</v>
      </c>
      <c r="Q29" s="95">
        <f t="shared" ref="Q29:Q34" si="14">+L29*(I29-0.05*O29*H29)-L29*(I29-0.05*O29)</f>
        <v>36.204043346870094</v>
      </c>
      <c r="R29" s="95">
        <f t="shared" ref="R29:R34" si="15">+P29+Q29</f>
        <v>1789.446291430615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1.7946937939637801E-2</v>
      </c>
      <c r="F30" s="185">
        <v>1.58433202045445E-2</v>
      </c>
      <c r="G30" s="186">
        <v>1.13277631884823</v>
      </c>
      <c r="H30" s="42">
        <f t="shared" si="10"/>
        <v>0.94398026570686344</v>
      </c>
      <c r="I30" s="47">
        <f t="shared" si="11"/>
        <v>1.6702081013154011</v>
      </c>
      <c r="J30" s="47">
        <f t="shared" si="11"/>
        <v>-5.6344630510096749E-4</v>
      </c>
      <c r="K30" s="48">
        <f t="shared" si="11"/>
        <v>17551.428853129073</v>
      </c>
      <c r="L30" s="48">
        <f t="shared" si="11"/>
        <v>485.94145390041962</v>
      </c>
      <c r="M30" s="52">
        <f t="shared" si="12"/>
        <v>1555.3065480655812</v>
      </c>
      <c r="N30" s="172">
        <f t="shared" si="8"/>
        <v>31</v>
      </c>
      <c r="O30" s="172">
        <f t="shared" si="9"/>
        <v>23</v>
      </c>
      <c r="P30" s="95">
        <f t="shared" si="13"/>
        <v>1524.0008902666304</v>
      </c>
      <c r="Q30" s="95">
        <f t="shared" si="14"/>
        <v>31.305657798950278</v>
      </c>
      <c r="R30" s="95">
        <f t="shared" si="15"/>
        <v>1555.3065480655807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1.43777869929432E-2</v>
      </c>
      <c r="F31" s="185">
        <v>1.26883719955675E-2</v>
      </c>
      <c r="G31" s="186">
        <v>1.1331467108598201</v>
      </c>
      <c r="H31" s="42">
        <f t="shared" si="10"/>
        <v>0.94428892571651912</v>
      </c>
      <c r="I31" s="47">
        <f t="shared" si="11"/>
        <v>1.6609673786365011</v>
      </c>
      <c r="J31" s="47">
        <f t="shared" si="11"/>
        <v>7.9713212231986574E-3</v>
      </c>
      <c r="K31" s="48">
        <f t="shared" si="11"/>
        <v>15693.188397286627</v>
      </c>
      <c r="L31" s="48">
        <f t="shared" si="11"/>
        <v>425.51046728993958</v>
      </c>
      <c r="M31" s="52">
        <f t="shared" si="12"/>
        <v>1382.402288085465</v>
      </c>
      <c r="N31" s="172">
        <f t="shared" si="8"/>
        <v>31</v>
      </c>
      <c r="O31" s="172">
        <f t="shared" si="9"/>
        <v>23</v>
      </c>
      <c r="P31" s="95">
        <f t="shared" si="13"/>
        <v>1355.1407960461365</v>
      </c>
      <c r="Q31" s="95">
        <f t="shared" si="14"/>
        <v>27.261492039326782</v>
      </c>
      <c r="R31" s="95">
        <f t="shared" si="15"/>
        <v>1382.4022880854634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1.07283563823754E-2</v>
      </c>
      <c r="F32" s="185">
        <v>9.4512866164701507E-3</v>
      </c>
      <c r="G32" s="186">
        <v>1.1351212610227901</v>
      </c>
      <c r="H32" s="42">
        <f t="shared" si="10"/>
        <v>0.94593438418565701</v>
      </c>
      <c r="I32" s="47">
        <f t="shared" si="11"/>
        <v>1.5627608660106009</v>
      </c>
      <c r="J32" s="47">
        <f t="shared" si="11"/>
        <v>9.9041402244992582E-3</v>
      </c>
      <c r="K32" s="48">
        <f t="shared" si="11"/>
        <v>13484.151760121602</v>
      </c>
      <c r="L32" s="48">
        <f t="shared" si="11"/>
        <v>350.61687991718929</v>
      </c>
      <c r="M32" s="52">
        <f t="shared" si="12"/>
        <v>1151.7946665565689</v>
      </c>
      <c r="N32" s="172">
        <f t="shared" si="8"/>
        <v>31</v>
      </c>
      <c r="O32" s="172">
        <f t="shared" si="9"/>
        <v>23</v>
      </c>
      <c r="P32" s="95">
        <f t="shared" si="13"/>
        <v>1129.9949013997975</v>
      </c>
      <c r="Q32" s="95">
        <f t="shared" si="14"/>
        <v>21.799765156770349</v>
      </c>
      <c r="R32" s="95">
        <f t="shared" si="15"/>
        <v>1151.7946665565678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6.9468567521370301E-3</v>
      </c>
      <c r="F33" s="185">
        <v>6.1026966439601798E-3</v>
      </c>
      <c r="G33" s="186">
        <v>1.13832575292962</v>
      </c>
      <c r="H33" s="42">
        <f t="shared" si="10"/>
        <v>0.94860479410801579</v>
      </c>
      <c r="I33" s="47">
        <f t="shared" si="11"/>
        <v>1.3238633414919008</v>
      </c>
      <c r="J33" s="47">
        <f t="shared" si="11"/>
        <v>8.1745194063991278E-3</v>
      </c>
      <c r="K33" s="48">
        <f t="shared" si="11"/>
        <v>10435.313157710851</v>
      </c>
      <c r="L33" s="48">
        <f t="shared" si="11"/>
        <v>255.18174772851845</v>
      </c>
      <c r="M33" s="52">
        <f t="shared" si="12"/>
        <v>846.38624208025669</v>
      </c>
      <c r="N33" s="172">
        <f t="shared" si="8"/>
        <v>31</v>
      </c>
      <c r="O33" s="172">
        <f t="shared" si="9"/>
        <v>23</v>
      </c>
      <c r="P33" s="95">
        <f t="shared" si="13"/>
        <v>831.30385584621763</v>
      </c>
      <c r="Q33" s="95">
        <f t="shared" si="14"/>
        <v>15.082386234041145</v>
      </c>
      <c r="R33" s="95">
        <f t="shared" si="15"/>
        <v>846.38624208025874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3.1688132782229199E-3</v>
      </c>
      <c r="F34" s="188">
        <v>2.7690560409918902E-3</v>
      </c>
      <c r="G34" s="189">
        <v>1.1443658890658801</v>
      </c>
      <c r="H34" s="42">
        <f t="shared" si="10"/>
        <v>0.95363824088823024</v>
      </c>
      <c r="I34" s="47">
        <f t="shared" si="11"/>
        <v>0.74481058521730148</v>
      </c>
      <c r="J34" s="47">
        <f t="shared" si="11"/>
        <v>-3.6280312200993592E-3</v>
      </c>
      <c r="K34" s="48">
        <f t="shared" si="11"/>
        <v>5840.982709933729</v>
      </c>
      <c r="L34" s="48">
        <f t="shared" si="11"/>
        <v>128.16707016646717</v>
      </c>
      <c r="M34" s="52">
        <f t="shared" si="12"/>
        <v>426.57062018772439</v>
      </c>
      <c r="N34" s="172">
        <f t="shared" si="8"/>
        <v>31</v>
      </c>
      <c r="O34" s="172">
        <f t="shared" si="9"/>
        <v>23</v>
      </c>
      <c r="P34" s="95">
        <f t="shared" si="13"/>
        <v>419.73726172963688</v>
      </c>
      <c r="Q34" s="95">
        <f t="shared" si="14"/>
        <v>6.8333584580868987</v>
      </c>
      <c r="R34" s="95">
        <f t="shared" si="15"/>
        <v>426.57062018772376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2.6683236951403899E-2</v>
      </c>
      <c r="F42" s="185">
        <v>2.6542541863420002E-2</v>
      </c>
      <c r="G42" s="186">
        <v>1.00530073904405</v>
      </c>
      <c r="H42" s="42">
        <f>+E42/(1.2*F42)</f>
        <v>0.83775061587004584</v>
      </c>
      <c r="I42" s="181">
        <f>+I24</f>
        <v>-0.7896254638664999</v>
      </c>
      <c r="J42" s="181">
        <f>+J24</f>
        <v>-0.48822305529910004</v>
      </c>
      <c r="K42" s="48">
        <f>IF(+'Sismo UBC-94 y Dinamico'!O34=0,'Sismo UBC-94 y Dinamico'!M34,'Sismo UBC-94 y Dinamico'!O34)</f>
        <v>99.89999295644327</v>
      </c>
      <c r="L42" s="48">
        <f>IF(+'Sismo UBC-94 y Dinamico'!P34=0,'Sismo UBC-94 y Dinamico'!N34,'Sismo UBC-94 y Dinamico'!P34)</f>
        <v>1043.8388693151428</v>
      </c>
      <c r="M42" s="52">
        <f>0.05*N42*K42*(H42-1)+0.05*O42*L42*(H42-1)</f>
        <v>-219.89004984312609</v>
      </c>
      <c r="N42" s="172">
        <f>+$N$3</f>
        <v>31</v>
      </c>
      <c r="O42" s="172">
        <f>+$O$3</f>
        <v>23</v>
      </c>
      <c r="P42" s="95">
        <f>+K42*(J42+0.05*N42*H42)-K42*(J42+0.05*N42)</f>
        <v>-25.123504114243005</v>
      </c>
      <c r="Q42" s="95">
        <f>+L42*(I42+0.05*O42*H42)-L42*(I42+0.05*O42)</f>
        <v>-194.76654572888307</v>
      </c>
      <c r="R42" s="95">
        <f>+P42+Q42</f>
        <v>-219.89004984312606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2.70723243050549E-2</v>
      </c>
      <c r="F43" s="185">
        <v>2.63322748290305E-2</v>
      </c>
      <c r="G43" s="186">
        <v>1.02810427434885</v>
      </c>
      <c r="H43" s="42">
        <f t="shared" ref="H43:H52" si="16">+E43/(1.2*F43)</f>
        <v>0.85675356195737529</v>
      </c>
      <c r="I43" s="181">
        <f t="shared" ref="I43:J43" si="17">+I25</f>
        <v>1.5277744711723997</v>
      </c>
      <c r="J43" s="181">
        <f t="shared" si="17"/>
        <v>1.6224681559998899E-2</v>
      </c>
      <c r="K43" s="48">
        <f>IF(+'Sismo UBC-94 y Dinamico'!O35=0,'Sismo UBC-94 y Dinamico'!M35,'Sismo UBC-94 y Dinamico'!O35)</f>
        <v>882.13238283297108</v>
      </c>
      <c r="L43" s="48">
        <f>IF(+'Sismo UBC-94 y Dinamico'!P35=0,'Sismo UBC-94 y Dinamico'!N35,'Sismo UBC-94 y Dinamico'!P35)</f>
        <v>30245.053815617543</v>
      </c>
      <c r="M43" s="52">
        <f>0.05*N43*K43*(H43-1)+0.05*O43*L43*(H43-1)</f>
        <v>-5178.2322602893728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-195.86159867045808</v>
      </c>
      <c r="Q43" s="95">
        <f>+L43*(I43+0.05*O43*H43)-L43*(I43+0.05*O43)</f>
        <v>-4982.3706616189302</v>
      </c>
      <c r="R43" s="95">
        <f>+P43+Q43</f>
        <v>-5178.2322602893883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2.6118509213504702E-2</v>
      </c>
      <c r="F44" s="185">
        <v>2.5352923980460101E-2</v>
      </c>
      <c r="G44" s="186">
        <v>1.0301971178407101</v>
      </c>
      <c r="H44" s="42">
        <f t="shared" si="16"/>
        <v>0.85849759820059446</v>
      </c>
      <c r="I44" s="181">
        <f t="shared" ref="I44:J44" si="20">+I26</f>
        <v>1.6692732725067998</v>
      </c>
      <c r="J44" s="181">
        <f t="shared" si="20"/>
        <v>-2.2111710285599884E-2</v>
      </c>
      <c r="K44" s="48">
        <f>IF(+'Sismo UBC-94 y Dinamico'!O36=0,'Sismo UBC-94 y Dinamico'!M36,'Sismo UBC-94 y Dinamico'!O36)</f>
        <v>1023.8920260462527</v>
      </c>
      <c r="L44" s="48">
        <f>IF(+'Sismo UBC-94 y Dinamico'!P36=0,'Sismo UBC-94 y Dinamico'!N36,'Sismo UBC-94 y Dinamico'!P36)</f>
        <v>34204.645809255439</v>
      </c>
      <c r="M44" s="52">
        <f>0.05*N44*K44*(H44-1)+0.05*O44*L44*(H44-1)</f>
        <v>-5790.6143952604061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-224.56893034664654</v>
      </c>
      <c r="Q44" s="95">
        <f>+L44*(I44+0.05*O44*H44)-L44*(I44+0.05*O44)</f>
        <v>-5566.0454649137537</v>
      </c>
      <c r="R44" s="95">
        <f>+P44+Q44</f>
        <v>-5790.6143952603998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2.45442850382541E-2</v>
      </c>
      <c r="F45" s="185">
        <v>2.3783847655746499E-2</v>
      </c>
      <c r="G45" s="186">
        <v>1.03197284953698</v>
      </c>
      <c r="H45" s="42">
        <f t="shared" si="16"/>
        <v>0.8599773746141488</v>
      </c>
      <c r="I45" s="181">
        <f t="shared" ref="I45:J45" si="21">+I27</f>
        <v>1.7027577566804997</v>
      </c>
      <c r="J45" s="181">
        <f t="shared" si="21"/>
        <v>-1.6972836234099731E-2</v>
      </c>
      <c r="K45" s="48">
        <f>IF(+'Sismo UBC-94 y Dinamico'!O37=0,'Sismo UBC-94 y Dinamico'!M37,'Sismo UBC-94 y Dinamico'!O37)</f>
        <v>881.92449622773142</v>
      </c>
      <c r="L45" s="48">
        <f>IF(+'Sismo UBC-94 y Dinamico'!P37=0,'Sismo UBC-94 y Dinamico'!N37,'Sismo UBC-94 y Dinamico'!P37)</f>
        <v>28842.017580201853</v>
      </c>
      <c r="M45" s="52">
        <f>0.05*N45*K45*(H45-1)+0.05*O45*L45*(H45-1)</f>
        <v>-4835.7238206539969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-191.40854419854691</v>
      </c>
      <c r="Q45" s="95">
        <f>+L45*(I45+0.05*O45*H45)-L45*(I45+0.05*O45)</f>
        <v>-4644.3152764554397</v>
      </c>
      <c r="R45" s="95">
        <f>+P45+Q45</f>
        <v>-4835.7238206539869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2.23744057389412E-2</v>
      </c>
      <c r="F46" s="185">
        <v>2.1664589282332301E-2</v>
      </c>
      <c r="G46" s="186">
        <v>1.0327639009149301</v>
      </c>
      <c r="H46" s="42">
        <f t="shared" si="16"/>
        <v>0.86063658409577148</v>
      </c>
      <c r="I46" s="181">
        <f t="shared" ref="I46:J46" si="22">+I28</f>
        <v>1.7168704574567002</v>
      </c>
      <c r="J46" s="181">
        <f t="shared" si="22"/>
        <v>-1.1945050637899968E-2</v>
      </c>
      <c r="K46" s="48">
        <f>IF(+'Sismo UBC-94 y Dinamico'!O38=0,'Sismo UBC-94 y Dinamico'!M38,'Sismo UBC-94 y Dinamico'!O38)</f>
        <v>760.5176370486887</v>
      </c>
      <c r="L46" s="48">
        <f>IF(+'Sismo UBC-94 y Dinamico'!P38=0,'Sismo UBC-94 y Dinamico'!N38,'Sismo UBC-94 y Dinamico'!P38)</f>
        <v>24331.005648949093</v>
      </c>
      <c r="M46" s="52">
        <f>0.05*N46*K46*(H46-1)+0.05*O46*L46*(H46-1)</f>
        <v>-4063.7617889855223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-164.28192041950206</v>
      </c>
      <c r="Q46" s="95">
        <f>+L46*(I46+0.05*O46*H46)-L46*(I46+0.05*O46)</f>
        <v>-3899.4798685660207</v>
      </c>
      <c r="R46" s="95">
        <f>+P46+Q46</f>
        <v>-4063.7617889855228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1.96957378413594E-2</v>
      </c>
      <c r="F47" s="185">
        <v>1.9078861933987001E-2</v>
      </c>
      <c r="G47" s="186">
        <v>1.03233295096462</v>
      </c>
      <c r="H47" s="42">
        <f t="shared" si="16"/>
        <v>0.86027745913718523</v>
      </c>
      <c r="I47" s="181">
        <f t="shared" ref="I47:J47" si="23">+I29</f>
        <v>1.7051708659222999</v>
      </c>
      <c r="J47" s="181">
        <f t="shared" si="23"/>
        <v>-6.5410188875993924E-3</v>
      </c>
      <c r="K47" s="48">
        <f>IF(+'Sismo UBC-94 y Dinamico'!O39=0,'Sismo UBC-94 y Dinamico'!M39,'Sismo UBC-94 y Dinamico'!O39)</f>
        <v>655.18359302718898</v>
      </c>
      <c r="L47" s="48">
        <f>IF(+'Sismo UBC-94 y Dinamico'!P39=0,'Sismo UBC-94 y Dinamico'!N39,'Sismo UBC-94 y Dinamico'!P39)</f>
        <v>20741.624738349023</v>
      </c>
      <c r="M47" s="52">
        <f t="shared" ref="M47:M52" si="24">0.05*N47*K47*(H47-1)+0.05*O47*L47*(H47-1)</f>
        <v>-3474.6764569164629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-141.89307034155024</v>
      </c>
      <c r="Q47" s="95">
        <f t="shared" ref="Q47:Q52" si="26">+L47*(I47+0.05*O47*H47)-L47*(I47+0.05*O47)</f>
        <v>-3332.7833865749199</v>
      </c>
      <c r="R47" s="95">
        <f t="shared" ref="R47:R52" si="27">+P47+Q47</f>
        <v>-3474.6764569164702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1.6616860689832098E-2</v>
      </c>
      <c r="F48" s="185">
        <v>1.61240837466812E-2</v>
      </c>
      <c r="G48" s="186">
        <v>1.0305615469934699</v>
      </c>
      <c r="H48" s="42">
        <f t="shared" si="16"/>
        <v>0.85880128916122778</v>
      </c>
      <c r="I48" s="181">
        <f t="shared" ref="I48:J48" si="28">+I30</f>
        <v>1.6702081013154011</v>
      </c>
      <c r="J48" s="181">
        <f t="shared" si="28"/>
        <v>-5.6344630510096749E-4</v>
      </c>
      <c r="K48" s="48">
        <f>IF(+'Sismo UBC-94 y Dinamico'!O40=0,'Sismo UBC-94 y Dinamico'!M40,'Sismo UBC-94 y Dinamico'!O40)</f>
        <v>561.10101303297313</v>
      </c>
      <c r="L48" s="48">
        <f>IF(+'Sismo UBC-94 y Dinamico'!P40=0,'Sismo UBC-94 y Dinamico'!N40,'Sismo UBC-94 y Dinamico'!P40)</f>
        <v>17880.262730285944</v>
      </c>
      <c r="M48" s="52">
        <f t="shared" si="24"/>
        <v>-3026.1720005415655</v>
      </c>
      <c r="N48" s="172">
        <f t="shared" si="18"/>
        <v>31</v>
      </c>
      <c r="O48" s="172">
        <f t="shared" si="19"/>
        <v>23</v>
      </c>
      <c r="P48" s="95">
        <f t="shared" si="25"/>
        <v>-122.80144652040667</v>
      </c>
      <c r="Q48" s="95">
        <f t="shared" si="26"/>
        <v>-2903.3705540211668</v>
      </c>
      <c r="R48" s="95">
        <f t="shared" si="27"/>
        <v>-3026.1720005415737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1.3348637096167701E-2</v>
      </c>
      <c r="F49" s="185">
        <v>1.2981078168064E-2</v>
      </c>
      <c r="G49" s="186">
        <v>1.02831497687211</v>
      </c>
      <c r="H49" s="42">
        <f t="shared" si="16"/>
        <v>0.85692914739341963</v>
      </c>
      <c r="I49" s="181">
        <f t="shared" ref="I49:J49" si="29">+I31</f>
        <v>1.6609673786365011</v>
      </c>
      <c r="J49" s="181">
        <f t="shared" si="29"/>
        <v>7.9713212231986574E-3</v>
      </c>
      <c r="K49" s="48">
        <f>IF(+'Sismo UBC-94 y Dinamico'!O41=0,'Sismo UBC-94 y Dinamico'!M41,'Sismo UBC-94 y Dinamico'!O41)</f>
        <v>487.91406898778308</v>
      </c>
      <c r="L49" s="48">
        <f>IF(+'Sismo UBC-94 y Dinamico'!P41=0,'Sismo UBC-94 y Dinamico'!N41,'Sismo UBC-94 y Dinamico'!P41)</f>
        <v>15920.732783167299</v>
      </c>
      <c r="M49" s="52">
        <f t="shared" si="24"/>
        <v>-2727.6614722863565</v>
      </c>
      <c r="N49" s="172">
        <f t="shared" si="18"/>
        <v>31</v>
      </c>
      <c r="O49" s="172">
        <f t="shared" si="19"/>
        <v>23</v>
      </c>
      <c r="P49" s="95">
        <f t="shared" si="25"/>
        <v>-108.19973686568346</v>
      </c>
      <c r="Q49" s="95">
        <f t="shared" si="26"/>
        <v>-2619.4617354206785</v>
      </c>
      <c r="R49" s="95">
        <f t="shared" si="27"/>
        <v>-2727.6614722863619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9.9652703766092299E-3</v>
      </c>
      <c r="F50" s="185">
        <v>9.7181778547443306E-3</v>
      </c>
      <c r="G50" s="186">
        <v>1.0254258077551299</v>
      </c>
      <c r="H50" s="42">
        <f t="shared" si="16"/>
        <v>0.85452150646260905</v>
      </c>
      <c r="I50" s="181">
        <f t="shared" ref="I50:J50" si="30">+I32</f>
        <v>1.5627608660106009</v>
      </c>
      <c r="J50" s="181">
        <f t="shared" si="30"/>
        <v>9.9041402244992582E-3</v>
      </c>
      <c r="K50" s="48">
        <f>IF(+'Sismo UBC-94 y Dinamico'!O42=0,'Sismo UBC-94 y Dinamico'!M42,'Sismo UBC-94 y Dinamico'!O42)</f>
        <v>399.42532636401</v>
      </c>
      <c r="L50" s="48">
        <f>IF(+'Sismo UBC-94 y Dinamico'!P42=0,'Sismo UBC-94 y Dinamico'!N42,'Sismo UBC-94 y Dinamico'!P42)</f>
        <v>13565.473734628013</v>
      </c>
      <c r="M50" s="52">
        <f t="shared" si="24"/>
        <v>-2359.5744673681188</v>
      </c>
      <c r="N50" s="172">
        <f t="shared" si="18"/>
        <v>31</v>
      </c>
      <c r="O50" s="172">
        <f t="shared" si="19"/>
        <v>23</v>
      </c>
      <c r="P50" s="95">
        <f t="shared" si="25"/>
        <v>-90.06708187818117</v>
      </c>
      <c r="Q50" s="95">
        <f t="shared" si="26"/>
        <v>-2269.5073854899383</v>
      </c>
      <c r="R50" s="95">
        <f t="shared" si="27"/>
        <v>-2359.5744673681193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6.4180179994271797E-3</v>
      </c>
      <c r="F51" s="185">
        <v>6.3041807557675704E-3</v>
      </c>
      <c r="G51" s="186">
        <v>1.0180574206339901</v>
      </c>
      <c r="H51" s="42">
        <f t="shared" si="16"/>
        <v>0.84838118386165962</v>
      </c>
      <c r="I51" s="181">
        <f t="shared" ref="I51:J51" si="31">+I33</f>
        <v>1.3238633414919008</v>
      </c>
      <c r="J51" s="181">
        <f t="shared" si="31"/>
        <v>8.1745194063991278E-3</v>
      </c>
      <c r="K51" s="48">
        <f>IF(+'Sismo UBC-94 y Dinamico'!O43=0,'Sismo UBC-94 y Dinamico'!M43,'Sismo UBC-94 y Dinamico'!O43)</f>
        <v>290.86938507816893</v>
      </c>
      <c r="L51" s="48">
        <f>IF(+'Sismo UBC-94 y Dinamico'!P43=0,'Sismo UBC-94 y Dinamico'!N43,'Sismo UBC-94 y Dinamico'!P43)</f>
        <v>10418.328695242997</v>
      </c>
      <c r="M51" s="52">
        <f t="shared" si="24"/>
        <v>-1884.9138336652509</v>
      </c>
      <c r="N51" s="172">
        <f t="shared" si="18"/>
        <v>31</v>
      </c>
      <c r="O51" s="172">
        <f t="shared" si="19"/>
        <v>23</v>
      </c>
      <c r="P51" s="95">
        <f t="shared" si="25"/>
        <v>-68.356971315480507</v>
      </c>
      <c r="Q51" s="95">
        <f t="shared" si="26"/>
        <v>-1816.5568623497711</v>
      </c>
      <c r="R51" s="95">
        <f t="shared" si="27"/>
        <v>-1884.9138336652516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2.8678069080754699E-3</v>
      </c>
      <c r="F52" s="188">
        <v>2.8627893711388398E-3</v>
      </c>
      <c r="G52" s="189">
        <v>1.00175267415312</v>
      </c>
      <c r="H52" s="42">
        <f t="shared" si="16"/>
        <v>0.83479389512760249</v>
      </c>
      <c r="I52" s="181">
        <f t="shared" ref="I52:J52" si="32">+I34</f>
        <v>0.74481058521730148</v>
      </c>
      <c r="J52" s="181">
        <f t="shared" si="32"/>
        <v>-3.6280312200993592E-3</v>
      </c>
      <c r="K52" s="48">
        <f>IF(+'Sismo UBC-94 y Dinamico'!O44=0,'Sismo UBC-94 y Dinamico'!M44,'Sismo UBC-94 y Dinamico'!O44)</f>
        <v>150.49016969325012</v>
      </c>
      <c r="L52" s="48">
        <f>IF(+'Sismo UBC-94 y Dinamico'!P44=0,'Sismo UBC-94 y Dinamico'!N44,'Sismo UBC-94 y Dinamico'!P44)</f>
        <v>5809.6161360512742</v>
      </c>
      <c r="M52" s="52">
        <f t="shared" si="24"/>
        <v>-1142.2875974097312</v>
      </c>
      <c r="N52" s="172">
        <f t="shared" si="18"/>
        <v>31</v>
      </c>
      <c r="O52" s="172">
        <f t="shared" si="19"/>
        <v>23</v>
      </c>
      <c r="P52" s="95">
        <f t="shared" si="25"/>
        <v>-38.535936872742354</v>
      </c>
      <c r="Q52" s="95">
        <f t="shared" si="26"/>
        <v>-1103.7516605369874</v>
      </c>
      <c r="R52" s="95">
        <f t="shared" si="27"/>
        <v>-1142.2875974097296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2.4805431054938001E-2</v>
      </c>
      <c r="F60" s="185">
        <v>2.3977979972362101E-2</v>
      </c>
      <c r="G60" s="186">
        <v>1.0345087902954999</v>
      </c>
      <c r="H60" s="42">
        <f>+E60/(1.2*F60)</f>
        <v>0.862090658579582</v>
      </c>
      <c r="I60" s="181">
        <f>+I42</f>
        <v>-0.7896254638664999</v>
      </c>
      <c r="J60" s="181">
        <f>+J42</f>
        <v>-0.48822305529910004</v>
      </c>
      <c r="K60" s="48">
        <f>+K42</f>
        <v>99.89999295644327</v>
      </c>
      <c r="L60" s="48">
        <f>+L42</f>
        <v>1043.8388693151428</v>
      </c>
      <c r="M60" s="52">
        <f>-0.05*N60*K60*(H60-1)-0.05*O60*L60*(H60-1)</f>
        <v>186.90297113534552</v>
      </c>
      <c r="N60" s="172">
        <f>+$N$3</f>
        <v>31</v>
      </c>
      <c r="O60" s="172">
        <f>+$O$3</f>
        <v>23</v>
      </c>
      <c r="P60" s="95">
        <f>+K60*(J60-0.05*N60*H60)-K60*(J60-0.05*N60)</f>
        <v>21.354570466617588</v>
      </c>
      <c r="Q60" s="95">
        <f>+L60*(I60-0.05*O60*H60)-L60*(I60-0.05*O60)</f>
        <v>165.54840066872794</v>
      </c>
      <c r="R60" s="95">
        <f>+P60+Q60</f>
        <v>186.90297113534552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3.1646785271496003E-2</v>
      </c>
      <c r="F61" s="185">
        <v>2.7028714876058901E-2</v>
      </c>
      <c r="G61" s="186">
        <v>1.1708579344823999</v>
      </c>
      <c r="H61" s="42">
        <f t="shared" ref="H61:H70" si="33">+E61/(1.2*F61)</f>
        <v>0.97571494540199888</v>
      </c>
      <c r="I61" s="181">
        <f t="shared" ref="I61:J61" si="34">+I43</f>
        <v>1.5277744711723997</v>
      </c>
      <c r="J61" s="181">
        <f t="shared" si="34"/>
        <v>1.6224681559998899E-2</v>
      </c>
      <c r="K61" s="48">
        <f t="shared" ref="K61:L64" si="35">+K43</f>
        <v>882.13238283297108</v>
      </c>
      <c r="L61" s="48">
        <f t="shared" si="35"/>
        <v>30245.053815617543</v>
      </c>
      <c r="M61" s="52">
        <f>-0.05*N61*K61*(H61-1)-0.05*O61*L61*(H61-1)</f>
        <v>877.88328199015075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33.205081273633596</v>
      </c>
      <c r="Q61" s="95">
        <f>+L61*(I61-0.05*O61*H61)-L61*(I61-0.05*O61)</f>
        <v>844.67820071652022</v>
      </c>
      <c r="R61" s="95">
        <f>+P61+Q61</f>
        <v>877.88328199015382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3.0539644185369801E-2</v>
      </c>
      <c r="F62" s="185">
        <v>2.60321020249887E-2</v>
      </c>
      <c r="G62" s="186">
        <v>1.1731532150594</v>
      </c>
      <c r="H62" s="42">
        <f t="shared" si="33"/>
        <v>0.97762767921616633</v>
      </c>
      <c r="I62" s="181">
        <f t="shared" ref="I62:J62" si="38">+I44</f>
        <v>1.6692732725067998</v>
      </c>
      <c r="J62" s="181">
        <f t="shared" si="38"/>
        <v>-2.2111710285599884E-2</v>
      </c>
      <c r="K62" s="48">
        <f t="shared" si="35"/>
        <v>1023.8920260462527</v>
      </c>
      <c r="L62" s="48">
        <f t="shared" si="35"/>
        <v>34204.645809255439</v>
      </c>
      <c r="M62" s="52">
        <f>-0.05*N62*K62*(H62-1)-0.05*O62*L62*(H62-1)</f>
        <v>915.52850791819583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35.505603324810181</v>
      </c>
      <c r="Q62" s="95">
        <f>+L62*(I62-0.05*O62*H62)-L62*(I62-0.05*O62)</f>
        <v>880.02290459338474</v>
      </c>
      <c r="R62" s="95">
        <f>+P62+Q62</f>
        <v>915.52850791819492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2.86976879901077E-2</v>
      </c>
      <c r="F63" s="185">
        <v>2.4426902090669202E-2</v>
      </c>
      <c r="G63" s="186">
        <v>1.17483944069477</v>
      </c>
      <c r="H63" s="42">
        <f t="shared" si="33"/>
        <v>0.97903286724564131</v>
      </c>
      <c r="I63" s="181">
        <f t="shared" ref="I63:J63" si="39">+I45</f>
        <v>1.7027577566804997</v>
      </c>
      <c r="J63" s="181">
        <f t="shared" si="39"/>
        <v>-1.6972836234099731E-2</v>
      </c>
      <c r="K63" s="48">
        <f t="shared" si="35"/>
        <v>881.92449622773142</v>
      </c>
      <c r="L63" s="48">
        <f t="shared" si="35"/>
        <v>28842.017580201853</v>
      </c>
      <c r="M63" s="52">
        <f>-0.05*N63*K63*(H63-1)-0.05*O63*L63*(H63-1)</f>
        <v>724.10628662096326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28.661713387177997</v>
      </c>
      <c r="Q63" s="95">
        <f>+L63*(I63-0.05*O63*H63)-L63*(I63-0.05*O63)</f>
        <v>695.44457323378629</v>
      </c>
      <c r="R63" s="95">
        <f>+P63+Q63</f>
        <v>724.10628662096428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2.61494182480131E-2</v>
      </c>
      <c r="F64" s="185">
        <v>2.2250697674230099E-2</v>
      </c>
      <c r="G64" s="186">
        <v>1.1752179024165299</v>
      </c>
      <c r="H64" s="42">
        <f t="shared" si="33"/>
        <v>0.97934825201377651</v>
      </c>
      <c r="I64" s="181">
        <f t="shared" ref="I64:J64" si="40">+I46</f>
        <v>1.7168704574567002</v>
      </c>
      <c r="J64" s="181">
        <f t="shared" si="40"/>
        <v>-1.1945050637899968E-2</v>
      </c>
      <c r="K64" s="48">
        <f t="shared" si="35"/>
        <v>760.5176370486887</v>
      </c>
      <c r="L64" s="48">
        <f t="shared" si="35"/>
        <v>24331.005648949093</v>
      </c>
      <c r="M64" s="52">
        <f>-0.05*N64*K64*(H64-1)-0.05*O64*L64*(H64-1)</f>
        <v>602.19379524858027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24.344328798082188</v>
      </c>
      <c r="Q64" s="95">
        <f>+L64*(I64-0.05*O64*H64)-L64*(I64-0.05*O64)</f>
        <v>577.84946645049604</v>
      </c>
      <c r="R64" s="95">
        <f>+P64+Q64</f>
        <v>602.19379524857823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2.29983144757697E-2</v>
      </c>
      <c r="F65" s="185">
        <v>1.9589827527593098E-2</v>
      </c>
      <c r="G65" s="186">
        <v>1.17399269816825</v>
      </c>
      <c r="H65" s="42">
        <f t="shared" si="33"/>
        <v>0.97832724847354258</v>
      </c>
      <c r="I65" s="181">
        <f t="shared" ref="I65:J65" si="41">+I47</f>
        <v>1.7051708659222999</v>
      </c>
      <c r="J65" s="181">
        <f t="shared" si="41"/>
        <v>-6.5410188875993924E-3</v>
      </c>
      <c r="K65" s="48">
        <f t="shared" ref="K65:L70" si="42">+K47</f>
        <v>655.18359302718898</v>
      </c>
      <c r="L65" s="48">
        <f t="shared" si="42"/>
        <v>20741.624738349023</v>
      </c>
      <c r="M65" s="52">
        <f t="shared" ref="M65:M70" si="43">-0.05*N65*K65*(H65-1)-0.05*O65*L65*(H65-1)</f>
        <v>538.96671947527921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22.009428384629359</v>
      </c>
      <c r="Q65" s="95">
        <f t="shared" ref="Q65:Q70" si="45">+L65*(I65-0.05*O65*H65)-L65*(I65-0.05*O65)</f>
        <v>516.95729109064996</v>
      </c>
      <c r="R65" s="95">
        <f t="shared" ref="R65:R70" si="46">+P65+Q65</f>
        <v>538.96671947527932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1.93770138806557E-2</v>
      </c>
      <c r="F66" s="185">
        <v>1.6547215034471902E-2</v>
      </c>
      <c r="G66" s="186">
        <v>1.1710136020042501</v>
      </c>
      <c r="H66" s="42">
        <f t="shared" si="33"/>
        <v>0.97584466833686889</v>
      </c>
      <c r="I66" s="181">
        <f t="shared" ref="I66:J66" si="47">+I48</f>
        <v>1.6702081013154011</v>
      </c>
      <c r="J66" s="181">
        <f t="shared" si="47"/>
        <v>-5.6344630510096749E-4</v>
      </c>
      <c r="K66" s="48">
        <f t="shared" si="42"/>
        <v>561.10101303297313</v>
      </c>
      <c r="L66" s="48">
        <f t="shared" si="42"/>
        <v>17880.262730285944</v>
      </c>
      <c r="M66" s="52">
        <f t="shared" si="43"/>
        <v>517.69727859788804</v>
      </c>
      <c r="N66" s="172">
        <f t="shared" si="36"/>
        <v>31</v>
      </c>
      <c r="O66" s="172">
        <f t="shared" si="37"/>
        <v>23</v>
      </c>
      <c r="P66" s="95">
        <f t="shared" si="44"/>
        <v>21.008050652812017</v>
      </c>
      <c r="Q66" s="95">
        <f t="shared" si="45"/>
        <v>496.68922794507489</v>
      </c>
      <c r="R66" s="95">
        <f t="shared" si="46"/>
        <v>517.69727859788691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1.55583329974861E-2</v>
      </c>
      <c r="F67" s="185">
        <v>1.3314914150836601E-2</v>
      </c>
      <c r="G67" s="186">
        <v>1.16848917095786</v>
      </c>
      <c r="H67" s="42">
        <f t="shared" si="33"/>
        <v>0.97374097579821439</v>
      </c>
      <c r="I67" s="181">
        <f t="shared" ref="I67:J67" si="48">+I49</f>
        <v>1.6609673786365011</v>
      </c>
      <c r="J67" s="181">
        <f t="shared" si="48"/>
        <v>7.9713212231986574E-3</v>
      </c>
      <c r="K67" s="48">
        <f t="shared" si="42"/>
        <v>487.91406898778308</v>
      </c>
      <c r="L67" s="48">
        <f t="shared" si="42"/>
        <v>15920.732783167299</v>
      </c>
      <c r="M67" s="52">
        <f t="shared" si="43"/>
        <v>500.63117196906438</v>
      </c>
      <c r="N67" s="172">
        <f t="shared" si="36"/>
        <v>31</v>
      </c>
      <c r="O67" s="172">
        <f t="shared" si="37"/>
        <v>23</v>
      </c>
      <c r="P67" s="95">
        <f t="shared" si="44"/>
        <v>19.858828386209893</v>
      </c>
      <c r="Q67" s="95">
        <f t="shared" si="45"/>
        <v>480.77234358285568</v>
      </c>
      <c r="R67" s="95">
        <f t="shared" si="46"/>
        <v>500.63117196906558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1.1630338530036701E-2</v>
      </c>
      <c r="F68" s="185">
        <v>9.9639007614646807E-3</v>
      </c>
      <c r="G68" s="186">
        <v>1.1672475276968799</v>
      </c>
      <c r="H68" s="42">
        <f t="shared" si="33"/>
        <v>0.97270627308073265</v>
      </c>
      <c r="I68" s="181">
        <f t="shared" ref="I68:J68" si="49">+I50</f>
        <v>1.5627608660106009</v>
      </c>
      <c r="J68" s="181">
        <f t="shared" si="49"/>
        <v>9.9041402244992582E-3</v>
      </c>
      <c r="K68" s="48">
        <f t="shared" si="42"/>
        <v>399.42532636401</v>
      </c>
      <c r="L68" s="48">
        <f t="shared" si="42"/>
        <v>13565.473734628013</v>
      </c>
      <c r="M68" s="52">
        <f t="shared" si="43"/>
        <v>442.68798495269408</v>
      </c>
      <c r="N68" s="172">
        <f t="shared" si="36"/>
        <v>31</v>
      </c>
      <c r="O68" s="172">
        <f t="shared" si="37"/>
        <v>23</v>
      </c>
      <c r="P68" s="95">
        <f t="shared" si="44"/>
        <v>16.897798962748766</v>
      </c>
      <c r="Q68" s="95">
        <f t="shared" si="45"/>
        <v>425.7901859899448</v>
      </c>
      <c r="R68" s="95">
        <f t="shared" si="46"/>
        <v>442.68798495269357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7.5110764127383203E-3</v>
      </c>
      <c r="F69" s="185">
        <v>6.4571617252189998E-3</v>
      </c>
      <c r="G69" s="186">
        <v>1.16321639945971</v>
      </c>
      <c r="H69" s="42">
        <f t="shared" si="33"/>
        <v>0.96934699954976178</v>
      </c>
      <c r="I69" s="181">
        <f t="shared" ref="I69:J69" si="50">+I51</f>
        <v>1.3238633414919008</v>
      </c>
      <c r="J69" s="181">
        <f t="shared" si="50"/>
        <v>8.1745194063991278E-3</v>
      </c>
      <c r="K69" s="48">
        <f t="shared" si="42"/>
        <v>290.86938507816893</v>
      </c>
      <c r="L69" s="48">
        <f t="shared" si="42"/>
        <v>10418.328695242997</v>
      </c>
      <c r="M69" s="52">
        <f t="shared" si="43"/>
        <v>381.075819371146</v>
      </c>
      <c r="N69" s="172">
        <f t="shared" si="36"/>
        <v>31</v>
      </c>
      <c r="O69" s="172">
        <f t="shared" si="37"/>
        <v>23</v>
      </c>
      <c r="P69" s="95">
        <f t="shared" si="44"/>
        <v>13.819830057230547</v>
      </c>
      <c r="Q69" s="95">
        <f t="shared" si="45"/>
        <v>367.25598931391642</v>
      </c>
      <c r="R69" s="95">
        <f t="shared" si="46"/>
        <v>381.07581937114696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3.3664415005512801E-3</v>
      </c>
      <c r="F70" s="188">
        <v>2.92394017111758E-3</v>
      </c>
      <c r="G70" s="189">
        <v>1.1513373405532299</v>
      </c>
      <c r="H70" s="42">
        <f t="shared" si="33"/>
        <v>0.95944778379436091</v>
      </c>
      <c r="I70" s="181">
        <f t="shared" ref="I70:J70" si="51">+I52</f>
        <v>0.74481058521730148</v>
      </c>
      <c r="J70" s="181">
        <f t="shared" si="51"/>
        <v>-3.6280312200993592E-3</v>
      </c>
      <c r="K70" s="48">
        <f t="shared" si="42"/>
        <v>150.49016969325012</v>
      </c>
      <c r="L70" s="48">
        <f t="shared" si="42"/>
        <v>5809.6161360512742</v>
      </c>
      <c r="M70" s="52">
        <f t="shared" si="43"/>
        <v>280.39093140630621</v>
      </c>
      <c r="N70" s="172">
        <f t="shared" si="36"/>
        <v>31</v>
      </c>
      <c r="O70" s="172">
        <f t="shared" si="37"/>
        <v>23</v>
      </c>
      <c r="P70" s="95">
        <f t="shared" si="44"/>
        <v>9.4592003422471862</v>
      </c>
      <c r="Q70" s="95">
        <f t="shared" si="45"/>
        <v>270.93173106405948</v>
      </c>
      <c r="R70" s="95">
        <f t="shared" si="46"/>
        <v>280.39093140630666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tabSelected="1"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1055736.6280028401</v>
      </c>
      <c r="E6" s="53">
        <f>0.7*D6</f>
        <v>739015.63960198802</v>
      </c>
      <c r="F6" s="1" t="str">
        <f>+IF(D6&lt;E5,"piso suave","ok")</f>
        <v>ok</v>
      </c>
      <c r="G6" s="53">
        <f>0.9*D6</f>
        <v>950162.96520255611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25063968.182470702</v>
      </c>
      <c r="E7" s="53">
        <f>0.7*D7</f>
        <v>17544777.727729492</v>
      </c>
      <c r="F7" s="1" t="str">
        <f>+IF(D7&lt;E6,"piso suave","ok")</f>
        <v>ok</v>
      </c>
      <c r="G7" s="53">
        <f>0.9*D7</f>
        <v>22557571.364223633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37190012.881356701</v>
      </c>
      <c r="E8" s="53">
        <f>0.7*D8</f>
        <v>26033009.016949691</v>
      </c>
      <c r="F8" s="1" t="str">
        <f>+IF(D8&lt;E7,"piso suave","ok")</f>
        <v>ok</v>
      </c>
      <c r="G8" s="53">
        <f>0.9*D8</f>
        <v>33471011.593221031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42629178.509979703</v>
      </c>
      <c r="E9" s="53">
        <f>0.7*D9</f>
        <v>29840424.95698579</v>
      </c>
      <c r="F9" s="1" t="str">
        <f>+IF(D9&lt;E8,"piso suave","ok")</f>
        <v>ok</v>
      </c>
      <c r="G9" s="53">
        <f>0.9*D9</f>
        <v>38366260.658981733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44906429.270161897</v>
      </c>
      <c r="E10" s="53">
        <f>0.7*D10</f>
        <v>31434500.489113327</v>
      </c>
      <c r="F10" s="1" t="str">
        <f>+IF(D10&lt;E9,"piso suave","ok")</f>
        <v>ok</v>
      </c>
      <c r="G10" s="53">
        <f>0.9*D10</f>
        <v>40415786.343145706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46650589.016683802</v>
      </c>
      <c r="E11" s="53">
        <f t="shared" ref="E11:E16" si="0">0.7*D11</f>
        <v>32655412.311678659</v>
      </c>
      <c r="F11" s="1" t="str">
        <f t="shared" ref="F11:F16" si="1">+IF(D11&lt;E10,"piso suave","ok")</f>
        <v>ok</v>
      </c>
      <c r="G11" s="53">
        <f t="shared" ref="G11:G16" si="2">0.9*D11</f>
        <v>41985530.115015425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49925784.7580873</v>
      </c>
      <c r="E12" s="53">
        <f t="shared" si="0"/>
        <v>34948049.330661111</v>
      </c>
      <c r="F12" s="1" t="str">
        <f t="shared" si="1"/>
        <v>ok</v>
      </c>
      <c r="G12" s="53">
        <f t="shared" si="2"/>
        <v>44933206.282278568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53517500.882429801</v>
      </c>
      <c r="E13" s="53">
        <f t="shared" si="0"/>
        <v>37462250.61770086</v>
      </c>
      <c r="F13" s="1" t="str">
        <f t="shared" si="1"/>
        <v>ok</v>
      </c>
      <c r="G13" s="53">
        <f t="shared" si="2"/>
        <v>48165750.794186823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55772159.226359501</v>
      </c>
      <c r="E14" s="53">
        <f t="shared" si="0"/>
        <v>39040511.458451651</v>
      </c>
      <c r="F14" s="1" t="str">
        <f t="shared" si="1"/>
        <v>ok</v>
      </c>
      <c r="G14" s="53">
        <f t="shared" si="2"/>
        <v>50194943.303723551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59160727.791531898</v>
      </c>
      <c r="E15" s="53">
        <f t="shared" si="0"/>
        <v>41412509.454072326</v>
      </c>
      <c r="F15" s="1" t="str">
        <f t="shared" si="1"/>
        <v>ok</v>
      </c>
      <c r="G15" s="53">
        <f t="shared" si="2"/>
        <v>53244655.012378708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73320410.998100996</v>
      </c>
      <c r="E16" s="53">
        <f t="shared" si="0"/>
        <v>51324287.698670693</v>
      </c>
      <c r="F16" s="1" t="str">
        <f t="shared" si="1"/>
        <v>ok</v>
      </c>
      <c r="G16" s="53">
        <f t="shared" si="2"/>
        <v>65988369.898290895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1082591.5960516599</v>
      </c>
      <c r="E23" s="53">
        <f>0.7*D23</f>
        <v>757814.11723616184</v>
      </c>
      <c r="F23" s="1" t="str">
        <f>+IF(D23&lt;E22,"piso suave","ok")</f>
        <v>ok</v>
      </c>
      <c r="G23" s="53">
        <f>0.9*D23</f>
        <v>974332.43644649396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25192704.643312</v>
      </c>
      <c r="E24" s="53">
        <f>0.7*D24</f>
        <v>17634893.250318397</v>
      </c>
      <c r="F24" s="1" t="str">
        <f>+IF(D24&lt;E23,"piso suave","ok")</f>
        <v>ok</v>
      </c>
      <c r="G24" s="53">
        <f>0.9*D24</f>
        <v>22673434.178980801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37263595.571503498</v>
      </c>
      <c r="E25" s="53">
        <f>0.7*D25</f>
        <v>26084516.900052447</v>
      </c>
      <c r="F25" s="1" t="str">
        <f>+IF(D25&lt;E24,"piso suave","ok")</f>
        <v>ok</v>
      </c>
      <c r="G25" s="53">
        <f>0.9*D25</f>
        <v>33537236.014353149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42431306.481120497</v>
      </c>
      <c r="E26" s="53">
        <f>0.7*D26</f>
        <v>29701914.536784347</v>
      </c>
      <c r="F26" s="1" t="str">
        <f>+IF(D26&lt;E25,"piso suave","ok")</f>
        <v>ok</v>
      </c>
      <c r="G26" s="53">
        <f>0.9*D26</f>
        <v>38188175.833008446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44936170.056005299</v>
      </c>
      <c r="E27" s="53">
        <f>0.7*D27</f>
        <v>31455319.039203707</v>
      </c>
      <c r="F27" s="1" t="str">
        <f>+IF(D27&lt;E26,"piso suave","ok")</f>
        <v>ok</v>
      </c>
      <c r="G27" s="53">
        <f>0.9*D27</f>
        <v>40442553.050404772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46671222.8467777</v>
      </c>
      <c r="E28" s="53">
        <f t="shared" ref="E28:E33" si="4">0.7*D28</f>
        <v>32669855.992744386</v>
      </c>
      <c r="F28" s="1" t="str">
        <f t="shared" ref="F28:F33" si="5">+IF(D28&lt;E27,"piso suave","ok")</f>
        <v>ok</v>
      </c>
      <c r="G28" s="53">
        <f t="shared" ref="G28:G33" si="6">0.9*D28</f>
        <v>42004100.562099934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49937099.776251003</v>
      </c>
      <c r="E29" s="53">
        <f t="shared" si="4"/>
        <v>34955969.843375698</v>
      </c>
      <c r="F29" s="1" t="str">
        <f t="shared" si="5"/>
        <v>ok</v>
      </c>
      <c r="G29" s="53">
        <f t="shared" si="6"/>
        <v>44943389.798625901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53517943.3106241</v>
      </c>
      <c r="E30" s="53">
        <f t="shared" si="4"/>
        <v>37462560.317436866</v>
      </c>
      <c r="F30" s="1" t="str">
        <f t="shared" si="5"/>
        <v>ok</v>
      </c>
      <c r="G30" s="53">
        <f t="shared" si="6"/>
        <v>48166148.979561694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55762665.787365504</v>
      </c>
      <c r="E31" s="53">
        <f t="shared" si="4"/>
        <v>39033866.05115585</v>
      </c>
      <c r="F31" s="1" t="str">
        <f t="shared" si="5"/>
        <v>ok</v>
      </c>
      <c r="G31" s="53">
        <f t="shared" si="6"/>
        <v>50186399.208628953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59143033.117814399</v>
      </c>
      <c r="E32" s="53">
        <f t="shared" si="4"/>
        <v>41400123.182470076</v>
      </c>
      <c r="F32" s="1" t="str">
        <f t="shared" si="5"/>
        <v>ok</v>
      </c>
      <c r="G32" s="53">
        <f t="shared" si="6"/>
        <v>53228729.806032963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73311119.844129503</v>
      </c>
      <c r="E33" s="53">
        <f t="shared" si="4"/>
        <v>51317783.89089065</v>
      </c>
      <c r="F33" s="1" t="str">
        <f t="shared" si="5"/>
        <v>ok</v>
      </c>
      <c r="G33" s="53">
        <f t="shared" si="6"/>
        <v>65980007.859716557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1244669.4152166501</v>
      </c>
      <c r="E40" s="53">
        <f>0.7*D40</f>
        <v>871268.59065165499</v>
      </c>
      <c r="F40" s="1" t="str">
        <f>+IF(D40&lt;E39,"piso suave","ok")</f>
        <v>ok</v>
      </c>
      <c r="G40" s="53">
        <f>0.9*D40</f>
        <v>1120202.473694985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26673908.847934499</v>
      </c>
      <c r="E41" s="53">
        <f>0.7*D41</f>
        <v>18671736.193554148</v>
      </c>
      <c r="F41" s="1" t="str">
        <f>+IF(D41&lt;E40,"piso suave","ok")</f>
        <v>ok</v>
      </c>
      <c r="G41" s="53">
        <f>0.9*D41</f>
        <v>24006517.96314105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37388680.899624802</v>
      </c>
      <c r="E42" s="53">
        <f>0.7*D42</f>
        <v>26172076.629737359</v>
      </c>
      <c r="F42" s="1" t="str">
        <f>+IF(D42&lt;E41,"piso suave","ok")</f>
        <v>ok</v>
      </c>
      <c r="G42" s="53">
        <f>0.9*D42</f>
        <v>33649812.80966232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42193942.822647199</v>
      </c>
      <c r="E43" s="53">
        <f>0.7*D43</f>
        <v>29535759.975853037</v>
      </c>
      <c r="F43" s="1" t="str">
        <f>+IF(D43&lt;E42,"piso suave","ok")</f>
        <v>ok</v>
      </c>
      <c r="G43" s="53">
        <f>0.9*D43</f>
        <v>37974548.540382482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44994162.9388199</v>
      </c>
      <c r="E44" s="53">
        <f>0.7*D44</f>
        <v>31495914.057173926</v>
      </c>
      <c r="F44" s="1" t="str">
        <f>+IF(D44&lt;E43,"piso suave","ok")</f>
        <v>ok</v>
      </c>
      <c r="G44" s="53">
        <f>0.9*D44</f>
        <v>40494746.64493791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47180592.8018969</v>
      </c>
      <c r="E45" s="53">
        <f t="shared" ref="E45:E50" si="8">0.7*D45</f>
        <v>33026414.961327828</v>
      </c>
      <c r="F45" s="1" t="str">
        <f t="shared" ref="F45:F50" si="9">+IF(D45&lt;E44,"piso suave","ok")</f>
        <v>ok</v>
      </c>
      <c r="G45" s="53">
        <f t="shared" ref="G45:G50" si="10">0.9*D45</f>
        <v>42462533.521707214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50043961.193448097</v>
      </c>
      <c r="E46" s="53">
        <f t="shared" si="8"/>
        <v>35030772.835413665</v>
      </c>
      <c r="F46" s="1" t="str">
        <f t="shared" si="9"/>
        <v>ok</v>
      </c>
      <c r="G46" s="53">
        <f t="shared" si="10"/>
        <v>45039565.074103288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53084423.4757846</v>
      </c>
      <c r="E47" s="53">
        <f t="shared" si="8"/>
        <v>37159096.433049217</v>
      </c>
      <c r="F47" s="1" t="str">
        <f t="shared" si="9"/>
        <v>ok</v>
      </c>
      <c r="G47" s="53">
        <f t="shared" si="10"/>
        <v>47775981.128206141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54708498.661769196</v>
      </c>
      <c r="E48" s="53">
        <f t="shared" si="8"/>
        <v>38295949.063238434</v>
      </c>
      <c r="F48" s="1" t="str">
        <f t="shared" si="9"/>
        <v>ok</v>
      </c>
      <c r="G48" s="53">
        <f t="shared" si="10"/>
        <v>49237648.795592278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61930834.155425198</v>
      </c>
      <c r="E49" s="53">
        <f t="shared" si="8"/>
        <v>43351583.908797637</v>
      </c>
      <c r="F49" s="1" t="str">
        <f t="shared" si="9"/>
        <v>ok</v>
      </c>
      <c r="G49" s="53">
        <f t="shared" si="10"/>
        <v>55737750.739882678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70910770.665410593</v>
      </c>
      <c r="E50" s="53">
        <f t="shared" si="8"/>
        <v>49637539.465787411</v>
      </c>
      <c r="F50" s="1" t="str">
        <f t="shared" si="9"/>
        <v>ok</v>
      </c>
      <c r="G50" s="53">
        <f t="shared" si="10"/>
        <v>63819693.598869532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1343567.1669129699</v>
      </c>
      <c r="E57" s="53">
        <f>0.7*D57</f>
        <v>940497.01683907886</v>
      </c>
      <c r="F57" s="1" t="str">
        <f>+IF(D57&lt;E56,"piso suave","ok")</f>
        <v>ok</v>
      </c>
      <c r="G57" s="53">
        <f>0.9*D57</f>
        <v>1209210.4502216729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28781242.791784901</v>
      </c>
      <c r="E58" s="53">
        <f>0.7*D58</f>
        <v>20146869.95424943</v>
      </c>
      <c r="F58" s="1" t="str">
        <f>+IF(D58&lt;E57,"piso suave","ok")</f>
        <v>ok</v>
      </c>
      <c r="G58" s="53">
        <f>0.9*D58</f>
        <v>25903118.512606412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40800860.4451188</v>
      </c>
      <c r="E59" s="53">
        <f>0.7*D59</f>
        <v>28560602.311583158</v>
      </c>
      <c r="F59" s="1" t="str">
        <f>+IF(D59&lt;E58,"piso suave","ok")</f>
        <v>ok</v>
      </c>
      <c r="G59" s="53">
        <f>0.9*D59</f>
        <v>36720774.400606923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43348664.938051</v>
      </c>
      <c r="E60" s="53">
        <f>0.7*D60</f>
        <v>30344065.456635699</v>
      </c>
      <c r="F60" s="1" t="str">
        <f>+IF(D60&lt;E59,"piso suave","ok")</f>
        <v>ok</v>
      </c>
      <c r="G60" s="53">
        <f>0.9*D60</f>
        <v>39013798.444245905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44596900.708387703</v>
      </c>
      <c r="E61" s="53">
        <f>0.7*D61</f>
        <v>31217830.495871391</v>
      </c>
      <c r="F61" s="1" t="str">
        <f>+IF(D61&lt;E60,"piso suave","ok")</f>
        <v>ok</v>
      </c>
      <c r="G61" s="53">
        <f>0.9*D61</f>
        <v>40137210.637548931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45818580.836949997</v>
      </c>
      <c r="E62" s="53">
        <f t="shared" ref="E62:E67" si="12">0.7*D62</f>
        <v>32073006.585864995</v>
      </c>
      <c r="F62" s="1" t="str">
        <f t="shared" ref="F62:F67" si="13">+IF(D62&lt;E61,"piso suave","ok")</f>
        <v>ok</v>
      </c>
      <c r="G62" s="53">
        <f t="shared" ref="G62:G67" si="14">0.9*D62</f>
        <v>41236722.753254995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48661450.423650503</v>
      </c>
      <c r="E63" s="53">
        <f t="shared" si="12"/>
        <v>34063015.296555348</v>
      </c>
      <c r="F63" s="1" t="str">
        <f t="shared" si="13"/>
        <v>ok</v>
      </c>
      <c r="G63" s="53">
        <f t="shared" si="14"/>
        <v>43795305.381285451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51688597.407102004</v>
      </c>
      <c r="E64" s="53">
        <f t="shared" si="12"/>
        <v>36182018.1849714</v>
      </c>
      <c r="F64" s="1" t="str">
        <f t="shared" si="13"/>
        <v>ok</v>
      </c>
      <c r="G64" s="53">
        <f t="shared" si="14"/>
        <v>46519737.666391805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53261635.322203502</v>
      </c>
      <c r="E65" s="53">
        <f t="shared" si="12"/>
        <v>37283144.725542448</v>
      </c>
      <c r="F65" s="1" t="str">
        <f t="shared" si="13"/>
        <v>ok</v>
      </c>
      <c r="G65" s="53">
        <f t="shared" si="14"/>
        <v>47935471.789983153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59556802.4250708</v>
      </c>
      <c r="E66" s="53">
        <f t="shared" si="12"/>
        <v>41689761.697549559</v>
      </c>
      <c r="F66" s="1" t="str">
        <f t="shared" si="13"/>
        <v>ok</v>
      </c>
      <c r="G66" s="53">
        <f t="shared" si="14"/>
        <v>53601122.182563722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69427754.563244194</v>
      </c>
      <c r="E67" s="53">
        <f t="shared" si="12"/>
        <v>48599428.194270931</v>
      </c>
      <c r="F67" s="1" t="str">
        <f t="shared" si="13"/>
        <v>ok</v>
      </c>
      <c r="G67" s="53">
        <f t="shared" si="14"/>
        <v>62484979.106919773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848.73018227297905</v>
      </c>
      <c r="E7" s="171">
        <f>+'Centers of Mass and Rigidity'!E5</f>
        <v>848.73018227297905</v>
      </c>
      <c r="F7" s="68">
        <f>+E7*9.807</f>
        <v>8323.4968975511056</v>
      </c>
      <c r="G7">
        <f>1.5*F7</f>
        <v>12485.245346326657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16605.490581036898</v>
      </c>
      <c r="E8" s="171">
        <f>+'Centers of Mass and Rigidity'!E6</f>
        <v>16605.490581036898</v>
      </c>
      <c r="F8" s="68">
        <f t="shared" ref="F8:F17" si="0">+E8*9.807</f>
        <v>162850.04612822886</v>
      </c>
      <c r="G8" s="68">
        <f t="shared" ref="G8:G17" si="1">1.5*F8</f>
        <v>244275.06919234328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21360.320714287001</v>
      </c>
      <c r="E9" s="171">
        <f>+'Centers of Mass and Rigidity'!E7</f>
        <v>21360.320714287001</v>
      </c>
      <c r="F9" s="68">
        <f t="shared" si="0"/>
        <v>209480.66524501264</v>
      </c>
      <c r="G9" s="68">
        <f t="shared" si="1"/>
        <v>314220.99786751898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21360.320714287001</v>
      </c>
      <c r="E10" s="171">
        <f>+'Centers of Mass and Rigidity'!E8</f>
        <v>21360.320714287001</v>
      </c>
      <c r="F10" s="68">
        <f t="shared" si="0"/>
        <v>209480.66524501264</v>
      </c>
      <c r="G10" s="68">
        <f t="shared" si="1"/>
        <v>314220.99786751898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21360.320714287001</v>
      </c>
      <c r="E11" s="171">
        <f>+'Centers of Mass and Rigidity'!E9</f>
        <v>21360.320714287001</v>
      </c>
      <c r="F11" s="68">
        <f t="shared" si="0"/>
        <v>209480.66524501264</v>
      </c>
      <c r="G11" s="68">
        <f t="shared" si="1"/>
        <v>314220.99786751898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21360.320714287001</v>
      </c>
      <c r="E12" s="171">
        <f>+'Centers of Mass and Rigidity'!E10</f>
        <v>21360.320714287001</v>
      </c>
      <c r="F12" s="158">
        <f t="shared" si="0"/>
        <v>209480.66524501264</v>
      </c>
      <c r="G12" s="158">
        <f t="shared" si="1"/>
        <v>314220.99786751898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21360.320714287001</v>
      </c>
      <c r="E13" s="171">
        <f>+'Centers of Mass and Rigidity'!E11</f>
        <v>21360.320714287001</v>
      </c>
      <c r="F13" s="158">
        <f t="shared" si="0"/>
        <v>209480.66524501264</v>
      </c>
      <c r="G13" s="158">
        <f t="shared" si="1"/>
        <v>314220.99786751898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22770.710574073601</v>
      </c>
      <c r="E14" s="171">
        <f>+'Centers of Mass and Rigidity'!E12</f>
        <v>22770.710574073601</v>
      </c>
      <c r="F14" s="158">
        <f t="shared" si="0"/>
        <v>223312.35859993982</v>
      </c>
      <c r="G14" s="158">
        <f t="shared" si="1"/>
        <v>334968.53789990972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22770.710574073601</v>
      </c>
      <c r="E15" s="171">
        <f>+'Centers of Mass and Rigidity'!E13</f>
        <v>22770.710574073601</v>
      </c>
      <c r="F15" s="158">
        <f t="shared" si="0"/>
        <v>223312.35859993982</v>
      </c>
      <c r="G15" s="158">
        <f t="shared" si="1"/>
        <v>334968.53789990972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22770.710574073601</v>
      </c>
      <c r="E16" s="171">
        <f>+'Centers of Mass and Rigidity'!E14</f>
        <v>22770.710574073601</v>
      </c>
      <c r="F16" s="158">
        <f t="shared" si="0"/>
        <v>223312.35859993982</v>
      </c>
      <c r="G16" s="158">
        <f t="shared" si="1"/>
        <v>334968.53789990972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23522.664317860799</v>
      </c>
      <c r="E17" s="171">
        <f>+'Centers of Mass and Rigidity'!E15</f>
        <v>23522.664317860799</v>
      </c>
      <c r="F17" s="158">
        <f t="shared" si="0"/>
        <v>230686.76896526085</v>
      </c>
      <c r="G17" s="158">
        <f t="shared" si="1"/>
        <v>346030.15344789129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2119200.7140159234</v>
      </c>
      <c r="G18">
        <f>1.5*F18</f>
        <v>3178801.0710238852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18781.199999996399</v>
      </c>
      <c r="F5" s="172">
        <v>6.5433027884864697E-9</v>
      </c>
      <c r="G5" s="172">
        <v>-1.28298438539787E-9</v>
      </c>
      <c r="H5" s="172">
        <v>-1.18098228085728E-7</v>
      </c>
      <c r="I5" s="172">
        <v>266691.95999995602</v>
      </c>
      <c r="J5" s="172">
        <v>-392881.04999990598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822040.38014766399</v>
      </c>
      <c r="F6" s="172">
        <v>-3.75150244735778E-6</v>
      </c>
      <c r="G6" s="172">
        <v>-4.11756786888873E-7</v>
      </c>
      <c r="H6" s="172">
        <v>5.0099930376745801E-5</v>
      </c>
      <c r="I6" s="172">
        <v>12713172.230987201</v>
      </c>
      <c r="J6" s="172">
        <v>-9782024.8284358103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1611763.5602961399</v>
      </c>
      <c r="F7" s="172">
        <v>-8.6908302705523999E-6</v>
      </c>
      <c r="G7" s="172">
        <v>-2.5411281967535599E-7</v>
      </c>
      <c r="H7" s="172">
        <v>1.3034380845056099E-4</v>
      </c>
      <c r="I7" s="172">
        <v>24949353.101985499</v>
      </c>
      <c r="J7" s="172">
        <v>-19025923.2319079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2401486.7404435501</v>
      </c>
      <c r="F8" s="172">
        <v>-1.1379754369045299E-5</v>
      </c>
      <c r="G8" s="172">
        <v>-1.7478726022091001E-7</v>
      </c>
      <c r="H8" s="172">
        <v>1.7278691393585199E-4</v>
      </c>
      <c r="I8" s="172">
        <v>37185533.972970299</v>
      </c>
      <c r="J8" s="172">
        <v>-28269821.635365501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3191209.9205915602</v>
      </c>
      <c r="F9" s="172">
        <v>-1.7784899000616901E-5</v>
      </c>
      <c r="G9" s="172">
        <v>-7.3613477979961304E-8</v>
      </c>
      <c r="H9" s="172">
        <v>2.7466115625429698E-4</v>
      </c>
      <c r="I9" s="172">
        <v>49421714.843961202</v>
      </c>
      <c r="J9" s="172">
        <v>-37513720.038858399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3980933.10074068</v>
      </c>
      <c r="F10" s="172">
        <v>-2.0485510106027501E-5</v>
      </c>
      <c r="G10" s="172">
        <v>-1.45138528750977E-7</v>
      </c>
      <c r="H10" s="172">
        <v>3.1486568650507301E-4</v>
      </c>
      <c r="I10" s="172">
        <v>61657895.714966699</v>
      </c>
      <c r="J10" s="172">
        <v>-46757618.442386001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4770656.2808885695</v>
      </c>
      <c r="F11" s="172">
        <v>-2.2350653466673999E-5</v>
      </c>
      <c r="G11" s="172">
        <v>3.9731389733788098E-8</v>
      </c>
      <c r="H11" s="172">
        <v>3.4779507495841201E-4</v>
      </c>
      <c r="I11" s="172">
        <v>73894076.585955396</v>
      </c>
      <c r="J11" s="172">
        <v>-56001516.845893897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5574210.6610371098</v>
      </c>
      <c r="F12" s="172">
        <v>-2.3517389593052899E-5</v>
      </c>
      <c r="G12" s="172">
        <v>3.9901806303532802E-9</v>
      </c>
      <c r="H12" s="172">
        <v>3.6572240878740602E-4</v>
      </c>
      <c r="I12" s="172">
        <v>86344002.236953497</v>
      </c>
      <c r="J12" s="172">
        <v>-65401244.8494206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6377765.04118458</v>
      </c>
      <c r="F13" s="172">
        <v>-2.4263217142106401E-5</v>
      </c>
      <c r="G13" s="172">
        <v>-7.7889353633509004E-8</v>
      </c>
      <c r="H13" s="172">
        <v>3.7507196520891701E-4</v>
      </c>
      <c r="I13" s="172">
        <v>98793927.887938201</v>
      </c>
      <c r="J13" s="172">
        <v>-74800972.852925897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7181319.4213323696</v>
      </c>
      <c r="F14" s="172">
        <v>-2.472274337606E-5</v>
      </c>
      <c r="G14" s="172">
        <v>-1.42337171382678E-7</v>
      </c>
      <c r="H14" s="172">
        <v>3.8005465466994798E-4</v>
      </c>
      <c r="I14" s="172">
        <v>111243853.538929</v>
      </c>
      <c r="J14" s="172">
        <v>-84200700.856439799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8214980.9656904396</v>
      </c>
      <c r="F15" s="172">
        <v>-2.4746319780888401E-5</v>
      </c>
      <c r="G15" s="172">
        <v>-2.2552490008820301E-7</v>
      </c>
      <c r="H15" s="172">
        <v>3.7896372896284398E-4</v>
      </c>
      <c r="I15" s="172">
        <v>127266767.306651</v>
      </c>
      <c r="J15" s="172">
        <v>-96198251.7289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4" t="s">
        <v>73</v>
      </c>
      <c r="F19" s="204"/>
      <c r="G19" s="204"/>
      <c r="H19" s="204"/>
      <c r="I19" s="204"/>
      <c r="J19" s="204"/>
      <c r="K19" s="204"/>
      <c r="L19" s="204"/>
      <c r="M19" s="204"/>
      <c r="N19" s="204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2.8181769779159899E-2</v>
      </c>
      <c r="F22" s="83">
        <f t="shared" ref="F22:F32" si="0">+E5</f>
        <v>18781.199999996399</v>
      </c>
      <c r="G22" s="83">
        <v>0</v>
      </c>
      <c r="H22" s="83">
        <f t="shared" ref="H22:H32" si="1">+E22</f>
        <v>2.8181769779159899E-2</v>
      </c>
      <c r="I22" s="83">
        <f t="shared" ref="I22:I31" si="2">+H22-H23</f>
        <v>-2.0710813220724024E-3</v>
      </c>
      <c r="J22" s="83">
        <f>IF(+'Sismo UBC-94 y Dinamico'!O15=0,'Sismo UBC-94 y Dinamico'!M15,'Sismo UBC-94 y Dinamico'!O15)</f>
        <v>1197.8756655324739</v>
      </c>
      <c r="K22" s="83">
        <f t="shared" ref="K22:K32" si="3">+C22</f>
        <v>38.5</v>
      </c>
      <c r="L22" s="83">
        <f>+G22*I22</f>
        <v>0</v>
      </c>
      <c r="M22" s="83">
        <f>+J22*K22</f>
        <v>46118.213123000249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3.0252851101232301E-2</v>
      </c>
      <c r="F23" s="165">
        <f t="shared" si="0"/>
        <v>822040.38014766399</v>
      </c>
      <c r="G23" s="83">
        <f>+F23</f>
        <v>822040.38014766399</v>
      </c>
      <c r="H23" s="83">
        <f t="shared" si="1"/>
        <v>3.0252851101232301E-2</v>
      </c>
      <c r="I23" s="83">
        <f t="shared" si="2"/>
        <v>1.2628908415273019E-3</v>
      </c>
      <c r="J23" s="172">
        <f>IF(+'Sismo UBC-94 y Dinamico'!O16=0,'Sismo UBC-94 y Dinamico'!M16,'Sismo UBC-94 y Dinamico'!O16)</f>
        <v>30994.810253733885</v>
      </c>
      <c r="K23" s="172">
        <f t="shared" si="3"/>
        <v>35.5</v>
      </c>
      <c r="L23" s="83">
        <f t="shared" ref="L23:L32" si="4">+G23*I23</f>
        <v>1038.1472674541064</v>
      </c>
      <c r="M23" s="83">
        <f t="shared" ref="M23:M32" si="5">+J23*K23</f>
        <v>1100315.764007553</v>
      </c>
      <c r="N23" s="83">
        <f t="shared" ref="N23:N32" si="6">+L23/M23</f>
        <v>9.4349940391018534E-4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2.8989960259704999E-2</v>
      </c>
      <c r="F24" s="165">
        <f t="shared" si="0"/>
        <v>1611763.5602961399</v>
      </c>
      <c r="G24" s="83">
        <f>+F24-F23</f>
        <v>789723.18014847592</v>
      </c>
      <c r="H24" s="83">
        <f t="shared" si="1"/>
        <v>2.8989960259704999E-2</v>
      </c>
      <c r="I24" s="83">
        <f t="shared" si="2"/>
        <v>1.926650084606199E-3</v>
      </c>
      <c r="J24" s="172">
        <f>IF(+'Sismo UBC-94 y Dinamico'!O17=0,'Sismo UBC-94 y Dinamico'!M17,'Sismo UBC-94 y Dinamico'!O17)</f>
        <v>34644.451137495656</v>
      </c>
      <c r="K24" s="172">
        <f t="shared" si="3"/>
        <v>32</v>
      </c>
      <c r="L24" s="83">
        <f t="shared" si="4"/>
        <v>1521.5202318485376</v>
      </c>
      <c r="M24" s="83">
        <f t="shared" si="5"/>
        <v>1108622.436399861</v>
      </c>
      <c r="N24" s="83">
        <f t="shared" si="6"/>
        <v>1.3724422146727613E-3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2.70633101750988E-2</v>
      </c>
      <c r="F25" s="165">
        <f t="shared" si="0"/>
        <v>2401486.7404435501</v>
      </c>
      <c r="G25" s="83">
        <f>+F25-F24</f>
        <v>789723.18014741014</v>
      </c>
      <c r="H25" s="83">
        <f t="shared" si="1"/>
        <v>2.70633101750988E-2</v>
      </c>
      <c r="I25" s="83">
        <f t="shared" si="2"/>
        <v>2.5348861026248011E-3</v>
      </c>
      <c r="J25" s="172">
        <f>IF(+'Sismo UBC-94 y Dinamico'!O18=0,'Sismo UBC-94 y Dinamico'!M18,'Sismo UBC-94 y Dinamico'!O18)</f>
        <v>28784.699270648791</v>
      </c>
      <c r="K25" s="172">
        <f t="shared" si="3"/>
        <v>28.5</v>
      </c>
      <c r="L25" s="83">
        <f t="shared" si="4"/>
        <v>2001.8583142763323</v>
      </c>
      <c r="M25" s="83">
        <f t="shared" si="5"/>
        <v>820363.92921349057</v>
      </c>
      <c r="N25" s="83">
        <f t="shared" si="6"/>
        <v>2.440207623701323E-3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2.4528424072473999E-2</v>
      </c>
      <c r="F26" s="165">
        <f t="shared" si="0"/>
        <v>3191209.9205915602</v>
      </c>
      <c r="G26" s="83">
        <f>+F26-F25</f>
        <v>789723.18014801014</v>
      </c>
      <c r="H26" s="83">
        <f t="shared" si="1"/>
        <v>2.4528424072473999E-2</v>
      </c>
      <c r="I26" s="83">
        <f t="shared" si="2"/>
        <v>3.0423124292057006E-3</v>
      </c>
      <c r="J26" s="172">
        <f>IF(+'Sismo UBC-94 y Dinamico'!O19=0,'Sismo UBC-94 y Dinamico'!M19,'Sismo UBC-94 y Dinamico'!O19)</f>
        <v>24013.51732698645</v>
      </c>
      <c r="K26" s="172">
        <f t="shared" si="3"/>
        <v>25</v>
      </c>
      <c r="L26" s="83">
        <f t="shared" si="4"/>
        <v>2402.584646596144</v>
      </c>
      <c r="M26" s="83">
        <f t="shared" si="5"/>
        <v>600337.93317466124</v>
      </c>
      <c r="N26" s="83">
        <f t="shared" si="6"/>
        <v>4.002053699807006E-3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2.1486111643268298E-2</v>
      </c>
      <c r="F27" s="165">
        <f t="shared" si="0"/>
        <v>3980933.10074068</v>
      </c>
      <c r="G27" s="165">
        <f t="shared" ref="G27:G32" si="8">+F27-F26</f>
        <v>789723.18014911981</v>
      </c>
      <c r="H27" s="165">
        <f t="shared" si="1"/>
        <v>2.1486111643268298E-2</v>
      </c>
      <c r="I27" s="165">
        <f t="shared" si="2"/>
        <v>3.4342870649172984E-3</v>
      </c>
      <c r="J27" s="172">
        <f>IF(+'Sismo UBC-94 y Dinamico'!O20=0,'Sismo UBC-94 y Dinamico'!M20,'Sismo UBC-94 y Dinamico'!O20)</f>
        <v>20362.182008484495</v>
      </c>
      <c r="K27" s="172">
        <f t="shared" si="3"/>
        <v>21.5</v>
      </c>
      <c r="L27" s="165">
        <f t="shared" si="4"/>
        <v>2712.1361024514754</v>
      </c>
      <c r="M27" s="165">
        <f t="shared" si="5"/>
        <v>437786.91318241664</v>
      </c>
      <c r="N27" s="165">
        <f t="shared" si="6"/>
        <v>6.1951054743415437E-3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1.8051824578351E-2</v>
      </c>
      <c r="F28" s="165">
        <f t="shared" si="0"/>
        <v>4770656.2808885695</v>
      </c>
      <c r="G28" s="165">
        <f t="shared" si="8"/>
        <v>789723.18014788954</v>
      </c>
      <c r="H28" s="165">
        <f t="shared" si="1"/>
        <v>1.8051824578351E-2</v>
      </c>
      <c r="I28" s="165">
        <f t="shared" si="2"/>
        <v>3.5939636127803997E-3</v>
      </c>
      <c r="J28" s="172">
        <f>IF(+'Sismo UBC-94 y Dinamico'!O21=0,'Sismo UBC-94 y Dinamico'!M21,'Sismo UBC-94 y Dinamico'!O21)</f>
        <v>17551.428853129073</v>
      </c>
      <c r="K28" s="172">
        <f t="shared" si="3"/>
        <v>18</v>
      </c>
      <c r="L28" s="165">
        <f t="shared" si="4"/>
        <v>2838.2363736207353</v>
      </c>
      <c r="M28" s="165">
        <f t="shared" si="5"/>
        <v>315925.7193563233</v>
      </c>
      <c r="N28" s="165">
        <f t="shared" si="6"/>
        <v>8.9838724729453638E-3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1.44578609655706E-2</v>
      </c>
      <c r="F29" s="165">
        <f t="shared" si="0"/>
        <v>5574210.6610371098</v>
      </c>
      <c r="G29" s="165">
        <f t="shared" si="8"/>
        <v>803554.38014854025</v>
      </c>
      <c r="H29" s="165">
        <f t="shared" si="1"/>
        <v>1.44578609655706E-2</v>
      </c>
      <c r="I29" s="165">
        <f t="shared" si="2"/>
        <v>3.6674288136582002E-3</v>
      </c>
      <c r="J29" s="172">
        <f>IF(+'Sismo UBC-94 y Dinamico'!O22=0,'Sismo UBC-94 y Dinamico'!M22,'Sismo UBC-94 y Dinamico'!O22)</f>
        <v>15693.188397286627</v>
      </c>
      <c r="K29" s="172">
        <f t="shared" si="3"/>
        <v>14.5</v>
      </c>
      <c r="L29" s="165">
        <f t="shared" si="4"/>
        <v>2946.9784870980116</v>
      </c>
      <c r="M29" s="165">
        <f t="shared" si="5"/>
        <v>227551.23176065608</v>
      </c>
      <c r="N29" s="165">
        <f t="shared" si="6"/>
        <v>1.2950835134119227E-2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1.07904321519124E-2</v>
      </c>
      <c r="F30" s="165">
        <f t="shared" si="0"/>
        <v>6377765.04118458</v>
      </c>
      <c r="G30" s="165">
        <f t="shared" si="8"/>
        <v>803554.38014747016</v>
      </c>
      <c r="H30" s="165">
        <f t="shared" si="1"/>
        <v>1.07904321519124E-2</v>
      </c>
      <c r="I30" s="165">
        <f t="shared" si="2"/>
        <v>3.7992322709280504E-3</v>
      </c>
      <c r="J30" s="172">
        <f>IF(+'Sismo UBC-94 y Dinamico'!O23=0,'Sismo UBC-94 y Dinamico'!M23,'Sismo UBC-94 y Dinamico'!O23)</f>
        <v>13484.151760121602</v>
      </c>
      <c r="K30" s="172">
        <f t="shared" si="3"/>
        <v>11</v>
      </c>
      <c r="L30" s="165">
        <f t="shared" si="4"/>
        <v>3052.8897325018552</v>
      </c>
      <c r="M30" s="165">
        <f t="shared" si="5"/>
        <v>148325.66936133761</v>
      </c>
      <c r="N30" s="165">
        <f t="shared" si="6"/>
        <v>2.0582342528080427E-2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6.9911998809843497E-3</v>
      </c>
      <c r="F31" s="165">
        <f t="shared" si="0"/>
        <v>7181319.4213323696</v>
      </c>
      <c r="G31" s="165">
        <f t="shared" si="8"/>
        <v>803554.3801477896</v>
      </c>
      <c r="H31" s="165">
        <f t="shared" si="1"/>
        <v>6.9911998809843497E-3</v>
      </c>
      <c r="I31" s="165">
        <f t="shared" si="2"/>
        <v>3.7967798801609698E-3</v>
      </c>
      <c r="J31" s="172">
        <f>IF(+'Sismo UBC-94 y Dinamico'!O24=0,'Sismo UBC-94 y Dinamico'!M24,'Sismo UBC-94 y Dinamico'!O24)</f>
        <v>10435.313157710851</v>
      </c>
      <c r="K31" s="172">
        <f t="shared" si="3"/>
        <v>7.5</v>
      </c>
      <c r="L31" s="165">
        <f t="shared" si="4"/>
        <v>3050.9191031603468</v>
      </c>
      <c r="M31" s="165">
        <f t="shared" si="5"/>
        <v>78264.848682831376</v>
      </c>
      <c r="N31" s="165">
        <f t="shared" si="6"/>
        <v>3.8981984307210622E-2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3.1944200008233799E-3</v>
      </c>
      <c r="F32" s="165">
        <f t="shared" si="0"/>
        <v>8214980.9656904396</v>
      </c>
      <c r="G32" s="165">
        <f t="shared" si="8"/>
        <v>1033661.54435807</v>
      </c>
      <c r="H32" s="165">
        <f t="shared" si="1"/>
        <v>3.1944200008233799E-3</v>
      </c>
      <c r="I32" s="165">
        <f>+H32-I33</f>
        <v>3.1944200008233799E-3</v>
      </c>
      <c r="J32" s="172">
        <f>IF(+'Sismo UBC-94 y Dinamico'!O25=0,'Sismo UBC-94 y Dinamico'!M25,'Sismo UBC-94 y Dinamico'!O25)</f>
        <v>5840.982709933729</v>
      </c>
      <c r="K32" s="172">
        <f t="shared" si="3"/>
        <v>4</v>
      </c>
      <c r="L32" s="165">
        <f t="shared" si="4"/>
        <v>3301.949111379402</v>
      </c>
      <c r="M32" s="165">
        <f t="shared" si="5"/>
        <v>23363.930839734916</v>
      </c>
      <c r="N32" s="165">
        <f t="shared" si="6"/>
        <v>0.14132677989971595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4" t="s">
        <v>73</v>
      </c>
      <c r="F37" s="204"/>
      <c r="G37" s="204"/>
      <c r="H37" s="204"/>
      <c r="I37" s="204"/>
      <c r="J37" s="204"/>
      <c r="K37" s="204"/>
      <c r="L37" s="204"/>
      <c r="M37" s="204"/>
      <c r="N37" s="204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2.84931662274602E-2</v>
      </c>
      <c r="F40" s="165">
        <f t="shared" ref="F40:F50" si="9">+E5</f>
        <v>18781.199999996399</v>
      </c>
      <c r="G40" s="165">
        <v>0</v>
      </c>
      <c r="H40" s="165">
        <f t="shared" ref="H40:H50" si="10">+E40</f>
        <v>2.84931662274602E-2</v>
      </c>
      <c r="I40" s="165">
        <f t="shared" ref="I40:I49" si="11">+H40-H41</f>
        <v>-1.5901891433100987E-3</v>
      </c>
      <c r="J40" s="165">
        <f>+J22</f>
        <v>1197.8756655324739</v>
      </c>
      <c r="K40" s="165">
        <f t="shared" ref="K40:K50" si="12">+C40</f>
        <v>38.5</v>
      </c>
      <c r="L40" s="165">
        <f>+G40*I40</f>
        <v>0</v>
      </c>
      <c r="M40" s="165">
        <f>+J40*K40</f>
        <v>46118.213123000249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3.0083355370770299E-2</v>
      </c>
      <c r="F41" s="165">
        <f t="shared" si="9"/>
        <v>822040.38014766399</v>
      </c>
      <c r="G41" s="165">
        <f>+F41</f>
        <v>822040.38014766399</v>
      </c>
      <c r="H41" s="165">
        <f t="shared" si="10"/>
        <v>3.0083355370770299E-2</v>
      </c>
      <c r="I41" s="165">
        <f t="shared" si="11"/>
        <v>1.2621226262496989E-3</v>
      </c>
      <c r="J41" s="172">
        <f t="shared" ref="J41:J50" si="13">+J23</f>
        <v>30994.810253733885</v>
      </c>
      <c r="K41" s="172">
        <f t="shared" si="12"/>
        <v>35.5</v>
      </c>
      <c r="L41" s="165">
        <f t="shared" ref="L41:L50" si="14">+G41*I41</f>
        <v>1037.5157634752704</v>
      </c>
      <c r="M41" s="165">
        <f t="shared" ref="M41:M50" si="15">+J41*K41</f>
        <v>1100315.764007553</v>
      </c>
      <c r="N41" s="165">
        <f t="shared" ref="N41:N50" si="16">+L41/M41</f>
        <v>9.4292547413521248E-4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2.88212327445206E-2</v>
      </c>
      <c r="F42" s="165">
        <f t="shared" si="9"/>
        <v>1611763.5602961399</v>
      </c>
      <c r="G42" s="165">
        <f>+F42-F41</f>
        <v>789723.18014847592</v>
      </c>
      <c r="H42" s="165">
        <f t="shared" si="10"/>
        <v>2.88212327445206E-2</v>
      </c>
      <c r="I42" s="165">
        <f t="shared" si="11"/>
        <v>1.9209343479516007E-3</v>
      </c>
      <c r="J42" s="172">
        <f t="shared" si="13"/>
        <v>34644.451137495656</v>
      </c>
      <c r="K42" s="172">
        <f t="shared" si="12"/>
        <v>32</v>
      </c>
      <c r="L42" s="165">
        <f t="shared" si="14"/>
        <v>1517.0063821207771</v>
      </c>
      <c r="M42" s="165">
        <f t="shared" si="15"/>
        <v>1108622.436399861</v>
      </c>
      <c r="N42" s="165">
        <f t="shared" si="16"/>
        <v>1.3683706303537402E-3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2.6900298396568999E-2</v>
      </c>
      <c r="F43" s="165">
        <f t="shared" si="9"/>
        <v>2401486.7404435501</v>
      </c>
      <c r="G43" s="165">
        <f t="shared" ref="G43:G50" si="18">+F43-F42</f>
        <v>789723.18014741014</v>
      </c>
      <c r="H43" s="165">
        <f t="shared" si="10"/>
        <v>2.6900298396568999E-2</v>
      </c>
      <c r="I43" s="165">
        <f t="shared" si="11"/>
        <v>2.5222712416698989E-3</v>
      </c>
      <c r="J43" s="172">
        <f t="shared" si="13"/>
        <v>28784.699270648791</v>
      </c>
      <c r="K43" s="172">
        <f t="shared" si="12"/>
        <v>28.5</v>
      </c>
      <c r="L43" s="165">
        <f t="shared" si="14"/>
        <v>1991.8960661659094</v>
      </c>
      <c r="M43" s="165">
        <f t="shared" si="15"/>
        <v>820363.92921349057</v>
      </c>
      <c r="N43" s="165">
        <f t="shared" si="16"/>
        <v>2.4280639302066884E-3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2.4378027154899101E-2</v>
      </c>
      <c r="F44" s="165">
        <f t="shared" si="9"/>
        <v>3191209.9205915602</v>
      </c>
      <c r="G44" s="165">
        <f t="shared" si="18"/>
        <v>789723.18014801014</v>
      </c>
      <c r="H44" s="165">
        <f t="shared" si="10"/>
        <v>2.4378027154899101E-2</v>
      </c>
      <c r="I44" s="165">
        <f t="shared" si="11"/>
        <v>3.0225357714150011E-3</v>
      </c>
      <c r="J44" s="172">
        <f t="shared" si="13"/>
        <v>24013.51732698645</v>
      </c>
      <c r="K44" s="172">
        <f t="shared" si="12"/>
        <v>25</v>
      </c>
      <c r="L44" s="165">
        <f t="shared" si="14"/>
        <v>2386.9665615129738</v>
      </c>
      <c r="M44" s="165">
        <f t="shared" si="15"/>
        <v>600337.93317466124</v>
      </c>
      <c r="N44" s="165">
        <f t="shared" si="16"/>
        <v>3.9760382104965441E-3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2.1355491383484099E-2</v>
      </c>
      <c r="F45" s="165">
        <f t="shared" si="9"/>
        <v>3980933.10074068</v>
      </c>
      <c r="G45" s="165">
        <f t="shared" si="18"/>
        <v>789723.18014911981</v>
      </c>
      <c r="H45" s="165">
        <f t="shared" si="10"/>
        <v>2.1355491383484099E-2</v>
      </c>
      <c r="I45" s="165">
        <f t="shared" si="11"/>
        <v>3.4085534438462982E-3</v>
      </c>
      <c r="J45" s="172">
        <f t="shared" si="13"/>
        <v>20362.182008484495</v>
      </c>
      <c r="K45" s="172">
        <f t="shared" si="12"/>
        <v>21.5</v>
      </c>
      <c r="L45" s="165">
        <f t="shared" si="14"/>
        <v>2691.8136653825327</v>
      </c>
      <c r="M45" s="165">
        <f t="shared" si="15"/>
        <v>437786.91318241664</v>
      </c>
      <c r="N45" s="165">
        <f t="shared" si="16"/>
        <v>6.1486846324730364E-3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1.7946937939637801E-2</v>
      </c>
      <c r="F46" s="165">
        <f t="shared" si="9"/>
        <v>4770656.2808885695</v>
      </c>
      <c r="G46" s="165">
        <f t="shared" si="18"/>
        <v>789723.18014788954</v>
      </c>
      <c r="H46" s="165">
        <f t="shared" si="10"/>
        <v>1.7946937939637801E-2</v>
      </c>
      <c r="I46" s="165">
        <f t="shared" si="11"/>
        <v>3.5691509466946013E-3</v>
      </c>
      <c r="J46" s="172">
        <f t="shared" si="13"/>
        <v>17551.428853129073</v>
      </c>
      <c r="K46" s="172">
        <f t="shared" si="12"/>
        <v>18</v>
      </c>
      <c r="L46" s="165">
        <f t="shared" si="14"/>
        <v>2818.641236051511</v>
      </c>
      <c r="M46" s="165">
        <f t="shared" si="15"/>
        <v>315925.7193563233</v>
      </c>
      <c r="N46" s="165">
        <f t="shared" si="16"/>
        <v>8.9218479641173139E-3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1.43777869929432E-2</v>
      </c>
      <c r="F47" s="165">
        <f t="shared" si="9"/>
        <v>5574210.6610371098</v>
      </c>
      <c r="G47" s="165">
        <f t="shared" si="18"/>
        <v>803554.38014854025</v>
      </c>
      <c r="H47" s="165">
        <f t="shared" si="10"/>
        <v>1.43777869929432E-2</v>
      </c>
      <c r="I47" s="165">
        <f t="shared" si="11"/>
        <v>3.6494306105677998E-3</v>
      </c>
      <c r="J47" s="172">
        <f t="shared" si="13"/>
        <v>15693.188397286627</v>
      </c>
      <c r="K47" s="172">
        <f t="shared" si="12"/>
        <v>14.5</v>
      </c>
      <c r="L47" s="165">
        <f t="shared" si="14"/>
        <v>2932.515952169917</v>
      </c>
      <c r="M47" s="165">
        <f t="shared" si="15"/>
        <v>227551.23176065608</v>
      </c>
      <c r="N47" s="165">
        <f t="shared" si="16"/>
        <v>1.288727786476853E-2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1.07283563823754E-2</v>
      </c>
      <c r="F48" s="165">
        <f t="shared" si="9"/>
        <v>6377765.04118458</v>
      </c>
      <c r="G48" s="165">
        <f t="shared" si="18"/>
        <v>803554.38014747016</v>
      </c>
      <c r="H48" s="165">
        <f t="shared" si="10"/>
        <v>1.07283563823754E-2</v>
      </c>
      <c r="I48" s="165">
        <f t="shared" si="11"/>
        <v>3.78149963023837E-3</v>
      </c>
      <c r="J48" s="172">
        <f t="shared" si="13"/>
        <v>13484.151760121602</v>
      </c>
      <c r="K48" s="172">
        <f t="shared" si="12"/>
        <v>11</v>
      </c>
      <c r="L48" s="165">
        <f t="shared" si="14"/>
        <v>3038.6405914040811</v>
      </c>
      <c r="M48" s="165">
        <f t="shared" si="15"/>
        <v>148325.66936133761</v>
      </c>
      <c r="N48" s="165">
        <f t="shared" si="16"/>
        <v>2.0486275939207925E-2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6.9468567521370301E-3</v>
      </c>
      <c r="F49" s="165">
        <f t="shared" si="9"/>
        <v>7181319.4213323696</v>
      </c>
      <c r="G49" s="165">
        <f t="shared" si="18"/>
        <v>803554.3801477896</v>
      </c>
      <c r="H49" s="165">
        <f t="shared" si="10"/>
        <v>6.9468567521370301E-3</v>
      </c>
      <c r="I49" s="165">
        <f t="shared" si="11"/>
        <v>3.7780434739141102E-3</v>
      </c>
      <c r="J49" s="172">
        <f t="shared" si="13"/>
        <v>10435.313157710851</v>
      </c>
      <c r="K49" s="172">
        <f t="shared" si="12"/>
        <v>7.5</v>
      </c>
      <c r="L49" s="165">
        <f t="shared" si="14"/>
        <v>3035.8633818524545</v>
      </c>
      <c r="M49" s="165">
        <f t="shared" si="15"/>
        <v>78264.848682831376</v>
      </c>
      <c r="N49" s="165">
        <f t="shared" si="16"/>
        <v>3.8789615426911554E-2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3.1688132782229199E-3</v>
      </c>
      <c r="F50" s="165">
        <f t="shared" si="9"/>
        <v>8214980.9656904396</v>
      </c>
      <c r="G50" s="165">
        <f t="shared" si="18"/>
        <v>1033661.54435807</v>
      </c>
      <c r="H50" s="165">
        <f t="shared" si="10"/>
        <v>3.1688132782229199E-3</v>
      </c>
      <c r="I50" s="165">
        <f>+H50-I51</f>
        <v>3.1688132782229199E-3</v>
      </c>
      <c r="J50" s="172">
        <f t="shared" si="13"/>
        <v>5840.982709933729</v>
      </c>
      <c r="K50" s="172">
        <f t="shared" si="12"/>
        <v>4</v>
      </c>
      <c r="L50" s="165">
        <f t="shared" si="14"/>
        <v>3275.480426950262</v>
      </c>
      <c r="M50" s="165">
        <f t="shared" si="15"/>
        <v>23363.930839734916</v>
      </c>
      <c r="N50" s="165">
        <f t="shared" si="16"/>
        <v>0.14019389328869564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4" t="s">
        <v>73</v>
      </c>
      <c r="F55" s="204"/>
      <c r="G55" s="204"/>
      <c r="H55" s="204"/>
      <c r="I55" s="204"/>
      <c r="J55" s="204"/>
      <c r="K55" s="204"/>
      <c r="L55" s="204"/>
      <c r="M55" s="204"/>
      <c r="N55" s="204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2.6683236951403899E-2</v>
      </c>
      <c r="F58" s="83">
        <f t="shared" ref="F58:F68" si="19">+E5</f>
        <v>18781.199999996399</v>
      </c>
      <c r="G58" s="83">
        <v>0</v>
      </c>
      <c r="H58" s="83">
        <f>+E58</f>
        <v>2.6683236951403899E-2</v>
      </c>
      <c r="I58" s="83">
        <f>+H58-H59</f>
        <v>-3.8908735365100061E-4</v>
      </c>
      <c r="J58" s="83">
        <f>IF(+'Sismo UBC-94 y Dinamico'!P34=0,'Sismo UBC-94 y Dinamico'!N34,'Sismo UBC-94 y Dinamico'!P34)</f>
        <v>1043.8388693151428</v>
      </c>
      <c r="K58" s="83">
        <f t="shared" ref="K58:K68" si="20">+C58</f>
        <v>38.5</v>
      </c>
      <c r="L58" s="83">
        <f>+G58*I58</f>
        <v>0</v>
      </c>
      <c r="M58" s="83">
        <f>+J58*K58</f>
        <v>40187.796468632994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2.70723243050549E-2</v>
      </c>
      <c r="F59" s="165">
        <f t="shared" si="19"/>
        <v>822040.38014766399</v>
      </c>
      <c r="G59" s="83">
        <f>+F59</f>
        <v>822040.38014766399</v>
      </c>
      <c r="H59" s="83">
        <f t="shared" ref="H59:H68" si="21">+E59</f>
        <v>2.70723243050549E-2</v>
      </c>
      <c r="I59" s="83">
        <f>+H59-H60</f>
        <v>9.538150915501982E-4</v>
      </c>
      <c r="J59" s="172">
        <f>IF(+'Sismo UBC-94 y Dinamico'!P35=0,'Sismo UBC-94 y Dinamico'!N35,'Sismo UBC-94 y Dinamico'!P35)</f>
        <v>30245.053815617543</v>
      </c>
      <c r="K59" s="172">
        <f t="shared" si="20"/>
        <v>35.5</v>
      </c>
      <c r="L59" s="83">
        <f>+G59*I59</f>
        <v>784.0745204485039</v>
      </c>
      <c r="M59" s="83">
        <f>+J59*K59</f>
        <v>1073699.4104544227</v>
      </c>
      <c r="N59" s="83">
        <f>+L59/M59</f>
        <v>7.3025514665846691E-4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2.6118509213504702E-2</v>
      </c>
      <c r="F60" s="165">
        <f t="shared" si="19"/>
        <v>1611763.5602961399</v>
      </c>
      <c r="G60" s="83">
        <f>+F60-F59</f>
        <v>789723.18014847592</v>
      </c>
      <c r="H60" s="83">
        <f t="shared" si="21"/>
        <v>2.6118509213504702E-2</v>
      </c>
      <c r="I60" s="83">
        <f>+H60-H61</f>
        <v>1.5742241752506013E-3</v>
      </c>
      <c r="J60" s="172">
        <f>IF(+'Sismo UBC-94 y Dinamico'!P36=0,'Sismo UBC-94 y Dinamico'!N36,'Sismo UBC-94 y Dinamico'!P36)</f>
        <v>34204.645809255439</v>
      </c>
      <c r="K60" s="172">
        <f t="shared" si="20"/>
        <v>32</v>
      </c>
      <c r="L60" s="83">
        <f>+G60*I60</f>
        <v>1243.2013219455166</v>
      </c>
      <c r="M60" s="83">
        <f>+J60*K60</f>
        <v>1094548.665896174</v>
      </c>
      <c r="N60" s="83">
        <f>+L60/M60</f>
        <v>1.1358118288213631E-3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2.45442850382541E-2</v>
      </c>
      <c r="F61" s="165">
        <f t="shared" si="19"/>
        <v>2401486.7404435501</v>
      </c>
      <c r="G61" s="83">
        <f t="shared" ref="G61:G68" si="22">+F61-F60</f>
        <v>789723.18014741014</v>
      </c>
      <c r="H61" s="83">
        <f t="shared" si="21"/>
        <v>2.45442850382541E-2</v>
      </c>
      <c r="I61" s="83">
        <f>+H61-H62</f>
        <v>2.1698792993129004E-3</v>
      </c>
      <c r="J61" s="172">
        <f>IF(+'Sismo UBC-94 y Dinamico'!P37=0,'Sismo UBC-94 y Dinamico'!N37,'Sismo UBC-94 y Dinamico'!P37)</f>
        <v>28842.017580201853</v>
      </c>
      <c r="K61" s="172">
        <f t="shared" si="20"/>
        <v>28.5</v>
      </c>
      <c r="L61" s="83">
        <f>+G61*I61</f>
        <v>1713.6039807894178</v>
      </c>
      <c r="M61" s="83">
        <f>+J61*K61</f>
        <v>821997.50103575282</v>
      </c>
      <c r="N61" s="83">
        <f>+L61/M61</f>
        <v>2.0846827133053345E-3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2.23744057389412E-2</v>
      </c>
      <c r="F62" s="165">
        <f t="shared" si="19"/>
        <v>3191209.9205915602</v>
      </c>
      <c r="G62" s="83">
        <f t="shared" si="22"/>
        <v>789723.18014801014</v>
      </c>
      <c r="H62" s="83">
        <f t="shared" si="21"/>
        <v>2.23744057389412E-2</v>
      </c>
      <c r="I62" s="83">
        <f>+H62-H63</f>
        <v>2.6786678975817997E-3</v>
      </c>
      <c r="J62" s="172">
        <f>IF(+'Sismo UBC-94 y Dinamico'!P38=0,'Sismo UBC-94 y Dinamico'!N38,'Sismo UBC-94 y Dinamico'!P38)</f>
        <v>24331.005648949093</v>
      </c>
      <c r="K62" s="172">
        <f t="shared" si="20"/>
        <v>25</v>
      </c>
      <c r="L62" s="83">
        <f>+G62*I62</f>
        <v>2115.4061306386834</v>
      </c>
      <c r="M62" s="83">
        <f>+J62*K62</f>
        <v>608275.14122372726</v>
      </c>
      <c r="N62" s="83">
        <f>+L62/M62</f>
        <v>3.4777126127214595E-3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1.96957378413594E-2</v>
      </c>
      <c r="F63" s="165">
        <f t="shared" si="19"/>
        <v>3980933.10074068</v>
      </c>
      <c r="G63" s="165">
        <f t="shared" si="22"/>
        <v>789723.18014911981</v>
      </c>
      <c r="H63" s="165">
        <f t="shared" si="21"/>
        <v>1.96957378413594E-2</v>
      </c>
      <c r="I63" s="165">
        <f t="shared" ref="I63:I68" si="23">+H63-H64</f>
        <v>3.0788771515273018E-3</v>
      </c>
      <c r="J63" s="172">
        <f>IF(+'Sismo UBC-94 y Dinamico'!P39=0,'Sismo UBC-94 y Dinamico'!N39,'Sismo UBC-94 y Dinamico'!P39)</f>
        <v>20741.624738349023</v>
      </c>
      <c r="K63" s="172">
        <f t="shared" si="20"/>
        <v>21.5</v>
      </c>
      <c r="L63" s="165">
        <f t="shared" ref="L63:L68" si="24">+G63*I63</f>
        <v>2431.4606553926042</v>
      </c>
      <c r="M63" s="165">
        <f t="shared" ref="M63:M68" si="25">+J63*K63</f>
        <v>445944.93187450396</v>
      </c>
      <c r="N63" s="165">
        <f t="shared" ref="N63:N68" si="26">+L63/M63</f>
        <v>5.4523787167444614E-3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1.6616860689832098E-2</v>
      </c>
      <c r="F64" s="165">
        <f t="shared" si="19"/>
        <v>4770656.2808885695</v>
      </c>
      <c r="G64" s="165">
        <f t="shared" si="22"/>
        <v>789723.18014788954</v>
      </c>
      <c r="H64" s="165">
        <f t="shared" si="21"/>
        <v>1.6616860689832098E-2</v>
      </c>
      <c r="I64" s="165">
        <f t="shared" si="23"/>
        <v>3.2682235936643978E-3</v>
      </c>
      <c r="J64" s="172">
        <f>IF(+'Sismo UBC-94 y Dinamico'!P40=0,'Sismo UBC-94 y Dinamico'!N40,'Sismo UBC-94 y Dinamico'!P40)</f>
        <v>17880.262730285944</v>
      </c>
      <c r="K64" s="172">
        <f t="shared" si="20"/>
        <v>18</v>
      </c>
      <c r="L64" s="165">
        <f t="shared" si="24"/>
        <v>2580.991929823012</v>
      </c>
      <c r="M64" s="165">
        <f t="shared" si="25"/>
        <v>321844.72914514696</v>
      </c>
      <c r="N64" s="165">
        <f t="shared" si="26"/>
        <v>8.0193698889473655E-3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1.3348637096167701E-2</v>
      </c>
      <c r="F65" s="165">
        <f t="shared" si="19"/>
        <v>5574210.6610371098</v>
      </c>
      <c r="G65" s="165">
        <f t="shared" si="22"/>
        <v>803554.38014854025</v>
      </c>
      <c r="H65" s="165">
        <f t="shared" si="21"/>
        <v>1.3348637096167701E-2</v>
      </c>
      <c r="I65" s="165">
        <f t="shared" si="23"/>
        <v>3.3833667195584706E-3</v>
      </c>
      <c r="J65" s="172">
        <f>IF(+'Sismo UBC-94 y Dinamico'!P41=0,'Sismo UBC-94 y Dinamico'!N41,'Sismo UBC-94 y Dinamico'!P41)</f>
        <v>15920.732783167299</v>
      </c>
      <c r="K65" s="172">
        <f t="shared" si="20"/>
        <v>14.5</v>
      </c>
      <c r="L65" s="165">
        <f t="shared" si="24"/>
        <v>2718.7191471500068</v>
      </c>
      <c r="M65" s="165">
        <f t="shared" si="25"/>
        <v>230850.62535592585</v>
      </c>
      <c r="N65" s="165">
        <f t="shared" si="26"/>
        <v>1.1776962453353901E-2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9.9652703766092299E-3</v>
      </c>
      <c r="F66" s="165">
        <f t="shared" si="19"/>
        <v>6377765.04118458</v>
      </c>
      <c r="G66" s="165">
        <f t="shared" si="22"/>
        <v>803554.38014747016</v>
      </c>
      <c r="H66" s="165">
        <f t="shared" si="21"/>
        <v>9.9652703766092299E-3</v>
      </c>
      <c r="I66" s="165">
        <f t="shared" si="23"/>
        <v>3.5472523771820502E-3</v>
      </c>
      <c r="J66" s="172">
        <f>IF(+'Sismo UBC-94 y Dinamico'!P42=0,'Sismo UBC-94 y Dinamico'!N42,'Sismo UBC-94 y Dinamico'!P42)</f>
        <v>13565.473734628013</v>
      </c>
      <c r="K66" s="172">
        <f t="shared" si="20"/>
        <v>11</v>
      </c>
      <c r="L66" s="165">
        <f t="shared" si="24"/>
        <v>2850.4101851731625</v>
      </c>
      <c r="M66" s="165">
        <f t="shared" si="25"/>
        <v>149220.21108090814</v>
      </c>
      <c r="N66" s="165">
        <f t="shared" si="26"/>
        <v>1.9102038286406473E-2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6.4180179994271797E-3</v>
      </c>
      <c r="F67" s="165">
        <f t="shared" si="19"/>
        <v>7181319.4213323696</v>
      </c>
      <c r="G67" s="165">
        <f t="shared" si="22"/>
        <v>803554.3801477896</v>
      </c>
      <c r="H67" s="165">
        <f t="shared" si="21"/>
        <v>6.4180179994271797E-3</v>
      </c>
      <c r="I67" s="165">
        <f t="shared" si="23"/>
        <v>3.5502110913517098E-3</v>
      </c>
      <c r="J67" s="172">
        <f>IF(+'Sismo UBC-94 y Dinamico'!P43=0,'Sismo UBC-94 y Dinamico'!N43,'Sismo UBC-94 y Dinamico'!P43)</f>
        <v>10418.328695242997</v>
      </c>
      <c r="K67" s="172">
        <f t="shared" si="20"/>
        <v>7.5</v>
      </c>
      <c r="L67" s="165">
        <f t="shared" si="24"/>
        <v>2852.7876729049308</v>
      </c>
      <c r="M67" s="165">
        <f t="shared" si="25"/>
        <v>78137.465214322481</v>
      </c>
      <c r="N67" s="165">
        <f t="shared" si="26"/>
        <v>3.6509856892337725E-2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2.8678069080754699E-3</v>
      </c>
      <c r="F68" s="165">
        <f t="shared" si="19"/>
        <v>8214980.9656904396</v>
      </c>
      <c r="G68" s="165">
        <f t="shared" si="22"/>
        <v>1033661.54435807</v>
      </c>
      <c r="H68" s="165">
        <f t="shared" si="21"/>
        <v>2.8678069080754699E-3</v>
      </c>
      <c r="I68" s="165">
        <f t="shared" si="23"/>
        <v>2.8678069080754699E-3</v>
      </c>
      <c r="J68" s="172">
        <f>IF(+'Sismo UBC-94 y Dinamico'!P44=0,'Sismo UBC-94 y Dinamico'!N44,'Sismo UBC-94 y Dinamico'!P44)</f>
        <v>5809.6161360512742</v>
      </c>
      <c r="K68" s="172">
        <f t="shared" si="20"/>
        <v>4</v>
      </c>
      <c r="L68" s="165">
        <f t="shared" si="24"/>
        <v>2964.341717522032</v>
      </c>
      <c r="M68" s="165">
        <f t="shared" si="25"/>
        <v>23238.464544205097</v>
      </c>
      <c r="N68" s="165">
        <f t="shared" si="26"/>
        <v>0.12756185813753521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4" t="s">
        <v>73</v>
      </c>
      <c r="F73" s="204"/>
      <c r="G73" s="204"/>
      <c r="H73" s="204"/>
      <c r="I73" s="204"/>
      <c r="J73" s="204"/>
      <c r="K73" s="204"/>
      <c r="L73" s="204"/>
      <c r="M73" s="204"/>
      <c r="N73" s="204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2.4805431054938001E-2</v>
      </c>
      <c r="F76" s="83">
        <f t="shared" ref="F76:F86" si="28">+E5</f>
        <v>18781.199999996399</v>
      </c>
      <c r="G76" s="83">
        <v>0</v>
      </c>
      <c r="H76" s="83">
        <f>+E76</f>
        <v>2.4805431054938001E-2</v>
      </c>
      <c r="I76" s="83">
        <f>+H76-H77</f>
        <v>-6.8413542165580016E-3</v>
      </c>
      <c r="J76" s="83">
        <f>+J58</f>
        <v>1043.8388693151428</v>
      </c>
      <c r="K76" s="83">
        <f t="shared" ref="K76:K86" si="29">+C76</f>
        <v>38.5</v>
      </c>
      <c r="L76" s="83">
        <f>+G76*I76</f>
        <v>0</v>
      </c>
      <c r="M76" s="83">
        <f>+J76*K76</f>
        <v>40187.796468632994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3.1646785271496003E-2</v>
      </c>
      <c r="F77" s="165">
        <f t="shared" si="28"/>
        <v>822040.38014766399</v>
      </c>
      <c r="G77" s="83">
        <f>+F77</f>
        <v>822040.38014766399</v>
      </c>
      <c r="H77" s="83">
        <f>+E77</f>
        <v>3.1646785271496003E-2</v>
      </c>
      <c r="I77" s="83">
        <f>+H77-H78</f>
        <v>1.1071410861262024E-3</v>
      </c>
      <c r="J77" s="172">
        <f t="shared" ref="J77:J86" si="30">+J59</f>
        <v>30245.053815617543</v>
      </c>
      <c r="K77" s="172">
        <f t="shared" si="29"/>
        <v>35.5</v>
      </c>
      <c r="L77" s="83">
        <f>+G77*I77</f>
        <v>910.11467931628101</v>
      </c>
      <c r="M77" s="83">
        <f>+J77*K77</f>
        <v>1073699.4104544227</v>
      </c>
      <c r="N77" s="83">
        <f>+L77/M77</f>
        <v>8.4764382885438338E-4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3.0539644185369801E-2</v>
      </c>
      <c r="F78" s="165">
        <f t="shared" si="28"/>
        <v>1611763.5602961399</v>
      </c>
      <c r="G78" s="83">
        <f>+F78-F77</f>
        <v>789723.18014847592</v>
      </c>
      <c r="H78" s="83">
        <f>+E78</f>
        <v>3.0539644185369801E-2</v>
      </c>
      <c r="I78" s="83">
        <f>+H78-H79</f>
        <v>1.8419561952621004E-3</v>
      </c>
      <c r="J78" s="172">
        <f t="shared" si="30"/>
        <v>34204.645809255439</v>
      </c>
      <c r="K78" s="172">
        <f t="shared" si="29"/>
        <v>32</v>
      </c>
      <c r="L78" s="83">
        <f>+G78*I78</f>
        <v>1454.6355042165731</v>
      </c>
      <c r="M78" s="83">
        <f>+J78*K78</f>
        <v>1094548.665896174</v>
      </c>
      <c r="N78" s="83">
        <f>+L78/M78</f>
        <v>1.3289820266014156E-3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2.86976879901077E-2</v>
      </c>
      <c r="F79" s="165">
        <f t="shared" si="28"/>
        <v>2401486.7404435501</v>
      </c>
      <c r="G79" s="83">
        <f t="shared" ref="G79:G86" si="31">+F79-F78</f>
        <v>789723.18014741014</v>
      </c>
      <c r="H79" s="83">
        <f>+E79</f>
        <v>2.86976879901077E-2</v>
      </c>
      <c r="I79" s="83">
        <f>+H79-H80</f>
        <v>2.5482697420945999E-3</v>
      </c>
      <c r="J79" s="172">
        <f t="shared" si="30"/>
        <v>28842.017580201853</v>
      </c>
      <c r="K79" s="172">
        <f t="shared" si="29"/>
        <v>28.5</v>
      </c>
      <c r="L79" s="83">
        <f>+G79*I79</f>
        <v>2012.4276846003681</v>
      </c>
      <c r="M79" s="83">
        <f>+J79*K79</f>
        <v>821997.50103575282</v>
      </c>
      <c r="N79" s="83">
        <f>+L79/M79</f>
        <v>2.4482163048727291E-3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2.61494182480131E-2</v>
      </c>
      <c r="F80" s="165">
        <f t="shared" si="28"/>
        <v>3191209.9205915602</v>
      </c>
      <c r="G80" s="83">
        <f t="shared" si="31"/>
        <v>789723.18014801014</v>
      </c>
      <c r="H80" s="83">
        <f>+E80</f>
        <v>2.61494182480131E-2</v>
      </c>
      <c r="I80" s="83">
        <f>+H80-H81</f>
        <v>3.1511037722434E-3</v>
      </c>
      <c r="J80" s="172">
        <f t="shared" si="30"/>
        <v>24331.005648949093</v>
      </c>
      <c r="K80" s="172">
        <f t="shared" si="29"/>
        <v>25</v>
      </c>
      <c r="L80" s="83">
        <f>+G80*I80</f>
        <v>2488.4996919924488</v>
      </c>
      <c r="M80" s="83">
        <f>+J80*K80</f>
        <v>608275.14122372726</v>
      </c>
      <c r="N80" s="83">
        <f>+L80/M80</f>
        <v>4.0910757703924707E-3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2.29983144757697E-2</v>
      </c>
      <c r="F81" s="165">
        <f t="shared" si="28"/>
        <v>3980933.10074068</v>
      </c>
      <c r="G81" s="165">
        <f t="shared" si="31"/>
        <v>789723.18014911981</v>
      </c>
      <c r="H81" s="165">
        <f t="shared" ref="H81:H86" si="32">+E81</f>
        <v>2.29983144757697E-2</v>
      </c>
      <c r="I81" s="165">
        <f t="shared" ref="I81:I86" si="33">+H81-H82</f>
        <v>3.6213005951140007E-3</v>
      </c>
      <c r="J81" s="172">
        <f t="shared" si="30"/>
        <v>20741.624738349023</v>
      </c>
      <c r="K81" s="172">
        <f t="shared" si="29"/>
        <v>21.5</v>
      </c>
      <c r="L81" s="165">
        <f t="shared" ref="L81:L86" si="34">+G81*I81</f>
        <v>2859.8250222493289</v>
      </c>
      <c r="M81" s="165">
        <f t="shared" ref="M81:M86" si="35">+J81*K81</f>
        <v>445944.93187450396</v>
      </c>
      <c r="N81" s="165">
        <f t="shared" ref="N81:N86" si="36">+L81/M81</f>
        <v>6.4129555419056303E-3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1.93770138806557E-2</v>
      </c>
      <c r="F82" s="165">
        <f t="shared" si="28"/>
        <v>4770656.2808885695</v>
      </c>
      <c r="G82" s="165">
        <f t="shared" si="31"/>
        <v>789723.18014788954</v>
      </c>
      <c r="H82" s="165">
        <f t="shared" si="32"/>
        <v>1.93770138806557E-2</v>
      </c>
      <c r="I82" s="165">
        <f t="shared" si="33"/>
        <v>3.8186808831695996E-3</v>
      </c>
      <c r="J82" s="172">
        <f t="shared" si="30"/>
        <v>17880.262730285944</v>
      </c>
      <c r="K82" s="172">
        <f t="shared" si="29"/>
        <v>18</v>
      </c>
      <c r="L82" s="165">
        <f t="shared" si="34"/>
        <v>3015.7008110266474</v>
      </c>
      <c r="M82" s="165">
        <f t="shared" si="35"/>
        <v>321844.72914514696</v>
      </c>
      <c r="N82" s="165">
        <f t="shared" si="36"/>
        <v>9.3700487779826685E-3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1.55583329974861E-2</v>
      </c>
      <c r="F83" s="165">
        <f t="shared" si="28"/>
        <v>5574210.6610371098</v>
      </c>
      <c r="G83" s="165">
        <f t="shared" si="31"/>
        <v>803554.38014854025</v>
      </c>
      <c r="H83" s="165">
        <f t="shared" si="32"/>
        <v>1.55583329974861E-2</v>
      </c>
      <c r="I83" s="165">
        <f t="shared" si="33"/>
        <v>3.9279944674493993E-3</v>
      </c>
      <c r="J83" s="172">
        <f t="shared" si="30"/>
        <v>15920.732783167299</v>
      </c>
      <c r="K83" s="172">
        <f t="shared" si="29"/>
        <v>14.5</v>
      </c>
      <c r="L83" s="165">
        <f t="shared" si="34"/>
        <v>3156.3571595181975</v>
      </c>
      <c r="M83" s="165">
        <f t="shared" si="35"/>
        <v>230850.62535592585</v>
      </c>
      <c r="N83" s="165">
        <f t="shared" si="36"/>
        <v>1.3672725186044964E-2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1.1630338530036701E-2</v>
      </c>
      <c r="F84" s="165">
        <f t="shared" si="28"/>
        <v>6377765.04118458</v>
      </c>
      <c r="G84" s="165">
        <f t="shared" si="31"/>
        <v>803554.38014747016</v>
      </c>
      <c r="H84" s="165">
        <f t="shared" si="32"/>
        <v>1.1630338530036701E-2</v>
      </c>
      <c r="I84" s="165">
        <f t="shared" si="33"/>
        <v>4.1192621172983805E-3</v>
      </c>
      <c r="J84" s="172">
        <f t="shared" si="30"/>
        <v>13565.473734628013</v>
      </c>
      <c r="K84" s="172">
        <f t="shared" si="29"/>
        <v>11</v>
      </c>
      <c r="L84" s="165">
        <f t="shared" si="34"/>
        <v>3310.0511173306559</v>
      </c>
      <c r="M84" s="165">
        <f t="shared" si="35"/>
        <v>149220.21108090814</v>
      </c>
      <c r="N84" s="165">
        <f t="shared" si="36"/>
        <v>2.2182324320235182E-2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7.5110764127383203E-3</v>
      </c>
      <c r="F85" s="165">
        <f t="shared" si="28"/>
        <v>7181319.4213323696</v>
      </c>
      <c r="G85" s="165">
        <f t="shared" si="31"/>
        <v>803554.3801477896</v>
      </c>
      <c r="H85" s="165">
        <f t="shared" si="32"/>
        <v>7.5110764127383203E-3</v>
      </c>
      <c r="I85" s="165">
        <f t="shared" si="33"/>
        <v>4.1446349121870407E-3</v>
      </c>
      <c r="J85" s="172">
        <f t="shared" si="30"/>
        <v>10418.328695242997</v>
      </c>
      <c r="K85" s="172">
        <f t="shared" si="29"/>
        <v>7.5</v>
      </c>
      <c r="L85" s="165">
        <f t="shared" si="34"/>
        <v>3330.439537801346</v>
      </c>
      <c r="M85" s="165">
        <f t="shared" si="35"/>
        <v>78137.465214322481</v>
      </c>
      <c r="N85" s="165">
        <f t="shared" si="36"/>
        <v>4.2622825409889049E-2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3.3664415005512801E-3</v>
      </c>
      <c r="F86" s="165">
        <f t="shared" si="28"/>
        <v>8214980.9656904396</v>
      </c>
      <c r="G86" s="165">
        <f t="shared" si="31"/>
        <v>1033661.54435807</v>
      </c>
      <c r="H86" s="165">
        <f t="shared" si="32"/>
        <v>3.3664415005512801E-3</v>
      </c>
      <c r="I86" s="165">
        <f t="shared" si="33"/>
        <v>3.3664415005512801E-3</v>
      </c>
      <c r="J86" s="172">
        <f t="shared" si="30"/>
        <v>5809.6161360512742</v>
      </c>
      <c r="K86" s="172">
        <f t="shared" si="29"/>
        <v>4</v>
      </c>
      <c r="L86" s="165">
        <f t="shared" si="34"/>
        <v>3479.7611204509349</v>
      </c>
      <c r="M86" s="165">
        <f t="shared" si="35"/>
        <v>23238.464544205097</v>
      </c>
      <c r="N86" s="165">
        <f t="shared" si="36"/>
        <v>0.14974143897638331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3"/>
      <c r="D104" s="203"/>
      <c r="E104" s="203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2021-05-22T03:03:56Z</dcterms:modified>
</cp:coreProperties>
</file>