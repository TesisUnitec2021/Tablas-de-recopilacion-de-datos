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bmp" ContentType="image/bmp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Archivos Ing. Allan Flores\Maestria en Estructuras\TESIS\VOLUMENES DE EDIFICIOS\VOLUMENES DE EDIFICIOS\TABULACIONES\CASO 1\"/>
    </mc:Choice>
  </mc:AlternateContent>
  <xr:revisionPtr revIDLastSave="0" documentId="13_ncr:1_{90C1E66A-3277-42CA-A228-B18F13E0F737}" xr6:coauthVersionLast="47" xr6:coauthVersionMax="47" xr10:uidLastSave="{00000000-0000-0000-0000-000000000000}"/>
  <bookViews>
    <workbookView xWindow="-120" yWindow="-120" windowWidth="20730" windowHeight="11310" tabRatio="908" activeTab="6" xr2:uid="{00000000-000D-0000-FFFF-FFFF00000000}"/>
  </bookViews>
  <sheets>
    <sheet name="D-DERIVAS" sheetId="8" r:id="rId1"/>
    <sheet name="D-IRRE TORSIONAL" sheetId="7" r:id="rId2"/>
    <sheet name="D-PCMCR" sheetId="6" r:id="rId3"/>
    <sheet name="COLUMNAS N1" sheetId="5" r:id="rId4"/>
    <sheet name="IRRE TORSIONAL" sheetId="4" r:id="rId5"/>
    <sheet name="DERIVAS" sheetId="2" r:id="rId6"/>
    <sheet name="GENERALES" sheetId="1" r:id="rId7"/>
    <sheet name="DIRECTOR" sheetId="3" r:id="rId8"/>
  </sheets>
  <definedNames>
    <definedName name="_xlnm._FilterDatabase" localSheetId="3" hidden="1">'COLUMNAS N1'!#REF!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8" l="1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5" i="8"/>
  <c r="E6" i="8"/>
  <c r="F6" i="8"/>
  <c r="G6" i="8"/>
  <c r="E7" i="8"/>
  <c r="F7" i="8"/>
  <c r="G7" i="8"/>
  <c r="E8" i="8"/>
  <c r="F8" i="8"/>
  <c r="G8" i="8"/>
  <c r="E9" i="8"/>
  <c r="F9" i="8"/>
  <c r="G9" i="8"/>
  <c r="E10" i="8"/>
  <c r="F10" i="8"/>
  <c r="G10" i="8"/>
  <c r="E11" i="8"/>
  <c r="F11" i="8"/>
  <c r="G11" i="8"/>
  <c r="E12" i="8"/>
  <c r="F12" i="8"/>
  <c r="G12" i="8"/>
  <c r="E13" i="8"/>
  <c r="F13" i="8"/>
  <c r="G13" i="8"/>
  <c r="E14" i="8"/>
  <c r="F14" i="8"/>
  <c r="G14" i="8"/>
  <c r="E15" i="8"/>
  <c r="F15" i="8"/>
  <c r="G15" i="8"/>
  <c r="E16" i="8"/>
  <c r="F16" i="8"/>
  <c r="G16" i="8"/>
  <c r="E17" i="8"/>
  <c r="F17" i="8"/>
  <c r="G17" i="8"/>
  <c r="E18" i="8"/>
  <c r="F18" i="8"/>
  <c r="G18" i="8"/>
  <c r="E19" i="8"/>
  <c r="F19" i="8"/>
  <c r="G19" i="8"/>
  <c r="E20" i="8"/>
  <c r="F20" i="8"/>
  <c r="G20" i="8"/>
  <c r="E21" i="8"/>
  <c r="F21" i="8"/>
  <c r="G21" i="8"/>
  <c r="E22" i="8"/>
  <c r="F22" i="8"/>
  <c r="G22" i="8"/>
  <c r="E23" i="8"/>
  <c r="F23" i="8"/>
  <c r="G23" i="8"/>
  <c r="E24" i="8"/>
  <c r="F24" i="8"/>
  <c r="G24" i="8"/>
  <c r="E25" i="8"/>
  <c r="F25" i="8"/>
  <c r="G25" i="8"/>
  <c r="E26" i="8"/>
  <c r="F26" i="8"/>
  <c r="G26" i="8"/>
  <c r="E27" i="8"/>
  <c r="F27" i="8"/>
  <c r="G27" i="8"/>
  <c r="E28" i="8"/>
  <c r="F28" i="8"/>
  <c r="G28" i="8"/>
  <c r="E29" i="8"/>
  <c r="F29" i="8"/>
  <c r="G29" i="8"/>
  <c r="E30" i="8"/>
  <c r="F30" i="8"/>
  <c r="G30" i="8"/>
  <c r="E31" i="8"/>
  <c r="F31" i="8"/>
  <c r="G31" i="8"/>
  <c r="E32" i="8"/>
  <c r="F32" i="8"/>
  <c r="G32" i="8"/>
  <c r="E33" i="8"/>
  <c r="F33" i="8"/>
  <c r="G33" i="8"/>
  <c r="E34" i="8"/>
  <c r="F34" i="8"/>
  <c r="G34" i="8"/>
  <c r="E35" i="8"/>
  <c r="F35" i="8"/>
  <c r="G35" i="8"/>
  <c r="E36" i="8"/>
  <c r="F36" i="8"/>
  <c r="G36" i="8"/>
  <c r="E37" i="8"/>
  <c r="F37" i="8"/>
  <c r="G37" i="8"/>
  <c r="E38" i="8"/>
  <c r="F38" i="8"/>
  <c r="G38" i="8"/>
  <c r="E39" i="8"/>
  <c r="F39" i="8"/>
  <c r="G39" i="8"/>
  <c r="E40" i="8"/>
  <c r="F40" i="8"/>
  <c r="G40" i="8"/>
  <c r="E41" i="8"/>
  <c r="F41" i="8"/>
  <c r="G41" i="8"/>
  <c r="E42" i="8"/>
  <c r="F42" i="8"/>
  <c r="G42" i="8"/>
  <c r="E43" i="8"/>
  <c r="F43" i="8"/>
  <c r="G43" i="8"/>
  <c r="E44" i="8"/>
  <c r="F44" i="8"/>
  <c r="G44" i="8"/>
  <c r="E45" i="8"/>
  <c r="F45" i="8"/>
  <c r="G45" i="8"/>
  <c r="E46" i="8"/>
  <c r="F46" i="8"/>
  <c r="G46" i="8"/>
  <c r="E47" i="8"/>
  <c r="F47" i="8"/>
  <c r="G47" i="8"/>
  <c r="E48" i="8"/>
  <c r="F48" i="8"/>
  <c r="G48" i="8"/>
  <c r="G5" i="8"/>
  <c r="F5" i="8"/>
  <c r="E5" i="8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5" i="7"/>
  <c r="E6" i="7"/>
  <c r="F6" i="7"/>
  <c r="G6" i="7"/>
  <c r="E7" i="7"/>
  <c r="F7" i="7"/>
  <c r="G7" i="7"/>
  <c r="E8" i="7"/>
  <c r="F8" i="7"/>
  <c r="G8" i="7"/>
  <c r="E9" i="7"/>
  <c r="F9" i="7"/>
  <c r="G9" i="7"/>
  <c r="E10" i="7"/>
  <c r="F10" i="7"/>
  <c r="G10" i="7"/>
  <c r="E11" i="7"/>
  <c r="F11" i="7"/>
  <c r="G11" i="7"/>
  <c r="E12" i="7"/>
  <c r="F12" i="7"/>
  <c r="G12" i="7"/>
  <c r="E13" i="7"/>
  <c r="F13" i="7"/>
  <c r="G13" i="7"/>
  <c r="E14" i="7"/>
  <c r="F14" i="7"/>
  <c r="G14" i="7"/>
  <c r="E15" i="7"/>
  <c r="F15" i="7"/>
  <c r="G15" i="7"/>
  <c r="E16" i="7"/>
  <c r="F16" i="7"/>
  <c r="G16" i="7"/>
  <c r="E17" i="7"/>
  <c r="F17" i="7"/>
  <c r="G17" i="7"/>
  <c r="E18" i="7"/>
  <c r="F18" i="7"/>
  <c r="G18" i="7"/>
  <c r="E19" i="7"/>
  <c r="F19" i="7"/>
  <c r="G19" i="7"/>
  <c r="E20" i="7"/>
  <c r="F20" i="7"/>
  <c r="G20" i="7"/>
  <c r="E21" i="7"/>
  <c r="F21" i="7"/>
  <c r="G21" i="7"/>
  <c r="E22" i="7"/>
  <c r="F22" i="7"/>
  <c r="G22" i="7"/>
  <c r="E23" i="7"/>
  <c r="F23" i="7"/>
  <c r="G23" i="7"/>
  <c r="E24" i="7"/>
  <c r="F24" i="7"/>
  <c r="G24" i="7"/>
  <c r="E25" i="7"/>
  <c r="F25" i="7"/>
  <c r="G25" i="7"/>
  <c r="E26" i="7"/>
  <c r="F26" i="7"/>
  <c r="G26" i="7"/>
  <c r="E27" i="7"/>
  <c r="F27" i="7"/>
  <c r="G27" i="7"/>
  <c r="E28" i="7"/>
  <c r="F28" i="7"/>
  <c r="G28" i="7"/>
  <c r="E29" i="7"/>
  <c r="F29" i="7"/>
  <c r="G29" i="7"/>
  <c r="E30" i="7"/>
  <c r="F30" i="7"/>
  <c r="G30" i="7"/>
  <c r="E31" i="7"/>
  <c r="F31" i="7"/>
  <c r="G31" i="7"/>
  <c r="E32" i="7"/>
  <c r="F32" i="7"/>
  <c r="G32" i="7"/>
  <c r="E33" i="7"/>
  <c r="F33" i="7"/>
  <c r="G33" i="7"/>
  <c r="E34" i="7"/>
  <c r="F34" i="7"/>
  <c r="G34" i="7"/>
  <c r="E35" i="7"/>
  <c r="F35" i="7"/>
  <c r="G35" i="7"/>
  <c r="E36" i="7"/>
  <c r="F36" i="7"/>
  <c r="G36" i="7"/>
  <c r="E37" i="7"/>
  <c r="F37" i="7"/>
  <c r="G37" i="7"/>
  <c r="E38" i="7"/>
  <c r="F38" i="7"/>
  <c r="G38" i="7"/>
  <c r="E39" i="7"/>
  <c r="F39" i="7"/>
  <c r="G39" i="7"/>
  <c r="E40" i="7"/>
  <c r="F40" i="7"/>
  <c r="G40" i="7"/>
  <c r="E41" i="7"/>
  <c r="F41" i="7"/>
  <c r="G41" i="7"/>
  <c r="E42" i="7"/>
  <c r="F42" i="7"/>
  <c r="G42" i="7"/>
  <c r="E43" i="7"/>
  <c r="F43" i="7"/>
  <c r="G43" i="7"/>
  <c r="E44" i="7"/>
  <c r="F44" i="7"/>
  <c r="G44" i="7"/>
  <c r="E45" i="7"/>
  <c r="F45" i="7"/>
  <c r="G45" i="7"/>
  <c r="E46" i="7"/>
  <c r="F46" i="7"/>
  <c r="G46" i="7"/>
  <c r="E47" i="7"/>
  <c r="F47" i="7"/>
  <c r="G47" i="7"/>
  <c r="E48" i="7"/>
  <c r="F48" i="7"/>
  <c r="G48" i="7"/>
  <c r="G5" i="7"/>
  <c r="F5" i="7"/>
  <c r="E5" i="7"/>
  <c r="L10" i="6" l="1"/>
  <c r="M10" i="6"/>
  <c r="L11" i="6"/>
  <c r="M11" i="6"/>
  <c r="L12" i="6"/>
  <c r="M12" i="6"/>
  <c r="L13" i="6"/>
  <c r="M13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M9" i="6"/>
  <c r="L9" i="6"/>
  <c r="M8" i="6"/>
  <c r="L8" i="6"/>
  <c r="J10" i="6"/>
  <c r="K10" i="6"/>
  <c r="J11" i="6"/>
  <c r="K11" i="6"/>
  <c r="J12" i="6"/>
  <c r="K12" i="6"/>
  <c r="J13" i="6"/>
  <c r="K13" i="6"/>
  <c r="J14" i="6"/>
  <c r="K14" i="6"/>
  <c r="J15" i="6"/>
  <c r="K15" i="6"/>
  <c r="J16" i="6"/>
  <c r="K16" i="6"/>
  <c r="J17" i="6"/>
  <c r="K17" i="6"/>
  <c r="J18" i="6"/>
  <c r="K18" i="6"/>
  <c r="J19" i="6"/>
  <c r="K19" i="6"/>
  <c r="J20" i="6"/>
  <c r="K20" i="6"/>
  <c r="J21" i="6"/>
  <c r="K21" i="6"/>
  <c r="J22" i="6"/>
  <c r="K22" i="6"/>
  <c r="J23" i="6"/>
  <c r="K23" i="6"/>
  <c r="J24" i="6"/>
  <c r="K24" i="6"/>
  <c r="J25" i="6"/>
  <c r="K25" i="6"/>
  <c r="J26" i="6"/>
  <c r="K26" i="6"/>
  <c r="J27" i="6"/>
  <c r="K27" i="6"/>
  <c r="J28" i="6"/>
  <c r="K28" i="6"/>
  <c r="J29" i="6"/>
  <c r="K29" i="6"/>
  <c r="K9" i="6"/>
  <c r="J9" i="6"/>
  <c r="K8" i="6"/>
  <c r="J8" i="6"/>
  <c r="L6" i="6"/>
  <c r="M6" i="6"/>
  <c r="L5" i="6"/>
  <c r="J6" i="6"/>
  <c r="K6" i="6"/>
  <c r="J5" i="6"/>
  <c r="I6" i="6"/>
  <c r="H6" i="6"/>
  <c r="G6" i="6"/>
  <c r="F6" i="6"/>
  <c r="E6" i="6"/>
  <c r="D6" i="6"/>
  <c r="H5" i="6"/>
  <c r="F5" i="6"/>
  <c r="D5" i="6"/>
  <c r="H20" i="6"/>
  <c r="I20" i="6"/>
  <c r="H21" i="6"/>
  <c r="I21" i="6"/>
  <c r="H22" i="6"/>
  <c r="I22" i="6"/>
  <c r="H23" i="6"/>
  <c r="I23" i="6"/>
  <c r="H24" i="6"/>
  <c r="I24" i="6"/>
  <c r="H25" i="6"/>
  <c r="I25" i="6"/>
  <c r="H26" i="6"/>
  <c r="I26" i="6"/>
  <c r="H27" i="6"/>
  <c r="I27" i="6"/>
  <c r="H28" i="6"/>
  <c r="I28" i="6"/>
  <c r="H29" i="6"/>
  <c r="I29" i="6"/>
  <c r="I19" i="6"/>
  <c r="H19" i="6"/>
  <c r="F20" i="6"/>
  <c r="G20" i="6"/>
  <c r="F21" i="6"/>
  <c r="G21" i="6"/>
  <c r="F22" i="6"/>
  <c r="G22" i="6"/>
  <c r="F23" i="6"/>
  <c r="G23" i="6"/>
  <c r="F24" i="6"/>
  <c r="G24" i="6"/>
  <c r="F25" i="6"/>
  <c r="G25" i="6"/>
  <c r="F26" i="6"/>
  <c r="G26" i="6"/>
  <c r="F27" i="6"/>
  <c r="G27" i="6"/>
  <c r="F28" i="6"/>
  <c r="G28" i="6"/>
  <c r="F29" i="6"/>
  <c r="G29" i="6"/>
  <c r="G19" i="6"/>
  <c r="F19" i="6"/>
  <c r="D20" i="6"/>
  <c r="E20" i="6"/>
  <c r="D21" i="6"/>
  <c r="E21" i="6"/>
  <c r="D22" i="6"/>
  <c r="E22" i="6"/>
  <c r="D23" i="6"/>
  <c r="E23" i="6"/>
  <c r="D24" i="6"/>
  <c r="E24" i="6"/>
  <c r="D25" i="6"/>
  <c r="E25" i="6"/>
  <c r="D26" i="6"/>
  <c r="E26" i="6"/>
  <c r="D27" i="6"/>
  <c r="E27" i="6"/>
  <c r="D28" i="6"/>
  <c r="E28" i="6"/>
  <c r="D29" i="6"/>
  <c r="E29" i="6"/>
  <c r="E19" i="6"/>
  <c r="D19" i="6"/>
  <c r="H9" i="6"/>
  <c r="I9" i="6"/>
  <c r="H10" i="6"/>
  <c r="I10" i="6"/>
  <c r="H11" i="6"/>
  <c r="I11" i="6"/>
  <c r="H12" i="6"/>
  <c r="I12" i="6"/>
  <c r="H13" i="6"/>
  <c r="I13" i="6"/>
  <c r="H14" i="6"/>
  <c r="I14" i="6"/>
  <c r="H15" i="6"/>
  <c r="I15" i="6"/>
  <c r="H16" i="6"/>
  <c r="I16" i="6"/>
  <c r="H17" i="6"/>
  <c r="I17" i="6"/>
  <c r="H18" i="6"/>
  <c r="I18" i="6"/>
  <c r="I8" i="6"/>
  <c r="H8" i="6"/>
  <c r="F18" i="6"/>
  <c r="G18" i="6"/>
  <c r="F9" i="6"/>
  <c r="G9" i="6"/>
  <c r="F10" i="6"/>
  <c r="G10" i="6"/>
  <c r="F11" i="6"/>
  <c r="G11" i="6"/>
  <c r="F12" i="6"/>
  <c r="G12" i="6"/>
  <c r="F13" i="6"/>
  <c r="G13" i="6"/>
  <c r="F14" i="6"/>
  <c r="G14" i="6"/>
  <c r="F15" i="6"/>
  <c r="G15" i="6"/>
  <c r="F16" i="6"/>
  <c r="G16" i="6"/>
  <c r="F17" i="6"/>
  <c r="G17" i="6"/>
  <c r="G8" i="6"/>
  <c r="F8" i="6"/>
  <c r="D9" i="6"/>
  <c r="E9" i="6"/>
  <c r="D10" i="6"/>
  <c r="E10" i="6"/>
  <c r="D11" i="6"/>
  <c r="E11" i="6"/>
  <c r="D12" i="6"/>
  <c r="E12" i="6"/>
  <c r="D13" i="6"/>
  <c r="E13" i="6"/>
  <c r="D14" i="6"/>
  <c r="E14" i="6"/>
  <c r="D15" i="6"/>
  <c r="E15" i="6"/>
  <c r="D16" i="6"/>
  <c r="E16" i="6"/>
  <c r="D17" i="6"/>
  <c r="E17" i="6"/>
  <c r="D18" i="6"/>
  <c r="E18" i="6"/>
  <c r="E8" i="6"/>
  <c r="D8" i="6"/>
  <c r="O5" i="1" l="1"/>
  <c r="M5" i="1"/>
  <c r="K5" i="1"/>
  <c r="I5" i="1"/>
  <c r="G5" i="1"/>
  <c r="E5" i="1"/>
  <c r="E5" i="6" l="1"/>
  <c r="M5" i="6"/>
  <c r="I5" i="6"/>
  <c r="G5" i="6"/>
  <c r="K5" i="6"/>
</calcChain>
</file>

<file path=xl/sharedStrings.xml><?xml version="1.0" encoding="utf-8"?>
<sst xmlns="http://schemas.openxmlformats.org/spreadsheetml/2006/main" count="672" uniqueCount="97">
  <si>
    <t>PERIODO TA</t>
  </si>
  <si>
    <t>CENTRO DE MASAS</t>
  </si>
  <si>
    <t>VARIABLE</t>
  </si>
  <si>
    <t>STORY</t>
  </si>
  <si>
    <t>STORY 1</t>
  </si>
  <si>
    <t>STORY 11</t>
  </si>
  <si>
    <t>STORY 10</t>
  </si>
  <si>
    <t>STORY 9</t>
  </si>
  <si>
    <t>STORY 8</t>
  </si>
  <si>
    <t>STORY 7</t>
  </si>
  <si>
    <t>STORY 6</t>
  </si>
  <si>
    <t>STORY 5</t>
  </si>
  <si>
    <t>STORY 4</t>
  </si>
  <si>
    <t>STORY 3</t>
  </si>
  <si>
    <t>STORY 2</t>
  </si>
  <si>
    <t>CENTRO RIGIDEZ</t>
  </si>
  <si>
    <t>FUERZA</t>
  </si>
  <si>
    <t>DERIVAS</t>
  </si>
  <si>
    <t>EQXEP</t>
  </si>
  <si>
    <t>EQXEN</t>
  </si>
  <si>
    <t>EQYEP</t>
  </si>
  <si>
    <t>EQYEN</t>
  </si>
  <si>
    <t>SENTIDO</t>
  </si>
  <si>
    <t>X (m)</t>
  </si>
  <si>
    <t>Y (m)</t>
  </si>
  <si>
    <t>X (s)</t>
  </si>
  <si>
    <t>Y (s)</t>
  </si>
  <si>
    <t>PERIODO DINAMICO</t>
  </si>
  <si>
    <t>IRRE TORSIONAL</t>
  </si>
  <si>
    <t>RADIO DE DISEÑO</t>
  </si>
  <si>
    <t>C7</t>
  </si>
  <si>
    <t>C5</t>
  </si>
  <si>
    <t>C6</t>
  </si>
  <si>
    <t>C8</t>
  </si>
  <si>
    <t>C4</t>
  </si>
  <si>
    <t>C2</t>
  </si>
  <si>
    <t>C11</t>
  </si>
  <si>
    <t>C10</t>
  </si>
  <si>
    <t>C22</t>
  </si>
  <si>
    <t>C21</t>
  </si>
  <si>
    <t>C23</t>
  </si>
  <si>
    <t>C15</t>
  </si>
  <si>
    <t>C9</t>
  </si>
  <si>
    <t>C25</t>
  </si>
  <si>
    <t>C16</t>
  </si>
  <si>
    <t>C18</t>
  </si>
  <si>
    <t>C17</t>
  </si>
  <si>
    <t>C12</t>
  </si>
  <si>
    <t>C24</t>
  </si>
  <si>
    <t>C26</t>
  </si>
  <si>
    <t>SECCION</t>
  </si>
  <si>
    <t>C3</t>
  </si>
  <si>
    <t>C1</t>
  </si>
  <si>
    <t>C19</t>
  </si>
  <si>
    <t>C20</t>
  </si>
  <si>
    <t>C14</t>
  </si>
  <si>
    <t>C31</t>
  </si>
  <si>
    <t>C29</t>
  </si>
  <si>
    <t>COL.</t>
  </si>
  <si>
    <t>RADIO</t>
  </si>
  <si>
    <t>DIFERENCIAS ENTRE CONSIDERAR MODULO DE GRADAS Y SIN GRADAS</t>
  </si>
  <si>
    <t>DIFERENCIAS POR UBICACIÓN DE MODULO DE GRADAS</t>
  </si>
  <si>
    <t>ESTE BOTON SE DEBE PRESIONAR UNA VEZ LLENADAS TODAS LAS TABLAS DE CASOS, PARA IMPORTAR LAS VARIABLES QUE SE DESEAN MEDIR Y COMPARAR ENTRE ELLAS</t>
  </si>
  <si>
    <t>ESTE SE DEBE PRESIONAR UNA VEZ PRESIONADO EL BOTON "COMPARAR DATOS", SIRVE PARA DAR EL FORMATO DE TABLAS Y COLORES A LAS CELDAS</t>
  </si>
  <si>
    <t>NOTA: LA HOJA "COLUMNAS N1" DEBE SER LLENADA MANUALMENTE, COPIANDO LA INFORMACION DIRECTAMENTE DE ETABS, Y LA COMPARACION DE ESTAS SE DEBERA HACER VISUALIZANDO LA PLANTA DE COLUMNAS DE CADA MODELO (VER IMÁGENES ADJUNTAS)</t>
  </si>
  <si>
    <t>CASO 1 CON GRADA</t>
  </si>
  <si>
    <t>CASO 1 SIN GRADA</t>
  </si>
  <si>
    <t>CASO 1.1 DENTRO</t>
  </si>
  <si>
    <t>CASO 1.2 LATERAL</t>
  </si>
  <si>
    <t>CASO 1.3 ESQUINA</t>
  </si>
  <si>
    <t>COL-5/60X60CM-P0.01</t>
  </si>
  <si>
    <t>C13</t>
  </si>
  <si>
    <t>COL2/50X50CM-P0.02</t>
  </si>
  <si>
    <t>C27</t>
  </si>
  <si>
    <t>C28</t>
  </si>
  <si>
    <t>C30</t>
  </si>
  <si>
    <t>C32</t>
  </si>
  <si>
    <t>C33</t>
  </si>
  <si>
    <t>C34</t>
  </si>
  <si>
    <t>C35</t>
  </si>
  <si>
    <t>C36</t>
  </si>
  <si>
    <t>C48</t>
  </si>
  <si>
    <t>COL6/40X40CM-P0.02</t>
  </si>
  <si>
    <t>C117</t>
  </si>
  <si>
    <t>C61</t>
  </si>
  <si>
    <t>C39</t>
  </si>
  <si>
    <t>C118</t>
  </si>
  <si>
    <t>C43</t>
  </si>
  <si>
    <t>C41</t>
  </si>
  <si>
    <t>COL-6/40X40CM-P0.02</t>
  </si>
  <si>
    <t>C45</t>
  </si>
  <si>
    <t>C51</t>
  </si>
  <si>
    <t>CASO 1 CON GRADA - SIN GRADA/SIN GRADA</t>
  </si>
  <si>
    <t>CASO 1 CON GRADA DENTRO - (LATERAL&amp;ESQUINA) / DENTRO</t>
  </si>
  <si>
    <t xml:space="preserve">CASO 1.1 - 1.2 </t>
  </si>
  <si>
    <t>CASO 1.1 - 1.3</t>
  </si>
  <si>
    <t>CASO 1.1 - 1.2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</si>
</sst>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9" tint="0.79995117038483843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1" fillId="0" borderId="0"/>
  </cellStyleXfs>
  <cellXfs count="152">
    <xf numFmtId="0" fontId="0" fillId="0" borderId="0" xfId="0"/>
    <xf numFmtId="0" fontId="0" fillId="0" borderId="0" xfId="0" applyAlignment="1">
      <alignment vertical="center" wrapText="1"/>
    </xf>
    <xf numFmtId="0" fontId="0" fillId="2" borderId="4" xfId="0" applyFill="1" applyBorder="1"/>
    <xf numFmtId="0" fontId="4" fillId="2" borderId="4" xfId="0" applyFont="1" applyFill="1" applyBorder="1" applyAlignment="1">
      <alignment horizontal="center"/>
    </xf>
    <xf numFmtId="0" fontId="0" fillId="4" borderId="4" xfId="0" applyFill="1" applyBorder="1" applyAlignment="1"/>
    <xf numFmtId="0" fontId="0" fillId="5" borderId="4" xfId="0" applyFill="1" applyBorder="1" applyAlignment="1"/>
    <xf numFmtId="0" fontId="0" fillId="6" borderId="4" xfId="0" applyFill="1" applyBorder="1" applyAlignment="1"/>
    <xf numFmtId="0" fontId="0" fillId="4" borderId="8" xfId="0" applyFill="1" applyBorder="1" applyAlignment="1"/>
    <xf numFmtId="0" fontId="0" fillId="5" borderId="8" xfId="0" applyFill="1" applyBorder="1" applyAlignment="1"/>
    <xf numFmtId="0" fontId="0" fillId="6" borderId="8" xfId="0" applyFill="1" applyBorder="1" applyAlignment="1"/>
    <xf numFmtId="0" fontId="0" fillId="6" borderId="9" xfId="0" applyFill="1" applyBorder="1" applyAlignment="1"/>
    <xf numFmtId="0" fontId="0" fillId="6" borderId="10" xfId="0" applyFill="1" applyBorder="1" applyAlignment="1"/>
    <xf numFmtId="0" fontId="0" fillId="4" borderId="11" xfId="0" applyFill="1" applyBorder="1" applyAlignment="1"/>
    <xf numFmtId="0" fontId="0" fillId="5" borderId="11" xfId="0" applyFill="1" applyBorder="1" applyAlignment="1"/>
    <xf numFmtId="0" fontId="0" fillId="6" borderId="11" xfId="0" applyFill="1" applyBorder="1" applyAlignment="1"/>
    <xf numFmtId="0" fontId="0" fillId="6" borderId="12" xfId="0" applyFill="1" applyBorder="1" applyAlignment="1"/>
    <xf numFmtId="0" fontId="4" fillId="2" borderId="7" xfId="0" applyFont="1" applyFill="1" applyBorder="1" applyAlignment="1">
      <alignment horizontal="center"/>
    </xf>
    <xf numFmtId="0" fontId="3" fillId="3" borderId="4" xfId="0" applyFont="1" applyFill="1" applyBorder="1"/>
    <xf numFmtId="0" fontId="0" fillId="3" borderId="4" xfId="0" applyFill="1" applyBorder="1"/>
    <xf numFmtId="0" fontId="0" fillId="3" borderId="8" xfId="0" applyFill="1" applyBorder="1"/>
    <xf numFmtId="0" fontId="0" fillId="3" borderId="11" xfId="0" applyFill="1" applyBorder="1"/>
    <xf numFmtId="0" fontId="0" fillId="3" borderId="7" xfId="0" applyFill="1" applyBorder="1"/>
    <xf numFmtId="0" fontId="0" fillId="3" borderId="5" xfId="0" applyFill="1" applyBorder="1"/>
    <xf numFmtId="0" fontId="0" fillId="4" borderId="5" xfId="0" applyFill="1" applyBorder="1" applyAlignment="1"/>
    <xf numFmtId="0" fontId="0" fillId="5" borderId="5" xfId="0" applyFill="1" applyBorder="1" applyAlignment="1"/>
    <xf numFmtId="0" fontId="0" fillId="6" borderId="5" xfId="0" applyFill="1" applyBorder="1" applyAlignment="1"/>
    <xf numFmtId="0" fontId="0" fillId="6" borderId="19" xfId="0" applyFill="1" applyBorder="1" applyAlignment="1"/>
    <xf numFmtId="0" fontId="3" fillId="2" borderId="7" xfId="0" applyFont="1" applyFill="1" applyBorder="1" applyAlignment="1">
      <alignment horizontal="center"/>
    </xf>
    <xf numFmtId="164" fontId="0" fillId="0" borderId="0" xfId="0" applyNumberFormat="1"/>
    <xf numFmtId="164" fontId="0" fillId="7" borderId="8" xfId="0" applyNumberFormat="1" applyFont="1" applyFill="1" applyBorder="1"/>
    <xf numFmtId="164" fontId="0" fillId="8" borderId="8" xfId="0" applyNumberFormat="1" applyFont="1" applyFill="1" applyBorder="1"/>
    <xf numFmtId="164" fontId="0" fillId="9" borderId="8" xfId="0" applyNumberFormat="1" applyFont="1" applyFill="1" applyBorder="1"/>
    <xf numFmtId="164" fontId="0" fillId="9" borderId="9" xfId="0" applyNumberFormat="1" applyFont="1" applyFill="1" applyBorder="1"/>
    <xf numFmtId="164" fontId="0" fillId="7" borderId="4" xfId="0" applyNumberFormat="1" applyFont="1" applyFill="1" applyBorder="1"/>
    <xf numFmtId="164" fontId="0" fillId="8" borderId="4" xfId="0" applyNumberFormat="1" applyFont="1" applyFill="1" applyBorder="1"/>
    <xf numFmtId="164" fontId="0" fillId="9" borderId="4" xfId="0" applyNumberFormat="1" applyFont="1" applyFill="1" applyBorder="1"/>
    <xf numFmtId="164" fontId="0" fillId="9" borderId="10" xfId="0" applyNumberFormat="1" applyFont="1" applyFill="1" applyBorder="1"/>
    <xf numFmtId="164" fontId="0" fillId="7" borderId="7" xfId="0" applyNumberFormat="1" applyFont="1" applyFill="1" applyBorder="1"/>
    <xf numFmtId="164" fontId="0" fillId="8" borderId="7" xfId="0" applyNumberFormat="1" applyFont="1" applyFill="1" applyBorder="1"/>
    <xf numFmtId="164" fontId="0" fillId="9" borderId="7" xfId="0" applyNumberFormat="1" applyFont="1" applyFill="1" applyBorder="1"/>
    <xf numFmtId="164" fontId="0" fillId="9" borderId="20" xfId="0" applyNumberFormat="1" applyFont="1" applyFill="1" applyBorder="1"/>
    <xf numFmtId="164" fontId="0" fillId="7" borderId="11" xfId="0" applyNumberFormat="1" applyFont="1" applyFill="1" applyBorder="1"/>
    <xf numFmtId="164" fontId="0" fillId="8" borderId="11" xfId="0" applyNumberFormat="1" applyFont="1" applyFill="1" applyBorder="1"/>
    <xf numFmtId="164" fontId="0" fillId="9" borderId="11" xfId="0" applyNumberFormat="1" applyFont="1" applyFill="1" applyBorder="1"/>
    <xf numFmtId="164" fontId="0" fillId="9" borderId="12" xfId="0" applyNumberFormat="1" applyFont="1" applyFill="1" applyBorder="1"/>
    <xf numFmtId="2" fontId="0" fillId="7" borderId="8" xfId="0" applyNumberFormat="1" applyFont="1" applyFill="1" applyBorder="1"/>
    <xf numFmtId="2" fontId="0" fillId="8" borderId="8" xfId="0" applyNumberFormat="1" applyFont="1" applyFill="1" applyBorder="1"/>
    <xf numFmtId="2" fontId="0" fillId="9" borderId="8" xfId="0" applyNumberFormat="1" applyFont="1" applyFill="1" applyBorder="1"/>
    <xf numFmtId="2" fontId="0" fillId="9" borderId="9" xfId="0" applyNumberFormat="1" applyFont="1" applyFill="1" applyBorder="1"/>
    <xf numFmtId="2" fontId="0" fillId="7" borderId="4" xfId="0" applyNumberFormat="1" applyFont="1" applyFill="1" applyBorder="1"/>
    <xf numFmtId="2" fontId="0" fillId="8" borderId="4" xfId="0" applyNumberFormat="1" applyFont="1" applyFill="1" applyBorder="1"/>
    <xf numFmtId="2" fontId="0" fillId="9" borderId="4" xfId="0" applyNumberFormat="1" applyFont="1" applyFill="1" applyBorder="1"/>
    <xf numFmtId="2" fontId="0" fillId="9" borderId="10" xfId="0" applyNumberFormat="1" applyFont="1" applyFill="1" applyBorder="1"/>
    <xf numFmtId="2" fontId="0" fillId="7" borderId="7" xfId="0" applyNumberFormat="1" applyFont="1" applyFill="1" applyBorder="1"/>
    <xf numFmtId="2" fontId="0" fillId="8" borderId="7" xfId="0" applyNumberFormat="1" applyFont="1" applyFill="1" applyBorder="1"/>
    <xf numFmtId="2" fontId="0" fillId="9" borderId="7" xfId="0" applyNumberFormat="1" applyFont="1" applyFill="1" applyBorder="1"/>
    <xf numFmtId="2" fontId="0" fillId="9" borderId="20" xfId="0" applyNumberFormat="1" applyFont="1" applyFill="1" applyBorder="1"/>
    <xf numFmtId="2" fontId="0" fillId="7" borderId="11" xfId="0" applyNumberFormat="1" applyFont="1" applyFill="1" applyBorder="1"/>
    <xf numFmtId="2" fontId="0" fillId="8" borderId="11" xfId="0" applyNumberFormat="1" applyFont="1" applyFill="1" applyBorder="1"/>
    <xf numFmtId="2" fontId="0" fillId="9" borderId="11" xfId="0" applyNumberFormat="1" applyFont="1" applyFill="1" applyBorder="1"/>
    <xf numFmtId="2" fontId="0" fillId="9" borderId="12" xfId="0" applyNumberFormat="1" applyFont="1" applyFill="1" applyBorder="1"/>
    <xf numFmtId="0" fontId="0" fillId="4" borderId="4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/>
    </xf>
    <xf numFmtId="0" fontId="0" fillId="5" borderId="4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165" fontId="0" fillId="4" borderId="4" xfId="1" applyNumberFormat="1" applyFont="1" applyFill="1" applyBorder="1" applyAlignment="1"/>
    <xf numFmtId="165" fontId="0" fillId="5" borderId="4" xfId="1" applyNumberFormat="1" applyFont="1" applyFill="1" applyBorder="1" applyAlignment="1"/>
    <xf numFmtId="165" fontId="0" fillId="6" borderId="4" xfId="1" applyNumberFormat="1" applyFont="1" applyFill="1" applyBorder="1" applyAlignment="1"/>
    <xf numFmtId="165" fontId="0" fillId="4" borderId="8" xfId="1" applyNumberFormat="1" applyFont="1" applyFill="1" applyBorder="1" applyAlignment="1"/>
    <xf numFmtId="165" fontId="0" fillId="5" borderId="8" xfId="1" applyNumberFormat="1" applyFont="1" applyFill="1" applyBorder="1" applyAlignment="1"/>
    <xf numFmtId="165" fontId="0" fillId="6" borderId="8" xfId="1" applyNumberFormat="1" applyFont="1" applyFill="1" applyBorder="1" applyAlignment="1"/>
    <xf numFmtId="165" fontId="0" fillId="6" borderId="9" xfId="1" applyNumberFormat="1" applyFont="1" applyFill="1" applyBorder="1" applyAlignment="1"/>
    <xf numFmtId="165" fontId="0" fillId="6" borderId="10" xfId="1" applyNumberFormat="1" applyFont="1" applyFill="1" applyBorder="1" applyAlignment="1"/>
    <xf numFmtId="165" fontId="0" fillId="4" borderId="11" xfId="1" applyNumberFormat="1" applyFont="1" applyFill="1" applyBorder="1" applyAlignment="1"/>
    <xf numFmtId="165" fontId="0" fillId="5" borderId="11" xfId="1" applyNumberFormat="1" applyFont="1" applyFill="1" applyBorder="1" applyAlignment="1"/>
    <xf numFmtId="165" fontId="0" fillId="6" borderId="11" xfId="1" applyNumberFormat="1" applyFont="1" applyFill="1" applyBorder="1" applyAlignment="1"/>
    <xf numFmtId="165" fontId="0" fillId="6" borderId="12" xfId="1" applyNumberFormat="1" applyFont="1" applyFill="1" applyBorder="1" applyAlignment="1"/>
    <xf numFmtId="0" fontId="0" fillId="3" borderId="6" xfId="0" applyFill="1" applyBorder="1"/>
    <xf numFmtId="0" fontId="0" fillId="3" borderId="22" xfId="0" applyFill="1" applyBorder="1"/>
    <xf numFmtId="0" fontId="0" fillId="3" borderId="23" xfId="0" applyFill="1" applyBorder="1"/>
    <xf numFmtId="0" fontId="4" fillId="2" borderId="25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165" fontId="0" fillId="4" borderId="25" xfId="1" applyNumberFormat="1" applyFont="1" applyFill="1" applyBorder="1" applyAlignment="1"/>
    <xf numFmtId="0" fontId="4" fillId="2" borderId="26" xfId="0" applyFont="1" applyFill="1" applyBorder="1" applyAlignment="1">
      <alignment horizontal="center"/>
    </xf>
    <xf numFmtId="0" fontId="4" fillId="2" borderId="20" xfId="0" applyFont="1" applyFill="1" applyBorder="1" applyAlignment="1">
      <alignment horizontal="center"/>
    </xf>
    <xf numFmtId="165" fontId="0" fillId="4" borderId="24" xfId="1" applyNumberFormat="1" applyFont="1" applyFill="1" applyBorder="1" applyAlignment="1"/>
    <xf numFmtId="165" fontId="0" fillId="4" borderId="27" xfId="1" applyNumberFormat="1" applyFont="1" applyFill="1" applyBorder="1" applyAlignment="1"/>
    <xf numFmtId="165" fontId="0" fillId="5" borderId="9" xfId="1" applyNumberFormat="1" applyFont="1" applyFill="1" applyBorder="1" applyAlignment="1"/>
    <xf numFmtId="165" fontId="0" fillId="5" borderId="10" xfId="1" applyNumberFormat="1" applyFont="1" applyFill="1" applyBorder="1" applyAlignment="1"/>
    <xf numFmtId="165" fontId="0" fillId="5" borderId="12" xfId="1" applyNumberFormat="1" applyFont="1" applyFill="1" applyBorder="1" applyAlignment="1"/>
    <xf numFmtId="0" fontId="0" fillId="0" borderId="0" xfId="0" applyBorder="1"/>
    <xf numFmtId="0" fontId="0" fillId="0" borderId="0" xfId="0" applyBorder="1" applyAlignment="1">
      <alignment vertical="center" wrapText="1"/>
    </xf>
    <xf numFmtId="10" fontId="0" fillId="7" borderId="8" xfId="1" applyNumberFormat="1" applyFont="1" applyFill="1" applyBorder="1"/>
    <xf numFmtId="10" fontId="0" fillId="8" borderId="8" xfId="1" applyNumberFormat="1" applyFont="1" applyFill="1" applyBorder="1"/>
    <xf numFmtId="10" fontId="0" fillId="9" borderId="8" xfId="1" applyNumberFormat="1" applyFont="1" applyFill="1" applyBorder="1"/>
    <xf numFmtId="10" fontId="0" fillId="8" borderId="9" xfId="1" applyNumberFormat="1" applyFont="1" applyFill="1" applyBorder="1"/>
    <xf numFmtId="10" fontId="0" fillId="7" borderId="4" xfId="1" applyNumberFormat="1" applyFont="1" applyFill="1" applyBorder="1"/>
    <xf numFmtId="10" fontId="0" fillId="8" borderId="4" xfId="1" applyNumberFormat="1" applyFont="1" applyFill="1" applyBorder="1"/>
    <xf numFmtId="10" fontId="0" fillId="9" borderId="4" xfId="1" applyNumberFormat="1" applyFont="1" applyFill="1" applyBorder="1"/>
    <xf numFmtId="10" fontId="0" fillId="8" borderId="10" xfId="1" applyNumberFormat="1" applyFont="1" applyFill="1" applyBorder="1"/>
    <xf numFmtId="10" fontId="0" fillId="7" borderId="11" xfId="1" applyNumberFormat="1" applyFont="1" applyFill="1" applyBorder="1"/>
    <xf numFmtId="10" fontId="0" fillId="8" borderId="11" xfId="1" applyNumberFormat="1" applyFont="1" applyFill="1" applyBorder="1"/>
    <xf numFmtId="10" fontId="0" fillId="9" borderId="11" xfId="1" applyNumberFormat="1" applyFont="1" applyFill="1" applyBorder="1"/>
    <xf numFmtId="10" fontId="0" fillId="8" borderId="12" xfId="1" applyNumberFormat="1" applyFont="1" applyFill="1" applyBorder="1"/>
    <xf numFmtId="0" fontId="3" fillId="2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1" fillId="0" borderId="7" xfId="2" applyBorder="1"/>
    <xf numFmtId="0" fontId="0" fillId="4" borderId="32" xfId="0" applyFill="1" applyBorder="1" applyAlignment="1">
      <alignment horizontal="center" vertical="center" wrapText="1"/>
    </xf>
    <xf numFmtId="166" fontId="0" fillId="4" borderId="4" xfId="0" applyNumberFormat="1" applyFill="1" applyBorder="1" applyAlignment="1">
      <alignment horizontal="center" vertical="center" wrapText="1"/>
    </xf>
    <xf numFmtId="0" fontId="1" fillId="0" borderId="33" xfId="2" applyBorder="1"/>
    <xf numFmtId="0" fontId="0" fillId="4" borderId="32" xfId="0" applyFill="1" applyBorder="1" applyAlignment="1">
      <alignment horizontal="center"/>
    </xf>
    <xf numFmtId="0" fontId="1" fillId="0" borderId="5" xfId="2" applyBorder="1"/>
    <xf numFmtId="0" fontId="0" fillId="2" borderId="24" xfId="0" applyFill="1" applyBorder="1"/>
    <xf numFmtId="0" fontId="0" fillId="2" borderId="9" xfId="0" applyFill="1" applyBorder="1"/>
    <xf numFmtId="0" fontId="3" fillId="3" borderId="25" xfId="0" applyFont="1" applyFill="1" applyBorder="1"/>
    <xf numFmtId="0" fontId="0" fillId="3" borderId="10" xfId="0" applyFill="1" applyBorder="1"/>
    <xf numFmtId="0" fontId="3" fillId="2" borderId="4" xfId="0" applyFont="1" applyFill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4" fillId="2" borderId="34" xfId="0" applyFont="1" applyFill="1" applyBorder="1" applyAlignment="1">
      <alignment horizontal="center"/>
    </xf>
    <xf numFmtId="0" fontId="4" fillId="2" borderId="3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3" fillId="2" borderId="24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25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25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3" borderId="7" xfId="0" applyFont="1" applyFill="1" applyBorder="1" applyAlignment="1">
      <alignment horizontal="center" vertical="center" wrapText="1"/>
    </xf>
    <xf numFmtId="0" fontId="3" fillId="3" borderId="33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/>
    </xf>
    <xf numFmtId="0" fontId="0" fillId="3" borderId="3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</cellXfs>
  <cellStyles count="3">
    <cellStyle name="Normal" xfId="0" builtinId="0"/>
    <cellStyle name="Normal 2" xfId="2" xr:uid="{5A29EAF1-F0F0-40AE-9ECC-BA627FC1DF8F}"/>
    <cellStyle name="Porcentaje" xfId="1" builtinId="5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EQXEP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'D-DERIVAS'!$E$4</c:f>
              <c:strCache>
                <c:ptCount val="1"/>
                <c:pt idx="0">
                  <c:v>CASO 1.1 DENTRO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'D-DERIVAS'!$E$5:$E$15</c:f>
              <c:numCache>
                <c:formatCode>0.00%</c:formatCode>
                <c:ptCount val="11"/>
                <c:pt idx="0">
                  <c:v>0.22713240980016192</c:v>
                </c:pt>
                <c:pt idx="1">
                  <c:v>3.2589320594218048E-2</c:v>
                </c:pt>
                <c:pt idx="2">
                  <c:v>-5.8574893578843576E-4</c:v>
                </c:pt>
                <c:pt idx="3">
                  <c:v>-1.9675698538678392E-2</c:v>
                </c:pt>
                <c:pt idx="4">
                  <c:v>-3.0341685126905896E-2</c:v>
                </c:pt>
                <c:pt idx="5">
                  <c:v>-3.6776335249264998E-2</c:v>
                </c:pt>
                <c:pt idx="6">
                  <c:v>-4.124336812348306E-2</c:v>
                </c:pt>
                <c:pt idx="7">
                  <c:v>-4.7204750575780892E-2</c:v>
                </c:pt>
                <c:pt idx="8">
                  <c:v>-5.4498123206490855E-2</c:v>
                </c:pt>
                <c:pt idx="9">
                  <c:v>-6.0177575078395738E-2</c:v>
                </c:pt>
                <c:pt idx="10">
                  <c:v>-6.0241573140302498E-2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35-49FC-9DBC-AFA5FD5C5575}"/>
            </c:ext>
          </c:extLst>
        </c:ser>
        <c:ser>
          <c:idx val="1"/>
          <c:order val="1"/>
          <c:tx>
            <c:strRef>
              <c:f>'D-DERIVAS'!$F$4</c:f>
              <c:strCache>
                <c:ptCount val="1"/>
                <c:pt idx="0">
                  <c:v>CASO 1.2 LATERAL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'D-DERIVAS'!$F$5:$F$15</c:f>
              <c:numCache>
                <c:formatCode>0.00%</c:formatCode>
                <c:ptCount val="11"/>
                <c:pt idx="0">
                  <c:v>0.35837118995119444</c:v>
                </c:pt>
                <c:pt idx="1">
                  <c:v>4.0592770454553437E-2</c:v>
                </c:pt>
                <c:pt idx="2">
                  <c:v>3.866753689421487E-3</c:v>
                </c:pt>
                <c:pt idx="3">
                  <c:v>-1.8174439987205422E-2</c:v>
                </c:pt>
                <c:pt idx="4">
                  <c:v>-3.0454387218393473E-2</c:v>
                </c:pt>
                <c:pt idx="5">
                  <c:v>-3.7611982694068194E-2</c:v>
                </c:pt>
                <c:pt idx="6">
                  <c:v>-4.0036150538853787E-2</c:v>
                </c:pt>
                <c:pt idx="7">
                  <c:v>-4.3283999747162766E-2</c:v>
                </c:pt>
                <c:pt idx="8">
                  <c:v>-5.0841033139099837E-2</c:v>
                </c:pt>
                <c:pt idx="9">
                  <c:v>-5.7098043239905541E-2</c:v>
                </c:pt>
                <c:pt idx="10">
                  <c:v>-5.5467417370830052E-2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35-49FC-9DBC-AFA5FD5C5575}"/>
            </c:ext>
          </c:extLst>
        </c:ser>
        <c:ser>
          <c:idx val="2"/>
          <c:order val="2"/>
          <c:tx>
            <c:strRef>
              <c:f>'D-DERIVAS'!$G$4</c:f>
              <c:strCache>
                <c:ptCount val="1"/>
                <c:pt idx="0">
                  <c:v>CASO 1.3 ESQUINA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'D-DERIVAS'!$G$5:$G$15</c:f>
              <c:numCache>
                <c:formatCode>0.00%</c:formatCode>
                <c:ptCount val="11"/>
                <c:pt idx="0">
                  <c:v>0.34893509001024647</c:v>
                </c:pt>
                <c:pt idx="1">
                  <c:v>-9.2339176926592402E-3</c:v>
                </c:pt>
                <c:pt idx="2">
                  <c:v>-1.1323515343822485E-2</c:v>
                </c:pt>
                <c:pt idx="3">
                  <c:v>2.1959299253928775E-3</c:v>
                </c:pt>
                <c:pt idx="4">
                  <c:v>9.589055340309809E-3</c:v>
                </c:pt>
                <c:pt idx="5">
                  <c:v>1.4032489619448857E-2</c:v>
                </c:pt>
                <c:pt idx="6">
                  <c:v>1.456811262752261E-2</c:v>
                </c:pt>
                <c:pt idx="7">
                  <c:v>1.4108277293074364E-2</c:v>
                </c:pt>
                <c:pt idx="8">
                  <c:v>1.5964585461152692E-2</c:v>
                </c:pt>
                <c:pt idx="9">
                  <c:v>1.7841483588001653E-2</c:v>
                </c:pt>
                <c:pt idx="10">
                  <c:v>1.542639362849905E-2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35-49FC-9DBC-AFA5FD5C5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647488"/>
        <c:axId val="315654152"/>
      </c:lineChart>
      <c:catAx>
        <c:axId val="315647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15654152"/>
        <c:crosses val="autoZero"/>
        <c:auto val="1"/>
        <c:lblAlgn val="ctr"/>
        <c:lblOffset val="100"/>
        <c:noMultiLvlLbl val="0"/>
      </c:catAx>
      <c:valAx>
        <c:axId val="315654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5.9537212442515607E-2"/>
              <c:y val="0.26223827347881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15647488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EQXEN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'D-DERIVAS'!$E$16:$E$26</c:f>
              <c:numCache>
                <c:formatCode>0.00%</c:formatCode>
                <c:ptCount val="11"/>
                <c:pt idx="0">
                  <c:v>0.22638726635200571</c:v>
                </c:pt>
                <c:pt idx="1">
                  <c:v>1.828370228937996E-2</c:v>
                </c:pt>
                <c:pt idx="2">
                  <c:v>-1.7055357556553262E-2</c:v>
                </c:pt>
                <c:pt idx="3">
                  <c:v>-3.8679786993332001E-2</c:v>
                </c:pt>
                <c:pt idx="4">
                  <c:v>-5.1246286793667085E-2</c:v>
                </c:pt>
                <c:pt idx="5">
                  <c:v>-5.876680979174833E-2</c:v>
                </c:pt>
                <c:pt idx="6">
                  <c:v>-6.1536118915765596E-2</c:v>
                </c:pt>
                <c:pt idx="7">
                  <c:v>-6.4481020213686777E-2</c:v>
                </c:pt>
                <c:pt idx="8">
                  <c:v>-7.1556950212766923E-2</c:v>
                </c:pt>
                <c:pt idx="9">
                  <c:v>-7.8105522279129397E-2</c:v>
                </c:pt>
                <c:pt idx="10">
                  <c:v>-8.1561729166654162E-2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16-46DF-9122-CC5323A36CF3}"/>
            </c:ext>
          </c:extLst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'D-DERIVAS'!$F$16:$F$26</c:f>
              <c:numCache>
                <c:formatCode>0.00%</c:formatCode>
                <c:ptCount val="11"/>
                <c:pt idx="0">
                  <c:v>0.33869597647318939</c:v>
                </c:pt>
                <c:pt idx="1">
                  <c:v>6.5639870873514222E-2</c:v>
                </c:pt>
                <c:pt idx="2">
                  <c:v>1.4301889615367821E-2</c:v>
                </c:pt>
                <c:pt idx="3">
                  <c:v>-1.8915911088629597E-2</c:v>
                </c:pt>
                <c:pt idx="4">
                  <c:v>-3.7813819845408964E-2</c:v>
                </c:pt>
                <c:pt idx="5">
                  <c:v>-4.9067479381784317E-2</c:v>
                </c:pt>
                <c:pt idx="6">
                  <c:v>-5.3738066390124961E-2</c:v>
                </c:pt>
                <c:pt idx="7">
                  <c:v>-5.9839850654770418E-2</c:v>
                </c:pt>
                <c:pt idx="8">
                  <c:v>-7.0505682899195524E-2</c:v>
                </c:pt>
                <c:pt idx="9">
                  <c:v>-7.7900564538189623E-2</c:v>
                </c:pt>
                <c:pt idx="10">
                  <c:v>-6.4910294685456754E-2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16-46DF-9122-CC5323A36CF3}"/>
            </c:ext>
          </c:extLst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'D-DERIVAS'!$G$16:$G$26</c:f>
              <c:numCache>
                <c:formatCode>0.00%</c:formatCode>
                <c:ptCount val="11"/>
                <c:pt idx="0">
                  <c:v>0.31552676869698471</c:v>
                </c:pt>
                <c:pt idx="1">
                  <c:v>8.3021458562086897E-2</c:v>
                </c:pt>
                <c:pt idx="2">
                  <c:v>-3.0944705935658928E-3</c:v>
                </c:pt>
                <c:pt idx="3">
                  <c:v>-5.7463455423960051E-2</c:v>
                </c:pt>
                <c:pt idx="4">
                  <c:v>-8.7992958966173401E-2</c:v>
                </c:pt>
                <c:pt idx="5">
                  <c:v>-0.10629552427365919</c:v>
                </c:pt>
                <c:pt idx="6">
                  <c:v>-0.11038608560814994</c:v>
                </c:pt>
                <c:pt idx="7">
                  <c:v>-0.11509401131072755</c:v>
                </c:pt>
                <c:pt idx="8">
                  <c:v>-0.13240121987702971</c:v>
                </c:pt>
                <c:pt idx="9">
                  <c:v>-0.14399519478312328</c:v>
                </c:pt>
                <c:pt idx="10">
                  <c:v>-0.12542275407373077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16-46DF-9122-CC5323A36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654936"/>
        <c:axId val="315652584"/>
      </c:lineChart>
      <c:catAx>
        <c:axId val="315654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15652584"/>
        <c:crosses val="autoZero"/>
        <c:auto val="1"/>
        <c:lblAlgn val="ctr"/>
        <c:lblOffset val="100"/>
        <c:noMultiLvlLbl val="0"/>
      </c:catAx>
      <c:valAx>
        <c:axId val="315652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1.7692475057077724E-2"/>
              <c:y val="0.29131197074138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15654936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EQYEP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'D-DERIVAS'!$E$27:$E$37</c:f>
              <c:numCache>
                <c:formatCode>0.00%</c:formatCode>
                <c:ptCount val="11"/>
                <c:pt idx="0">
                  <c:v>0.38359515011855139</c:v>
                </c:pt>
                <c:pt idx="1">
                  <c:v>-0.1041967389515942</c:v>
                </c:pt>
                <c:pt idx="2">
                  <c:v>-0.14637689785566271</c:v>
                </c:pt>
                <c:pt idx="3">
                  <c:v>-0.1413857731049343</c:v>
                </c:pt>
                <c:pt idx="4">
                  <c:v>-0.13769376583224172</c:v>
                </c:pt>
                <c:pt idx="5">
                  <c:v>-0.13559858166462355</c:v>
                </c:pt>
                <c:pt idx="6">
                  <c:v>-0.13479169413183059</c:v>
                </c:pt>
                <c:pt idx="7">
                  <c:v>-0.13580437855566099</c:v>
                </c:pt>
                <c:pt idx="8">
                  <c:v>-0.14261017338106435</c:v>
                </c:pt>
                <c:pt idx="9">
                  <c:v>-0.14579762182448811</c:v>
                </c:pt>
                <c:pt idx="10">
                  <c:v>-0.16220865793116362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37-4896-9A48-81777CED63FC}"/>
            </c:ext>
          </c:extLst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'D-DERIVAS'!$F$27:$F$37</c:f>
              <c:numCache>
                <c:formatCode>0.00%</c:formatCode>
                <c:ptCount val="11"/>
                <c:pt idx="0">
                  <c:v>6.8760879898748573E-2</c:v>
                </c:pt>
                <c:pt idx="1">
                  <c:v>-0.22312231568607385</c:v>
                </c:pt>
                <c:pt idx="2">
                  <c:v>-5.1194252014626122E-2</c:v>
                </c:pt>
                <c:pt idx="3">
                  <c:v>9.9448311285787634E-3</c:v>
                </c:pt>
                <c:pt idx="4">
                  <c:v>-6.2312032915331876E-3</c:v>
                </c:pt>
                <c:pt idx="5">
                  <c:v>-2.3482163107860089E-2</c:v>
                </c:pt>
                <c:pt idx="6">
                  <c:v>-3.3808930286354608E-2</c:v>
                </c:pt>
                <c:pt idx="7">
                  <c:v>-4.5372975437393645E-2</c:v>
                </c:pt>
                <c:pt idx="8">
                  <c:v>-6.2000286118755521E-2</c:v>
                </c:pt>
                <c:pt idx="9">
                  <c:v>-7.5704448143010084E-2</c:v>
                </c:pt>
                <c:pt idx="10">
                  <c:v>-7.557556226438493E-2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37-4896-9A48-81777CED63FC}"/>
            </c:ext>
          </c:extLst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'D-DERIVAS'!$G$27:$G$37</c:f>
              <c:numCache>
                <c:formatCode>0.00%</c:formatCode>
                <c:ptCount val="11"/>
                <c:pt idx="0">
                  <c:v>0.2121479123557537</c:v>
                </c:pt>
                <c:pt idx="1">
                  <c:v>6.2942490210422336E-2</c:v>
                </c:pt>
                <c:pt idx="2">
                  <c:v>-1.7754403535341992E-3</c:v>
                </c:pt>
                <c:pt idx="3">
                  <c:v>-4.2207776629044971E-2</c:v>
                </c:pt>
                <c:pt idx="4">
                  <c:v>-6.5135767111786882E-2</c:v>
                </c:pt>
                <c:pt idx="5">
                  <c:v>-7.8922526253255354E-2</c:v>
                </c:pt>
                <c:pt idx="6">
                  <c:v>-8.3492918033724883E-2</c:v>
                </c:pt>
                <c:pt idx="7">
                  <c:v>-8.9949440186015833E-2</c:v>
                </c:pt>
                <c:pt idx="8">
                  <c:v>-0.10355037645100605</c:v>
                </c:pt>
                <c:pt idx="9">
                  <c:v>-0.10250443216165338</c:v>
                </c:pt>
                <c:pt idx="10">
                  <c:v>-0.12612675479930288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37-4896-9A48-81777CED6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650624"/>
        <c:axId val="315647880"/>
      </c:lineChart>
      <c:catAx>
        <c:axId val="315650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15647880"/>
        <c:crosses val="autoZero"/>
        <c:auto val="1"/>
        <c:lblAlgn val="ctr"/>
        <c:lblOffset val="100"/>
        <c:noMultiLvlLbl val="0"/>
      </c:catAx>
      <c:valAx>
        <c:axId val="315647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1.7692475057077724E-2"/>
              <c:y val="0.29131197074138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15650624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EQYEN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'D-DERIVAS'!$E$38:$E$48</c:f>
              <c:numCache>
                <c:formatCode>0.00%</c:formatCode>
                <c:ptCount val="11"/>
                <c:pt idx="0">
                  <c:v>0.35431913279542598</c:v>
                </c:pt>
                <c:pt idx="1">
                  <c:v>-2.0680710756865943E-2</c:v>
                </c:pt>
                <c:pt idx="2">
                  <c:v>-2.498018311633696E-2</c:v>
                </c:pt>
                <c:pt idx="3">
                  <c:v>-2.6407323277330169E-2</c:v>
                </c:pt>
                <c:pt idx="4">
                  <c:v>-2.6401505208723596E-2</c:v>
                </c:pt>
                <c:pt idx="5">
                  <c:v>-2.6353262041380752E-2</c:v>
                </c:pt>
                <c:pt idx="6">
                  <c:v>-2.9766193165938339E-2</c:v>
                </c:pt>
                <c:pt idx="7">
                  <c:v>-3.423383997844634E-2</c:v>
                </c:pt>
                <c:pt idx="8">
                  <c:v>-3.6051983530498079E-2</c:v>
                </c:pt>
                <c:pt idx="9">
                  <c:v>-3.3055465478435325E-2</c:v>
                </c:pt>
                <c:pt idx="10">
                  <c:v>-1.9850755607948342E-2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CF-4F64-8441-C92E5D1DD03D}"/>
            </c:ext>
          </c:extLst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'D-DERIVAS'!$F$38:$F$48</c:f>
              <c:numCache>
                <c:formatCode>0.00%</c:formatCode>
                <c:ptCount val="11"/>
                <c:pt idx="0">
                  <c:v>6.2710862093401279E-2</c:v>
                </c:pt>
                <c:pt idx="1">
                  <c:v>-0.21135433579482077</c:v>
                </c:pt>
                <c:pt idx="2">
                  <c:v>-2.4481179455513116E-2</c:v>
                </c:pt>
                <c:pt idx="3">
                  <c:v>-2.190028355059143E-2</c:v>
                </c:pt>
                <c:pt idx="4">
                  <c:v>-2.0574014638812151E-2</c:v>
                </c:pt>
                <c:pt idx="5">
                  <c:v>-2.0011032967219414E-2</c:v>
                </c:pt>
                <c:pt idx="6">
                  <c:v>-2.089422447579414E-2</c:v>
                </c:pt>
                <c:pt idx="7">
                  <c:v>-2.252874871782759E-2</c:v>
                </c:pt>
                <c:pt idx="8">
                  <c:v>-2.3691561366716525E-2</c:v>
                </c:pt>
                <c:pt idx="9">
                  <c:v>-2.3963510918465304E-2</c:v>
                </c:pt>
                <c:pt idx="10">
                  <c:v>-2.3159265721389356E-2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CF-4F64-8441-C92E5D1DD03D}"/>
            </c:ext>
          </c:extLst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'D-DERIVAS'!$G$38:$G$48</c:f>
              <c:numCache>
                <c:formatCode>0.00%</c:formatCode>
                <c:ptCount val="11"/>
                <c:pt idx="0">
                  <c:v>0.22806591148716723</c:v>
                </c:pt>
                <c:pt idx="1">
                  <c:v>8.2880109145313144E-2</c:v>
                </c:pt>
                <c:pt idx="2">
                  <c:v>8.9095166844207971E-3</c:v>
                </c:pt>
                <c:pt idx="3">
                  <c:v>8.8255319578596936E-3</c:v>
                </c:pt>
                <c:pt idx="4">
                  <c:v>8.460485907540255E-3</c:v>
                </c:pt>
                <c:pt idx="5">
                  <c:v>8.1381337297749459E-3</c:v>
                </c:pt>
                <c:pt idx="6">
                  <c:v>7.2845325527245612E-3</c:v>
                </c:pt>
                <c:pt idx="7">
                  <c:v>6.6832478376725431E-3</c:v>
                </c:pt>
                <c:pt idx="8">
                  <c:v>5.4817669331462399E-3</c:v>
                </c:pt>
                <c:pt idx="9">
                  <c:v>4.2884665537314143E-3</c:v>
                </c:pt>
                <c:pt idx="10">
                  <c:v>2.5704035196871767E-3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CF-4F64-8441-C92E5D1DD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91400"/>
        <c:axId val="320786304"/>
      </c:lineChart>
      <c:catAx>
        <c:axId val="320791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0786304"/>
        <c:crosses val="autoZero"/>
        <c:auto val="1"/>
        <c:lblAlgn val="ctr"/>
        <c:lblOffset val="100"/>
        <c:noMultiLvlLbl val="0"/>
      </c:catAx>
      <c:valAx>
        <c:axId val="32078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1.7692475057077724E-2"/>
              <c:y val="0.29131197074138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0791400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(EQXEP)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'D-DERIVAS'!$H$5:$H$15</c:f>
              <c:numCache>
                <c:formatCode>0.00%</c:formatCode>
                <c:ptCount val="11"/>
                <c:pt idx="0">
                  <c:v>8.2490955828586413E-3</c:v>
                </c:pt>
                <c:pt idx="1">
                  <c:v>6.0659388154397559E-2</c:v>
                </c:pt>
                <c:pt idx="2">
                  <c:v>3.8394493236596175E-2</c:v>
                </c:pt>
                <c:pt idx="3">
                  <c:v>2.9211052866822573E-2</c:v>
                </c:pt>
                <c:pt idx="4">
                  <c:v>2.3943212092781371E-2</c:v>
                </c:pt>
                <c:pt idx="5">
                  <c:v>2.0701271852703974E-2</c:v>
                </c:pt>
                <c:pt idx="6">
                  <c:v>1.9617659106911912E-2</c:v>
                </c:pt>
                <c:pt idx="7">
                  <c:v>1.8575260686409894E-2</c:v>
                </c:pt>
                <c:pt idx="8">
                  <c:v>1.726271760212849E-2</c:v>
                </c:pt>
                <c:pt idx="9">
                  <c:v>1.3692308659255418E-2</c:v>
                </c:pt>
                <c:pt idx="10">
                  <c:v>4.513889418764949E-3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9E-4F7E-B3AD-4757F9F81477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'D-DERIVAS'!$I$5:$I$15</c:f>
              <c:numCache>
                <c:formatCode>0.00%</c:formatCode>
                <c:ptCount val="11"/>
                <c:pt idx="0">
                  <c:v>8.6854048721783511E-2</c:v>
                </c:pt>
                <c:pt idx="1">
                  <c:v>0.17775962774347775</c:v>
                </c:pt>
                <c:pt idx="2">
                  <c:v>9.5893759019326535E-2</c:v>
                </c:pt>
                <c:pt idx="3">
                  <c:v>3.7140818114218682E-2</c:v>
                </c:pt>
                <c:pt idx="4">
                  <c:v>5.3405879517613424E-3</c:v>
                </c:pt>
                <c:pt idx="5">
                  <c:v>-1.3611362549680196E-2</c:v>
                </c:pt>
                <c:pt idx="6">
                  <c:v>-2.3524747974512254E-2</c:v>
                </c:pt>
                <c:pt idx="7">
                  <c:v>-3.29288349943819E-2</c:v>
                </c:pt>
                <c:pt idx="8">
                  <c:v>-4.5559908213498423E-2</c:v>
                </c:pt>
                <c:pt idx="9">
                  <c:v>-5.5859444699573754E-2</c:v>
                </c:pt>
                <c:pt idx="10">
                  <c:v>-4.7586028778101315E-2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9E-4F7E-B3AD-4757F9F8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92968"/>
        <c:axId val="320791792"/>
      </c:lineChart>
      <c:catAx>
        <c:axId val="320792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0791792"/>
        <c:crosses val="autoZero"/>
        <c:auto val="1"/>
        <c:lblAlgn val="ctr"/>
        <c:lblOffset val="100"/>
        <c:noMultiLvlLbl val="0"/>
      </c:catAx>
      <c:valAx>
        <c:axId val="32079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079296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(EQXEN)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'D-DERIVAS'!$H$16:$H$26</c:f>
              <c:numCache>
                <c:formatCode>0.00%</c:formatCode>
                <c:ptCount val="11"/>
                <c:pt idx="0">
                  <c:v>-1.2077551783840648E-2</c:v>
                </c:pt>
                <c:pt idx="1">
                  <c:v>1.9532987847408867E-2</c:v>
                </c:pt>
                <c:pt idx="2">
                  <c:v>2.0402872961886743E-2</c:v>
                </c:pt>
                <c:pt idx="3">
                  <c:v>2.6598455905118668E-2</c:v>
                </c:pt>
                <c:pt idx="4">
                  <c:v>3.0087606375548706E-2</c:v>
                </c:pt>
                <c:pt idx="5">
                  <c:v>3.2523750351912635E-2</c:v>
                </c:pt>
                <c:pt idx="6">
                  <c:v>3.7505205205520385E-2</c:v>
                </c:pt>
                <c:pt idx="7">
                  <c:v>4.4458249718858436E-2</c:v>
                </c:pt>
                <c:pt idx="8">
                  <c:v>4.8245108234606982E-2</c:v>
                </c:pt>
                <c:pt idx="9">
                  <c:v>4.6058721309284137E-2</c:v>
                </c:pt>
                <c:pt idx="10">
                  <c:v>1.746730729689789E-2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C-4A32-ABC0-363A8DC892C1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'D-DERIVAS'!$I$16:$I$26</c:f>
              <c:numCache>
                <c:formatCode>0.00%</c:formatCode>
                <c:ptCount val="11"/>
                <c:pt idx="0">
                  <c:v>-7.8782895227508004E-2</c:v>
                </c:pt>
                <c:pt idx="1">
                  <c:v>-4.1614348909164177E-2</c:v>
                </c:pt>
                <c:pt idx="2">
                  <c:v>2.4059635554011125E-2</c:v>
                </c:pt>
                <c:pt idx="3">
                  <c:v>7.0913931695459717E-2</c:v>
                </c:pt>
                <c:pt idx="4">
                  <c:v>9.8738236012182845E-2</c:v>
                </c:pt>
                <c:pt idx="5">
                  <c:v>0.11693505050044993</c:v>
                </c:pt>
                <c:pt idx="6">
                  <c:v>0.12857602133151408</c:v>
                </c:pt>
                <c:pt idx="7">
                  <c:v>0.14115430759133893</c:v>
                </c:pt>
                <c:pt idx="8">
                  <c:v>0.15922544983689074</c:v>
                </c:pt>
                <c:pt idx="9">
                  <c:v>0.1658329129274676</c:v>
                </c:pt>
                <c:pt idx="10">
                  <c:v>0.11610562731352658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C-4A32-ABC0-363A8DC89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90616"/>
        <c:axId val="320791008"/>
      </c:lineChart>
      <c:catAx>
        <c:axId val="320790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0791008"/>
        <c:crosses val="autoZero"/>
        <c:auto val="1"/>
        <c:lblAlgn val="ctr"/>
        <c:lblOffset val="100"/>
        <c:noMultiLvlLbl val="0"/>
      </c:catAx>
      <c:valAx>
        <c:axId val="3207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079061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(EQYEP)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'D-DERIVAS'!$H$27:$H$37</c:f>
              <c:numCache>
                <c:formatCode>0.00%</c:formatCode>
                <c:ptCount val="11"/>
                <c:pt idx="0">
                  <c:v>-0.42452982857242555</c:v>
                </c:pt>
                <c:pt idx="1">
                  <c:v>-0.2820748889652625</c:v>
                </c:pt>
                <c:pt idx="2">
                  <c:v>-0.24292469646497913</c:v>
                </c:pt>
                <c:pt idx="3">
                  <c:v>-0.19013293574155968</c:v>
                </c:pt>
                <c:pt idx="4">
                  <c:v>-0.15716898127182111</c:v>
                </c:pt>
                <c:pt idx="5">
                  <c:v>-0.13639381858446742</c:v>
                </c:pt>
                <c:pt idx="6">
                  <c:v>-0.12857150929371833</c:v>
                </c:pt>
                <c:pt idx="7">
                  <c:v>-0.12046450902755451</c:v>
                </c:pt>
                <c:pt idx="8">
                  <c:v>-0.10455377739949641</c:v>
                </c:pt>
                <c:pt idx="9">
                  <c:v>-8.9139845991682093E-2</c:v>
                </c:pt>
                <c:pt idx="10">
                  <c:v>-8.9622815669482658E-2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A3-48BF-8572-4F4A01977DA9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'D-DERIVAS'!$I$27:$I$37</c:f>
              <c:numCache>
                <c:formatCode>0.00%</c:formatCode>
                <c:ptCount val="11"/>
                <c:pt idx="0">
                  <c:v>-0.49925533194160171</c:v>
                </c:pt>
                <c:pt idx="1">
                  <c:v>-0.35482837140263501</c:v>
                </c:pt>
                <c:pt idx="2">
                  <c:v>-0.29055856226534249</c:v>
                </c:pt>
                <c:pt idx="3">
                  <c:v>-0.22312950283122704</c:v>
                </c:pt>
                <c:pt idx="4">
                  <c:v>-0.17981609483310396</c:v>
                </c:pt>
                <c:pt idx="5">
                  <c:v>-0.15074677702542169</c:v>
                </c:pt>
                <c:pt idx="6">
                  <c:v>-0.13652972973336491</c:v>
                </c:pt>
                <c:pt idx="7">
                  <c:v>-0.12180668222333169</c:v>
                </c:pt>
                <c:pt idx="8">
                  <c:v>-9.7589390094589237E-2</c:v>
                </c:pt>
                <c:pt idx="9">
                  <c:v>-8.9204451479697369E-2</c:v>
                </c:pt>
                <c:pt idx="10">
                  <c:v>-7.4512957316104925E-2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A3-48BF-8572-4F4A01977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87088"/>
        <c:axId val="320788656"/>
      </c:lineChart>
      <c:catAx>
        <c:axId val="32078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0788656"/>
        <c:crosses val="autoZero"/>
        <c:auto val="1"/>
        <c:lblAlgn val="ctr"/>
        <c:lblOffset val="100"/>
        <c:noMultiLvlLbl val="0"/>
      </c:catAx>
      <c:valAx>
        <c:axId val="32078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078708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(EQYEN)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 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'D-DERIVAS'!$H$38:$H$48</c:f>
              <c:numCache>
                <c:formatCode>0.00%</c:formatCode>
                <c:ptCount val="11"/>
                <c:pt idx="0">
                  <c:v>-0.35070897773896847</c:v>
                </c:pt>
                <c:pt idx="1">
                  <c:v>-6.6963408118290338E-2</c:v>
                </c:pt>
                <c:pt idx="2">
                  <c:v>-7.9223954837029056E-2</c:v>
                </c:pt>
                <c:pt idx="3">
                  <c:v>-8.3593084987838309E-2</c:v>
                </c:pt>
                <c:pt idx="4">
                  <c:v>-8.4291005647852593E-2</c:v>
                </c:pt>
                <c:pt idx="5">
                  <c:v>-8.3858324275165527E-2</c:v>
                </c:pt>
                <c:pt idx="6">
                  <c:v>-8.4922204103139678E-2</c:v>
                </c:pt>
                <c:pt idx="7">
                  <c:v>-8.6604381930259641E-2</c:v>
                </c:pt>
                <c:pt idx="8">
                  <c:v>-8.6611871566827939E-2</c:v>
                </c:pt>
                <c:pt idx="9">
                  <c:v>-8.2183064034746109E-2</c:v>
                </c:pt>
                <c:pt idx="10">
                  <c:v>-6.6345830604568182E-2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C9-4892-B228-0BBEB0021D4F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'D-DERIVAS'!$I$38:$I$48</c:f>
              <c:numCache>
                <c:formatCode>0.00%</c:formatCode>
                <c:ptCount val="11"/>
                <c:pt idx="0">
                  <c:v>-0.45498036473705888</c:v>
                </c:pt>
                <c:pt idx="1">
                  <c:v>-0.16133195640967371</c:v>
                </c:pt>
                <c:pt idx="2">
                  <c:v>-5.6580183460717012E-2</c:v>
                </c:pt>
                <c:pt idx="3">
                  <c:v>-6.0488729653038052E-2</c:v>
                </c:pt>
                <c:pt idx="4">
                  <c:v>-6.0229662108189579E-2</c:v>
                </c:pt>
                <c:pt idx="5">
                  <c:v>-5.9361870437355614E-2</c:v>
                </c:pt>
                <c:pt idx="6">
                  <c:v>-6.2189141574985604E-2</c:v>
                </c:pt>
                <c:pt idx="7">
                  <c:v>-6.6196950208361152E-2</c:v>
                </c:pt>
                <c:pt idx="8">
                  <c:v>-6.6093488511411905E-2</c:v>
                </c:pt>
                <c:pt idx="9">
                  <c:v>-6.0925446065352121E-2</c:v>
                </c:pt>
                <c:pt idx="10">
                  <c:v>-4.1079564073084981E-2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C9-4892-B228-0BBEB0021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89048"/>
        <c:axId val="320789440"/>
      </c:lineChart>
      <c:catAx>
        <c:axId val="320789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0789440"/>
        <c:crosses val="autoZero"/>
        <c:auto val="1"/>
        <c:lblAlgn val="ctr"/>
        <c:lblOffset val="100"/>
        <c:noMultiLvlLbl val="0"/>
      </c:catAx>
      <c:valAx>
        <c:axId val="32078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0789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EQXEP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'D-IRRE TORSIONAL'!$E$4</c:f>
              <c:strCache>
                <c:ptCount val="1"/>
                <c:pt idx="0">
                  <c:v>CASO 1.1 DENTRO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TORSIONAL'!$E$5:$E$15</c:f>
              <c:numCache>
                <c:formatCode>0.00%</c:formatCode>
                <c:ptCount val="11"/>
                <c:pt idx="0">
                  <c:v>9.3111997277305699E-4</c:v>
                </c:pt>
                <c:pt idx="1">
                  <c:v>6.7244827538259994E-3</c:v>
                </c:pt>
                <c:pt idx="2">
                  <c:v>7.208563138629007E-3</c:v>
                </c:pt>
                <c:pt idx="3">
                  <c:v>7.7131681124093174E-3</c:v>
                </c:pt>
                <c:pt idx="4">
                  <c:v>8.1603478235686144E-3</c:v>
                </c:pt>
                <c:pt idx="5">
                  <c:v>8.5301977128392267E-3</c:v>
                </c:pt>
                <c:pt idx="6">
                  <c:v>8.8071235606421768E-3</c:v>
                </c:pt>
                <c:pt idx="7">
                  <c:v>9.1492800536668775E-3</c:v>
                </c:pt>
                <c:pt idx="8">
                  <c:v>9.8282420048740153E-3</c:v>
                </c:pt>
                <c:pt idx="9">
                  <c:v>1.0994774883695711E-2</c:v>
                </c:pt>
                <c:pt idx="10">
                  <c:v>1.3192343112044716E-2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E7-4EE4-AF99-C2FF47056216}"/>
            </c:ext>
          </c:extLst>
        </c:ser>
        <c:ser>
          <c:idx val="1"/>
          <c:order val="1"/>
          <c:tx>
            <c:strRef>
              <c:f>'D-IRRE TORSIONAL'!$F$4</c:f>
              <c:strCache>
                <c:ptCount val="1"/>
                <c:pt idx="0">
                  <c:v>CASO 1.2 LATERAL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TORSIONAL'!$F$5:$F$15</c:f>
              <c:numCache>
                <c:formatCode>0.00%</c:formatCode>
                <c:ptCount val="11"/>
                <c:pt idx="0">
                  <c:v>6.2467607915314791E-4</c:v>
                </c:pt>
                <c:pt idx="1">
                  <c:v>2.7837874692609242E-3</c:v>
                </c:pt>
                <c:pt idx="2">
                  <c:v>3.5665563311200851E-3</c:v>
                </c:pt>
                <c:pt idx="3">
                  <c:v>4.4790296219336181E-3</c:v>
                </c:pt>
                <c:pt idx="4">
                  <c:v>5.3121256757102577E-3</c:v>
                </c:pt>
                <c:pt idx="5">
                  <c:v>6.0427296454024122E-3</c:v>
                </c:pt>
                <c:pt idx="6">
                  <c:v>6.663298080410076E-3</c:v>
                </c:pt>
                <c:pt idx="7">
                  <c:v>7.1161738703570485E-3</c:v>
                </c:pt>
                <c:pt idx="8">
                  <c:v>7.1312470673334048E-3</c:v>
                </c:pt>
                <c:pt idx="9">
                  <c:v>6.1248983547524827E-3</c:v>
                </c:pt>
                <c:pt idx="10">
                  <c:v>2.328944872784016E-3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E7-4EE4-AF99-C2FF47056216}"/>
            </c:ext>
          </c:extLst>
        </c:ser>
        <c:ser>
          <c:idx val="2"/>
          <c:order val="2"/>
          <c:tx>
            <c:strRef>
              <c:f>'D-IRRE TORSIONAL'!$G$4</c:f>
              <c:strCache>
                <c:ptCount val="1"/>
                <c:pt idx="0">
                  <c:v>CASO 1.3 ESQUINA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TORSIONAL'!$G$5:$G$15</c:f>
              <c:numCache>
                <c:formatCode>0.00%</c:formatCode>
                <c:ptCount val="11"/>
                <c:pt idx="0">
                  <c:v>6.7249515721504848E-3</c:v>
                </c:pt>
                <c:pt idx="1">
                  <c:v>3.9053121795772507E-2</c:v>
                </c:pt>
                <c:pt idx="2">
                  <c:v>4.3272852035867414E-2</c:v>
                </c:pt>
                <c:pt idx="3">
                  <c:v>4.7262556303375884E-2</c:v>
                </c:pt>
                <c:pt idx="4">
                  <c:v>5.0441980900564266E-2</c:v>
                </c:pt>
                <c:pt idx="5">
                  <c:v>5.2866689999574237E-2</c:v>
                </c:pt>
                <c:pt idx="6">
                  <c:v>5.4581472657630671E-2</c:v>
                </c:pt>
                <c:pt idx="7">
                  <c:v>5.6546361560597835E-2</c:v>
                </c:pt>
                <c:pt idx="8">
                  <c:v>5.9059939980237432E-2</c:v>
                </c:pt>
                <c:pt idx="9">
                  <c:v>5.9672536073565922E-2</c:v>
                </c:pt>
                <c:pt idx="10">
                  <c:v>5.4014888434454171E-2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E7-4EE4-AF99-C2FF47056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93752"/>
        <c:axId val="257816320"/>
      </c:lineChart>
      <c:catAx>
        <c:axId val="320793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257816320"/>
        <c:crosses val="autoZero"/>
        <c:auto val="1"/>
        <c:lblAlgn val="ctr"/>
        <c:lblOffset val="100"/>
        <c:noMultiLvlLbl val="0"/>
      </c:catAx>
      <c:valAx>
        <c:axId val="25781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5.9537212442515607E-2"/>
              <c:y val="0.26223827347881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0793752"/>
        <c:crosses val="autoZero"/>
        <c:crossBetween val="between"/>
        <c:majorUnit val="1.0000000000000002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EQXEN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TORSIONAL'!$E$16:$E$26</c:f>
              <c:numCache>
                <c:formatCode>0.00%</c:formatCode>
                <c:ptCount val="11"/>
                <c:pt idx="0">
                  <c:v>-2.2915442584483E-3</c:v>
                </c:pt>
                <c:pt idx="1">
                  <c:v>-1.1736240973493038E-2</c:v>
                </c:pt>
                <c:pt idx="2">
                  <c:v>-1.1555563656878456E-2</c:v>
                </c:pt>
                <c:pt idx="3">
                  <c:v>-1.1361205754257449E-2</c:v>
                </c:pt>
                <c:pt idx="4">
                  <c:v>-1.1078224982630525E-2</c:v>
                </c:pt>
                <c:pt idx="5">
                  <c:v>-1.0630616507225061E-2</c:v>
                </c:pt>
                <c:pt idx="6">
                  <c:v>-9.9624640341452984E-3</c:v>
                </c:pt>
                <c:pt idx="7">
                  <c:v>-9.3558059958797138E-3</c:v>
                </c:pt>
                <c:pt idx="8">
                  <c:v>-9.159946481651882E-3</c:v>
                </c:pt>
                <c:pt idx="9">
                  <c:v>-8.9923256825780468E-3</c:v>
                </c:pt>
                <c:pt idx="10">
                  <c:v>-8.8427085988396978E-3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07-470B-A28A-D1D6E442105D}"/>
            </c:ext>
          </c:extLst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TORSIONAL'!$F$16:$F$26</c:f>
              <c:numCache>
                <c:formatCode>0.00%</c:formatCode>
                <c:ptCount val="11"/>
                <c:pt idx="0">
                  <c:v>-1.2467487922364359E-4</c:v>
                </c:pt>
                <c:pt idx="1">
                  <c:v>-5.2654552846311473E-3</c:v>
                </c:pt>
                <c:pt idx="2">
                  <c:v>-5.998227289407472E-3</c:v>
                </c:pt>
                <c:pt idx="3">
                  <c:v>-6.6846014301085036E-3</c:v>
                </c:pt>
                <c:pt idx="4">
                  <c:v>-7.2149082301995859E-3</c:v>
                </c:pt>
                <c:pt idx="5">
                  <c:v>-7.6113471122884312E-3</c:v>
                </c:pt>
                <c:pt idx="6">
                  <c:v>-7.9081303097158148E-3</c:v>
                </c:pt>
                <c:pt idx="7">
                  <c:v>-8.2412841746791338E-3</c:v>
                </c:pt>
                <c:pt idx="8">
                  <c:v>-8.5534898908462952E-3</c:v>
                </c:pt>
                <c:pt idx="9">
                  <c:v>-8.4707944507218941E-3</c:v>
                </c:pt>
                <c:pt idx="10">
                  <c:v>-6.8037516731077772E-3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07-470B-A28A-D1D6E442105D}"/>
            </c:ext>
          </c:extLst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TORSIONAL'!$G$16:$G$26</c:f>
              <c:numCache>
                <c:formatCode>0.00%</c:formatCode>
                <c:ptCount val="11"/>
                <c:pt idx="0">
                  <c:v>-8.0799663285262141E-3</c:v>
                </c:pt>
                <c:pt idx="1">
                  <c:v>-6.4305746934984004E-2</c:v>
                </c:pt>
                <c:pt idx="2">
                  <c:v>-6.9394096559044799E-2</c:v>
                </c:pt>
                <c:pt idx="3">
                  <c:v>-7.4120198071127907E-2</c:v>
                </c:pt>
                <c:pt idx="4">
                  <c:v>-7.7831549123948338E-2</c:v>
                </c:pt>
                <c:pt idx="5">
                  <c:v>-8.0602006415822811E-2</c:v>
                </c:pt>
                <c:pt idx="6">
                  <c:v>-8.254344533381662E-2</c:v>
                </c:pt>
                <c:pt idx="7">
                  <c:v>-8.4997029243828209E-2</c:v>
                </c:pt>
                <c:pt idx="8">
                  <c:v>-8.8425903707729805E-2</c:v>
                </c:pt>
                <c:pt idx="9">
                  <c:v>-8.9932317237384998E-2</c:v>
                </c:pt>
                <c:pt idx="10">
                  <c:v>-8.4489227442089296E-2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07-470B-A28A-D1D6E4421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665960"/>
        <c:axId val="321663216"/>
      </c:lineChart>
      <c:catAx>
        <c:axId val="321665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1663216"/>
        <c:crosses val="autoZero"/>
        <c:auto val="1"/>
        <c:lblAlgn val="ctr"/>
        <c:lblOffset val="100"/>
        <c:noMultiLvlLbl val="0"/>
      </c:catAx>
      <c:valAx>
        <c:axId val="32166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1.7692475057077724E-2"/>
              <c:y val="0.29131197074138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1665960"/>
        <c:crosses val="autoZero"/>
        <c:crossBetween val="between"/>
        <c:majorUnit val="1.0000000000000002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EQYEP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TORSIONAL'!$E$27:$E$37</c:f>
              <c:numCache>
                <c:formatCode>0.00%</c:formatCode>
                <c:ptCount val="11"/>
                <c:pt idx="0">
                  <c:v>-4.2798823964646212E-3</c:v>
                </c:pt>
                <c:pt idx="1">
                  <c:v>-2.9770877678673865E-2</c:v>
                </c:pt>
                <c:pt idx="2">
                  <c:v>-2.7371628112310153E-2</c:v>
                </c:pt>
                <c:pt idx="3">
                  <c:v>-2.5291702529694333E-2</c:v>
                </c:pt>
                <c:pt idx="4">
                  <c:v>-2.4318011108931316E-2</c:v>
                </c:pt>
                <c:pt idx="5">
                  <c:v>-2.4728065123852665E-2</c:v>
                </c:pt>
                <c:pt idx="6">
                  <c:v>-2.668137690784507E-2</c:v>
                </c:pt>
                <c:pt idx="7">
                  <c:v>-2.9879886305283931E-2</c:v>
                </c:pt>
                <c:pt idx="8">
                  <c:v>-3.5168495920531964E-2</c:v>
                </c:pt>
                <c:pt idx="9">
                  <c:v>-4.6298626688578301E-2</c:v>
                </c:pt>
                <c:pt idx="10">
                  <c:v>-7.1797115223281541E-2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21-493F-A4E3-368E57DC62F6}"/>
            </c:ext>
          </c:extLst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TORSIONAL'!$F$27:$F$37</c:f>
              <c:numCache>
                <c:formatCode>0.00%</c:formatCode>
                <c:ptCount val="11"/>
                <c:pt idx="0">
                  <c:v>5.5724947421335611E-3</c:v>
                </c:pt>
                <c:pt idx="1">
                  <c:v>1.7657065384925941E-2</c:v>
                </c:pt>
                <c:pt idx="2">
                  <c:v>1.3280543168470674E-2</c:v>
                </c:pt>
                <c:pt idx="3">
                  <c:v>9.369833424490789E-3</c:v>
                </c:pt>
                <c:pt idx="4">
                  <c:v>6.2155430784084061E-3</c:v>
                </c:pt>
                <c:pt idx="5">
                  <c:v>3.5376860498491976E-3</c:v>
                </c:pt>
                <c:pt idx="6">
                  <c:v>1.0631783823821144E-3</c:v>
                </c:pt>
                <c:pt idx="7">
                  <c:v>-1.5584097433317462E-3</c:v>
                </c:pt>
                <c:pt idx="8">
                  <c:v>-4.2456093671921092E-3</c:v>
                </c:pt>
                <c:pt idx="9">
                  <c:v>-5.7374111533631368E-3</c:v>
                </c:pt>
                <c:pt idx="10">
                  <c:v>-2.6892533109141538E-3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21-493F-A4E3-368E57DC62F6}"/>
            </c:ext>
          </c:extLst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TORSIONAL'!$G$27:$G$37</c:f>
              <c:numCache>
                <c:formatCode>0.00%</c:formatCode>
                <c:ptCount val="11"/>
                <c:pt idx="0">
                  <c:v>-8.4925429986916663E-3</c:v>
                </c:pt>
                <c:pt idx="1">
                  <c:v>-4.9423338526310839E-2</c:v>
                </c:pt>
                <c:pt idx="2">
                  <c:v>-5.2771664900494793E-2</c:v>
                </c:pt>
                <c:pt idx="3">
                  <c:v>-5.5885150178448667E-2</c:v>
                </c:pt>
                <c:pt idx="4">
                  <c:v>-5.8427767183882255E-2</c:v>
                </c:pt>
                <c:pt idx="5">
                  <c:v>-6.0510972120148478E-2</c:v>
                </c:pt>
                <c:pt idx="6">
                  <c:v>-6.2309602599828498E-2</c:v>
                </c:pt>
                <c:pt idx="7">
                  <c:v>-6.4766942896755927E-2</c:v>
                </c:pt>
                <c:pt idx="8">
                  <c:v>-6.7357243595332975E-2</c:v>
                </c:pt>
                <c:pt idx="9">
                  <c:v>-6.818510412557699E-2</c:v>
                </c:pt>
                <c:pt idx="10">
                  <c:v>-7.3386156866970503E-2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21-493F-A4E3-368E57DC6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660864"/>
        <c:axId val="321666352"/>
      </c:lineChart>
      <c:catAx>
        <c:axId val="32166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1666352"/>
        <c:crosses val="autoZero"/>
        <c:auto val="1"/>
        <c:lblAlgn val="ctr"/>
        <c:lblOffset val="100"/>
        <c:noMultiLvlLbl val="0"/>
      </c:catAx>
      <c:valAx>
        <c:axId val="32166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1.7692475057077724E-2"/>
              <c:y val="0.29131197074138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1660864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EQYEN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TORSIONAL'!$E$38:$E$48</c:f>
              <c:numCache>
                <c:formatCode>0.00%</c:formatCode>
                <c:ptCount val="11"/>
                <c:pt idx="0">
                  <c:v>1.8568186175390924E-2</c:v>
                </c:pt>
                <c:pt idx="1">
                  <c:v>8.203172334689883E-2</c:v>
                </c:pt>
                <c:pt idx="2">
                  <c:v>8.3700718506969085E-2</c:v>
                </c:pt>
                <c:pt idx="3">
                  <c:v>8.5147365492247343E-2</c:v>
                </c:pt>
                <c:pt idx="4">
                  <c:v>8.5904857027671144E-2</c:v>
                </c:pt>
                <c:pt idx="5">
                  <c:v>8.5818640424706716E-2</c:v>
                </c:pt>
                <c:pt idx="6">
                  <c:v>8.4818502915413041E-2</c:v>
                </c:pt>
                <c:pt idx="7">
                  <c:v>8.4091568792132823E-2</c:v>
                </c:pt>
                <c:pt idx="8">
                  <c:v>8.4086468834852671E-2</c:v>
                </c:pt>
                <c:pt idx="9">
                  <c:v>8.1372386996086912E-2</c:v>
                </c:pt>
                <c:pt idx="10">
                  <c:v>7.3334643895654306E-2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2A-4FF3-B7EA-613F0EFE6CF8}"/>
            </c:ext>
          </c:extLst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TORSIONAL'!$F$38:$F$48</c:f>
              <c:numCache>
                <c:formatCode>0.00%</c:formatCode>
                <c:ptCount val="11"/>
                <c:pt idx="0">
                  <c:v>3.1429142820603125E-4</c:v>
                </c:pt>
                <c:pt idx="1">
                  <c:v>3.8791250633740768E-2</c:v>
                </c:pt>
                <c:pt idx="2">
                  <c:v>4.295821865487974E-2</c:v>
                </c:pt>
                <c:pt idx="3">
                  <c:v>4.6629871837495729E-2</c:v>
                </c:pt>
                <c:pt idx="4">
                  <c:v>4.9521943016946318E-2</c:v>
                </c:pt>
                <c:pt idx="5">
                  <c:v>5.1883816605278271E-2</c:v>
                </c:pt>
                <c:pt idx="6">
                  <c:v>5.3951505006076692E-2</c:v>
                </c:pt>
                <c:pt idx="7">
                  <c:v>5.6391053269049578E-2</c:v>
                </c:pt>
                <c:pt idx="8">
                  <c:v>5.9411361888350139E-2</c:v>
                </c:pt>
                <c:pt idx="9">
                  <c:v>6.1856211313112246E-2</c:v>
                </c:pt>
                <c:pt idx="10">
                  <c:v>6.178534506054395E-2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2A-4FF3-B7EA-613F0EFE6CF8}"/>
            </c:ext>
          </c:extLst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TORSIONAL'!$G$38:$G$48</c:f>
              <c:numCache>
                <c:formatCode>0.00%</c:formatCode>
                <c:ptCount val="11"/>
                <c:pt idx="0">
                  <c:v>6.0427850539734327E-3</c:v>
                </c:pt>
                <c:pt idx="1">
                  <c:v>2.9074980028125343E-2</c:v>
                </c:pt>
                <c:pt idx="2">
                  <c:v>3.1865257531608349E-2</c:v>
                </c:pt>
                <c:pt idx="3">
                  <c:v>3.453671543476497E-2</c:v>
                </c:pt>
                <c:pt idx="4">
                  <c:v>3.6807832816995151E-2</c:v>
                </c:pt>
                <c:pt idx="5">
                  <c:v>3.8787321445102246E-2</c:v>
                </c:pt>
                <c:pt idx="6">
                  <c:v>4.0618676987652237E-2</c:v>
                </c:pt>
                <c:pt idx="7">
                  <c:v>4.2820933376527696E-2</c:v>
                </c:pt>
                <c:pt idx="8">
                  <c:v>4.5368543302832756E-2</c:v>
                </c:pt>
                <c:pt idx="9">
                  <c:v>4.779398328648151E-2</c:v>
                </c:pt>
                <c:pt idx="10">
                  <c:v>4.9874764899258607E-2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2A-4FF3-B7EA-613F0EFE6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664392"/>
        <c:axId val="321664000"/>
      </c:lineChart>
      <c:catAx>
        <c:axId val="321664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1664000"/>
        <c:crosses val="autoZero"/>
        <c:auto val="1"/>
        <c:lblAlgn val="ctr"/>
        <c:lblOffset val="100"/>
        <c:noMultiLvlLbl val="0"/>
      </c:catAx>
      <c:valAx>
        <c:axId val="32166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1.7692475057077724E-2"/>
              <c:y val="0.29131197074138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1664392"/>
        <c:crosses val="autoZero"/>
        <c:crossBetween val="between"/>
        <c:minorUnit val="2.0000000000000004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(EQXEP)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TORSIONAL'!$H$5:$H$15</c:f>
              <c:numCache>
                <c:formatCode>0.00%</c:formatCode>
                <c:ptCount val="11"/>
                <c:pt idx="0">
                  <c:v>4.5602417118601312E-3</c:v>
                </c:pt>
                <c:pt idx="1">
                  <c:v>-6.8075152286863495E-3</c:v>
                </c:pt>
                <c:pt idx="2">
                  <c:v>-7.3466281659686676E-3</c:v>
                </c:pt>
                <c:pt idx="3">
                  <c:v>-7.9995705179991671E-3</c:v>
                </c:pt>
                <c:pt idx="4">
                  <c:v>-8.604592132638202E-3</c:v>
                </c:pt>
                <c:pt idx="5">
                  <c:v>-9.1856065901642133E-3</c:v>
                </c:pt>
                <c:pt idx="6">
                  <c:v>-9.7540525732147682E-3</c:v>
                </c:pt>
                <c:pt idx="7">
                  <c:v>-9.927981330974155E-3</c:v>
                </c:pt>
                <c:pt idx="8">
                  <c:v>-9.0297785878562156E-3</c:v>
                </c:pt>
                <c:pt idx="9">
                  <c:v>-6.3647601168333829E-3</c:v>
                </c:pt>
                <c:pt idx="10">
                  <c:v>1.1767125688392742E-3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7D-4A60-8472-060025BF7E9B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TORSIONAL'!$I$5:$I$15</c:f>
              <c:numCache>
                <c:formatCode>0.00%</c:formatCode>
                <c:ptCount val="11"/>
                <c:pt idx="0">
                  <c:v>8.5739982615247646E-5</c:v>
                </c:pt>
                <c:pt idx="1">
                  <c:v>-2.148407612555428E-2</c:v>
                </c:pt>
                <c:pt idx="2">
                  <c:v>-2.6916747655798361E-2</c:v>
                </c:pt>
                <c:pt idx="3">
                  <c:v>-3.2137909106382888E-2</c:v>
                </c:pt>
                <c:pt idx="4">
                  <c:v>-3.655711203905658E-2</c:v>
                </c:pt>
                <c:pt idx="5">
                  <c:v>-4.0335262838322526E-2</c:v>
                </c:pt>
                <c:pt idx="6">
                  <c:v>-4.3607088150442258E-2</c:v>
                </c:pt>
                <c:pt idx="7">
                  <c:v>-4.623850970024463E-2</c:v>
                </c:pt>
                <c:pt idx="8">
                  <c:v>-4.7425038543052522E-2</c:v>
                </c:pt>
                <c:pt idx="9">
                  <c:v>-4.4461650653899114E-2</c:v>
                </c:pt>
                <c:pt idx="10">
                  <c:v>-2.9343702007296951E-2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7D-4A60-8472-060025BF7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665568"/>
        <c:axId val="321662040"/>
      </c:lineChart>
      <c:catAx>
        <c:axId val="32166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1662040"/>
        <c:crosses val="autoZero"/>
        <c:auto val="1"/>
        <c:lblAlgn val="ctr"/>
        <c:lblOffset val="100"/>
        <c:noMultiLvlLbl val="0"/>
      </c:catAx>
      <c:valAx>
        <c:axId val="32166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1665568"/>
        <c:crosses val="autoZero"/>
        <c:crossBetween val="between"/>
        <c:majorUnit val="5.000000000000001E-3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(EQXEN)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TORSIONAL'!$H$16:$H$26</c:f>
              <c:numCache>
                <c:formatCode>0.00%</c:formatCode>
                <c:ptCount val="11"/>
                <c:pt idx="0">
                  <c:v>2.6158457015703447E-3</c:v>
                </c:pt>
                <c:pt idx="1">
                  <c:v>2.8763767066658859E-3</c:v>
                </c:pt>
                <c:pt idx="2">
                  <c:v>4.4132928242126826E-3</c:v>
                </c:pt>
                <c:pt idx="3">
                  <c:v>5.894295467285959E-3</c:v>
                </c:pt>
                <c:pt idx="4">
                  <c:v>7.2167212389667862E-3</c:v>
                </c:pt>
                <c:pt idx="5">
                  <c:v>8.4692474319229029E-3</c:v>
                </c:pt>
                <c:pt idx="6">
                  <c:v>9.757712603313198E-3</c:v>
                </c:pt>
                <c:pt idx="7">
                  <c:v>1.1080668114363439E-2</c:v>
                </c:pt>
                <c:pt idx="8">
                  <c:v>1.2110031947066176E-2</c:v>
                </c:pt>
                <c:pt idx="9">
                  <c:v>1.26786392082024E-2</c:v>
                </c:pt>
                <c:pt idx="10">
                  <c:v>1.1590118556265889E-2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C5-438A-ACB6-030E837B9D0F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TORSIONAL'!$I$16:$I$26</c:f>
              <c:numCache>
                <c:formatCode>0.00%</c:formatCode>
                <c:ptCount val="11"/>
                <c:pt idx="0">
                  <c:v>1.2135506712226834E-2</c:v>
                </c:pt>
                <c:pt idx="1">
                  <c:v>6.9253666188662633E-2</c:v>
                </c:pt>
                <c:pt idx="2">
                  <c:v>7.7256667606822871E-2</c:v>
                </c:pt>
                <c:pt idx="3">
                  <c:v>8.4681710855691483E-2</c:v>
                </c:pt>
                <c:pt idx="4">
                  <c:v>9.080669594141047E-2</c:v>
                </c:pt>
                <c:pt idx="5">
                  <c:v>9.5863346149217266E-2</c:v>
                </c:pt>
                <c:pt idx="6">
                  <c:v>0.10013448462093731</c:v>
                </c:pt>
                <c:pt idx="7">
                  <c:v>0.10451424974370419</c:v>
                </c:pt>
                <c:pt idx="8">
                  <c:v>0.10881966401044278</c:v>
                </c:pt>
                <c:pt idx="9">
                  <c:v>0.10981315188313125</c:v>
                </c:pt>
                <c:pt idx="10">
                  <c:v>9.9809088154448292E-2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C5-438A-ACB6-030E837B9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662824"/>
        <c:axId val="321659688"/>
      </c:lineChart>
      <c:catAx>
        <c:axId val="321662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1659688"/>
        <c:crosses val="autoZero"/>
        <c:auto val="1"/>
        <c:lblAlgn val="ctr"/>
        <c:lblOffset val="100"/>
        <c:noMultiLvlLbl val="0"/>
      </c:catAx>
      <c:valAx>
        <c:axId val="321659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1662824"/>
        <c:crosses val="autoZero"/>
        <c:crossBetween val="between"/>
        <c:majorUnit val="5.000000000000001E-3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(EQYEP)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TORSIONAL'!$H$27:$H$37</c:f>
              <c:numCache>
                <c:formatCode>0.00%</c:formatCode>
                <c:ptCount val="11"/>
                <c:pt idx="0">
                  <c:v>-5.5238598827158421E-3</c:v>
                </c:pt>
                <c:pt idx="1">
                  <c:v>-1.2519872445703425E-2</c:v>
                </c:pt>
                <c:pt idx="2">
                  <c:v>-5.4431639886775417E-3</c:v>
                </c:pt>
                <c:pt idx="3">
                  <c:v>1.0082506985206968E-3</c:v>
                </c:pt>
                <c:pt idx="4">
                  <c:v>5.5828071283787117E-3</c:v>
                </c:pt>
                <c:pt idx="5">
                  <c:v>8.1482936412811055E-3</c:v>
                </c:pt>
                <c:pt idx="6">
                  <c:v>8.8042808839901079E-3</c:v>
                </c:pt>
                <c:pt idx="7">
                  <c:v>9.0026851182305207E-3</c:v>
                </c:pt>
                <c:pt idx="8">
                  <c:v>8.3207368630783263E-3</c:v>
                </c:pt>
                <c:pt idx="9">
                  <c:v>9.1228480109865114E-4</c:v>
                </c:pt>
                <c:pt idx="10">
                  <c:v>-2.2859435176032148E-2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A6-44F6-8489-C1503CE75045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TORSIONAL'!$I$27:$I$37</c:f>
              <c:numCache>
                <c:formatCode>0.00%</c:formatCode>
                <c:ptCount val="11"/>
                <c:pt idx="0">
                  <c:v>-3.1249620373773311E-3</c:v>
                </c:pt>
                <c:pt idx="1">
                  <c:v>-9.804431333547612E-3</c:v>
                </c:pt>
                <c:pt idx="2">
                  <c:v>-3.0284259285611999E-4</c:v>
                </c:pt>
                <c:pt idx="3">
                  <c:v>8.293463108501346E-3</c:v>
                </c:pt>
                <c:pt idx="4">
                  <c:v>1.4789854308199868E-2</c:v>
                </c:pt>
                <c:pt idx="5">
                  <c:v>1.9200329153475998E-2</c:v>
                </c:pt>
                <c:pt idx="6">
                  <c:v>2.1710963106128439E-2</c:v>
                </c:pt>
                <c:pt idx="7">
                  <c:v>2.3883195086377196E-2</c:v>
                </c:pt>
                <c:pt idx="8">
                  <c:v>2.44179106592558E-2</c:v>
                </c:pt>
                <c:pt idx="9">
                  <c:v>1.6101652429792956E-2</c:v>
                </c:pt>
                <c:pt idx="10">
                  <c:v>-4.7019995257033516E-3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A6-44F6-8489-C1503CE75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824072"/>
        <c:axId val="319825640"/>
      </c:lineChart>
      <c:catAx>
        <c:axId val="319824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19825640"/>
        <c:crosses val="autoZero"/>
        <c:auto val="1"/>
        <c:lblAlgn val="ctr"/>
        <c:lblOffset val="100"/>
        <c:noMultiLvlLbl val="0"/>
      </c:catAx>
      <c:valAx>
        <c:axId val="319825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198240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(EQYEN)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TORSIONAL'!$H$38:$H$48</c:f>
              <c:numCache>
                <c:formatCode>0.00%</c:formatCode>
                <c:ptCount val="11"/>
                <c:pt idx="0">
                  <c:v>8.3827432779888227E-3</c:v>
                </c:pt>
                <c:pt idx="1">
                  <c:v>1.8783849127889687E-2</c:v>
                </c:pt>
                <c:pt idx="2">
                  <c:v>1.6249551663944178E-2</c:v>
                </c:pt>
                <c:pt idx="3">
                  <c:v>1.3774678922431994E-2</c:v>
                </c:pt>
                <c:pt idx="4">
                  <c:v>1.1317684513263706E-2</c:v>
                </c:pt>
                <c:pt idx="5">
                  <c:v>8.611416522865914E-3</c:v>
                </c:pt>
                <c:pt idx="6">
                  <c:v>5.3723798076748229E-3</c:v>
                </c:pt>
                <c:pt idx="7">
                  <c:v>1.4038546596244947E-3</c:v>
                </c:pt>
                <c:pt idx="8">
                  <c:v>-3.5662817556305192E-3</c:v>
                </c:pt>
                <c:pt idx="9">
                  <c:v>-1.1195239594634929E-2</c:v>
                </c:pt>
                <c:pt idx="10">
                  <c:v>-2.5822951803060615E-2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D-41F0-AA5F-17A2EE792848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TORSIONAL'!$I$38:$I$48</c:f>
              <c:numCache>
                <c:formatCode>0.00%</c:formatCode>
                <c:ptCount val="11"/>
                <c:pt idx="0">
                  <c:v>1.6165451876859291E-2</c:v>
                </c:pt>
                <c:pt idx="1">
                  <c:v>5.6914527445149722E-2</c:v>
                </c:pt>
                <c:pt idx="2">
                  <c:v>5.2594012595043628E-2</c:v>
                </c:pt>
                <c:pt idx="3">
                  <c:v>4.8459235463351374E-2</c:v>
                </c:pt>
                <c:pt idx="4">
                  <c:v>4.4397906457084198E-2</c:v>
                </c:pt>
                <c:pt idx="5">
                  <c:v>4.0024146304703814E-2</c:v>
                </c:pt>
                <c:pt idx="6">
                  <c:v>3.5000003634126316E-2</c:v>
                </c:pt>
                <c:pt idx="7">
                  <c:v>2.9468753393780349E-2</c:v>
                </c:pt>
                <c:pt idx="8">
                  <c:v>2.3590643979826516E-2</c:v>
                </c:pt>
                <c:pt idx="9">
                  <c:v>1.5874774956325471E-2</c:v>
                </c:pt>
                <c:pt idx="10">
                  <c:v>3.7098545609903352E-3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D-41F0-AA5F-17A2EE792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820544"/>
        <c:axId val="319820936"/>
      </c:lineChart>
      <c:catAx>
        <c:axId val="31982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19820936"/>
        <c:crosses val="autoZero"/>
        <c:auto val="1"/>
        <c:lblAlgn val="ctr"/>
        <c:lblOffset val="100"/>
        <c:noMultiLvlLbl val="0"/>
      </c:catAx>
      <c:valAx>
        <c:axId val="31982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19820544"/>
        <c:crosses val="autoZero"/>
        <c:crossBetween val="between"/>
        <c:majorUnit val="2.0000000000000004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PERIDIO</a:t>
            </a:r>
            <a:r>
              <a:rPr lang="es-HN" b="1" baseline="0"/>
              <a:t> DINAMICO (X)</a:t>
            </a:r>
            <a:endParaRPr lang="es-HN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CASO 3.1 DENTRO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'D-PCMCR'!$B$6</c:f>
              <c:strCache>
                <c:ptCount val="1"/>
                <c:pt idx="0">
                  <c:v>PERIODO DINAMICO</c:v>
                </c:pt>
              </c:strCache>
            </c:strRef>
          </c:cat>
          <c:val>
            <c:numRef>
              <c:f>'D-PCMCR'!$D$6</c:f>
              <c:numCache>
                <c:formatCode>0.000%</c:formatCode>
                <c:ptCount val="1"/>
                <c:pt idx="0">
                  <c:v>-2.8669906379037532E-2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19-4979-A67B-053CCC451785}"/>
            </c:ext>
          </c:extLst>
        </c:ser>
        <c:ser>
          <c:idx val="1"/>
          <c:order val="1"/>
          <c:tx>
            <c:v>CASO 3.2 LATERAL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'D-PCMCR'!$B$6</c:f>
              <c:strCache>
                <c:ptCount val="1"/>
                <c:pt idx="0">
                  <c:v>PERIODO DINAMICO</c:v>
                </c:pt>
              </c:strCache>
            </c:strRef>
          </c:cat>
          <c:val>
            <c:numRef>
              <c:f>'D-PCMCR'!$F$6</c:f>
              <c:numCache>
                <c:formatCode>0.000%</c:formatCode>
                <c:ptCount val="1"/>
                <c:pt idx="0">
                  <c:v>-2.5857008127117709E-2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19-4979-A67B-053CCC451785}"/>
            </c:ext>
          </c:extLst>
        </c:ser>
        <c:ser>
          <c:idx val="2"/>
          <c:order val="2"/>
          <c:tx>
            <c:v>CASO 3.3 ESQUINA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'D-PCMCR'!$B$6</c:f>
              <c:strCache>
                <c:ptCount val="1"/>
                <c:pt idx="0">
                  <c:v>PERIODO DINAMICO</c:v>
                </c:pt>
              </c:strCache>
            </c:strRef>
          </c:cat>
          <c:val>
            <c:numRef>
              <c:f>'D-PCMCR'!$H$6</c:f>
              <c:numCache>
                <c:formatCode>0.000%</c:formatCode>
                <c:ptCount val="1"/>
                <c:pt idx="0">
                  <c:v>-1.679422184075097E-2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19-4979-A67B-053CCC451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821720"/>
        <c:axId val="319823680"/>
      </c:barChart>
      <c:catAx>
        <c:axId val="319821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19823680"/>
        <c:crosses val="autoZero"/>
        <c:auto val="1"/>
        <c:lblAlgn val="ctr"/>
        <c:lblOffset val="100"/>
        <c:noMultiLvlLbl val="0"/>
      </c:catAx>
      <c:valAx>
        <c:axId val="31982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5.9537212442515607E-2"/>
              <c:y val="0.26223827347881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19821720"/>
        <c:crosses val="autoZero"/>
        <c:crossBetween val="between"/>
        <c:majorUnit val="2.0000000000000005E-3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CENTRO</a:t>
            </a:r>
            <a:r>
              <a:rPr lang="es-HN" sz="1400" baseline="0"/>
              <a:t> DE MASAS (X)</a:t>
            </a:r>
            <a:endParaRPr lang="es-HN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'D-PCMCR'!$D$8:$D$18</c:f>
              <c:numCache>
                <c:formatCode>0.000%</c:formatCode>
                <c:ptCount val="11"/>
                <c:pt idx="0">
                  <c:v>-2.015287606808323E-2</c:v>
                </c:pt>
                <c:pt idx="1">
                  <c:v>-2.5770376258109053E-2</c:v>
                </c:pt>
                <c:pt idx="2">
                  <c:v>-2.5200495954091798E-2</c:v>
                </c:pt>
                <c:pt idx="3">
                  <c:v>-2.5200495954091798E-2</c:v>
                </c:pt>
                <c:pt idx="4">
                  <c:v>-2.5678290612973435E-2</c:v>
                </c:pt>
                <c:pt idx="5">
                  <c:v>-2.5678290612973435E-2</c:v>
                </c:pt>
                <c:pt idx="6">
                  <c:v>-2.5678290612973435E-2</c:v>
                </c:pt>
                <c:pt idx="7">
                  <c:v>-2.5678290612973435E-2</c:v>
                </c:pt>
                <c:pt idx="8">
                  <c:v>-2.5678290612973435E-2</c:v>
                </c:pt>
                <c:pt idx="9">
                  <c:v>-1.6696602643402694E-2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E5-40A1-9FDF-857C8A94D232}"/>
            </c:ext>
          </c:extLst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'D-PCMCR'!$F$8:$F$18</c:f>
              <c:numCache>
                <c:formatCode>0.000%</c:formatCode>
                <c:ptCount val="11"/>
                <c:pt idx="0">
                  <c:v>7.1928673427126194E-2</c:v>
                </c:pt>
                <c:pt idx="1">
                  <c:v>6.889462060098106E-2</c:v>
                </c:pt>
                <c:pt idx="2">
                  <c:v>6.889462060098106E-2</c:v>
                </c:pt>
                <c:pt idx="3">
                  <c:v>6.889462060098106E-2</c:v>
                </c:pt>
                <c:pt idx="4">
                  <c:v>6.6423778308512635E-2</c:v>
                </c:pt>
                <c:pt idx="5">
                  <c:v>6.6423778308512635E-2</c:v>
                </c:pt>
                <c:pt idx="6">
                  <c:v>6.6423778308512635E-2</c:v>
                </c:pt>
                <c:pt idx="7">
                  <c:v>6.6423778308512635E-2</c:v>
                </c:pt>
                <c:pt idx="8">
                  <c:v>6.6423778308512635E-2</c:v>
                </c:pt>
                <c:pt idx="9">
                  <c:v>7.2507663460619112E-2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E5-40A1-9FDF-857C8A94D232}"/>
            </c:ext>
          </c:extLst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'D-PCMCR'!$H$8:$H$18</c:f>
              <c:numCache>
                <c:formatCode>0.000%</c:formatCode>
                <c:ptCount val="11"/>
                <c:pt idx="0">
                  <c:v>-6.1311035786508884E-4</c:v>
                </c:pt>
                <c:pt idx="1">
                  <c:v>-8.6640682808268631E-4</c:v>
                </c:pt>
                <c:pt idx="2">
                  <c:v>-8.6640682808268631E-4</c:v>
                </c:pt>
                <c:pt idx="3">
                  <c:v>-8.6640682808268631E-4</c:v>
                </c:pt>
                <c:pt idx="4">
                  <c:v>-1.006832596174683E-3</c:v>
                </c:pt>
                <c:pt idx="5">
                  <c:v>-1.006832596174683E-3</c:v>
                </c:pt>
                <c:pt idx="6">
                  <c:v>-1.006832596174683E-3</c:v>
                </c:pt>
                <c:pt idx="7">
                  <c:v>-1.006832596174683E-3</c:v>
                </c:pt>
                <c:pt idx="8">
                  <c:v>-1.006832596174683E-3</c:v>
                </c:pt>
                <c:pt idx="9">
                  <c:v>-2.1395421161891611E-3</c:v>
                </c:pt>
                <c:pt idx="10">
                  <c:v>3.8112376147278709E-3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E5-40A1-9FDF-857C8A94D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822896"/>
        <c:axId val="319826032"/>
      </c:lineChart>
      <c:catAx>
        <c:axId val="31982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19826032"/>
        <c:crosses val="autoZero"/>
        <c:auto val="1"/>
        <c:lblAlgn val="ctr"/>
        <c:lblOffset val="100"/>
        <c:noMultiLvlLbl val="0"/>
      </c:catAx>
      <c:valAx>
        <c:axId val="31982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19822896"/>
        <c:crosses val="autoZero"/>
        <c:crossBetween val="between"/>
        <c:majorUnit val="5.000000000000001E-3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PERIDIO</a:t>
            </a:r>
            <a:r>
              <a:rPr lang="es-HN" b="1" baseline="0"/>
              <a:t> DINAMICO (Y)</a:t>
            </a:r>
            <a:endParaRPr lang="es-HN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CASO 3.1 DENTRO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'D-PCMCR'!$B$6</c:f>
              <c:strCache>
                <c:ptCount val="1"/>
                <c:pt idx="0">
                  <c:v>PERIODO DINAMICO</c:v>
                </c:pt>
              </c:strCache>
            </c:strRef>
          </c:cat>
          <c:val>
            <c:numRef>
              <c:f>'D-PCMCR'!$E$6</c:f>
              <c:numCache>
                <c:formatCode>0.000%</c:formatCode>
                <c:ptCount val="1"/>
                <c:pt idx="0">
                  <c:v>-3.6730855960170929E-2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E2-412A-BB93-6C98C4AF3AB0}"/>
            </c:ext>
          </c:extLst>
        </c:ser>
        <c:ser>
          <c:idx val="1"/>
          <c:order val="1"/>
          <c:tx>
            <c:v>CASO 3.2 LATERAL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'D-PCMCR'!$B$6</c:f>
              <c:strCache>
                <c:ptCount val="1"/>
                <c:pt idx="0">
                  <c:v>PERIODO DINAMICO</c:v>
                </c:pt>
              </c:strCache>
            </c:strRef>
          </c:cat>
          <c:val>
            <c:numRef>
              <c:f>'D-PCMCR'!$G$6</c:f>
              <c:numCache>
                <c:formatCode>0.000%</c:formatCode>
                <c:ptCount val="1"/>
                <c:pt idx="0">
                  <c:v>-1.6889617141018359E-2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E2-412A-BB93-6C98C4AF3AB0}"/>
            </c:ext>
          </c:extLst>
        </c:ser>
        <c:ser>
          <c:idx val="2"/>
          <c:order val="2"/>
          <c:tx>
            <c:v>CASO 3.3 ESQUINA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'D-PCMCR'!$B$6</c:f>
              <c:strCache>
                <c:ptCount val="1"/>
                <c:pt idx="0">
                  <c:v>PERIODO DINAMICO</c:v>
                </c:pt>
              </c:strCache>
            </c:strRef>
          </c:cat>
          <c:val>
            <c:numRef>
              <c:f>'D-PCMCR'!$I$6</c:f>
              <c:numCache>
                <c:formatCode>0.000%</c:formatCode>
                <c:ptCount val="1"/>
                <c:pt idx="0">
                  <c:v>-1.0814208409255229E-2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E2-412A-BB93-6C98C4AF3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822112"/>
        <c:axId val="319827600"/>
      </c:barChart>
      <c:catAx>
        <c:axId val="31982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19827600"/>
        <c:crosses val="autoZero"/>
        <c:auto val="1"/>
        <c:lblAlgn val="ctr"/>
        <c:lblOffset val="100"/>
        <c:noMultiLvlLbl val="0"/>
      </c:catAx>
      <c:valAx>
        <c:axId val="31982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5.9537212442515607E-2"/>
              <c:y val="0.26223827347881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19822112"/>
        <c:crosses val="autoZero"/>
        <c:crossBetween val="between"/>
        <c:majorUnit val="2.0000000000000005E-3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CENTRO</a:t>
            </a:r>
            <a:r>
              <a:rPr lang="es-HN" sz="1400" baseline="0"/>
              <a:t> DE RIGIDEZ (X)</a:t>
            </a:r>
            <a:endParaRPr lang="es-HN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'D-PCMCR'!$D$19:$D$29</c:f>
              <c:numCache>
                <c:formatCode>0.000%</c:formatCode>
                <c:ptCount val="11"/>
                <c:pt idx="0">
                  <c:v>3.1236245288128114E-2</c:v>
                </c:pt>
                <c:pt idx="1">
                  <c:v>9.8257821849456639E-2</c:v>
                </c:pt>
                <c:pt idx="2">
                  <c:v>8.8069588988428538E-2</c:v>
                </c:pt>
                <c:pt idx="3">
                  <c:v>9.0990140497903021E-2</c:v>
                </c:pt>
                <c:pt idx="4">
                  <c:v>9.1842323389410951E-2</c:v>
                </c:pt>
                <c:pt idx="5">
                  <c:v>9.2372534205717741E-2</c:v>
                </c:pt>
                <c:pt idx="6">
                  <c:v>9.1709267080818266E-2</c:v>
                </c:pt>
                <c:pt idx="7">
                  <c:v>8.9738776095952752E-2</c:v>
                </c:pt>
                <c:pt idx="8">
                  <c:v>8.6832759481313859E-2</c:v>
                </c:pt>
                <c:pt idx="9">
                  <c:v>8.4221851102557851E-2</c:v>
                </c:pt>
                <c:pt idx="10">
                  <c:v>8.2884027241175648E-3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55-4FB5-B2B5-91A670D9D7AA}"/>
            </c:ext>
          </c:extLst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'D-PCMCR'!$F$19:$F$29</c:f>
              <c:numCache>
                <c:formatCode>0.000%</c:formatCode>
                <c:ptCount val="11"/>
                <c:pt idx="0">
                  <c:v>0.10500666067348409</c:v>
                </c:pt>
                <c:pt idx="1">
                  <c:v>0.11229000120281291</c:v>
                </c:pt>
                <c:pt idx="2">
                  <c:v>0.10930776755188511</c:v>
                </c:pt>
                <c:pt idx="3">
                  <c:v>0.10374485422016283</c:v>
                </c:pt>
                <c:pt idx="4">
                  <c:v>9.7714348193759418E-2</c:v>
                </c:pt>
                <c:pt idx="5">
                  <c:v>9.1446124700994807E-2</c:v>
                </c:pt>
                <c:pt idx="6">
                  <c:v>8.4864170929004459E-2</c:v>
                </c:pt>
                <c:pt idx="7">
                  <c:v>7.7541496984479708E-2</c:v>
                </c:pt>
                <c:pt idx="8">
                  <c:v>6.9232178792686574E-2</c:v>
                </c:pt>
                <c:pt idx="9">
                  <c:v>6.2007670311959022E-2</c:v>
                </c:pt>
                <c:pt idx="10">
                  <c:v>2.7005919295751912E-2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55-4FB5-B2B5-91A670D9D7AA}"/>
            </c:ext>
          </c:extLst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'D-PCMCR'!$H$19:$H$29</c:f>
              <c:numCache>
                <c:formatCode>0.000%</c:formatCode>
                <c:ptCount val="11"/>
                <c:pt idx="0">
                  <c:v>6.3296557273973972E-2</c:v>
                </c:pt>
                <c:pt idx="1">
                  <c:v>7.487547814097037E-2</c:v>
                </c:pt>
                <c:pt idx="2">
                  <c:v>7.623159112805776E-2</c:v>
                </c:pt>
                <c:pt idx="3">
                  <c:v>7.3321090943201564E-2</c:v>
                </c:pt>
                <c:pt idx="4">
                  <c:v>6.8602659008434402E-2</c:v>
                </c:pt>
                <c:pt idx="5">
                  <c:v>6.3654632490212887E-2</c:v>
                </c:pt>
                <c:pt idx="6">
                  <c:v>5.8233904321062874E-2</c:v>
                </c:pt>
                <c:pt idx="7">
                  <c:v>5.2073049661731194E-2</c:v>
                </c:pt>
                <c:pt idx="8">
                  <c:v>4.5214858600281321E-2</c:v>
                </c:pt>
                <c:pt idx="9">
                  <c:v>3.8916918757808262E-2</c:v>
                </c:pt>
                <c:pt idx="10">
                  <c:v>1.8839522822213201E-2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55-4FB5-B2B5-91A670D9D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02472"/>
        <c:axId val="322104432"/>
      </c:lineChart>
      <c:catAx>
        <c:axId val="322102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104432"/>
        <c:crosses val="autoZero"/>
        <c:auto val="1"/>
        <c:lblAlgn val="ctr"/>
        <c:lblOffset val="100"/>
        <c:noMultiLvlLbl val="0"/>
      </c:catAx>
      <c:valAx>
        <c:axId val="32210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102472"/>
        <c:crosses val="autoZero"/>
        <c:crossBetween val="between"/>
        <c:majorUnit val="2.0000000000000004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CENTRO</a:t>
            </a:r>
            <a:r>
              <a:rPr lang="es-HN" sz="1400" baseline="0"/>
              <a:t> DE MASAS (Y)</a:t>
            </a:r>
            <a:endParaRPr lang="es-HN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'D-PCMCR'!$E$8:$E$18</c:f>
              <c:numCache>
                <c:formatCode>0.000%</c:formatCode>
                <c:ptCount val="11"/>
                <c:pt idx="0">
                  <c:v>3.7923266939078903E-3</c:v>
                </c:pt>
                <c:pt idx="1">
                  <c:v>7.5495926969975703E-4</c:v>
                </c:pt>
                <c:pt idx="2">
                  <c:v>9.2348725065686372E-4</c:v>
                </c:pt>
                <c:pt idx="3">
                  <c:v>9.2348725065686372E-4</c:v>
                </c:pt>
                <c:pt idx="4">
                  <c:v>1.1656280344519701E-3</c:v>
                </c:pt>
                <c:pt idx="5">
                  <c:v>1.1656280344519701E-3</c:v>
                </c:pt>
                <c:pt idx="6">
                  <c:v>1.1656280344519701E-3</c:v>
                </c:pt>
                <c:pt idx="7">
                  <c:v>1.1656280344519701E-3</c:v>
                </c:pt>
                <c:pt idx="8">
                  <c:v>1.1656280344519701E-3</c:v>
                </c:pt>
                <c:pt idx="9">
                  <c:v>8.4845604368602673E-4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BB-4349-84BB-E9163F215C68}"/>
            </c:ext>
          </c:extLst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'D-PCMCR'!$G$8:$G$18</c:f>
              <c:numCache>
                <c:formatCode>0.000%</c:formatCode>
                <c:ptCount val="11"/>
                <c:pt idx="0">
                  <c:v>-4.9066355790177985E-3</c:v>
                </c:pt>
                <c:pt idx="1">
                  <c:v>-4.8275014192780989E-3</c:v>
                </c:pt>
                <c:pt idx="2">
                  <c:v>-4.8275014192780989E-3</c:v>
                </c:pt>
                <c:pt idx="3">
                  <c:v>-4.8275014192780989E-3</c:v>
                </c:pt>
                <c:pt idx="4">
                  <c:v>-4.6396357514506981E-3</c:v>
                </c:pt>
                <c:pt idx="5">
                  <c:v>-4.6396357514506981E-3</c:v>
                </c:pt>
                <c:pt idx="6">
                  <c:v>-4.6396357514506981E-3</c:v>
                </c:pt>
                <c:pt idx="7">
                  <c:v>-4.6396357514506981E-3</c:v>
                </c:pt>
                <c:pt idx="8">
                  <c:v>-4.6396357514506981E-3</c:v>
                </c:pt>
                <c:pt idx="9">
                  <c:v>-5.3028825739489926E-3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BB-4349-84BB-E9163F215C68}"/>
            </c:ext>
          </c:extLst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'D-PCMCR'!$I$8:$I$18</c:f>
              <c:numCache>
                <c:formatCode>0.000%</c:formatCode>
                <c:ptCount val="11"/>
                <c:pt idx="0">
                  <c:v>6.8444331403453846E-4</c:v>
                </c:pt>
                <c:pt idx="1">
                  <c:v>8.5027729617166172E-4</c:v>
                </c:pt>
                <c:pt idx="2">
                  <c:v>8.5027729617166172E-4</c:v>
                </c:pt>
                <c:pt idx="3">
                  <c:v>8.5027729617166172E-4</c:v>
                </c:pt>
                <c:pt idx="4">
                  <c:v>9.843750132008148E-4</c:v>
                </c:pt>
                <c:pt idx="5">
                  <c:v>9.843750132008148E-4</c:v>
                </c:pt>
                <c:pt idx="6">
                  <c:v>9.843750132008148E-4</c:v>
                </c:pt>
                <c:pt idx="7">
                  <c:v>9.843750132008148E-4</c:v>
                </c:pt>
                <c:pt idx="8">
                  <c:v>9.843750132008148E-4</c:v>
                </c:pt>
                <c:pt idx="9">
                  <c:v>1.9044957187671914E-3</c:v>
                </c:pt>
                <c:pt idx="10">
                  <c:v>-4.1767848405894981E-2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BB-4349-84BB-E9163F215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01688"/>
        <c:axId val="322104824"/>
      </c:lineChart>
      <c:catAx>
        <c:axId val="322101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104824"/>
        <c:crosses val="autoZero"/>
        <c:auto val="1"/>
        <c:lblAlgn val="ctr"/>
        <c:lblOffset val="100"/>
        <c:noMultiLvlLbl val="0"/>
      </c:catAx>
      <c:valAx>
        <c:axId val="322104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101688"/>
        <c:crosses val="autoZero"/>
        <c:crossBetween val="between"/>
        <c:majorUnit val="2.0000000000000004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CENTRO</a:t>
            </a:r>
            <a:r>
              <a:rPr lang="es-HN" sz="1400" baseline="0"/>
              <a:t> DE RIGIDEZ (Y)</a:t>
            </a:r>
            <a:endParaRPr lang="es-HN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'D-PCMCR'!$E$19:$E$29</c:f>
              <c:numCache>
                <c:formatCode>0.000%</c:formatCode>
                <c:ptCount val="11"/>
                <c:pt idx="0">
                  <c:v>-3.6072834163764569E-3</c:v>
                </c:pt>
                <c:pt idx="1">
                  <c:v>-2.5822011972014163E-3</c:v>
                </c:pt>
                <c:pt idx="2">
                  <c:v>-2.8729735823884981E-3</c:v>
                </c:pt>
                <c:pt idx="3">
                  <c:v>-3.0035496805522325E-3</c:v>
                </c:pt>
                <c:pt idx="4">
                  <c:v>-3.2976135826629335E-3</c:v>
                </c:pt>
                <c:pt idx="5">
                  <c:v>-3.6586054919585127E-3</c:v>
                </c:pt>
                <c:pt idx="6">
                  <c:v>-3.9181785149390944E-3</c:v>
                </c:pt>
                <c:pt idx="7">
                  <c:v>-4.086957336759638E-3</c:v>
                </c:pt>
                <c:pt idx="8">
                  <c:v>-4.2188799625911422E-3</c:v>
                </c:pt>
                <c:pt idx="9">
                  <c:v>-4.3303323216582331E-3</c:v>
                </c:pt>
                <c:pt idx="10">
                  <c:v>-1.0115083415193056E-3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DD-4749-B9E6-2577383236CF}"/>
            </c:ext>
          </c:extLst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'D-PCMCR'!$G$19:$G$29</c:f>
              <c:numCache>
                <c:formatCode>0.000%</c:formatCode>
                <c:ptCount val="11"/>
                <c:pt idx="0">
                  <c:v>-3.5421733353062793E-3</c:v>
                </c:pt>
                <c:pt idx="1">
                  <c:v>-8.1767724099074453E-3</c:v>
                </c:pt>
                <c:pt idx="2">
                  <c:v>-1.0022090872828958E-2</c:v>
                </c:pt>
                <c:pt idx="3">
                  <c:v>-1.0623637097966309E-2</c:v>
                </c:pt>
                <c:pt idx="4">
                  <c:v>-1.0587167963025734E-2</c:v>
                </c:pt>
                <c:pt idx="5">
                  <c:v>-1.0372684353896601E-2</c:v>
                </c:pt>
                <c:pt idx="6">
                  <c:v>-1.0022878994124705E-2</c:v>
                </c:pt>
                <c:pt idx="7">
                  <c:v>-9.4949929680823789E-3</c:v>
                </c:pt>
                <c:pt idx="8">
                  <c:v>-8.8406907047867567E-3</c:v>
                </c:pt>
                <c:pt idx="9">
                  <c:v>-8.3848660511517646E-3</c:v>
                </c:pt>
                <c:pt idx="10">
                  <c:v>2.314326745638562E-3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DD-4749-B9E6-2577383236CF}"/>
            </c:ext>
          </c:extLst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'D-PCMCR'!$I$19:$I$29</c:f>
              <c:numCache>
                <c:formatCode>0.000%</c:formatCode>
                <c:ptCount val="11"/>
                <c:pt idx="0">
                  <c:v>-4.4160519480218888E-2</c:v>
                </c:pt>
                <c:pt idx="1">
                  <c:v>-6.4330880207247226E-2</c:v>
                </c:pt>
                <c:pt idx="2">
                  <c:v>-7.0024726116017275E-2</c:v>
                </c:pt>
                <c:pt idx="3">
                  <c:v>-6.9289008422020903E-2</c:v>
                </c:pt>
                <c:pt idx="4">
                  <c:v>-6.6160795013521456E-2</c:v>
                </c:pt>
                <c:pt idx="5">
                  <c:v>-6.2698161288875537E-2</c:v>
                </c:pt>
                <c:pt idx="6">
                  <c:v>-5.8269217560684164E-2</c:v>
                </c:pt>
                <c:pt idx="7">
                  <c:v>-5.2718772248220323E-2</c:v>
                </c:pt>
                <c:pt idx="8">
                  <c:v>-4.6244871441199036E-2</c:v>
                </c:pt>
                <c:pt idx="9">
                  <c:v>-4.0509087514513063E-2</c:v>
                </c:pt>
                <c:pt idx="10">
                  <c:v>-0.15516666794749517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DD-4749-B9E6-257738323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05216"/>
        <c:axId val="322107568"/>
      </c:lineChart>
      <c:catAx>
        <c:axId val="32210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107568"/>
        <c:crosses val="autoZero"/>
        <c:auto val="1"/>
        <c:lblAlgn val="ctr"/>
        <c:lblOffset val="100"/>
        <c:noMultiLvlLbl val="0"/>
      </c:catAx>
      <c:valAx>
        <c:axId val="32210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105216"/>
        <c:crosses val="autoZero"/>
        <c:crossBetween val="between"/>
        <c:majorUnit val="2.0000000000000004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CM POR UBICACION DE MODULO DE GRADAS 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'D-PCMCR'!$J$8:$J$18</c:f>
              <c:numCache>
                <c:formatCode>0.000%</c:formatCode>
                <c:ptCount val="11"/>
                <c:pt idx="0">
                  <c:v>-4.4993443531491095E-2</c:v>
                </c:pt>
                <c:pt idx="1">
                  <c:v>-4.3928615882072239E-2</c:v>
                </c:pt>
                <c:pt idx="2">
                  <c:v>-4.3928615882072239E-2</c:v>
                </c:pt>
                <c:pt idx="3">
                  <c:v>-4.3928615882072239E-2</c:v>
                </c:pt>
                <c:pt idx="4">
                  <c:v>-4.2489202615442034E-2</c:v>
                </c:pt>
                <c:pt idx="5">
                  <c:v>-4.2489202615442034E-2</c:v>
                </c:pt>
                <c:pt idx="6">
                  <c:v>-4.2489202615442034E-2</c:v>
                </c:pt>
                <c:pt idx="7">
                  <c:v>-4.2489202615442034E-2</c:v>
                </c:pt>
                <c:pt idx="8">
                  <c:v>-4.2489202615442034E-2</c:v>
                </c:pt>
                <c:pt idx="9">
                  <c:v>-4.5027840047817215E-2</c:v>
                </c:pt>
                <c:pt idx="10">
                  <c:v>-0.21461691857063081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0-46C2-A940-6D37EB2907FA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'D-PCMCR'!$L$8:$L$18</c:f>
              <c:numCache>
                <c:formatCode>0.000%</c:formatCode>
                <c:ptCount val="11"/>
                <c:pt idx="0">
                  <c:v>-4.4660108322884091E-2</c:v>
                </c:pt>
                <c:pt idx="1">
                  <c:v>-4.3473324657606366E-2</c:v>
                </c:pt>
                <c:pt idx="2">
                  <c:v>-4.3473324657606366E-2</c:v>
                </c:pt>
                <c:pt idx="3">
                  <c:v>-4.3473324657606366E-2</c:v>
                </c:pt>
                <c:pt idx="4">
                  <c:v>-4.2245069976079526E-2</c:v>
                </c:pt>
                <c:pt idx="5">
                  <c:v>-4.2245069976079526E-2</c:v>
                </c:pt>
                <c:pt idx="6">
                  <c:v>-4.2245069976079526E-2</c:v>
                </c:pt>
                <c:pt idx="7">
                  <c:v>-4.2245069976079526E-2</c:v>
                </c:pt>
                <c:pt idx="8">
                  <c:v>-4.2245069976079526E-2</c:v>
                </c:pt>
                <c:pt idx="9">
                  <c:v>-4.4720965739951483E-2</c:v>
                </c:pt>
                <c:pt idx="10">
                  <c:v>-0.21461691857063081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0-46C2-A940-6D37EB290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06000"/>
        <c:axId val="322108744"/>
      </c:lineChart>
      <c:catAx>
        <c:axId val="32210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108744"/>
        <c:crosses val="autoZero"/>
        <c:auto val="1"/>
        <c:lblAlgn val="ctr"/>
        <c:lblOffset val="100"/>
        <c:noMultiLvlLbl val="0"/>
      </c:catAx>
      <c:valAx>
        <c:axId val="322108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106000"/>
        <c:crosses val="autoZero"/>
        <c:crossBetween val="between"/>
        <c:majorUnit val="2.0000000000000004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CM POR UBICACION DE MODULO DE GRADAS (Y)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'D-PCMCR'!$K$8:$K$18</c:f>
              <c:numCache>
                <c:formatCode>0.000%</c:formatCode>
                <c:ptCount val="11"/>
                <c:pt idx="0">
                  <c:v>5.6781206079368511E-3</c:v>
                </c:pt>
                <c:pt idx="1">
                  <c:v>5.5446217912416759E-3</c:v>
                </c:pt>
                <c:pt idx="2">
                  <c:v>5.5446217912416759E-3</c:v>
                </c:pt>
                <c:pt idx="3">
                  <c:v>5.5446217912416759E-3</c:v>
                </c:pt>
                <c:pt idx="4">
                  <c:v>5.5237350457343921E-3</c:v>
                </c:pt>
                <c:pt idx="5">
                  <c:v>5.5237350457343921E-3</c:v>
                </c:pt>
                <c:pt idx="6">
                  <c:v>5.5237350457343921E-3</c:v>
                </c:pt>
                <c:pt idx="7">
                  <c:v>5.5237350457343921E-3</c:v>
                </c:pt>
                <c:pt idx="8">
                  <c:v>5.5237350457343921E-3</c:v>
                </c:pt>
                <c:pt idx="9">
                  <c:v>4.6751795540264669E-3</c:v>
                </c:pt>
                <c:pt idx="10">
                  <c:v>1.4748504557482998E-2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97-49DF-90CE-F347B2EC0914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'D-PCMCR'!$M$8:$M$18</c:f>
              <c:numCache>
                <c:formatCode>0.000%</c:formatCode>
                <c:ptCount val="11"/>
                <c:pt idx="0">
                  <c:v>5.8070085029690265E-2</c:v>
                </c:pt>
                <c:pt idx="1">
                  <c:v>5.5963922983518787E-2</c:v>
                </c:pt>
                <c:pt idx="2">
                  <c:v>5.5963922983518787E-2</c:v>
                </c:pt>
                <c:pt idx="3">
                  <c:v>5.5963922983518787E-2</c:v>
                </c:pt>
                <c:pt idx="4">
                  <c:v>5.4762656502394889E-2</c:v>
                </c:pt>
                <c:pt idx="5">
                  <c:v>5.4762656502394889E-2</c:v>
                </c:pt>
                <c:pt idx="6">
                  <c:v>5.4762656502394889E-2</c:v>
                </c:pt>
                <c:pt idx="7">
                  <c:v>5.4762656502394889E-2</c:v>
                </c:pt>
                <c:pt idx="8">
                  <c:v>5.4762656502394889E-2</c:v>
                </c:pt>
                <c:pt idx="9">
                  <c:v>6.2650816471798557E-2</c:v>
                </c:pt>
                <c:pt idx="10">
                  <c:v>0.86431903394845722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97-49DF-90CE-F347B2EC0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103648"/>
        <c:axId val="322104040"/>
      </c:lineChart>
      <c:catAx>
        <c:axId val="32210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104040"/>
        <c:crosses val="autoZero"/>
        <c:auto val="1"/>
        <c:lblAlgn val="ctr"/>
        <c:lblOffset val="100"/>
        <c:noMultiLvlLbl val="0"/>
      </c:catAx>
      <c:valAx>
        <c:axId val="322104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103648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CR POR UBICACION DE MODULO DE GRADAS 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'D-PCMCR'!$J$19:$J$29</c:f>
              <c:numCache>
                <c:formatCode>0.000%</c:formatCode>
                <c:ptCount val="11"/>
                <c:pt idx="0">
                  <c:v>-4.8890411656678665E-2</c:v>
                </c:pt>
                <c:pt idx="1">
                  <c:v>-3.2269158928654895E-2</c:v>
                </c:pt>
                <c:pt idx="2">
                  <c:v>-2.159716397877124E-2</c:v>
                </c:pt>
                <c:pt idx="3">
                  <c:v>-1.3589665209213333E-2</c:v>
                </c:pt>
                <c:pt idx="4">
                  <c:v>-6.3767859195917685E-3</c:v>
                </c:pt>
                <c:pt idx="5">
                  <c:v>-4.5008496140286305E-5</c:v>
                </c:pt>
                <c:pt idx="6">
                  <c:v>5.7042193559627922E-3</c:v>
                </c:pt>
                <c:pt idx="7">
                  <c:v>1.1285477015351566E-2</c:v>
                </c:pt>
                <c:pt idx="8">
                  <c:v>1.7089622833201697E-2</c:v>
                </c:pt>
                <c:pt idx="9">
                  <c:v>2.2470909670895964E-2</c:v>
                </c:pt>
                <c:pt idx="10">
                  <c:v>-0.20312257169602357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ED-483F-B62D-7B38139392D5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'D-PCMCR'!$L$19:$L$29</c:f>
              <c:numCache>
                <c:formatCode>0.000%</c:formatCode>
                <c:ptCount val="11"/>
                <c:pt idx="0">
                  <c:v>-4.5874008621455367E-2</c:v>
                </c:pt>
                <c:pt idx="1">
                  <c:v>-3.1677320732627995E-2</c:v>
                </c:pt>
                <c:pt idx="2">
                  <c:v>-1.9973945650020534E-2</c:v>
                </c:pt>
                <c:pt idx="3">
                  <c:v>-9.2321354898609546E-3</c:v>
                </c:pt>
                <c:pt idx="4">
                  <c:v>1.4754322452389726E-3</c:v>
                </c:pt>
                <c:pt idx="5">
                  <c:v>1.1496175333451816E-2</c:v>
                </c:pt>
                <c:pt idx="6">
                  <c:v>2.1202849445458295E-2</c:v>
                </c:pt>
                <c:pt idx="7">
                  <c:v>3.0920625668618227E-2</c:v>
                </c:pt>
                <c:pt idx="8">
                  <c:v>4.095744029540719E-2</c:v>
                </c:pt>
                <c:pt idx="9">
                  <c:v>5.025480864877515E-2</c:v>
                </c:pt>
                <c:pt idx="10">
                  <c:v>-0.20767924604718549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ED-483F-B62D-7B3813939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402560"/>
        <c:axId val="322397464"/>
      </c:lineChart>
      <c:catAx>
        <c:axId val="32240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397464"/>
        <c:crosses val="autoZero"/>
        <c:auto val="1"/>
        <c:lblAlgn val="ctr"/>
        <c:lblOffset val="100"/>
        <c:noMultiLvlLbl val="0"/>
      </c:catAx>
      <c:valAx>
        <c:axId val="322397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402560"/>
        <c:crosses val="autoZero"/>
        <c:crossBetween val="between"/>
        <c:majorUnit val="2.0000000000000004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CR POR UBICACION DE MODULO DE GRADAS (Y)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'D-PCMCR'!$K$19:$K$29</c:f>
              <c:numCache>
                <c:formatCode>0.000%</c:formatCode>
                <c:ptCount val="11"/>
                <c:pt idx="0">
                  <c:v>7.4625152548093545E-3</c:v>
                </c:pt>
                <c:pt idx="1">
                  <c:v>1.4105375030243911E-2</c:v>
                </c:pt>
                <c:pt idx="2">
                  <c:v>1.6518886029568608E-2</c:v>
                </c:pt>
                <c:pt idx="3">
                  <c:v>1.7103357899602462E-2</c:v>
                </c:pt>
                <c:pt idx="4">
                  <c:v>1.6610534956657985E-2</c:v>
                </c:pt>
                <c:pt idx="5">
                  <c:v>1.5641495682554837E-2</c:v>
                </c:pt>
                <c:pt idx="6">
                  <c:v>1.4577333720459332E-2</c:v>
                </c:pt>
                <c:pt idx="7">
                  <c:v>1.3365283886010697E-2</c:v>
                </c:pt>
                <c:pt idx="8">
                  <c:v>1.2010767260925538E-2</c:v>
                </c:pt>
                <c:pt idx="9">
                  <c:v>1.092522863297685E-2</c:v>
                </c:pt>
                <c:pt idx="10">
                  <c:v>-1.1728115952966857E-2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C4-4055-9E6B-653A2454223F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'D-PCMCR'!$M$19:$M$29</c:f>
              <c:numCache>
                <c:formatCode>0.000%</c:formatCode>
                <c:ptCount val="11"/>
                <c:pt idx="0">
                  <c:v>9.7191421856265767E-2</c:v>
                </c:pt>
                <c:pt idx="1">
                  <c:v>0.12722135277001831</c:v>
                </c:pt>
                <c:pt idx="2">
                  <c:v>0.13645579397903787</c:v>
                </c:pt>
                <c:pt idx="3">
                  <c:v>0.13686995497176166</c:v>
                </c:pt>
                <c:pt idx="4">
                  <c:v>0.1333775297739006</c:v>
                </c:pt>
                <c:pt idx="5">
                  <c:v>0.12816777806162172</c:v>
                </c:pt>
                <c:pt idx="6">
                  <c:v>0.1221387875687774</c:v>
                </c:pt>
                <c:pt idx="7">
                  <c:v>0.11508551702229969</c:v>
                </c:pt>
                <c:pt idx="8">
                  <c:v>0.10710024535684089</c:v>
                </c:pt>
                <c:pt idx="9">
                  <c:v>0.10006921575828473</c:v>
                </c:pt>
                <c:pt idx="10">
                  <c:v>0.81814517684565413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C4-4055-9E6B-653A24542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398248"/>
        <c:axId val="322400208"/>
      </c:lineChart>
      <c:catAx>
        <c:axId val="322398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400208"/>
        <c:crosses val="autoZero"/>
        <c:auto val="1"/>
        <c:lblAlgn val="ctr"/>
        <c:lblOffset val="100"/>
        <c:noMultiLvlLbl val="0"/>
      </c:catAx>
      <c:valAx>
        <c:axId val="32240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398248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bmp"/><Relationship Id="rId3" Type="http://schemas.openxmlformats.org/officeDocument/2006/relationships/image" Target="../media/image3.bmp"/><Relationship Id="rId7" Type="http://schemas.openxmlformats.org/officeDocument/2006/relationships/image" Target="../media/image7.bmp"/><Relationship Id="rId2" Type="http://schemas.openxmlformats.org/officeDocument/2006/relationships/image" Target="../media/image2.bmp"/><Relationship Id="rId1" Type="http://schemas.openxmlformats.org/officeDocument/2006/relationships/image" Target="../media/image1.bmp"/><Relationship Id="rId6" Type="http://schemas.openxmlformats.org/officeDocument/2006/relationships/image" Target="../media/image6.bmp"/><Relationship Id="rId5" Type="http://schemas.openxmlformats.org/officeDocument/2006/relationships/image" Target="../media/image5.bmp"/><Relationship Id="rId4" Type="http://schemas.openxmlformats.org/officeDocument/2006/relationships/image" Target="../media/image4.bmp"/><Relationship Id="rId9" Type="http://schemas.openxmlformats.org/officeDocument/2006/relationships/image" Target="../media/image9.b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591786</xdr:colOff>
      <xdr:row>2</xdr:row>
      <xdr:rowOff>167129</xdr:rowOff>
    </xdr:from>
    <xdr:to>
      <xdr:col>21</xdr:col>
      <xdr:colOff>0</xdr:colOff>
      <xdr:row>39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591786</xdr:colOff>
      <xdr:row>40</xdr:row>
      <xdr:rowOff>152399</xdr:rowOff>
    </xdr:from>
    <xdr:to>
      <xdr:col>21</xdr:col>
      <xdr:colOff>0</xdr:colOff>
      <xdr:row>77</xdr:row>
      <xdr:rowOff>12980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591786</xdr:colOff>
      <xdr:row>78</xdr:row>
      <xdr:rowOff>0</xdr:rowOff>
    </xdr:from>
    <xdr:to>
      <xdr:col>21</xdr:col>
      <xdr:colOff>0</xdr:colOff>
      <xdr:row>114</xdr:row>
      <xdr:rowOff>68398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591786</xdr:colOff>
      <xdr:row>116</xdr:row>
      <xdr:rowOff>0</xdr:rowOff>
    </xdr:from>
    <xdr:to>
      <xdr:col>21</xdr:col>
      <xdr:colOff>0</xdr:colOff>
      <xdr:row>152</xdr:row>
      <xdr:rowOff>68399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511804</xdr:colOff>
      <xdr:row>52</xdr:row>
      <xdr:rowOff>0</xdr:rowOff>
    </xdr:from>
    <xdr:to>
      <xdr:col>8</xdr:col>
      <xdr:colOff>1407459</xdr:colOff>
      <xdr:row>80</xdr:row>
      <xdr:rowOff>61530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511804</xdr:colOff>
      <xdr:row>82</xdr:row>
      <xdr:rowOff>0</xdr:rowOff>
    </xdr:from>
    <xdr:to>
      <xdr:col>8</xdr:col>
      <xdr:colOff>1407459</xdr:colOff>
      <xdr:row>110</xdr:row>
      <xdr:rowOff>61531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511804</xdr:colOff>
      <xdr:row>111</xdr:row>
      <xdr:rowOff>0</xdr:rowOff>
    </xdr:from>
    <xdr:to>
      <xdr:col>8</xdr:col>
      <xdr:colOff>1407459</xdr:colOff>
      <xdr:row>139</xdr:row>
      <xdr:rowOff>61530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511804</xdr:colOff>
      <xdr:row>141</xdr:row>
      <xdr:rowOff>0</xdr:rowOff>
    </xdr:from>
    <xdr:to>
      <xdr:col>8</xdr:col>
      <xdr:colOff>1407459</xdr:colOff>
      <xdr:row>169</xdr:row>
      <xdr:rowOff>61531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591786</xdr:colOff>
      <xdr:row>2</xdr:row>
      <xdr:rowOff>0</xdr:rowOff>
    </xdr:from>
    <xdr:to>
      <xdr:col>21</xdr:col>
      <xdr:colOff>0</xdr:colOff>
      <xdr:row>38</xdr:row>
      <xdr:rowOff>23371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591786</xdr:colOff>
      <xdr:row>39</xdr:row>
      <xdr:rowOff>175770</xdr:rowOff>
    </xdr:from>
    <xdr:to>
      <xdr:col>21</xdr:col>
      <xdr:colOff>0</xdr:colOff>
      <xdr:row>76</xdr:row>
      <xdr:rowOff>36351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591786</xdr:colOff>
      <xdr:row>77</xdr:row>
      <xdr:rowOff>23371</xdr:rowOff>
    </xdr:from>
    <xdr:to>
      <xdr:col>21</xdr:col>
      <xdr:colOff>0</xdr:colOff>
      <xdr:row>113</xdr:row>
      <xdr:rowOff>91769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591786</xdr:colOff>
      <xdr:row>115</xdr:row>
      <xdr:rowOff>23371</xdr:rowOff>
    </xdr:from>
    <xdr:to>
      <xdr:col>21</xdr:col>
      <xdr:colOff>0</xdr:colOff>
      <xdr:row>151</xdr:row>
      <xdr:rowOff>91770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626104</xdr:colOff>
      <xdr:row>51</xdr:row>
      <xdr:rowOff>23371</xdr:rowOff>
    </xdr:from>
    <xdr:to>
      <xdr:col>8</xdr:col>
      <xdr:colOff>1350309</xdr:colOff>
      <xdr:row>79</xdr:row>
      <xdr:rowOff>84901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626104</xdr:colOff>
      <xdr:row>81</xdr:row>
      <xdr:rowOff>23371</xdr:rowOff>
    </xdr:from>
    <xdr:to>
      <xdr:col>8</xdr:col>
      <xdr:colOff>1350309</xdr:colOff>
      <xdr:row>109</xdr:row>
      <xdr:rowOff>84902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626104</xdr:colOff>
      <xdr:row>110</xdr:row>
      <xdr:rowOff>23371</xdr:rowOff>
    </xdr:from>
    <xdr:to>
      <xdr:col>8</xdr:col>
      <xdr:colOff>1350309</xdr:colOff>
      <xdr:row>138</xdr:row>
      <xdr:rowOff>84901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626104</xdr:colOff>
      <xdr:row>140</xdr:row>
      <xdr:rowOff>23371</xdr:rowOff>
    </xdr:from>
    <xdr:to>
      <xdr:col>8</xdr:col>
      <xdr:colOff>1350309</xdr:colOff>
      <xdr:row>168</xdr:row>
      <xdr:rowOff>84902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377359</xdr:colOff>
      <xdr:row>1</xdr:row>
      <xdr:rowOff>27709</xdr:rowOff>
    </xdr:from>
    <xdr:to>
      <xdr:col>24</xdr:col>
      <xdr:colOff>575282</xdr:colOff>
      <xdr:row>37</xdr:row>
      <xdr:rowOff>51081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425722</xdr:colOff>
      <xdr:row>41</xdr:row>
      <xdr:rowOff>45844</xdr:rowOff>
    </xdr:from>
    <xdr:to>
      <xdr:col>12</xdr:col>
      <xdr:colOff>0</xdr:colOff>
      <xdr:row>69</xdr:row>
      <xdr:rowOff>107374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621227</xdr:colOff>
      <xdr:row>1</xdr:row>
      <xdr:rowOff>0</xdr:rowOff>
    </xdr:from>
    <xdr:to>
      <xdr:col>36</xdr:col>
      <xdr:colOff>19050</xdr:colOff>
      <xdr:row>37</xdr:row>
      <xdr:rowOff>66915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425722</xdr:colOff>
      <xdr:row>71</xdr:row>
      <xdr:rowOff>128971</xdr:rowOff>
    </xdr:from>
    <xdr:to>
      <xdr:col>12</xdr:col>
      <xdr:colOff>0</xdr:colOff>
      <xdr:row>100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635272</xdr:colOff>
      <xdr:row>41</xdr:row>
      <xdr:rowOff>45844</xdr:rowOff>
    </xdr:from>
    <xdr:to>
      <xdr:col>25</xdr:col>
      <xdr:colOff>0</xdr:colOff>
      <xdr:row>69</xdr:row>
      <xdr:rowOff>107374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635272</xdr:colOff>
      <xdr:row>71</xdr:row>
      <xdr:rowOff>128971</xdr:rowOff>
    </xdr:from>
    <xdr:to>
      <xdr:col>25</xdr:col>
      <xdr:colOff>0</xdr:colOff>
      <xdr:row>100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425722</xdr:colOff>
      <xdr:row>102</xdr:row>
      <xdr:rowOff>0</xdr:rowOff>
    </xdr:from>
    <xdr:to>
      <xdr:col>12</xdr:col>
      <xdr:colOff>0</xdr:colOff>
      <xdr:row>130</xdr:row>
      <xdr:rowOff>107374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635272</xdr:colOff>
      <xdr:row>102</xdr:row>
      <xdr:rowOff>0</xdr:rowOff>
    </xdr:from>
    <xdr:to>
      <xdr:col>25</xdr:col>
      <xdr:colOff>0</xdr:colOff>
      <xdr:row>130</xdr:row>
      <xdr:rowOff>107374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425722</xdr:colOff>
      <xdr:row>132</xdr:row>
      <xdr:rowOff>171450</xdr:rowOff>
    </xdr:from>
    <xdr:to>
      <xdr:col>12</xdr:col>
      <xdr:colOff>0</xdr:colOff>
      <xdr:row>161</xdr:row>
      <xdr:rowOff>88324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635272</xdr:colOff>
      <xdr:row>132</xdr:row>
      <xdr:rowOff>171450</xdr:rowOff>
    </xdr:from>
    <xdr:to>
      <xdr:col>25</xdr:col>
      <xdr:colOff>0</xdr:colOff>
      <xdr:row>161</xdr:row>
      <xdr:rowOff>88324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121920</xdr:colOff>
      <xdr:row>51</xdr:row>
      <xdr:rowOff>91440</xdr:rowOff>
    </xdr:from>
    <xdr:to>
      <xdr:col>11</xdr:col>
      <xdr:colOff>91440</xdr:colOff>
      <xdr:row>55</xdr:row>
      <xdr:rowOff>91440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4145280" y="6858000"/>
          <a:ext cx="4236720" cy="73152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HN" sz="4400" b="1"/>
            <a:t>CASO 1.1</a:t>
          </a:r>
        </a:p>
      </xdr:txBody>
    </xdr:sp>
    <xdr:clientData/>
  </xdr:twoCellAnchor>
  <xdr:twoCellAnchor>
    <xdr:from>
      <xdr:col>20</xdr:col>
      <xdr:colOff>701040</xdr:colOff>
      <xdr:row>50</xdr:row>
      <xdr:rowOff>152400</xdr:rowOff>
    </xdr:from>
    <xdr:to>
      <xdr:col>26</xdr:col>
      <xdr:colOff>182880</xdr:colOff>
      <xdr:row>54</xdr:row>
      <xdr:rowOff>152400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6611600" y="6736080"/>
          <a:ext cx="4236720" cy="73152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HN" sz="4400" b="1"/>
            <a:t>CASO 1.2</a:t>
          </a:r>
        </a:p>
      </xdr:txBody>
    </xdr:sp>
    <xdr:clientData/>
  </xdr:twoCellAnchor>
  <xdr:twoCellAnchor>
    <xdr:from>
      <xdr:col>36</xdr:col>
      <xdr:colOff>487680</xdr:colOff>
      <xdr:row>50</xdr:row>
      <xdr:rowOff>121920</xdr:rowOff>
    </xdr:from>
    <xdr:to>
      <xdr:col>41</xdr:col>
      <xdr:colOff>762000</xdr:colOff>
      <xdr:row>54</xdr:row>
      <xdr:rowOff>121920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29077920" y="6705600"/>
          <a:ext cx="4236720" cy="73152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HN" sz="4400" b="1"/>
            <a:t>CASO 1.3</a:t>
          </a:r>
        </a:p>
      </xdr:txBody>
    </xdr:sp>
    <xdr:clientData/>
  </xdr:twoCellAnchor>
  <xdr:twoCellAnchor>
    <xdr:from>
      <xdr:col>0</xdr:col>
      <xdr:colOff>365760</xdr:colOff>
      <xdr:row>47</xdr:row>
      <xdr:rowOff>30480</xdr:rowOff>
    </xdr:from>
    <xdr:to>
      <xdr:col>16</xdr:col>
      <xdr:colOff>1097280</xdr:colOff>
      <xdr:row>188</xdr:row>
      <xdr:rowOff>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365760" y="6065520"/>
          <a:ext cx="12070080" cy="25755600"/>
        </a:xfrm>
        <a:prstGeom prst="rect">
          <a:avLst/>
        </a:prstGeom>
        <a:noFill/>
        <a:ln w="31750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HN" sz="1100"/>
        </a:p>
      </xdr:txBody>
    </xdr:sp>
    <xdr:clientData/>
  </xdr:twoCellAnchor>
  <xdr:twoCellAnchor>
    <xdr:from>
      <xdr:col>16</xdr:col>
      <xdr:colOff>1463040</xdr:colOff>
      <xdr:row>47</xdr:row>
      <xdr:rowOff>30480</xdr:rowOff>
    </xdr:from>
    <xdr:to>
      <xdr:col>31</xdr:col>
      <xdr:colOff>243840</xdr:colOff>
      <xdr:row>188</xdr:row>
      <xdr:rowOff>0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12801600" y="6065520"/>
          <a:ext cx="12070080" cy="25755600"/>
        </a:xfrm>
        <a:prstGeom prst="rect">
          <a:avLst/>
        </a:prstGeom>
        <a:noFill/>
        <a:ln w="31750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HN" sz="1100"/>
        </a:p>
      </xdr:txBody>
    </xdr:sp>
    <xdr:clientData/>
  </xdr:twoCellAnchor>
  <xdr:twoCellAnchor>
    <xdr:from>
      <xdr:col>31</xdr:col>
      <xdr:colOff>609600</xdr:colOff>
      <xdr:row>47</xdr:row>
      <xdr:rowOff>30480</xdr:rowOff>
    </xdr:from>
    <xdr:to>
      <xdr:col>47</xdr:col>
      <xdr:colOff>0</xdr:colOff>
      <xdr:row>188</xdr:row>
      <xdr:rowOff>0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25237440" y="6065520"/>
          <a:ext cx="12070080" cy="25755600"/>
        </a:xfrm>
        <a:prstGeom prst="rect">
          <a:avLst/>
        </a:prstGeom>
        <a:noFill/>
        <a:ln w="31750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HN" sz="1100"/>
        </a:p>
      </xdr:txBody>
    </xdr:sp>
    <xdr:clientData/>
  </xdr:twoCellAnchor>
  <xdr:twoCellAnchor editAs="oneCell">
    <xdr:from>
      <xdr:col>2</xdr:col>
      <xdr:colOff>285750</xdr:colOff>
      <xdr:row>58</xdr:row>
      <xdr:rowOff>119063</xdr:rowOff>
    </xdr:from>
    <xdr:to>
      <xdr:col>12</xdr:col>
      <xdr:colOff>23811</xdr:colOff>
      <xdr:row>96</xdr:row>
      <xdr:rowOff>94869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0" y="11168063"/>
          <a:ext cx="6405561" cy="7214806"/>
        </a:xfrm>
        <a:prstGeom prst="rect">
          <a:avLst/>
        </a:prstGeom>
      </xdr:spPr>
    </xdr:pic>
    <xdr:clientData/>
  </xdr:twoCellAnchor>
  <xdr:twoCellAnchor editAs="oneCell">
    <xdr:from>
      <xdr:col>21</xdr:col>
      <xdr:colOff>633412</xdr:colOff>
      <xdr:row>57</xdr:row>
      <xdr:rowOff>180975</xdr:rowOff>
    </xdr:from>
    <xdr:to>
      <xdr:col>29</xdr:col>
      <xdr:colOff>542858</xdr:colOff>
      <xdr:row>96</xdr:row>
      <xdr:rowOff>166688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0662" y="11039475"/>
          <a:ext cx="6005446" cy="7415213"/>
        </a:xfrm>
        <a:prstGeom prst="rect">
          <a:avLst/>
        </a:prstGeom>
      </xdr:spPr>
    </xdr:pic>
    <xdr:clientData/>
  </xdr:twoCellAnchor>
  <xdr:twoCellAnchor editAs="oneCell">
    <xdr:from>
      <xdr:col>36</xdr:col>
      <xdr:colOff>195262</xdr:colOff>
      <xdr:row>57</xdr:row>
      <xdr:rowOff>95250</xdr:rowOff>
    </xdr:from>
    <xdr:to>
      <xdr:col>44</xdr:col>
      <xdr:colOff>8757</xdr:colOff>
      <xdr:row>94</xdr:row>
      <xdr:rowOff>91950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22512" y="10953750"/>
          <a:ext cx="5909495" cy="70452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571500</xdr:colOff>
      <xdr:row>140</xdr:row>
      <xdr:rowOff>187098</xdr:rowOff>
    </xdr:from>
    <xdr:to>
      <xdr:col>14</xdr:col>
      <xdr:colOff>524523</xdr:colOff>
      <xdr:row>177</xdr:row>
      <xdr:rowOff>183798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" y="26857098"/>
          <a:ext cx="8906523" cy="7045200"/>
        </a:xfrm>
        <a:prstGeom prst="rect">
          <a:avLst/>
        </a:prstGeom>
      </xdr:spPr>
    </xdr:pic>
    <xdr:clientData/>
  </xdr:twoCellAnchor>
  <xdr:twoCellAnchor editAs="oneCell">
    <xdr:from>
      <xdr:col>1</xdr:col>
      <xdr:colOff>595311</xdr:colOff>
      <xdr:row>102</xdr:row>
      <xdr:rowOff>20410</xdr:rowOff>
    </xdr:from>
    <xdr:to>
      <xdr:col>14</xdr:col>
      <xdr:colOff>546865</xdr:colOff>
      <xdr:row>139</xdr:row>
      <xdr:rowOff>17110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11" y="19451410"/>
          <a:ext cx="8905054" cy="7045200"/>
        </a:xfrm>
        <a:prstGeom prst="rect">
          <a:avLst/>
        </a:prstGeom>
      </xdr:spPr>
    </xdr:pic>
    <xdr:clientData/>
  </xdr:twoCellAnchor>
  <xdr:twoCellAnchor editAs="oneCell">
    <xdr:from>
      <xdr:col>18</xdr:col>
      <xdr:colOff>566737</xdr:colOff>
      <xdr:row>141</xdr:row>
      <xdr:rowOff>68035</xdr:rowOff>
    </xdr:from>
    <xdr:to>
      <xdr:col>30</xdr:col>
      <xdr:colOff>350737</xdr:colOff>
      <xdr:row>178</xdr:row>
      <xdr:rowOff>64735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77987" y="26928535"/>
          <a:ext cx="8928000" cy="7045200"/>
        </a:xfrm>
        <a:prstGeom prst="rect">
          <a:avLst/>
        </a:prstGeom>
      </xdr:spPr>
    </xdr:pic>
    <xdr:clientData/>
  </xdr:twoCellAnchor>
  <xdr:twoCellAnchor editAs="oneCell">
    <xdr:from>
      <xdr:col>18</xdr:col>
      <xdr:colOff>423862</xdr:colOff>
      <xdr:row>100</xdr:row>
      <xdr:rowOff>139473</xdr:rowOff>
    </xdr:from>
    <xdr:to>
      <xdr:col>30</xdr:col>
      <xdr:colOff>207862</xdr:colOff>
      <xdr:row>137</xdr:row>
      <xdr:rowOff>136173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35112" y="19189473"/>
          <a:ext cx="8928000" cy="7045200"/>
        </a:xfrm>
        <a:prstGeom prst="rect">
          <a:avLst/>
        </a:prstGeom>
      </xdr:spPr>
    </xdr:pic>
    <xdr:clientData/>
  </xdr:twoCellAnchor>
  <xdr:twoCellAnchor editAs="oneCell">
    <xdr:from>
      <xdr:col>33</xdr:col>
      <xdr:colOff>542925</xdr:colOff>
      <xdr:row>141</xdr:row>
      <xdr:rowOff>187099</xdr:rowOff>
    </xdr:from>
    <xdr:to>
      <xdr:col>45</xdr:col>
      <xdr:colOff>326925</xdr:colOff>
      <xdr:row>178</xdr:row>
      <xdr:rowOff>183799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17488" y="27047599"/>
          <a:ext cx="8928000" cy="7045200"/>
        </a:xfrm>
        <a:prstGeom prst="rect">
          <a:avLst/>
        </a:prstGeom>
      </xdr:spPr>
    </xdr:pic>
    <xdr:clientData/>
  </xdr:twoCellAnchor>
  <xdr:twoCellAnchor editAs="oneCell">
    <xdr:from>
      <xdr:col>33</xdr:col>
      <xdr:colOff>502103</xdr:colOff>
      <xdr:row>100</xdr:row>
      <xdr:rowOff>142876</xdr:rowOff>
    </xdr:from>
    <xdr:to>
      <xdr:col>45</xdr:col>
      <xdr:colOff>286103</xdr:colOff>
      <xdr:row>137</xdr:row>
      <xdr:rowOff>139576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666" y="19192876"/>
          <a:ext cx="8928000" cy="70452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752475</xdr:colOff>
          <xdr:row>6</xdr:row>
          <xdr:rowOff>0</xdr:rowOff>
        </xdr:from>
        <xdr:to>
          <xdr:col>6</xdr:col>
          <xdr:colOff>676275</xdr:colOff>
          <xdr:row>14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17</xdr:row>
          <xdr:rowOff>19050</xdr:rowOff>
        </xdr:from>
        <xdr:to>
          <xdr:col>6</xdr:col>
          <xdr:colOff>657225</xdr:colOff>
          <xdr:row>22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7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 TOTAL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8"/>
  <dimension ref="B3:J49"/>
  <sheetViews>
    <sheetView showGridLines="0" zoomScale="70" zoomScaleNormal="70" workbookViewId="0">
      <selection activeCell="F45" sqref="F45"/>
    </sheetView>
  </sheetViews>
  <sheetFormatPr baseColWidth="10" defaultRowHeight="15" x14ac:dyDescent="0.25"/>
  <cols>
    <col min="1" max="1" width="10.5703125" customWidth="1"/>
    <col min="2" max="2" width="13.7109375" customWidth="1"/>
    <col min="3" max="3" width="10.28515625" customWidth="1"/>
    <col min="5" max="7" width="22.7109375" customWidth="1"/>
    <col min="8" max="8" width="26.85546875" customWidth="1"/>
    <col min="9" max="9" width="29.42578125" customWidth="1"/>
  </cols>
  <sheetData>
    <row r="3" spans="2:10" x14ac:dyDescent="0.25">
      <c r="B3" s="127" t="s">
        <v>2</v>
      </c>
      <c r="C3" s="127" t="s">
        <v>16</v>
      </c>
      <c r="D3" s="127" t="s">
        <v>3</v>
      </c>
      <c r="E3" s="117" t="s">
        <v>92</v>
      </c>
      <c r="F3" s="117"/>
      <c r="G3" s="117"/>
      <c r="H3" s="117" t="s">
        <v>93</v>
      </c>
      <c r="I3" s="117"/>
    </row>
    <row r="4" spans="2:10" ht="15.75" thickBot="1" x14ac:dyDescent="0.3">
      <c r="B4" s="128"/>
      <c r="C4" s="128"/>
      <c r="D4" s="127"/>
      <c r="E4" s="27" t="s">
        <v>67</v>
      </c>
      <c r="F4" s="27" t="s">
        <v>68</v>
      </c>
      <c r="G4" s="27" t="s">
        <v>69</v>
      </c>
      <c r="H4" s="27" t="s">
        <v>96</v>
      </c>
      <c r="I4" s="27" t="s">
        <v>95</v>
      </c>
    </row>
    <row r="5" spans="2:10" x14ac:dyDescent="0.25">
      <c r="B5" s="121" t="s">
        <v>17</v>
      </c>
      <c r="C5" s="124" t="s">
        <v>18</v>
      </c>
      <c r="D5" s="22" t="s">
        <v>5</v>
      </c>
      <c r="E5" s="92">
        <f>(+DERIVAS!E5-DERIVAS!H5)/DERIVAS!H5</f>
        <v>0.22713240980016192</v>
      </c>
      <c r="F5" s="93">
        <f>(+DERIVAS!F5-DERIVAS!I5)/DERIVAS!I5</f>
        <v>0.35837118995119444</v>
      </c>
      <c r="G5" s="94">
        <f>(+DERIVAS!G5-DERIVAS!J5)/DERIVAS!J5</f>
        <v>0.34893509001024647</v>
      </c>
      <c r="H5" s="92">
        <f>(+DERIVAS!E5-DERIVAS!F5)/DERIVAS!F5</f>
        <v>8.2490955828586413E-3</v>
      </c>
      <c r="I5" s="95">
        <f>(+DERIVAS!E5-DERIVAS!G5)/DERIVAS!G5</f>
        <v>8.6854048721783511E-2</v>
      </c>
    </row>
    <row r="6" spans="2:10" x14ac:dyDescent="0.25">
      <c r="B6" s="122"/>
      <c r="C6" s="125"/>
      <c r="D6" s="18" t="s">
        <v>6</v>
      </c>
      <c r="E6" s="96">
        <f>(+DERIVAS!E6-DERIVAS!H6)/DERIVAS!H6</f>
        <v>3.2589320594218048E-2</v>
      </c>
      <c r="F6" s="97">
        <f>(+DERIVAS!F6-DERIVAS!I6)/DERIVAS!I6</f>
        <v>4.0592770454553437E-2</v>
      </c>
      <c r="G6" s="98">
        <f>(+DERIVAS!G6-DERIVAS!J6)/DERIVAS!J6</f>
        <v>-9.2339176926592402E-3</v>
      </c>
      <c r="H6" s="96">
        <f>(+DERIVAS!E6-DERIVAS!F6)/DERIVAS!F6</f>
        <v>6.0659388154397559E-2</v>
      </c>
      <c r="I6" s="99">
        <f>(+DERIVAS!E6-DERIVAS!G6)/DERIVAS!G6</f>
        <v>0.17775962774347775</v>
      </c>
      <c r="J6" s="28"/>
    </row>
    <row r="7" spans="2:10" x14ac:dyDescent="0.25">
      <c r="B7" s="122"/>
      <c r="C7" s="125"/>
      <c r="D7" s="18" t="s">
        <v>7</v>
      </c>
      <c r="E7" s="96">
        <f>(+DERIVAS!E7-DERIVAS!H7)/DERIVAS!H7</f>
        <v>-5.8574893578843576E-4</v>
      </c>
      <c r="F7" s="97">
        <f>(+DERIVAS!F7-DERIVAS!I7)/DERIVAS!I7</f>
        <v>3.866753689421487E-3</v>
      </c>
      <c r="G7" s="98">
        <f>(+DERIVAS!G7-DERIVAS!J7)/DERIVAS!J7</f>
        <v>-1.1323515343822485E-2</v>
      </c>
      <c r="H7" s="96">
        <f>(+DERIVAS!E7-DERIVAS!F7)/DERIVAS!F7</f>
        <v>3.8394493236596175E-2</v>
      </c>
      <c r="I7" s="99">
        <f>(+DERIVAS!E7-DERIVAS!G7)/DERIVAS!G7</f>
        <v>9.5893759019326535E-2</v>
      </c>
    </row>
    <row r="8" spans="2:10" x14ac:dyDescent="0.25">
      <c r="B8" s="122"/>
      <c r="C8" s="125"/>
      <c r="D8" s="18" t="s">
        <v>8</v>
      </c>
      <c r="E8" s="96">
        <f>(+DERIVAS!E8-DERIVAS!H8)/DERIVAS!H8</f>
        <v>-1.9675698538678392E-2</v>
      </c>
      <c r="F8" s="97">
        <f>(+DERIVAS!F8-DERIVAS!I8)/DERIVAS!I8</f>
        <v>-1.8174439987205422E-2</v>
      </c>
      <c r="G8" s="98">
        <f>(+DERIVAS!G8-DERIVAS!J8)/DERIVAS!J8</f>
        <v>2.1959299253928775E-3</v>
      </c>
      <c r="H8" s="96">
        <f>(+DERIVAS!E8-DERIVAS!F8)/DERIVAS!F8</f>
        <v>2.9211052866822573E-2</v>
      </c>
      <c r="I8" s="99">
        <f>(+DERIVAS!E8-DERIVAS!G8)/DERIVAS!G8</f>
        <v>3.7140818114218682E-2</v>
      </c>
    </row>
    <row r="9" spans="2:10" x14ac:dyDescent="0.25">
      <c r="B9" s="122"/>
      <c r="C9" s="125"/>
      <c r="D9" s="18" t="s">
        <v>9</v>
      </c>
      <c r="E9" s="96">
        <f>(+DERIVAS!E9-DERIVAS!H9)/DERIVAS!H9</f>
        <v>-3.0341685126905896E-2</v>
      </c>
      <c r="F9" s="97">
        <f>(+DERIVAS!F9-DERIVAS!I9)/DERIVAS!I9</f>
        <v>-3.0454387218393473E-2</v>
      </c>
      <c r="G9" s="98">
        <f>(+DERIVAS!G9-DERIVAS!J9)/DERIVAS!J9</f>
        <v>9.589055340309809E-3</v>
      </c>
      <c r="H9" s="96">
        <f>(+DERIVAS!E9-DERIVAS!F9)/DERIVAS!F9</f>
        <v>2.3943212092781371E-2</v>
      </c>
      <c r="I9" s="99">
        <f>(+DERIVAS!E9-DERIVAS!G9)/DERIVAS!G9</f>
        <v>5.3405879517613424E-3</v>
      </c>
    </row>
    <row r="10" spans="2:10" x14ac:dyDescent="0.25">
      <c r="B10" s="122"/>
      <c r="C10" s="125"/>
      <c r="D10" s="18" t="s">
        <v>10</v>
      </c>
      <c r="E10" s="96">
        <f>(+DERIVAS!E10-DERIVAS!H10)/DERIVAS!H10</f>
        <v>-3.6776335249264998E-2</v>
      </c>
      <c r="F10" s="97">
        <f>(+DERIVAS!F10-DERIVAS!I10)/DERIVAS!I10</f>
        <v>-3.7611982694068194E-2</v>
      </c>
      <c r="G10" s="98">
        <f>(+DERIVAS!G10-DERIVAS!J10)/DERIVAS!J10</f>
        <v>1.4032489619448857E-2</v>
      </c>
      <c r="H10" s="96">
        <f>(+DERIVAS!E10-DERIVAS!F10)/DERIVAS!F10</f>
        <v>2.0701271852703974E-2</v>
      </c>
      <c r="I10" s="99">
        <f>(+DERIVAS!E10-DERIVAS!G10)/DERIVAS!G10</f>
        <v>-1.3611362549680196E-2</v>
      </c>
    </row>
    <row r="11" spans="2:10" x14ac:dyDescent="0.25">
      <c r="B11" s="122"/>
      <c r="C11" s="125"/>
      <c r="D11" s="18" t="s">
        <v>11</v>
      </c>
      <c r="E11" s="96">
        <f>(+DERIVAS!E11-DERIVAS!H11)/DERIVAS!H11</f>
        <v>-4.124336812348306E-2</v>
      </c>
      <c r="F11" s="97">
        <f>(+DERIVAS!F11-DERIVAS!I11)/DERIVAS!I11</f>
        <v>-4.0036150538853787E-2</v>
      </c>
      <c r="G11" s="98">
        <f>(+DERIVAS!G11-DERIVAS!J11)/DERIVAS!J11</f>
        <v>1.456811262752261E-2</v>
      </c>
      <c r="H11" s="96">
        <f>(+DERIVAS!E11-DERIVAS!F11)/DERIVAS!F11</f>
        <v>1.9617659106911912E-2</v>
      </c>
      <c r="I11" s="99">
        <f>(+DERIVAS!E11-DERIVAS!G11)/DERIVAS!G11</f>
        <v>-2.3524747974512254E-2</v>
      </c>
    </row>
    <row r="12" spans="2:10" x14ac:dyDescent="0.25">
      <c r="B12" s="122"/>
      <c r="C12" s="125"/>
      <c r="D12" s="18" t="s">
        <v>12</v>
      </c>
      <c r="E12" s="96">
        <f>(+DERIVAS!E12-DERIVAS!H12)/DERIVAS!H12</f>
        <v>-4.7204750575780892E-2</v>
      </c>
      <c r="F12" s="97">
        <f>(+DERIVAS!F12-DERIVAS!I12)/DERIVAS!I12</f>
        <v>-4.3283999747162766E-2</v>
      </c>
      <c r="G12" s="98">
        <f>(+DERIVAS!G12-DERIVAS!J12)/DERIVAS!J12</f>
        <v>1.4108277293074364E-2</v>
      </c>
      <c r="H12" s="96">
        <f>(+DERIVAS!E12-DERIVAS!F12)/DERIVAS!F12</f>
        <v>1.8575260686409894E-2</v>
      </c>
      <c r="I12" s="99">
        <f>(+DERIVAS!E12-DERIVAS!G12)/DERIVAS!G12</f>
        <v>-3.29288349943819E-2</v>
      </c>
    </row>
    <row r="13" spans="2:10" x14ac:dyDescent="0.25">
      <c r="B13" s="122"/>
      <c r="C13" s="125"/>
      <c r="D13" s="18" t="s">
        <v>13</v>
      </c>
      <c r="E13" s="96">
        <f>(+DERIVAS!E13-DERIVAS!H13)/DERIVAS!H13</f>
        <v>-5.4498123206490855E-2</v>
      </c>
      <c r="F13" s="97">
        <f>(+DERIVAS!F13-DERIVAS!I13)/DERIVAS!I13</f>
        <v>-5.0841033139099837E-2</v>
      </c>
      <c r="G13" s="98">
        <f>(+DERIVAS!G13-DERIVAS!J13)/DERIVAS!J13</f>
        <v>1.5964585461152692E-2</v>
      </c>
      <c r="H13" s="96">
        <f>(+DERIVAS!E13-DERIVAS!F13)/DERIVAS!F13</f>
        <v>1.726271760212849E-2</v>
      </c>
      <c r="I13" s="99">
        <f>(+DERIVAS!E13-DERIVAS!G13)/DERIVAS!G13</f>
        <v>-4.5559908213498423E-2</v>
      </c>
    </row>
    <row r="14" spans="2:10" x14ac:dyDescent="0.25">
      <c r="B14" s="122"/>
      <c r="C14" s="125"/>
      <c r="D14" s="18" t="s">
        <v>14</v>
      </c>
      <c r="E14" s="96">
        <f>(+DERIVAS!E14-DERIVAS!H14)/DERIVAS!H14</f>
        <v>-6.0177575078395738E-2</v>
      </c>
      <c r="F14" s="97">
        <f>(+DERIVAS!F14-DERIVAS!I14)/DERIVAS!I14</f>
        <v>-5.7098043239905541E-2</v>
      </c>
      <c r="G14" s="98">
        <f>(+DERIVAS!G14-DERIVAS!J14)/DERIVAS!J14</f>
        <v>1.7841483588001653E-2</v>
      </c>
      <c r="H14" s="96">
        <f>(+DERIVAS!E14-DERIVAS!F14)/DERIVAS!F14</f>
        <v>1.3692308659255418E-2</v>
      </c>
      <c r="I14" s="99">
        <f>(+DERIVAS!E14-DERIVAS!G14)/DERIVAS!G14</f>
        <v>-5.5859444699573754E-2</v>
      </c>
    </row>
    <row r="15" spans="2:10" ht="15.75" thickBot="1" x14ac:dyDescent="0.3">
      <c r="B15" s="123"/>
      <c r="C15" s="126"/>
      <c r="D15" s="20" t="s">
        <v>4</v>
      </c>
      <c r="E15" s="100">
        <f>(+DERIVAS!E15-DERIVAS!H15)/DERIVAS!H15</f>
        <v>-6.0241573140302498E-2</v>
      </c>
      <c r="F15" s="101">
        <f>(+DERIVAS!F15-DERIVAS!I15)/DERIVAS!I15</f>
        <v>-5.5467417370830052E-2</v>
      </c>
      <c r="G15" s="102">
        <f>(+DERIVAS!G15-DERIVAS!J15)/DERIVAS!J15</f>
        <v>1.542639362849905E-2</v>
      </c>
      <c r="H15" s="100">
        <f>(+DERIVAS!E15-DERIVAS!F15)/DERIVAS!F15</f>
        <v>4.513889418764949E-3</v>
      </c>
      <c r="I15" s="103">
        <f>(+DERIVAS!E15-DERIVAS!G15)/DERIVAS!G15</f>
        <v>-4.7586028778101315E-2</v>
      </c>
    </row>
    <row r="16" spans="2:10" x14ac:dyDescent="0.25">
      <c r="B16" s="121" t="s">
        <v>17</v>
      </c>
      <c r="C16" s="124" t="s">
        <v>19</v>
      </c>
      <c r="D16" s="19" t="s">
        <v>5</v>
      </c>
      <c r="E16" s="92">
        <f>(+DERIVAS!E16-DERIVAS!H16)/DERIVAS!H16</f>
        <v>0.22638726635200571</v>
      </c>
      <c r="F16" s="93">
        <f>(+DERIVAS!F16-DERIVAS!I16)/DERIVAS!I16</f>
        <v>0.33869597647318939</v>
      </c>
      <c r="G16" s="94">
        <f>(+DERIVAS!G16-DERIVAS!J16)/DERIVAS!J16</f>
        <v>0.31552676869698471</v>
      </c>
      <c r="H16" s="92">
        <f>(+DERIVAS!E16-DERIVAS!F16)/DERIVAS!F16</f>
        <v>-1.2077551783840648E-2</v>
      </c>
      <c r="I16" s="95">
        <f>(+DERIVAS!E16-DERIVAS!G16)/DERIVAS!G16</f>
        <v>-7.8782895227508004E-2</v>
      </c>
    </row>
    <row r="17" spans="2:9" x14ac:dyDescent="0.25">
      <c r="B17" s="122"/>
      <c r="C17" s="125"/>
      <c r="D17" s="18" t="s">
        <v>6</v>
      </c>
      <c r="E17" s="96">
        <f>(+DERIVAS!E17-DERIVAS!H17)/DERIVAS!H17</f>
        <v>1.828370228937996E-2</v>
      </c>
      <c r="F17" s="97">
        <f>(+DERIVAS!F17-DERIVAS!I17)/DERIVAS!I17</f>
        <v>6.5639870873514222E-2</v>
      </c>
      <c r="G17" s="98">
        <f>(+DERIVAS!G17-DERIVAS!J17)/DERIVAS!J17</f>
        <v>8.3021458562086897E-2</v>
      </c>
      <c r="H17" s="96">
        <f>(+DERIVAS!E17-DERIVAS!F17)/DERIVAS!F17</f>
        <v>1.9532987847408867E-2</v>
      </c>
      <c r="I17" s="99">
        <f>(+DERIVAS!E17-DERIVAS!G17)/DERIVAS!G17</f>
        <v>-4.1614348909164177E-2</v>
      </c>
    </row>
    <row r="18" spans="2:9" x14ac:dyDescent="0.25">
      <c r="B18" s="122"/>
      <c r="C18" s="125"/>
      <c r="D18" s="18" t="s">
        <v>7</v>
      </c>
      <c r="E18" s="96">
        <f>(+DERIVAS!E18-DERIVAS!H18)/DERIVAS!H18</f>
        <v>-1.7055357556553262E-2</v>
      </c>
      <c r="F18" s="97">
        <f>(+DERIVAS!F18-DERIVAS!I18)/DERIVAS!I18</f>
        <v>1.4301889615367821E-2</v>
      </c>
      <c r="G18" s="98">
        <f>(+DERIVAS!G18-DERIVAS!J18)/DERIVAS!J18</f>
        <v>-3.0944705935658928E-3</v>
      </c>
      <c r="H18" s="96">
        <f>(+DERIVAS!E18-DERIVAS!F18)/DERIVAS!F18</f>
        <v>2.0402872961886743E-2</v>
      </c>
      <c r="I18" s="99">
        <f>(+DERIVAS!E18-DERIVAS!G18)/DERIVAS!G18</f>
        <v>2.4059635554011125E-2</v>
      </c>
    </row>
    <row r="19" spans="2:9" x14ac:dyDescent="0.25">
      <c r="B19" s="122"/>
      <c r="C19" s="125"/>
      <c r="D19" s="18" t="s">
        <v>8</v>
      </c>
      <c r="E19" s="96">
        <f>(+DERIVAS!E19-DERIVAS!H19)/DERIVAS!H19</f>
        <v>-3.8679786993332001E-2</v>
      </c>
      <c r="F19" s="97">
        <f>(+DERIVAS!F19-DERIVAS!I19)/DERIVAS!I19</f>
        <v>-1.8915911088629597E-2</v>
      </c>
      <c r="G19" s="98">
        <f>(+DERIVAS!G19-DERIVAS!J19)/DERIVAS!J19</f>
        <v>-5.7463455423960051E-2</v>
      </c>
      <c r="H19" s="96">
        <f>(+DERIVAS!E19-DERIVAS!F19)/DERIVAS!F19</f>
        <v>2.6598455905118668E-2</v>
      </c>
      <c r="I19" s="99">
        <f>(+DERIVAS!E19-DERIVAS!G19)/DERIVAS!G19</f>
        <v>7.0913931695459717E-2</v>
      </c>
    </row>
    <row r="20" spans="2:9" x14ac:dyDescent="0.25">
      <c r="B20" s="122"/>
      <c r="C20" s="125"/>
      <c r="D20" s="18" t="s">
        <v>9</v>
      </c>
      <c r="E20" s="96">
        <f>(+DERIVAS!E20-DERIVAS!H20)/DERIVAS!H20</f>
        <v>-5.1246286793667085E-2</v>
      </c>
      <c r="F20" s="97">
        <f>(+DERIVAS!F20-DERIVAS!I20)/DERIVAS!I20</f>
        <v>-3.7813819845408964E-2</v>
      </c>
      <c r="G20" s="98">
        <f>(+DERIVAS!G20-DERIVAS!J20)/DERIVAS!J20</f>
        <v>-8.7992958966173401E-2</v>
      </c>
      <c r="H20" s="96">
        <f>(+DERIVAS!E20-DERIVAS!F20)/DERIVAS!F20</f>
        <v>3.0087606375548706E-2</v>
      </c>
      <c r="I20" s="99">
        <f>(+DERIVAS!E20-DERIVAS!G20)/DERIVAS!G20</f>
        <v>9.8738236012182845E-2</v>
      </c>
    </row>
    <row r="21" spans="2:9" x14ac:dyDescent="0.25">
      <c r="B21" s="122"/>
      <c r="C21" s="125"/>
      <c r="D21" s="18" t="s">
        <v>10</v>
      </c>
      <c r="E21" s="96">
        <f>(+DERIVAS!E21-DERIVAS!H21)/DERIVAS!H21</f>
        <v>-5.876680979174833E-2</v>
      </c>
      <c r="F21" s="97">
        <f>(+DERIVAS!F21-DERIVAS!I21)/DERIVAS!I21</f>
        <v>-4.9067479381784317E-2</v>
      </c>
      <c r="G21" s="98">
        <f>(+DERIVAS!G21-DERIVAS!J21)/DERIVAS!J21</f>
        <v>-0.10629552427365919</v>
      </c>
      <c r="H21" s="96">
        <f>(+DERIVAS!E21-DERIVAS!F21)/DERIVAS!F21</f>
        <v>3.2523750351912635E-2</v>
      </c>
      <c r="I21" s="99">
        <f>(+DERIVAS!E21-DERIVAS!G21)/DERIVAS!G21</f>
        <v>0.11693505050044993</v>
      </c>
    </row>
    <row r="22" spans="2:9" x14ac:dyDescent="0.25">
      <c r="B22" s="122"/>
      <c r="C22" s="125"/>
      <c r="D22" s="18" t="s">
        <v>11</v>
      </c>
      <c r="E22" s="96">
        <f>(+DERIVAS!E22-DERIVAS!H22)/DERIVAS!H22</f>
        <v>-6.1536118915765596E-2</v>
      </c>
      <c r="F22" s="97">
        <f>(+DERIVAS!F22-DERIVAS!I22)/DERIVAS!I22</f>
        <v>-5.3738066390124961E-2</v>
      </c>
      <c r="G22" s="98">
        <f>(+DERIVAS!G22-DERIVAS!J22)/DERIVAS!J22</f>
        <v>-0.11038608560814994</v>
      </c>
      <c r="H22" s="96">
        <f>(+DERIVAS!E22-DERIVAS!F22)/DERIVAS!F22</f>
        <v>3.7505205205520385E-2</v>
      </c>
      <c r="I22" s="99">
        <f>(+DERIVAS!E22-DERIVAS!G22)/DERIVAS!G22</f>
        <v>0.12857602133151408</v>
      </c>
    </row>
    <row r="23" spans="2:9" x14ac:dyDescent="0.25">
      <c r="B23" s="122"/>
      <c r="C23" s="125"/>
      <c r="D23" s="18" t="s">
        <v>12</v>
      </c>
      <c r="E23" s="96">
        <f>(+DERIVAS!E23-DERIVAS!H23)/DERIVAS!H23</f>
        <v>-6.4481020213686777E-2</v>
      </c>
      <c r="F23" s="97">
        <f>(+DERIVAS!F23-DERIVAS!I23)/DERIVAS!I23</f>
        <v>-5.9839850654770418E-2</v>
      </c>
      <c r="G23" s="98">
        <f>(+DERIVAS!G23-DERIVAS!J23)/DERIVAS!J23</f>
        <v>-0.11509401131072755</v>
      </c>
      <c r="H23" s="96">
        <f>(+DERIVAS!E23-DERIVAS!F23)/DERIVAS!F23</f>
        <v>4.4458249718858436E-2</v>
      </c>
      <c r="I23" s="99">
        <f>(+DERIVAS!E23-DERIVAS!G23)/DERIVAS!G23</f>
        <v>0.14115430759133893</v>
      </c>
    </row>
    <row r="24" spans="2:9" x14ac:dyDescent="0.25">
      <c r="B24" s="122"/>
      <c r="C24" s="125"/>
      <c r="D24" s="18" t="s">
        <v>13</v>
      </c>
      <c r="E24" s="96">
        <f>(+DERIVAS!E24-DERIVAS!H24)/DERIVAS!H24</f>
        <v>-7.1556950212766923E-2</v>
      </c>
      <c r="F24" s="97">
        <f>(+DERIVAS!F24-DERIVAS!I24)/DERIVAS!I24</f>
        <v>-7.0505682899195524E-2</v>
      </c>
      <c r="G24" s="98">
        <f>(+DERIVAS!G24-DERIVAS!J24)/DERIVAS!J24</f>
        <v>-0.13240121987702971</v>
      </c>
      <c r="H24" s="96">
        <f>(+DERIVAS!E24-DERIVAS!F24)/DERIVAS!F24</f>
        <v>4.8245108234606982E-2</v>
      </c>
      <c r="I24" s="99">
        <f>(+DERIVAS!E24-DERIVAS!G24)/DERIVAS!G24</f>
        <v>0.15922544983689074</v>
      </c>
    </row>
    <row r="25" spans="2:9" x14ac:dyDescent="0.25">
      <c r="B25" s="122"/>
      <c r="C25" s="125"/>
      <c r="D25" s="18" t="s">
        <v>14</v>
      </c>
      <c r="E25" s="96">
        <f>(+DERIVAS!E25-DERIVAS!H25)/DERIVAS!H25</f>
        <v>-7.8105522279129397E-2</v>
      </c>
      <c r="F25" s="97">
        <f>(+DERIVAS!F25-DERIVAS!I25)/DERIVAS!I25</f>
        <v>-7.7900564538189623E-2</v>
      </c>
      <c r="G25" s="98">
        <f>(+DERIVAS!G25-DERIVAS!J25)/DERIVAS!J25</f>
        <v>-0.14399519478312328</v>
      </c>
      <c r="H25" s="96">
        <f>(+DERIVAS!E25-DERIVAS!F25)/DERIVAS!F25</f>
        <v>4.6058721309284137E-2</v>
      </c>
      <c r="I25" s="99">
        <f>(+DERIVAS!E25-DERIVAS!G25)/DERIVAS!G25</f>
        <v>0.1658329129274676</v>
      </c>
    </row>
    <row r="26" spans="2:9" ht="15.75" thickBot="1" x14ac:dyDescent="0.3">
      <c r="B26" s="123"/>
      <c r="C26" s="126"/>
      <c r="D26" s="20" t="s">
        <v>4</v>
      </c>
      <c r="E26" s="100">
        <f>(+DERIVAS!E26-DERIVAS!H26)/DERIVAS!H26</f>
        <v>-8.1561729166654162E-2</v>
      </c>
      <c r="F26" s="101">
        <f>(+DERIVAS!F26-DERIVAS!I26)/DERIVAS!I26</f>
        <v>-6.4910294685456754E-2</v>
      </c>
      <c r="G26" s="102">
        <f>(+DERIVAS!G26-DERIVAS!J26)/DERIVAS!J26</f>
        <v>-0.12542275407373077</v>
      </c>
      <c r="H26" s="100">
        <f>(+DERIVAS!E26-DERIVAS!F26)/DERIVAS!F26</f>
        <v>1.746730729689789E-2</v>
      </c>
      <c r="I26" s="103">
        <f>(+DERIVAS!E26-DERIVAS!G26)/DERIVAS!G26</f>
        <v>0.11610562731352658</v>
      </c>
    </row>
    <row r="27" spans="2:9" x14ac:dyDescent="0.25">
      <c r="B27" s="121" t="s">
        <v>17</v>
      </c>
      <c r="C27" s="124" t="s">
        <v>20</v>
      </c>
      <c r="D27" s="19" t="s">
        <v>5</v>
      </c>
      <c r="E27" s="92">
        <f>(+DERIVAS!E27-DERIVAS!H27)/DERIVAS!H27</f>
        <v>0.38359515011855139</v>
      </c>
      <c r="F27" s="93">
        <f>(+DERIVAS!F27-DERIVAS!I27)/DERIVAS!I27</f>
        <v>6.8760879898748573E-2</v>
      </c>
      <c r="G27" s="94">
        <f>(+DERIVAS!G27-DERIVAS!J27)/DERIVAS!J27</f>
        <v>0.2121479123557537</v>
      </c>
      <c r="H27" s="92">
        <f>(+DERIVAS!E27-DERIVAS!F27)/DERIVAS!F27</f>
        <v>-0.42452982857242555</v>
      </c>
      <c r="I27" s="95">
        <f>(+DERIVAS!E27-DERIVAS!G27)/DERIVAS!G27</f>
        <v>-0.49925533194160171</v>
      </c>
    </row>
    <row r="28" spans="2:9" x14ac:dyDescent="0.25">
      <c r="B28" s="122"/>
      <c r="C28" s="125"/>
      <c r="D28" s="18" t="s">
        <v>6</v>
      </c>
      <c r="E28" s="96">
        <f>(+DERIVAS!E28-DERIVAS!H28)/DERIVAS!H28</f>
        <v>-0.1041967389515942</v>
      </c>
      <c r="F28" s="97">
        <f>(+DERIVAS!F28-DERIVAS!I28)/DERIVAS!I28</f>
        <v>-0.22312231568607385</v>
      </c>
      <c r="G28" s="98">
        <f>(+DERIVAS!G28-DERIVAS!J28)/DERIVAS!J28</f>
        <v>6.2942490210422336E-2</v>
      </c>
      <c r="H28" s="96">
        <f>(+DERIVAS!E28-DERIVAS!F28)/DERIVAS!F28</f>
        <v>-0.2820748889652625</v>
      </c>
      <c r="I28" s="99">
        <f>(+DERIVAS!E28-DERIVAS!G28)/DERIVAS!G28</f>
        <v>-0.35482837140263501</v>
      </c>
    </row>
    <row r="29" spans="2:9" x14ac:dyDescent="0.25">
      <c r="B29" s="122"/>
      <c r="C29" s="125"/>
      <c r="D29" s="18" t="s">
        <v>7</v>
      </c>
      <c r="E29" s="96">
        <f>(+DERIVAS!E29-DERIVAS!H29)/DERIVAS!H29</f>
        <v>-0.14637689785566271</v>
      </c>
      <c r="F29" s="97">
        <f>(+DERIVAS!F29-DERIVAS!I29)/DERIVAS!I29</f>
        <v>-5.1194252014626122E-2</v>
      </c>
      <c r="G29" s="98">
        <f>(+DERIVAS!G29-DERIVAS!J29)/DERIVAS!J29</f>
        <v>-1.7754403535341992E-3</v>
      </c>
      <c r="H29" s="96">
        <f>(+DERIVAS!E29-DERIVAS!F29)/DERIVAS!F29</f>
        <v>-0.24292469646497913</v>
      </c>
      <c r="I29" s="99">
        <f>(+DERIVAS!E29-DERIVAS!G29)/DERIVAS!G29</f>
        <v>-0.29055856226534249</v>
      </c>
    </row>
    <row r="30" spans="2:9" x14ac:dyDescent="0.25">
      <c r="B30" s="122"/>
      <c r="C30" s="125"/>
      <c r="D30" s="18" t="s">
        <v>8</v>
      </c>
      <c r="E30" s="96">
        <f>(+DERIVAS!E30-DERIVAS!H30)/DERIVAS!H30</f>
        <v>-0.1413857731049343</v>
      </c>
      <c r="F30" s="97">
        <f>(+DERIVAS!F30-DERIVAS!I30)/DERIVAS!I30</f>
        <v>9.9448311285787634E-3</v>
      </c>
      <c r="G30" s="98">
        <f>(+DERIVAS!G30-DERIVAS!J30)/DERIVAS!J30</f>
        <v>-4.2207776629044971E-2</v>
      </c>
      <c r="H30" s="96">
        <f>(+DERIVAS!E30-DERIVAS!F30)/DERIVAS!F30</f>
        <v>-0.19013293574155968</v>
      </c>
      <c r="I30" s="99">
        <f>(+DERIVAS!E30-DERIVAS!G30)/DERIVAS!G30</f>
        <v>-0.22312950283122704</v>
      </c>
    </row>
    <row r="31" spans="2:9" x14ac:dyDescent="0.25">
      <c r="B31" s="122"/>
      <c r="C31" s="125"/>
      <c r="D31" s="18" t="s">
        <v>9</v>
      </c>
      <c r="E31" s="96">
        <f>(+DERIVAS!E31-DERIVAS!H31)/DERIVAS!H31</f>
        <v>-0.13769376583224172</v>
      </c>
      <c r="F31" s="97">
        <f>(+DERIVAS!F31-DERIVAS!I31)/DERIVAS!I31</f>
        <v>-6.2312032915331876E-3</v>
      </c>
      <c r="G31" s="98">
        <f>(+DERIVAS!G31-DERIVAS!J31)/DERIVAS!J31</f>
        <v>-6.5135767111786882E-2</v>
      </c>
      <c r="H31" s="96">
        <f>(+DERIVAS!E31-DERIVAS!F31)/DERIVAS!F31</f>
        <v>-0.15716898127182111</v>
      </c>
      <c r="I31" s="99">
        <f>(+DERIVAS!E31-DERIVAS!G31)/DERIVAS!G31</f>
        <v>-0.17981609483310396</v>
      </c>
    </row>
    <row r="32" spans="2:9" x14ac:dyDescent="0.25">
      <c r="B32" s="122"/>
      <c r="C32" s="125"/>
      <c r="D32" s="18" t="s">
        <v>10</v>
      </c>
      <c r="E32" s="96">
        <f>(+DERIVAS!E32-DERIVAS!H32)/DERIVAS!H32</f>
        <v>-0.13559858166462355</v>
      </c>
      <c r="F32" s="97">
        <f>(+DERIVAS!F32-DERIVAS!I32)/DERIVAS!I32</f>
        <v>-2.3482163107860089E-2</v>
      </c>
      <c r="G32" s="98">
        <f>(+DERIVAS!G32-DERIVAS!J32)/DERIVAS!J32</f>
        <v>-7.8922526253255354E-2</v>
      </c>
      <c r="H32" s="96">
        <f>(+DERIVAS!E32-DERIVAS!F32)/DERIVAS!F32</f>
        <v>-0.13639381858446742</v>
      </c>
      <c r="I32" s="99">
        <f>(+DERIVAS!E32-DERIVAS!G32)/DERIVAS!G32</f>
        <v>-0.15074677702542169</v>
      </c>
    </row>
    <row r="33" spans="2:9" x14ac:dyDescent="0.25">
      <c r="B33" s="122"/>
      <c r="C33" s="125"/>
      <c r="D33" s="18" t="s">
        <v>11</v>
      </c>
      <c r="E33" s="96">
        <f>(+DERIVAS!E33-DERIVAS!H33)/DERIVAS!H33</f>
        <v>-0.13479169413183059</v>
      </c>
      <c r="F33" s="97">
        <f>(+DERIVAS!F33-DERIVAS!I33)/DERIVAS!I33</f>
        <v>-3.3808930286354608E-2</v>
      </c>
      <c r="G33" s="98">
        <f>(+DERIVAS!G33-DERIVAS!J33)/DERIVAS!J33</f>
        <v>-8.3492918033724883E-2</v>
      </c>
      <c r="H33" s="96">
        <f>(+DERIVAS!E33-DERIVAS!F33)/DERIVAS!F33</f>
        <v>-0.12857150929371833</v>
      </c>
      <c r="I33" s="99">
        <f>(+DERIVAS!E33-DERIVAS!G33)/DERIVAS!G33</f>
        <v>-0.13652972973336491</v>
      </c>
    </row>
    <row r="34" spans="2:9" x14ac:dyDescent="0.25">
      <c r="B34" s="122"/>
      <c r="C34" s="125"/>
      <c r="D34" s="18" t="s">
        <v>12</v>
      </c>
      <c r="E34" s="96">
        <f>(+DERIVAS!E34-DERIVAS!H34)/DERIVAS!H34</f>
        <v>-0.13580437855566099</v>
      </c>
      <c r="F34" s="97">
        <f>(+DERIVAS!F34-DERIVAS!I34)/DERIVAS!I34</f>
        <v>-4.5372975437393645E-2</v>
      </c>
      <c r="G34" s="98">
        <f>(+DERIVAS!G34-DERIVAS!J34)/DERIVAS!J34</f>
        <v>-8.9949440186015833E-2</v>
      </c>
      <c r="H34" s="96">
        <f>(+DERIVAS!E34-DERIVAS!F34)/DERIVAS!F34</f>
        <v>-0.12046450902755451</v>
      </c>
      <c r="I34" s="99">
        <f>(+DERIVAS!E34-DERIVAS!G34)/DERIVAS!G34</f>
        <v>-0.12180668222333169</v>
      </c>
    </row>
    <row r="35" spans="2:9" x14ac:dyDescent="0.25">
      <c r="B35" s="122"/>
      <c r="C35" s="125"/>
      <c r="D35" s="18" t="s">
        <v>13</v>
      </c>
      <c r="E35" s="96">
        <f>(+DERIVAS!E35-DERIVAS!H35)/DERIVAS!H35</f>
        <v>-0.14261017338106435</v>
      </c>
      <c r="F35" s="97">
        <f>(+DERIVAS!F35-DERIVAS!I35)/DERIVAS!I35</f>
        <v>-6.2000286118755521E-2</v>
      </c>
      <c r="G35" s="98">
        <f>(+DERIVAS!G35-DERIVAS!J35)/DERIVAS!J35</f>
        <v>-0.10355037645100605</v>
      </c>
      <c r="H35" s="96">
        <f>(+DERIVAS!E35-DERIVAS!F35)/DERIVAS!F35</f>
        <v>-0.10455377739949641</v>
      </c>
      <c r="I35" s="99">
        <f>(+DERIVAS!E35-DERIVAS!G35)/DERIVAS!G35</f>
        <v>-9.7589390094589237E-2</v>
      </c>
    </row>
    <row r="36" spans="2:9" x14ac:dyDescent="0.25">
      <c r="B36" s="122"/>
      <c r="C36" s="125"/>
      <c r="D36" s="18" t="s">
        <v>14</v>
      </c>
      <c r="E36" s="96">
        <f>(+DERIVAS!E36-DERIVAS!H36)/DERIVAS!H36</f>
        <v>-0.14579762182448811</v>
      </c>
      <c r="F36" s="97">
        <f>(+DERIVAS!F36-DERIVAS!I36)/DERIVAS!I36</f>
        <v>-7.5704448143010084E-2</v>
      </c>
      <c r="G36" s="98">
        <f>(+DERIVAS!G36-DERIVAS!J36)/DERIVAS!J36</f>
        <v>-0.10250443216165338</v>
      </c>
      <c r="H36" s="96">
        <f>(+DERIVAS!E36-DERIVAS!F36)/DERIVAS!F36</f>
        <v>-8.9139845991682093E-2</v>
      </c>
      <c r="I36" s="99">
        <f>(+DERIVAS!E36-DERIVAS!G36)/DERIVAS!G36</f>
        <v>-8.9204451479697369E-2</v>
      </c>
    </row>
    <row r="37" spans="2:9" ht="15.75" thickBot="1" x14ac:dyDescent="0.3">
      <c r="B37" s="123"/>
      <c r="C37" s="126"/>
      <c r="D37" s="20" t="s">
        <v>4</v>
      </c>
      <c r="E37" s="100">
        <f>(+DERIVAS!E37-DERIVAS!H37)/DERIVAS!H37</f>
        <v>-0.16220865793116362</v>
      </c>
      <c r="F37" s="101">
        <f>(+DERIVAS!F37-DERIVAS!I37)/DERIVAS!I37</f>
        <v>-7.557556226438493E-2</v>
      </c>
      <c r="G37" s="102">
        <f>(+DERIVAS!G37-DERIVAS!J37)/DERIVAS!J37</f>
        <v>-0.12612675479930288</v>
      </c>
      <c r="H37" s="100">
        <f>(+DERIVAS!E37-DERIVAS!F37)/DERIVAS!F37</f>
        <v>-8.9622815669482658E-2</v>
      </c>
      <c r="I37" s="103">
        <f>(+DERIVAS!E37-DERIVAS!G37)/DERIVAS!G37</f>
        <v>-7.4512957316104925E-2</v>
      </c>
    </row>
    <row r="38" spans="2:9" x14ac:dyDescent="0.25">
      <c r="B38" s="121" t="s">
        <v>17</v>
      </c>
      <c r="C38" s="124" t="s">
        <v>21</v>
      </c>
      <c r="D38" s="19" t="s">
        <v>5</v>
      </c>
      <c r="E38" s="92">
        <f>(+DERIVAS!E38-DERIVAS!H38)/DERIVAS!H38</f>
        <v>0.35431913279542598</v>
      </c>
      <c r="F38" s="93">
        <f>(+DERIVAS!F38-DERIVAS!I38)/DERIVAS!I38</f>
        <v>6.2710862093401279E-2</v>
      </c>
      <c r="G38" s="94">
        <f>(+DERIVAS!G38-DERIVAS!J38)/DERIVAS!J38</f>
        <v>0.22806591148716723</v>
      </c>
      <c r="H38" s="92">
        <f>(+DERIVAS!E38-DERIVAS!F38)/DERIVAS!F38</f>
        <v>-0.35070897773896847</v>
      </c>
      <c r="I38" s="95">
        <f>(+DERIVAS!E38-DERIVAS!G38)/DERIVAS!G38</f>
        <v>-0.45498036473705888</v>
      </c>
    </row>
    <row r="39" spans="2:9" x14ac:dyDescent="0.25">
      <c r="B39" s="122"/>
      <c r="C39" s="125"/>
      <c r="D39" s="18" t="s">
        <v>6</v>
      </c>
      <c r="E39" s="96">
        <f>(+DERIVAS!E39-DERIVAS!H39)/DERIVAS!H39</f>
        <v>-2.0680710756865943E-2</v>
      </c>
      <c r="F39" s="97">
        <f>(+DERIVAS!F39-DERIVAS!I39)/DERIVAS!I39</f>
        <v>-0.21135433579482077</v>
      </c>
      <c r="G39" s="98">
        <f>(+DERIVAS!G39-DERIVAS!J39)/DERIVAS!J39</f>
        <v>8.2880109145313144E-2</v>
      </c>
      <c r="H39" s="96">
        <f>(+DERIVAS!E39-DERIVAS!F39)/DERIVAS!F39</f>
        <v>-6.6963408118290338E-2</v>
      </c>
      <c r="I39" s="99">
        <f>(+DERIVAS!E39-DERIVAS!G39)/DERIVAS!G39</f>
        <v>-0.16133195640967371</v>
      </c>
    </row>
    <row r="40" spans="2:9" x14ac:dyDescent="0.25">
      <c r="B40" s="122"/>
      <c r="C40" s="125"/>
      <c r="D40" s="18" t="s">
        <v>7</v>
      </c>
      <c r="E40" s="96">
        <f>(+DERIVAS!E40-DERIVAS!H40)/DERIVAS!H40</f>
        <v>-2.498018311633696E-2</v>
      </c>
      <c r="F40" s="97">
        <f>(+DERIVAS!F40-DERIVAS!I40)/DERIVAS!I40</f>
        <v>-2.4481179455513116E-2</v>
      </c>
      <c r="G40" s="98">
        <f>(+DERIVAS!G40-DERIVAS!J40)/DERIVAS!J40</f>
        <v>8.9095166844207971E-3</v>
      </c>
      <c r="H40" s="96">
        <f>(+DERIVAS!E40-DERIVAS!F40)/DERIVAS!F40</f>
        <v>-7.9223954837029056E-2</v>
      </c>
      <c r="I40" s="99">
        <f>(+DERIVAS!E40-DERIVAS!G40)/DERIVAS!G40</f>
        <v>-5.6580183460717012E-2</v>
      </c>
    </row>
    <row r="41" spans="2:9" x14ac:dyDescent="0.25">
      <c r="B41" s="122"/>
      <c r="C41" s="125"/>
      <c r="D41" s="18" t="s">
        <v>8</v>
      </c>
      <c r="E41" s="96">
        <f>(+DERIVAS!E41-DERIVAS!H41)/DERIVAS!H41</f>
        <v>-2.6407323277330169E-2</v>
      </c>
      <c r="F41" s="97">
        <f>(+DERIVAS!F41-DERIVAS!I41)/DERIVAS!I41</f>
        <v>-2.190028355059143E-2</v>
      </c>
      <c r="G41" s="98">
        <f>(+DERIVAS!G41-DERIVAS!J41)/DERIVAS!J41</f>
        <v>8.8255319578596936E-3</v>
      </c>
      <c r="H41" s="96">
        <f>(+DERIVAS!E41-DERIVAS!F41)/DERIVAS!F41</f>
        <v>-8.3593084987838309E-2</v>
      </c>
      <c r="I41" s="99">
        <f>(+DERIVAS!E41-DERIVAS!G41)/DERIVAS!G41</f>
        <v>-6.0488729653038052E-2</v>
      </c>
    </row>
    <row r="42" spans="2:9" x14ac:dyDescent="0.25">
      <c r="B42" s="122"/>
      <c r="C42" s="125"/>
      <c r="D42" s="18" t="s">
        <v>9</v>
      </c>
      <c r="E42" s="96">
        <f>(+DERIVAS!E42-DERIVAS!H42)/DERIVAS!H42</f>
        <v>-2.6401505208723596E-2</v>
      </c>
      <c r="F42" s="97">
        <f>(+DERIVAS!F42-DERIVAS!I42)/DERIVAS!I42</f>
        <v>-2.0574014638812151E-2</v>
      </c>
      <c r="G42" s="98">
        <f>(+DERIVAS!G42-DERIVAS!J42)/DERIVAS!J42</f>
        <v>8.460485907540255E-3</v>
      </c>
      <c r="H42" s="96">
        <f>(+DERIVAS!E42-DERIVAS!F42)/DERIVAS!F42</f>
        <v>-8.4291005647852593E-2</v>
      </c>
      <c r="I42" s="99">
        <f>(+DERIVAS!E42-DERIVAS!G42)/DERIVAS!G42</f>
        <v>-6.0229662108189579E-2</v>
      </c>
    </row>
    <row r="43" spans="2:9" x14ac:dyDescent="0.25">
      <c r="B43" s="122"/>
      <c r="C43" s="125"/>
      <c r="D43" s="18" t="s">
        <v>10</v>
      </c>
      <c r="E43" s="96">
        <f>(+DERIVAS!E43-DERIVAS!H43)/DERIVAS!H43</f>
        <v>-2.6353262041380752E-2</v>
      </c>
      <c r="F43" s="97">
        <f>(+DERIVAS!F43-DERIVAS!I43)/DERIVAS!I43</f>
        <v>-2.0011032967219414E-2</v>
      </c>
      <c r="G43" s="98">
        <f>(+DERIVAS!G43-DERIVAS!J43)/DERIVAS!J43</f>
        <v>8.1381337297749459E-3</v>
      </c>
      <c r="H43" s="96">
        <f>(+DERIVAS!E43-DERIVAS!F43)/DERIVAS!F43</f>
        <v>-8.3858324275165527E-2</v>
      </c>
      <c r="I43" s="99">
        <f>(+DERIVAS!E43-DERIVAS!G43)/DERIVAS!G43</f>
        <v>-5.9361870437355614E-2</v>
      </c>
    </row>
    <row r="44" spans="2:9" x14ac:dyDescent="0.25">
      <c r="B44" s="122"/>
      <c r="C44" s="125"/>
      <c r="D44" s="18" t="s">
        <v>11</v>
      </c>
      <c r="E44" s="96">
        <f>(+DERIVAS!E44-DERIVAS!H44)/DERIVAS!H44</f>
        <v>-2.9766193165938339E-2</v>
      </c>
      <c r="F44" s="97">
        <f>(+DERIVAS!F44-DERIVAS!I44)/DERIVAS!I44</f>
        <v>-2.089422447579414E-2</v>
      </c>
      <c r="G44" s="98">
        <f>(+DERIVAS!G44-DERIVAS!J44)/DERIVAS!J44</f>
        <v>7.2845325527245612E-3</v>
      </c>
      <c r="H44" s="96">
        <f>(+DERIVAS!E44-DERIVAS!F44)/DERIVAS!F44</f>
        <v>-8.4922204103139678E-2</v>
      </c>
      <c r="I44" s="99">
        <f>(+DERIVAS!E44-DERIVAS!G44)/DERIVAS!G44</f>
        <v>-6.2189141574985604E-2</v>
      </c>
    </row>
    <row r="45" spans="2:9" x14ac:dyDescent="0.25">
      <c r="B45" s="122"/>
      <c r="C45" s="125"/>
      <c r="D45" s="18" t="s">
        <v>12</v>
      </c>
      <c r="E45" s="96">
        <f>(+DERIVAS!E45-DERIVAS!H45)/DERIVAS!H45</f>
        <v>-3.423383997844634E-2</v>
      </c>
      <c r="F45" s="97">
        <f>(+DERIVAS!F45-DERIVAS!I45)/DERIVAS!I45</f>
        <v>-2.252874871782759E-2</v>
      </c>
      <c r="G45" s="98">
        <f>(+DERIVAS!G45-DERIVAS!J45)/DERIVAS!J45</f>
        <v>6.6832478376725431E-3</v>
      </c>
      <c r="H45" s="96">
        <f>(+DERIVAS!E45-DERIVAS!F45)/DERIVAS!F45</f>
        <v>-8.6604381930259641E-2</v>
      </c>
      <c r="I45" s="99">
        <f>(+DERIVAS!E45-DERIVAS!G45)/DERIVAS!G45</f>
        <v>-6.6196950208361152E-2</v>
      </c>
    </row>
    <row r="46" spans="2:9" x14ac:dyDescent="0.25">
      <c r="B46" s="122"/>
      <c r="C46" s="125"/>
      <c r="D46" s="18" t="s">
        <v>13</v>
      </c>
      <c r="E46" s="96">
        <f>(+DERIVAS!E46-DERIVAS!H46)/DERIVAS!H46</f>
        <v>-3.6051983530498079E-2</v>
      </c>
      <c r="F46" s="97">
        <f>(+DERIVAS!F46-DERIVAS!I46)/DERIVAS!I46</f>
        <v>-2.3691561366716525E-2</v>
      </c>
      <c r="G46" s="98">
        <f>(+DERIVAS!G46-DERIVAS!J46)/DERIVAS!J46</f>
        <v>5.4817669331462399E-3</v>
      </c>
      <c r="H46" s="96">
        <f>(+DERIVAS!E46-DERIVAS!F46)/DERIVAS!F46</f>
        <v>-8.6611871566827939E-2</v>
      </c>
      <c r="I46" s="99">
        <f>(+DERIVAS!E46-DERIVAS!G46)/DERIVAS!G46</f>
        <v>-6.6093488511411905E-2</v>
      </c>
    </row>
    <row r="47" spans="2:9" x14ac:dyDescent="0.25">
      <c r="B47" s="122"/>
      <c r="C47" s="125"/>
      <c r="D47" s="18" t="s">
        <v>14</v>
      </c>
      <c r="E47" s="96">
        <f>(+DERIVAS!E47-DERIVAS!H47)/DERIVAS!H47</f>
        <v>-3.3055465478435325E-2</v>
      </c>
      <c r="F47" s="97">
        <f>(+DERIVAS!F47-DERIVAS!I47)/DERIVAS!I47</f>
        <v>-2.3963510918465304E-2</v>
      </c>
      <c r="G47" s="98">
        <f>(+DERIVAS!G47-DERIVAS!J47)/DERIVAS!J47</f>
        <v>4.2884665537314143E-3</v>
      </c>
      <c r="H47" s="96">
        <f>(+DERIVAS!E47-DERIVAS!F47)/DERIVAS!F47</f>
        <v>-8.2183064034746109E-2</v>
      </c>
      <c r="I47" s="99">
        <f>(+DERIVAS!E47-DERIVAS!G47)/DERIVAS!G47</f>
        <v>-6.0925446065352121E-2</v>
      </c>
    </row>
    <row r="48" spans="2:9" ht="15.75" thickBot="1" x14ac:dyDescent="0.3">
      <c r="B48" s="123"/>
      <c r="C48" s="126"/>
      <c r="D48" s="20" t="s">
        <v>4</v>
      </c>
      <c r="E48" s="100">
        <f>(+DERIVAS!E48-DERIVAS!H48)/DERIVAS!H48</f>
        <v>-1.9850755607948342E-2</v>
      </c>
      <c r="F48" s="101">
        <f>(+DERIVAS!F48-DERIVAS!I48)/DERIVAS!I48</f>
        <v>-2.3159265721389356E-2</v>
      </c>
      <c r="G48" s="102">
        <f>(+DERIVAS!G48-DERIVAS!J48)/DERIVAS!J48</f>
        <v>2.5704035196871767E-3</v>
      </c>
      <c r="H48" s="100">
        <f>(+DERIVAS!E48-DERIVAS!F48)/DERIVAS!F48</f>
        <v>-6.6345830604568182E-2</v>
      </c>
      <c r="I48" s="103">
        <f>(+DERIVAS!E48-DERIVAS!G48)/DERIVAS!G48</f>
        <v>-4.1079564073084981E-2</v>
      </c>
    </row>
    <row r="49" spans="5:9" ht="15.75" thickBot="1" x14ac:dyDescent="0.3">
      <c r="E49" s="118" t="s">
        <v>60</v>
      </c>
      <c r="F49" s="119"/>
      <c r="G49" s="120"/>
      <c r="H49" s="118" t="s">
        <v>61</v>
      </c>
      <c r="I49" s="120"/>
    </row>
  </sheetData>
  <mergeCells count="15">
    <mergeCell ref="E3:G3"/>
    <mergeCell ref="H3:I3"/>
    <mergeCell ref="E49:G49"/>
    <mergeCell ref="H49:I49"/>
    <mergeCell ref="B16:B26"/>
    <mergeCell ref="C16:C26"/>
    <mergeCell ref="B27:B37"/>
    <mergeCell ref="C27:C37"/>
    <mergeCell ref="B38:B48"/>
    <mergeCell ref="C38:C48"/>
    <mergeCell ref="B5:B15"/>
    <mergeCell ref="C5:C15"/>
    <mergeCell ref="B3:B4"/>
    <mergeCell ref="C3:C4"/>
    <mergeCell ref="D3:D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/>
  <dimension ref="B3:I49"/>
  <sheetViews>
    <sheetView showGridLines="0" zoomScale="70" zoomScaleNormal="70" workbookViewId="0">
      <selection activeCell="E3" sqref="E3:I4"/>
    </sheetView>
  </sheetViews>
  <sheetFormatPr baseColWidth="10" defaultRowHeight="15" x14ac:dyDescent="0.25"/>
  <cols>
    <col min="1" max="1" width="9.28515625" customWidth="1"/>
    <col min="2" max="2" width="15.5703125" customWidth="1"/>
    <col min="3" max="3" width="10.28515625" customWidth="1"/>
    <col min="5" max="7" width="22.7109375" customWidth="1"/>
    <col min="8" max="8" width="27.7109375" customWidth="1"/>
    <col min="9" max="9" width="28.5703125" customWidth="1"/>
  </cols>
  <sheetData>
    <row r="3" spans="2:9" x14ac:dyDescent="0.25">
      <c r="B3" s="127" t="s">
        <v>2</v>
      </c>
      <c r="C3" s="127" t="s">
        <v>16</v>
      </c>
      <c r="D3" s="127" t="s">
        <v>3</v>
      </c>
      <c r="E3" s="117" t="s">
        <v>92</v>
      </c>
      <c r="F3" s="117"/>
      <c r="G3" s="117"/>
      <c r="H3" s="117" t="s">
        <v>93</v>
      </c>
      <c r="I3" s="117"/>
    </row>
    <row r="4" spans="2:9" ht="15.75" thickBot="1" x14ac:dyDescent="0.3">
      <c r="B4" s="128"/>
      <c r="C4" s="128"/>
      <c r="D4" s="128"/>
      <c r="E4" s="27" t="s">
        <v>67</v>
      </c>
      <c r="F4" s="27" t="s">
        <v>68</v>
      </c>
      <c r="G4" s="27" t="s">
        <v>69</v>
      </c>
      <c r="H4" s="27" t="s">
        <v>96</v>
      </c>
      <c r="I4" s="27" t="s">
        <v>95</v>
      </c>
    </row>
    <row r="5" spans="2:9" x14ac:dyDescent="0.25">
      <c r="B5" s="121" t="s">
        <v>28</v>
      </c>
      <c r="C5" s="124" t="s">
        <v>18</v>
      </c>
      <c r="D5" s="19" t="s">
        <v>5</v>
      </c>
      <c r="E5" s="92">
        <f>(+'IRRE TORSIONAL'!E5-'IRRE TORSIONAL'!H5)/'IRRE TORSIONAL'!H5</f>
        <v>9.3111997277305699E-4</v>
      </c>
      <c r="F5" s="93">
        <f>(+'IRRE TORSIONAL'!F5-'IRRE TORSIONAL'!I5)/'IRRE TORSIONAL'!I5</f>
        <v>6.2467607915314791E-4</v>
      </c>
      <c r="G5" s="94">
        <f>(+'IRRE TORSIONAL'!G5-'IRRE TORSIONAL'!J5)/'IRRE TORSIONAL'!J5</f>
        <v>6.7249515721504848E-3</v>
      </c>
      <c r="H5" s="92">
        <f>(+'IRRE TORSIONAL'!E5-'IRRE TORSIONAL'!F5)/'IRRE TORSIONAL'!E5</f>
        <v>4.5602417118601312E-3</v>
      </c>
      <c r="I5" s="95">
        <f>(+'IRRE TORSIONAL'!E5-'IRRE TORSIONAL'!G5)/'IRRE TORSIONAL'!E5</f>
        <v>8.5739982615247646E-5</v>
      </c>
    </row>
    <row r="6" spans="2:9" x14ac:dyDescent="0.25">
      <c r="B6" s="122"/>
      <c r="C6" s="125"/>
      <c r="D6" s="18" t="s">
        <v>6</v>
      </c>
      <c r="E6" s="96">
        <f>(+'IRRE TORSIONAL'!E6-'IRRE TORSIONAL'!H6)/'IRRE TORSIONAL'!H6</f>
        <v>6.7244827538259994E-3</v>
      </c>
      <c r="F6" s="97">
        <f>(+'IRRE TORSIONAL'!F6-'IRRE TORSIONAL'!I6)/'IRRE TORSIONAL'!I6</f>
        <v>2.7837874692609242E-3</v>
      </c>
      <c r="G6" s="98">
        <f>(+'IRRE TORSIONAL'!G6-'IRRE TORSIONAL'!J6)/'IRRE TORSIONAL'!J6</f>
        <v>3.9053121795772507E-2</v>
      </c>
      <c r="H6" s="96">
        <f>(+'IRRE TORSIONAL'!E6-'IRRE TORSIONAL'!F6)/'IRRE TORSIONAL'!E6</f>
        <v>-6.8075152286863495E-3</v>
      </c>
      <c r="I6" s="99">
        <f>(+'IRRE TORSIONAL'!E6-'IRRE TORSIONAL'!G6)/'IRRE TORSIONAL'!E6</f>
        <v>-2.148407612555428E-2</v>
      </c>
    </row>
    <row r="7" spans="2:9" x14ac:dyDescent="0.25">
      <c r="B7" s="122"/>
      <c r="C7" s="125"/>
      <c r="D7" s="18" t="s">
        <v>7</v>
      </c>
      <c r="E7" s="96">
        <f>(+'IRRE TORSIONAL'!E7-'IRRE TORSIONAL'!H7)/'IRRE TORSIONAL'!H7</f>
        <v>7.208563138629007E-3</v>
      </c>
      <c r="F7" s="97">
        <f>(+'IRRE TORSIONAL'!F7-'IRRE TORSIONAL'!I7)/'IRRE TORSIONAL'!I7</f>
        <v>3.5665563311200851E-3</v>
      </c>
      <c r="G7" s="98">
        <f>(+'IRRE TORSIONAL'!G7-'IRRE TORSIONAL'!J7)/'IRRE TORSIONAL'!J7</f>
        <v>4.3272852035867414E-2</v>
      </c>
      <c r="H7" s="96">
        <f>(+'IRRE TORSIONAL'!E7-'IRRE TORSIONAL'!F7)/'IRRE TORSIONAL'!E7</f>
        <v>-7.3466281659686676E-3</v>
      </c>
      <c r="I7" s="99">
        <f>(+'IRRE TORSIONAL'!E7-'IRRE TORSIONAL'!G7)/'IRRE TORSIONAL'!E7</f>
        <v>-2.6916747655798361E-2</v>
      </c>
    </row>
    <row r="8" spans="2:9" x14ac:dyDescent="0.25">
      <c r="B8" s="122"/>
      <c r="C8" s="125"/>
      <c r="D8" s="18" t="s">
        <v>8</v>
      </c>
      <c r="E8" s="96">
        <f>(+'IRRE TORSIONAL'!E8-'IRRE TORSIONAL'!H8)/'IRRE TORSIONAL'!H8</f>
        <v>7.7131681124093174E-3</v>
      </c>
      <c r="F8" s="97">
        <f>(+'IRRE TORSIONAL'!F8-'IRRE TORSIONAL'!I8)/'IRRE TORSIONAL'!I8</f>
        <v>4.4790296219336181E-3</v>
      </c>
      <c r="G8" s="98">
        <f>(+'IRRE TORSIONAL'!G8-'IRRE TORSIONAL'!J8)/'IRRE TORSIONAL'!J8</f>
        <v>4.7262556303375884E-2</v>
      </c>
      <c r="H8" s="96">
        <f>(+'IRRE TORSIONAL'!E8-'IRRE TORSIONAL'!F8)/'IRRE TORSIONAL'!E8</f>
        <v>-7.9995705179991671E-3</v>
      </c>
      <c r="I8" s="99">
        <f>(+'IRRE TORSIONAL'!E8-'IRRE TORSIONAL'!G8)/'IRRE TORSIONAL'!E8</f>
        <v>-3.2137909106382888E-2</v>
      </c>
    </row>
    <row r="9" spans="2:9" x14ac:dyDescent="0.25">
      <c r="B9" s="122"/>
      <c r="C9" s="125"/>
      <c r="D9" s="18" t="s">
        <v>9</v>
      </c>
      <c r="E9" s="96">
        <f>(+'IRRE TORSIONAL'!E9-'IRRE TORSIONAL'!H9)/'IRRE TORSIONAL'!H9</f>
        <v>8.1603478235686144E-3</v>
      </c>
      <c r="F9" s="97">
        <f>(+'IRRE TORSIONAL'!F9-'IRRE TORSIONAL'!I9)/'IRRE TORSIONAL'!I9</f>
        <v>5.3121256757102577E-3</v>
      </c>
      <c r="G9" s="98">
        <f>(+'IRRE TORSIONAL'!G9-'IRRE TORSIONAL'!J9)/'IRRE TORSIONAL'!J9</f>
        <v>5.0441980900564266E-2</v>
      </c>
      <c r="H9" s="96">
        <f>(+'IRRE TORSIONAL'!E9-'IRRE TORSIONAL'!F9)/'IRRE TORSIONAL'!E9</f>
        <v>-8.604592132638202E-3</v>
      </c>
      <c r="I9" s="99">
        <f>(+'IRRE TORSIONAL'!E9-'IRRE TORSIONAL'!G9)/'IRRE TORSIONAL'!E9</f>
        <v>-3.655711203905658E-2</v>
      </c>
    </row>
    <row r="10" spans="2:9" x14ac:dyDescent="0.25">
      <c r="B10" s="122"/>
      <c r="C10" s="125"/>
      <c r="D10" s="18" t="s">
        <v>10</v>
      </c>
      <c r="E10" s="96">
        <f>(+'IRRE TORSIONAL'!E10-'IRRE TORSIONAL'!H10)/'IRRE TORSIONAL'!H10</f>
        <v>8.5301977128392267E-3</v>
      </c>
      <c r="F10" s="97">
        <f>(+'IRRE TORSIONAL'!F10-'IRRE TORSIONAL'!I10)/'IRRE TORSIONAL'!I10</f>
        <v>6.0427296454024122E-3</v>
      </c>
      <c r="G10" s="98">
        <f>(+'IRRE TORSIONAL'!G10-'IRRE TORSIONAL'!J10)/'IRRE TORSIONAL'!J10</f>
        <v>5.2866689999574237E-2</v>
      </c>
      <c r="H10" s="96">
        <f>(+'IRRE TORSIONAL'!E10-'IRRE TORSIONAL'!F10)/'IRRE TORSIONAL'!E10</f>
        <v>-9.1856065901642133E-3</v>
      </c>
      <c r="I10" s="99">
        <f>(+'IRRE TORSIONAL'!E10-'IRRE TORSIONAL'!G10)/'IRRE TORSIONAL'!E10</f>
        <v>-4.0335262838322526E-2</v>
      </c>
    </row>
    <row r="11" spans="2:9" x14ac:dyDescent="0.25">
      <c r="B11" s="122"/>
      <c r="C11" s="125"/>
      <c r="D11" s="18" t="s">
        <v>11</v>
      </c>
      <c r="E11" s="96">
        <f>(+'IRRE TORSIONAL'!E11-'IRRE TORSIONAL'!H11)/'IRRE TORSIONAL'!H11</f>
        <v>8.8071235606421768E-3</v>
      </c>
      <c r="F11" s="97">
        <f>(+'IRRE TORSIONAL'!F11-'IRRE TORSIONAL'!I11)/'IRRE TORSIONAL'!I11</f>
        <v>6.663298080410076E-3</v>
      </c>
      <c r="G11" s="98">
        <f>(+'IRRE TORSIONAL'!G11-'IRRE TORSIONAL'!J11)/'IRRE TORSIONAL'!J11</f>
        <v>5.4581472657630671E-2</v>
      </c>
      <c r="H11" s="96">
        <f>(+'IRRE TORSIONAL'!E11-'IRRE TORSIONAL'!F11)/'IRRE TORSIONAL'!E11</f>
        <v>-9.7540525732147682E-3</v>
      </c>
      <c r="I11" s="99">
        <f>(+'IRRE TORSIONAL'!E11-'IRRE TORSIONAL'!G11)/'IRRE TORSIONAL'!E11</f>
        <v>-4.3607088150442258E-2</v>
      </c>
    </row>
    <row r="12" spans="2:9" x14ac:dyDescent="0.25">
      <c r="B12" s="122"/>
      <c r="C12" s="125"/>
      <c r="D12" s="18" t="s">
        <v>12</v>
      </c>
      <c r="E12" s="96">
        <f>(+'IRRE TORSIONAL'!E12-'IRRE TORSIONAL'!H12)/'IRRE TORSIONAL'!H12</f>
        <v>9.1492800536668775E-3</v>
      </c>
      <c r="F12" s="97">
        <f>(+'IRRE TORSIONAL'!F12-'IRRE TORSIONAL'!I12)/'IRRE TORSIONAL'!I12</f>
        <v>7.1161738703570485E-3</v>
      </c>
      <c r="G12" s="98">
        <f>(+'IRRE TORSIONAL'!G12-'IRRE TORSIONAL'!J12)/'IRRE TORSIONAL'!J12</f>
        <v>5.6546361560597835E-2</v>
      </c>
      <c r="H12" s="96">
        <f>(+'IRRE TORSIONAL'!E12-'IRRE TORSIONAL'!F12)/'IRRE TORSIONAL'!E12</f>
        <v>-9.927981330974155E-3</v>
      </c>
      <c r="I12" s="99">
        <f>(+'IRRE TORSIONAL'!E12-'IRRE TORSIONAL'!G12)/'IRRE TORSIONAL'!E12</f>
        <v>-4.623850970024463E-2</v>
      </c>
    </row>
    <row r="13" spans="2:9" x14ac:dyDescent="0.25">
      <c r="B13" s="122"/>
      <c r="C13" s="125"/>
      <c r="D13" s="18" t="s">
        <v>13</v>
      </c>
      <c r="E13" s="96">
        <f>(+'IRRE TORSIONAL'!E13-'IRRE TORSIONAL'!H13)/'IRRE TORSIONAL'!H13</f>
        <v>9.8282420048740153E-3</v>
      </c>
      <c r="F13" s="97">
        <f>(+'IRRE TORSIONAL'!F13-'IRRE TORSIONAL'!I13)/'IRRE TORSIONAL'!I13</f>
        <v>7.1312470673334048E-3</v>
      </c>
      <c r="G13" s="98">
        <f>(+'IRRE TORSIONAL'!G13-'IRRE TORSIONAL'!J13)/'IRRE TORSIONAL'!J13</f>
        <v>5.9059939980237432E-2</v>
      </c>
      <c r="H13" s="96">
        <f>(+'IRRE TORSIONAL'!E13-'IRRE TORSIONAL'!F13)/'IRRE TORSIONAL'!E13</f>
        <v>-9.0297785878562156E-3</v>
      </c>
      <c r="I13" s="99">
        <f>(+'IRRE TORSIONAL'!E13-'IRRE TORSIONAL'!G13)/'IRRE TORSIONAL'!E13</f>
        <v>-4.7425038543052522E-2</v>
      </c>
    </row>
    <row r="14" spans="2:9" x14ac:dyDescent="0.25">
      <c r="B14" s="122"/>
      <c r="C14" s="125"/>
      <c r="D14" s="18" t="s">
        <v>14</v>
      </c>
      <c r="E14" s="96">
        <f>(+'IRRE TORSIONAL'!E14-'IRRE TORSIONAL'!H14)/'IRRE TORSIONAL'!H14</f>
        <v>1.0994774883695711E-2</v>
      </c>
      <c r="F14" s="97">
        <f>(+'IRRE TORSIONAL'!F14-'IRRE TORSIONAL'!I14)/'IRRE TORSIONAL'!I14</f>
        <v>6.1248983547524827E-3</v>
      </c>
      <c r="G14" s="98">
        <f>(+'IRRE TORSIONAL'!G14-'IRRE TORSIONAL'!J14)/'IRRE TORSIONAL'!J14</f>
        <v>5.9672536073565922E-2</v>
      </c>
      <c r="H14" s="96">
        <f>(+'IRRE TORSIONAL'!E14-'IRRE TORSIONAL'!F14)/'IRRE TORSIONAL'!E14</f>
        <v>-6.3647601168333829E-3</v>
      </c>
      <c r="I14" s="99">
        <f>(+'IRRE TORSIONAL'!E14-'IRRE TORSIONAL'!G14)/'IRRE TORSIONAL'!E14</f>
        <v>-4.4461650653899114E-2</v>
      </c>
    </row>
    <row r="15" spans="2:9" ht="15.75" thickBot="1" x14ac:dyDescent="0.3">
      <c r="B15" s="123"/>
      <c r="C15" s="126"/>
      <c r="D15" s="20" t="s">
        <v>4</v>
      </c>
      <c r="E15" s="100">
        <f>(+'IRRE TORSIONAL'!E15-'IRRE TORSIONAL'!H15)/'IRRE TORSIONAL'!H15</f>
        <v>1.3192343112044716E-2</v>
      </c>
      <c r="F15" s="101">
        <f>(+'IRRE TORSIONAL'!F15-'IRRE TORSIONAL'!I15)/'IRRE TORSIONAL'!I15</f>
        <v>2.328944872784016E-3</v>
      </c>
      <c r="G15" s="102">
        <f>(+'IRRE TORSIONAL'!G15-'IRRE TORSIONAL'!J15)/'IRRE TORSIONAL'!J15</f>
        <v>5.4014888434454171E-2</v>
      </c>
      <c r="H15" s="100">
        <f>(+'IRRE TORSIONAL'!E15-'IRRE TORSIONAL'!F15)/'IRRE TORSIONAL'!E15</f>
        <v>1.1767125688392742E-3</v>
      </c>
      <c r="I15" s="103">
        <f>(+'IRRE TORSIONAL'!E15-'IRRE TORSIONAL'!G15)/'IRRE TORSIONAL'!E15</f>
        <v>-2.9343702007296951E-2</v>
      </c>
    </row>
    <row r="16" spans="2:9" x14ac:dyDescent="0.25">
      <c r="B16" s="121" t="s">
        <v>28</v>
      </c>
      <c r="C16" s="124" t="s">
        <v>19</v>
      </c>
      <c r="D16" s="19" t="s">
        <v>5</v>
      </c>
      <c r="E16" s="92">
        <f>(+'IRRE TORSIONAL'!E16-'IRRE TORSIONAL'!H16)/'IRRE TORSIONAL'!H16</f>
        <v>-2.2915442584483E-3</v>
      </c>
      <c r="F16" s="93">
        <f>(+'IRRE TORSIONAL'!F16-'IRRE TORSIONAL'!I16)/'IRRE TORSIONAL'!I16</f>
        <v>-1.2467487922364359E-4</v>
      </c>
      <c r="G16" s="94">
        <f>(+'IRRE TORSIONAL'!G16-'IRRE TORSIONAL'!J16)/'IRRE TORSIONAL'!J16</f>
        <v>-8.0799663285262141E-3</v>
      </c>
      <c r="H16" s="92">
        <f>(+'IRRE TORSIONAL'!E16-'IRRE TORSIONAL'!F16)/'IRRE TORSIONAL'!E16</f>
        <v>2.6158457015703447E-3</v>
      </c>
      <c r="I16" s="95">
        <f>(+'IRRE TORSIONAL'!E16-'IRRE TORSIONAL'!G16)/'IRRE TORSIONAL'!E16</f>
        <v>1.2135506712226834E-2</v>
      </c>
    </row>
    <row r="17" spans="2:9" x14ac:dyDescent="0.25">
      <c r="B17" s="122"/>
      <c r="C17" s="125"/>
      <c r="D17" s="18" t="s">
        <v>6</v>
      </c>
      <c r="E17" s="96">
        <f>(+'IRRE TORSIONAL'!E17-'IRRE TORSIONAL'!H17)/'IRRE TORSIONAL'!H17</f>
        <v>-1.1736240973493038E-2</v>
      </c>
      <c r="F17" s="97">
        <f>(+'IRRE TORSIONAL'!F17-'IRRE TORSIONAL'!I17)/'IRRE TORSIONAL'!I17</f>
        <v>-5.2654552846311473E-3</v>
      </c>
      <c r="G17" s="98">
        <f>(+'IRRE TORSIONAL'!G17-'IRRE TORSIONAL'!J17)/'IRRE TORSIONAL'!J17</f>
        <v>-6.4305746934984004E-2</v>
      </c>
      <c r="H17" s="96">
        <f>(+'IRRE TORSIONAL'!E17-'IRRE TORSIONAL'!F17)/'IRRE TORSIONAL'!E17</f>
        <v>2.8763767066658859E-3</v>
      </c>
      <c r="I17" s="99">
        <f>(+'IRRE TORSIONAL'!E17-'IRRE TORSIONAL'!G17)/'IRRE TORSIONAL'!E17</f>
        <v>6.9253666188662633E-2</v>
      </c>
    </row>
    <row r="18" spans="2:9" x14ac:dyDescent="0.25">
      <c r="B18" s="122"/>
      <c r="C18" s="125"/>
      <c r="D18" s="18" t="s">
        <v>7</v>
      </c>
      <c r="E18" s="96">
        <f>(+'IRRE TORSIONAL'!E18-'IRRE TORSIONAL'!H18)/'IRRE TORSIONAL'!H18</f>
        <v>-1.1555563656878456E-2</v>
      </c>
      <c r="F18" s="97">
        <f>(+'IRRE TORSIONAL'!F18-'IRRE TORSIONAL'!I18)/'IRRE TORSIONAL'!I18</f>
        <v>-5.998227289407472E-3</v>
      </c>
      <c r="G18" s="98">
        <f>(+'IRRE TORSIONAL'!G18-'IRRE TORSIONAL'!J18)/'IRRE TORSIONAL'!J18</f>
        <v>-6.9394096559044799E-2</v>
      </c>
      <c r="H18" s="96">
        <f>(+'IRRE TORSIONAL'!E18-'IRRE TORSIONAL'!F18)/'IRRE TORSIONAL'!E18</f>
        <v>4.4132928242126826E-3</v>
      </c>
      <c r="I18" s="99">
        <f>(+'IRRE TORSIONAL'!E18-'IRRE TORSIONAL'!G18)/'IRRE TORSIONAL'!E18</f>
        <v>7.7256667606822871E-2</v>
      </c>
    </row>
    <row r="19" spans="2:9" x14ac:dyDescent="0.25">
      <c r="B19" s="122"/>
      <c r="C19" s="125"/>
      <c r="D19" s="18" t="s">
        <v>8</v>
      </c>
      <c r="E19" s="96">
        <f>(+'IRRE TORSIONAL'!E19-'IRRE TORSIONAL'!H19)/'IRRE TORSIONAL'!H19</f>
        <v>-1.1361205754257449E-2</v>
      </c>
      <c r="F19" s="97">
        <f>(+'IRRE TORSIONAL'!F19-'IRRE TORSIONAL'!I19)/'IRRE TORSIONAL'!I19</f>
        <v>-6.6846014301085036E-3</v>
      </c>
      <c r="G19" s="98">
        <f>(+'IRRE TORSIONAL'!G19-'IRRE TORSIONAL'!J19)/'IRRE TORSIONAL'!J19</f>
        <v>-7.4120198071127907E-2</v>
      </c>
      <c r="H19" s="96">
        <f>(+'IRRE TORSIONAL'!E19-'IRRE TORSIONAL'!F19)/'IRRE TORSIONAL'!E19</f>
        <v>5.894295467285959E-3</v>
      </c>
      <c r="I19" s="99">
        <f>(+'IRRE TORSIONAL'!E19-'IRRE TORSIONAL'!G19)/'IRRE TORSIONAL'!E19</f>
        <v>8.4681710855691483E-2</v>
      </c>
    </row>
    <row r="20" spans="2:9" x14ac:dyDescent="0.25">
      <c r="B20" s="122"/>
      <c r="C20" s="125"/>
      <c r="D20" s="18" t="s">
        <v>9</v>
      </c>
      <c r="E20" s="96">
        <f>(+'IRRE TORSIONAL'!E20-'IRRE TORSIONAL'!H20)/'IRRE TORSIONAL'!H20</f>
        <v>-1.1078224982630525E-2</v>
      </c>
      <c r="F20" s="97">
        <f>(+'IRRE TORSIONAL'!F20-'IRRE TORSIONAL'!I20)/'IRRE TORSIONAL'!I20</f>
        <v>-7.2149082301995859E-3</v>
      </c>
      <c r="G20" s="98">
        <f>(+'IRRE TORSIONAL'!G20-'IRRE TORSIONAL'!J20)/'IRRE TORSIONAL'!J20</f>
        <v>-7.7831549123948338E-2</v>
      </c>
      <c r="H20" s="96">
        <f>(+'IRRE TORSIONAL'!E20-'IRRE TORSIONAL'!F20)/'IRRE TORSIONAL'!E20</f>
        <v>7.2167212389667862E-3</v>
      </c>
      <c r="I20" s="99">
        <f>(+'IRRE TORSIONAL'!E20-'IRRE TORSIONAL'!G20)/'IRRE TORSIONAL'!E20</f>
        <v>9.080669594141047E-2</v>
      </c>
    </row>
    <row r="21" spans="2:9" x14ac:dyDescent="0.25">
      <c r="B21" s="122"/>
      <c r="C21" s="125"/>
      <c r="D21" s="18" t="s">
        <v>10</v>
      </c>
      <c r="E21" s="96">
        <f>(+'IRRE TORSIONAL'!E21-'IRRE TORSIONAL'!H21)/'IRRE TORSIONAL'!H21</f>
        <v>-1.0630616507225061E-2</v>
      </c>
      <c r="F21" s="97">
        <f>(+'IRRE TORSIONAL'!F21-'IRRE TORSIONAL'!I21)/'IRRE TORSIONAL'!I21</f>
        <v>-7.6113471122884312E-3</v>
      </c>
      <c r="G21" s="98">
        <f>(+'IRRE TORSIONAL'!G21-'IRRE TORSIONAL'!J21)/'IRRE TORSIONAL'!J21</f>
        <v>-8.0602006415822811E-2</v>
      </c>
      <c r="H21" s="96">
        <f>(+'IRRE TORSIONAL'!E21-'IRRE TORSIONAL'!F21)/'IRRE TORSIONAL'!E21</f>
        <v>8.4692474319229029E-3</v>
      </c>
      <c r="I21" s="99">
        <f>(+'IRRE TORSIONAL'!E21-'IRRE TORSIONAL'!G21)/'IRRE TORSIONAL'!E21</f>
        <v>9.5863346149217266E-2</v>
      </c>
    </row>
    <row r="22" spans="2:9" x14ac:dyDescent="0.25">
      <c r="B22" s="122"/>
      <c r="C22" s="125"/>
      <c r="D22" s="18" t="s">
        <v>11</v>
      </c>
      <c r="E22" s="96">
        <f>(+'IRRE TORSIONAL'!E22-'IRRE TORSIONAL'!H22)/'IRRE TORSIONAL'!H22</f>
        <v>-9.9624640341452984E-3</v>
      </c>
      <c r="F22" s="97">
        <f>(+'IRRE TORSIONAL'!F22-'IRRE TORSIONAL'!I22)/'IRRE TORSIONAL'!I22</f>
        <v>-7.9081303097158148E-3</v>
      </c>
      <c r="G22" s="98">
        <f>(+'IRRE TORSIONAL'!G22-'IRRE TORSIONAL'!J22)/'IRRE TORSIONAL'!J22</f>
        <v>-8.254344533381662E-2</v>
      </c>
      <c r="H22" s="96">
        <f>(+'IRRE TORSIONAL'!E22-'IRRE TORSIONAL'!F22)/'IRRE TORSIONAL'!E22</f>
        <v>9.757712603313198E-3</v>
      </c>
      <c r="I22" s="99">
        <f>(+'IRRE TORSIONAL'!E22-'IRRE TORSIONAL'!G22)/'IRRE TORSIONAL'!E22</f>
        <v>0.10013448462093731</v>
      </c>
    </row>
    <row r="23" spans="2:9" x14ac:dyDescent="0.25">
      <c r="B23" s="122"/>
      <c r="C23" s="125"/>
      <c r="D23" s="18" t="s">
        <v>12</v>
      </c>
      <c r="E23" s="96">
        <f>(+'IRRE TORSIONAL'!E23-'IRRE TORSIONAL'!H23)/'IRRE TORSIONAL'!H23</f>
        <v>-9.3558059958797138E-3</v>
      </c>
      <c r="F23" s="97">
        <f>(+'IRRE TORSIONAL'!F23-'IRRE TORSIONAL'!I23)/'IRRE TORSIONAL'!I23</f>
        <v>-8.2412841746791338E-3</v>
      </c>
      <c r="G23" s="98">
        <f>(+'IRRE TORSIONAL'!G23-'IRRE TORSIONAL'!J23)/'IRRE TORSIONAL'!J23</f>
        <v>-8.4997029243828209E-2</v>
      </c>
      <c r="H23" s="96">
        <f>(+'IRRE TORSIONAL'!E23-'IRRE TORSIONAL'!F23)/'IRRE TORSIONAL'!E23</f>
        <v>1.1080668114363439E-2</v>
      </c>
      <c r="I23" s="99">
        <f>(+'IRRE TORSIONAL'!E23-'IRRE TORSIONAL'!G23)/'IRRE TORSIONAL'!E23</f>
        <v>0.10451424974370419</v>
      </c>
    </row>
    <row r="24" spans="2:9" x14ac:dyDescent="0.25">
      <c r="B24" s="122"/>
      <c r="C24" s="125"/>
      <c r="D24" s="18" t="s">
        <v>13</v>
      </c>
      <c r="E24" s="96">
        <f>(+'IRRE TORSIONAL'!E24-'IRRE TORSIONAL'!H24)/'IRRE TORSIONAL'!H24</f>
        <v>-9.159946481651882E-3</v>
      </c>
      <c r="F24" s="97">
        <f>(+'IRRE TORSIONAL'!F24-'IRRE TORSIONAL'!I24)/'IRRE TORSIONAL'!I24</f>
        <v>-8.5534898908462952E-3</v>
      </c>
      <c r="G24" s="98">
        <f>(+'IRRE TORSIONAL'!G24-'IRRE TORSIONAL'!J24)/'IRRE TORSIONAL'!J24</f>
        <v>-8.8425903707729805E-2</v>
      </c>
      <c r="H24" s="96">
        <f>(+'IRRE TORSIONAL'!E24-'IRRE TORSIONAL'!F24)/'IRRE TORSIONAL'!E24</f>
        <v>1.2110031947066176E-2</v>
      </c>
      <c r="I24" s="99">
        <f>(+'IRRE TORSIONAL'!E24-'IRRE TORSIONAL'!G24)/'IRRE TORSIONAL'!E24</f>
        <v>0.10881966401044278</v>
      </c>
    </row>
    <row r="25" spans="2:9" x14ac:dyDescent="0.25">
      <c r="B25" s="122"/>
      <c r="C25" s="125"/>
      <c r="D25" s="18" t="s">
        <v>14</v>
      </c>
      <c r="E25" s="96">
        <f>(+'IRRE TORSIONAL'!E25-'IRRE TORSIONAL'!H25)/'IRRE TORSIONAL'!H25</f>
        <v>-8.9923256825780468E-3</v>
      </c>
      <c r="F25" s="97">
        <f>(+'IRRE TORSIONAL'!F25-'IRRE TORSIONAL'!I25)/'IRRE TORSIONAL'!I25</f>
        <v>-8.4707944507218941E-3</v>
      </c>
      <c r="G25" s="98">
        <f>(+'IRRE TORSIONAL'!G25-'IRRE TORSIONAL'!J25)/'IRRE TORSIONAL'!J25</f>
        <v>-8.9932317237384998E-2</v>
      </c>
      <c r="H25" s="96">
        <f>(+'IRRE TORSIONAL'!E25-'IRRE TORSIONAL'!F25)/'IRRE TORSIONAL'!E25</f>
        <v>1.26786392082024E-2</v>
      </c>
      <c r="I25" s="99">
        <f>(+'IRRE TORSIONAL'!E25-'IRRE TORSIONAL'!G25)/'IRRE TORSIONAL'!E25</f>
        <v>0.10981315188313125</v>
      </c>
    </row>
    <row r="26" spans="2:9" ht="15.75" thickBot="1" x14ac:dyDescent="0.3">
      <c r="B26" s="123"/>
      <c r="C26" s="126"/>
      <c r="D26" s="20" t="s">
        <v>4</v>
      </c>
      <c r="E26" s="100">
        <f>(+'IRRE TORSIONAL'!E26-'IRRE TORSIONAL'!H26)/'IRRE TORSIONAL'!H26</f>
        <v>-8.8427085988396978E-3</v>
      </c>
      <c r="F26" s="101">
        <f>(+'IRRE TORSIONAL'!F26-'IRRE TORSIONAL'!I26)/'IRRE TORSIONAL'!I26</f>
        <v>-6.8037516731077772E-3</v>
      </c>
      <c r="G26" s="102">
        <f>(+'IRRE TORSIONAL'!G26-'IRRE TORSIONAL'!J26)/'IRRE TORSIONAL'!J26</f>
        <v>-8.4489227442089296E-2</v>
      </c>
      <c r="H26" s="100">
        <f>(+'IRRE TORSIONAL'!E26-'IRRE TORSIONAL'!F26)/'IRRE TORSIONAL'!E26</f>
        <v>1.1590118556265889E-2</v>
      </c>
      <c r="I26" s="103">
        <f>(+'IRRE TORSIONAL'!E26-'IRRE TORSIONAL'!G26)/'IRRE TORSIONAL'!E26</f>
        <v>9.9809088154448292E-2</v>
      </c>
    </row>
    <row r="27" spans="2:9" x14ac:dyDescent="0.25">
      <c r="B27" s="121" t="s">
        <v>28</v>
      </c>
      <c r="C27" s="124" t="s">
        <v>20</v>
      </c>
      <c r="D27" s="19" t="s">
        <v>5</v>
      </c>
      <c r="E27" s="92">
        <f>(+'IRRE TORSIONAL'!E27-'IRRE TORSIONAL'!H27)/'IRRE TORSIONAL'!H27</f>
        <v>-4.2798823964646212E-3</v>
      </c>
      <c r="F27" s="93">
        <f>(+'IRRE TORSIONAL'!F27-'IRRE TORSIONAL'!I27)/'IRRE TORSIONAL'!I27</f>
        <v>5.5724947421335611E-3</v>
      </c>
      <c r="G27" s="94">
        <f>(+'IRRE TORSIONAL'!G27-'IRRE TORSIONAL'!J27)/'IRRE TORSIONAL'!J27</f>
        <v>-8.4925429986916663E-3</v>
      </c>
      <c r="H27" s="92">
        <f>(+'IRRE TORSIONAL'!E27-'IRRE TORSIONAL'!F27)/'IRRE TORSIONAL'!E27</f>
        <v>-5.5238598827158421E-3</v>
      </c>
      <c r="I27" s="95">
        <f>(+'IRRE TORSIONAL'!E27-'IRRE TORSIONAL'!G27)/'IRRE TORSIONAL'!E27</f>
        <v>-3.1249620373773311E-3</v>
      </c>
    </row>
    <row r="28" spans="2:9" x14ac:dyDescent="0.25">
      <c r="B28" s="122"/>
      <c r="C28" s="125"/>
      <c r="D28" s="18" t="s">
        <v>6</v>
      </c>
      <c r="E28" s="96">
        <f>(+'IRRE TORSIONAL'!E28-'IRRE TORSIONAL'!H28)/'IRRE TORSIONAL'!H28</f>
        <v>-2.9770877678673865E-2</v>
      </c>
      <c r="F28" s="97">
        <f>(+'IRRE TORSIONAL'!F28-'IRRE TORSIONAL'!I28)/'IRRE TORSIONAL'!I28</f>
        <v>1.7657065384925941E-2</v>
      </c>
      <c r="G28" s="98">
        <f>(+'IRRE TORSIONAL'!G28-'IRRE TORSIONAL'!J28)/'IRRE TORSIONAL'!J28</f>
        <v>-4.9423338526310839E-2</v>
      </c>
      <c r="H28" s="96">
        <f>(+'IRRE TORSIONAL'!E28-'IRRE TORSIONAL'!F28)/'IRRE TORSIONAL'!E28</f>
        <v>-1.2519872445703425E-2</v>
      </c>
      <c r="I28" s="99">
        <f>(+'IRRE TORSIONAL'!E28-'IRRE TORSIONAL'!G28)/'IRRE TORSIONAL'!E28</f>
        <v>-9.804431333547612E-3</v>
      </c>
    </row>
    <row r="29" spans="2:9" x14ac:dyDescent="0.25">
      <c r="B29" s="122"/>
      <c r="C29" s="125"/>
      <c r="D29" s="18" t="s">
        <v>7</v>
      </c>
      <c r="E29" s="96">
        <f>(+'IRRE TORSIONAL'!E29-'IRRE TORSIONAL'!H29)/'IRRE TORSIONAL'!H29</f>
        <v>-2.7371628112310153E-2</v>
      </c>
      <c r="F29" s="97">
        <f>(+'IRRE TORSIONAL'!F29-'IRRE TORSIONAL'!I29)/'IRRE TORSIONAL'!I29</f>
        <v>1.3280543168470674E-2</v>
      </c>
      <c r="G29" s="98">
        <f>(+'IRRE TORSIONAL'!G29-'IRRE TORSIONAL'!J29)/'IRRE TORSIONAL'!J29</f>
        <v>-5.2771664900494793E-2</v>
      </c>
      <c r="H29" s="96">
        <f>(+'IRRE TORSIONAL'!E29-'IRRE TORSIONAL'!F29)/'IRRE TORSIONAL'!E29</f>
        <v>-5.4431639886775417E-3</v>
      </c>
      <c r="I29" s="99">
        <f>(+'IRRE TORSIONAL'!E29-'IRRE TORSIONAL'!G29)/'IRRE TORSIONAL'!E29</f>
        <v>-3.0284259285611999E-4</v>
      </c>
    </row>
    <row r="30" spans="2:9" x14ac:dyDescent="0.25">
      <c r="B30" s="122"/>
      <c r="C30" s="125"/>
      <c r="D30" s="18" t="s">
        <v>8</v>
      </c>
      <c r="E30" s="96">
        <f>(+'IRRE TORSIONAL'!E30-'IRRE TORSIONAL'!H30)/'IRRE TORSIONAL'!H30</f>
        <v>-2.5291702529694333E-2</v>
      </c>
      <c r="F30" s="97">
        <f>(+'IRRE TORSIONAL'!F30-'IRRE TORSIONAL'!I30)/'IRRE TORSIONAL'!I30</f>
        <v>9.369833424490789E-3</v>
      </c>
      <c r="G30" s="98">
        <f>(+'IRRE TORSIONAL'!G30-'IRRE TORSIONAL'!J30)/'IRRE TORSIONAL'!J30</f>
        <v>-5.5885150178448667E-2</v>
      </c>
      <c r="H30" s="96">
        <f>(+'IRRE TORSIONAL'!E30-'IRRE TORSIONAL'!F30)/'IRRE TORSIONAL'!E30</f>
        <v>1.0082506985206968E-3</v>
      </c>
      <c r="I30" s="99">
        <f>(+'IRRE TORSIONAL'!E30-'IRRE TORSIONAL'!G30)/'IRRE TORSIONAL'!E30</f>
        <v>8.293463108501346E-3</v>
      </c>
    </row>
    <row r="31" spans="2:9" x14ac:dyDescent="0.25">
      <c r="B31" s="122"/>
      <c r="C31" s="125"/>
      <c r="D31" s="18" t="s">
        <v>9</v>
      </c>
      <c r="E31" s="96">
        <f>(+'IRRE TORSIONAL'!E31-'IRRE TORSIONAL'!H31)/'IRRE TORSIONAL'!H31</f>
        <v>-2.4318011108931316E-2</v>
      </c>
      <c r="F31" s="97">
        <f>(+'IRRE TORSIONAL'!F31-'IRRE TORSIONAL'!I31)/'IRRE TORSIONAL'!I31</f>
        <v>6.2155430784084061E-3</v>
      </c>
      <c r="G31" s="98">
        <f>(+'IRRE TORSIONAL'!G31-'IRRE TORSIONAL'!J31)/'IRRE TORSIONAL'!J31</f>
        <v>-5.8427767183882255E-2</v>
      </c>
      <c r="H31" s="96">
        <f>(+'IRRE TORSIONAL'!E31-'IRRE TORSIONAL'!F31)/'IRRE TORSIONAL'!E31</f>
        <v>5.5828071283787117E-3</v>
      </c>
      <c r="I31" s="99">
        <f>(+'IRRE TORSIONAL'!E31-'IRRE TORSIONAL'!G31)/'IRRE TORSIONAL'!E31</f>
        <v>1.4789854308199868E-2</v>
      </c>
    </row>
    <row r="32" spans="2:9" x14ac:dyDescent="0.25">
      <c r="B32" s="122"/>
      <c r="C32" s="125"/>
      <c r="D32" s="18" t="s">
        <v>10</v>
      </c>
      <c r="E32" s="96">
        <f>(+'IRRE TORSIONAL'!E32-'IRRE TORSIONAL'!H32)/'IRRE TORSIONAL'!H32</f>
        <v>-2.4728065123852665E-2</v>
      </c>
      <c r="F32" s="97">
        <f>(+'IRRE TORSIONAL'!F32-'IRRE TORSIONAL'!I32)/'IRRE TORSIONAL'!I32</f>
        <v>3.5376860498491976E-3</v>
      </c>
      <c r="G32" s="98">
        <f>(+'IRRE TORSIONAL'!G32-'IRRE TORSIONAL'!J32)/'IRRE TORSIONAL'!J32</f>
        <v>-6.0510972120148478E-2</v>
      </c>
      <c r="H32" s="96">
        <f>(+'IRRE TORSIONAL'!E32-'IRRE TORSIONAL'!F32)/'IRRE TORSIONAL'!E32</f>
        <v>8.1482936412811055E-3</v>
      </c>
      <c r="I32" s="99">
        <f>(+'IRRE TORSIONAL'!E32-'IRRE TORSIONAL'!G32)/'IRRE TORSIONAL'!E32</f>
        <v>1.9200329153475998E-2</v>
      </c>
    </row>
    <row r="33" spans="2:9" x14ac:dyDescent="0.25">
      <c r="B33" s="122"/>
      <c r="C33" s="125"/>
      <c r="D33" s="18" t="s">
        <v>11</v>
      </c>
      <c r="E33" s="96">
        <f>(+'IRRE TORSIONAL'!E33-'IRRE TORSIONAL'!H33)/'IRRE TORSIONAL'!H33</f>
        <v>-2.668137690784507E-2</v>
      </c>
      <c r="F33" s="97">
        <f>(+'IRRE TORSIONAL'!F33-'IRRE TORSIONAL'!I33)/'IRRE TORSIONAL'!I33</f>
        <v>1.0631783823821144E-3</v>
      </c>
      <c r="G33" s="98">
        <f>(+'IRRE TORSIONAL'!G33-'IRRE TORSIONAL'!J33)/'IRRE TORSIONAL'!J33</f>
        <v>-6.2309602599828498E-2</v>
      </c>
      <c r="H33" s="96">
        <f>(+'IRRE TORSIONAL'!E33-'IRRE TORSIONAL'!F33)/'IRRE TORSIONAL'!E33</f>
        <v>8.8042808839901079E-3</v>
      </c>
      <c r="I33" s="99">
        <f>(+'IRRE TORSIONAL'!E33-'IRRE TORSIONAL'!G33)/'IRRE TORSIONAL'!E33</f>
        <v>2.1710963106128439E-2</v>
      </c>
    </row>
    <row r="34" spans="2:9" x14ac:dyDescent="0.25">
      <c r="B34" s="122"/>
      <c r="C34" s="125"/>
      <c r="D34" s="18" t="s">
        <v>12</v>
      </c>
      <c r="E34" s="96">
        <f>(+'IRRE TORSIONAL'!E34-'IRRE TORSIONAL'!H34)/'IRRE TORSIONAL'!H34</f>
        <v>-2.9879886305283931E-2</v>
      </c>
      <c r="F34" s="97">
        <f>(+'IRRE TORSIONAL'!F34-'IRRE TORSIONAL'!I34)/'IRRE TORSIONAL'!I34</f>
        <v>-1.5584097433317462E-3</v>
      </c>
      <c r="G34" s="98">
        <f>(+'IRRE TORSIONAL'!G34-'IRRE TORSIONAL'!J34)/'IRRE TORSIONAL'!J34</f>
        <v>-6.4766942896755927E-2</v>
      </c>
      <c r="H34" s="96">
        <f>(+'IRRE TORSIONAL'!E34-'IRRE TORSIONAL'!F34)/'IRRE TORSIONAL'!E34</f>
        <v>9.0026851182305207E-3</v>
      </c>
      <c r="I34" s="99">
        <f>(+'IRRE TORSIONAL'!E34-'IRRE TORSIONAL'!G34)/'IRRE TORSIONAL'!E34</f>
        <v>2.3883195086377196E-2</v>
      </c>
    </row>
    <row r="35" spans="2:9" x14ac:dyDescent="0.25">
      <c r="B35" s="122"/>
      <c r="C35" s="125"/>
      <c r="D35" s="18" t="s">
        <v>13</v>
      </c>
      <c r="E35" s="96">
        <f>(+'IRRE TORSIONAL'!E35-'IRRE TORSIONAL'!H35)/'IRRE TORSIONAL'!H35</f>
        <v>-3.5168495920531964E-2</v>
      </c>
      <c r="F35" s="97">
        <f>(+'IRRE TORSIONAL'!F35-'IRRE TORSIONAL'!I35)/'IRRE TORSIONAL'!I35</f>
        <v>-4.2456093671921092E-3</v>
      </c>
      <c r="G35" s="98">
        <f>(+'IRRE TORSIONAL'!G35-'IRRE TORSIONAL'!J35)/'IRRE TORSIONAL'!J35</f>
        <v>-6.7357243595332975E-2</v>
      </c>
      <c r="H35" s="96">
        <f>(+'IRRE TORSIONAL'!E35-'IRRE TORSIONAL'!F35)/'IRRE TORSIONAL'!E35</f>
        <v>8.3207368630783263E-3</v>
      </c>
      <c r="I35" s="99">
        <f>(+'IRRE TORSIONAL'!E35-'IRRE TORSIONAL'!G35)/'IRRE TORSIONAL'!E35</f>
        <v>2.44179106592558E-2</v>
      </c>
    </row>
    <row r="36" spans="2:9" x14ac:dyDescent="0.25">
      <c r="B36" s="122"/>
      <c r="C36" s="125"/>
      <c r="D36" s="18" t="s">
        <v>14</v>
      </c>
      <c r="E36" s="96">
        <f>(+'IRRE TORSIONAL'!E36-'IRRE TORSIONAL'!H36)/'IRRE TORSIONAL'!H36</f>
        <v>-4.6298626688578301E-2</v>
      </c>
      <c r="F36" s="97">
        <f>(+'IRRE TORSIONAL'!F36-'IRRE TORSIONAL'!I36)/'IRRE TORSIONAL'!I36</f>
        <v>-5.7374111533631368E-3</v>
      </c>
      <c r="G36" s="98">
        <f>(+'IRRE TORSIONAL'!G36-'IRRE TORSIONAL'!J36)/'IRRE TORSIONAL'!J36</f>
        <v>-6.818510412557699E-2</v>
      </c>
      <c r="H36" s="96">
        <f>(+'IRRE TORSIONAL'!E36-'IRRE TORSIONAL'!F36)/'IRRE TORSIONAL'!E36</f>
        <v>9.1228480109865114E-4</v>
      </c>
      <c r="I36" s="99">
        <f>(+'IRRE TORSIONAL'!E36-'IRRE TORSIONAL'!G36)/'IRRE TORSIONAL'!E36</f>
        <v>1.6101652429792956E-2</v>
      </c>
    </row>
    <row r="37" spans="2:9" ht="15.75" thickBot="1" x14ac:dyDescent="0.3">
      <c r="B37" s="123"/>
      <c r="C37" s="126"/>
      <c r="D37" s="20" t="s">
        <v>4</v>
      </c>
      <c r="E37" s="100">
        <f>(+'IRRE TORSIONAL'!E37-'IRRE TORSIONAL'!H37)/'IRRE TORSIONAL'!H37</f>
        <v>-7.1797115223281541E-2</v>
      </c>
      <c r="F37" s="101">
        <f>(+'IRRE TORSIONAL'!F37-'IRRE TORSIONAL'!I37)/'IRRE TORSIONAL'!I37</f>
        <v>-2.6892533109141538E-3</v>
      </c>
      <c r="G37" s="102">
        <f>(+'IRRE TORSIONAL'!G37-'IRRE TORSIONAL'!J37)/'IRRE TORSIONAL'!J37</f>
        <v>-7.3386156866970503E-2</v>
      </c>
      <c r="H37" s="100">
        <f>(+'IRRE TORSIONAL'!E37-'IRRE TORSIONAL'!F37)/'IRRE TORSIONAL'!E37</f>
        <v>-2.2859435176032148E-2</v>
      </c>
      <c r="I37" s="103">
        <f>(+'IRRE TORSIONAL'!E37-'IRRE TORSIONAL'!G37)/'IRRE TORSIONAL'!E37</f>
        <v>-4.7019995257033516E-3</v>
      </c>
    </row>
    <row r="38" spans="2:9" x14ac:dyDescent="0.25">
      <c r="B38" s="121" t="s">
        <v>28</v>
      </c>
      <c r="C38" s="124" t="s">
        <v>21</v>
      </c>
      <c r="D38" s="19" t="s">
        <v>5</v>
      </c>
      <c r="E38" s="92">
        <f>(+'IRRE TORSIONAL'!E38-'IRRE TORSIONAL'!H38)/'IRRE TORSIONAL'!H38</f>
        <v>1.8568186175390924E-2</v>
      </c>
      <c r="F38" s="93">
        <f>(+'IRRE TORSIONAL'!F38-'IRRE TORSIONAL'!I38)/'IRRE TORSIONAL'!I38</f>
        <v>3.1429142820603125E-4</v>
      </c>
      <c r="G38" s="94">
        <f>(+'IRRE TORSIONAL'!G38-'IRRE TORSIONAL'!J38)/'IRRE TORSIONAL'!J38</f>
        <v>6.0427850539734327E-3</v>
      </c>
      <c r="H38" s="92">
        <f>(+'IRRE TORSIONAL'!E38-'IRRE TORSIONAL'!F38)/'IRRE TORSIONAL'!E38</f>
        <v>8.3827432779888227E-3</v>
      </c>
      <c r="I38" s="95">
        <f>(+'IRRE TORSIONAL'!E38-'IRRE TORSIONAL'!G38)/'IRRE TORSIONAL'!E38</f>
        <v>1.6165451876859291E-2</v>
      </c>
    </row>
    <row r="39" spans="2:9" x14ac:dyDescent="0.25">
      <c r="B39" s="122"/>
      <c r="C39" s="125"/>
      <c r="D39" s="18" t="s">
        <v>6</v>
      </c>
      <c r="E39" s="96">
        <f>(+'IRRE TORSIONAL'!E39-'IRRE TORSIONAL'!H39)/'IRRE TORSIONAL'!H39</f>
        <v>8.203172334689883E-2</v>
      </c>
      <c r="F39" s="97">
        <f>(+'IRRE TORSIONAL'!F39-'IRRE TORSIONAL'!I39)/'IRRE TORSIONAL'!I39</f>
        <v>3.8791250633740768E-2</v>
      </c>
      <c r="G39" s="98">
        <f>(+'IRRE TORSIONAL'!G39-'IRRE TORSIONAL'!J39)/'IRRE TORSIONAL'!J39</f>
        <v>2.9074980028125343E-2</v>
      </c>
      <c r="H39" s="96">
        <f>(+'IRRE TORSIONAL'!E39-'IRRE TORSIONAL'!F39)/'IRRE TORSIONAL'!E39</f>
        <v>1.8783849127889687E-2</v>
      </c>
      <c r="I39" s="99">
        <f>(+'IRRE TORSIONAL'!E39-'IRRE TORSIONAL'!G39)/'IRRE TORSIONAL'!E39</f>
        <v>5.6914527445149722E-2</v>
      </c>
    </row>
    <row r="40" spans="2:9" x14ac:dyDescent="0.25">
      <c r="B40" s="122"/>
      <c r="C40" s="125"/>
      <c r="D40" s="18" t="s">
        <v>7</v>
      </c>
      <c r="E40" s="96">
        <f>(+'IRRE TORSIONAL'!E40-'IRRE TORSIONAL'!H40)/'IRRE TORSIONAL'!H40</f>
        <v>8.3700718506969085E-2</v>
      </c>
      <c r="F40" s="97">
        <f>(+'IRRE TORSIONAL'!F40-'IRRE TORSIONAL'!I40)/'IRRE TORSIONAL'!I40</f>
        <v>4.295821865487974E-2</v>
      </c>
      <c r="G40" s="98">
        <f>(+'IRRE TORSIONAL'!G40-'IRRE TORSIONAL'!J40)/'IRRE TORSIONAL'!J40</f>
        <v>3.1865257531608349E-2</v>
      </c>
      <c r="H40" s="96">
        <f>(+'IRRE TORSIONAL'!E40-'IRRE TORSIONAL'!F40)/'IRRE TORSIONAL'!E40</f>
        <v>1.6249551663944178E-2</v>
      </c>
      <c r="I40" s="99">
        <f>(+'IRRE TORSIONAL'!E40-'IRRE TORSIONAL'!G40)/'IRRE TORSIONAL'!E40</f>
        <v>5.2594012595043628E-2</v>
      </c>
    </row>
    <row r="41" spans="2:9" x14ac:dyDescent="0.25">
      <c r="B41" s="122"/>
      <c r="C41" s="125"/>
      <c r="D41" s="18" t="s">
        <v>8</v>
      </c>
      <c r="E41" s="96">
        <f>(+'IRRE TORSIONAL'!E41-'IRRE TORSIONAL'!H41)/'IRRE TORSIONAL'!H41</f>
        <v>8.5147365492247343E-2</v>
      </c>
      <c r="F41" s="97">
        <f>(+'IRRE TORSIONAL'!F41-'IRRE TORSIONAL'!I41)/'IRRE TORSIONAL'!I41</f>
        <v>4.6629871837495729E-2</v>
      </c>
      <c r="G41" s="98">
        <f>(+'IRRE TORSIONAL'!G41-'IRRE TORSIONAL'!J41)/'IRRE TORSIONAL'!J41</f>
        <v>3.453671543476497E-2</v>
      </c>
      <c r="H41" s="96">
        <f>(+'IRRE TORSIONAL'!E41-'IRRE TORSIONAL'!F41)/'IRRE TORSIONAL'!E41</f>
        <v>1.3774678922431994E-2</v>
      </c>
      <c r="I41" s="99">
        <f>(+'IRRE TORSIONAL'!E41-'IRRE TORSIONAL'!G41)/'IRRE TORSIONAL'!E41</f>
        <v>4.8459235463351374E-2</v>
      </c>
    </row>
    <row r="42" spans="2:9" x14ac:dyDescent="0.25">
      <c r="B42" s="122"/>
      <c r="C42" s="125"/>
      <c r="D42" s="18" t="s">
        <v>9</v>
      </c>
      <c r="E42" s="96">
        <f>(+'IRRE TORSIONAL'!E42-'IRRE TORSIONAL'!H42)/'IRRE TORSIONAL'!H42</f>
        <v>8.5904857027671144E-2</v>
      </c>
      <c r="F42" s="97">
        <f>(+'IRRE TORSIONAL'!F42-'IRRE TORSIONAL'!I42)/'IRRE TORSIONAL'!I42</f>
        <v>4.9521943016946318E-2</v>
      </c>
      <c r="G42" s="98">
        <f>(+'IRRE TORSIONAL'!G42-'IRRE TORSIONAL'!J42)/'IRRE TORSIONAL'!J42</f>
        <v>3.6807832816995151E-2</v>
      </c>
      <c r="H42" s="96">
        <f>(+'IRRE TORSIONAL'!E42-'IRRE TORSIONAL'!F42)/'IRRE TORSIONAL'!E42</f>
        <v>1.1317684513263706E-2</v>
      </c>
      <c r="I42" s="99">
        <f>(+'IRRE TORSIONAL'!E42-'IRRE TORSIONAL'!G42)/'IRRE TORSIONAL'!E42</f>
        <v>4.4397906457084198E-2</v>
      </c>
    </row>
    <row r="43" spans="2:9" x14ac:dyDescent="0.25">
      <c r="B43" s="122"/>
      <c r="C43" s="125"/>
      <c r="D43" s="18" t="s">
        <v>10</v>
      </c>
      <c r="E43" s="96">
        <f>(+'IRRE TORSIONAL'!E43-'IRRE TORSIONAL'!H43)/'IRRE TORSIONAL'!H43</f>
        <v>8.5818640424706716E-2</v>
      </c>
      <c r="F43" s="97">
        <f>(+'IRRE TORSIONAL'!F43-'IRRE TORSIONAL'!I43)/'IRRE TORSIONAL'!I43</f>
        <v>5.1883816605278271E-2</v>
      </c>
      <c r="G43" s="98">
        <f>(+'IRRE TORSIONAL'!G43-'IRRE TORSIONAL'!J43)/'IRRE TORSIONAL'!J43</f>
        <v>3.8787321445102246E-2</v>
      </c>
      <c r="H43" s="96">
        <f>(+'IRRE TORSIONAL'!E43-'IRRE TORSIONAL'!F43)/'IRRE TORSIONAL'!E43</f>
        <v>8.611416522865914E-3</v>
      </c>
      <c r="I43" s="99">
        <f>(+'IRRE TORSIONAL'!E43-'IRRE TORSIONAL'!G43)/'IRRE TORSIONAL'!E43</f>
        <v>4.0024146304703814E-2</v>
      </c>
    </row>
    <row r="44" spans="2:9" x14ac:dyDescent="0.25">
      <c r="B44" s="122"/>
      <c r="C44" s="125"/>
      <c r="D44" s="18" t="s">
        <v>11</v>
      </c>
      <c r="E44" s="96">
        <f>(+'IRRE TORSIONAL'!E44-'IRRE TORSIONAL'!H44)/'IRRE TORSIONAL'!H44</f>
        <v>8.4818502915413041E-2</v>
      </c>
      <c r="F44" s="97">
        <f>(+'IRRE TORSIONAL'!F44-'IRRE TORSIONAL'!I44)/'IRRE TORSIONAL'!I44</f>
        <v>5.3951505006076692E-2</v>
      </c>
      <c r="G44" s="98">
        <f>(+'IRRE TORSIONAL'!G44-'IRRE TORSIONAL'!J44)/'IRRE TORSIONAL'!J44</f>
        <v>4.0618676987652237E-2</v>
      </c>
      <c r="H44" s="96">
        <f>(+'IRRE TORSIONAL'!E44-'IRRE TORSIONAL'!F44)/'IRRE TORSIONAL'!E44</f>
        <v>5.3723798076748229E-3</v>
      </c>
      <c r="I44" s="99">
        <f>(+'IRRE TORSIONAL'!E44-'IRRE TORSIONAL'!G44)/'IRRE TORSIONAL'!E44</f>
        <v>3.5000003634126316E-2</v>
      </c>
    </row>
    <row r="45" spans="2:9" x14ac:dyDescent="0.25">
      <c r="B45" s="122"/>
      <c r="C45" s="125"/>
      <c r="D45" s="18" t="s">
        <v>12</v>
      </c>
      <c r="E45" s="96">
        <f>(+'IRRE TORSIONAL'!E45-'IRRE TORSIONAL'!H45)/'IRRE TORSIONAL'!H45</f>
        <v>8.4091568792132823E-2</v>
      </c>
      <c r="F45" s="97">
        <f>(+'IRRE TORSIONAL'!F45-'IRRE TORSIONAL'!I45)/'IRRE TORSIONAL'!I45</f>
        <v>5.6391053269049578E-2</v>
      </c>
      <c r="G45" s="98">
        <f>(+'IRRE TORSIONAL'!G45-'IRRE TORSIONAL'!J45)/'IRRE TORSIONAL'!J45</f>
        <v>4.2820933376527696E-2</v>
      </c>
      <c r="H45" s="96">
        <f>(+'IRRE TORSIONAL'!E45-'IRRE TORSIONAL'!F45)/'IRRE TORSIONAL'!E45</f>
        <v>1.4038546596244947E-3</v>
      </c>
      <c r="I45" s="99">
        <f>(+'IRRE TORSIONAL'!E45-'IRRE TORSIONAL'!G45)/'IRRE TORSIONAL'!E45</f>
        <v>2.9468753393780349E-2</v>
      </c>
    </row>
    <row r="46" spans="2:9" x14ac:dyDescent="0.25">
      <c r="B46" s="122"/>
      <c r="C46" s="125"/>
      <c r="D46" s="18" t="s">
        <v>13</v>
      </c>
      <c r="E46" s="96">
        <f>(+'IRRE TORSIONAL'!E46-'IRRE TORSIONAL'!H46)/'IRRE TORSIONAL'!H46</f>
        <v>8.4086468834852671E-2</v>
      </c>
      <c r="F46" s="97">
        <f>(+'IRRE TORSIONAL'!F46-'IRRE TORSIONAL'!I46)/'IRRE TORSIONAL'!I46</f>
        <v>5.9411361888350139E-2</v>
      </c>
      <c r="G46" s="98">
        <f>(+'IRRE TORSIONAL'!G46-'IRRE TORSIONAL'!J46)/'IRRE TORSIONAL'!J46</f>
        <v>4.5368543302832756E-2</v>
      </c>
      <c r="H46" s="96">
        <f>(+'IRRE TORSIONAL'!E46-'IRRE TORSIONAL'!F46)/'IRRE TORSIONAL'!E46</f>
        <v>-3.5662817556305192E-3</v>
      </c>
      <c r="I46" s="99">
        <f>(+'IRRE TORSIONAL'!E46-'IRRE TORSIONAL'!G46)/'IRRE TORSIONAL'!E46</f>
        <v>2.3590643979826516E-2</v>
      </c>
    </row>
    <row r="47" spans="2:9" x14ac:dyDescent="0.25">
      <c r="B47" s="122"/>
      <c r="C47" s="125"/>
      <c r="D47" s="18" t="s">
        <v>14</v>
      </c>
      <c r="E47" s="96">
        <f>(+'IRRE TORSIONAL'!E47-'IRRE TORSIONAL'!H47)/'IRRE TORSIONAL'!H47</f>
        <v>8.1372386996086912E-2</v>
      </c>
      <c r="F47" s="97">
        <f>(+'IRRE TORSIONAL'!F47-'IRRE TORSIONAL'!I47)/'IRRE TORSIONAL'!I47</f>
        <v>6.1856211313112246E-2</v>
      </c>
      <c r="G47" s="98">
        <f>(+'IRRE TORSIONAL'!G47-'IRRE TORSIONAL'!J47)/'IRRE TORSIONAL'!J47</f>
        <v>4.779398328648151E-2</v>
      </c>
      <c r="H47" s="96">
        <f>(+'IRRE TORSIONAL'!E47-'IRRE TORSIONAL'!F47)/'IRRE TORSIONAL'!E47</f>
        <v>-1.1195239594634929E-2</v>
      </c>
      <c r="I47" s="99">
        <f>(+'IRRE TORSIONAL'!E47-'IRRE TORSIONAL'!G47)/'IRRE TORSIONAL'!E47</f>
        <v>1.5874774956325471E-2</v>
      </c>
    </row>
    <row r="48" spans="2:9" ht="15.75" thickBot="1" x14ac:dyDescent="0.3">
      <c r="B48" s="123"/>
      <c r="C48" s="126"/>
      <c r="D48" s="20" t="s">
        <v>4</v>
      </c>
      <c r="E48" s="100">
        <f>(+'IRRE TORSIONAL'!E48-'IRRE TORSIONAL'!H48)/'IRRE TORSIONAL'!H48</f>
        <v>7.3334643895654306E-2</v>
      </c>
      <c r="F48" s="101">
        <f>(+'IRRE TORSIONAL'!F48-'IRRE TORSIONAL'!I48)/'IRRE TORSIONAL'!I48</f>
        <v>6.178534506054395E-2</v>
      </c>
      <c r="G48" s="102">
        <f>(+'IRRE TORSIONAL'!G48-'IRRE TORSIONAL'!J48)/'IRRE TORSIONAL'!J48</f>
        <v>4.9874764899258607E-2</v>
      </c>
      <c r="H48" s="100">
        <f>(+'IRRE TORSIONAL'!E48-'IRRE TORSIONAL'!F48)/'IRRE TORSIONAL'!E48</f>
        <v>-2.5822951803060615E-2</v>
      </c>
      <c r="I48" s="103">
        <f>(+'IRRE TORSIONAL'!E48-'IRRE TORSIONAL'!G48)/'IRRE TORSIONAL'!E48</f>
        <v>3.7098545609903352E-3</v>
      </c>
    </row>
    <row r="49" spans="5:9" ht="15.75" thickBot="1" x14ac:dyDescent="0.3">
      <c r="E49" s="118" t="s">
        <v>60</v>
      </c>
      <c r="F49" s="119"/>
      <c r="G49" s="120"/>
      <c r="H49" s="118" t="s">
        <v>61</v>
      </c>
      <c r="I49" s="120"/>
    </row>
  </sheetData>
  <mergeCells count="15">
    <mergeCell ref="E3:G3"/>
    <mergeCell ref="H3:I3"/>
    <mergeCell ref="E49:G49"/>
    <mergeCell ref="H49:I49"/>
    <mergeCell ref="B16:B26"/>
    <mergeCell ref="C16:C26"/>
    <mergeCell ref="B27:B37"/>
    <mergeCell ref="C27:C37"/>
    <mergeCell ref="B38:B48"/>
    <mergeCell ref="C38:C48"/>
    <mergeCell ref="B5:B15"/>
    <mergeCell ref="C5:C15"/>
    <mergeCell ref="B3:B4"/>
    <mergeCell ref="C3:C4"/>
    <mergeCell ref="D3:D4"/>
  </mergeCells>
  <conditionalFormatting sqref="E5:E48">
    <cfRule type="cellIs" dxfId="28" priority="24" operator="greaterThan">
      <formula>1.2</formula>
    </cfRule>
  </conditionalFormatting>
  <conditionalFormatting sqref="H5:H48">
    <cfRule type="cellIs" dxfId="27" priority="20" operator="greaterThan">
      <formula>1.2</formula>
    </cfRule>
  </conditionalFormatting>
  <conditionalFormatting sqref="F5:F48">
    <cfRule type="cellIs" dxfId="26" priority="16" operator="greaterThan">
      <formula>1.2</formula>
    </cfRule>
  </conditionalFormatting>
  <conditionalFormatting sqref="I5:I48">
    <cfRule type="cellIs" dxfId="25" priority="12" operator="greaterThan">
      <formula>1.2</formula>
    </cfRule>
  </conditionalFormatting>
  <conditionalFormatting sqref="G5:G48">
    <cfRule type="cellIs" dxfId="24" priority="8" operator="greaterThan">
      <formula>1.2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/>
  <dimension ref="B1:M30"/>
  <sheetViews>
    <sheetView showGridLines="0" topLeftCell="A7" zoomScale="85" zoomScaleNormal="85" workbookViewId="0">
      <selection activeCell="I26" sqref="I26"/>
    </sheetView>
  </sheetViews>
  <sheetFormatPr baseColWidth="10" defaultRowHeight="15" x14ac:dyDescent="0.25"/>
  <cols>
    <col min="2" max="2" width="22.85546875" customWidth="1"/>
    <col min="10" max="10" width="16.28515625" customWidth="1"/>
    <col min="11" max="11" width="14.85546875" customWidth="1"/>
    <col min="12" max="12" width="15.7109375" customWidth="1"/>
    <col min="13" max="13" width="14.7109375" customWidth="1"/>
  </cols>
  <sheetData>
    <row r="1" spans="2:13" ht="15.75" thickBot="1" x14ac:dyDescent="0.3"/>
    <row r="2" spans="2:13" x14ac:dyDescent="0.25">
      <c r="B2" s="113"/>
      <c r="C2" s="114"/>
      <c r="D2" s="134" t="s">
        <v>92</v>
      </c>
      <c r="E2" s="135"/>
      <c r="F2" s="135"/>
      <c r="G2" s="135"/>
      <c r="H2" s="135"/>
      <c r="I2" s="136"/>
      <c r="J2" s="131" t="s">
        <v>93</v>
      </c>
      <c r="K2" s="132"/>
      <c r="L2" s="132"/>
      <c r="M2" s="133"/>
    </row>
    <row r="3" spans="2:13" x14ac:dyDescent="0.25">
      <c r="B3" s="137" t="s">
        <v>2</v>
      </c>
      <c r="C3" s="138" t="s">
        <v>3</v>
      </c>
      <c r="D3" s="139" t="s">
        <v>67</v>
      </c>
      <c r="E3" s="117"/>
      <c r="F3" s="117" t="s">
        <v>68</v>
      </c>
      <c r="G3" s="117"/>
      <c r="H3" s="117" t="s">
        <v>69</v>
      </c>
      <c r="I3" s="140"/>
      <c r="J3" s="139" t="s">
        <v>94</v>
      </c>
      <c r="K3" s="117"/>
      <c r="L3" s="117" t="s">
        <v>95</v>
      </c>
      <c r="M3" s="140"/>
    </row>
    <row r="4" spans="2:13" x14ac:dyDescent="0.25">
      <c r="B4" s="137"/>
      <c r="C4" s="138"/>
      <c r="D4" s="80" t="s">
        <v>25</v>
      </c>
      <c r="E4" s="3" t="s">
        <v>26</v>
      </c>
      <c r="F4" s="3" t="s">
        <v>25</v>
      </c>
      <c r="G4" s="3" t="s">
        <v>26</v>
      </c>
      <c r="H4" s="3" t="s">
        <v>25</v>
      </c>
      <c r="I4" s="81" t="s">
        <v>26</v>
      </c>
      <c r="J4" s="80" t="s">
        <v>25</v>
      </c>
      <c r="K4" s="3" t="s">
        <v>26</v>
      </c>
      <c r="L4" s="3" t="s">
        <v>25</v>
      </c>
      <c r="M4" s="81" t="s">
        <v>26</v>
      </c>
    </row>
    <row r="5" spans="2:13" x14ac:dyDescent="0.25">
      <c r="B5" s="115" t="s">
        <v>0</v>
      </c>
      <c r="C5" s="116"/>
      <c r="D5" s="82">
        <f>(+GENERALES!D5-GENERALES!J5)/GENERALES!J5</f>
        <v>0</v>
      </c>
      <c r="E5" s="65">
        <f>(+GENERALES!E5-GENERALES!K5)/GENERALES!K5</f>
        <v>0</v>
      </c>
      <c r="F5" s="66">
        <f>(+GENERALES!F5-GENERALES!L5)/GENERALES!L5</f>
        <v>0</v>
      </c>
      <c r="G5" s="66">
        <f>(+GENERALES!G5-GENERALES!M5)/GENERALES!M5</f>
        <v>0</v>
      </c>
      <c r="H5" s="67">
        <f>(+GENERALES!H5-GENERALES!N5)/GENERALES!N5</f>
        <v>0</v>
      </c>
      <c r="I5" s="72">
        <f>(+GENERALES!I5-GENERALES!O5)/GENERALES!O5</f>
        <v>0</v>
      </c>
      <c r="J5" s="82">
        <f>(+GENERALES!D5-GENERALES!F5)/GENERALES!D5</f>
        <v>0</v>
      </c>
      <c r="K5" s="65">
        <f>(+GENERALES!E5-GENERALES!G5)/GENERALES!E5</f>
        <v>0</v>
      </c>
      <c r="L5" s="66">
        <f>(+GENERALES!D5-GENERALES!H5)/GENERALES!D5</f>
        <v>0</v>
      </c>
      <c r="M5" s="88">
        <f>(+GENERALES!E5-GENERALES!I5)/GENERALES!E5</f>
        <v>0</v>
      </c>
    </row>
    <row r="6" spans="2:13" x14ac:dyDescent="0.25">
      <c r="B6" s="115" t="s">
        <v>27</v>
      </c>
      <c r="C6" s="116"/>
      <c r="D6" s="82">
        <f>(+GENERALES!D6-GENERALES!J6)/GENERALES!J6</f>
        <v>-2.8669906379037532E-2</v>
      </c>
      <c r="E6" s="65">
        <f>(+GENERALES!E6-GENERALES!K6)/GENERALES!K6</f>
        <v>-3.6730855960170929E-2</v>
      </c>
      <c r="F6" s="66">
        <f>(+GENERALES!F6-GENERALES!L6)/GENERALES!L6</f>
        <v>-2.5857008127117709E-2</v>
      </c>
      <c r="G6" s="66">
        <f>(+GENERALES!G6-GENERALES!M6)/GENERALES!M6</f>
        <v>-1.6889617141018359E-2</v>
      </c>
      <c r="H6" s="67">
        <f>(+GENERALES!H6-GENERALES!N6)/GENERALES!N6</f>
        <v>-1.679422184075097E-2</v>
      </c>
      <c r="I6" s="72">
        <f>(+GENERALES!I6-GENERALES!O6)/GENERALES!O6</f>
        <v>-1.0814208409255229E-2</v>
      </c>
      <c r="J6" s="82">
        <f>(+GENERALES!D6-GENERALES!F6)/GENERALES!D6</f>
        <v>1.3178293028681169E-2</v>
      </c>
      <c r="K6" s="65">
        <f>(+GENERALES!E6-GENERALES!G6)/GENERALES!E6</f>
        <v>-4.407217252050924E-2</v>
      </c>
      <c r="L6" s="66">
        <f>(+GENERALES!D6-GENERALES!H6)/GENERALES!D6</f>
        <v>2.299393948169567E-3</v>
      </c>
      <c r="M6" s="88">
        <f>(+GENERALES!E6-GENERALES!I6)/GENERALES!E6</f>
        <v>-4.4869480493177953E-2</v>
      </c>
    </row>
    <row r="7" spans="2:13" ht="15.75" thickBot="1" x14ac:dyDescent="0.3">
      <c r="B7" s="129" t="s">
        <v>22</v>
      </c>
      <c r="C7" s="130"/>
      <c r="D7" s="83" t="s">
        <v>23</v>
      </c>
      <c r="E7" s="16" t="s">
        <v>24</v>
      </c>
      <c r="F7" s="16" t="s">
        <v>23</v>
      </c>
      <c r="G7" s="16" t="s">
        <v>24</v>
      </c>
      <c r="H7" s="16" t="s">
        <v>23</v>
      </c>
      <c r="I7" s="84" t="s">
        <v>24</v>
      </c>
      <c r="J7" s="83" t="s">
        <v>23</v>
      </c>
      <c r="K7" s="16" t="s">
        <v>24</v>
      </c>
      <c r="L7" s="16" t="s">
        <v>23</v>
      </c>
      <c r="M7" s="84" t="s">
        <v>24</v>
      </c>
    </row>
    <row r="8" spans="2:13" x14ac:dyDescent="0.25">
      <c r="B8" s="121" t="s">
        <v>1</v>
      </c>
      <c r="C8" s="78" t="s">
        <v>4</v>
      </c>
      <c r="D8" s="85">
        <f>(+GENERALES!D8-GENERALES!J8)/GENERALES!J8</f>
        <v>-2.015287606808323E-2</v>
      </c>
      <c r="E8" s="68">
        <f>(+GENERALES!E8-GENERALES!K8)/GENERALES!K8</f>
        <v>3.7923266939078903E-3</v>
      </c>
      <c r="F8" s="69">
        <f>(+GENERALES!F8-GENERALES!L8)/GENERALES!L8</f>
        <v>7.1928673427126194E-2</v>
      </c>
      <c r="G8" s="69">
        <f>(+GENERALES!G8-GENERALES!M8)/GENERALES!M8</f>
        <v>-4.9066355790177985E-3</v>
      </c>
      <c r="H8" s="70">
        <f>(+GENERALES!H8-GENERALES!N8)/GENERALES!N8</f>
        <v>-6.1311035786508884E-4</v>
      </c>
      <c r="I8" s="71">
        <f>(+GENERALES!I8-GENERALES!O8)/GENERALES!O8</f>
        <v>6.8444331403453846E-4</v>
      </c>
      <c r="J8" s="85">
        <f>(+GENERALES!D8-GENERALES!F8)/GENERALES!D8</f>
        <v>-4.4993443531491095E-2</v>
      </c>
      <c r="K8" s="68">
        <f>(+GENERALES!E8-GENERALES!G8)/GENERALES!E8</f>
        <v>5.6781206079368511E-3</v>
      </c>
      <c r="L8" s="69">
        <f>(+GENERALES!D8-GENERALES!H8)/GENERALES!D8</f>
        <v>-4.4660108322884091E-2</v>
      </c>
      <c r="M8" s="87">
        <f>(+GENERALES!E8-GENERALES!I8)/GENERALES!E8</f>
        <v>5.8070085029690265E-2</v>
      </c>
    </row>
    <row r="9" spans="2:13" x14ac:dyDescent="0.25">
      <c r="B9" s="122"/>
      <c r="C9" s="77" t="s">
        <v>14</v>
      </c>
      <c r="D9" s="82">
        <f>(+GENERALES!D9-GENERALES!J9)/GENERALES!J9</f>
        <v>-2.5770376258109053E-2</v>
      </c>
      <c r="E9" s="65">
        <f>(+GENERALES!E9-GENERALES!K9)/GENERALES!K9</f>
        <v>7.5495926969975703E-4</v>
      </c>
      <c r="F9" s="66">
        <f>(+GENERALES!F9-GENERALES!L9)/GENERALES!L9</f>
        <v>6.889462060098106E-2</v>
      </c>
      <c r="G9" s="66">
        <f>(+GENERALES!G9-GENERALES!M9)/GENERALES!M9</f>
        <v>-4.8275014192780989E-3</v>
      </c>
      <c r="H9" s="67">
        <f>(+GENERALES!H9-GENERALES!N9)/GENERALES!N9</f>
        <v>-8.6640682808268631E-4</v>
      </c>
      <c r="I9" s="72">
        <f>(+GENERALES!I9-GENERALES!O9)/GENERALES!O9</f>
        <v>8.5027729617166172E-4</v>
      </c>
      <c r="J9" s="82">
        <f>(+GENERALES!D9-GENERALES!F9)/GENERALES!D9</f>
        <v>-4.3928615882072239E-2</v>
      </c>
      <c r="K9" s="65">
        <f>(+GENERALES!E9-GENERALES!G9)/GENERALES!E9</f>
        <v>5.5446217912416759E-3</v>
      </c>
      <c r="L9" s="66">
        <f>(+GENERALES!D9-GENERALES!H9)/GENERALES!D9</f>
        <v>-4.3473324657606366E-2</v>
      </c>
      <c r="M9" s="88">
        <f>(+GENERALES!E9-GENERALES!I9)/GENERALES!E9</f>
        <v>5.5963922983518787E-2</v>
      </c>
    </row>
    <row r="10" spans="2:13" x14ac:dyDescent="0.25">
      <c r="B10" s="122"/>
      <c r="C10" s="77" t="s">
        <v>13</v>
      </c>
      <c r="D10" s="82">
        <f>(+GENERALES!D10-GENERALES!J10)/GENERALES!J10</f>
        <v>-2.5200495954091798E-2</v>
      </c>
      <c r="E10" s="65">
        <f>(+GENERALES!E10-GENERALES!K10)/GENERALES!K10</f>
        <v>9.2348725065686372E-4</v>
      </c>
      <c r="F10" s="66">
        <f>(+GENERALES!F10-GENERALES!L10)/GENERALES!L10</f>
        <v>6.889462060098106E-2</v>
      </c>
      <c r="G10" s="66">
        <f>(+GENERALES!G10-GENERALES!M10)/GENERALES!M10</f>
        <v>-4.8275014192780989E-3</v>
      </c>
      <c r="H10" s="67">
        <f>(+GENERALES!H10-GENERALES!N10)/GENERALES!N10</f>
        <v>-8.6640682808268631E-4</v>
      </c>
      <c r="I10" s="72">
        <f>(+GENERALES!I10-GENERALES!O10)/GENERALES!O10</f>
        <v>8.5027729617166172E-4</v>
      </c>
      <c r="J10" s="82">
        <f>(+GENERALES!D10-GENERALES!F10)/GENERALES!D10</f>
        <v>-4.3928615882072239E-2</v>
      </c>
      <c r="K10" s="65">
        <f>(+GENERALES!E10-GENERALES!G10)/GENERALES!E10</f>
        <v>5.5446217912416759E-3</v>
      </c>
      <c r="L10" s="66">
        <f>(+GENERALES!D10-GENERALES!H10)/GENERALES!D10</f>
        <v>-4.3473324657606366E-2</v>
      </c>
      <c r="M10" s="88">
        <f>(+GENERALES!E10-GENERALES!I10)/GENERALES!E10</f>
        <v>5.5963922983518787E-2</v>
      </c>
    </row>
    <row r="11" spans="2:13" x14ac:dyDescent="0.25">
      <c r="B11" s="122"/>
      <c r="C11" s="77" t="s">
        <v>12</v>
      </c>
      <c r="D11" s="82">
        <f>(+GENERALES!D11-GENERALES!J11)/GENERALES!J11</f>
        <v>-2.5200495954091798E-2</v>
      </c>
      <c r="E11" s="65">
        <f>(+GENERALES!E11-GENERALES!K11)/GENERALES!K11</f>
        <v>9.2348725065686372E-4</v>
      </c>
      <c r="F11" s="66">
        <f>(+GENERALES!F11-GENERALES!L11)/GENERALES!L11</f>
        <v>6.889462060098106E-2</v>
      </c>
      <c r="G11" s="66">
        <f>(+GENERALES!G11-GENERALES!M11)/GENERALES!M11</f>
        <v>-4.8275014192780989E-3</v>
      </c>
      <c r="H11" s="67">
        <f>(+GENERALES!H11-GENERALES!N11)/GENERALES!N11</f>
        <v>-8.6640682808268631E-4</v>
      </c>
      <c r="I11" s="72">
        <f>(+GENERALES!I11-GENERALES!O11)/GENERALES!O11</f>
        <v>8.5027729617166172E-4</v>
      </c>
      <c r="J11" s="82">
        <f>(+GENERALES!D11-GENERALES!F11)/GENERALES!D11</f>
        <v>-4.3928615882072239E-2</v>
      </c>
      <c r="K11" s="65">
        <f>(+GENERALES!E11-GENERALES!G11)/GENERALES!E11</f>
        <v>5.5446217912416759E-3</v>
      </c>
      <c r="L11" s="66">
        <f>(+GENERALES!D11-GENERALES!H11)/GENERALES!D11</f>
        <v>-4.3473324657606366E-2</v>
      </c>
      <c r="M11" s="88">
        <f>(+GENERALES!E11-GENERALES!I11)/GENERALES!E11</f>
        <v>5.5963922983518787E-2</v>
      </c>
    </row>
    <row r="12" spans="2:13" x14ac:dyDescent="0.25">
      <c r="B12" s="122"/>
      <c r="C12" s="77" t="s">
        <v>11</v>
      </c>
      <c r="D12" s="82">
        <f>(+GENERALES!D12-GENERALES!J12)/GENERALES!J12</f>
        <v>-2.5678290612973435E-2</v>
      </c>
      <c r="E12" s="65">
        <f>(+GENERALES!E12-GENERALES!K12)/GENERALES!K12</f>
        <v>1.1656280344519701E-3</v>
      </c>
      <c r="F12" s="66">
        <f>(+GENERALES!F12-GENERALES!L12)/GENERALES!L12</f>
        <v>6.6423778308512635E-2</v>
      </c>
      <c r="G12" s="66">
        <f>(+GENERALES!G12-GENERALES!M12)/GENERALES!M12</f>
        <v>-4.6396357514506981E-3</v>
      </c>
      <c r="H12" s="67">
        <f>(+GENERALES!H12-GENERALES!N12)/GENERALES!N12</f>
        <v>-1.006832596174683E-3</v>
      </c>
      <c r="I12" s="72">
        <f>(+GENERALES!I12-GENERALES!O12)/GENERALES!O12</f>
        <v>9.843750132008148E-4</v>
      </c>
      <c r="J12" s="82">
        <f>(+GENERALES!D12-GENERALES!F12)/GENERALES!D12</f>
        <v>-4.2489202615442034E-2</v>
      </c>
      <c r="K12" s="65">
        <f>(+GENERALES!E12-GENERALES!G12)/GENERALES!E12</f>
        <v>5.5237350457343921E-3</v>
      </c>
      <c r="L12" s="66">
        <f>(+GENERALES!D12-GENERALES!H12)/GENERALES!D12</f>
        <v>-4.2245069976079526E-2</v>
      </c>
      <c r="M12" s="88">
        <f>(+GENERALES!E12-GENERALES!I12)/GENERALES!E12</f>
        <v>5.4762656502394889E-2</v>
      </c>
    </row>
    <row r="13" spans="2:13" x14ac:dyDescent="0.25">
      <c r="B13" s="122"/>
      <c r="C13" s="77" t="s">
        <v>10</v>
      </c>
      <c r="D13" s="82">
        <f>(+GENERALES!D13-GENERALES!J13)/GENERALES!J13</f>
        <v>-2.5678290612973435E-2</v>
      </c>
      <c r="E13" s="65">
        <f>(+GENERALES!E13-GENERALES!K13)/GENERALES!K13</f>
        <v>1.1656280344519701E-3</v>
      </c>
      <c r="F13" s="66">
        <f>(+GENERALES!F13-GENERALES!L13)/GENERALES!L13</f>
        <v>6.6423778308512635E-2</v>
      </c>
      <c r="G13" s="66">
        <f>(+GENERALES!G13-GENERALES!M13)/GENERALES!M13</f>
        <v>-4.6396357514506981E-3</v>
      </c>
      <c r="H13" s="67">
        <f>(+GENERALES!H13-GENERALES!N13)/GENERALES!N13</f>
        <v>-1.006832596174683E-3</v>
      </c>
      <c r="I13" s="72">
        <f>(+GENERALES!I13-GENERALES!O13)/GENERALES!O13</f>
        <v>9.843750132008148E-4</v>
      </c>
      <c r="J13" s="82">
        <f>(+GENERALES!D13-GENERALES!F13)/GENERALES!D13</f>
        <v>-4.2489202615442034E-2</v>
      </c>
      <c r="K13" s="65">
        <f>(+GENERALES!E13-GENERALES!G13)/GENERALES!E13</f>
        <v>5.5237350457343921E-3</v>
      </c>
      <c r="L13" s="66">
        <f>(+GENERALES!D13-GENERALES!H13)/GENERALES!D13</f>
        <v>-4.2245069976079526E-2</v>
      </c>
      <c r="M13" s="88">
        <f>(+GENERALES!E13-GENERALES!I13)/GENERALES!E13</f>
        <v>5.4762656502394889E-2</v>
      </c>
    </row>
    <row r="14" spans="2:13" x14ac:dyDescent="0.25">
      <c r="B14" s="122"/>
      <c r="C14" s="77" t="s">
        <v>9</v>
      </c>
      <c r="D14" s="82">
        <f>(+GENERALES!D14-GENERALES!J14)/GENERALES!J14</f>
        <v>-2.5678290612973435E-2</v>
      </c>
      <c r="E14" s="65">
        <f>(+GENERALES!E14-GENERALES!K14)/GENERALES!K14</f>
        <v>1.1656280344519701E-3</v>
      </c>
      <c r="F14" s="66">
        <f>(+GENERALES!F14-GENERALES!L14)/GENERALES!L14</f>
        <v>6.6423778308512635E-2</v>
      </c>
      <c r="G14" s="66">
        <f>(+GENERALES!G14-GENERALES!M14)/GENERALES!M14</f>
        <v>-4.6396357514506981E-3</v>
      </c>
      <c r="H14" s="67">
        <f>(+GENERALES!H14-GENERALES!N14)/GENERALES!N14</f>
        <v>-1.006832596174683E-3</v>
      </c>
      <c r="I14" s="72">
        <f>(+GENERALES!I14-GENERALES!O14)/GENERALES!O14</f>
        <v>9.843750132008148E-4</v>
      </c>
      <c r="J14" s="82">
        <f>(+GENERALES!D14-GENERALES!F14)/GENERALES!D14</f>
        <v>-4.2489202615442034E-2</v>
      </c>
      <c r="K14" s="65">
        <f>(+GENERALES!E14-GENERALES!G14)/GENERALES!E14</f>
        <v>5.5237350457343921E-3</v>
      </c>
      <c r="L14" s="66">
        <f>(+GENERALES!D14-GENERALES!H14)/GENERALES!D14</f>
        <v>-4.2245069976079526E-2</v>
      </c>
      <c r="M14" s="88">
        <f>(+GENERALES!E14-GENERALES!I14)/GENERALES!E14</f>
        <v>5.4762656502394889E-2</v>
      </c>
    </row>
    <row r="15" spans="2:13" x14ac:dyDescent="0.25">
      <c r="B15" s="122"/>
      <c r="C15" s="77" t="s">
        <v>8</v>
      </c>
      <c r="D15" s="82">
        <f>(+GENERALES!D15-GENERALES!J15)/GENERALES!J15</f>
        <v>-2.5678290612973435E-2</v>
      </c>
      <c r="E15" s="65">
        <f>(+GENERALES!E15-GENERALES!K15)/GENERALES!K15</f>
        <v>1.1656280344519701E-3</v>
      </c>
      <c r="F15" s="66">
        <f>(+GENERALES!F15-GENERALES!L15)/GENERALES!L15</f>
        <v>6.6423778308512635E-2</v>
      </c>
      <c r="G15" s="66">
        <f>(+GENERALES!G15-GENERALES!M15)/GENERALES!M15</f>
        <v>-4.6396357514506981E-3</v>
      </c>
      <c r="H15" s="67">
        <f>(+GENERALES!H15-GENERALES!N15)/GENERALES!N15</f>
        <v>-1.006832596174683E-3</v>
      </c>
      <c r="I15" s="72">
        <f>(+GENERALES!I15-GENERALES!O15)/GENERALES!O15</f>
        <v>9.843750132008148E-4</v>
      </c>
      <c r="J15" s="82">
        <f>(+GENERALES!D15-GENERALES!F15)/GENERALES!D15</f>
        <v>-4.2489202615442034E-2</v>
      </c>
      <c r="K15" s="65">
        <f>(+GENERALES!E15-GENERALES!G15)/GENERALES!E15</f>
        <v>5.5237350457343921E-3</v>
      </c>
      <c r="L15" s="66">
        <f>(+GENERALES!D15-GENERALES!H15)/GENERALES!D15</f>
        <v>-4.2245069976079526E-2</v>
      </c>
      <c r="M15" s="88">
        <f>(+GENERALES!E15-GENERALES!I15)/GENERALES!E15</f>
        <v>5.4762656502394889E-2</v>
      </c>
    </row>
    <row r="16" spans="2:13" x14ac:dyDescent="0.25">
      <c r="B16" s="122"/>
      <c r="C16" s="77" t="s">
        <v>7</v>
      </c>
      <c r="D16" s="82">
        <f>(+GENERALES!D16-GENERALES!J16)/GENERALES!J16</f>
        <v>-2.5678290612973435E-2</v>
      </c>
      <c r="E16" s="65">
        <f>(+GENERALES!E16-GENERALES!K16)/GENERALES!K16</f>
        <v>1.1656280344519701E-3</v>
      </c>
      <c r="F16" s="66">
        <f>(+GENERALES!F16-GENERALES!L16)/GENERALES!L16</f>
        <v>6.6423778308512635E-2</v>
      </c>
      <c r="G16" s="66">
        <f>(+GENERALES!G16-GENERALES!M16)/GENERALES!M16</f>
        <v>-4.6396357514506981E-3</v>
      </c>
      <c r="H16" s="67">
        <f>(+GENERALES!H16-GENERALES!N16)/GENERALES!N16</f>
        <v>-1.006832596174683E-3</v>
      </c>
      <c r="I16" s="72">
        <f>(+GENERALES!I16-GENERALES!O16)/GENERALES!O16</f>
        <v>9.843750132008148E-4</v>
      </c>
      <c r="J16" s="82">
        <f>(+GENERALES!D16-GENERALES!F16)/GENERALES!D16</f>
        <v>-4.2489202615442034E-2</v>
      </c>
      <c r="K16" s="65">
        <f>(+GENERALES!E16-GENERALES!G16)/GENERALES!E16</f>
        <v>5.5237350457343921E-3</v>
      </c>
      <c r="L16" s="66">
        <f>(+GENERALES!D16-GENERALES!H16)/GENERALES!D16</f>
        <v>-4.2245069976079526E-2</v>
      </c>
      <c r="M16" s="88">
        <f>(+GENERALES!E16-GENERALES!I16)/GENERALES!E16</f>
        <v>5.4762656502394889E-2</v>
      </c>
    </row>
    <row r="17" spans="2:13" x14ac:dyDescent="0.25">
      <c r="B17" s="122"/>
      <c r="C17" s="77" t="s">
        <v>6</v>
      </c>
      <c r="D17" s="82">
        <f>(+GENERALES!D17-GENERALES!J17)/GENERALES!J17</f>
        <v>-1.6696602643402694E-2</v>
      </c>
      <c r="E17" s="65">
        <f>(+GENERALES!E17-GENERALES!K17)/GENERALES!K17</f>
        <v>8.4845604368602673E-4</v>
      </c>
      <c r="F17" s="66">
        <f>(+GENERALES!F17-GENERALES!L17)/GENERALES!L17</f>
        <v>7.2507663460619112E-2</v>
      </c>
      <c r="G17" s="66">
        <f>(+GENERALES!G17-GENERALES!M17)/GENERALES!M17</f>
        <v>-5.3028825739489926E-3</v>
      </c>
      <c r="H17" s="67">
        <f>(+GENERALES!H17-GENERALES!N17)/GENERALES!N17</f>
        <v>-2.1395421161891611E-3</v>
      </c>
      <c r="I17" s="72">
        <f>(+GENERALES!I17-GENERALES!O17)/GENERALES!O17</f>
        <v>1.9044957187671914E-3</v>
      </c>
      <c r="J17" s="82">
        <f>(+GENERALES!D17-GENERALES!F17)/GENERALES!D17</f>
        <v>-4.5027840047817215E-2</v>
      </c>
      <c r="K17" s="65">
        <f>(+GENERALES!E17-GENERALES!G17)/GENERALES!E17</f>
        <v>4.6751795540264669E-3</v>
      </c>
      <c r="L17" s="66">
        <f>(+GENERALES!D17-GENERALES!H17)/GENERALES!D17</f>
        <v>-4.4720965739951483E-2</v>
      </c>
      <c r="M17" s="88">
        <f>(+GENERALES!E17-GENERALES!I17)/GENERALES!E17</f>
        <v>6.2650816471798557E-2</v>
      </c>
    </row>
    <row r="18" spans="2:13" ht="15.75" thickBot="1" x14ac:dyDescent="0.3">
      <c r="B18" s="123"/>
      <c r="C18" s="79" t="s">
        <v>5</v>
      </c>
      <c r="D18" s="86">
        <f>(+GENERALES!D18-GENERALES!J18)/GENERALES!J18</f>
        <v>0</v>
      </c>
      <c r="E18" s="73">
        <f>(+GENERALES!E18-GENERALES!K18)/GENERALES!K18</f>
        <v>0</v>
      </c>
      <c r="F18" s="74">
        <f>(+GENERALES!F18-GENERALES!L18)/GENERALES!L18</f>
        <v>0</v>
      </c>
      <c r="G18" s="74">
        <f>(+GENERALES!G18-GENERALES!M18)/GENERALES!M18</f>
        <v>0</v>
      </c>
      <c r="H18" s="75">
        <f>(+GENERALES!H18-GENERALES!N18)/GENERALES!N18</f>
        <v>3.8112376147278709E-3</v>
      </c>
      <c r="I18" s="76">
        <f>(+GENERALES!I18-GENERALES!O18)/GENERALES!O18</f>
        <v>-4.1767848405894981E-2</v>
      </c>
      <c r="J18" s="86">
        <f>(+GENERALES!D18-GENERALES!F18)/GENERALES!D18</f>
        <v>-0.21461691857063081</v>
      </c>
      <c r="K18" s="73">
        <f>(+GENERALES!E18-GENERALES!G18)/GENERALES!E18</f>
        <v>1.4748504557482998E-2</v>
      </c>
      <c r="L18" s="74">
        <f>(+GENERALES!D18-GENERALES!H18)/GENERALES!D18</f>
        <v>-0.21461691857063081</v>
      </c>
      <c r="M18" s="89">
        <f>(+GENERALES!E18-GENERALES!I18)/GENERALES!E18</f>
        <v>0.86431903394845722</v>
      </c>
    </row>
    <row r="19" spans="2:13" x14ac:dyDescent="0.25">
      <c r="B19" s="121" t="s">
        <v>15</v>
      </c>
      <c r="C19" s="78" t="s">
        <v>4</v>
      </c>
      <c r="D19" s="85">
        <f>(+GENERALES!D19-GENERALES!J19)/GENERALES!J19</f>
        <v>3.1236245288128114E-2</v>
      </c>
      <c r="E19" s="68">
        <f>(+GENERALES!E19-GENERALES!K19)/GENERALES!K19</f>
        <v>-3.6072834163764569E-3</v>
      </c>
      <c r="F19" s="69">
        <f>(+GENERALES!F19-GENERALES!L19)/GENERALES!L19</f>
        <v>0.10500666067348409</v>
      </c>
      <c r="G19" s="69">
        <f>(+GENERALES!G19-GENERALES!M19)/GENERALES!M19</f>
        <v>-3.5421733353062793E-3</v>
      </c>
      <c r="H19" s="70">
        <f>(+GENERALES!H19-GENERALES!N19)/GENERALES!N19</f>
        <v>6.3296557273973972E-2</v>
      </c>
      <c r="I19" s="71">
        <f>(+GENERALES!I19-GENERALES!O19)/GENERALES!O19</f>
        <v>-4.4160519480218888E-2</v>
      </c>
      <c r="J19" s="85">
        <f>(+GENERALES!D19-GENERALES!F19)/GENERALES!D19</f>
        <v>-4.8890411656678665E-2</v>
      </c>
      <c r="K19" s="68">
        <f>(+GENERALES!E19-GENERALES!G19)/GENERALES!E19</f>
        <v>7.4625152548093545E-3</v>
      </c>
      <c r="L19" s="69">
        <f>(+GENERALES!D19-GENERALES!H19)/GENERALES!D19</f>
        <v>-4.5874008621455367E-2</v>
      </c>
      <c r="M19" s="87">
        <f>(+GENERALES!E19-GENERALES!I19)/GENERALES!E19</f>
        <v>9.7191421856265767E-2</v>
      </c>
    </row>
    <row r="20" spans="2:13" x14ac:dyDescent="0.25">
      <c r="B20" s="122"/>
      <c r="C20" s="77" t="s">
        <v>14</v>
      </c>
      <c r="D20" s="82">
        <f>(+GENERALES!D20-GENERALES!J20)/GENERALES!J20</f>
        <v>9.8257821849456639E-2</v>
      </c>
      <c r="E20" s="65">
        <f>(+GENERALES!E20-GENERALES!K20)/GENERALES!K20</f>
        <v>-2.5822011972014163E-3</v>
      </c>
      <c r="F20" s="66">
        <f>(+GENERALES!F20-GENERALES!L20)/GENERALES!L20</f>
        <v>0.11229000120281291</v>
      </c>
      <c r="G20" s="66">
        <f>(+GENERALES!G20-GENERALES!M20)/GENERALES!M20</f>
        <v>-8.1767724099074453E-3</v>
      </c>
      <c r="H20" s="67">
        <f>(+GENERALES!H20-GENERALES!N20)/GENERALES!N20</f>
        <v>7.487547814097037E-2</v>
      </c>
      <c r="I20" s="72">
        <f>(+GENERALES!I20-GENERALES!O20)/GENERALES!O20</f>
        <v>-6.4330880207247226E-2</v>
      </c>
      <c r="J20" s="82">
        <f>(+GENERALES!D20-GENERALES!F20)/GENERALES!D20</f>
        <v>-3.2269158928654895E-2</v>
      </c>
      <c r="K20" s="65">
        <f>(+GENERALES!E20-GENERALES!G20)/GENERALES!E20</f>
        <v>1.4105375030243911E-2</v>
      </c>
      <c r="L20" s="66">
        <f>(+GENERALES!D20-GENERALES!H20)/GENERALES!D20</f>
        <v>-3.1677320732627995E-2</v>
      </c>
      <c r="M20" s="88">
        <f>(+GENERALES!E20-GENERALES!I20)/GENERALES!E20</f>
        <v>0.12722135277001831</v>
      </c>
    </row>
    <row r="21" spans="2:13" x14ac:dyDescent="0.25">
      <c r="B21" s="122"/>
      <c r="C21" s="77" t="s">
        <v>13</v>
      </c>
      <c r="D21" s="82">
        <f>(+GENERALES!D21-GENERALES!J21)/GENERALES!J21</f>
        <v>8.8069588988428538E-2</v>
      </c>
      <c r="E21" s="65">
        <f>(+GENERALES!E21-GENERALES!K21)/GENERALES!K21</f>
        <v>-2.8729735823884981E-3</v>
      </c>
      <c r="F21" s="66">
        <f>(+GENERALES!F21-GENERALES!L21)/GENERALES!L21</f>
        <v>0.10930776755188511</v>
      </c>
      <c r="G21" s="66">
        <f>(+GENERALES!G21-GENERALES!M21)/GENERALES!M21</f>
        <v>-1.0022090872828958E-2</v>
      </c>
      <c r="H21" s="67">
        <f>(+GENERALES!H21-GENERALES!N21)/GENERALES!N21</f>
        <v>7.623159112805776E-2</v>
      </c>
      <c r="I21" s="72">
        <f>(+GENERALES!I21-GENERALES!O21)/GENERALES!O21</f>
        <v>-7.0024726116017275E-2</v>
      </c>
      <c r="J21" s="82">
        <f>(+GENERALES!D21-GENERALES!F21)/GENERALES!D21</f>
        <v>-2.159716397877124E-2</v>
      </c>
      <c r="K21" s="65">
        <f>(+GENERALES!E21-GENERALES!G21)/GENERALES!E21</f>
        <v>1.6518886029568608E-2</v>
      </c>
      <c r="L21" s="66">
        <f>(+GENERALES!D21-GENERALES!H21)/GENERALES!D21</f>
        <v>-1.9973945650020534E-2</v>
      </c>
      <c r="M21" s="88">
        <f>(+GENERALES!E21-GENERALES!I21)/GENERALES!E21</f>
        <v>0.13645579397903787</v>
      </c>
    </row>
    <row r="22" spans="2:13" x14ac:dyDescent="0.25">
      <c r="B22" s="122"/>
      <c r="C22" s="77" t="s">
        <v>12</v>
      </c>
      <c r="D22" s="82">
        <f>(+GENERALES!D22-GENERALES!J22)/GENERALES!J22</f>
        <v>9.0990140497903021E-2</v>
      </c>
      <c r="E22" s="65">
        <f>(+GENERALES!E22-GENERALES!K22)/GENERALES!K22</f>
        <v>-3.0035496805522325E-3</v>
      </c>
      <c r="F22" s="66">
        <f>(+GENERALES!F22-GENERALES!L22)/GENERALES!L22</f>
        <v>0.10374485422016283</v>
      </c>
      <c r="G22" s="66">
        <f>(+GENERALES!G22-GENERALES!M22)/GENERALES!M22</f>
        <v>-1.0623637097966309E-2</v>
      </c>
      <c r="H22" s="67">
        <f>(+GENERALES!H22-GENERALES!N22)/GENERALES!N22</f>
        <v>7.3321090943201564E-2</v>
      </c>
      <c r="I22" s="72">
        <f>(+GENERALES!I22-GENERALES!O22)/GENERALES!O22</f>
        <v>-6.9289008422020903E-2</v>
      </c>
      <c r="J22" s="82">
        <f>(+GENERALES!D22-GENERALES!F22)/GENERALES!D22</f>
        <v>-1.3589665209213333E-2</v>
      </c>
      <c r="K22" s="65">
        <f>(+GENERALES!E22-GENERALES!G22)/GENERALES!E22</f>
        <v>1.7103357899602462E-2</v>
      </c>
      <c r="L22" s="66">
        <f>(+GENERALES!D22-GENERALES!H22)/GENERALES!D22</f>
        <v>-9.2321354898609546E-3</v>
      </c>
      <c r="M22" s="88">
        <f>(+GENERALES!E22-GENERALES!I22)/GENERALES!E22</f>
        <v>0.13686995497176166</v>
      </c>
    </row>
    <row r="23" spans="2:13" x14ac:dyDescent="0.25">
      <c r="B23" s="122"/>
      <c r="C23" s="77" t="s">
        <v>11</v>
      </c>
      <c r="D23" s="82">
        <f>(+GENERALES!D23-GENERALES!J23)/GENERALES!J23</f>
        <v>9.1842323389410951E-2</v>
      </c>
      <c r="E23" s="65">
        <f>(+GENERALES!E23-GENERALES!K23)/GENERALES!K23</f>
        <v>-3.2976135826629335E-3</v>
      </c>
      <c r="F23" s="66">
        <f>(+GENERALES!F23-GENERALES!L23)/GENERALES!L23</f>
        <v>9.7714348193759418E-2</v>
      </c>
      <c r="G23" s="66">
        <f>(+GENERALES!G23-GENERALES!M23)/GENERALES!M23</f>
        <v>-1.0587167963025734E-2</v>
      </c>
      <c r="H23" s="67">
        <f>(+GENERALES!H23-GENERALES!N23)/GENERALES!N23</f>
        <v>6.8602659008434402E-2</v>
      </c>
      <c r="I23" s="72">
        <f>(+GENERALES!I23-GENERALES!O23)/GENERALES!O23</f>
        <v>-6.6160795013521456E-2</v>
      </c>
      <c r="J23" s="82">
        <f>(+GENERALES!D23-GENERALES!F23)/GENERALES!D23</f>
        <v>-6.3767859195917685E-3</v>
      </c>
      <c r="K23" s="65">
        <f>(+GENERALES!E23-GENERALES!G23)/GENERALES!E23</f>
        <v>1.6610534956657985E-2</v>
      </c>
      <c r="L23" s="66">
        <f>(+GENERALES!D23-GENERALES!H23)/GENERALES!D23</f>
        <v>1.4754322452389726E-3</v>
      </c>
      <c r="M23" s="88">
        <f>(+GENERALES!E23-GENERALES!I23)/GENERALES!E23</f>
        <v>0.1333775297739006</v>
      </c>
    </row>
    <row r="24" spans="2:13" x14ac:dyDescent="0.25">
      <c r="B24" s="122"/>
      <c r="C24" s="77" t="s">
        <v>10</v>
      </c>
      <c r="D24" s="82">
        <f>(+GENERALES!D24-GENERALES!J24)/GENERALES!J24</f>
        <v>9.2372534205717741E-2</v>
      </c>
      <c r="E24" s="65">
        <f>(+GENERALES!E24-GENERALES!K24)/GENERALES!K24</f>
        <v>-3.6586054919585127E-3</v>
      </c>
      <c r="F24" s="66">
        <f>(+GENERALES!F24-GENERALES!L24)/GENERALES!L24</f>
        <v>9.1446124700994807E-2</v>
      </c>
      <c r="G24" s="66">
        <f>(+GENERALES!G24-GENERALES!M24)/GENERALES!M24</f>
        <v>-1.0372684353896601E-2</v>
      </c>
      <c r="H24" s="67">
        <f>(+GENERALES!H24-GENERALES!N24)/GENERALES!N24</f>
        <v>6.3654632490212887E-2</v>
      </c>
      <c r="I24" s="72">
        <f>(+GENERALES!I24-GENERALES!O24)/GENERALES!O24</f>
        <v>-6.2698161288875537E-2</v>
      </c>
      <c r="J24" s="82">
        <f>(+GENERALES!D24-GENERALES!F24)/GENERALES!D24</f>
        <v>-4.5008496140286305E-5</v>
      </c>
      <c r="K24" s="65">
        <f>(+GENERALES!E24-GENERALES!G24)/GENERALES!E24</f>
        <v>1.5641495682554837E-2</v>
      </c>
      <c r="L24" s="66">
        <f>(+GENERALES!D24-GENERALES!H24)/GENERALES!D24</f>
        <v>1.1496175333451816E-2</v>
      </c>
      <c r="M24" s="88">
        <f>(+GENERALES!E24-GENERALES!I24)/GENERALES!E24</f>
        <v>0.12816777806162172</v>
      </c>
    </row>
    <row r="25" spans="2:13" x14ac:dyDescent="0.25">
      <c r="B25" s="122"/>
      <c r="C25" s="77" t="s">
        <v>9</v>
      </c>
      <c r="D25" s="82">
        <f>(+GENERALES!D25-GENERALES!J25)/GENERALES!J25</f>
        <v>9.1709267080818266E-2</v>
      </c>
      <c r="E25" s="65">
        <f>(+GENERALES!E25-GENERALES!K25)/GENERALES!K25</f>
        <v>-3.9181785149390944E-3</v>
      </c>
      <c r="F25" s="66">
        <f>(+GENERALES!F25-GENERALES!L25)/GENERALES!L25</f>
        <v>8.4864170929004459E-2</v>
      </c>
      <c r="G25" s="66">
        <f>(+GENERALES!G25-GENERALES!M25)/GENERALES!M25</f>
        <v>-1.0022878994124705E-2</v>
      </c>
      <c r="H25" s="67">
        <f>(+GENERALES!H25-GENERALES!N25)/GENERALES!N25</f>
        <v>5.8233904321062874E-2</v>
      </c>
      <c r="I25" s="72">
        <f>(+GENERALES!I25-GENERALES!O25)/GENERALES!O25</f>
        <v>-5.8269217560684164E-2</v>
      </c>
      <c r="J25" s="82">
        <f>(+GENERALES!D25-GENERALES!F25)/GENERALES!D25</f>
        <v>5.7042193559627922E-3</v>
      </c>
      <c r="K25" s="65">
        <f>(+GENERALES!E25-GENERALES!G25)/GENERALES!E25</f>
        <v>1.4577333720459332E-2</v>
      </c>
      <c r="L25" s="66">
        <f>(+GENERALES!D25-GENERALES!H25)/GENERALES!D25</f>
        <v>2.1202849445458295E-2</v>
      </c>
      <c r="M25" s="88">
        <f>(+GENERALES!E25-GENERALES!I25)/GENERALES!E25</f>
        <v>0.1221387875687774</v>
      </c>
    </row>
    <row r="26" spans="2:13" x14ac:dyDescent="0.25">
      <c r="B26" s="122"/>
      <c r="C26" s="77" t="s">
        <v>8</v>
      </c>
      <c r="D26" s="82">
        <f>(+GENERALES!D26-GENERALES!J26)/GENERALES!J26</f>
        <v>8.9738776095952752E-2</v>
      </c>
      <c r="E26" s="65">
        <f>(+GENERALES!E26-GENERALES!K26)/GENERALES!K26</f>
        <v>-4.086957336759638E-3</v>
      </c>
      <c r="F26" s="66">
        <f>(+GENERALES!F26-GENERALES!L26)/GENERALES!L26</f>
        <v>7.7541496984479708E-2</v>
      </c>
      <c r="G26" s="66">
        <f>(+GENERALES!G26-GENERALES!M26)/GENERALES!M26</f>
        <v>-9.4949929680823789E-3</v>
      </c>
      <c r="H26" s="67">
        <f>(+GENERALES!H26-GENERALES!N26)/GENERALES!N26</f>
        <v>5.2073049661731194E-2</v>
      </c>
      <c r="I26" s="72">
        <f>(+GENERALES!I26-GENERALES!O26)/GENERALES!O26</f>
        <v>-5.2718772248220323E-2</v>
      </c>
      <c r="J26" s="82">
        <f>(+GENERALES!D26-GENERALES!F26)/GENERALES!D26</f>
        <v>1.1285477015351566E-2</v>
      </c>
      <c r="K26" s="65">
        <f>(+GENERALES!E26-GENERALES!G26)/GENERALES!E26</f>
        <v>1.3365283886010697E-2</v>
      </c>
      <c r="L26" s="66">
        <f>(+GENERALES!D26-GENERALES!H26)/GENERALES!D26</f>
        <v>3.0920625668618227E-2</v>
      </c>
      <c r="M26" s="88">
        <f>(+GENERALES!E26-GENERALES!I26)/GENERALES!E26</f>
        <v>0.11508551702229969</v>
      </c>
    </row>
    <row r="27" spans="2:13" x14ac:dyDescent="0.25">
      <c r="B27" s="122"/>
      <c r="C27" s="77" t="s">
        <v>7</v>
      </c>
      <c r="D27" s="82">
        <f>(+GENERALES!D27-GENERALES!J27)/GENERALES!J27</f>
        <v>8.6832759481313859E-2</v>
      </c>
      <c r="E27" s="65">
        <f>(+GENERALES!E27-GENERALES!K27)/GENERALES!K27</f>
        <v>-4.2188799625911422E-3</v>
      </c>
      <c r="F27" s="66">
        <f>(+GENERALES!F27-GENERALES!L27)/GENERALES!L27</f>
        <v>6.9232178792686574E-2</v>
      </c>
      <c r="G27" s="66">
        <f>(+GENERALES!G27-GENERALES!M27)/GENERALES!M27</f>
        <v>-8.8406907047867567E-3</v>
      </c>
      <c r="H27" s="67">
        <f>(+GENERALES!H27-GENERALES!N27)/GENERALES!N27</f>
        <v>4.5214858600281321E-2</v>
      </c>
      <c r="I27" s="72">
        <f>(+GENERALES!I27-GENERALES!O27)/GENERALES!O27</f>
        <v>-4.6244871441199036E-2</v>
      </c>
      <c r="J27" s="82">
        <f>(+GENERALES!D27-GENERALES!F27)/GENERALES!D27</f>
        <v>1.7089622833201697E-2</v>
      </c>
      <c r="K27" s="65">
        <f>(+GENERALES!E27-GENERALES!G27)/GENERALES!E27</f>
        <v>1.2010767260925538E-2</v>
      </c>
      <c r="L27" s="66">
        <f>(+GENERALES!D27-GENERALES!H27)/GENERALES!D27</f>
        <v>4.095744029540719E-2</v>
      </c>
      <c r="M27" s="88">
        <f>(+GENERALES!E27-GENERALES!I27)/GENERALES!E27</f>
        <v>0.10710024535684089</v>
      </c>
    </row>
    <row r="28" spans="2:13" x14ac:dyDescent="0.25">
      <c r="B28" s="122"/>
      <c r="C28" s="77" t="s">
        <v>6</v>
      </c>
      <c r="D28" s="82">
        <f>(+GENERALES!D28-GENERALES!J28)/GENERALES!J28</f>
        <v>8.4221851102557851E-2</v>
      </c>
      <c r="E28" s="65">
        <f>(+GENERALES!E28-GENERALES!K28)/GENERALES!K28</f>
        <v>-4.3303323216582331E-3</v>
      </c>
      <c r="F28" s="66">
        <f>(+GENERALES!F28-GENERALES!L28)/GENERALES!L28</f>
        <v>6.2007670311959022E-2</v>
      </c>
      <c r="G28" s="66">
        <f>(+GENERALES!G28-GENERALES!M28)/GENERALES!M28</f>
        <v>-8.3848660511517646E-3</v>
      </c>
      <c r="H28" s="67">
        <f>(+GENERALES!H28-GENERALES!N28)/GENERALES!N28</f>
        <v>3.8916918757808262E-2</v>
      </c>
      <c r="I28" s="72">
        <f>(+GENERALES!I28-GENERALES!O28)/GENERALES!O28</f>
        <v>-4.0509087514513063E-2</v>
      </c>
      <c r="J28" s="82">
        <f>(+GENERALES!D28-GENERALES!F28)/GENERALES!D28</f>
        <v>2.2470909670895964E-2</v>
      </c>
      <c r="K28" s="65">
        <f>(+GENERALES!E28-GENERALES!G28)/GENERALES!E28</f>
        <v>1.092522863297685E-2</v>
      </c>
      <c r="L28" s="66">
        <f>(+GENERALES!D28-GENERALES!H28)/GENERALES!D28</f>
        <v>5.025480864877515E-2</v>
      </c>
      <c r="M28" s="88">
        <f>(+GENERALES!E28-GENERALES!I28)/GENERALES!E28</f>
        <v>0.10006921575828473</v>
      </c>
    </row>
    <row r="29" spans="2:13" ht="15.75" thickBot="1" x14ac:dyDescent="0.3">
      <c r="B29" s="123"/>
      <c r="C29" s="79" t="s">
        <v>5</v>
      </c>
      <c r="D29" s="86">
        <f>(+GENERALES!D29-GENERALES!J29)/GENERALES!J29</f>
        <v>8.2884027241175648E-3</v>
      </c>
      <c r="E29" s="73">
        <f>(+GENERALES!E29-GENERALES!K29)/GENERALES!K29</f>
        <v>-1.0115083415193056E-3</v>
      </c>
      <c r="F29" s="74">
        <f>(+GENERALES!F29-GENERALES!L29)/GENERALES!L29</f>
        <v>2.7005919295751912E-2</v>
      </c>
      <c r="G29" s="74">
        <f>(+GENERALES!G29-GENERALES!M29)/GENERALES!M29</f>
        <v>2.314326745638562E-3</v>
      </c>
      <c r="H29" s="75">
        <f>(+GENERALES!H29-GENERALES!N29)/GENERALES!N29</f>
        <v>1.8839522822213201E-2</v>
      </c>
      <c r="I29" s="76">
        <f>(+GENERALES!I29-GENERALES!O29)/GENERALES!O29</f>
        <v>-0.15516666794749517</v>
      </c>
      <c r="J29" s="86">
        <f>(+GENERALES!D29-GENERALES!F29)/GENERALES!D29</f>
        <v>-0.20312257169602357</v>
      </c>
      <c r="K29" s="73">
        <f>(+GENERALES!E29-GENERALES!G29)/GENERALES!E29</f>
        <v>-1.1728115952966857E-2</v>
      </c>
      <c r="L29" s="74">
        <f>(+GENERALES!D29-GENERALES!H29)/GENERALES!D29</f>
        <v>-0.20767924604718549</v>
      </c>
      <c r="M29" s="89">
        <f>(+GENERALES!E29-GENERALES!I29)/GENERALES!E29</f>
        <v>0.81814517684565413</v>
      </c>
    </row>
    <row r="30" spans="2:13" ht="15.75" thickBot="1" x14ac:dyDescent="0.3">
      <c r="D30" s="118" t="s">
        <v>60</v>
      </c>
      <c r="E30" s="119"/>
      <c r="F30" s="119"/>
      <c r="G30" s="119"/>
      <c r="H30" s="119"/>
      <c r="I30" s="120"/>
      <c r="J30" s="118" t="s">
        <v>61</v>
      </c>
      <c r="K30" s="119"/>
      <c r="L30" s="119"/>
      <c r="M30" s="120"/>
    </row>
  </sheetData>
  <mergeCells count="14">
    <mergeCell ref="B7:C7"/>
    <mergeCell ref="B8:B18"/>
    <mergeCell ref="B19:B29"/>
    <mergeCell ref="J2:M2"/>
    <mergeCell ref="D30:I30"/>
    <mergeCell ref="J30:M30"/>
    <mergeCell ref="D2:I2"/>
    <mergeCell ref="B3:B4"/>
    <mergeCell ref="C3:C4"/>
    <mergeCell ref="D3:E3"/>
    <mergeCell ref="F3:G3"/>
    <mergeCell ref="H3:I3"/>
    <mergeCell ref="J3:K3"/>
    <mergeCell ref="L3:M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B2:AS133"/>
  <sheetViews>
    <sheetView zoomScale="10" zoomScaleNormal="10" workbookViewId="0">
      <selection activeCell="CE108" sqref="CE108"/>
    </sheetView>
  </sheetViews>
  <sheetFormatPr baseColWidth="10" defaultRowHeight="15" x14ac:dyDescent="0.25"/>
  <cols>
    <col min="2" max="2" width="16.7109375" customWidth="1"/>
    <col min="3" max="3" width="10.7109375" customWidth="1"/>
    <col min="4" max="4" width="19.42578125" bestFit="1" customWidth="1"/>
    <col min="5" max="16" width="8.7109375" customWidth="1"/>
    <col min="17" max="17" width="32.140625" customWidth="1"/>
  </cols>
  <sheetData>
    <row r="2" spans="2:21" x14ac:dyDescent="0.25">
      <c r="B2" s="127" t="s">
        <v>2</v>
      </c>
      <c r="C2" s="127" t="s">
        <v>3</v>
      </c>
      <c r="D2" s="127" t="s">
        <v>50</v>
      </c>
      <c r="E2" s="117" t="s">
        <v>65</v>
      </c>
      <c r="F2" s="117"/>
      <c r="G2" s="117"/>
      <c r="H2" s="117"/>
      <c r="I2" s="117"/>
      <c r="J2" s="117"/>
      <c r="K2" s="117" t="s">
        <v>66</v>
      </c>
      <c r="L2" s="117"/>
      <c r="M2" s="117"/>
      <c r="N2" s="117"/>
      <c r="O2" s="117"/>
      <c r="P2" s="117"/>
    </row>
    <row r="3" spans="2:21" x14ac:dyDescent="0.25">
      <c r="B3" s="127"/>
      <c r="C3" s="127"/>
      <c r="D3" s="127"/>
      <c r="E3" s="117" t="s">
        <v>67</v>
      </c>
      <c r="F3" s="117"/>
      <c r="G3" s="117" t="s">
        <v>68</v>
      </c>
      <c r="H3" s="117"/>
      <c r="I3" s="117" t="s">
        <v>69</v>
      </c>
      <c r="J3" s="117"/>
      <c r="K3" s="117" t="s">
        <v>67</v>
      </c>
      <c r="L3" s="117"/>
      <c r="M3" s="117" t="s">
        <v>68</v>
      </c>
      <c r="N3" s="117"/>
      <c r="O3" s="117" t="s">
        <v>69</v>
      </c>
      <c r="P3" s="117"/>
    </row>
    <row r="4" spans="2:21" x14ac:dyDescent="0.25">
      <c r="B4" s="105"/>
      <c r="C4" s="105"/>
      <c r="D4" s="106"/>
      <c r="E4" s="104" t="s">
        <v>58</v>
      </c>
      <c r="F4" s="104" t="s">
        <v>59</v>
      </c>
      <c r="G4" s="104" t="s">
        <v>58</v>
      </c>
      <c r="H4" s="104" t="s">
        <v>59</v>
      </c>
      <c r="I4" s="104" t="s">
        <v>58</v>
      </c>
      <c r="J4" s="104" t="s">
        <v>59</v>
      </c>
      <c r="K4" s="104" t="s">
        <v>58</v>
      </c>
      <c r="L4" s="104" t="s">
        <v>59</v>
      </c>
      <c r="M4" s="104" t="s">
        <v>58</v>
      </c>
      <c r="N4" s="104" t="s">
        <v>59</v>
      </c>
      <c r="O4" s="104" t="s">
        <v>58</v>
      </c>
      <c r="P4" s="104" t="s">
        <v>59</v>
      </c>
    </row>
    <row r="5" spans="2:21" ht="15" customHeight="1" x14ac:dyDescent="0.25">
      <c r="B5" s="143" t="s">
        <v>29</v>
      </c>
      <c r="C5" s="146" t="s">
        <v>4</v>
      </c>
      <c r="D5" s="107" t="s">
        <v>70</v>
      </c>
      <c r="E5" s="108" t="s">
        <v>52</v>
      </c>
      <c r="F5" s="109">
        <v>0.84899999999999998</v>
      </c>
      <c r="G5" s="63" t="s">
        <v>52</v>
      </c>
      <c r="H5" s="63">
        <v>0.84899999999999998</v>
      </c>
      <c r="I5" s="64" t="s">
        <v>52</v>
      </c>
      <c r="J5" s="64">
        <v>0.84899999999999998</v>
      </c>
      <c r="K5" s="61" t="s">
        <v>52</v>
      </c>
      <c r="L5" s="109">
        <v>0.84899999999999998</v>
      </c>
      <c r="M5" s="63" t="s">
        <v>52</v>
      </c>
      <c r="N5" s="63">
        <v>0.84899999999999998</v>
      </c>
      <c r="O5" s="64" t="s">
        <v>52</v>
      </c>
      <c r="P5" s="64">
        <v>0.84899999999999998</v>
      </c>
      <c r="R5" s="1"/>
      <c r="S5" s="1"/>
      <c r="T5" s="1"/>
      <c r="U5" s="1"/>
    </row>
    <row r="6" spans="2:21" x14ac:dyDescent="0.25">
      <c r="B6" s="144"/>
      <c r="C6" s="147"/>
      <c r="D6" s="110" t="s">
        <v>70</v>
      </c>
      <c r="E6" s="108" t="s">
        <v>35</v>
      </c>
      <c r="F6" s="109">
        <v>0.85099999999999998</v>
      </c>
      <c r="G6" s="63" t="s">
        <v>35</v>
      </c>
      <c r="H6" s="63">
        <v>0.84899999999999998</v>
      </c>
      <c r="I6" s="64" t="s">
        <v>35</v>
      </c>
      <c r="J6" s="64">
        <v>0.84899999999999998</v>
      </c>
      <c r="K6" s="61" t="s">
        <v>35</v>
      </c>
      <c r="L6" s="109">
        <v>0.84899999999999998</v>
      </c>
      <c r="M6" s="63" t="s">
        <v>35</v>
      </c>
      <c r="N6" s="63">
        <v>0.84899999999999998</v>
      </c>
      <c r="O6" s="64" t="s">
        <v>35</v>
      </c>
      <c r="P6" s="64">
        <v>0.84899999999999998</v>
      </c>
      <c r="R6" s="1"/>
      <c r="S6" s="1"/>
      <c r="T6" s="1"/>
      <c r="U6" s="1"/>
    </row>
    <row r="7" spans="2:21" x14ac:dyDescent="0.25">
      <c r="B7" s="144"/>
      <c r="C7" s="147"/>
      <c r="D7" s="110" t="s">
        <v>70</v>
      </c>
      <c r="E7" s="108" t="s">
        <v>51</v>
      </c>
      <c r="F7" s="109">
        <v>0.84399999999999997</v>
      </c>
      <c r="G7" s="63" t="s">
        <v>51</v>
      </c>
      <c r="H7" s="63">
        <v>0.84899999999999998</v>
      </c>
      <c r="I7" s="64" t="s">
        <v>51</v>
      </c>
      <c r="J7" s="64">
        <v>0.84799999999999998</v>
      </c>
      <c r="K7" s="61" t="s">
        <v>51</v>
      </c>
      <c r="L7" s="109">
        <v>0.84499999999999997</v>
      </c>
      <c r="M7" s="63" t="s">
        <v>51</v>
      </c>
      <c r="N7" s="63">
        <v>0.84899999999999998</v>
      </c>
      <c r="O7" s="64" t="s">
        <v>51</v>
      </c>
      <c r="P7" s="64">
        <v>0.84799999999999998</v>
      </c>
      <c r="R7" s="1"/>
      <c r="S7" s="1"/>
      <c r="T7" s="1"/>
      <c r="U7" s="1"/>
    </row>
    <row r="8" spans="2:21" x14ac:dyDescent="0.25">
      <c r="B8" s="144"/>
      <c r="C8" s="147"/>
      <c r="D8" s="110" t="s">
        <v>70</v>
      </c>
      <c r="E8" s="108" t="s">
        <v>34</v>
      </c>
      <c r="F8" s="109">
        <v>0.83</v>
      </c>
      <c r="G8" s="63" t="s">
        <v>34</v>
      </c>
      <c r="H8" s="63">
        <v>0.84799999999999998</v>
      </c>
      <c r="I8" s="64" t="s">
        <v>34</v>
      </c>
      <c r="J8" s="64">
        <v>0.84899999999999998</v>
      </c>
      <c r="K8" s="61" t="s">
        <v>34</v>
      </c>
      <c r="L8" s="109">
        <v>0.83399999999999996</v>
      </c>
      <c r="M8" s="63" t="s">
        <v>34</v>
      </c>
      <c r="N8" s="63">
        <v>0.84799999999999998</v>
      </c>
      <c r="O8" s="64" t="s">
        <v>34</v>
      </c>
      <c r="P8" s="64">
        <v>0.84899999999999998</v>
      </c>
      <c r="R8" s="1"/>
      <c r="S8" s="1"/>
      <c r="T8" s="1"/>
      <c r="U8" s="1"/>
    </row>
    <row r="9" spans="2:21" x14ac:dyDescent="0.25">
      <c r="B9" s="144"/>
      <c r="C9" s="147"/>
      <c r="D9" s="110" t="s">
        <v>70</v>
      </c>
      <c r="E9" s="108" t="s">
        <v>31</v>
      </c>
      <c r="F9" s="109">
        <v>0.72899999999999998</v>
      </c>
      <c r="G9" s="63" t="s">
        <v>31</v>
      </c>
      <c r="H9" s="63">
        <v>0.74299999999999999</v>
      </c>
      <c r="I9" s="64" t="s">
        <v>31</v>
      </c>
      <c r="J9" s="64">
        <v>0.74</v>
      </c>
      <c r="K9" s="61" t="s">
        <v>31</v>
      </c>
      <c r="L9" s="109">
        <v>0.73499999999999999</v>
      </c>
      <c r="M9" s="63" t="s">
        <v>31</v>
      </c>
      <c r="N9" s="63">
        <v>0.75700000000000001</v>
      </c>
      <c r="O9" s="64" t="s">
        <v>31</v>
      </c>
      <c r="P9" s="64">
        <v>0.74</v>
      </c>
      <c r="R9" s="1"/>
      <c r="S9" s="1"/>
      <c r="T9" s="1"/>
      <c r="U9" s="1"/>
    </row>
    <row r="10" spans="2:21" x14ac:dyDescent="0.25">
      <c r="B10" s="144"/>
      <c r="C10" s="147"/>
      <c r="D10" s="110" t="s">
        <v>70</v>
      </c>
      <c r="E10" s="108" t="s">
        <v>32</v>
      </c>
      <c r="F10" s="109">
        <v>0.77700000000000002</v>
      </c>
      <c r="G10" s="63" t="s">
        <v>32</v>
      </c>
      <c r="H10" s="63">
        <v>0.77700000000000002</v>
      </c>
      <c r="I10" s="64" t="s">
        <v>32</v>
      </c>
      <c r="J10" s="64">
        <v>0.77700000000000002</v>
      </c>
      <c r="K10" s="61" t="s">
        <v>32</v>
      </c>
      <c r="L10" s="109">
        <v>0.77700000000000002</v>
      </c>
      <c r="M10" s="63" t="s">
        <v>32</v>
      </c>
      <c r="N10" s="63">
        <v>0.77700000000000002</v>
      </c>
      <c r="O10" s="64" t="s">
        <v>32</v>
      </c>
      <c r="P10" s="64">
        <v>0.77700000000000002</v>
      </c>
      <c r="R10" s="1"/>
      <c r="S10" s="1"/>
      <c r="T10" s="1"/>
      <c r="U10" s="1"/>
    </row>
    <row r="11" spans="2:21" x14ac:dyDescent="0.25">
      <c r="B11" s="144"/>
      <c r="C11" s="147"/>
      <c r="D11" s="110" t="s">
        <v>70</v>
      </c>
      <c r="E11" s="108" t="s">
        <v>30</v>
      </c>
      <c r="F11" s="109">
        <v>0.77700000000000002</v>
      </c>
      <c r="G11" s="63" t="s">
        <v>30</v>
      </c>
      <c r="H11" s="63">
        <v>0.77800000000000002</v>
      </c>
      <c r="I11" s="64" t="s">
        <v>30</v>
      </c>
      <c r="J11" s="64">
        <v>0.77800000000000002</v>
      </c>
      <c r="K11" s="61" t="s">
        <v>30</v>
      </c>
      <c r="L11" s="109">
        <v>0.77800000000000002</v>
      </c>
      <c r="M11" s="63" t="s">
        <v>30</v>
      </c>
      <c r="N11" s="63">
        <v>0.78</v>
      </c>
      <c r="O11" s="64" t="s">
        <v>30</v>
      </c>
      <c r="P11" s="64">
        <v>0.77700000000000002</v>
      </c>
      <c r="R11" s="1"/>
      <c r="S11" s="1"/>
      <c r="T11" s="1"/>
      <c r="U11" s="1"/>
    </row>
    <row r="12" spans="2:21" x14ac:dyDescent="0.25">
      <c r="B12" s="144"/>
      <c r="C12" s="147"/>
      <c r="D12" s="110" t="s">
        <v>70</v>
      </c>
      <c r="E12" s="108" t="s">
        <v>33</v>
      </c>
      <c r="F12" s="109">
        <v>0.72899999999999998</v>
      </c>
      <c r="G12" s="63" t="s">
        <v>33</v>
      </c>
      <c r="H12" s="63">
        <v>0.74199999999999999</v>
      </c>
      <c r="I12" s="64" t="s">
        <v>33</v>
      </c>
      <c r="J12" s="64">
        <v>0.73899999999999999</v>
      </c>
      <c r="K12" s="61" t="s">
        <v>33</v>
      </c>
      <c r="L12" s="109">
        <v>0.73499999999999999</v>
      </c>
      <c r="M12" s="63" t="s">
        <v>33</v>
      </c>
      <c r="N12" s="63">
        <v>0.75600000000000001</v>
      </c>
      <c r="O12" s="64" t="s">
        <v>33</v>
      </c>
      <c r="P12" s="64">
        <v>0.74</v>
      </c>
      <c r="R12" s="1"/>
      <c r="S12" s="1"/>
      <c r="T12" s="1"/>
      <c r="U12" s="1"/>
    </row>
    <row r="13" spans="2:21" x14ac:dyDescent="0.25">
      <c r="B13" s="144"/>
      <c r="C13" s="147"/>
      <c r="D13" s="110" t="s">
        <v>70</v>
      </c>
      <c r="E13" s="108" t="s">
        <v>42</v>
      </c>
      <c r="F13" s="109">
        <v>0.79800000000000004</v>
      </c>
      <c r="G13" s="63" t="s">
        <v>42</v>
      </c>
      <c r="H13" s="63">
        <v>0.79900000000000004</v>
      </c>
      <c r="I13" s="64" t="s">
        <v>42</v>
      </c>
      <c r="J13" s="64">
        <v>0.79900000000000004</v>
      </c>
      <c r="K13" s="61" t="s">
        <v>42</v>
      </c>
      <c r="L13" s="109">
        <v>0.79800000000000004</v>
      </c>
      <c r="M13" s="63" t="s">
        <v>42</v>
      </c>
      <c r="N13" s="63">
        <v>0.79900000000000004</v>
      </c>
      <c r="O13" s="64" t="s">
        <v>42</v>
      </c>
      <c r="P13" s="64">
        <v>0.79900000000000004</v>
      </c>
      <c r="R13" s="1"/>
      <c r="S13" s="1"/>
      <c r="T13" s="1"/>
      <c r="U13" s="1"/>
    </row>
    <row r="14" spans="2:21" x14ac:dyDescent="0.25">
      <c r="B14" s="144"/>
      <c r="C14" s="147"/>
      <c r="D14" s="110" t="s">
        <v>70</v>
      </c>
      <c r="E14" s="108" t="s">
        <v>37</v>
      </c>
      <c r="F14" s="109">
        <v>0.79800000000000004</v>
      </c>
      <c r="G14" s="63" t="s">
        <v>37</v>
      </c>
      <c r="H14" s="63">
        <v>0.79800000000000004</v>
      </c>
      <c r="I14" s="64" t="s">
        <v>37</v>
      </c>
      <c r="J14" s="64">
        <v>0.79900000000000004</v>
      </c>
      <c r="K14" s="61" t="s">
        <v>37</v>
      </c>
      <c r="L14" s="109">
        <v>0.79800000000000004</v>
      </c>
      <c r="M14" s="63" t="s">
        <v>37</v>
      </c>
      <c r="N14" s="63">
        <v>0.79900000000000004</v>
      </c>
      <c r="O14" s="64" t="s">
        <v>37</v>
      </c>
      <c r="P14" s="64">
        <v>0.79900000000000004</v>
      </c>
      <c r="R14" s="1"/>
      <c r="S14" s="1"/>
      <c r="T14" s="1"/>
      <c r="U14" s="1"/>
    </row>
    <row r="15" spans="2:21" x14ac:dyDescent="0.25">
      <c r="B15" s="144"/>
      <c r="C15" s="147"/>
      <c r="D15" s="110" t="s">
        <v>70</v>
      </c>
      <c r="E15" s="108" t="s">
        <v>36</v>
      </c>
      <c r="F15" s="109">
        <v>0.72599999999999998</v>
      </c>
      <c r="G15" s="63" t="s">
        <v>36</v>
      </c>
      <c r="H15" s="63">
        <v>0.72799999999999998</v>
      </c>
      <c r="I15" s="64" t="s">
        <v>36</v>
      </c>
      <c r="J15" s="64">
        <v>0.72899999999999998</v>
      </c>
      <c r="K15" s="61" t="s">
        <v>36</v>
      </c>
      <c r="L15" s="109">
        <v>0.72699999999999998</v>
      </c>
      <c r="M15" s="63" t="s">
        <v>36</v>
      </c>
      <c r="N15" s="63">
        <v>0.72799999999999998</v>
      </c>
      <c r="O15" s="64" t="s">
        <v>36</v>
      </c>
      <c r="P15" s="64">
        <v>0.72899999999999998</v>
      </c>
      <c r="R15" s="1"/>
      <c r="S15" s="1"/>
      <c r="T15" s="1"/>
      <c r="U15" s="1"/>
    </row>
    <row r="16" spans="2:21" x14ac:dyDescent="0.25">
      <c r="B16" s="144"/>
      <c r="C16" s="147"/>
      <c r="D16" s="110" t="s">
        <v>70</v>
      </c>
      <c r="E16" s="108" t="s">
        <v>47</v>
      </c>
      <c r="F16" s="109">
        <v>0.73399999999999999</v>
      </c>
      <c r="G16" s="63" t="s">
        <v>47</v>
      </c>
      <c r="H16" s="63">
        <v>0.73199999999999998</v>
      </c>
      <c r="I16" s="64" t="s">
        <v>47</v>
      </c>
      <c r="J16" s="64">
        <v>0.72299999999999998</v>
      </c>
      <c r="K16" s="61" t="s">
        <v>47</v>
      </c>
      <c r="L16" s="109">
        <v>0.73399999999999999</v>
      </c>
      <c r="M16" s="63" t="s">
        <v>47</v>
      </c>
      <c r="N16" s="63">
        <v>0.73</v>
      </c>
      <c r="O16" s="64" t="s">
        <v>47</v>
      </c>
      <c r="P16" s="64">
        <v>0.70599999999999996</v>
      </c>
      <c r="R16" s="1"/>
      <c r="S16" s="1"/>
      <c r="T16" s="1"/>
      <c r="U16" s="1"/>
    </row>
    <row r="17" spans="2:21" x14ac:dyDescent="0.25">
      <c r="B17" s="144"/>
      <c r="C17" s="147"/>
      <c r="D17" s="110" t="s">
        <v>70</v>
      </c>
      <c r="E17" s="108" t="s">
        <v>71</v>
      </c>
      <c r="F17" s="109">
        <v>0.83499999999999996</v>
      </c>
      <c r="G17" s="63" t="s">
        <v>71</v>
      </c>
      <c r="H17" s="63">
        <v>0.78600000000000003</v>
      </c>
      <c r="I17" s="64" t="s">
        <v>71</v>
      </c>
      <c r="J17" s="64">
        <v>0.77700000000000002</v>
      </c>
      <c r="K17" s="61" t="s">
        <v>71</v>
      </c>
      <c r="L17" s="109">
        <v>0.85899999999999999</v>
      </c>
      <c r="M17" s="63" t="s">
        <v>71</v>
      </c>
      <c r="N17" s="63">
        <v>0.77100000000000002</v>
      </c>
      <c r="O17" s="64" t="s">
        <v>71</v>
      </c>
      <c r="P17" s="64">
        <v>0.77600000000000002</v>
      </c>
      <c r="R17" s="1"/>
      <c r="S17" s="1"/>
      <c r="T17" s="1"/>
      <c r="U17" s="1"/>
    </row>
    <row r="18" spans="2:21" x14ac:dyDescent="0.25">
      <c r="B18" s="144"/>
      <c r="C18" s="147"/>
      <c r="D18" s="110" t="s">
        <v>70</v>
      </c>
      <c r="E18" s="108" t="s">
        <v>55</v>
      </c>
      <c r="F18" s="109">
        <v>0.71199999999999997</v>
      </c>
      <c r="G18" s="63" t="s">
        <v>55</v>
      </c>
      <c r="H18" s="63">
        <v>0.76300000000000001</v>
      </c>
      <c r="I18" s="64" t="s">
        <v>55</v>
      </c>
      <c r="J18" s="64">
        <v>0.77800000000000002</v>
      </c>
      <c r="K18" s="61" t="s">
        <v>55</v>
      </c>
      <c r="L18" s="109">
        <v>0.72199999999999998</v>
      </c>
      <c r="M18" s="63" t="s">
        <v>55</v>
      </c>
      <c r="N18" s="63">
        <v>0.75600000000000001</v>
      </c>
      <c r="O18" s="64" t="s">
        <v>55</v>
      </c>
      <c r="P18" s="64">
        <v>0.77800000000000002</v>
      </c>
      <c r="R18" s="1"/>
      <c r="S18" s="1"/>
      <c r="T18" s="1"/>
      <c r="U18" s="1"/>
    </row>
    <row r="19" spans="2:21" x14ac:dyDescent="0.25">
      <c r="B19" s="144"/>
      <c r="C19" s="147"/>
      <c r="D19" s="110" t="s">
        <v>70</v>
      </c>
      <c r="E19" s="108" t="s">
        <v>41</v>
      </c>
      <c r="F19" s="109">
        <v>0.79900000000000004</v>
      </c>
      <c r="G19" s="63" t="s">
        <v>41</v>
      </c>
      <c r="H19" s="63">
        <v>0.79900000000000004</v>
      </c>
      <c r="I19" s="64" t="s">
        <v>41</v>
      </c>
      <c r="J19" s="64">
        <v>0.79900000000000004</v>
      </c>
      <c r="K19" s="61" t="s">
        <v>41</v>
      </c>
      <c r="L19" s="109">
        <v>0.79900000000000004</v>
      </c>
      <c r="M19" s="63" t="s">
        <v>41</v>
      </c>
      <c r="N19" s="63">
        <v>0.79900000000000004</v>
      </c>
      <c r="O19" s="64" t="s">
        <v>41</v>
      </c>
      <c r="P19" s="64">
        <v>0.79900000000000004</v>
      </c>
      <c r="R19" s="1"/>
      <c r="S19" s="1"/>
      <c r="T19" s="1"/>
      <c r="U19" s="1"/>
    </row>
    <row r="20" spans="2:21" x14ac:dyDescent="0.25">
      <c r="B20" s="144"/>
      <c r="C20" s="147"/>
      <c r="D20" s="110" t="s">
        <v>70</v>
      </c>
      <c r="E20" s="108" t="s">
        <v>44</v>
      </c>
      <c r="F20" s="109">
        <v>0.8</v>
      </c>
      <c r="G20" s="63" t="s">
        <v>44</v>
      </c>
      <c r="H20" s="63">
        <v>0.79900000000000004</v>
      </c>
      <c r="I20" s="64" t="s">
        <v>44</v>
      </c>
      <c r="J20" s="64">
        <v>0.79800000000000004</v>
      </c>
      <c r="K20" s="61" t="s">
        <v>44</v>
      </c>
      <c r="L20" s="109">
        <v>0.8</v>
      </c>
      <c r="M20" s="63" t="s">
        <v>44</v>
      </c>
      <c r="N20" s="63">
        <v>0.79900000000000004</v>
      </c>
      <c r="O20" s="64" t="s">
        <v>44</v>
      </c>
      <c r="P20" s="64">
        <v>0.79700000000000004</v>
      </c>
      <c r="R20" s="1"/>
      <c r="S20" s="1"/>
      <c r="T20" s="1"/>
      <c r="U20" s="1"/>
    </row>
    <row r="21" spans="2:21" x14ac:dyDescent="0.25">
      <c r="B21" s="144"/>
      <c r="C21" s="147"/>
      <c r="D21" s="110" t="s">
        <v>72</v>
      </c>
      <c r="E21" s="108" t="s">
        <v>46</v>
      </c>
      <c r="F21" s="109">
        <v>0.51600000000000001</v>
      </c>
      <c r="G21" s="63" t="s">
        <v>46</v>
      </c>
      <c r="H21" s="63">
        <v>0.53500000000000003</v>
      </c>
      <c r="I21" s="64" t="s">
        <v>46</v>
      </c>
      <c r="J21" s="64">
        <v>0.55100000000000005</v>
      </c>
      <c r="K21" s="61" t="s">
        <v>46</v>
      </c>
      <c r="L21" s="109">
        <v>0.54200000000000004</v>
      </c>
      <c r="M21" s="63" t="s">
        <v>46</v>
      </c>
      <c r="N21" s="63">
        <v>0.53400000000000003</v>
      </c>
      <c r="O21" s="64" t="s">
        <v>46</v>
      </c>
      <c r="P21" s="64">
        <v>0.52200000000000002</v>
      </c>
      <c r="R21" s="1"/>
      <c r="S21" s="1"/>
      <c r="T21" s="1"/>
      <c r="U21" s="1"/>
    </row>
    <row r="22" spans="2:21" x14ac:dyDescent="0.25">
      <c r="B22" s="144"/>
      <c r="C22" s="147"/>
      <c r="D22" s="110" t="s">
        <v>72</v>
      </c>
      <c r="E22" s="108" t="s">
        <v>45</v>
      </c>
      <c r="F22" s="109">
        <v>0.52900000000000003</v>
      </c>
      <c r="G22" s="63" t="s">
        <v>45</v>
      </c>
      <c r="H22" s="63">
        <v>0.53800000000000003</v>
      </c>
      <c r="I22" s="64" t="s">
        <v>45</v>
      </c>
      <c r="J22" s="64">
        <v>0.57199999999999995</v>
      </c>
      <c r="K22" s="61" t="s">
        <v>45</v>
      </c>
      <c r="L22" s="109">
        <v>0.54</v>
      </c>
      <c r="M22" s="63" t="s">
        <v>45</v>
      </c>
      <c r="N22" s="63">
        <v>0.54400000000000004</v>
      </c>
      <c r="O22" s="64" t="s">
        <v>45</v>
      </c>
      <c r="P22" s="64">
        <v>0.54800000000000004</v>
      </c>
      <c r="R22" s="1"/>
      <c r="S22" s="1"/>
      <c r="T22" s="1"/>
      <c r="U22" s="1"/>
    </row>
    <row r="23" spans="2:21" x14ac:dyDescent="0.25">
      <c r="B23" s="144"/>
      <c r="C23" s="147"/>
      <c r="D23" s="110" t="s">
        <v>72</v>
      </c>
      <c r="E23" s="108" t="s">
        <v>53</v>
      </c>
      <c r="F23" s="109">
        <v>0.56200000000000006</v>
      </c>
      <c r="G23" s="63" t="s">
        <v>53</v>
      </c>
      <c r="H23" s="63">
        <v>0.59399999999999997</v>
      </c>
      <c r="I23" s="64" t="s">
        <v>53</v>
      </c>
      <c r="J23" s="64">
        <v>0.60299999999999998</v>
      </c>
      <c r="K23" s="61" t="s">
        <v>53</v>
      </c>
      <c r="L23" s="109">
        <v>0.57799999999999996</v>
      </c>
      <c r="M23" s="63" t="s">
        <v>53</v>
      </c>
      <c r="N23" s="63">
        <v>0.61099999999999999</v>
      </c>
      <c r="O23" s="64" t="s">
        <v>53</v>
      </c>
      <c r="P23" s="64">
        <v>0.59499999999999997</v>
      </c>
      <c r="R23" s="1"/>
      <c r="S23" s="1"/>
      <c r="T23" s="1"/>
      <c r="U23" s="1"/>
    </row>
    <row r="24" spans="2:21" x14ac:dyDescent="0.25">
      <c r="B24" s="144"/>
      <c r="C24" s="147"/>
      <c r="D24" s="110" t="s">
        <v>72</v>
      </c>
      <c r="E24" s="108" t="s">
        <v>54</v>
      </c>
      <c r="F24" s="109">
        <v>0.52700000000000002</v>
      </c>
      <c r="G24" s="63" t="s">
        <v>54</v>
      </c>
      <c r="H24" s="63">
        <v>0.53600000000000003</v>
      </c>
      <c r="I24" s="64" t="s">
        <v>54</v>
      </c>
      <c r="J24" s="64">
        <v>0.76900000000000002</v>
      </c>
      <c r="K24" s="61" t="s">
        <v>54</v>
      </c>
      <c r="L24" s="109">
        <v>0.56000000000000005</v>
      </c>
      <c r="M24" s="63" t="s">
        <v>54</v>
      </c>
      <c r="N24" s="63">
        <v>0.55800000000000005</v>
      </c>
      <c r="O24" s="64" t="s">
        <v>54</v>
      </c>
      <c r="P24" s="64">
        <v>0.65900000000000003</v>
      </c>
      <c r="R24" s="1"/>
      <c r="S24" s="1"/>
      <c r="T24" s="1"/>
      <c r="U24" s="1"/>
    </row>
    <row r="25" spans="2:21" x14ac:dyDescent="0.25">
      <c r="B25" s="144"/>
      <c r="C25" s="147"/>
      <c r="D25" s="110" t="s">
        <v>72</v>
      </c>
      <c r="E25" s="108" t="s">
        <v>39</v>
      </c>
      <c r="F25" s="109">
        <v>0.64600000000000002</v>
      </c>
      <c r="G25" s="63" t="s">
        <v>39</v>
      </c>
      <c r="H25" s="63">
        <v>0.67200000000000004</v>
      </c>
      <c r="I25" s="64" t="s">
        <v>39</v>
      </c>
      <c r="J25" s="64">
        <v>0.66700000000000004</v>
      </c>
      <c r="K25" s="61" t="s">
        <v>39</v>
      </c>
      <c r="L25" s="109">
        <v>0.66200000000000003</v>
      </c>
      <c r="M25" s="63" t="s">
        <v>39</v>
      </c>
      <c r="N25" s="63">
        <v>0.68400000000000005</v>
      </c>
      <c r="O25" s="64" t="s">
        <v>39</v>
      </c>
      <c r="P25" s="64">
        <v>0.66600000000000004</v>
      </c>
      <c r="R25" s="1"/>
      <c r="S25" s="1"/>
      <c r="T25" s="1"/>
      <c r="U25" s="1"/>
    </row>
    <row r="26" spans="2:21" x14ac:dyDescent="0.25">
      <c r="B26" s="144"/>
      <c r="C26" s="147"/>
      <c r="D26" s="110" t="s">
        <v>72</v>
      </c>
      <c r="E26" s="108" t="s">
        <v>38</v>
      </c>
      <c r="F26" s="109">
        <v>0.66800000000000004</v>
      </c>
      <c r="G26" s="63" t="s">
        <v>38</v>
      </c>
      <c r="H26" s="63">
        <v>0.69599999999999995</v>
      </c>
      <c r="I26" s="64" t="s">
        <v>38</v>
      </c>
      <c r="J26" s="64">
        <v>0.69599999999999995</v>
      </c>
      <c r="K26" s="61" t="s">
        <v>38</v>
      </c>
      <c r="L26" s="109">
        <v>0.69599999999999995</v>
      </c>
      <c r="M26" s="63" t="s">
        <v>38</v>
      </c>
      <c r="N26" s="63">
        <v>0.71099999999999997</v>
      </c>
      <c r="O26" s="64" t="s">
        <v>38</v>
      </c>
      <c r="P26" s="64">
        <v>0.70199999999999996</v>
      </c>
      <c r="R26" s="1"/>
      <c r="S26" s="1"/>
      <c r="T26" s="1"/>
      <c r="U26" s="1"/>
    </row>
    <row r="27" spans="2:21" x14ac:dyDescent="0.25">
      <c r="B27" s="144"/>
      <c r="C27" s="147"/>
      <c r="D27" s="110" t="s">
        <v>72</v>
      </c>
      <c r="E27" s="111" t="s">
        <v>40</v>
      </c>
      <c r="F27" s="109">
        <v>0.65100000000000002</v>
      </c>
      <c r="G27" s="63" t="s">
        <v>40</v>
      </c>
      <c r="H27" s="63">
        <v>0.68100000000000005</v>
      </c>
      <c r="I27" s="64" t="s">
        <v>40</v>
      </c>
      <c r="J27" s="64">
        <v>0.68400000000000005</v>
      </c>
      <c r="K27" s="62" t="s">
        <v>40</v>
      </c>
      <c r="L27" s="109">
        <v>0.69</v>
      </c>
      <c r="M27" s="63" t="s">
        <v>40</v>
      </c>
      <c r="N27" s="63">
        <v>0.69899999999999995</v>
      </c>
      <c r="O27" s="64" t="s">
        <v>40</v>
      </c>
      <c r="P27" s="64">
        <v>0.69799999999999995</v>
      </c>
    </row>
    <row r="28" spans="2:21" x14ac:dyDescent="0.25">
      <c r="B28" s="144"/>
      <c r="C28" s="147"/>
      <c r="D28" s="110" t="s">
        <v>72</v>
      </c>
      <c r="E28" s="111" t="s">
        <v>48</v>
      </c>
      <c r="F28" s="109">
        <v>0.59099999999999997</v>
      </c>
      <c r="G28" s="63" t="s">
        <v>48</v>
      </c>
      <c r="H28" s="63">
        <v>0.623</v>
      </c>
      <c r="I28" s="64" t="s">
        <v>48</v>
      </c>
      <c r="J28" s="64">
        <v>0.65800000000000003</v>
      </c>
      <c r="K28" s="62" t="s">
        <v>48</v>
      </c>
      <c r="L28" s="109">
        <v>0.64300000000000002</v>
      </c>
      <c r="M28" s="63" t="s">
        <v>48</v>
      </c>
      <c r="N28" s="63">
        <v>0.64400000000000002</v>
      </c>
      <c r="O28" s="64" t="s">
        <v>48</v>
      </c>
      <c r="P28" s="64">
        <v>0.66200000000000003</v>
      </c>
    </row>
    <row r="29" spans="2:21" x14ac:dyDescent="0.25">
      <c r="B29" s="144"/>
      <c r="C29" s="147"/>
      <c r="D29" s="110" t="s">
        <v>72</v>
      </c>
      <c r="E29" s="111" t="s">
        <v>43</v>
      </c>
      <c r="F29" s="109">
        <v>0.60899999999999999</v>
      </c>
      <c r="G29" s="63" t="s">
        <v>43</v>
      </c>
      <c r="H29" s="63">
        <v>0.63100000000000001</v>
      </c>
      <c r="I29" s="64" t="s">
        <v>43</v>
      </c>
      <c r="J29" s="64">
        <v>0.65500000000000003</v>
      </c>
      <c r="K29" s="62" t="s">
        <v>43</v>
      </c>
      <c r="L29" s="109">
        <v>0.60299999999999998</v>
      </c>
      <c r="M29" s="63" t="s">
        <v>43</v>
      </c>
      <c r="N29" s="63">
        <v>0.63100000000000001</v>
      </c>
      <c r="O29" s="64" t="s">
        <v>43</v>
      </c>
      <c r="P29" s="64">
        <v>0.628</v>
      </c>
    </row>
    <row r="30" spans="2:21" x14ac:dyDescent="0.25">
      <c r="B30" s="144"/>
      <c r="C30" s="147"/>
      <c r="D30" s="110" t="s">
        <v>72</v>
      </c>
      <c r="E30" s="111" t="s">
        <v>49</v>
      </c>
      <c r="F30" s="109">
        <v>0.623</v>
      </c>
      <c r="G30" s="63" t="s">
        <v>49</v>
      </c>
      <c r="H30" s="63">
        <v>0.64400000000000002</v>
      </c>
      <c r="I30" s="64" t="s">
        <v>49</v>
      </c>
      <c r="J30" s="64">
        <v>0.66900000000000004</v>
      </c>
      <c r="K30" s="62" t="s">
        <v>49</v>
      </c>
      <c r="L30" s="109">
        <v>0.623</v>
      </c>
      <c r="M30" s="63" t="s">
        <v>49</v>
      </c>
      <c r="N30" s="63">
        <v>0.64700000000000002</v>
      </c>
      <c r="O30" s="64" t="s">
        <v>49</v>
      </c>
      <c r="P30" s="64">
        <v>0.64800000000000002</v>
      </c>
    </row>
    <row r="31" spans="2:21" x14ac:dyDescent="0.25">
      <c r="B31" s="144"/>
      <c r="C31" s="147"/>
      <c r="D31" s="110" t="s">
        <v>72</v>
      </c>
      <c r="E31" s="111" t="s">
        <v>73</v>
      </c>
      <c r="F31" s="109">
        <v>0.60399999999999998</v>
      </c>
      <c r="G31" s="63" t="s">
        <v>73</v>
      </c>
      <c r="H31" s="63">
        <v>0.625</v>
      </c>
      <c r="I31" s="64" t="s">
        <v>73</v>
      </c>
      <c r="J31" s="64">
        <v>0.65400000000000003</v>
      </c>
      <c r="K31" s="62" t="s">
        <v>73</v>
      </c>
      <c r="L31" s="109">
        <v>0.621</v>
      </c>
      <c r="M31" s="63" t="s">
        <v>73</v>
      </c>
      <c r="N31" s="63">
        <v>0.63</v>
      </c>
      <c r="O31" s="64" t="s">
        <v>73</v>
      </c>
      <c r="P31" s="64">
        <v>0.63600000000000001</v>
      </c>
    </row>
    <row r="32" spans="2:21" x14ac:dyDescent="0.25">
      <c r="B32" s="144"/>
      <c r="C32" s="147"/>
      <c r="D32" s="110" t="s">
        <v>72</v>
      </c>
      <c r="E32" s="111" t="s">
        <v>74</v>
      </c>
      <c r="F32" s="109">
        <v>0.56499999999999995</v>
      </c>
      <c r="G32" s="63" t="s">
        <v>74</v>
      </c>
      <c r="H32" s="63">
        <v>0.57399999999999995</v>
      </c>
      <c r="I32" s="64" t="s">
        <v>74</v>
      </c>
      <c r="J32" s="64">
        <v>0.60599999999999998</v>
      </c>
      <c r="K32" s="62" t="s">
        <v>74</v>
      </c>
      <c r="L32" s="109">
        <v>0.60099999999999998</v>
      </c>
      <c r="M32" s="63" t="s">
        <v>74</v>
      </c>
      <c r="N32" s="63">
        <v>0.59499999999999997</v>
      </c>
      <c r="O32" s="64" t="s">
        <v>74</v>
      </c>
      <c r="P32" s="64">
        <v>0.59599999999999997</v>
      </c>
    </row>
    <row r="33" spans="2:45" x14ac:dyDescent="0.25">
      <c r="B33" s="144"/>
      <c r="C33" s="147"/>
      <c r="D33" s="110" t="s">
        <v>72</v>
      </c>
      <c r="E33" s="111" t="s">
        <v>57</v>
      </c>
      <c r="F33" s="109">
        <v>0.60199999999999998</v>
      </c>
      <c r="G33" s="63" t="s">
        <v>57</v>
      </c>
      <c r="H33" s="63">
        <v>0.63100000000000001</v>
      </c>
      <c r="I33" s="64" t="s">
        <v>57</v>
      </c>
      <c r="J33" s="64">
        <v>0.64</v>
      </c>
      <c r="K33" s="62" t="s">
        <v>57</v>
      </c>
      <c r="L33" s="109">
        <v>0.61399999999999999</v>
      </c>
      <c r="M33" s="63" t="s">
        <v>57</v>
      </c>
      <c r="N33" s="63">
        <v>0.64600000000000002</v>
      </c>
      <c r="O33" s="64" t="s">
        <v>57</v>
      </c>
      <c r="P33" s="64">
        <v>0.63100000000000001</v>
      </c>
    </row>
    <row r="34" spans="2:45" x14ac:dyDescent="0.25">
      <c r="B34" s="144"/>
      <c r="C34" s="147"/>
      <c r="D34" s="110" t="s">
        <v>72</v>
      </c>
      <c r="E34" s="111" t="s">
        <v>75</v>
      </c>
      <c r="F34" s="109">
        <v>0.622</v>
      </c>
      <c r="G34" s="63" t="s">
        <v>75</v>
      </c>
      <c r="H34" s="63">
        <v>0.64500000000000002</v>
      </c>
      <c r="I34" s="64" t="s">
        <v>75</v>
      </c>
      <c r="J34" s="64">
        <v>0.65600000000000003</v>
      </c>
      <c r="K34" s="62" t="s">
        <v>75</v>
      </c>
      <c r="L34" s="109">
        <v>0.63</v>
      </c>
      <c r="M34" s="63" t="s">
        <v>75</v>
      </c>
      <c r="N34" s="63">
        <v>0.65900000000000003</v>
      </c>
      <c r="O34" s="64" t="s">
        <v>75</v>
      </c>
      <c r="P34" s="64">
        <v>0.64500000000000002</v>
      </c>
    </row>
    <row r="35" spans="2:45" x14ac:dyDescent="0.25">
      <c r="B35" s="144"/>
      <c r="C35" s="147"/>
      <c r="D35" s="110" t="s">
        <v>72</v>
      </c>
      <c r="E35" s="111" t="s">
        <v>56</v>
      </c>
      <c r="F35" s="109">
        <v>0.63800000000000001</v>
      </c>
      <c r="G35" s="63" t="s">
        <v>56</v>
      </c>
      <c r="H35" s="63">
        <v>0.66</v>
      </c>
      <c r="I35" s="64" t="s">
        <v>56</v>
      </c>
      <c r="J35" s="64">
        <v>0.67100000000000004</v>
      </c>
      <c r="K35" s="62" t="s">
        <v>56</v>
      </c>
      <c r="L35" s="109">
        <v>0.64200000000000002</v>
      </c>
      <c r="M35" s="63" t="s">
        <v>56</v>
      </c>
      <c r="N35" s="63">
        <v>0.67300000000000004</v>
      </c>
      <c r="O35" s="64" t="s">
        <v>56</v>
      </c>
      <c r="P35" s="64">
        <v>0.65600000000000003</v>
      </c>
    </row>
    <row r="36" spans="2:45" x14ac:dyDescent="0.25">
      <c r="B36" s="144"/>
      <c r="C36" s="147"/>
      <c r="D36" s="110" t="s">
        <v>72</v>
      </c>
      <c r="E36" s="111" t="s">
        <v>76</v>
      </c>
      <c r="F36" s="109">
        <v>0.63</v>
      </c>
      <c r="G36" s="63" t="s">
        <v>76</v>
      </c>
      <c r="H36" s="63">
        <v>0.65</v>
      </c>
      <c r="I36" s="64" t="s">
        <v>76</v>
      </c>
      <c r="J36" s="64">
        <v>0.66</v>
      </c>
      <c r="K36" s="62" t="s">
        <v>76</v>
      </c>
      <c r="L36" s="109">
        <v>0.63</v>
      </c>
      <c r="M36" s="63" t="s">
        <v>76</v>
      </c>
      <c r="N36" s="63">
        <v>0.66300000000000003</v>
      </c>
      <c r="O36" s="64" t="s">
        <v>76</v>
      </c>
      <c r="P36" s="64">
        <v>0.64300000000000002</v>
      </c>
    </row>
    <row r="37" spans="2:45" x14ac:dyDescent="0.25">
      <c r="B37" s="144"/>
      <c r="C37" s="147"/>
      <c r="D37" s="110" t="s">
        <v>72</v>
      </c>
      <c r="E37" s="111" t="s">
        <v>77</v>
      </c>
      <c r="F37" s="109">
        <v>0.59599999999999997</v>
      </c>
      <c r="G37" s="63" t="s">
        <v>77</v>
      </c>
      <c r="H37" s="63">
        <v>0.58799999999999997</v>
      </c>
      <c r="I37" s="64" t="s">
        <v>77</v>
      </c>
      <c r="J37" s="64">
        <v>0.63100000000000001</v>
      </c>
      <c r="K37" s="62" t="s">
        <v>77</v>
      </c>
      <c r="L37" s="109">
        <v>0.60599999999999998</v>
      </c>
      <c r="M37" s="63" t="s">
        <v>77</v>
      </c>
      <c r="N37" s="63">
        <v>0.59799999999999998</v>
      </c>
      <c r="O37" s="64" t="s">
        <v>77</v>
      </c>
      <c r="P37" s="64">
        <v>0.61799999999999999</v>
      </c>
    </row>
    <row r="38" spans="2:45" x14ac:dyDescent="0.25">
      <c r="B38" s="144"/>
      <c r="C38" s="147"/>
      <c r="D38" s="110" t="s">
        <v>72</v>
      </c>
      <c r="E38" s="111" t="s">
        <v>78</v>
      </c>
      <c r="F38" s="109">
        <v>0.77900000000000003</v>
      </c>
      <c r="G38" s="63" t="s">
        <v>78</v>
      </c>
      <c r="H38" s="63">
        <v>0.75700000000000001</v>
      </c>
      <c r="I38" s="64" t="s">
        <v>79</v>
      </c>
      <c r="J38" s="64">
        <v>0.60499999999999998</v>
      </c>
      <c r="K38" s="62" t="s">
        <v>78</v>
      </c>
      <c r="L38" s="109">
        <v>0.74</v>
      </c>
      <c r="M38" s="63" t="s">
        <v>78</v>
      </c>
      <c r="N38" s="63">
        <v>0.63800000000000001</v>
      </c>
      <c r="O38" s="64" t="s">
        <v>79</v>
      </c>
      <c r="P38" s="64">
        <v>0.60399999999999998</v>
      </c>
    </row>
    <row r="39" spans="2:45" x14ac:dyDescent="0.25">
      <c r="B39" s="144"/>
      <c r="C39" s="147"/>
      <c r="D39" s="110" t="s">
        <v>72</v>
      </c>
      <c r="E39" s="111" t="s">
        <v>79</v>
      </c>
      <c r="F39" s="109">
        <v>0.64300000000000002</v>
      </c>
      <c r="G39" s="63" t="s">
        <v>79</v>
      </c>
      <c r="H39" s="63">
        <v>0.56499999999999995</v>
      </c>
      <c r="I39" s="64" t="s">
        <v>80</v>
      </c>
      <c r="J39" s="64">
        <v>0.61099999999999999</v>
      </c>
      <c r="K39" s="62" t="s">
        <v>79</v>
      </c>
      <c r="L39" s="109">
        <v>0.628</v>
      </c>
      <c r="M39" s="63" t="s">
        <v>79</v>
      </c>
      <c r="N39" s="63">
        <v>0.55000000000000004</v>
      </c>
      <c r="O39" s="64" t="s">
        <v>80</v>
      </c>
      <c r="P39" s="64">
        <v>0.59899999999999998</v>
      </c>
    </row>
    <row r="40" spans="2:45" x14ac:dyDescent="0.25">
      <c r="B40" s="144"/>
      <c r="C40" s="147"/>
      <c r="D40" s="110" t="s">
        <v>72</v>
      </c>
      <c r="E40" s="111" t="s">
        <v>80</v>
      </c>
      <c r="F40" s="109">
        <v>0.58899999999999997</v>
      </c>
      <c r="G40" s="63" t="s">
        <v>80</v>
      </c>
      <c r="H40" s="63">
        <v>0.59099999999999997</v>
      </c>
      <c r="I40" s="64" t="s">
        <v>81</v>
      </c>
      <c r="J40" s="64">
        <v>0.628</v>
      </c>
      <c r="K40" s="62" t="s">
        <v>80</v>
      </c>
      <c r="L40" s="109">
        <v>0.59899999999999998</v>
      </c>
      <c r="M40" s="63" t="s">
        <v>80</v>
      </c>
      <c r="N40" s="63">
        <v>0.59599999999999997</v>
      </c>
      <c r="O40" s="64" t="s">
        <v>81</v>
      </c>
      <c r="P40" s="64">
        <v>0.63600000000000001</v>
      </c>
    </row>
    <row r="41" spans="2:45" x14ac:dyDescent="0.25">
      <c r="B41" s="144"/>
      <c r="C41" s="147"/>
      <c r="D41" s="110" t="s">
        <v>82</v>
      </c>
      <c r="E41" s="111" t="s">
        <v>83</v>
      </c>
      <c r="F41" s="109">
        <v>0.76300000000000001</v>
      </c>
      <c r="G41" s="63" t="s">
        <v>84</v>
      </c>
      <c r="H41" s="63">
        <v>0.72399999999999998</v>
      </c>
      <c r="I41" s="64" t="s">
        <v>85</v>
      </c>
      <c r="J41" s="64">
        <v>1.004</v>
      </c>
      <c r="K41" s="62" t="s">
        <v>83</v>
      </c>
      <c r="L41" s="109">
        <v>0.71499999999999997</v>
      </c>
      <c r="M41" s="63" t="s">
        <v>84</v>
      </c>
      <c r="N41" s="63">
        <v>0.59199999999999997</v>
      </c>
      <c r="O41" s="64" t="s">
        <v>85</v>
      </c>
      <c r="P41" s="64">
        <v>0.67500000000000004</v>
      </c>
    </row>
    <row r="42" spans="2:45" x14ac:dyDescent="0.25">
      <c r="B42" s="144"/>
      <c r="C42" s="147"/>
      <c r="D42" s="110" t="s">
        <v>82</v>
      </c>
      <c r="E42" s="111" t="s">
        <v>86</v>
      </c>
      <c r="F42" s="109">
        <v>0.83599999999999997</v>
      </c>
      <c r="G42" s="63" t="s">
        <v>87</v>
      </c>
      <c r="H42" s="63">
        <v>0.96799999999999997</v>
      </c>
      <c r="I42" s="64" t="s">
        <v>88</v>
      </c>
      <c r="J42" s="64">
        <v>0.91900000000000004</v>
      </c>
      <c r="K42" s="62" t="s">
        <v>86</v>
      </c>
      <c r="L42" s="109">
        <v>0.71599999999999997</v>
      </c>
      <c r="M42" s="63" t="s">
        <v>87</v>
      </c>
      <c r="N42" s="63">
        <v>0.625</v>
      </c>
      <c r="O42" s="64" t="s">
        <v>88</v>
      </c>
      <c r="P42" s="64">
        <v>0.63500000000000001</v>
      </c>
    </row>
    <row r="43" spans="2:45" x14ac:dyDescent="0.25">
      <c r="B43" s="144"/>
      <c r="C43" s="147"/>
      <c r="D43" s="110" t="s">
        <v>89</v>
      </c>
      <c r="E43" s="111"/>
      <c r="F43" s="109"/>
      <c r="G43" s="63" t="s">
        <v>90</v>
      </c>
      <c r="H43" s="63">
        <v>0.97599999999999998</v>
      </c>
      <c r="I43" s="64"/>
      <c r="J43" s="64"/>
      <c r="K43" s="62"/>
      <c r="L43" s="109"/>
      <c r="M43" s="63" t="s">
        <v>90</v>
      </c>
      <c r="N43" s="63">
        <v>0.628</v>
      </c>
      <c r="O43" s="64"/>
      <c r="P43" s="64"/>
      <c r="Q43" s="1"/>
      <c r="R43" s="1"/>
      <c r="S43" s="1"/>
      <c r="T43" s="1"/>
      <c r="U43" s="1"/>
      <c r="V43" s="1"/>
    </row>
    <row r="44" spans="2:45" x14ac:dyDescent="0.25">
      <c r="B44" s="145"/>
      <c r="C44" s="148"/>
      <c r="D44" s="112" t="s">
        <v>72</v>
      </c>
      <c r="E44" s="111"/>
      <c r="F44" s="109"/>
      <c r="G44" s="63"/>
      <c r="H44" s="63"/>
      <c r="I44" s="64" t="s">
        <v>91</v>
      </c>
      <c r="J44" s="64">
        <v>0.61099999999999999</v>
      </c>
      <c r="K44" s="62"/>
      <c r="L44" s="109"/>
      <c r="M44" s="63"/>
      <c r="N44" s="63"/>
      <c r="O44" s="64" t="s">
        <v>91</v>
      </c>
      <c r="P44" s="64">
        <v>0.61199999999999999</v>
      </c>
      <c r="Q44" s="1"/>
      <c r="R44" s="1"/>
      <c r="S44" s="1"/>
      <c r="T44" s="1"/>
      <c r="U44" s="1"/>
      <c r="V44" s="1"/>
    </row>
    <row r="46" spans="2:45" x14ac:dyDescent="0.25">
      <c r="N46" s="1"/>
      <c r="P46" s="1"/>
      <c r="Q46" s="1"/>
      <c r="R46" s="1"/>
      <c r="S46" s="1"/>
      <c r="T46" s="1"/>
      <c r="U46" s="1"/>
      <c r="V46" s="1"/>
    </row>
    <row r="47" spans="2:45" x14ac:dyDescent="0.25">
      <c r="B47" s="90"/>
      <c r="C47" s="90"/>
      <c r="D47" s="141"/>
      <c r="E47" s="142"/>
      <c r="F47" s="142"/>
      <c r="G47" s="142"/>
      <c r="H47" s="142"/>
      <c r="I47" s="142"/>
      <c r="J47" s="142"/>
      <c r="K47" s="142"/>
      <c r="L47" s="91"/>
      <c r="M47" s="90"/>
      <c r="N47" s="91"/>
      <c r="O47" s="91"/>
      <c r="P47" s="91"/>
      <c r="Q47" s="1"/>
      <c r="R47" s="91"/>
      <c r="S47" s="91"/>
      <c r="T47" s="91"/>
      <c r="U47" s="141"/>
      <c r="V47" s="142"/>
      <c r="W47" s="142"/>
      <c r="X47" s="142"/>
      <c r="Y47" s="142"/>
      <c r="Z47" s="142"/>
      <c r="AA47" s="142"/>
      <c r="AB47" s="142"/>
      <c r="AC47" s="90"/>
      <c r="AD47" s="90"/>
      <c r="AF47" s="90"/>
      <c r="AG47" s="90"/>
      <c r="AH47" s="90"/>
      <c r="AI47" s="141"/>
      <c r="AJ47" s="142"/>
      <c r="AK47" s="142"/>
      <c r="AL47" s="142"/>
      <c r="AM47" s="142"/>
      <c r="AN47" s="142"/>
      <c r="AO47" s="142"/>
      <c r="AP47" s="142"/>
      <c r="AQ47" s="90"/>
      <c r="AR47" s="90"/>
      <c r="AS47" s="90"/>
    </row>
    <row r="48" spans="2:45" ht="15" customHeight="1" x14ac:dyDescent="0.25">
      <c r="B48" s="90"/>
      <c r="C48" s="90"/>
      <c r="D48" s="142"/>
      <c r="E48" s="142"/>
      <c r="F48" s="142"/>
      <c r="G48" s="142"/>
      <c r="H48" s="142"/>
      <c r="I48" s="142"/>
      <c r="J48" s="142"/>
      <c r="K48" s="142"/>
      <c r="L48" s="91"/>
      <c r="M48" s="90"/>
      <c r="N48" s="91"/>
      <c r="O48" s="91"/>
      <c r="P48" s="91"/>
      <c r="Q48" s="1"/>
      <c r="R48" s="91"/>
      <c r="S48" s="91"/>
      <c r="T48" s="91"/>
      <c r="U48" s="142"/>
      <c r="V48" s="142"/>
      <c r="W48" s="142"/>
      <c r="X48" s="142"/>
      <c r="Y48" s="142"/>
      <c r="Z48" s="142"/>
      <c r="AA48" s="142"/>
      <c r="AB48" s="142"/>
      <c r="AC48" s="90"/>
      <c r="AD48" s="90"/>
      <c r="AF48" s="90"/>
      <c r="AG48" s="90"/>
      <c r="AH48" s="90"/>
      <c r="AI48" s="142"/>
      <c r="AJ48" s="142"/>
      <c r="AK48" s="142"/>
      <c r="AL48" s="142"/>
      <c r="AM48" s="142"/>
      <c r="AN48" s="142"/>
      <c r="AO48" s="142"/>
      <c r="AP48" s="142"/>
      <c r="AQ48" s="90"/>
      <c r="AR48" s="90"/>
      <c r="AS48" s="90"/>
    </row>
    <row r="49" spans="2:45" x14ac:dyDescent="0.25">
      <c r="B49" s="90"/>
      <c r="C49" s="90"/>
      <c r="D49" s="90"/>
      <c r="E49" s="90"/>
      <c r="F49" s="90"/>
      <c r="G49" s="90"/>
      <c r="H49" s="91"/>
      <c r="I49" s="91"/>
      <c r="J49" s="91"/>
      <c r="K49" s="91"/>
      <c r="L49" s="91"/>
      <c r="M49" s="90"/>
      <c r="N49" s="91"/>
      <c r="O49" s="91"/>
      <c r="P49" s="91"/>
      <c r="Q49" s="1"/>
      <c r="R49" s="91"/>
      <c r="S49" s="91"/>
      <c r="T49" s="91"/>
      <c r="U49" s="90"/>
      <c r="V49" s="91"/>
      <c r="W49" s="90"/>
      <c r="X49" s="90"/>
      <c r="Y49" s="90"/>
      <c r="Z49" s="90"/>
      <c r="AA49" s="90"/>
      <c r="AB49" s="90"/>
      <c r="AC49" s="90"/>
      <c r="AD49" s="90"/>
      <c r="AF49" s="90"/>
      <c r="AG49" s="90"/>
      <c r="AH49" s="90"/>
      <c r="AI49" s="90"/>
      <c r="AJ49" s="90"/>
      <c r="AK49" s="90"/>
      <c r="AL49" s="90"/>
      <c r="AM49" s="90"/>
      <c r="AN49" s="90"/>
      <c r="AO49" s="90"/>
      <c r="AP49" s="90"/>
      <c r="AQ49" s="90"/>
      <c r="AR49" s="90"/>
      <c r="AS49" s="90"/>
    </row>
    <row r="50" spans="2:45" x14ac:dyDescent="0.25">
      <c r="B50" s="90"/>
      <c r="C50" s="90"/>
      <c r="D50" s="90"/>
      <c r="E50" s="90"/>
      <c r="F50" s="90"/>
      <c r="G50" s="90"/>
      <c r="H50" s="91"/>
      <c r="I50" s="91"/>
      <c r="J50" s="91"/>
      <c r="K50" s="91"/>
      <c r="L50" s="91"/>
      <c r="M50" s="90"/>
      <c r="N50" s="91"/>
      <c r="O50" s="91"/>
      <c r="P50" s="91"/>
      <c r="Q50" s="1"/>
      <c r="R50" s="91"/>
      <c r="S50" s="91"/>
      <c r="T50" s="91"/>
      <c r="U50" s="90"/>
      <c r="V50" s="91"/>
      <c r="W50" s="90"/>
      <c r="X50" s="90"/>
      <c r="Y50" s="90"/>
      <c r="Z50" s="90"/>
      <c r="AA50" s="90"/>
      <c r="AB50" s="90"/>
      <c r="AC50" s="90"/>
      <c r="AD50" s="90"/>
      <c r="AF50" s="90"/>
      <c r="AG50" s="90"/>
      <c r="AH50" s="90"/>
      <c r="AI50" s="90"/>
      <c r="AJ50" s="90"/>
      <c r="AK50" s="90"/>
      <c r="AL50" s="90"/>
      <c r="AM50" s="90"/>
      <c r="AN50" s="90"/>
      <c r="AO50" s="90"/>
      <c r="AP50" s="90"/>
      <c r="AQ50" s="90"/>
      <c r="AR50" s="90"/>
      <c r="AS50" s="90"/>
    </row>
    <row r="51" spans="2:45" x14ac:dyDescent="0.25">
      <c r="B51" s="90"/>
      <c r="C51" s="90"/>
      <c r="D51" s="90"/>
      <c r="E51" s="90"/>
      <c r="F51" s="90"/>
      <c r="G51" s="90"/>
      <c r="H51" s="91"/>
      <c r="I51" s="91"/>
      <c r="J51" s="91"/>
      <c r="K51" s="91"/>
      <c r="L51" s="91"/>
      <c r="M51" s="90"/>
      <c r="N51" s="91"/>
      <c r="O51" s="91"/>
      <c r="P51" s="91"/>
      <c r="Q51" s="1"/>
      <c r="R51" s="91"/>
      <c r="S51" s="91"/>
      <c r="T51" s="91"/>
      <c r="U51" s="90"/>
      <c r="V51" s="91"/>
      <c r="W51" s="90"/>
      <c r="X51" s="90"/>
      <c r="Y51" s="90"/>
      <c r="Z51" s="90"/>
      <c r="AA51" s="90"/>
      <c r="AB51" s="90"/>
      <c r="AC51" s="90"/>
      <c r="AD51" s="90"/>
      <c r="AF51" s="90"/>
      <c r="AG51" s="90"/>
      <c r="AH51" s="90"/>
      <c r="AI51" s="90"/>
      <c r="AJ51" s="90"/>
      <c r="AK51" s="90"/>
      <c r="AL51" s="90"/>
      <c r="AM51" s="90"/>
      <c r="AN51" s="90"/>
      <c r="AO51" s="90"/>
      <c r="AP51" s="90"/>
      <c r="AQ51" s="90"/>
      <c r="AR51" s="90"/>
      <c r="AS51" s="90"/>
    </row>
    <row r="52" spans="2:45" x14ac:dyDescent="0.25">
      <c r="B52" s="90"/>
      <c r="C52" s="90"/>
      <c r="D52" s="90"/>
      <c r="E52" s="90"/>
      <c r="F52" s="90"/>
      <c r="G52" s="90"/>
      <c r="H52" s="91"/>
      <c r="I52" s="91"/>
      <c r="J52" s="91"/>
      <c r="K52" s="91"/>
      <c r="L52" s="91"/>
      <c r="M52" s="90"/>
      <c r="N52" s="91"/>
      <c r="O52" s="91"/>
      <c r="P52" s="91"/>
      <c r="Q52" s="1"/>
      <c r="R52" s="91"/>
      <c r="S52" s="91"/>
      <c r="T52" s="91"/>
      <c r="U52" s="90"/>
      <c r="V52" s="91"/>
      <c r="W52" s="90"/>
      <c r="X52" s="90"/>
      <c r="Y52" s="90"/>
      <c r="Z52" s="90"/>
      <c r="AA52" s="90"/>
      <c r="AB52" s="90"/>
      <c r="AC52" s="90"/>
      <c r="AD52" s="90"/>
      <c r="AF52" s="90"/>
      <c r="AG52" s="90"/>
      <c r="AH52" s="90"/>
      <c r="AI52" s="90"/>
      <c r="AJ52" s="90"/>
      <c r="AK52" s="90"/>
      <c r="AL52" s="90"/>
      <c r="AM52" s="90"/>
      <c r="AN52" s="90"/>
      <c r="AO52" s="90"/>
      <c r="AP52" s="90"/>
      <c r="AQ52" s="90"/>
      <c r="AR52" s="90"/>
      <c r="AS52" s="90"/>
    </row>
    <row r="53" spans="2:45" x14ac:dyDescent="0.25">
      <c r="B53" s="90"/>
      <c r="C53" s="90"/>
      <c r="D53" s="90"/>
      <c r="E53" s="90"/>
      <c r="F53" s="90"/>
      <c r="G53" s="90"/>
      <c r="H53" s="91"/>
      <c r="I53" s="91"/>
      <c r="J53" s="91"/>
      <c r="K53" s="91"/>
      <c r="L53" s="91"/>
      <c r="M53" s="90"/>
      <c r="N53" s="91"/>
      <c r="O53" s="91"/>
      <c r="P53" s="91"/>
      <c r="Q53" s="1"/>
      <c r="R53" s="91"/>
      <c r="S53" s="91"/>
      <c r="T53" s="91"/>
      <c r="U53" s="90"/>
      <c r="V53" s="91"/>
      <c r="W53" s="90"/>
      <c r="X53" s="90"/>
      <c r="Y53" s="90"/>
      <c r="Z53" s="90"/>
      <c r="AA53" s="90"/>
      <c r="AB53" s="90"/>
      <c r="AC53" s="90"/>
      <c r="AD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</row>
    <row r="54" spans="2:45" x14ac:dyDescent="0.25">
      <c r="B54" s="90"/>
      <c r="C54" s="90"/>
      <c r="D54" s="90"/>
      <c r="E54" s="90"/>
      <c r="F54" s="90"/>
      <c r="G54" s="90"/>
      <c r="H54" s="91"/>
      <c r="I54" s="91"/>
      <c r="J54" s="91"/>
      <c r="K54" s="91"/>
      <c r="L54" s="91"/>
      <c r="M54" s="90"/>
      <c r="N54" s="91"/>
      <c r="O54" s="91"/>
      <c r="P54" s="91"/>
      <c r="Q54" s="1"/>
      <c r="R54" s="91"/>
      <c r="S54" s="91"/>
      <c r="T54" s="91"/>
      <c r="U54" s="90"/>
      <c r="V54" s="91"/>
      <c r="W54" s="90"/>
      <c r="X54" s="90"/>
      <c r="Y54" s="90"/>
      <c r="Z54" s="90"/>
      <c r="AA54" s="90"/>
      <c r="AB54" s="90"/>
      <c r="AC54" s="90"/>
      <c r="AD54" s="90"/>
      <c r="AF54" s="90"/>
      <c r="AG54" s="90"/>
      <c r="AH54" s="90"/>
      <c r="AI54" s="90"/>
      <c r="AJ54" s="90"/>
      <c r="AK54" s="90"/>
      <c r="AL54" s="90"/>
      <c r="AM54" s="90"/>
      <c r="AN54" s="90"/>
      <c r="AO54" s="90"/>
      <c r="AP54" s="90"/>
      <c r="AQ54" s="90"/>
      <c r="AR54" s="90"/>
      <c r="AS54" s="90"/>
    </row>
    <row r="55" spans="2:45" x14ac:dyDescent="0.25">
      <c r="B55" s="90"/>
      <c r="C55" s="90"/>
      <c r="D55" s="90"/>
      <c r="E55" s="90"/>
      <c r="F55" s="90"/>
      <c r="G55" s="90"/>
      <c r="H55" s="91"/>
      <c r="I55" s="91"/>
      <c r="J55" s="91"/>
      <c r="K55" s="91"/>
      <c r="L55" s="91"/>
      <c r="M55" s="90"/>
      <c r="N55" s="91"/>
      <c r="O55" s="91"/>
      <c r="P55" s="91"/>
      <c r="Q55" s="1"/>
      <c r="R55" s="91"/>
      <c r="S55" s="91"/>
      <c r="T55" s="91"/>
      <c r="U55" s="90"/>
      <c r="V55" s="91"/>
      <c r="W55" s="90"/>
      <c r="X55" s="90"/>
      <c r="Y55" s="90"/>
      <c r="Z55" s="90"/>
      <c r="AA55" s="90"/>
      <c r="AB55" s="90"/>
      <c r="AC55" s="90"/>
      <c r="AD55" s="90"/>
      <c r="AF55" s="90"/>
      <c r="AG55" s="90"/>
      <c r="AH55" s="90"/>
      <c r="AI55" s="90"/>
      <c r="AJ55" s="90"/>
      <c r="AK55" s="90"/>
      <c r="AL55" s="90"/>
      <c r="AM55" s="90"/>
      <c r="AN55" s="90"/>
      <c r="AO55" s="90"/>
      <c r="AP55" s="90"/>
      <c r="AQ55" s="90"/>
      <c r="AR55" s="90"/>
      <c r="AS55" s="90"/>
    </row>
    <row r="56" spans="2:45" x14ac:dyDescent="0.25">
      <c r="B56" s="90"/>
      <c r="C56" s="90"/>
      <c r="D56" s="90"/>
      <c r="E56" s="90"/>
      <c r="F56" s="90"/>
      <c r="G56" s="90"/>
      <c r="H56" s="91"/>
      <c r="I56" s="91"/>
      <c r="J56" s="91"/>
      <c r="K56" s="91"/>
      <c r="L56" s="91"/>
      <c r="M56" s="90"/>
      <c r="N56" s="91"/>
      <c r="O56" s="91"/>
      <c r="P56" s="91"/>
      <c r="Q56" s="1"/>
      <c r="R56" s="91"/>
      <c r="S56" s="91"/>
      <c r="T56" s="91"/>
      <c r="U56" s="90"/>
      <c r="V56" s="91"/>
      <c r="W56" s="90"/>
      <c r="X56" s="90"/>
      <c r="Y56" s="90"/>
      <c r="Z56" s="90"/>
      <c r="AA56" s="90"/>
      <c r="AB56" s="90"/>
      <c r="AC56" s="90"/>
      <c r="AD56" s="90"/>
      <c r="AF56" s="90"/>
      <c r="AG56" s="90"/>
      <c r="AH56" s="90"/>
      <c r="AI56" s="90"/>
      <c r="AJ56" s="90"/>
      <c r="AK56" s="90"/>
      <c r="AL56" s="90"/>
      <c r="AM56" s="90"/>
      <c r="AN56" s="90"/>
      <c r="AO56" s="90"/>
      <c r="AP56" s="90"/>
      <c r="AQ56" s="90"/>
      <c r="AR56" s="90"/>
      <c r="AS56" s="90"/>
    </row>
    <row r="57" spans="2:45" x14ac:dyDescent="0.25">
      <c r="B57" s="90"/>
      <c r="C57" s="90"/>
      <c r="D57" s="90"/>
      <c r="E57" s="90"/>
      <c r="F57" s="90"/>
      <c r="G57" s="90"/>
      <c r="H57" s="91"/>
      <c r="I57" s="91"/>
      <c r="J57" s="91"/>
      <c r="K57" s="91"/>
      <c r="L57" s="91"/>
      <c r="M57" s="90"/>
      <c r="N57" s="91"/>
      <c r="O57" s="91"/>
      <c r="P57" s="91"/>
      <c r="Q57" s="1"/>
      <c r="R57" s="91"/>
      <c r="S57" s="91"/>
      <c r="T57" s="91"/>
      <c r="U57" s="90"/>
      <c r="V57" s="91"/>
      <c r="W57" s="90"/>
      <c r="X57" s="90"/>
      <c r="Y57" s="90"/>
      <c r="Z57" s="90"/>
      <c r="AA57" s="90"/>
      <c r="AB57" s="90"/>
      <c r="AC57" s="90"/>
      <c r="AD57" s="90"/>
      <c r="AF57" s="90"/>
      <c r="AG57" s="90"/>
      <c r="AH57" s="90"/>
      <c r="AI57" s="90"/>
      <c r="AJ57" s="90"/>
      <c r="AK57" s="90"/>
      <c r="AL57" s="90"/>
      <c r="AM57" s="90"/>
      <c r="AN57" s="90"/>
      <c r="AO57" s="90"/>
      <c r="AP57" s="90"/>
      <c r="AQ57" s="90"/>
      <c r="AR57" s="90"/>
      <c r="AS57" s="90"/>
    </row>
    <row r="58" spans="2:45" x14ac:dyDescent="0.25">
      <c r="B58" s="90"/>
      <c r="C58" s="90"/>
      <c r="D58" s="90"/>
      <c r="E58" s="90"/>
      <c r="F58" s="90"/>
      <c r="G58" s="90"/>
      <c r="H58" s="91"/>
      <c r="I58" s="91"/>
      <c r="J58" s="91"/>
      <c r="K58" s="91"/>
      <c r="L58" s="91"/>
      <c r="M58" s="90"/>
      <c r="N58" s="91"/>
      <c r="O58" s="91"/>
      <c r="P58" s="91"/>
      <c r="Q58" s="1"/>
      <c r="R58" s="91"/>
      <c r="S58" s="91"/>
      <c r="T58" s="91"/>
      <c r="U58" s="90"/>
      <c r="V58" s="91"/>
      <c r="W58" s="90"/>
      <c r="X58" s="90"/>
      <c r="Y58" s="90"/>
      <c r="Z58" s="90"/>
      <c r="AA58" s="90"/>
      <c r="AB58" s="90"/>
      <c r="AC58" s="90"/>
      <c r="AD58" s="90"/>
      <c r="AF58" s="90"/>
      <c r="AG58" s="90"/>
      <c r="AH58" s="90"/>
      <c r="AI58" s="90"/>
      <c r="AJ58" s="90"/>
      <c r="AK58" s="90"/>
      <c r="AL58" s="90"/>
      <c r="AM58" s="90"/>
      <c r="AN58" s="90"/>
      <c r="AO58" s="90"/>
      <c r="AP58" s="90"/>
      <c r="AQ58" s="90"/>
      <c r="AR58" s="90"/>
      <c r="AS58" s="90"/>
    </row>
    <row r="59" spans="2:45" x14ac:dyDescent="0.25">
      <c r="B59" s="90"/>
      <c r="C59" s="90"/>
      <c r="D59" s="90"/>
      <c r="E59" s="90"/>
      <c r="F59" s="90"/>
      <c r="G59" s="90"/>
      <c r="H59" s="91"/>
      <c r="I59" s="91"/>
      <c r="J59" s="91"/>
      <c r="K59" s="91"/>
      <c r="L59" s="91"/>
      <c r="M59" s="90"/>
      <c r="N59" s="91"/>
      <c r="O59" s="91"/>
      <c r="P59" s="91"/>
      <c r="Q59" s="1"/>
      <c r="R59" s="91"/>
      <c r="S59" s="91"/>
      <c r="T59" s="91"/>
      <c r="U59" s="90"/>
      <c r="V59" s="91"/>
      <c r="W59" s="90"/>
      <c r="X59" s="90"/>
      <c r="Y59" s="90"/>
      <c r="Z59" s="90"/>
      <c r="AA59" s="90"/>
      <c r="AB59" s="90"/>
      <c r="AC59" s="90"/>
      <c r="AD59" s="90"/>
      <c r="AF59" s="90"/>
      <c r="AG59" s="90"/>
      <c r="AH59" s="90"/>
      <c r="AI59" s="90"/>
      <c r="AJ59" s="90"/>
      <c r="AK59" s="90"/>
      <c r="AL59" s="90"/>
      <c r="AM59" s="90"/>
      <c r="AN59" s="90"/>
      <c r="AO59" s="90"/>
      <c r="AP59" s="90"/>
      <c r="AQ59" s="90"/>
      <c r="AR59" s="90"/>
      <c r="AS59" s="90"/>
    </row>
    <row r="60" spans="2:45" x14ac:dyDescent="0.25">
      <c r="B60" s="90"/>
      <c r="C60" s="90"/>
      <c r="D60" s="90"/>
      <c r="E60" s="90"/>
      <c r="F60" s="90"/>
      <c r="G60" s="90"/>
      <c r="H60" s="91"/>
      <c r="I60" s="91"/>
      <c r="J60" s="91"/>
      <c r="K60" s="91"/>
      <c r="L60" s="91"/>
      <c r="M60" s="90"/>
      <c r="N60" s="91"/>
      <c r="O60" s="91"/>
      <c r="P60" s="91"/>
      <c r="Q60" s="1"/>
      <c r="R60" s="91"/>
      <c r="S60" s="91"/>
      <c r="T60" s="91"/>
      <c r="U60" s="90"/>
      <c r="V60" s="91"/>
      <c r="W60" s="90"/>
      <c r="X60" s="90"/>
      <c r="Y60" s="90"/>
      <c r="Z60" s="90"/>
      <c r="AA60" s="90"/>
      <c r="AB60" s="90"/>
      <c r="AC60" s="90"/>
      <c r="AD60" s="90"/>
      <c r="AF60" s="90"/>
      <c r="AG60" s="90"/>
      <c r="AH60" s="90"/>
      <c r="AI60" s="90"/>
      <c r="AJ60" s="90"/>
      <c r="AK60" s="90"/>
      <c r="AL60" s="90"/>
      <c r="AM60" s="90"/>
      <c r="AN60" s="90"/>
      <c r="AO60" s="90"/>
      <c r="AP60" s="90"/>
      <c r="AQ60" s="90"/>
      <c r="AR60" s="90"/>
      <c r="AS60" s="90"/>
    </row>
    <row r="61" spans="2:45" x14ac:dyDescent="0.25">
      <c r="B61" s="90"/>
      <c r="C61" s="90"/>
      <c r="D61" s="90"/>
      <c r="E61" s="90"/>
      <c r="F61" s="90"/>
      <c r="G61" s="90"/>
      <c r="H61" s="91"/>
      <c r="I61" s="91"/>
      <c r="J61" s="91"/>
      <c r="K61" s="91"/>
      <c r="L61" s="91"/>
      <c r="M61" s="90"/>
      <c r="N61" s="91"/>
      <c r="O61" s="91"/>
      <c r="P61" s="91"/>
      <c r="Q61" s="1"/>
      <c r="R61" s="91"/>
      <c r="S61" s="91"/>
      <c r="T61" s="91"/>
      <c r="U61" s="90"/>
      <c r="V61" s="91"/>
      <c r="W61" s="90"/>
      <c r="X61" s="90"/>
      <c r="Y61" s="90"/>
      <c r="Z61" s="90"/>
      <c r="AA61" s="90"/>
      <c r="AB61" s="90"/>
      <c r="AC61" s="90"/>
      <c r="AD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</row>
    <row r="62" spans="2:45" x14ac:dyDescent="0.25">
      <c r="B62" s="90"/>
      <c r="C62" s="90"/>
      <c r="D62" s="90"/>
      <c r="E62" s="90"/>
      <c r="F62" s="90"/>
      <c r="G62" s="90"/>
      <c r="H62" s="91"/>
      <c r="I62" s="91"/>
      <c r="J62" s="91"/>
      <c r="K62" s="91"/>
      <c r="L62" s="91"/>
      <c r="M62" s="90"/>
      <c r="N62" s="91"/>
      <c r="O62" s="91"/>
      <c r="P62" s="91"/>
      <c r="Q62" s="1"/>
      <c r="R62" s="91"/>
      <c r="S62" s="91"/>
      <c r="T62" s="91"/>
      <c r="U62" s="90"/>
      <c r="V62" s="91"/>
      <c r="W62" s="90"/>
      <c r="X62" s="90"/>
      <c r="Y62" s="90"/>
      <c r="Z62" s="90"/>
      <c r="AA62" s="90"/>
      <c r="AB62" s="90"/>
      <c r="AC62" s="90"/>
      <c r="AD62" s="90"/>
      <c r="AF62" s="90"/>
      <c r="AG62" s="90"/>
      <c r="AH62" s="90"/>
      <c r="AI62" s="90"/>
      <c r="AJ62" s="90"/>
      <c r="AK62" s="90"/>
      <c r="AL62" s="90"/>
      <c r="AM62" s="90"/>
      <c r="AN62" s="90"/>
      <c r="AO62" s="90"/>
      <c r="AP62" s="90"/>
      <c r="AQ62" s="90"/>
      <c r="AR62" s="90"/>
      <c r="AS62" s="90"/>
    </row>
    <row r="63" spans="2:45" x14ac:dyDescent="0.25">
      <c r="B63" s="90"/>
      <c r="C63" s="90"/>
      <c r="D63" s="90"/>
      <c r="E63" s="90"/>
      <c r="F63" s="90"/>
      <c r="G63" s="90"/>
      <c r="H63" s="91"/>
      <c r="I63" s="91"/>
      <c r="J63" s="91"/>
      <c r="K63" s="91"/>
      <c r="L63" s="91"/>
      <c r="M63" s="90"/>
      <c r="N63" s="91"/>
      <c r="O63" s="91"/>
      <c r="P63" s="91"/>
      <c r="Q63" s="1"/>
      <c r="R63" s="91"/>
      <c r="S63" s="91"/>
      <c r="T63" s="91"/>
      <c r="U63" s="90"/>
      <c r="V63" s="91"/>
      <c r="W63" s="90"/>
      <c r="X63" s="90"/>
      <c r="Y63" s="90"/>
      <c r="Z63" s="90"/>
      <c r="AA63" s="90"/>
      <c r="AB63" s="90"/>
      <c r="AC63" s="90"/>
      <c r="AD63" s="90"/>
      <c r="AF63" s="90"/>
      <c r="AG63" s="90"/>
      <c r="AH63" s="90"/>
      <c r="AI63" s="90"/>
      <c r="AJ63" s="90"/>
      <c r="AK63" s="90"/>
      <c r="AL63" s="90"/>
      <c r="AM63" s="90"/>
      <c r="AN63" s="90"/>
      <c r="AO63" s="90"/>
      <c r="AP63" s="90"/>
      <c r="AQ63" s="90"/>
      <c r="AR63" s="90"/>
      <c r="AS63" s="90"/>
    </row>
    <row r="64" spans="2:45" x14ac:dyDescent="0.25">
      <c r="B64" s="90"/>
      <c r="C64" s="90"/>
      <c r="D64" s="90"/>
      <c r="E64" s="90"/>
      <c r="F64" s="90"/>
      <c r="G64" s="90"/>
      <c r="H64" s="91"/>
      <c r="I64" s="91"/>
      <c r="J64" s="91"/>
      <c r="K64" s="91"/>
      <c r="L64" s="91"/>
      <c r="M64" s="90"/>
      <c r="N64" s="91"/>
      <c r="O64" s="91"/>
      <c r="P64" s="91"/>
      <c r="Q64" s="1"/>
      <c r="R64" s="91"/>
      <c r="S64" s="91"/>
      <c r="T64" s="91"/>
      <c r="U64" s="90"/>
      <c r="V64" s="91"/>
      <c r="W64" s="90"/>
      <c r="X64" s="90"/>
      <c r="Y64" s="90"/>
      <c r="Z64" s="90"/>
      <c r="AA64" s="90"/>
      <c r="AB64" s="90"/>
      <c r="AC64" s="90"/>
      <c r="AD64" s="90"/>
      <c r="AF64" s="90"/>
      <c r="AG64" s="90"/>
      <c r="AH64" s="90"/>
      <c r="AI64" s="90"/>
      <c r="AJ64" s="90"/>
      <c r="AK64" s="90"/>
      <c r="AL64" s="90"/>
      <c r="AM64" s="90"/>
      <c r="AN64" s="90"/>
      <c r="AO64" s="90"/>
      <c r="AP64" s="90"/>
      <c r="AQ64" s="90"/>
      <c r="AR64" s="90"/>
      <c r="AS64" s="90"/>
    </row>
    <row r="65" spans="2:45" x14ac:dyDescent="0.25">
      <c r="B65" s="90"/>
      <c r="C65" s="90"/>
      <c r="D65" s="90"/>
      <c r="E65" s="90"/>
      <c r="F65" s="90"/>
      <c r="G65" s="90"/>
      <c r="H65" s="91"/>
      <c r="I65" s="91"/>
      <c r="J65" s="91"/>
      <c r="K65" s="91"/>
      <c r="L65" s="91"/>
      <c r="M65" s="90"/>
      <c r="N65" s="91"/>
      <c r="O65" s="91"/>
      <c r="P65" s="91"/>
      <c r="Q65" s="1"/>
      <c r="R65" s="91"/>
      <c r="S65" s="91"/>
      <c r="T65" s="91"/>
      <c r="U65" s="90"/>
      <c r="V65" s="90"/>
      <c r="W65" s="90"/>
      <c r="X65" s="90"/>
      <c r="Y65" s="90"/>
      <c r="Z65" s="90"/>
      <c r="AA65" s="90"/>
      <c r="AB65" s="90"/>
      <c r="AC65" s="90"/>
      <c r="AD65" s="90"/>
      <c r="AF65" s="90"/>
      <c r="AG65" s="90"/>
      <c r="AH65" s="90"/>
      <c r="AI65" s="90"/>
      <c r="AJ65" s="90"/>
      <c r="AK65" s="90"/>
      <c r="AL65" s="90"/>
      <c r="AM65" s="90"/>
      <c r="AN65" s="90"/>
      <c r="AO65" s="90"/>
      <c r="AP65" s="90"/>
      <c r="AQ65" s="90"/>
      <c r="AR65" s="90"/>
      <c r="AS65" s="90"/>
    </row>
    <row r="66" spans="2:45" x14ac:dyDescent="0.25">
      <c r="B66" s="90"/>
      <c r="C66" s="90"/>
      <c r="D66" s="90"/>
      <c r="E66" s="90"/>
      <c r="F66" s="90"/>
      <c r="G66" s="90"/>
      <c r="H66" s="91"/>
      <c r="I66" s="91"/>
      <c r="J66" s="91"/>
      <c r="K66" s="91"/>
      <c r="L66" s="91"/>
      <c r="M66" s="90"/>
      <c r="N66" s="91"/>
      <c r="O66" s="91"/>
      <c r="P66" s="91"/>
      <c r="Q66" s="1"/>
      <c r="R66" s="91"/>
      <c r="S66" s="91"/>
      <c r="T66" s="91"/>
      <c r="U66" s="90"/>
      <c r="V66" s="90"/>
      <c r="W66" s="90"/>
      <c r="X66" s="90"/>
      <c r="Y66" s="90"/>
      <c r="Z66" s="90"/>
      <c r="AA66" s="90"/>
      <c r="AB66" s="90"/>
      <c r="AC66" s="90"/>
      <c r="AD66" s="90"/>
      <c r="AF66" s="90"/>
      <c r="AG66" s="90"/>
      <c r="AH66" s="90"/>
      <c r="AI66" s="90"/>
      <c r="AJ66" s="90"/>
      <c r="AK66" s="90"/>
      <c r="AL66" s="90"/>
      <c r="AM66" s="90"/>
      <c r="AN66" s="90"/>
      <c r="AO66" s="90"/>
      <c r="AP66" s="90"/>
      <c r="AQ66" s="90"/>
      <c r="AR66" s="90"/>
      <c r="AS66" s="90"/>
    </row>
    <row r="67" spans="2:45" x14ac:dyDescent="0.25">
      <c r="B67" s="90"/>
      <c r="C67" s="90"/>
      <c r="D67" s="90"/>
      <c r="E67" s="90"/>
      <c r="F67" s="90"/>
      <c r="G67" s="90"/>
      <c r="H67" s="91"/>
      <c r="I67" s="91"/>
      <c r="J67" s="91"/>
      <c r="K67" s="91"/>
      <c r="L67" s="91"/>
      <c r="M67" s="91"/>
      <c r="N67" s="91"/>
      <c r="O67" s="90"/>
      <c r="P67" s="90"/>
      <c r="R67" s="90"/>
      <c r="S67" s="90"/>
      <c r="T67" s="90"/>
      <c r="U67" s="90"/>
      <c r="V67" s="90"/>
      <c r="W67" s="90"/>
      <c r="X67" s="90"/>
      <c r="Y67" s="90"/>
      <c r="Z67" s="90"/>
      <c r="AA67" s="90"/>
      <c r="AB67" s="90"/>
      <c r="AC67" s="90"/>
      <c r="AD67" s="90"/>
      <c r="AF67" s="90"/>
      <c r="AG67" s="90"/>
      <c r="AH67" s="90"/>
      <c r="AI67" s="90"/>
      <c r="AJ67" s="90"/>
      <c r="AK67" s="90"/>
      <c r="AL67" s="90"/>
      <c r="AM67" s="90"/>
      <c r="AN67" s="90"/>
      <c r="AO67" s="90"/>
      <c r="AP67" s="90"/>
      <c r="AQ67" s="90"/>
      <c r="AR67" s="90"/>
      <c r="AS67" s="90"/>
    </row>
    <row r="68" spans="2:45" x14ac:dyDescent="0.25">
      <c r="B68" s="90"/>
      <c r="C68" s="90"/>
      <c r="D68" s="90"/>
      <c r="E68" s="90"/>
      <c r="F68" s="90"/>
      <c r="G68" s="90"/>
      <c r="H68" s="90"/>
      <c r="I68" s="90"/>
      <c r="J68" s="90"/>
      <c r="K68" s="90"/>
      <c r="L68" s="90"/>
      <c r="M68" s="90"/>
      <c r="N68" s="90"/>
      <c r="O68" s="90"/>
      <c r="P68" s="90"/>
      <c r="R68" s="90"/>
      <c r="S68" s="90"/>
      <c r="T68" s="90"/>
      <c r="U68" s="90"/>
      <c r="V68" s="90"/>
      <c r="W68" s="90"/>
      <c r="X68" s="90"/>
      <c r="Y68" s="90"/>
      <c r="Z68" s="90"/>
      <c r="AA68" s="90"/>
      <c r="AB68" s="90"/>
      <c r="AC68" s="90"/>
      <c r="AD68" s="90"/>
      <c r="AF68" s="90"/>
      <c r="AG68" s="90"/>
      <c r="AH68" s="90"/>
      <c r="AI68" s="90"/>
      <c r="AJ68" s="90"/>
      <c r="AK68" s="90"/>
      <c r="AL68" s="90"/>
      <c r="AM68" s="90"/>
      <c r="AN68" s="90"/>
      <c r="AO68" s="90"/>
      <c r="AP68" s="90"/>
      <c r="AQ68" s="90"/>
      <c r="AR68" s="90"/>
      <c r="AS68" s="90"/>
    </row>
    <row r="69" spans="2:45" x14ac:dyDescent="0.25">
      <c r="B69" s="90"/>
      <c r="C69" s="90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R69" s="90"/>
      <c r="S69" s="90"/>
      <c r="T69" s="90"/>
      <c r="U69" s="90"/>
      <c r="V69" s="90"/>
      <c r="W69" s="90"/>
      <c r="X69" s="90"/>
      <c r="Y69" s="90"/>
      <c r="Z69" s="90"/>
      <c r="AA69" s="90"/>
      <c r="AB69" s="90"/>
      <c r="AC69" s="90"/>
      <c r="AD69" s="90"/>
      <c r="AF69" s="90"/>
      <c r="AG69" s="90"/>
      <c r="AH69" s="90"/>
      <c r="AI69" s="90"/>
      <c r="AJ69" s="90"/>
      <c r="AK69" s="90"/>
      <c r="AL69" s="90"/>
      <c r="AM69" s="90"/>
      <c r="AN69" s="90"/>
      <c r="AO69" s="90"/>
      <c r="AP69" s="90"/>
      <c r="AQ69" s="90"/>
      <c r="AR69" s="90"/>
      <c r="AS69" s="90"/>
    </row>
    <row r="70" spans="2:45" x14ac:dyDescent="0.25">
      <c r="B70" s="90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F70" s="90"/>
      <c r="AG70" s="90"/>
      <c r="AH70" s="90"/>
      <c r="AI70" s="90"/>
      <c r="AJ70" s="90"/>
      <c r="AK70" s="90"/>
      <c r="AL70" s="90"/>
      <c r="AM70" s="90"/>
      <c r="AN70" s="90"/>
      <c r="AO70" s="90"/>
      <c r="AP70" s="90"/>
      <c r="AQ70" s="90"/>
      <c r="AR70" s="90"/>
      <c r="AS70" s="90"/>
    </row>
    <row r="71" spans="2:45" x14ac:dyDescent="0.25">
      <c r="B71" s="90"/>
      <c r="C71" s="90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  <c r="P71" s="90"/>
      <c r="R71" s="90"/>
      <c r="S71" s="90"/>
      <c r="T71" s="90"/>
      <c r="U71" s="90"/>
      <c r="V71" s="90"/>
      <c r="W71" s="90"/>
      <c r="X71" s="90"/>
      <c r="Y71" s="90"/>
      <c r="Z71" s="90"/>
      <c r="AA71" s="90"/>
      <c r="AB71" s="90"/>
      <c r="AC71" s="90"/>
      <c r="AD71" s="90"/>
      <c r="AF71" s="90"/>
      <c r="AG71" s="90"/>
      <c r="AH71" s="90"/>
      <c r="AI71" s="90"/>
      <c r="AJ71" s="90"/>
      <c r="AK71" s="90"/>
      <c r="AL71" s="90"/>
      <c r="AM71" s="90"/>
      <c r="AN71" s="90"/>
      <c r="AO71" s="90"/>
      <c r="AP71" s="90"/>
      <c r="AQ71" s="90"/>
      <c r="AR71" s="90"/>
      <c r="AS71" s="90"/>
    </row>
    <row r="72" spans="2:45" x14ac:dyDescent="0.25">
      <c r="B72" s="90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90"/>
      <c r="R72" s="90"/>
      <c r="S72" s="90"/>
      <c r="T72" s="90"/>
      <c r="U72" s="90"/>
      <c r="V72" s="90"/>
      <c r="W72" s="90"/>
      <c r="X72" s="90"/>
      <c r="Y72" s="90"/>
      <c r="Z72" s="90"/>
      <c r="AA72" s="90"/>
      <c r="AB72" s="90"/>
      <c r="AC72" s="90"/>
      <c r="AD72" s="90"/>
      <c r="AF72" s="90"/>
      <c r="AG72" s="90"/>
      <c r="AH72" s="90"/>
      <c r="AI72" s="90"/>
      <c r="AJ72" s="90"/>
      <c r="AK72" s="90"/>
      <c r="AL72" s="90"/>
      <c r="AM72" s="90"/>
      <c r="AN72" s="90"/>
      <c r="AO72" s="90"/>
      <c r="AP72" s="90"/>
      <c r="AQ72" s="90"/>
      <c r="AR72" s="90"/>
      <c r="AS72" s="90"/>
    </row>
    <row r="73" spans="2:45" x14ac:dyDescent="0.25">
      <c r="B73" s="90"/>
      <c r="C73" s="90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  <c r="P73" s="90"/>
      <c r="R73" s="90"/>
      <c r="S73" s="90"/>
      <c r="T73" s="90"/>
      <c r="U73" s="90"/>
      <c r="V73" s="90"/>
      <c r="W73" s="90"/>
      <c r="X73" s="90"/>
      <c r="Y73" s="90"/>
      <c r="Z73" s="90"/>
      <c r="AA73" s="90"/>
      <c r="AB73" s="90"/>
      <c r="AC73" s="90"/>
      <c r="AD73" s="90"/>
      <c r="AF73" s="90"/>
      <c r="AG73" s="90"/>
      <c r="AH73" s="90"/>
      <c r="AI73" s="90"/>
      <c r="AJ73" s="90"/>
      <c r="AK73" s="90"/>
      <c r="AL73" s="90"/>
      <c r="AM73" s="90"/>
      <c r="AN73" s="90"/>
      <c r="AO73" s="90"/>
      <c r="AP73" s="90"/>
      <c r="AQ73" s="90"/>
      <c r="AR73" s="90"/>
      <c r="AS73" s="90"/>
    </row>
    <row r="74" spans="2:45" x14ac:dyDescent="0.25">
      <c r="B74" s="90"/>
      <c r="C74" s="90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  <c r="P74" s="90"/>
      <c r="R74" s="90"/>
      <c r="S74" s="90"/>
      <c r="T74" s="90"/>
      <c r="U74" s="90"/>
      <c r="V74" s="90"/>
      <c r="W74" s="90"/>
      <c r="X74" s="90"/>
      <c r="Y74" s="90"/>
      <c r="Z74" s="90"/>
      <c r="AA74" s="90"/>
      <c r="AB74" s="90"/>
      <c r="AC74" s="90"/>
      <c r="AD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</row>
    <row r="75" spans="2:45" x14ac:dyDescent="0.25">
      <c r="B75" s="90"/>
      <c r="C75" s="90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90"/>
      <c r="R75" s="90"/>
      <c r="S75" s="90"/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</row>
    <row r="76" spans="2:45" x14ac:dyDescent="0.25">
      <c r="B76" s="90"/>
      <c r="C76" s="90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/>
      <c r="AQ76" s="90"/>
      <c r="AR76" s="90"/>
      <c r="AS76" s="90"/>
    </row>
    <row r="77" spans="2:45" x14ac:dyDescent="0.25">
      <c r="B77" s="90"/>
      <c r="C77" s="90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90"/>
      <c r="R77" s="90"/>
      <c r="S77" s="90"/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  <c r="AF77" s="90"/>
      <c r="AG77" s="90"/>
      <c r="AH77" s="90"/>
      <c r="AI77" s="90"/>
      <c r="AJ77" s="90"/>
      <c r="AK77" s="90"/>
      <c r="AL77" s="90"/>
      <c r="AM77" s="90"/>
      <c r="AN77" s="90"/>
      <c r="AO77" s="90"/>
      <c r="AP77" s="90"/>
      <c r="AQ77" s="90"/>
      <c r="AR77" s="90"/>
      <c r="AS77" s="90"/>
    </row>
    <row r="78" spans="2:45" x14ac:dyDescent="0.25">
      <c r="B78" s="90"/>
      <c r="C78" s="90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90"/>
      <c r="R78" s="90"/>
      <c r="S78" s="90"/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  <c r="AF78" s="90"/>
      <c r="AG78" s="90"/>
      <c r="AH78" s="90"/>
      <c r="AI78" s="90"/>
      <c r="AJ78" s="90"/>
      <c r="AK78" s="90"/>
      <c r="AL78" s="90"/>
      <c r="AM78" s="90"/>
      <c r="AN78" s="90"/>
      <c r="AO78" s="90"/>
      <c r="AP78" s="90"/>
      <c r="AQ78" s="90"/>
      <c r="AR78" s="90"/>
      <c r="AS78" s="90"/>
    </row>
    <row r="79" spans="2:45" x14ac:dyDescent="0.25">
      <c r="B79" s="90"/>
      <c r="C79" s="90"/>
      <c r="D79" s="90"/>
      <c r="E79" s="90"/>
      <c r="F79" s="90"/>
      <c r="G79" s="90"/>
      <c r="H79" s="90"/>
      <c r="I79" s="90"/>
      <c r="J79" s="90"/>
      <c r="K79" s="90"/>
      <c r="L79" s="90"/>
      <c r="M79" s="90"/>
      <c r="N79" s="90"/>
      <c r="O79" s="90"/>
      <c r="P79" s="90"/>
      <c r="R79" s="90"/>
      <c r="S79" s="90"/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  <c r="AF79" s="90"/>
      <c r="AG79" s="90"/>
      <c r="AH79" s="90"/>
      <c r="AI79" s="90"/>
      <c r="AJ79" s="90"/>
      <c r="AK79" s="90"/>
      <c r="AL79" s="90"/>
      <c r="AM79" s="90"/>
      <c r="AN79" s="90"/>
      <c r="AO79" s="90"/>
      <c r="AP79" s="90"/>
      <c r="AQ79" s="90"/>
      <c r="AR79" s="90"/>
      <c r="AS79" s="90"/>
    </row>
    <row r="80" spans="2:45" x14ac:dyDescent="0.25">
      <c r="B80" s="90"/>
      <c r="C80" s="90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  <c r="P80" s="90"/>
      <c r="R80" s="90"/>
      <c r="S80" s="90"/>
      <c r="T80" s="90"/>
      <c r="U80" s="90"/>
      <c r="V80" s="90"/>
      <c r="W80" s="90"/>
      <c r="X80" s="90"/>
      <c r="Y80" s="90"/>
      <c r="Z80" s="90"/>
      <c r="AA80" s="90"/>
      <c r="AB80" s="90"/>
      <c r="AC80" s="90"/>
      <c r="AD80" s="90"/>
      <c r="AF80" s="90"/>
      <c r="AG80" s="90"/>
      <c r="AH80" s="90"/>
      <c r="AI80" s="90"/>
      <c r="AJ80" s="90"/>
      <c r="AK80" s="90"/>
      <c r="AL80" s="90"/>
      <c r="AM80" s="90"/>
      <c r="AN80" s="90"/>
      <c r="AO80" s="90"/>
      <c r="AP80" s="90"/>
      <c r="AQ80" s="90"/>
      <c r="AR80" s="90"/>
      <c r="AS80" s="90"/>
    </row>
    <row r="81" spans="2:45" x14ac:dyDescent="0.25">
      <c r="B81" s="90"/>
      <c r="C81" s="90"/>
      <c r="D81" s="90"/>
      <c r="E81" s="90"/>
      <c r="F81" s="90"/>
      <c r="G81" s="90"/>
      <c r="H81" s="90"/>
      <c r="I81" s="90"/>
      <c r="J81" s="90"/>
      <c r="K81" s="90"/>
      <c r="L81" s="90"/>
      <c r="M81" s="90"/>
      <c r="N81" s="90"/>
      <c r="O81" s="90"/>
      <c r="P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F81" s="90"/>
      <c r="AG81" s="90"/>
      <c r="AH81" s="90"/>
      <c r="AI81" s="90"/>
      <c r="AJ81" s="90"/>
      <c r="AK81" s="90"/>
      <c r="AL81" s="90"/>
      <c r="AM81" s="90"/>
      <c r="AN81" s="90"/>
      <c r="AO81" s="90"/>
      <c r="AP81" s="90"/>
      <c r="AQ81" s="90"/>
      <c r="AR81" s="90"/>
      <c r="AS81" s="90"/>
    </row>
    <row r="82" spans="2:45" x14ac:dyDescent="0.25">
      <c r="B82" s="90"/>
      <c r="C82" s="90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P82" s="90"/>
      <c r="R82" s="90"/>
      <c r="S82" s="90"/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  <c r="AF82" s="90"/>
      <c r="AG82" s="90"/>
      <c r="AH82" s="90"/>
      <c r="AI82" s="90"/>
      <c r="AJ82" s="90"/>
      <c r="AK82" s="90"/>
      <c r="AL82" s="90"/>
      <c r="AM82" s="90"/>
      <c r="AN82" s="90"/>
      <c r="AO82" s="90"/>
      <c r="AP82" s="90"/>
      <c r="AQ82" s="90"/>
      <c r="AR82" s="90"/>
      <c r="AS82" s="90"/>
    </row>
    <row r="83" spans="2:45" x14ac:dyDescent="0.25">
      <c r="B83" s="90"/>
      <c r="C83" s="90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P83" s="90"/>
      <c r="R83" s="90"/>
      <c r="S83" s="90"/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  <c r="AF83" s="90"/>
      <c r="AG83" s="90"/>
      <c r="AH83" s="90"/>
      <c r="AI83" s="90"/>
      <c r="AJ83" s="90"/>
      <c r="AK83" s="90"/>
      <c r="AL83" s="90"/>
      <c r="AM83" s="90"/>
      <c r="AN83" s="90"/>
      <c r="AO83" s="90"/>
      <c r="AP83" s="90"/>
      <c r="AQ83" s="90"/>
      <c r="AR83" s="90"/>
      <c r="AS83" s="90"/>
    </row>
    <row r="84" spans="2:45" x14ac:dyDescent="0.25">
      <c r="B84" s="90"/>
      <c r="C84" s="90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  <c r="P84" s="90"/>
      <c r="R84" s="90"/>
      <c r="S84" s="90"/>
      <c r="T84" s="90"/>
      <c r="U84" s="90"/>
      <c r="V84" s="90"/>
      <c r="W84" s="90"/>
      <c r="X84" s="90"/>
      <c r="Y84" s="90"/>
      <c r="Z84" s="90"/>
      <c r="AA84" s="90"/>
      <c r="AB84" s="90"/>
      <c r="AC84" s="90"/>
      <c r="AD84" s="90"/>
      <c r="AF84" s="90"/>
      <c r="AG84" s="90"/>
      <c r="AH84" s="90"/>
      <c r="AI84" s="90"/>
      <c r="AJ84" s="90"/>
      <c r="AK84" s="90"/>
      <c r="AL84" s="90"/>
      <c r="AM84" s="90"/>
      <c r="AN84" s="90"/>
      <c r="AO84" s="90"/>
      <c r="AP84" s="90"/>
      <c r="AQ84" s="90"/>
      <c r="AR84" s="90"/>
      <c r="AS84" s="90"/>
    </row>
    <row r="85" spans="2:45" x14ac:dyDescent="0.25">
      <c r="B85" s="90"/>
      <c r="C85" s="90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P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F85" s="90"/>
      <c r="AG85" s="90"/>
      <c r="AH85" s="90"/>
      <c r="AI85" s="90"/>
      <c r="AJ85" s="90"/>
      <c r="AK85" s="90"/>
      <c r="AL85" s="90"/>
      <c r="AM85" s="90"/>
      <c r="AN85" s="90"/>
      <c r="AO85" s="90"/>
      <c r="AP85" s="90"/>
      <c r="AQ85" s="90"/>
      <c r="AR85" s="90"/>
      <c r="AS85" s="90"/>
    </row>
    <row r="86" spans="2:45" x14ac:dyDescent="0.25">
      <c r="B86" s="90"/>
      <c r="C86" s="90"/>
      <c r="D86" s="90"/>
      <c r="E86" s="90"/>
      <c r="F86" s="90"/>
      <c r="G86" s="90"/>
      <c r="H86" s="90"/>
      <c r="I86" s="90"/>
      <c r="J86" s="90"/>
      <c r="K86" s="90"/>
      <c r="L86" s="90"/>
      <c r="M86" s="90"/>
      <c r="N86" s="90"/>
      <c r="O86" s="90"/>
      <c r="P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F86" s="90"/>
      <c r="AG86" s="90"/>
      <c r="AH86" s="90"/>
      <c r="AI86" s="90"/>
      <c r="AJ86" s="90"/>
      <c r="AK86" s="90"/>
      <c r="AL86" s="90"/>
      <c r="AM86" s="90"/>
      <c r="AN86" s="90"/>
      <c r="AO86" s="90"/>
      <c r="AP86" s="90"/>
      <c r="AQ86" s="90"/>
      <c r="AR86" s="90"/>
      <c r="AS86" s="90"/>
    </row>
    <row r="87" spans="2:45" x14ac:dyDescent="0.25">
      <c r="B87" s="90"/>
      <c r="C87" s="90"/>
      <c r="D87" s="90"/>
      <c r="E87" s="90"/>
      <c r="F87" s="90"/>
      <c r="G87" s="90"/>
      <c r="H87" s="90"/>
      <c r="I87" s="90"/>
      <c r="J87" s="90"/>
      <c r="K87" s="90"/>
      <c r="L87" s="90"/>
      <c r="M87" s="90"/>
      <c r="N87" s="90"/>
      <c r="O87" s="90"/>
      <c r="P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F87" s="90"/>
      <c r="AG87" s="90"/>
      <c r="AH87" s="90"/>
      <c r="AI87" s="90"/>
      <c r="AJ87" s="90"/>
      <c r="AK87" s="90"/>
      <c r="AL87" s="90"/>
      <c r="AM87" s="90"/>
      <c r="AN87" s="90"/>
      <c r="AO87" s="90"/>
      <c r="AP87" s="90"/>
      <c r="AQ87" s="90"/>
      <c r="AR87" s="90"/>
      <c r="AS87" s="90"/>
    </row>
    <row r="88" spans="2:45" x14ac:dyDescent="0.25">
      <c r="B88" s="90"/>
      <c r="C88" s="9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P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F88" s="90"/>
      <c r="AG88" s="90"/>
      <c r="AH88" s="90"/>
      <c r="AI88" s="90"/>
      <c r="AJ88" s="90"/>
      <c r="AK88" s="90"/>
      <c r="AL88" s="90"/>
      <c r="AM88" s="90"/>
      <c r="AN88" s="90"/>
      <c r="AO88" s="90"/>
      <c r="AP88" s="90"/>
      <c r="AQ88" s="90"/>
      <c r="AR88" s="90"/>
      <c r="AS88" s="90"/>
    </row>
    <row r="89" spans="2:45" x14ac:dyDescent="0.25">
      <c r="B89" s="90"/>
      <c r="C89" s="90"/>
      <c r="D89" s="90"/>
      <c r="E89" s="90"/>
      <c r="F89" s="90"/>
      <c r="G89" s="90"/>
      <c r="H89" s="90"/>
      <c r="I89" s="90"/>
      <c r="J89" s="90"/>
      <c r="K89" s="90"/>
      <c r="L89" s="90"/>
      <c r="M89" s="90"/>
      <c r="N89" s="90"/>
      <c r="O89" s="90"/>
      <c r="P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F89" s="90"/>
      <c r="AG89" s="90"/>
      <c r="AH89" s="90"/>
      <c r="AI89" s="90"/>
      <c r="AJ89" s="90"/>
      <c r="AK89" s="90"/>
      <c r="AL89" s="90"/>
      <c r="AM89" s="90"/>
      <c r="AN89" s="90"/>
      <c r="AO89" s="90"/>
      <c r="AP89" s="90"/>
      <c r="AQ89" s="90"/>
      <c r="AR89" s="90"/>
      <c r="AS89" s="90"/>
    </row>
    <row r="90" spans="2:45" x14ac:dyDescent="0.25">
      <c r="B90" s="90"/>
      <c r="C90" s="90"/>
      <c r="D90" s="90"/>
      <c r="E90" s="90"/>
      <c r="F90" s="90"/>
      <c r="G90" s="90"/>
      <c r="H90" s="90"/>
      <c r="I90" s="90"/>
      <c r="J90" s="90"/>
      <c r="K90" s="90"/>
      <c r="L90" s="90"/>
      <c r="M90" s="90"/>
      <c r="N90" s="90"/>
      <c r="O90" s="90"/>
      <c r="P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F90" s="90"/>
      <c r="AG90" s="90"/>
      <c r="AH90" s="90"/>
      <c r="AI90" s="90"/>
      <c r="AJ90" s="90"/>
      <c r="AK90" s="90"/>
      <c r="AL90" s="90"/>
      <c r="AM90" s="90"/>
      <c r="AN90" s="90"/>
      <c r="AO90" s="90"/>
      <c r="AP90" s="90"/>
      <c r="AQ90" s="90"/>
      <c r="AR90" s="90"/>
      <c r="AS90" s="90"/>
    </row>
    <row r="91" spans="2:45" x14ac:dyDescent="0.25">
      <c r="B91" s="90"/>
      <c r="C91" s="90"/>
      <c r="D91" s="90"/>
      <c r="E91" s="90"/>
      <c r="F91" s="90"/>
      <c r="G91" s="90"/>
      <c r="H91" s="90"/>
      <c r="I91" s="90"/>
      <c r="J91" s="90"/>
      <c r="K91" s="90"/>
      <c r="L91" s="90"/>
      <c r="M91" s="90"/>
      <c r="N91" s="90"/>
      <c r="O91" s="90"/>
      <c r="P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F91" s="90"/>
      <c r="AG91" s="90"/>
      <c r="AH91" s="90"/>
      <c r="AI91" s="90"/>
      <c r="AJ91" s="90"/>
      <c r="AK91" s="90"/>
      <c r="AL91" s="90"/>
      <c r="AM91" s="90"/>
      <c r="AN91" s="90"/>
      <c r="AO91" s="90"/>
      <c r="AP91" s="90"/>
      <c r="AQ91" s="90"/>
      <c r="AR91" s="90"/>
      <c r="AS91" s="90"/>
    </row>
    <row r="92" spans="2:45" x14ac:dyDescent="0.25">
      <c r="B92" s="90"/>
      <c r="C92" s="90"/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F92" s="90"/>
      <c r="AG92" s="90"/>
      <c r="AH92" s="90"/>
      <c r="AI92" s="90"/>
      <c r="AJ92" s="90"/>
      <c r="AK92" s="90"/>
      <c r="AL92" s="90"/>
      <c r="AM92" s="90"/>
      <c r="AN92" s="90"/>
      <c r="AO92" s="90"/>
      <c r="AP92" s="90"/>
      <c r="AQ92" s="90"/>
      <c r="AR92" s="90"/>
      <c r="AS92" s="90"/>
    </row>
    <row r="93" spans="2:45" x14ac:dyDescent="0.25">
      <c r="B93" s="90"/>
      <c r="C93" s="90"/>
      <c r="D93" s="90"/>
      <c r="E93" s="90"/>
      <c r="F93" s="90"/>
      <c r="G93" s="90"/>
      <c r="H93" s="90"/>
      <c r="I93" s="90"/>
      <c r="J93" s="90"/>
      <c r="K93" s="90"/>
      <c r="L93" s="90"/>
      <c r="M93" s="90"/>
      <c r="N93" s="90"/>
      <c r="O93" s="90"/>
      <c r="P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F93" s="90"/>
      <c r="AG93" s="90"/>
      <c r="AH93" s="90"/>
      <c r="AI93" s="90"/>
      <c r="AJ93" s="90"/>
      <c r="AK93" s="90"/>
      <c r="AL93" s="90"/>
      <c r="AM93" s="90"/>
      <c r="AN93" s="90"/>
      <c r="AO93" s="90"/>
      <c r="AP93" s="90"/>
      <c r="AQ93" s="90"/>
      <c r="AR93" s="90"/>
      <c r="AS93" s="90"/>
    </row>
    <row r="94" spans="2:45" x14ac:dyDescent="0.25">
      <c r="B94" s="90"/>
      <c r="C94" s="90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90"/>
      <c r="R94" s="90"/>
      <c r="S94" s="90"/>
      <c r="T94" s="90"/>
      <c r="U94" s="90"/>
      <c r="V94" s="90"/>
      <c r="W94" s="90"/>
      <c r="X94" s="90"/>
      <c r="Y94" s="90"/>
      <c r="Z94" s="90"/>
      <c r="AA94" s="90"/>
      <c r="AB94" s="90"/>
      <c r="AC94" s="90"/>
      <c r="AD94" s="90"/>
      <c r="AF94" s="90"/>
      <c r="AG94" s="90"/>
      <c r="AH94" s="90"/>
      <c r="AI94" s="90"/>
      <c r="AJ94" s="90"/>
      <c r="AK94" s="90"/>
      <c r="AL94" s="90"/>
      <c r="AM94" s="90"/>
      <c r="AN94" s="90"/>
      <c r="AO94" s="90"/>
      <c r="AP94" s="90"/>
      <c r="AQ94" s="90"/>
      <c r="AR94" s="90"/>
      <c r="AS94" s="90"/>
    </row>
    <row r="95" spans="2:45" x14ac:dyDescent="0.25">
      <c r="B95" s="90"/>
      <c r="C95" s="90"/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90"/>
      <c r="R95" s="90"/>
      <c r="S95" s="90"/>
      <c r="T95" s="90"/>
      <c r="U95" s="90"/>
      <c r="V95" s="90"/>
      <c r="W95" s="90"/>
      <c r="X95" s="90"/>
      <c r="Y95" s="90"/>
      <c r="Z95" s="90"/>
      <c r="AA95" s="90"/>
      <c r="AB95" s="90"/>
      <c r="AC95" s="90"/>
      <c r="AD95" s="90"/>
      <c r="AF95" s="90"/>
      <c r="AG95" s="90"/>
      <c r="AH95" s="90"/>
      <c r="AI95" s="90"/>
      <c r="AJ95" s="90"/>
      <c r="AK95" s="90"/>
      <c r="AL95" s="90"/>
      <c r="AM95" s="90"/>
      <c r="AN95" s="90"/>
      <c r="AO95" s="90"/>
      <c r="AP95" s="90"/>
      <c r="AQ95" s="90"/>
      <c r="AR95" s="90"/>
      <c r="AS95" s="90"/>
    </row>
    <row r="96" spans="2:45" x14ac:dyDescent="0.25">
      <c r="B96" s="90"/>
      <c r="C96" s="90"/>
      <c r="D96" s="90"/>
      <c r="E96" s="90"/>
      <c r="F96" s="90"/>
      <c r="G96" s="90"/>
      <c r="H96" s="90"/>
      <c r="I96" s="90"/>
      <c r="J96" s="90"/>
      <c r="K96" s="90"/>
      <c r="L96" s="90"/>
      <c r="M96" s="90"/>
      <c r="N96" s="90"/>
      <c r="O96" s="90"/>
      <c r="P96" s="90"/>
      <c r="R96" s="90"/>
      <c r="S96" s="90"/>
      <c r="T96" s="90"/>
      <c r="U96" s="90"/>
      <c r="V96" s="90"/>
      <c r="W96" s="90"/>
      <c r="X96" s="90"/>
      <c r="Y96" s="90"/>
      <c r="Z96" s="90"/>
      <c r="AA96" s="90"/>
      <c r="AB96" s="90"/>
      <c r="AC96" s="90"/>
      <c r="AD96" s="90"/>
      <c r="AF96" s="90"/>
      <c r="AG96" s="90"/>
      <c r="AH96" s="90"/>
      <c r="AI96" s="90"/>
      <c r="AJ96" s="90"/>
      <c r="AK96" s="90"/>
      <c r="AL96" s="90"/>
      <c r="AM96" s="90"/>
      <c r="AN96" s="90"/>
      <c r="AO96" s="90"/>
      <c r="AP96" s="90"/>
      <c r="AQ96" s="90"/>
      <c r="AR96" s="90"/>
      <c r="AS96" s="90"/>
    </row>
    <row r="97" spans="2:45" x14ac:dyDescent="0.25"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</row>
    <row r="98" spans="2:45" x14ac:dyDescent="0.25">
      <c r="B98" s="90"/>
      <c r="C98" s="90"/>
      <c r="D98" s="90"/>
      <c r="E98" s="90"/>
      <c r="F98" s="90"/>
      <c r="G98" s="90"/>
      <c r="H98" s="90"/>
      <c r="I98" s="90"/>
      <c r="J98" s="90"/>
      <c r="K98" s="90"/>
      <c r="L98" s="90"/>
      <c r="M98" s="90"/>
      <c r="N98" s="90"/>
      <c r="O98" s="90"/>
      <c r="P98" s="90"/>
      <c r="R98" s="90"/>
      <c r="S98" s="90"/>
      <c r="T98" s="90"/>
      <c r="U98" s="90"/>
      <c r="V98" s="90"/>
      <c r="W98" s="90"/>
      <c r="X98" s="90"/>
      <c r="Y98" s="90"/>
      <c r="Z98" s="90"/>
      <c r="AA98" s="90"/>
      <c r="AB98" s="90"/>
      <c r="AC98" s="90"/>
      <c r="AD98" s="90"/>
      <c r="AF98" s="90"/>
      <c r="AG98" s="90"/>
      <c r="AH98" s="90"/>
      <c r="AI98" s="90"/>
      <c r="AJ98" s="90"/>
      <c r="AK98" s="90"/>
      <c r="AL98" s="90"/>
      <c r="AM98" s="90"/>
      <c r="AN98" s="90"/>
      <c r="AO98" s="90"/>
      <c r="AP98" s="90"/>
      <c r="AQ98" s="90"/>
      <c r="AR98" s="90"/>
      <c r="AS98" s="90"/>
    </row>
    <row r="99" spans="2:45" x14ac:dyDescent="0.25">
      <c r="B99" s="90"/>
      <c r="C99" s="90"/>
      <c r="D99" s="90"/>
      <c r="E99" s="90"/>
      <c r="F99" s="90"/>
      <c r="G99" s="90"/>
      <c r="H99" s="90"/>
      <c r="I99" s="90"/>
      <c r="J99" s="90"/>
      <c r="K99" s="90"/>
      <c r="L99" s="90"/>
      <c r="M99" s="90"/>
      <c r="N99" s="90"/>
      <c r="O99" s="90"/>
      <c r="P99" s="90"/>
      <c r="R99" s="90"/>
      <c r="S99" s="90"/>
      <c r="T99" s="90"/>
      <c r="U99" s="90"/>
      <c r="V99" s="90"/>
      <c r="W99" s="90"/>
      <c r="X99" s="90"/>
      <c r="Y99" s="90"/>
      <c r="Z99" s="90"/>
      <c r="AA99" s="90"/>
      <c r="AB99" s="90"/>
      <c r="AC99" s="90"/>
      <c r="AD99" s="90"/>
      <c r="AF99" s="90"/>
      <c r="AG99" s="90"/>
      <c r="AH99" s="90"/>
      <c r="AI99" s="90"/>
      <c r="AJ99" s="90"/>
      <c r="AK99" s="90"/>
      <c r="AL99" s="90"/>
      <c r="AM99" s="90"/>
      <c r="AN99" s="90"/>
      <c r="AO99" s="90"/>
      <c r="AP99" s="90"/>
      <c r="AQ99" s="90"/>
      <c r="AR99" s="90"/>
      <c r="AS99" s="90"/>
    </row>
    <row r="100" spans="2:45" x14ac:dyDescent="0.25">
      <c r="B100" s="90"/>
      <c r="C100" s="90"/>
      <c r="D100" s="90"/>
      <c r="E100" s="90"/>
      <c r="F100" s="90"/>
      <c r="G100" s="90"/>
      <c r="H100" s="90"/>
      <c r="I100" s="90"/>
      <c r="J100" s="90"/>
      <c r="K100" s="90"/>
      <c r="L100" s="90"/>
      <c r="M100" s="90"/>
      <c r="N100" s="90"/>
      <c r="O100" s="90"/>
      <c r="P100" s="90"/>
      <c r="R100" s="90"/>
      <c r="S100" s="90"/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F100" s="90"/>
      <c r="AG100" s="90"/>
      <c r="AH100" s="90"/>
      <c r="AI100" s="90"/>
      <c r="AJ100" s="90"/>
      <c r="AK100" s="90"/>
      <c r="AL100" s="90"/>
      <c r="AM100" s="90"/>
      <c r="AN100" s="90"/>
      <c r="AO100" s="90"/>
      <c r="AP100" s="90"/>
      <c r="AQ100" s="90"/>
      <c r="AR100" s="90"/>
      <c r="AS100" s="90"/>
    </row>
    <row r="101" spans="2:45" x14ac:dyDescent="0.25">
      <c r="B101" s="90"/>
      <c r="C101" s="90"/>
      <c r="D101" s="90"/>
      <c r="E101" s="90"/>
      <c r="F101" s="90"/>
      <c r="G101" s="90"/>
      <c r="H101" s="90"/>
      <c r="I101" s="90"/>
      <c r="J101" s="90"/>
      <c r="K101" s="90"/>
      <c r="L101" s="90"/>
      <c r="M101" s="90"/>
      <c r="N101" s="90"/>
      <c r="O101" s="90"/>
      <c r="P101" s="90"/>
      <c r="R101" s="90"/>
      <c r="S101" s="90"/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F101" s="90"/>
      <c r="AG101" s="90"/>
      <c r="AH101" s="90"/>
      <c r="AI101" s="90"/>
      <c r="AJ101" s="90"/>
      <c r="AK101" s="90"/>
      <c r="AL101" s="90"/>
      <c r="AM101" s="90"/>
      <c r="AN101" s="90"/>
      <c r="AO101" s="90"/>
      <c r="AP101" s="90"/>
      <c r="AQ101" s="90"/>
      <c r="AR101" s="90"/>
      <c r="AS101" s="90"/>
    </row>
    <row r="102" spans="2:45" x14ac:dyDescent="0.25">
      <c r="B102" s="90"/>
      <c r="C102" s="90"/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90"/>
      <c r="R102" s="90"/>
      <c r="S102" s="90"/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F102" s="90"/>
      <c r="AG102" s="90"/>
      <c r="AH102" s="90"/>
      <c r="AI102" s="90"/>
      <c r="AJ102" s="90"/>
      <c r="AK102" s="90"/>
      <c r="AL102" s="90"/>
      <c r="AM102" s="90"/>
      <c r="AN102" s="90"/>
      <c r="AO102" s="90"/>
      <c r="AP102" s="90"/>
      <c r="AQ102" s="90"/>
      <c r="AR102" s="90"/>
      <c r="AS102" s="90"/>
    </row>
    <row r="103" spans="2:45" x14ac:dyDescent="0.25">
      <c r="B103" s="90"/>
      <c r="C103" s="90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F103" s="90"/>
      <c r="AG103" s="90"/>
      <c r="AH103" s="90"/>
      <c r="AI103" s="90"/>
      <c r="AJ103" s="90"/>
      <c r="AK103" s="90"/>
      <c r="AL103" s="90"/>
      <c r="AM103" s="90"/>
      <c r="AN103" s="90"/>
      <c r="AO103" s="90"/>
      <c r="AP103" s="90"/>
      <c r="AQ103" s="90"/>
      <c r="AR103" s="90"/>
      <c r="AS103" s="90"/>
    </row>
    <row r="104" spans="2:45" x14ac:dyDescent="0.25">
      <c r="B104" s="90"/>
      <c r="C104" s="90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F104" s="90"/>
      <c r="AG104" s="90"/>
      <c r="AH104" s="90"/>
      <c r="AI104" s="90"/>
      <c r="AJ104" s="90"/>
      <c r="AK104" s="90"/>
      <c r="AL104" s="90"/>
      <c r="AM104" s="90"/>
      <c r="AN104" s="90"/>
      <c r="AO104" s="90"/>
      <c r="AP104" s="90"/>
      <c r="AQ104" s="90"/>
      <c r="AR104" s="90"/>
      <c r="AS104" s="90"/>
    </row>
    <row r="105" spans="2:45" x14ac:dyDescent="0.25">
      <c r="B105" s="90"/>
      <c r="C105" s="90"/>
      <c r="D105" s="90"/>
      <c r="E105" s="90"/>
      <c r="F105" s="90"/>
      <c r="G105" s="90"/>
      <c r="H105" s="90"/>
      <c r="I105" s="90"/>
      <c r="J105" s="90"/>
      <c r="K105" s="90"/>
      <c r="L105" s="90"/>
      <c r="M105" s="90"/>
      <c r="N105" s="90"/>
      <c r="O105" s="90"/>
      <c r="P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F105" s="90"/>
      <c r="AG105" s="90"/>
      <c r="AH105" s="90"/>
      <c r="AI105" s="90"/>
      <c r="AJ105" s="90"/>
      <c r="AK105" s="90"/>
      <c r="AL105" s="90"/>
      <c r="AM105" s="90"/>
      <c r="AN105" s="90"/>
      <c r="AO105" s="90"/>
      <c r="AP105" s="90"/>
      <c r="AQ105" s="90"/>
      <c r="AR105" s="90"/>
      <c r="AS105" s="90"/>
    </row>
    <row r="106" spans="2:45" x14ac:dyDescent="0.25">
      <c r="B106" s="90"/>
      <c r="C106" s="90"/>
      <c r="D106" s="90"/>
      <c r="E106" s="90"/>
      <c r="F106" s="90"/>
      <c r="G106" s="90"/>
      <c r="H106" s="90"/>
      <c r="I106" s="90"/>
      <c r="J106" s="90"/>
      <c r="K106" s="90"/>
      <c r="L106" s="90"/>
      <c r="M106" s="90"/>
      <c r="N106" s="90"/>
      <c r="O106" s="90"/>
      <c r="P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F106" s="90"/>
      <c r="AG106" s="90"/>
      <c r="AH106" s="90"/>
      <c r="AI106" s="90"/>
      <c r="AJ106" s="90"/>
      <c r="AK106" s="90"/>
      <c r="AL106" s="90"/>
      <c r="AM106" s="90"/>
      <c r="AN106" s="90"/>
      <c r="AO106" s="90"/>
      <c r="AP106" s="90"/>
      <c r="AQ106" s="90"/>
      <c r="AR106" s="90"/>
      <c r="AS106" s="90"/>
    </row>
    <row r="107" spans="2:45" x14ac:dyDescent="0.25">
      <c r="B107" s="90"/>
      <c r="C107" s="90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F107" s="90"/>
      <c r="AG107" s="90"/>
      <c r="AH107" s="90"/>
      <c r="AI107" s="90"/>
      <c r="AJ107" s="90"/>
      <c r="AK107" s="90"/>
      <c r="AL107" s="90"/>
      <c r="AM107" s="90"/>
      <c r="AN107" s="90"/>
      <c r="AO107" s="90"/>
      <c r="AP107" s="90"/>
      <c r="AQ107" s="90"/>
      <c r="AR107" s="90"/>
      <c r="AS107" s="90"/>
    </row>
    <row r="108" spans="2:45" x14ac:dyDescent="0.25">
      <c r="B108" s="90"/>
      <c r="C108" s="90"/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P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F108" s="90"/>
      <c r="AG108" s="90"/>
      <c r="AH108" s="90"/>
      <c r="AI108" s="90"/>
      <c r="AJ108" s="90"/>
      <c r="AK108" s="90"/>
      <c r="AL108" s="90"/>
      <c r="AM108" s="90"/>
      <c r="AN108" s="90"/>
      <c r="AO108" s="90"/>
      <c r="AP108" s="90"/>
      <c r="AQ108" s="90"/>
      <c r="AR108" s="90"/>
      <c r="AS108" s="90"/>
    </row>
    <row r="109" spans="2:45" x14ac:dyDescent="0.25">
      <c r="B109" s="90"/>
      <c r="C109" s="90"/>
      <c r="D109" s="90"/>
      <c r="E109" s="90"/>
      <c r="F109" s="90"/>
      <c r="G109" s="90"/>
      <c r="H109" s="90"/>
      <c r="I109" s="90"/>
      <c r="J109" s="90"/>
      <c r="K109" s="90"/>
      <c r="L109" s="90"/>
      <c r="M109" s="90"/>
      <c r="N109" s="90"/>
      <c r="O109" s="90"/>
      <c r="P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F109" s="90"/>
      <c r="AG109" s="90"/>
      <c r="AH109" s="90"/>
      <c r="AI109" s="90"/>
      <c r="AJ109" s="90"/>
      <c r="AK109" s="90"/>
      <c r="AL109" s="90"/>
      <c r="AM109" s="90"/>
      <c r="AN109" s="90"/>
      <c r="AO109" s="90"/>
      <c r="AP109" s="90"/>
      <c r="AQ109" s="90"/>
      <c r="AR109" s="90"/>
      <c r="AS109" s="90"/>
    </row>
    <row r="110" spans="2:45" x14ac:dyDescent="0.25">
      <c r="B110" s="90"/>
      <c r="C110" s="90"/>
      <c r="D110" s="90"/>
      <c r="E110" s="90"/>
      <c r="F110" s="90"/>
      <c r="G110" s="90"/>
      <c r="H110" s="90"/>
      <c r="I110" s="90"/>
      <c r="J110" s="90"/>
      <c r="K110" s="90"/>
      <c r="L110" s="90"/>
      <c r="M110" s="90"/>
      <c r="N110" s="90"/>
      <c r="O110" s="90"/>
      <c r="P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F110" s="90"/>
      <c r="AG110" s="90"/>
      <c r="AH110" s="90"/>
      <c r="AI110" s="90"/>
      <c r="AJ110" s="90"/>
      <c r="AK110" s="90"/>
      <c r="AL110" s="90"/>
      <c r="AM110" s="90"/>
      <c r="AN110" s="90"/>
      <c r="AO110" s="90"/>
      <c r="AP110" s="90"/>
      <c r="AQ110" s="90"/>
      <c r="AR110" s="90"/>
      <c r="AS110" s="90"/>
    </row>
    <row r="111" spans="2:45" x14ac:dyDescent="0.25">
      <c r="B111" s="90"/>
      <c r="C111" s="90"/>
      <c r="D111" s="90"/>
      <c r="E111" s="90"/>
      <c r="F111" s="90"/>
      <c r="G111" s="90"/>
      <c r="H111" s="90"/>
      <c r="I111" s="90"/>
      <c r="J111" s="90"/>
      <c r="K111" s="90"/>
      <c r="L111" s="90"/>
      <c r="M111" s="90"/>
      <c r="N111" s="90"/>
      <c r="O111" s="90"/>
      <c r="P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F111" s="90"/>
      <c r="AG111" s="90"/>
      <c r="AH111" s="90"/>
      <c r="AI111" s="90"/>
      <c r="AJ111" s="90"/>
      <c r="AK111" s="90"/>
      <c r="AL111" s="90"/>
      <c r="AM111" s="90"/>
      <c r="AN111" s="90"/>
      <c r="AO111" s="90"/>
      <c r="AP111" s="90"/>
      <c r="AQ111" s="90"/>
      <c r="AR111" s="90"/>
      <c r="AS111" s="90"/>
    </row>
    <row r="112" spans="2:45" x14ac:dyDescent="0.25">
      <c r="B112" s="90"/>
      <c r="C112" s="90"/>
      <c r="D112" s="90"/>
      <c r="E112" s="90"/>
      <c r="F112" s="90"/>
      <c r="G112" s="90"/>
      <c r="H112" s="90"/>
      <c r="I112" s="90"/>
      <c r="J112" s="90"/>
      <c r="K112" s="90"/>
      <c r="L112" s="90"/>
      <c r="M112" s="90"/>
      <c r="N112" s="90"/>
      <c r="O112" s="90"/>
      <c r="P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F112" s="90"/>
      <c r="AG112" s="90"/>
      <c r="AH112" s="90"/>
      <c r="AI112" s="90"/>
      <c r="AJ112" s="90"/>
      <c r="AK112" s="90"/>
      <c r="AL112" s="90"/>
      <c r="AM112" s="90"/>
      <c r="AN112" s="90"/>
      <c r="AO112" s="90"/>
      <c r="AP112" s="90"/>
      <c r="AQ112" s="90"/>
      <c r="AR112" s="90"/>
      <c r="AS112" s="90"/>
    </row>
    <row r="113" spans="2:45" x14ac:dyDescent="0.25"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0"/>
      <c r="M113" s="90"/>
      <c r="N113" s="90"/>
      <c r="O113" s="90"/>
      <c r="P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F113" s="90"/>
      <c r="AG113" s="90"/>
      <c r="AH113" s="90"/>
      <c r="AI113" s="90"/>
      <c r="AJ113" s="90"/>
      <c r="AK113" s="90"/>
      <c r="AL113" s="90"/>
      <c r="AM113" s="90"/>
      <c r="AN113" s="90"/>
      <c r="AO113" s="90"/>
      <c r="AP113" s="90"/>
      <c r="AQ113" s="90"/>
      <c r="AR113" s="90"/>
      <c r="AS113" s="90"/>
    </row>
    <row r="114" spans="2:45" x14ac:dyDescent="0.25"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0"/>
      <c r="M114" s="90"/>
      <c r="N114" s="90"/>
      <c r="O114" s="90"/>
      <c r="P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F114" s="90"/>
      <c r="AG114" s="90"/>
      <c r="AH114" s="90"/>
      <c r="AI114" s="90"/>
      <c r="AJ114" s="90"/>
      <c r="AK114" s="90"/>
      <c r="AL114" s="90"/>
      <c r="AM114" s="90"/>
      <c r="AN114" s="90"/>
      <c r="AO114" s="90"/>
      <c r="AP114" s="90"/>
      <c r="AQ114" s="90"/>
      <c r="AR114" s="90"/>
      <c r="AS114" s="90"/>
    </row>
    <row r="115" spans="2:45" x14ac:dyDescent="0.25">
      <c r="B115" s="90"/>
      <c r="C115" s="90"/>
      <c r="D115" s="90"/>
      <c r="E115" s="90"/>
      <c r="F115" s="90"/>
      <c r="G115" s="90"/>
      <c r="H115" s="90"/>
      <c r="I115" s="90"/>
      <c r="J115" s="90"/>
      <c r="K115" s="90"/>
      <c r="L115" s="90"/>
      <c r="M115" s="90"/>
      <c r="N115" s="90"/>
      <c r="O115" s="90"/>
      <c r="P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0"/>
      <c r="AS115" s="90"/>
    </row>
    <row r="116" spans="2:45" x14ac:dyDescent="0.25">
      <c r="B116" s="90"/>
      <c r="C116" s="90"/>
      <c r="D116" s="90"/>
      <c r="E116" s="90"/>
      <c r="F116" s="90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F116" s="90"/>
      <c r="AG116" s="90"/>
      <c r="AH116" s="90"/>
      <c r="AI116" s="90"/>
      <c r="AJ116" s="90"/>
      <c r="AK116" s="90"/>
      <c r="AL116" s="90"/>
      <c r="AM116" s="90"/>
      <c r="AN116" s="90"/>
      <c r="AO116" s="90"/>
      <c r="AP116" s="90"/>
      <c r="AQ116" s="90"/>
      <c r="AR116" s="90"/>
      <c r="AS116" s="90"/>
    </row>
    <row r="117" spans="2:45" x14ac:dyDescent="0.25">
      <c r="B117" s="90"/>
      <c r="C117" s="90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P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F117" s="90"/>
      <c r="AG117" s="90"/>
      <c r="AH117" s="90"/>
      <c r="AI117" s="90"/>
      <c r="AJ117" s="90"/>
      <c r="AK117" s="90"/>
      <c r="AL117" s="90"/>
      <c r="AM117" s="90"/>
      <c r="AN117" s="90"/>
      <c r="AO117" s="90"/>
      <c r="AP117" s="90"/>
      <c r="AQ117" s="90"/>
      <c r="AR117" s="90"/>
      <c r="AS117" s="90"/>
    </row>
    <row r="118" spans="2:45" x14ac:dyDescent="0.25">
      <c r="B118" s="90"/>
      <c r="C118" s="90"/>
      <c r="D118" s="90"/>
      <c r="E118" s="90"/>
      <c r="F118" s="90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F118" s="90"/>
      <c r="AG118" s="90"/>
      <c r="AH118" s="90"/>
      <c r="AI118" s="90"/>
      <c r="AJ118" s="90"/>
      <c r="AK118" s="90"/>
      <c r="AL118" s="90"/>
      <c r="AM118" s="90"/>
      <c r="AN118" s="90"/>
      <c r="AO118" s="90"/>
      <c r="AP118" s="90"/>
      <c r="AQ118" s="90"/>
      <c r="AR118" s="90"/>
      <c r="AS118" s="90"/>
    </row>
    <row r="119" spans="2:45" x14ac:dyDescent="0.25">
      <c r="B119" s="90"/>
      <c r="C119" s="90"/>
      <c r="D119" s="90"/>
      <c r="E119" s="90"/>
      <c r="F119" s="90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F119" s="90"/>
      <c r="AG119" s="90"/>
      <c r="AH119" s="90"/>
      <c r="AI119" s="90"/>
      <c r="AJ119" s="90"/>
      <c r="AK119" s="90"/>
      <c r="AL119" s="90"/>
      <c r="AM119" s="90"/>
      <c r="AN119" s="90"/>
      <c r="AO119" s="90"/>
      <c r="AP119" s="90"/>
      <c r="AQ119" s="90"/>
      <c r="AR119" s="90"/>
      <c r="AS119" s="90"/>
    </row>
    <row r="120" spans="2:45" x14ac:dyDescent="0.25">
      <c r="B120" s="90"/>
      <c r="C120" s="90"/>
      <c r="D120" s="90"/>
      <c r="E120" s="90"/>
      <c r="F120" s="90"/>
      <c r="G120" s="90"/>
      <c r="H120" s="90"/>
      <c r="I120" s="90"/>
      <c r="J120" s="90"/>
      <c r="K120" s="90"/>
      <c r="L120" s="90"/>
      <c r="M120" s="90"/>
      <c r="N120" s="90"/>
      <c r="O120" s="90"/>
      <c r="P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F120" s="90"/>
      <c r="AG120" s="90"/>
      <c r="AH120" s="90"/>
      <c r="AI120" s="90"/>
      <c r="AJ120" s="90"/>
      <c r="AK120" s="90"/>
      <c r="AL120" s="90"/>
      <c r="AM120" s="90"/>
      <c r="AN120" s="90"/>
      <c r="AO120" s="90"/>
      <c r="AP120" s="90"/>
      <c r="AQ120" s="90"/>
      <c r="AR120" s="90"/>
      <c r="AS120" s="90"/>
    </row>
    <row r="121" spans="2:45" x14ac:dyDescent="0.25">
      <c r="B121" s="90"/>
      <c r="C121" s="90"/>
      <c r="D121" s="90"/>
      <c r="E121" s="90"/>
      <c r="F121" s="90"/>
      <c r="G121" s="90"/>
      <c r="H121" s="90"/>
      <c r="I121" s="90"/>
      <c r="J121" s="90"/>
      <c r="K121" s="90"/>
      <c r="L121" s="90"/>
      <c r="M121" s="90"/>
      <c r="N121" s="90"/>
      <c r="O121" s="90"/>
      <c r="P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F121" s="90"/>
      <c r="AG121" s="90"/>
      <c r="AH121" s="90"/>
      <c r="AI121" s="90"/>
      <c r="AJ121" s="90"/>
      <c r="AK121" s="90"/>
      <c r="AL121" s="90"/>
      <c r="AM121" s="90"/>
      <c r="AN121" s="90"/>
      <c r="AO121" s="90"/>
      <c r="AP121" s="90"/>
      <c r="AQ121" s="90"/>
      <c r="AR121" s="90"/>
      <c r="AS121" s="90"/>
    </row>
    <row r="122" spans="2:45" x14ac:dyDescent="0.25">
      <c r="B122" s="90"/>
      <c r="C122" s="90"/>
      <c r="D122" s="90"/>
      <c r="E122" s="90"/>
      <c r="F122" s="90"/>
      <c r="G122" s="90"/>
      <c r="H122" s="90"/>
      <c r="I122" s="90"/>
      <c r="J122" s="90"/>
      <c r="K122" s="90"/>
      <c r="L122" s="90"/>
      <c r="M122" s="90"/>
      <c r="N122" s="90"/>
      <c r="O122" s="90"/>
      <c r="P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F122" s="90"/>
      <c r="AG122" s="90"/>
      <c r="AH122" s="90"/>
      <c r="AI122" s="90"/>
      <c r="AJ122" s="90"/>
      <c r="AK122" s="90"/>
      <c r="AL122" s="90"/>
      <c r="AM122" s="90"/>
      <c r="AN122" s="90"/>
      <c r="AO122" s="90"/>
      <c r="AP122" s="90"/>
      <c r="AQ122" s="90"/>
      <c r="AR122" s="90"/>
      <c r="AS122" s="90"/>
    </row>
    <row r="123" spans="2:45" x14ac:dyDescent="0.25">
      <c r="B123" s="90"/>
      <c r="C123" s="90"/>
      <c r="D123" s="90"/>
      <c r="E123" s="90"/>
      <c r="F123" s="90"/>
      <c r="G123" s="90"/>
      <c r="H123" s="90"/>
      <c r="I123" s="90"/>
      <c r="J123" s="90"/>
      <c r="K123" s="90"/>
      <c r="L123" s="90"/>
      <c r="M123" s="90"/>
      <c r="N123" s="90"/>
      <c r="O123" s="90"/>
      <c r="P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F123" s="90"/>
      <c r="AG123" s="90"/>
      <c r="AH123" s="90"/>
      <c r="AI123" s="90"/>
      <c r="AJ123" s="90"/>
      <c r="AK123" s="90"/>
      <c r="AL123" s="90"/>
      <c r="AM123" s="90"/>
      <c r="AN123" s="90"/>
      <c r="AO123" s="90"/>
      <c r="AP123" s="90"/>
      <c r="AQ123" s="90"/>
      <c r="AR123" s="90"/>
      <c r="AS123" s="90"/>
    </row>
    <row r="124" spans="2:45" x14ac:dyDescent="0.25">
      <c r="B124" s="90"/>
      <c r="C124" s="90"/>
      <c r="D124" s="90"/>
      <c r="E124" s="90"/>
      <c r="F124" s="90"/>
      <c r="G124" s="90"/>
      <c r="H124" s="90"/>
      <c r="I124" s="90"/>
      <c r="J124" s="90"/>
      <c r="K124" s="90"/>
      <c r="L124" s="90"/>
      <c r="M124" s="90"/>
      <c r="N124" s="90"/>
      <c r="O124" s="90"/>
      <c r="P124" s="90"/>
      <c r="R124" s="90"/>
      <c r="S124" s="90"/>
      <c r="T124" s="90"/>
      <c r="U124" s="90"/>
      <c r="V124" s="90"/>
      <c r="W124" s="90"/>
      <c r="X124" s="90"/>
      <c r="Y124" s="90"/>
      <c r="Z124" s="90"/>
      <c r="AA124" s="90"/>
      <c r="AB124" s="90"/>
      <c r="AC124" s="90"/>
      <c r="AD124" s="90"/>
      <c r="AF124" s="90"/>
      <c r="AG124" s="90"/>
      <c r="AH124" s="90"/>
      <c r="AI124" s="90"/>
      <c r="AJ124" s="90"/>
      <c r="AK124" s="90"/>
      <c r="AL124" s="90"/>
      <c r="AM124" s="90"/>
      <c r="AN124" s="90"/>
      <c r="AO124" s="90"/>
      <c r="AP124" s="90"/>
      <c r="AQ124" s="90"/>
      <c r="AR124" s="90"/>
      <c r="AS124" s="90"/>
    </row>
    <row r="125" spans="2:45" x14ac:dyDescent="0.25">
      <c r="B125" s="90"/>
      <c r="C125" s="90"/>
      <c r="D125" s="90"/>
      <c r="E125" s="90"/>
      <c r="F125" s="90"/>
      <c r="G125" s="90"/>
      <c r="H125" s="90"/>
      <c r="I125" s="90"/>
      <c r="J125" s="90"/>
      <c r="K125" s="90"/>
      <c r="L125" s="90"/>
      <c r="M125" s="90"/>
      <c r="N125" s="90"/>
      <c r="O125" s="90"/>
      <c r="P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  <c r="AB125" s="90"/>
      <c r="AC125" s="90"/>
      <c r="AD125" s="90"/>
      <c r="AF125" s="90"/>
      <c r="AG125" s="90"/>
      <c r="AH125" s="90"/>
      <c r="AI125" s="90"/>
      <c r="AJ125" s="90"/>
      <c r="AK125" s="90"/>
      <c r="AL125" s="90"/>
      <c r="AM125" s="90"/>
      <c r="AN125" s="90"/>
      <c r="AO125" s="90"/>
      <c r="AP125" s="90"/>
      <c r="AQ125" s="90"/>
      <c r="AR125" s="90"/>
      <c r="AS125" s="90"/>
    </row>
    <row r="126" spans="2:45" x14ac:dyDescent="0.25">
      <c r="B126" s="90"/>
      <c r="C126" s="90"/>
      <c r="D126" s="90"/>
      <c r="E126" s="90"/>
      <c r="F126" s="90"/>
      <c r="G126" s="90"/>
      <c r="H126" s="90"/>
      <c r="I126" s="90"/>
      <c r="J126" s="90"/>
      <c r="K126" s="90"/>
      <c r="L126" s="90"/>
      <c r="M126" s="90"/>
      <c r="N126" s="90"/>
      <c r="O126" s="90"/>
      <c r="P126" s="90"/>
      <c r="R126" s="90"/>
      <c r="S126" s="90"/>
      <c r="T126" s="90"/>
      <c r="U126" s="90"/>
      <c r="V126" s="90"/>
      <c r="W126" s="90"/>
      <c r="X126" s="90"/>
      <c r="Y126" s="90"/>
      <c r="Z126" s="90"/>
      <c r="AA126" s="90"/>
      <c r="AB126" s="90"/>
      <c r="AC126" s="90"/>
      <c r="AD126" s="90"/>
      <c r="AF126" s="90"/>
      <c r="AG126" s="90"/>
      <c r="AH126" s="90"/>
      <c r="AI126" s="90"/>
      <c r="AJ126" s="90"/>
      <c r="AK126" s="90"/>
      <c r="AL126" s="90"/>
      <c r="AM126" s="90"/>
      <c r="AN126" s="90"/>
      <c r="AO126" s="90"/>
      <c r="AP126" s="90"/>
      <c r="AQ126" s="90"/>
      <c r="AR126" s="90"/>
      <c r="AS126" s="90"/>
    </row>
    <row r="127" spans="2:45" x14ac:dyDescent="0.25">
      <c r="B127" s="90"/>
      <c r="C127" s="90"/>
      <c r="D127" s="90"/>
      <c r="E127" s="90"/>
      <c r="F127" s="90"/>
      <c r="G127" s="90"/>
      <c r="H127" s="90"/>
      <c r="I127" s="90"/>
      <c r="J127" s="90"/>
      <c r="K127" s="90"/>
      <c r="L127" s="90"/>
      <c r="M127" s="90"/>
      <c r="N127" s="90"/>
      <c r="O127" s="90"/>
      <c r="P127" s="90"/>
      <c r="R127" s="90"/>
      <c r="S127" s="90"/>
      <c r="T127" s="90"/>
      <c r="U127" s="90"/>
      <c r="V127" s="90"/>
      <c r="W127" s="90"/>
      <c r="X127" s="90"/>
      <c r="Y127" s="90"/>
      <c r="Z127" s="90"/>
      <c r="AA127" s="90"/>
      <c r="AB127" s="90"/>
      <c r="AC127" s="90"/>
      <c r="AD127" s="90"/>
      <c r="AF127" s="90"/>
      <c r="AG127" s="90"/>
      <c r="AH127" s="90"/>
      <c r="AI127" s="90"/>
      <c r="AJ127" s="90"/>
      <c r="AK127" s="90"/>
      <c r="AL127" s="90"/>
      <c r="AM127" s="90"/>
      <c r="AN127" s="90"/>
      <c r="AO127" s="90"/>
      <c r="AP127" s="90"/>
      <c r="AQ127" s="90"/>
      <c r="AR127" s="90"/>
      <c r="AS127" s="90"/>
    </row>
    <row r="128" spans="2:45" x14ac:dyDescent="0.25">
      <c r="B128" s="90"/>
      <c r="C128" s="90"/>
      <c r="D128" s="90"/>
      <c r="E128" s="90"/>
      <c r="F128" s="90"/>
      <c r="G128" s="90"/>
      <c r="H128" s="90"/>
      <c r="I128" s="90"/>
      <c r="J128" s="90"/>
      <c r="K128" s="90"/>
      <c r="L128" s="90"/>
      <c r="M128" s="90"/>
      <c r="N128" s="90"/>
      <c r="O128" s="90"/>
      <c r="P128" s="90"/>
      <c r="R128" s="90"/>
      <c r="S128" s="90"/>
      <c r="T128" s="90"/>
      <c r="U128" s="90"/>
      <c r="V128" s="90"/>
      <c r="W128" s="90"/>
      <c r="X128" s="90"/>
      <c r="Y128" s="90"/>
      <c r="Z128" s="90"/>
      <c r="AA128" s="90"/>
      <c r="AB128" s="90"/>
      <c r="AC128" s="90"/>
      <c r="AD128" s="90"/>
      <c r="AF128" s="90"/>
      <c r="AG128" s="90"/>
      <c r="AH128" s="90"/>
      <c r="AI128" s="90"/>
      <c r="AJ128" s="90"/>
      <c r="AK128" s="90"/>
      <c r="AL128" s="90"/>
      <c r="AM128" s="90"/>
      <c r="AN128" s="90"/>
      <c r="AO128" s="90"/>
      <c r="AP128" s="90"/>
      <c r="AQ128" s="90"/>
      <c r="AR128" s="90"/>
      <c r="AS128" s="90"/>
    </row>
    <row r="129" spans="2:45" x14ac:dyDescent="0.25">
      <c r="B129" s="90"/>
      <c r="C129" s="90"/>
      <c r="D129" s="90"/>
      <c r="E129" s="90"/>
      <c r="F129" s="90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R129" s="90"/>
      <c r="S129" s="90"/>
      <c r="T129" s="90"/>
      <c r="U129" s="90"/>
      <c r="V129" s="90"/>
      <c r="W129" s="90"/>
      <c r="X129" s="90"/>
      <c r="Y129" s="90"/>
      <c r="Z129" s="90"/>
      <c r="AA129" s="90"/>
      <c r="AB129" s="90"/>
      <c r="AC129" s="90"/>
      <c r="AD129" s="90"/>
      <c r="AF129" s="90"/>
      <c r="AG129" s="90"/>
      <c r="AH129" s="90"/>
      <c r="AI129" s="90"/>
      <c r="AJ129" s="90"/>
      <c r="AK129" s="90"/>
      <c r="AL129" s="90"/>
      <c r="AM129" s="90"/>
      <c r="AN129" s="90"/>
      <c r="AO129" s="90"/>
      <c r="AP129" s="90"/>
      <c r="AQ129" s="90"/>
      <c r="AR129" s="90"/>
      <c r="AS129" s="90"/>
    </row>
    <row r="130" spans="2:45" x14ac:dyDescent="0.25">
      <c r="B130" s="90"/>
      <c r="C130" s="90"/>
      <c r="D130" s="90"/>
      <c r="E130" s="90"/>
      <c r="F130" s="90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R130" s="90"/>
      <c r="S130" s="90"/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F130" s="90"/>
      <c r="AG130" s="90"/>
      <c r="AH130" s="90"/>
      <c r="AI130" s="90"/>
      <c r="AJ130" s="90"/>
      <c r="AK130" s="90"/>
      <c r="AL130" s="90"/>
      <c r="AM130" s="90"/>
      <c r="AN130" s="90"/>
      <c r="AO130" s="90"/>
      <c r="AP130" s="90"/>
      <c r="AQ130" s="90"/>
      <c r="AR130" s="90"/>
      <c r="AS130" s="90"/>
    </row>
    <row r="131" spans="2:45" x14ac:dyDescent="0.25">
      <c r="B131" s="90"/>
      <c r="C131" s="90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F131" s="90"/>
      <c r="AG131" s="90"/>
      <c r="AH131" s="90"/>
      <c r="AI131" s="90"/>
      <c r="AJ131" s="90"/>
      <c r="AK131" s="90"/>
      <c r="AL131" s="90"/>
      <c r="AM131" s="90"/>
      <c r="AN131" s="90"/>
      <c r="AO131" s="90"/>
      <c r="AP131" s="90"/>
      <c r="AQ131" s="90"/>
      <c r="AR131" s="90"/>
      <c r="AS131" s="90"/>
    </row>
    <row r="132" spans="2:45" x14ac:dyDescent="0.25">
      <c r="B132" s="90"/>
      <c r="C132" s="90"/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F132" s="90"/>
      <c r="AG132" s="90"/>
      <c r="AH132" s="90"/>
      <c r="AI132" s="90"/>
      <c r="AJ132" s="90"/>
      <c r="AK132" s="90"/>
      <c r="AL132" s="90"/>
      <c r="AM132" s="90"/>
      <c r="AN132" s="90"/>
      <c r="AO132" s="90"/>
      <c r="AP132" s="90"/>
      <c r="AQ132" s="90"/>
      <c r="AR132" s="90"/>
      <c r="AS132" s="90"/>
    </row>
    <row r="133" spans="2:45" x14ac:dyDescent="0.25">
      <c r="B133" s="90"/>
      <c r="C133" s="90"/>
      <c r="D133" s="90"/>
      <c r="E133" s="90"/>
      <c r="F133" s="90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F133" s="90"/>
      <c r="AG133" s="90"/>
      <c r="AH133" s="90"/>
      <c r="AI133" s="90"/>
      <c r="AJ133" s="90"/>
      <c r="AK133" s="90"/>
      <c r="AL133" s="90"/>
      <c r="AM133" s="90"/>
      <c r="AN133" s="90"/>
      <c r="AO133" s="90"/>
      <c r="AP133" s="90"/>
      <c r="AQ133" s="90"/>
      <c r="AR133" s="90"/>
      <c r="AS133" s="90"/>
    </row>
  </sheetData>
  <mergeCells count="16">
    <mergeCell ref="B5:B44"/>
    <mergeCell ref="C5:C44"/>
    <mergeCell ref="B2:B3"/>
    <mergeCell ref="C2:C3"/>
    <mergeCell ref="D2:D3"/>
    <mergeCell ref="U47:AB48"/>
    <mergeCell ref="AI47:AP48"/>
    <mergeCell ref="D47:K48"/>
    <mergeCell ref="E2:J2"/>
    <mergeCell ref="K2:P2"/>
    <mergeCell ref="E3:F3"/>
    <mergeCell ref="G3:H3"/>
    <mergeCell ref="I3:J3"/>
    <mergeCell ref="K3:L3"/>
    <mergeCell ref="M3:N3"/>
    <mergeCell ref="O3:P3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B3:J48"/>
  <sheetViews>
    <sheetView zoomScale="55" zoomScaleNormal="55" workbookViewId="0">
      <selection activeCell="E3" sqref="E3:J4"/>
    </sheetView>
  </sheetViews>
  <sheetFormatPr baseColWidth="10" defaultRowHeight="15" x14ac:dyDescent="0.25"/>
  <cols>
    <col min="1" max="1" width="9.28515625" customWidth="1"/>
    <col min="2" max="2" width="15.5703125" customWidth="1"/>
    <col min="3" max="3" width="10.28515625" customWidth="1"/>
    <col min="5" max="10" width="22.7109375" customWidth="1"/>
  </cols>
  <sheetData>
    <row r="3" spans="2:10" x14ac:dyDescent="0.25">
      <c r="B3" s="127" t="s">
        <v>2</v>
      </c>
      <c r="C3" s="127" t="s">
        <v>16</v>
      </c>
      <c r="D3" s="127" t="s">
        <v>3</v>
      </c>
      <c r="E3" s="117" t="s">
        <v>65</v>
      </c>
      <c r="F3" s="117"/>
      <c r="G3" s="117"/>
      <c r="H3" s="117" t="s">
        <v>66</v>
      </c>
      <c r="I3" s="117"/>
      <c r="J3" s="117"/>
    </row>
    <row r="4" spans="2:10" ht="15.75" thickBot="1" x14ac:dyDescent="0.3">
      <c r="B4" s="128"/>
      <c r="C4" s="128"/>
      <c r="D4" s="128"/>
      <c r="E4" s="27" t="s">
        <v>67</v>
      </c>
      <c r="F4" s="27" t="s">
        <v>68</v>
      </c>
      <c r="G4" s="27" t="s">
        <v>69</v>
      </c>
      <c r="H4" s="27" t="s">
        <v>67</v>
      </c>
      <c r="I4" s="27" t="s">
        <v>68</v>
      </c>
      <c r="J4" s="27" t="s">
        <v>69</v>
      </c>
    </row>
    <row r="5" spans="2:10" x14ac:dyDescent="0.25">
      <c r="B5" s="121" t="s">
        <v>28</v>
      </c>
      <c r="C5" s="124" t="s">
        <v>18</v>
      </c>
      <c r="D5" s="19" t="s">
        <v>5</v>
      </c>
      <c r="E5" s="45">
        <v>1.02386468310808</v>
      </c>
      <c r="F5" s="46">
        <v>1.0191956126728701</v>
      </c>
      <c r="G5" s="47">
        <v>1.0237768969679499</v>
      </c>
      <c r="H5" s="45">
        <v>1.0229122291011701</v>
      </c>
      <c r="I5" s="46">
        <v>1.01855934301609</v>
      </c>
      <c r="J5" s="48">
        <v>1.0169380379111199</v>
      </c>
    </row>
    <row r="6" spans="2:10" x14ac:dyDescent="0.25">
      <c r="B6" s="122"/>
      <c r="C6" s="125"/>
      <c r="D6" s="18" t="s">
        <v>6</v>
      </c>
      <c r="E6" s="49">
        <v>1.1381540958117</v>
      </c>
      <c r="F6" s="50">
        <v>1.1459020971515299</v>
      </c>
      <c r="G6" s="51">
        <v>1.16260628504873</v>
      </c>
      <c r="H6" s="49">
        <v>1.1305517202664599</v>
      </c>
      <c r="I6" s="50">
        <v>1.1427210047376799</v>
      </c>
      <c r="J6" s="52">
        <v>1.11890938072485</v>
      </c>
    </row>
    <row r="7" spans="2:10" x14ac:dyDescent="0.25">
      <c r="B7" s="122"/>
      <c r="C7" s="125"/>
      <c r="D7" s="18" t="s">
        <v>7</v>
      </c>
      <c r="E7" s="49">
        <v>1.13932609919512</v>
      </c>
      <c r="F7" s="50">
        <v>1.14769630440569</v>
      </c>
      <c r="G7" s="51">
        <v>1.1699930523048201</v>
      </c>
      <c r="H7" s="49">
        <v>1.1311719745955999</v>
      </c>
      <c r="I7" s="50">
        <v>1.14361752807057</v>
      </c>
      <c r="J7" s="52">
        <v>1.1214641021489899</v>
      </c>
    </row>
    <row r="8" spans="2:10" x14ac:dyDescent="0.25">
      <c r="B8" s="122"/>
      <c r="C8" s="125"/>
      <c r="D8" s="18" t="s">
        <v>8</v>
      </c>
      <c r="E8" s="49">
        <v>1.1401361070958</v>
      </c>
      <c r="F8" s="50">
        <v>1.1492567062846299</v>
      </c>
      <c r="G8" s="51">
        <v>1.1767776976745501</v>
      </c>
      <c r="H8" s="49">
        <v>1.1314093565249701</v>
      </c>
      <c r="I8" s="50">
        <v>1.14413210469629</v>
      </c>
      <c r="J8" s="52">
        <v>1.1236701728631799</v>
      </c>
    </row>
    <row r="9" spans="2:10" x14ac:dyDescent="0.25">
      <c r="B9" s="122"/>
      <c r="C9" s="125"/>
      <c r="D9" s="18" t="s">
        <v>9</v>
      </c>
      <c r="E9" s="49">
        <v>1.14047351668964</v>
      </c>
      <c r="F9" s="50">
        <v>1.1502868261388299</v>
      </c>
      <c r="G9" s="51">
        <v>1.1821659348168401</v>
      </c>
      <c r="H9" s="49">
        <v>1.1312421869712601</v>
      </c>
      <c r="I9" s="50">
        <v>1.14420864601198</v>
      </c>
      <c r="J9" s="52">
        <v>1.1253986001238701</v>
      </c>
    </row>
    <row r="10" spans="2:10" x14ac:dyDescent="0.25">
      <c r="B10" s="122"/>
      <c r="C10" s="125"/>
      <c r="D10" s="18" t="s">
        <v>10</v>
      </c>
      <c r="E10" s="49">
        <v>1.1402626433506799</v>
      </c>
      <c r="F10" s="50">
        <v>1.15073664740196</v>
      </c>
      <c r="G10" s="51">
        <v>1.18625543677495</v>
      </c>
      <c r="H10" s="49">
        <v>1.13061824617308</v>
      </c>
      <c r="I10" s="50">
        <v>1.14382482323346</v>
      </c>
      <c r="J10" s="52">
        <v>1.12669101230226</v>
      </c>
    </row>
    <row r="11" spans="2:10" x14ac:dyDescent="0.25">
      <c r="B11" s="122"/>
      <c r="C11" s="125"/>
      <c r="D11" s="18" t="s">
        <v>11</v>
      </c>
      <c r="E11" s="49">
        <v>1.1394811549449</v>
      </c>
      <c r="F11" s="50">
        <v>1.15059571403642</v>
      </c>
      <c r="G11" s="51">
        <v>1.18917061011435</v>
      </c>
      <c r="H11" s="49">
        <v>1.1295332163427201</v>
      </c>
      <c r="I11" s="50">
        <v>1.1429796995981401</v>
      </c>
      <c r="J11" s="52">
        <v>1.1276232713604799</v>
      </c>
    </row>
    <row r="12" spans="2:10" x14ac:dyDescent="0.25">
      <c r="B12" s="122"/>
      <c r="C12" s="125"/>
      <c r="D12" s="18" t="s">
        <v>12</v>
      </c>
      <c r="E12" s="49">
        <v>1.13962738747614</v>
      </c>
      <c r="F12" s="50">
        <v>1.15094158690327</v>
      </c>
      <c r="G12" s="51">
        <v>1.19232205948662</v>
      </c>
      <c r="H12" s="49">
        <v>1.12929514988658</v>
      </c>
      <c r="I12" s="50">
        <v>1.1428091582326501</v>
      </c>
      <c r="J12" s="52">
        <v>1.1285089825357699</v>
      </c>
    </row>
    <row r="13" spans="2:10" x14ac:dyDescent="0.25">
      <c r="B13" s="122"/>
      <c r="C13" s="125"/>
      <c r="D13" s="18" t="s">
        <v>13</v>
      </c>
      <c r="E13" s="49">
        <v>1.1419209626543001</v>
      </c>
      <c r="F13" s="50">
        <v>1.1522322561119001</v>
      </c>
      <c r="G13" s="51">
        <v>1.1960766083212999</v>
      </c>
      <c r="H13" s="49">
        <v>1.1308071166510201</v>
      </c>
      <c r="I13" s="50">
        <v>1.1440735847160799</v>
      </c>
      <c r="J13" s="52">
        <v>1.1293757446284101</v>
      </c>
    </row>
    <row r="14" spans="2:10" x14ac:dyDescent="0.25">
      <c r="B14" s="122"/>
      <c r="C14" s="125"/>
      <c r="D14" s="18" t="s">
        <v>14</v>
      </c>
      <c r="E14" s="49">
        <v>1.1458450014952899</v>
      </c>
      <c r="F14" s="50">
        <v>1.15313803006088</v>
      </c>
      <c r="G14" s="51">
        <v>1.19679116165529</v>
      </c>
      <c r="H14" s="49">
        <v>1.13338370282587</v>
      </c>
      <c r="I14" s="50">
        <v>1.1461181727502501</v>
      </c>
      <c r="J14" s="52">
        <v>1.12939716838354</v>
      </c>
    </row>
    <row r="15" spans="2:10" ht="15.75" thickBot="1" x14ac:dyDescent="0.3">
      <c r="B15" s="122"/>
      <c r="C15" s="125"/>
      <c r="D15" s="21" t="s">
        <v>4</v>
      </c>
      <c r="E15" s="53">
        <v>1.1537595488838199</v>
      </c>
      <c r="F15" s="54">
        <v>1.15240190552123</v>
      </c>
      <c r="G15" s="55">
        <v>1.1876151252743401</v>
      </c>
      <c r="H15" s="53">
        <v>1.1387369404510299</v>
      </c>
      <c r="I15" s="54">
        <v>1.1497242610982299</v>
      </c>
      <c r="J15" s="56">
        <v>1.1267536524444399</v>
      </c>
    </row>
    <row r="16" spans="2:10" x14ac:dyDescent="0.25">
      <c r="B16" s="121" t="s">
        <v>28</v>
      </c>
      <c r="C16" s="124" t="s">
        <v>19</v>
      </c>
      <c r="D16" s="19" t="s">
        <v>5</v>
      </c>
      <c r="E16" s="45">
        <v>1.0187660569544901</v>
      </c>
      <c r="F16" s="46">
        <v>1.0161011221434999</v>
      </c>
      <c r="G16" s="47">
        <v>1.00640281463213</v>
      </c>
      <c r="H16" s="45">
        <v>1.0211059664692199</v>
      </c>
      <c r="I16" s="46">
        <v>1.0162278202242501</v>
      </c>
      <c r="J16" s="48">
        <v>1.0146007545659199</v>
      </c>
    </row>
    <row r="17" spans="2:10" x14ac:dyDescent="0.25">
      <c r="B17" s="122"/>
      <c r="C17" s="125"/>
      <c r="D17" s="18" t="s">
        <v>6</v>
      </c>
      <c r="E17" s="49">
        <v>1.1321465947535001</v>
      </c>
      <c r="F17" s="50">
        <v>1.12889011465982</v>
      </c>
      <c r="G17" s="51">
        <v>1.0537412924038101</v>
      </c>
      <c r="H17" s="49">
        <v>1.14559153304248</v>
      </c>
      <c r="I17" s="50">
        <v>1.1348656992532999</v>
      </c>
      <c r="J17" s="52">
        <v>1.1261598422263599</v>
      </c>
    </row>
    <row r="18" spans="2:10" x14ac:dyDescent="0.25">
      <c r="B18" s="122"/>
      <c r="C18" s="125"/>
      <c r="D18" s="18" t="s">
        <v>7</v>
      </c>
      <c r="E18" s="49">
        <v>1.1329770828999599</v>
      </c>
      <c r="F18" s="50">
        <v>1.1279769232700001</v>
      </c>
      <c r="G18" s="51">
        <v>1.0454470490002099</v>
      </c>
      <c r="H18" s="49">
        <v>1.1462223279758199</v>
      </c>
      <c r="I18" s="50">
        <v>1.13478361330691</v>
      </c>
      <c r="J18" s="52">
        <v>1.1234047034675201</v>
      </c>
    </row>
    <row r="19" spans="2:10" x14ac:dyDescent="0.25">
      <c r="B19" s="122"/>
      <c r="C19" s="125"/>
      <c r="D19" s="18" t="s">
        <v>8</v>
      </c>
      <c r="E19" s="49">
        <v>1.1334594153415001</v>
      </c>
      <c r="F19" s="50">
        <v>1.1267784706473001</v>
      </c>
      <c r="G19" s="51">
        <v>1.03747613286489</v>
      </c>
      <c r="H19" s="49">
        <v>1.1464848657959501</v>
      </c>
      <c r="I19" s="50">
        <v>1.1343612233028499</v>
      </c>
      <c r="J19" s="52">
        <v>1.12053004148436</v>
      </c>
    </row>
    <row r="20" spans="2:10" x14ac:dyDescent="0.25">
      <c r="B20" s="122"/>
      <c r="C20" s="125"/>
      <c r="D20" s="18" t="s">
        <v>9</v>
      </c>
      <c r="E20" s="49">
        <v>1.13358153364688</v>
      </c>
      <c r="F20" s="50">
        <v>1.12540079171691</v>
      </c>
      <c r="G20" s="51">
        <v>1.03064473999621</v>
      </c>
      <c r="H20" s="49">
        <v>1.1462802845320801</v>
      </c>
      <c r="I20" s="50">
        <v>1.13357946351783</v>
      </c>
      <c r="J20" s="52">
        <v>1.1176317504866999</v>
      </c>
    </row>
    <row r="21" spans="2:10" x14ac:dyDescent="0.25">
      <c r="B21" s="122"/>
      <c r="C21" s="125"/>
      <c r="D21" s="18" t="s">
        <v>10</v>
      </c>
      <c r="E21" s="49">
        <v>1.1333397159174501</v>
      </c>
      <c r="F21" s="50">
        <v>1.12374118143892</v>
      </c>
      <c r="G21" s="51">
        <v>1.0246939784258</v>
      </c>
      <c r="H21" s="49">
        <v>1.1455172707249299</v>
      </c>
      <c r="I21" s="50">
        <v>1.13235996619771</v>
      </c>
      <c r="J21" s="52">
        <v>1.11452709879335</v>
      </c>
    </row>
    <row r="22" spans="2:10" x14ac:dyDescent="0.25">
      <c r="B22" s="122"/>
      <c r="C22" s="125"/>
      <c r="D22" s="18" t="s">
        <v>11</v>
      </c>
      <c r="E22" s="49">
        <v>1.13277631884823</v>
      </c>
      <c r="F22" s="50">
        <v>1.1217230130850699</v>
      </c>
      <c r="G22" s="51">
        <v>1.01934634596956</v>
      </c>
      <c r="H22" s="49">
        <v>1.14417512235344</v>
      </c>
      <c r="I22" s="50">
        <v>1.1306644549312299</v>
      </c>
      <c r="J22" s="52">
        <v>1.1110568024013401</v>
      </c>
    </row>
    <row r="23" spans="2:10" x14ac:dyDescent="0.25">
      <c r="B23" s="122"/>
      <c r="C23" s="125"/>
      <c r="D23" s="18" t="s">
        <v>12</v>
      </c>
      <c r="E23" s="49">
        <v>1.1331467108598201</v>
      </c>
      <c r="F23" s="50">
        <v>1.1205906882318999</v>
      </c>
      <c r="G23" s="51">
        <v>1.0147167325247599</v>
      </c>
      <c r="H23" s="49">
        <v>1.1438483339610701</v>
      </c>
      <c r="I23" s="50">
        <v>1.1299025361217701</v>
      </c>
      <c r="J23" s="52">
        <v>1.1089764350012801</v>
      </c>
    </row>
    <row r="24" spans="2:10" x14ac:dyDescent="0.25">
      <c r="B24" s="122"/>
      <c r="C24" s="125"/>
      <c r="D24" s="18" t="s">
        <v>13</v>
      </c>
      <c r="E24" s="49">
        <v>1.1351212610227901</v>
      </c>
      <c r="F24" s="50">
        <v>1.1213749062880101</v>
      </c>
      <c r="G24" s="51">
        <v>1.01159774678718</v>
      </c>
      <c r="H24" s="49">
        <v>1.14561503341747</v>
      </c>
      <c r="I24" s="50">
        <v>1.1310493252576499</v>
      </c>
      <c r="J24" s="52">
        <v>1.109726297513</v>
      </c>
    </row>
    <row r="25" spans="2:10" x14ac:dyDescent="0.25">
      <c r="B25" s="122"/>
      <c r="C25" s="125"/>
      <c r="D25" s="18" t="s">
        <v>14</v>
      </c>
      <c r="E25" s="49">
        <v>1.13832575292962</v>
      </c>
      <c r="F25" s="50">
        <v>1.12389333140682</v>
      </c>
      <c r="G25" s="51">
        <v>1.0133226141306799</v>
      </c>
      <c r="H25" s="49">
        <v>1.1486548312692599</v>
      </c>
      <c r="I25" s="50">
        <v>1.1334949340036999</v>
      </c>
      <c r="J25" s="52">
        <v>1.1134585188813899</v>
      </c>
    </row>
    <row r="26" spans="2:10" ht="15.75" thickBot="1" x14ac:dyDescent="0.3">
      <c r="B26" s="122"/>
      <c r="C26" s="125"/>
      <c r="D26" s="21" t="s">
        <v>4</v>
      </c>
      <c r="E26" s="53">
        <v>1.1443658890658801</v>
      </c>
      <c r="F26" s="54">
        <v>1.1311025527398599</v>
      </c>
      <c r="G26" s="55">
        <v>1.0301477731631601</v>
      </c>
      <c r="H26" s="53">
        <v>1.15457546344449</v>
      </c>
      <c r="I26" s="54">
        <v>1.13885101221967</v>
      </c>
      <c r="J26" s="56">
        <v>1.1252164409654699</v>
      </c>
    </row>
    <row r="27" spans="2:10" x14ac:dyDescent="0.25">
      <c r="B27" s="121" t="s">
        <v>28</v>
      </c>
      <c r="C27" s="124" t="s">
        <v>20</v>
      </c>
      <c r="D27" s="19" t="s">
        <v>5</v>
      </c>
      <c r="E27" s="45">
        <v>1.00530073904405</v>
      </c>
      <c r="F27" s="46">
        <v>1.0108538794665201</v>
      </c>
      <c r="G27" s="47">
        <v>1.0084422656897101</v>
      </c>
      <c r="H27" s="45">
        <v>1.0096218016198899</v>
      </c>
      <c r="I27" s="46">
        <v>1.0052521173281901</v>
      </c>
      <c r="J27" s="48">
        <v>1.0170798601350099</v>
      </c>
    </row>
    <row r="28" spans="2:10" x14ac:dyDescent="0.25">
      <c r="B28" s="122"/>
      <c r="C28" s="125"/>
      <c r="D28" s="18" t="s">
        <v>6</v>
      </c>
      <c r="E28" s="49">
        <v>1.02810427434885</v>
      </c>
      <c r="F28" s="50">
        <v>1.0409760087245801</v>
      </c>
      <c r="G28" s="51">
        <v>1.0381842521104301</v>
      </c>
      <c r="H28" s="49">
        <v>1.0596510151015199</v>
      </c>
      <c r="I28" s="50">
        <v>1.02291434328207</v>
      </c>
      <c r="J28" s="52">
        <v>1.0921625726650199</v>
      </c>
    </row>
    <row r="29" spans="2:10" x14ac:dyDescent="0.25">
      <c r="B29" s="122"/>
      <c r="C29" s="125"/>
      <c r="D29" s="18" t="s">
        <v>7</v>
      </c>
      <c r="E29" s="49">
        <v>1.0301971178407101</v>
      </c>
      <c r="F29" s="50">
        <v>1.0358046496937801</v>
      </c>
      <c r="G29" s="51">
        <v>1.0305091054070299</v>
      </c>
      <c r="H29" s="49">
        <v>1.0591888408943799</v>
      </c>
      <c r="I29" s="50">
        <v>1.0222288947292699</v>
      </c>
      <c r="J29" s="52">
        <v>1.08792048043915</v>
      </c>
    </row>
    <row r="30" spans="2:10" x14ac:dyDescent="0.25">
      <c r="B30" s="122"/>
      <c r="C30" s="125"/>
      <c r="D30" s="18" t="s">
        <v>8</v>
      </c>
      <c r="E30" s="49">
        <v>1.03197284953698</v>
      </c>
      <c r="F30" s="50">
        <v>1.0309323621905799</v>
      </c>
      <c r="G30" s="51">
        <v>1.02341422078037</v>
      </c>
      <c r="H30" s="49">
        <v>1.05875045099677</v>
      </c>
      <c r="I30" s="50">
        <v>1.0213623669462499</v>
      </c>
      <c r="J30" s="52">
        <v>1.08399335205225</v>
      </c>
    </row>
    <row r="31" spans="2:10" x14ac:dyDescent="0.25">
      <c r="B31" s="122"/>
      <c r="C31" s="125"/>
      <c r="D31" s="18" t="s">
        <v>9</v>
      </c>
      <c r="E31" s="49">
        <v>1.0327639009149301</v>
      </c>
      <c r="F31" s="50">
        <v>1.02699817924697</v>
      </c>
      <c r="G31" s="51">
        <v>1.0174894732856301</v>
      </c>
      <c r="H31" s="49">
        <v>1.05850462822291</v>
      </c>
      <c r="I31" s="50">
        <v>1.02065425873365</v>
      </c>
      <c r="J31" s="52">
        <v>1.0806281640681501</v>
      </c>
    </row>
    <row r="32" spans="2:10" x14ac:dyDescent="0.25">
      <c r="B32" s="122"/>
      <c r="C32" s="125"/>
      <c r="D32" s="18" t="s">
        <v>10</v>
      </c>
      <c r="E32" s="49">
        <v>1.03233295096462</v>
      </c>
      <c r="F32" s="50">
        <v>1.02392119894459</v>
      </c>
      <c r="G32" s="51">
        <v>1.0125118185101201</v>
      </c>
      <c r="H32" s="49">
        <v>1.05850780079683</v>
      </c>
      <c r="I32" s="50">
        <v>1.02031165663043</v>
      </c>
      <c r="J32" s="52">
        <v>1.07772607072917</v>
      </c>
    </row>
    <row r="33" spans="2:10" x14ac:dyDescent="0.25">
      <c r="B33" s="122"/>
      <c r="C33" s="125"/>
      <c r="D33" s="18" t="s">
        <v>11</v>
      </c>
      <c r="E33" s="49">
        <v>1.0305615469934699</v>
      </c>
      <c r="F33" s="50">
        <v>1.0214881936655</v>
      </c>
      <c r="G33" s="51">
        <v>1.0081870632681</v>
      </c>
      <c r="H33" s="49">
        <v>1.0588121120291101</v>
      </c>
      <c r="I33" s="50">
        <v>1.0204033229112699</v>
      </c>
      <c r="J33" s="52">
        <v>1.07518117500551</v>
      </c>
    </row>
    <row r="34" spans="2:10" x14ac:dyDescent="0.25">
      <c r="B34" s="122"/>
      <c r="C34" s="125"/>
      <c r="D34" s="18" t="s">
        <v>12</v>
      </c>
      <c r="E34" s="49">
        <v>1.02831497687211</v>
      </c>
      <c r="F34" s="50">
        <v>1.0190573809329699</v>
      </c>
      <c r="G34" s="51">
        <v>1.00375552966923</v>
      </c>
      <c r="H34" s="49">
        <v>1.0599872761690901</v>
      </c>
      <c r="I34" s="50">
        <v>1.0206479686718599</v>
      </c>
      <c r="J34" s="52">
        <v>1.07326780426071</v>
      </c>
    </row>
    <row r="35" spans="2:10" x14ac:dyDescent="0.25">
      <c r="B35" s="122"/>
      <c r="C35" s="125"/>
      <c r="D35" s="18" t="s">
        <v>13</v>
      </c>
      <c r="E35" s="49">
        <v>1.0254258077551299</v>
      </c>
      <c r="F35" s="50">
        <v>1.0168935094361899</v>
      </c>
      <c r="G35" s="51">
        <v>1.00038705199367</v>
      </c>
      <c r="H35" s="49">
        <v>1.0628029903868801</v>
      </c>
      <c r="I35" s="50">
        <v>1.0212292499056399</v>
      </c>
      <c r="J35" s="52">
        <v>1.0726369181809301</v>
      </c>
    </row>
    <row r="36" spans="2:10" x14ac:dyDescent="0.25">
      <c r="B36" s="122"/>
      <c r="C36" s="125"/>
      <c r="D36" s="18" t="s">
        <v>14</v>
      </c>
      <c r="E36" s="49">
        <v>1.0180574206339901</v>
      </c>
      <c r="F36" s="50">
        <v>1.0171286623225</v>
      </c>
      <c r="G36" s="51">
        <v>1.00166501389337</v>
      </c>
      <c r="H36" s="49">
        <v>1.0674802921790001</v>
      </c>
      <c r="I36" s="50">
        <v>1.02299802258716</v>
      </c>
      <c r="J36" s="52">
        <v>1.0749613666064</v>
      </c>
    </row>
    <row r="37" spans="2:10" ht="15.75" thickBot="1" x14ac:dyDescent="0.3">
      <c r="B37" s="122"/>
      <c r="C37" s="125"/>
      <c r="D37" s="21" t="s">
        <v>4</v>
      </c>
      <c r="E37" s="53">
        <v>1.00175267415312</v>
      </c>
      <c r="F37" s="54">
        <v>1.0246521744703401</v>
      </c>
      <c r="G37" s="55">
        <v>1.00646291475186</v>
      </c>
      <c r="H37" s="53">
        <v>1.0792389148780701</v>
      </c>
      <c r="I37" s="54">
        <v>1.02741515407512</v>
      </c>
      <c r="J37" s="56">
        <v>1.0861729750861999</v>
      </c>
    </row>
    <row r="38" spans="2:10" x14ac:dyDescent="0.25">
      <c r="B38" s="121" t="s">
        <v>28</v>
      </c>
      <c r="C38" s="124" t="s">
        <v>21</v>
      </c>
      <c r="D38" s="19" t="s">
        <v>5</v>
      </c>
      <c r="E38" s="45">
        <v>1.0345087902954999</v>
      </c>
      <c r="F38" s="46">
        <v>1.02583676868763</v>
      </c>
      <c r="G38" s="47">
        <v>1.0177854882297901</v>
      </c>
      <c r="H38" s="45">
        <v>1.01565001178759</v>
      </c>
      <c r="I38" s="46">
        <v>1.02551445828389</v>
      </c>
      <c r="J38" s="48">
        <v>1.0116721707568199</v>
      </c>
    </row>
    <row r="39" spans="2:10" x14ac:dyDescent="0.25">
      <c r="B39" s="122"/>
      <c r="C39" s="125"/>
      <c r="D39" s="18" t="s">
        <v>6</v>
      </c>
      <c r="E39" s="49">
        <v>1.1708579344823999</v>
      </c>
      <c r="F39" s="50">
        <v>1.14886471569089</v>
      </c>
      <c r="G39" s="51">
        <v>1.1042191084359301</v>
      </c>
      <c r="H39" s="49">
        <v>1.0820920581336999</v>
      </c>
      <c r="I39" s="50">
        <v>1.1059630267293801</v>
      </c>
      <c r="J39" s="52">
        <v>1.07302104303979</v>
      </c>
    </row>
    <row r="40" spans="2:10" x14ac:dyDescent="0.25">
      <c r="B40" s="122"/>
      <c r="C40" s="125"/>
      <c r="D40" s="18" t="s">
        <v>7</v>
      </c>
      <c r="E40" s="49">
        <v>1.1731532150594</v>
      </c>
      <c r="F40" s="50">
        <v>1.15409000128157</v>
      </c>
      <c r="G40" s="51">
        <v>1.1114523800906499</v>
      </c>
      <c r="H40" s="49">
        <v>1.08254354271876</v>
      </c>
      <c r="I40" s="50">
        <v>1.10655439560179</v>
      </c>
      <c r="J40" s="52">
        <v>1.0771293751564299</v>
      </c>
    </row>
    <row r="41" spans="2:10" x14ac:dyDescent="0.25">
      <c r="B41" s="122"/>
      <c r="C41" s="125"/>
      <c r="D41" s="18" t="s">
        <v>8</v>
      </c>
      <c r="E41" s="49">
        <v>1.17483944069477</v>
      </c>
      <c r="F41" s="50">
        <v>1.1586564046137899</v>
      </c>
      <c r="G41" s="51">
        <v>1.1179076196065101</v>
      </c>
      <c r="H41" s="49">
        <v>1.08265428093431</v>
      </c>
      <c r="I41" s="50">
        <v>1.1070354819699699</v>
      </c>
      <c r="J41" s="52">
        <v>1.08058767072052</v>
      </c>
    </row>
    <row r="42" spans="2:10" x14ac:dyDescent="0.25">
      <c r="B42" s="122"/>
      <c r="C42" s="125"/>
      <c r="D42" s="18" t="s">
        <v>9</v>
      </c>
      <c r="E42" s="49">
        <v>1.1752179024165299</v>
      </c>
      <c r="F42" s="50">
        <v>1.1619171569626401</v>
      </c>
      <c r="G42" s="51">
        <v>1.1230406879183501</v>
      </c>
      <c r="H42" s="49">
        <v>1.0822475788839601</v>
      </c>
      <c r="I42" s="50">
        <v>1.10709181898818</v>
      </c>
      <c r="J42" s="52">
        <v>1.08317149270281</v>
      </c>
    </row>
    <row r="43" spans="2:10" x14ac:dyDescent="0.25">
      <c r="B43" s="122"/>
      <c r="C43" s="125"/>
      <c r="D43" s="18" t="s">
        <v>10</v>
      </c>
      <c r="E43" s="49">
        <v>1.17399269816825</v>
      </c>
      <c r="F43" s="50">
        <v>1.16388295804952</v>
      </c>
      <c r="G43" s="51">
        <v>1.12700464265611</v>
      </c>
      <c r="H43" s="49">
        <v>1.0812051427935101</v>
      </c>
      <c r="I43" s="50">
        <v>1.1064748213407201</v>
      </c>
      <c r="J43" s="52">
        <v>1.0849233711172801</v>
      </c>
    </row>
    <row r="44" spans="2:10" x14ac:dyDescent="0.25">
      <c r="B44" s="122"/>
      <c r="C44" s="125"/>
      <c r="D44" s="18" t="s">
        <v>11</v>
      </c>
      <c r="E44" s="49">
        <v>1.1710136020042501</v>
      </c>
      <c r="F44" s="50">
        <v>1.1647224721743299</v>
      </c>
      <c r="G44" s="51">
        <v>1.13002812167849</v>
      </c>
      <c r="H44" s="49">
        <v>1.07945577887655</v>
      </c>
      <c r="I44" s="50">
        <v>1.1051006300025299</v>
      </c>
      <c r="J44" s="52">
        <v>1.08591950795046</v>
      </c>
    </row>
    <row r="45" spans="2:10" x14ac:dyDescent="0.25">
      <c r="B45" s="122"/>
      <c r="C45" s="125"/>
      <c r="D45" s="18" t="s">
        <v>12</v>
      </c>
      <c r="E45" s="49">
        <v>1.16848917095786</v>
      </c>
      <c r="F45" s="50">
        <v>1.16684878199049</v>
      </c>
      <c r="G45" s="51">
        <v>1.1340552517356</v>
      </c>
      <c r="H45" s="49">
        <v>1.07785099026253</v>
      </c>
      <c r="I45" s="50">
        <v>1.10456140117774</v>
      </c>
      <c r="J45" s="52">
        <v>1.0874880005176599</v>
      </c>
    </row>
    <row r="46" spans="2:10" x14ac:dyDescent="0.25">
      <c r="B46" s="122"/>
      <c r="C46" s="125"/>
      <c r="D46" s="18" t="s">
        <v>13</v>
      </c>
      <c r="E46" s="49">
        <v>1.1672475276968799</v>
      </c>
      <c r="F46" s="50">
        <v>1.1714102612592101</v>
      </c>
      <c r="G46" s="51">
        <v>1.1397114068346501</v>
      </c>
      <c r="H46" s="49">
        <v>1.0767107248847101</v>
      </c>
      <c r="I46" s="50">
        <v>1.1057180462660201</v>
      </c>
      <c r="J46" s="52">
        <v>1.09024842399958</v>
      </c>
    </row>
    <row r="47" spans="2:10" x14ac:dyDescent="0.25">
      <c r="B47" s="122"/>
      <c r="C47" s="125"/>
      <c r="D47" s="18" t="s">
        <v>14</v>
      </c>
      <c r="E47" s="49">
        <v>1.16321639945971</v>
      </c>
      <c r="F47" s="50">
        <v>1.17623888575207</v>
      </c>
      <c r="G47" s="51">
        <v>1.1447506008927799</v>
      </c>
      <c r="H47" s="49">
        <v>1.07568531751673</v>
      </c>
      <c r="I47" s="50">
        <v>1.10771955112219</v>
      </c>
      <c r="J47" s="52">
        <v>1.0925340469146301</v>
      </c>
    </row>
    <row r="48" spans="2:10" ht="15.75" thickBot="1" x14ac:dyDescent="0.3">
      <c r="B48" s="123"/>
      <c r="C48" s="126"/>
      <c r="D48" s="20" t="s">
        <v>4</v>
      </c>
      <c r="E48" s="57">
        <v>1.1513373405532299</v>
      </c>
      <c r="F48" s="58">
        <v>1.1810682692073999</v>
      </c>
      <c r="G48" s="59">
        <v>1.14706604646914</v>
      </c>
      <c r="H48" s="57">
        <v>1.0726732311317799</v>
      </c>
      <c r="I48" s="58">
        <v>1.11234184451854</v>
      </c>
      <c r="J48" s="60">
        <v>1.09257416676665</v>
      </c>
    </row>
  </sheetData>
  <mergeCells count="13">
    <mergeCell ref="B3:B4"/>
    <mergeCell ref="C3:C4"/>
    <mergeCell ref="D3:D4"/>
    <mergeCell ref="E3:G3"/>
    <mergeCell ref="H3:J3"/>
    <mergeCell ref="B38:B48"/>
    <mergeCell ref="C38:C48"/>
    <mergeCell ref="B5:B15"/>
    <mergeCell ref="C5:C15"/>
    <mergeCell ref="B16:B26"/>
    <mergeCell ref="C16:C26"/>
    <mergeCell ref="B27:B37"/>
    <mergeCell ref="C27:C37"/>
  </mergeCells>
  <conditionalFormatting sqref="E5:E15">
    <cfRule type="cellIs" dxfId="23" priority="24" operator="greaterThan">
      <formula>1.2</formula>
    </cfRule>
  </conditionalFormatting>
  <conditionalFormatting sqref="E16:E26">
    <cfRule type="cellIs" dxfId="22" priority="23" operator="greaterThan">
      <formula>1.2</formula>
    </cfRule>
  </conditionalFormatting>
  <conditionalFormatting sqref="E27:E37">
    <cfRule type="cellIs" dxfId="21" priority="22" operator="greaterThan">
      <formula>1.2</formula>
    </cfRule>
  </conditionalFormatting>
  <conditionalFormatting sqref="E38:E48">
    <cfRule type="cellIs" dxfId="20" priority="21" operator="greaterThan">
      <formula>1.2</formula>
    </cfRule>
  </conditionalFormatting>
  <conditionalFormatting sqref="H5:H15">
    <cfRule type="cellIs" dxfId="19" priority="20" operator="greaterThan">
      <formula>1.2</formula>
    </cfRule>
  </conditionalFormatting>
  <conditionalFormatting sqref="H16:H26">
    <cfRule type="cellIs" dxfId="18" priority="19" operator="greaterThan">
      <formula>1.2</formula>
    </cfRule>
  </conditionalFormatting>
  <conditionalFormatting sqref="H27:H37">
    <cfRule type="cellIs" dxfId="17" priority="18" operator="greaterThan">
      <formula>1.2</formula>
    </cfRule>
  </conditionalFormatting>
  <conditionalFormatting sqref="H38:H48">
    <cfRule type="cellIs" dxfId="16" priority="17" operator="greaterThan">
      <formula>1.2</formula>
    </cfRule>
  </conditionalFormatting>
  <conditionalFormatting sqref="F5:F15">
    <cfRule type="cellIs" dxfId="15" priority="16" operator="greaterThan">
      <formula>1.2</formula>
    </cfRule>
  </conditionalFormatting>
  <conditionalFormatting sqref="F16:F26">
    <cfRule type="cellIs" dxfId="14" priority="15" operator="greaterThan">
      <formula>1.2</formula>
    </cfRule>
  </conditionalFormatting>
  <conditionalFormatting sqref="F27:F37">
    <cfRule type="cellIs" dxfId="13" priority="14" operator="greaterThan">
      <formula>1.2</formula>
    </cfRule>
  </conditionalFormatting>
  <conditionalFormatting sqref="F38:F48">
    <cfRule type="cellIs" dxfId="12" priority="13" operator="greaterThan">
      <formula>1.2</formula>
    </cfRule>
  </conditionalFormatting>
  <conditionalFormatting sqref="I5:I15">
    <cfRule type="cellIs" dxfId="11" priority="12" operator="greaterThan">
      <formula>1.2</formula>
    </cfRule>
  </conditionalFormatting>
  <conditionalFormatting sqref="I16:I26">
    <cfRule type="cellIs" dxfId="10" priority="11" operator="greaterThan">
      <formula>1.2</formula>
    </cfRule>
  </conditionalFormatting>
  <conditionalFormatting sqref="I27:I37">
    <cfRule type="cellIs" dxfId="9" priority="10" operator="greaterThan">
      <formula>1.2</formula>
    </cfRule>
  </conditionalFormatting>
  <conditionalFormatting sqref="I38:I48">
    <cfRule type="cellIs" dxfId="8" priority="9" operator="greaterThan">
      <formula>1.2</formula>
    </cfRule>
  </conditionalFormatting>
  <conditionalFormatting sqref="G5:G15">
    <cfRule type="cellIs" dxfId="7" priority="8" operator="greaterThan">
      <formula>1.2</formula>
    </cfRule>
  </conditionalFormatting>
  <conditionalFormatting sqref="G16:G26">
    <cfRule type="cellIs" dxfId="6" priority="7" operator="greaterThan">
      <formula>1.2</formula>
    </cfRule>
  </conditionalFormatting>
  <conditionalFormatting sqref="G27:G37">
    <cfRule type="cellIs" dxfId="5" priority="6" operator="greaterThan">
      <formula>1.2</formula>
    </cfRule>
  </conditionalFormatting>
  <conditionalFormatting sqref="G38:G48">
    <cfRule type="cellIs" dxfId="4" priority="5" operator="greaterThan">
      <formula>1.2</formula>
    </cfRule>
  </conditionalFormatting>
  <conditionalFormatting sqref="J5:J15">
    <cfRule type="cellIs" dxfId="3" priority="4" operator="greaterThan">
      <formula>1.2</formula>
    </cfRule>
  </conditionalFormatting>
  <conditionalFormatting sqref="J16:J26">
    <cfRule type="cellIs" dxfId="2" priority="3" operator="greaterThan">
      <formula>1.2</formula>
    </cfRule>
  </conditionalFormatting>
  <conditionalFormatting sqref="J27:J37">
    <cfRule type="cellIs" dxfId="1" priority="2" operator="greaterThan">
      <formula>1.2</formula>
    </cfRule>
  </conditionalFormatting>
  <conditionalFormatting sqref="J38:J48">
    <cfRule type="cellIs" dxfId="0" priority="1" operator="greaterThan">
      <formula>1.2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/>
  <dimension ref="B3:K48"/>
  <sheetViews>
    <sheetView zoomScale="70" zoomScaleNormal="70" workbookViewId="0">
      <selection activeCell="E3" sqref="E3:J4"/>
    </sheetView>
  </sheetViews>
  <sheetFormatPr baseColWidth="10" defaultRowHeight="15" x14ac:dyDescent="0.25"/>
  <cols>
    <col min="1" max="1" width="10.5703125" customWidth="1"/>
    <col min="2" max="2" width="13.7109375" customWidth="1"/>
    <col min="3" max="3" width="10.28515625" customWidth="1"/>
    <col min="5" max="10" width="22.7109375" customWidth="1"/>
  </cols>
  <sheetData>
    <row r="3" spans="2:11" x14ac:dyDescent="0.25">
      <c r="B3" s="127" t="s">
        <v>2</v>
      </c>
      <c r="C3" s="127" t="s">
        <v>16</v>
      </c>
      <c r="D3" s="127" t="s">
        <v>3</v>
      </c>
      <c r="E3" s="117" t="s">
        <v>65</v>
      </c>
      <c r="F3" s="117"/>
      <c r="G3" s="117"/>
      <c r="H3" s="117" t="s">
        <v>66</v>
      </c>
      <c r="I3" s="117"/>
      <c r="J3" s="117"/>
    </row>
    <row r="4" spans="2:11" ht="15.75" thickBot="1" x14ac:dyDescent="0.3">
      <c r="B4" s="128"/>
      <c r="C4" s="128"/>
      <c r="D4" s="128"/>
      <c r="E4" s="27" t="s">
        <v>67</v>
      </c>
      <c r="F4" s="27" t="s">
        <v>68</v>
      </c>
      <c r="G4" s="27" t="s">
        <v>69</v>
      </c>
      <c r="H4" s="27" t="s">
        <v>67</v>
      </c>
      <c r="I4" s="27" t="s">
        <v>68</v>
      </c>
      <c r="J4" s="27" t="s">
        <v>69</v>
      </c>
    </row>
    <row r="5" spans="2:11" x14ac:dyDescent="0.25">
      <c r="B5" s="121" t="s">
        <v>17</v>
      </c>
      <c r="C5" s="124" t="s">
        <v>18</v>
      </c>
      <c r="D5" s="19" t="s">
        <v>5</v>
      </c>
      <c r="E5" s="29">
        <v>4.1525499133933602E-4</v>
      </c>
      <c r="F5" s="30">
        <v>4.11857539132511E-4</v>
      </c>
      <c r="G5" s="31">
        <v>3.8207061180634602E-4</v>
      </c>
      <c r="H5" s="29">
        <v>3.3839460845709401E-4</v>
      </c>
      <c r="I5" s="30">
        <v>3.0319955412725502E-4</v>
      </c>
      <c r="J5" s="32">
        <v>2.8323869297776502E-4</v>
      </c>
    </row>
    <row r="6" spans="2:11" x14ac:dyDescent="0.25">
      <c r="B6" s="122"/>
      <c r="C6" s="125"/>
      <c r="D6" s="18" t="s">
        <v>6</v>
      </c>
      <c r="E6" s="33">
        <v>3.6141163956608901E-4</v>
      </c>
      <c r="F6" s="34">
        <v>3.4074241325951401E-4</v>
      </c>
      <c r="G6" s="35">
        <v>3.0686366814808698E-4</v>
      </c>
      <c r="H6" s="33">
        <v>3.5000520764451602E-4</v>
      </c>
      <c r="I6" s="34">
        <v>3.2745029845889699E-4</v>
      </c>
      <c r="J6" s="36">
        <v>3.0972363066108301E-4</v>
      </c>
      <c r="K6" s="28"/>
    </row>
    <row r="7" spans="2:11" x14ac:dyDescent="0.25">
      <c r="B7" s="122"/>
      <c r="C7" s="125"/>
      <c r="D7" s="18" t="s">
        <v>7</v>
      </c>
      <c r="E7" s="33">
        <v>5.5147942815695803E-4</v>
      </c>
      <c r="F7" s="34">
        <v>5.3108855232661997E-4</v>
      </c>
      <c r="G7" s="35">
        <v>5.0322344079270595E-4</v>
      </c>
      <c r="H7" s="33">
        <v>5.5180264596959997E-4</v>
      </c>
      <c r="I7" s="34">
        <v>5.29042873842328E-4</v>
      </c>
      <c r="J7" s="36">
        <v>5.0898696247206397E-4</v>
      </c>
    </row>
    <row r="8" spans="2:11" x14ac:dyDescent="0.25">
      <c r="B8" s="122"/>
      <c r="C8" s="125"/>
      <c r="D8" s="18" t="s">
        <v>8</v>
      </c>
      <c r="E8" s="33">
        <v>7.2565963504955095E-4</v>
      </c>
      <c r="F8" s="34">
        <v>7.0506397402967801E-4</v>
      </c>
      <c r="G8" s="35">
        <v>6.9967319998935303E-4</v>
      </c>
      <c r="H8" s="33">
        <v>7.4022406051532695E-4</v>
      </c>
      <c r="I8" s="34">
        <v>7.1811531777649996E-4</v>
      </c>
      <c r="J8" s="36">
        <v>6.9814013317878796E-4</v>
      </c>
    </row>
    <row r="9" spans="2:11" x14ac:dyDescent="0.25">
      <c r="B9" s="122"/>
      <c r="C9" s="125"/>
      <c r="D9" s="18" t="s">
        <v>9</v>
      </c>
      <c r="E9" s="33">
        <v>8.7097502322859197E-4</v>
      </c>
      <c r="F9" s="34">
        <v>8.5060871827887202E-4</v>
      </c>
      <c r="G9" s="35">
        <v>8.6634821439277596E-4</v>
      </c>
      <c r="H9" s="33">
        <v>8.9822879860787096E-4</v>
      </c>
      <c r="I9" s="34">
        <v>8.7732717993379704E-4</v>
      </c>
      <c r="J9" s="36">
        <v>8.5811965750832097E-4</v>
      </c>
    </row>
    <row r="10" spans="2:11" x14ac:dyDescent="0.25">
      <c r="B10" s="122"/>
      <c r="C10" s="125"/>
      <c r="D10" s="18" t="s">
        <v>10</v>
      </c>
      <c r="E10" s="33">
        <v>9.8322167748828493E-4</v>
      </c>
      <c r="F10" s="34">
        <v>9.6328054505468699E-4</v>
      </c>
      <c r="G10" s="35">
        <v>9.9678933856109592E-4</v>
      </c>
      <c r="H10" s="33">
        <v>1.02076154632551E-3</v>
      </c>
      <c r="I10" s="34">
        <v>1.0009274094572101E-3</v>
      </c>
      <c r="J10" s="36">
        <v>9.829954649038671E-4</v>
      </c>
    </row>
    <row r="11" spans="2:11" x14ac:dyDescent="0.25">
      <c r="B11" s="122"/>
      <c r="C11" s="125"/>
      <c r="D11" s="18" t="s">
        <v>11</v>
      </c>
      <c r="E11" s="33">
        <v>1.0288665639123799E-3</v>
      </c>
      <c r="F11" s="34">
        <v>1.0090709539236199E-3</v>
      </c>
      <c r="G11" s="35">
        <v>1.0536534968789201E-3</v>
      </c>
      <c r="H11" s="33">
        <v>1.07312589003806E-3</v>
      </c>
      <c r="I11" s="34">
        <v>1.0511551601552901E-3</v>
      </c>
      <c r="J11" s="36">
        <v>1.0385241599503599E-3</v>
      </c>
    </row>
    <row r="12" spans="2:11" x14ac:dyDescent="0.25">
      <c r="B12" s="122"/>
      <c r="C12" s="125"/>
      <c r="D12" s="18" t="s">
        <v>12</v>
      </c>
      <c r="E12" s="33">
        <v>1.0498198300483001E-3</v>
      </c>
      <c r="F12" s="34">
        <v>1.0306747773756401E-3</v>
      </c>
      <c r="G12" s="35">
        <v>1.0855662623775999E-3</v>
      </c>
      <c r="H12" s="33">
        <v>1.1018315117363501E-3</v>
      </c>
      <c r="I12" s="34">
        <v>1.0773048397886701E-3</v>
      </c>
      <c r="J12" s="36">
        <v>1.0704638613889101E-3</v>
      </c>
    </row>
    <row r="13" spans="2:11" x14ac:dyDescent="0.25">
      <c r="B13" s="122"/>
      <c r="C13" s="125"/>
      <c r="D13" s="18" t="s">
        <v>13</v>
      </c>
      <c r="E13" s="33">
        <v>1.0875742538576001E-3</v>
      </c>
      <c r="F13" s="34">
        <v>1.0691183654319E-3</v>
      </c>
      <c r="G13" s="35">
        <v>1.13948928090594E-3</v>
      </c>
      <c r="H13" s="33">
        <v>1.15026133797418E-3</v>
      </c>
      <c r="I13" s="34">
        <v>1.12638493946671E-3</v>
      </c>
      <c r="J13" s="36">
        <v>1.12158366267139E-3</v>
      </c>
    </row>
    <row r="14" spans="2:11" x14ac:dyDescent="0.25">
      <c r="B14" s="122"/>
      <c r="C14" s="125"/>
      <c r="D14" s="18" t="s">
        <v>14</v>
      </c>
      <c r="E14" s="33">
        <v>1.08693312867377E-3</v>
      </c>
      <c r="F14" s="34">
        <v>1.0722515297678301E-3</v>
      </c>
      <c r="G14" s="35">
        <v>1.1512408005055E-3</v>
      </c>
      <c r="H14" s="33">
        <v>1.1565303187614799E-3</v>
      </c>
      <c r="I14" s="34">
        <v>1.1371824208024699E-3</v>
      </c>
      <c r="J14" s="36">
        <v>1.1310609943379899E-3</v>
      </c>
    </row>
    <row r="15" spans="2:11" ht="15.75" thickBot="1" x14ac:dyDescent="0.3">
      <c r="B15" s="122"/>
      <c r="C15" s="125"/>
      <c r="D15" s="21" t="s">
        <v>4</v>
      </c>
      <c r="E15" s="37">
        <v>7.98605000205844E-4</v>
      </c>
      <c r="F15" s="38">
        <v>7.9501638416163204E-4</v>
      </c>
      <c r="G15" s="39">
        <v>8.3850617938885797E-4</v>
      </c>
      <c r="H15" s="37">
        <v>8.4979817938368198E-4</v>
      </c>
      <c r="I15" s="38">
        <v>8.4170350370407602E-4</v>
      </c>
      <c r="J15" s="40">
        <v>8.2576756390245201E-4</v>
      </c>
    </row>
    <row r="16" spans="2:11" x14ac:dyDescent="0.25">
      <c r="B16" s="121" t="s">
        <v>17</v>
      </c>
      <c r="C16" s="124" t="s">
        <v>19</v>
      </c>
      <c r="D16" s="19" t="s">
        <v>5</v>
      </c>
      <c r="E16" s="29">
        <v>4.03769179339666E-4</v>
      </c>
      <c r="F16" s="30">
        <v>4.0870533923865299E-4</v>
      </c>
      <c r="G16" s="31">
        <v>4.3829969857038498E-4</v>
      </c>
      <c r="H16" s="29">
        <v>3.2923464750307798E-4</v>
      </c>
      <c r="I16" s="30">
        <v>3.0530108883675898E-4</v>
      </c>
      <c r="J16" s="32">
        <v>3.3317429108988499E-4</v>
      </c>
    </row>
    <row r="17" spans="2:10" x14ac:dyDescent="0.25">
      <c r="B17" s="122"/>
      <c r="C17" s="125"/>
      <c r="D17" s="18" t="s">
        <v>6</v>
      </c>
      <c r="E17" s="33">
        <v>3.6119935507581601E-4</v>
      </c>
      <c r="F17" s="34">
        <v>3.5427922331226802E-4</v>
      </c>
      <c r="G17" s="35">
        <v>3.7688309989271899E-4</v>
      </c>
      <c r="H17" s="33">
        <v>3.5471387223790499E-4</v>
      </c>
      <c r="I17" s="34">
        <v>3.32456801772875E-4</v>
      </c>
      <c r="J17" s="36">
        <v>3.4799227375707E-4</v>
      </c>
    </row>
    <row r="18" spans="2:10" x14ac:dyDescent="0.25">
      <c r="B18" s="122"/>
      <c r="C18" s="125"/>
      <c r="D18" s="18" t="s">
        <v>7</v>
      </c>
      <c r="E18" s="33">
        <v>5.4983080778037705E-4</v>
      </c>
      <c r="F18" s="34">
        <v>5.3883698522369202E-4</v>
      </c>
      <c r="G18" s="35">
        <v>5.36912879573582E-4</v>
      </c>
      <c r="H18" s="33">
        <v>5.5937108158358095E-4</v>
      </c>
      <c r="I18" s="34">
        <v>5.3123925996827605E-4</v>
      </c>
      <c r="J18" s="36">
        <v>5.3857949799241702E-4</v>
      </c>
    </row>
    <row r="19" spans="2:10" x14ac:dyDescent="0.25">
      <c r="B19" s="122"/>
      <c r="C19" s="125"/>
      <c r="D19" s="18" t="s">
        <v>8</v>
      </c>
      <c r="E19" s="33">
        <v>7.2200684500543398E-4</v>
      </c>
      <c r="F19" s="34">
        <v>7.0330014705590404E-4</v>
      </c>
      <c r="G19" s="35">
        <v>6.7419689261335905E-4</v>
      </c>
      <c r="H19" s="33">
        <v>7.5105759271122902E-4</v>
      </c>
      <c r="I19" s="34">
        <v>7.1686021107150895E-4</v>
      </c>
      <c r="J19" s="36">
        <v>7.1530053290041703E-4</v>
      </c>
    </row>
    <row r="20" spans="2:10" x14ac:dyDescent="0.25">
      <c r="B20" s="122"/>
      <c r="C20" s="125"/>
      <c r="D20" s="18" t="s">
        <v>9</v>
      </c>
      <c r="E20" s="33">
        <v>8.6524153835656895E-4</v>
      </c>
      <c r="F20" s="34">
        <v>8.3996888517181103E-4</v>
      </c>
      <c r="G20" s="35">
        <v>7.8748650952288797E-4</v>
      </c>
      <c r="H20" s="33">
        <v>9.1197697180279503E-4</v>
      </c>
      <c r="I20" s="34">
        <v>8.7297957764978105E-4</v>
      </c>
      <c r="J20" s="36">
        <v>8.63465383589818E-4</v>
      </c>
    </row>
    <row r="21" spans="2:10" x14ac:dyDescent="0.25">
      <c r="B21" s="122"/>
      <c r="C21" s="125"/>
      <c r="D21" s="18" t="s">
        <v>10</v>
      </c>
      <c r="E21" s="33">
        <v>9.7575674033274697E-4</v>
      </c>
      <c r="F21" s="34">
        <v>9.4502110968409405E-4</v>
      </c>
      <c r="G21" s="35">
        <v>8.7360204149341798E-4</v>
      </c>
      <c r="H21" s="33">
        <v>1.03667906155844E-3</v>
      </c>
      <c r="I21" s="34">
        <v>9.9378356423200404E-4</v>
      </c>
      <c r="J21" s="36">
        <v>9.7750662016480899E-4</v>
      </c>
    </row>
    <row r="22" spans="2:10" x14ac:dyDescent="0.25">
      <c r="B22" s="122"/>
      <c r="C22" s="125"/>
      <c r="D22" s="18" t="s">
        <v>11</v>
      </c>
      <c r="E22" s="33">
        <v>1.02166618171788E-3</v>
      </c>
      <c r="F22" s="34">
        <v>9.8473354793000498E-4</v>
      </c>
      <c r="G22" s="35">
        <v>9.0527014787404397E-4</v>
      </c>
      <c r="H22" s="33">
        <v>1.08865796788846E-3</v>
      </c>
      <c r="I22" s="34">
        <v>1.0406564112469001E-3</v>
      </c>
      <c r="J22" s="36">
        <v>1.01759890805316E-3</v>
      </c>
    </row>
    <row r="23" spans="2:10" x14ac:dyDescent="0.25">
      <c r="B23" s="122"/>
      <c r="C23" s="125"/>
      <c r="D23" s="18" t="s">
        <v>12</v>
      </c>
      <c r="E23" s="33">
        <v>1.0445946686021799E-3</v>
      </c>
      <c r="F23" s="34">
        <v>1.0001306120980501E-3</v>
      </c>
      <c r="G23" s="35">
        <v>9.1538424002186901E-4</v>
      </c>
      <c r="H23" s="33">
        <v>1.1165937743355899E-3</v>
      </c>
      <c r="I23" s="34">
        <v>1.0637874970499299E-3</v>
      </c>
      <c r="J23" s="36">
        <v>1.0344423607955701E-3</v>
      </c>
    </row>
    <row r="24" spans="2:10" x14ac:dyDescent="0.25">
      <c r="B24" s="122"/>
      <c r="C24" s="125"/>
      <c r="D24" s="18" t="s">
        <v>13</v>
      </c>
      <c r="E24" s="33">
        <v>1.08242344116363E-3</v>
      </c>
      <c r="F24" s="34">
        <v>1.0326052873135599E-3</v>
      </c>
      <c r="G24" s="35">
        <v>9.3374713375722802E-4</v>
      </c>
      <c r="H24" s="33">
        <v>1.16584796602407E-3</v>
      </c>
      <c r="I24" s="34">
        <v>1.11093232988704E-3</v>
      </c>
      <c r="J24" s="36">
        <v>1.07624302286926E-3</v>
      </c>
    </row>
    <row r="25" spans="2:10" x14ac:dyDescent="0.25">
      <c r="B25" s="122"/>
      <c r="C25" s="125"/>
      <c r="D25" s="18" t="s">
        <v>14</v>
      </c>
      <c r="E25" s="33">
        <v>1.08148893204433E-3</v>
      </c>
      <c r="F25" s="34">
        <v>1.03387019295695E-3</v>
      </c>
      <c r="G25" s="35">
        <v>9.2765345707100904E-4</v>
      </c>
      <c r="H25" s="33">
        <v>1.1731157504251599E-3</v>
      </c>
      <c r="I25" s="34">
        <v>1.1212133455424599E-3</v>
      </c>
      <c r="J25" s="36">
        <v>1.08370122622849E-3</v>
      </c>
    </row>
    <row r="26" spans="2:10" ht="15.75" thickBot="1" x14ac:dyDescent="0.3">
      <c r="B26" s="122"/>
      <c r="C26" s="125"/>
      <c r="D26" s="21" t="s">
        <v>4</v>
      </c>
      <c r="E26" s="37">
        <v>7.9220331955573095E-4</v>
      </c>
      <c r="F26" s="38">
        <v>7.7860321788655298E-4</v>
      </c>
      <c r="G26" s="39">
        <v>7.0979242481069595E-4</v>
      </c>
      <c r="H26" s="37">
        <v>8.6255477881700695E-4</v>
      </c>
      <c r="I26" s="38">
        <v>8.3265082853697795E-4</v>
      </c>
      <c r="J26" s="40">
        <v>8.1158345716958501E-4</v>
      </c>
    </row>
    <row r="27" spans="2:10" x14ac:dyDescent="0.25">
      <c r="B27" s="121" t="s">
        <v>17</v>
      </c>
      <c r="C27" s="124" t="s">
        <v>20</v>
      </c>
      <c r="D27" s="19" t="s">
        <v>5</v>
      </c>
      <c r="E27" s="29">
        <v>2.7786769499931803E-4</v>
      </c>
      <c r="F27" s="30">
        <v>4.8285334113844501E-4</v>
      </c>
      <c r="G27" s="31">
        <v>5.5490894406670405E-4</v>
      </c>
      <c r="H27" s="29">
        <v>2.00830203094821E-4</v>
      </c>
      <c r="I27" s="30">
        <v>4.5178800068373497E-4</v>
      </c>
      <c r="J27" s="32">
        <v>4.5778979480174498E-4</v>
      </c>
    </row>
    <row r="28" spans="2:10" x14ac:dyDescent="0.25">
      <c r="B28" s="122"/>
      <c r="C28" s="125"/>
      <c r="D28" s="18" t="s">
        <v>6</v>
      </c>
      <c r="E28" s="33">
        <v>2.8726906592664797E-4</v>
      </c>
      <c r="F28" s="34">
        <v>4.0013792735653201E-4</v>
      </c>
      <c r="G28" s="35">
        <v>4.45259917196274E-4</v>
      </c>
      <c r="H28" s="33">
        <v>3.2068321072022203E-4</v>
      </c>
      <c r="I28" s="34">
        <v>5.1505910832012197E-4</v>
      </c>
      <c r="J28" s="36">
        <v>4.1889370431332499E-4</v>
      </c>
    </row>
    <row r="29" spans="2:10" x14ac:dyDescent="0.25">
      <c r="B29" s="122"/>
      <c r="C29" s="125"/>
      <c r="D29" s="18" t="s">
        <v>7</v>
      </c>
      <c r="E29" s="33">
        <v>4.4981031001281498E-4</v>
      </c>
      <c r="F29" s="34">
        <v>5.9414209909174195E-4</v>
      </c>
      <c r="G29" s="35">
        <v>6.3403444750721098E-4</v>
      </c>
      <c r="H29" s="33">
        <v>5.2694252168535797E-4</v>
      </c>
      <c r="I29" s="34">
        <v>6.2619993644990105E-4</v>
      </c>
      <c r="J29" s="36">
        <v>6.3516214000160698E-4</v>
      </c>
    </row>
    <row r="30" spans="2:10" x14ac:dyDescent="0.25">
      <c r="B30" s="122"/>
      <c r="C30" s="125"/>
      <c r="D30" s="18" t="s">
        <v>8</v>
      </c>
      <c r="E30" s="33">
        <v>6.2027992977820804E-4</v>
      </c>
      <c r="F30" s="34">
        <v>7.6590338976949399E-4</v>
      </c>
      <c r="G30" s="35">
        <v>7.9843414319214899E-4</v>
      </c>
      <c r="H30" s="33">
        <v>7.2241981363536695E-4</v>
      </c>
      <c r="I30" s="34">
        <v>7.5836161160765898E-4</v>
      </c>
      <c r="J30" s="36">
        <v>8.3361936306191296E-4</v>
      </c>
    </row>
    <row r="31" spans="2:10" x14ac:dyDescent="0.25">
      <c r="B31" s="122"/>
      <c r="C31" s="125"/>
      <c r="D31" s="18" t="s">
        <v>9</v>
      </c>
      <c r="E31" s="33">
        <v>7.6591095551554599E-4</v>
      </c>
      <c r="F31" s="34">
        <v>9.0873607935229497E-4</v>
      </c>
      <c r="G31" s="35">
        <v>9.3382831666233897E-4</v>
      </c>
      <c r="H31" s="33">
        <v>8.8821224429016599E-4</v>
      </c>
      <c r="I31" s="34">
        <v>9.1443410415197697E-4</v>
      </c>
      <c r="J31" s="36">
        <v>9.9889190730650403E-4</v>
      </c>
    </row>
    <row r="32" spans="2:10" x14ac:dyDescent="0.25">
      <c r="B32" s="122"/>
      <c r="C32" s="125"/>
      <c r="D32" s="18" t="s">
        <v>10</v>
      </c>
      <c r="E32" s="33">
        <v>8.8044998717065495E-4</v>
      </c>
      <c r="F32" s="34">
        <v>1.01950403565606E-3</v>
      </c>
      <c r="G32" s="35">
        <v>1.03673434889868E-3</v>
      </c>
      <c r="H32" s="33">
        <v>1.0185661065505701E-3</v>
      </c>
      <c r="I32" s="34">
        <v>1.04401988078449E-3</v>
      </c>
      <c r="J32" s="36">
        <v>1.1255669348653899E-3</v>
      </c>
    </row>
    <row r="33" spans="2:10" x14ac:dyDescent="0.25">
      <c r="B33" s="122"/>
      <c r="C33" s="125"/>
      <c r="D33" s="18" t="s">
        <v>11</v>
      </c>
      <c r="E33" s="33">
        <v>9.3455592126465105E-4</v>
      </c>
      <c r="F33" s="34">
        <v>1.0724413204659001E-3</v>
      </c>
      <c r="G33" s="35">
        <v>1.0823255338901999E-3</v>
      </c>
      <c r="H33" s="33">
        <v>1.08015135190698E-3</v>
      </c>
      <c r="I33" s="34">
        <v>1.1099681564887001E-3</v>
      </c>
      <c r="J33" s="36">
        <v>1.1809243541993999E-3</v>
      </c>
    </row>
    <row r="34" spans="2:10" x14ac:dyDescent="0.25">
      <c r="B34" s="122"/>
      <c r="C34" s="125"/>
      <c r="D34" s="18" t="s">
        <v>12</v>
      </c>
      <c r="E34" s="33">
        <v>9.6742444413620301E-4</v>
      </c>
      <c r="F34" s="34">
        <v>1.09992655676303E-3</v>
      </c>
      <c r="G34" s="35">
        <v>1.1016076125305099E-3</v>
      </c>
      <c r="H34" s="33">
        <v>1.1194507587522101E-3</v>
      </c>
      <c r="I34" s="34">
        <v>1.1522055509239301E-3</v>
      </c>
      <c r="J34" s="36">
        <v>1.21049056082739E-3</v>
      </c>
    </row>
    <row r="35" spans="2:10" x14ac:dyDescent="0.25">
      <c r="B35" s="122"/>
      <c r="C35" s="125"/>
      <c r="D35" s="18" t="s">
        <v>13</v>
      </c>
      <c r="E35" s="33">
        <v>1.0143283517303099E-3</v>
      </c>
      <c r="F35" s="34">
        <v>1.1327630025447599E-3</v>
      </c>
      <c r="G35" s="35">
        <v>1.1240208621179999E-3</v>
      </c>
      <c r="H35" s="33">
        <v>1.18304220581932E-3</v>
      </c>
      <c r="I35" s="34">
        <v>1.2076368316335899E-3</v>
      </c>
      <c r="J35" s="36">
        <v>1.25385836815689E-3</v>
      </c>
    </row>
    <row r="36" spans="2:10" x14ac:dyDescent="0.25">
      <c r="B36" s="122"/>
      <c r="C36" s="125"/>
      <c r="D36" s="18" t="s">
        <v>14</v>
      </c>
      <c r="E36" s="33">
        <v>1.01795141851519E-3</v>
      </c>
      <c r="F36" s="34">
        <v>1.1175715767515E-3</v>
      </c>
      <c r="G36" s="35">
        <v>1.11765084948974E-3</v>
      </c>
      <c r="H36" s="33">
        <v>1.1916981789367399E-3</v>
      </c>
      <c r="I36" s="34">
        <v>1.20910630209807E-3</v>
      </c>
      <c r="J36" s="36">
        <v>1.2452995753301E-3</v>
      </c>
    </row>
    <row r="37" spans="2:10" ht="15.75" thickBot="1" x14ac:dyDescent="0.3">
      <c r="B37" s="122"/>
      <c r="C37" s="125"/>
      <c r="D37" s="21" t="s">
        <v>4</v>
      </c>
      <c r="E37" s="37">
        <v>7.1695172701886705E-4</v>
      </c>
      <c r="F37" s="38">
        <v>7.8753261764364898E-4</v>
      </c>
      <c r="G37" s="39">
        <v>7.7467505643268703E-4</v>
      </c>
      <c r="H37" s="37">
        <v>8.5576406799386495E-4</v>
      </c>
      <c r="I37" s="38">
        <v>8.5191670135064399E-4</v>
      </c>
      <c r="J37" s="40">
        <v>8.8648446520956498E-4</v>
      </c>
    </row>
    <row r="38" spans="2:10" x14ac:dyDescent="0.25">
      <c r="B38" s="121" t="s">
        <v>17</v>
      </c>
      <c r="C38" s="124" t="s">
        <v>21</v>
      </c>
      <c r="D38" s="19" t="s">
        <v>5</v>
      </c>
      <c r="E38" s="29">
        <v>2.6283373979383299E-4</v>
      </c>
      <c r="F38" s="30">
        <v>4.0480113043695701E-4</v>
      </c>
      <c r="G38" s="31">
        <v>4.8224636836621598E-4</v>
      </c>
      <c r="H38" s="29">
        <v>1.9407075734898801E-4</v>
      </c>
      <c r="I38" s="30">
        <v>3.8091370369505002E-4</v>
      </c>
      <c r="J38" s="32">
        <v>3.9268769196779E-4</v>
      </c>
    </row>
    <row r="39" spans="2:10" x14ac:dyDescent="0.25">
      <c r="B39" s="122"/>
      <c r="C39" s="125"/>
      <c r="D39" s="18" t="s">
        <v>6</v>
      </c>
      <c r="E39" s="33">
        <v>3.1701253538421302E-4</v>
      </c>
      <c r="F39" s="34">
        <v>3.3976431164920898E-4</v>
      </c>
      <c r="G39" s="35">
        <v>3.7799524830716899E-4</v>
      </c>
      <c r="H39" s="33">
        <v>3.2370702677490999E-4</v>
      </c>
      <c r="I39" s="34">
        <v>4.3081998300419701E-4</v>
      </c>
      <c r="J39" s="36">
        <v>3.4906472573913101E-4</v>
      </c>
    </row>
    <row r="40" spans="2:10" x14ac:dyDescent="0.25">
      <c r="B40" s="122"/>
      <c r="C40" s="125"/>
      <c r="D40" s="18" t="s">
        <v>7</v>
      </c>
      <c r="E40" s="33">
        <v>5.2774373442857905E-4</v>
      </c>
      <c r="F40" s="34">
        <v>5.7315102537791596E-4</v>
      </c>
      <c r="G40" s="35">
        <v>5.5939437054066201E-4</v>
      </c>
      <c r="H40" s="33">
        <v>5.4126462384666396E-4</v>
      </c>
      <c r="I40" s="34">
        <v>5.8753456448744996E-4</v>
      </c>
      <c r="J40" s="36">
        <v>5.5445444937321996E-4</v>
      </c>
    </row>
    <row r="41" spans="2:10" x14ac:dyDescent="0.25">
      <c r="B41" s="122"/>
      <c r="C41" s="125"/>
      <c r="D41" s="18" t="s">
        <v>8</v>
      </c>
      <c r="E41" s="33">
        <v>7.3038803392551398E-4</v>
      </c>
      <c r="F41" s="34">
        <v>7.9701279198206504E-4</v>
      </c>
      <c r="G41" s="35">
        <v>7.7741274317633395E-4</v>
      </c>
      <c r="H41" s="33">
        <v>7.5019877551273605E-4</v>
      </c>
      <c r="I41" s="34">
        <v>8.14858422488143E-4</v>
      </c>
      <c r="J41" s="36">
        <v>7.7061168512218797E-4</v>
      </c>
    </row>
    <row r="42" spans="2:10" x14ac:dyDescent="0.25">
      <c r="B42" s="122"/>
      <c r="C42" s="125"/>
      <c r="D42" s="18" t="s">
        <v>9</v>
      </c>
      <c r="E42" s="33">
        <v>9.0336029284969498E-4</v>
      </c>
      <c r="F42" s="34">
        <v>9.8651460062245105E-4</v>
      </c>
      <c r="G42" s="35">
        <v>9.6125644365005795E-4</v>
      </c>
      <c r="H42" s="33">
        <v>9.2785711736680597E-4</v>
      </c>
      <c r="I42" s="34">
        <v>1.0072375201058701E-3</v>
      </c>
      <c r="J42" s="36">
        <v>9.5319197636682597E-4</v>
      </c>
    </row>
    <row r="43" spans="2:10" x14ac:dyDescent="0.25">
      <c r="B43" s="122"/>
      <c r="C43" s="125"/>
      <c r="D43" s="18" t="s">
        <v>10</v>
      </c>
      <c r="E43" s="33">
        <v>1.03825164892694E-3</v>
      </c>
      <c r="F43" s="34">
        <v>1.1332872157633199E-3</v>
      </c>
      <c r="G43" s="35">
        <v>1.1037737215795001E-3</v>
      </c>
      <c r="H43" s="33">
        <v>1.0663535432818001E-3</v>
      </c>
      <c r="I43" s="34">
        <v>1.15642854551179E-3</v>
      </c>
      <c r="J43" s="36">
        <v>1.09486357538714E-3</v>
      </c>
    </row>
    <row r="44" spans="2:10" x14ac:dyDescent="0.25">
      <c r="B44" s="122"/>
      <c r="C44" s="125"/>
      <c r="D44" s="18" t="s">
        <v>11</v>
      </c>
      <c r="E44" s="33">
        <v>1.0946937927039501E-3</v>
      </c>
      <c r="F44" s="34">
        <v>1.1962849471514601E-3</v>
      </c>
      <c r="G44" s="35">
        <v>1.16728632737566E-3</v>
      </c>
      <c r="H44" s="33">
        <v>1.12827834383138E-3</v>
      </c>
      <c r="I44" s="34">
        <v>1.2218137989340101E-3</v>
      </c>
      <c r="J44" s="36">
        <v>1.1588446855402899E-3</v>
      </c>
    </row>
    <row r="45" spans="2:10" x14ac:dyDescent="0.25">
      <c r="B45" s="122"/>
      <c r="C45" s="125"/>
      <c r="D45" s="18" t="s">
        <v>12</v>
      </c>
      <c r="E45" s="33">
        <v>1.1258678669611999E-3</v>
      </c>
      <c r="F45" s="34">
        <v>1.2326179857754E-3</v>
      </c>
      <c r="G45" s="35">
        <v>1.2056802204837699E-3</v>
      </c>
      <c r="H45" s="33">
        <v>1.16577688633869E-3</v>
      </c>
      <c r="I45" s="34">
        <v>1.2610273541636601E-3</v>
      </c>
      <c r="J45" s="36">
        <v>1.1976758559095299E-3</v>
      </c>
    </row>
    <row r="46" spans="2:10" x14ac:dyDescent="0.25">
      <c r="B46" s="122"/>
      <c r="C46" s="125"/>
      <c r="D46" s="18" t="s">
        <v>13</v>
      </c>
      <c r="E46" s="33">
        <v>1.1807365247004701E-3</v>
      </c>
      <c r="F46" s="34">
        <v>1.2926996617811401E-3</v>
      </c>
      <c r="G46" s="35">
        <v>1.2642984176418799E-3</v>
      </c>
      <c r="H46" s="33">
        <v>1.22489647214065E-3</v>
      </c>
      <c r="I46" s="34">
        <v>1.3240689218980499E-3</v>
      </c>
      <c r="J46" s="36">
        <v>1.2574056131302699E-3</v>
      </c>
    </row>
    <row r="47" spans="2:10" x14ac:dyDescent="0.25">
      <c r="B47" s="122"/>
      <c r="C47" s="125"/>
      <c r="D47" s="18" t="s">
        <v>14</v>
      </c>
      <c r="E47" s="33">
        <v>1.1879790019794401E-3</v>
      </c>
      <c r="F47" s="34">
        <v>1.2943528882805599E-3</v>
      </c>
      <c r="G47" s="35">
        <v>1.26505291513001E-3</v>
      </c>
      <c r="H47" s="33">
        <v>1.2285906373805E-3</v>
      </c>
      <c r="I47" s="34">
        <v>1.3261316587646901E-3</v>
      </c>
      <c r="J47" s="36">
        <v>1.25965094418649E-3</v>
      </c>
    </row>
    <row r="48" spans="2:10" ht="15.75" thickBot="1" x14ac:dyDescent="0.3">
      <c r="B48" s="123"/>
      <c r="C48" s="126"/>
      <c r="D48" s="20" t="s">
        <v>4</v>
      </c>
      <c r="E48" s="41">
        <v>8.4161037513782002E-4</v>
      </c>
      <c r="F48" s="42">
        <v>9.0141553770684403E-4</v>
      </c>
      <c r="G48" s="43">
        <v>8.7766444806685099E-4</v>
      </c>
      <c r="H48" s="41">
        <v>8.5865533229058204E-4</v>
      </c>
      <c r="I48" s="42">
        <v>9.2278659772775801E-4</v>
      </c>
      <c r="J48" s="44">
        <v>8.7541428012004601E-4</v>
      </c>
    </row>
  </sheetData>
  <mergeCells count="13">
    <mergeCell ref="B3:B4"/>
    <mergeCell ref="E3:G3"/>
    <mergeCell ref="H3:J3"/>
    <mergeCell ref="C3:C4"/>
    <mergeCell ref="D3:D4"/>
    <mergeCell ref="B38:B48"/>
    <mergeCell ref="C38:C48"/>
    <mergeCell ref="B5:B15"/>
    <mergeCell ref="C5:C15"/>
    <mergeCell ref="B16:B26"/>
    <mergeCell ref="C16:C26"/>
    <mergeCell ref="B27:B37"/>
    <mergeCell ref="C27:C3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B2:O29"/>
  <sheetViews>
    <sheetView tabSelected="1" zoomScale="90" zoomScaleNormal="90" workbookViewId="0">
      <selection activeCell="E13" sqref="E13"/>
    </sheetView>
  </sheetViews>
  <sheetFormatPr baseColWidth="10" defaultRowHeight="15" x14ac:dyDescent="0.25"/>
  <cols>
    <col min="2" max="2" width="22.85546875" customWidth="1"/>
  </cols>
  <sheetData>
    <row r="2" spans="2:15" x14ac:dyDescent="0.25">
      <c r="B2" s="2"/>
      <c r="C2" s="2"/>
      <c r="D2" s="117" t="s">
        <v>65</v>
      </c>
      <c r="E2" s="117"/>
      <c r="F2" s="117"/>
      <c r="G2" s="117"/>
      <c r="H2" s="117"/>
      <c r="I2" s="117"/>
      <c r="J2" s="117" t="s">
        <v>66</v>
      </c>
      <c r="K2" s="117"/>
      <c r="L2" s="117"/>
      <c r="M2" s="117"/>
      <c r="N2" s="117"/>
      <c r="O2" s="117"/>
    </row>
    <row r="3" spans="2:15" x14ac:dyDescent="0.25">
      <c r="B3" s="127" t="s">
        <v>2</v>
      </c>
      <c r="C3" s="127" t="s">
        <v>3</v>
      </c>
      <c r="D3" s="117" t="s">
        <v>67</v>
      </c>
      <c r="E3" s="117"/>
      <c r="F3" s="117" t="s">
        <v>68</v>
      </c>
      <c r="G3" s="117"/>
      <c r="H3" s="117" t="s">
        <v>69</v>
      </c>
      <c r="I3" s="117"/>
      <c r="J3" s="117" t="s">
        <v>67</v>
      </c>
      <c r="K3" s="117"/>
      <c r="L3" s="117" t="s">
        <v>68</v>
      </c>
      <c r="M3" s="117"/>
      <c r="N3" s="117" t="s">
        <v>69</v>
      </c>
      <c r="O3" s="117"/>
    </row>
    <row r="4" spans="2:15" x14ac:dyDescent="0.25">
      <c r="B4" s="127"/>
      <c r="C4" s="127"/>
      <c r="D4" s="3" t="s">
        <v>25</v>
      </c>
      <c r="E4" s="3" t="s">
        <v>26</v>
      </c>
      <c r="F4" s="3" t="s">
        <v>25</v>
      </c>
      <c r="G4" s="3" t="s">
        <v>26</v>
      </c>
      <c r="H4" s="3" t="s">
        <v>25</v>
      </c>
      <c r="I4" s="3" t="s">
        <v>26</v>
      </c>
      <c r="J4" s="3" t="s">
        <v>25</v>
      </c>
      <c r="K4" s="3" t="s">
        <v>26</v>
      </c>
      <c r="L4" s="3" t="s">
        <v>25</v>
      </c>
      <c r="M4" s="3" t="s">
        <v>26</v>
      </c>
      <c r="N4" s="3" t="s">
        <v>25</v>
      </c>
      <c r="O4" s="3" t="s">
        <v>26</v>
      </c>
    </row>
    <row r="5" spans="2:15" x14ac:dyDescent="0.25">
      <c r="B5" s="17" t="s">
        <v>0</v>
      </c>
      <c r="C5" s="18"/>
      <c r="D5" s="4">
        <v>1.1301138167587033</v>
      </c>
      <c r="E5" s="4">
        <f>+D5</f>
        <v>1.1301138167587033</v>
      </c>
      <c r="F5" s="5">
        <v>1.1301138167587033</v>
      </c>
      <c r="G5" s="5">
        <f>+F5</f>
        <v>1.1301138167587033</v>
      </c>
      <c r="H5" s="6">
        <v>1.1301138167587033</v>
      </c>
      <c r="I5" s="6">
        <f>+H5</f>
        <v>1.1301138167587033</v>
      </c>
      <c r="J5" s="4">
        <v>1.1301138167587033</v>
      </c>
      <c r="K5" s="4">
        <f>+J5</f>
        <v>1.1301138167587033</v>
      </c>
      <c r="L5" s="5">
        <v>1.1301138167587033</v>
      </c>
      <c r="M5" s="5">
        <f>+L5</f>
        <v>1.1301138167587033</v>
      </c>
      <c r="N5" s="6">
        <v>1.1301138167587033</v>
      </c>
      <c r="O5" s="6">
        <f>+N5</f>
        <v>1.1301138167587033</v>
      </c>
    </row>
    <row r="6" spans="2:15" x14ac:dyDescent="0.25">
      <c r="B6" s="17" t="s">
        <v>27</v>
      </c>
      <c r="C6" s="18"/>
      <c r="D6" s="4">
        <v>1.4175518644488401</v>
      </c>
      <c r="E6" s="4">
        <v>1.4720927665396699</v>
      </c>
      <c r="F6" s="5">
        <v>1.3988709505957799</v>
      </c>
      <c r="G6" s="5">
        <v>1.5369710929128</v>
      </c>
      <c r="H6" s="6">
        <v>1.4142923542705099</v>
      </c>
      <c r="I6" s="6">
        <v>1.53814480421207</v>
      </c>
      <c r="J6" s="4">
        <v>1.45939251111271</v>
      </c>
      <c r="K6" s="4">
        <v>1.5282258085895899</v>
      </c>
      <c r="L6" s="5">
        <v>1.4360016571143399</v>
      </c>
      <c r="M6" s="5">
        <v>1.5633759135399801</v>
      </c>
      <c r="N6" s="6">
        <v>1.43845000272307</v>
      </c>
      <c r="O6" s="6">
        <v>1.5549604708115801</v>
      </c>
    </row>
    <row r="7" spans="2:15" ht="15.75" thickBot="1" x14ac:dyDescent="0.3">
      <c r="B7" s="149" t="s">
        <v>22</v>
      </c>
      <c r="C7" s="150"/>
      <c r="D7" s="16" t="s">
        <v>23</v>
      </c>
      <c r="E7" s="16" t="s">
        <v>24</v>
      </c>
      <c r="F7" s="16" t="s">
        <v>23</v>
      </c>
      <c r="G7" s="16" t="s">
        <v>24</v>
      </c>
      <c r="H7" s="16" t="s">
        <v>23</v>
      </c>
      <c r="I7" s="16" t="s">
        <v>24</v>
      </c>
      <c r="J7" s="16">
        <v>1.1301138167587033</v>
      </c>
      <c r="K7" s="16" t="s">
        <v>24</v>
      </c>
      <c r="L7" s="16" t="s">
        <v>23</v>
      </c>
      <c r="M7" s="16" t="s">
        <v>24</v>
      </c>
      <c r="N7" s="16" t="s">
        <v>23</v>
      </c>
      <c r="O7" s="16" t="s">
        <v>24</v>
      </c>
    </row>
    <row r="8" spans="2:15" x14ac:dyDescent="0.25">
      <c r="B8" s="121" t="s">
        <v>1</v>
      </c>
      <c r="C8" s="19" t="s">
        <v>4</v>
      </c>
      <c r="D8" s="7">
        <v>11.903969718597599</v>
      </c>
      <c r="E8" s="7">
        <v>15.5072210735577</v>
      </c>
      <c r="F8" s="8">
        <v>12.4395703079319</v>
      </c>
      <c r="G8" s="8">
        <v>15.419169202008099</v>
      </c>
      <c r="H8" s="9">
        <v>12.4356022957025</v>
      </c>
      <c r="I8" s="9">
        <v>14.606715427241999</v>
      </c>
      <c r="J8" s="7">
        <v>12.1488030406514</v>
      </c>
      <c r="K8" s="7">
        <v>15.4486348034083</v>
      </c>
      <c r="L8" s="8">
        <v>11.6048489198079</v>
      </c>
      <c r="M8" s="8">
        <v>15.495198494243899</v>
      </c>
      <c r="N8" s="9">
        <v>12.4432313697406</v>
      </c>
      <c r="O8" s="10">
        <v>14.5967247965482</v>
      </c>
    </row>
    <row r="9" spans="2:15" x14ac:dyDescent="0.25">
      <c r="B9" s="122"/>
      <c r="C9" s="18" t="s">
        <v>14</v>
      </c>
      <c r="D9" s="4">
        <v>11.878900435086599</v>
      </c>
      <c r="E9" s="4">
        <v>15.505958634330501</v>
      </c>
      <c r="F9" s="5">
        <v>12.400724089400899</v>
      </c>
      <c r="G9" s="5">
        <v>15.4199839581925</v>
      </c>
      <c r="H9" s="6">
        <v>12.395315730276501</v>
      </c>
      <c r="I9" s="6">
        <v>14.6381843595332</v>
      </c>
      <c r="J9" s="4">
        <v>12.1931217708832</v>
      </c>
      <c r="K9" s="4">
        <v>15.4942610982872</v>
      </c>
      <c r="L9" s="5">
        <v>11.6014468128099</v>
      </c>
      <c r="M9" s="5">
        <v>15.4947850550371</v>
      </c>
      <c r="N9" s="6">
        <v>12.4060644292076</v>
      </c>
      <c r="O9" s="11">
        <v>14.6257484177141</v>
      </c>
    </row>
    <row r="10" spans="2:15" x14ac:dyDescent="0.25">
      <c r="B10" s="122"/>
      <c r="C10" s="18" t="s">
        <v>13</v>
      </c>
      <c r="D10" s="4">
        <v>11.878900435086599</v>
      </c>
      <c r="E10" s="4">
        <v>15.505958634330501</v>
      </c>
      <c r="F10" s="5">
        <v>12.400724089400899</v>
      </c>
      <c r="G10" s="5">
        <v>15.4199839581925</v>
      </c>
      <c r="H10" s="6">
        <v>12.395315730276501</v>
      </c>
      <c r="I10" s="6">
        <v>14.6381843595332</v>
      </c>
      <c r="J10" s="4">
        <v>12.185993515367199</v>
      </c>
      <c r="K10" s="4">
        <v>15.491652290948201</v>
      </c>
      <c r="L10" s="5">
        <v>11.6014468128099</v>
      </c>
      <c r="M10" s="5">
        <v>15.4947850550371</v>
      </c>
      <c r="N10" s="6">
        <v>12.4060644292076</v>
      </c>
      <c r="O10" s="11">
        <v>14.6257484177141</v>
      </c>
    </row>
    <row r="11" spans="2:15" x14ac:dyDescent="0.25">
      <c r="B11" s="122"/>
      <c r="C11" s="18" t="s">
        <v>12</v>
      </c>
      <c r="D11" s="4">
        <v>11.878900435086599</v>
      </c>
      <c r="E11" s="4">
        <v>15.505958634330501</v>
      </c>
      <c r="F11" s="5">
        <v>12.400724089400899</v>
      </c>
      <c r="G11" s="5">
        <v>15.4199839581925</v>
      </c>
      <c r="H11" s="6">
        <v>12.395315730276501</v>
      </c>
      <c r="I11" s="6">
        <v>14.6381843595332</v>
      </c>
      <c r="J11" s="4">
        <v>12.185993515367199</v>
      </c>
      <c r="K11" s="4">
        <v>15.491652290948201</v>
      </c>
      <c r="L11" s="5">
        <v>11.6014468128099</v>
      </c>
      <c r="M11" s="5">
        <v>15.4947850550371</v>
      </c>
      <c r="N11" s="6">
        <v>12.4060644292076</v>
      </c>
      <c r="O11" s="11">
        <v>14.6257484177141</v>
      </c>
    </row>
    <row r="12" spans="2:15" x14ac:dyDescent="0.25">
      <c r="B12" s="122"/>
      <c r="C12" s="18" t="s">
        <v>11</v>
      </c>
      <c r="D12" s="4">
        <v>11.9193344761227</v>
      </c>
      <c r="E12" s="4">
        <v>15.509407309798</v>
      </c>
      <c r="F12" s="5">
        <v>12.425777493719901</v>
      </c>
      <c r="G12" s="5">
        <v>15.4237374531023</v>
      </c>
      <c r="H12" s="6">
        <v>12.4228675951348</v>
      </c>
      <c r="I12" s="6">
        <v>14.6600709647358</v>
      </c>
      <c r="J12" s="4">
        <v>12.2334690495827</v>
      </c>
      <c r="K12" s="4">
        <v>15.4913501577626</v>
      </c>
      <c r="L12" s="5">
        <v>11.651819610988801</v>
      </c>
      <c r="M12" s="5">
        <v>15.495631539182799</v>
      </c>
      <c r="N12" s="6">
        <v>12.435387949068</v>
      </c>
      <c r="O12" s="11">
        <v>14.6456541487398</v>
      </c>
    </row>
    <row r="13" spans="2:15" x14ac:dyDescent="0.25">
      <c r="B13" s="122"/>
      <c r="C13" s="18" t="s">
        <v>10</v>
      </c>
      <c r="D13" s="4">
        <v>11.9193344761227</v>
      </c>
      <c r="E13" s="4">
        <v>15.509407309798</v>
      </c>
      <c r="F13" s="5">
        <v>12.425777493719901</v>
      </c>
      <c r="G13" s="5">
        <v>15.4237374531023</v>
      </c>
      <c r="H13" s="6">
        <v>12.4228675951348</v>
      </c>
      <c r="I13" s="6">
        <v>14.6600709647358</v>
      </c>
      <c r="J13" s="4">
        <v>12.2334690495827</v>
      </c>
      <c r="K13" s="4">
        <v>15.4913501577626</v>
      </c>
      <c r="L13" s="5">
        <v>11.651819610988801</v>
      </c>
      <c r="M13" s="5">
        <v>15.495631539182799</v>
      </c>
      <c r="N13" s="6">
        <v>12.435387949068</v>
      </c>
      <c r="O13" s="11">
        <v>14.6456541487398</v>
      </c>
    </row>
    <row r="14" spans="2:15" x14ac:dyDescent="0.25">
      <c r="B14" s="122"/>
      <c r="C14" s="18" t="s">
        <v>9</v>
      </c>
      <c r="D14" s="4">
        <v>11.9193344761227</v>
      </c>
      <c r="E14" s="4">
        <v>15.509407309798</v>
      </c>
      <c r="F14" s="5">
        <v>12.425777493719901</v>
      </c>
      <c r="G14" s="5">
        <v>15.4237374531023</v>
      </c>
      <c r="H14" s="6">
        <v>12.4228675951348</v>
      </c>
      <c r="I14" s="6">
        <v>14.6600709647358</v>
      </c>
      <c r="J14" s="4">
        <v>12.2334690495827</v>
      </c>
      <c r="K14" s="4">
        <v>15.4913501577626</v>
      </c>
      <c r="L14" s="5">
        <v>11.651819610988801</v>
      </c>
      <c r="M14" s="5">
        <v>15.495631539182799</v>
      </c>
      <c r="N14" s="6">
        <v>12.435387949068</v>
      </c>
      <c r="O14" s="11">
        <v>14.6456541487398</v>
      </c>
    </row>
    <row r="15" spans="2:15" x14ac:dyDescent="0.25">
      <c r="B15" s="122"/>
      <c r="C15" s="18" t="s">
        <v>8</v>
      </c>
      <c r="D15" s="4">
        <v>11.9193344761227</v>
      </c>
      <c r="E15" s="4">
        <v>15.509407309798</v>
      </c>
      <c r="F15" s="5">
        <v>12.425777493719901</v>
      </c>
      <c r="G15" s="5">
        <v>15.4237374531023</v>
      </c>
      <c r="H15" s="6">
        <v>12.4228675951348</v>
      </c>
      <c r="I15" s="6">
        <v>14.6600709647358</v>
      </c>
      <c r="J15" s="4">
        <v>12.2334690495827</v>
      </c>
      <c r="K15" s="4">
        <v>15.4913501577626</v>
      </c>
      <c r="L15" s="5">
        <v>11.651819610988801</v>
      </c>
      <c r="M15" s="5">
        <v>15.495631539182799</v>
      </c>
      <c r="N15" s="6">
        <v>12.435387949068</v>
      </c>
      <c r="O15" s="11">
        <v>14.6456541487398</v>
      </c>
    </row>
    <row r="16" spans="2:15" x14ac:dyDescent="0.25">
      <c r="B16" s="122"/>
      <c r="C16" s="18" t="s">
        <v>7</v>
      </c>
      <c r="D16" s="4">
        <v>11.9193344761227</v>
      </c>
      <c r="E16" s="4">
        <v>15.509407309798</v>
      </c>
      <c r="F16" s="5">
        <v>12.425777493719901</v>
      </c>
      <c r="G16" s="5">
        <v>15.4237374531023</v>
      </c>
      <c r="H16" s="6">
        <v>12.4228675951348</v>
      </c>
      <c r="I16" s="6">
        <v>14.6600709647358</v>
      </c>
      <c r="J16" s="4">
        <v>12.2334690495827</v>
      </c>
      <c r="K16" s="4">
        <v>15.4913501577626</v>
      </c>
      <c r="L16" s="5">
        <v>11.651819610988801</v>
      </c>
      <c r="M16" s="5">
        <v>15.495631539182799</v>
      </c>
      <c r="N16" s="6">
        <v>12.435387949068</v>
      </c>
      <c r="O16" s="11">
        <v>14.6456541487398</v>
      </c>
    </row>
    <row r="17" spans="2:15" x14ac:dyDescent="0.25">
      <c r="B17" s="122"/>
      <c r="C17" s="18" t="s">
        <v>6</v>
      </c>
      <c r="D17" s="4">
        <v>12.0290427705505</v>
      </c>
      <c r="E17" s="4">
        <v>15.466077030309201</v>
      </c>
      <c r="F17" s="5">
        <v>12.5706845843512</v>
      </c>
      <c r="G17" s="5">
        <v>15.393770343196101</v>
      </c>
      <c r="H17" s="6">
        <v>12.5669931801767</v>
      </c>
      <c r="I17" s="6">
        <v>14.4971146767446</v>
      </c>
      <c r="J17" s="4">
        <v>12.233297274155699</v>
      </c>
      <c r="K17" s="4">
        <v>15.452965868025601</v>
      </c>
      <c r="L17" s="5">
        <v>11.720834277108899</v>
      </c>
      <c r="M17" s="5">
        <v>15.4758368889518</v>
      </c>
      <c r="N17" s="6">
        <v>12.5939384418818</v>
      </c>
      <c r="O17" s="11">
        <v>14.4695574664972</v>
      </c>
    </row>
    <row r="18" spans="2:15" ht="15.75" thickBot="1" x14ac:dyDescent="0.3">
      <c r="B18" s="123"/>
      <c r="C18" s="20" t="s">
        <v>5</v>
      </c>
      <c r="D18" s="12">
        <v>20.908304498395498</v>
      </c>
      <c r="E18" s="12">
        <v>14.1247837405593</v>
      </c>
      <c r="F18" s="13">
        <v>25.395580382377599</v>
      </c>
      <c r="G18" s="13">
        <v>13.916464303188199</v>
      </c>
      <c r="H18" s="14">
        <v>25.395580382377599</v>
      </c>
      <c r="I18" s="14">
        <v>1.91646430318821</v>
      </c>
      <c r="J18" s="12">
        <v>20.908304498395498</v>
      </c>
      <c r="K18" s="12">
        <v>14.1247837405593</v>
      </c>
      <c r="L18" s="13">
        <v>25.395580382377599</v>
      </c>
      <c r="M18" s="13">
        <v>13.916464303188199</v>
      </c>
      <c r="N18" s="14">
        <v>25.299159274928002</v>
      </c>
      <c r="O18" s="15">
        <v>2</v>
      </c>
    </row>
    <row r="19" spans="2:15" x14ac:dyDescent="0.25">
      <c r="B19" s="122" t="s">
        <v>15</v>
      </c>
      <c r="C19" s="22" t="s">
        <v>4</v>
      </c>
      <c r="D19" s="23">
        <v>12.648780303814901</v>
      </c>
      <c r="E19" s="23">
        <v>15.5035930423376</v>
      </c>
      <c r="F19" s="24">
        <v>13.2671843798233</v>
      </c>
      <c r="G19" s="24">
        <v>15.3878972427548</v>
      </c>
      <c r="H19" s="25">
        <v>13.229030560523</v>
      </c>
      <c r="I19" s="25">
        <v>13.9967767906719</v>
      </c>
      <c r="J19" s="23">
        <v>12.2656475289819</v>
      </c>
      <c r="K19" s="23">
        <v>15.559721367188899</v>
      </c>
      <c r="L19" s="24">
        <v>12.006429329337401</v>
      </c>
      <c r="M19" s="24">
        <v>15.442597600202101</v>
      </c>
      <c r="N19" s="25">
        <v>12.4415248690722</v>
      </c>
      <c r="O19" s="26">
        <v>14.643438648360201</v>
      </c>
    </row>
    <row r="20" spans="2:15" x14ac:dyDescent="0.25">
      <c r="B20" s="122"/>
      <c r="C20" s="18" t="s">
        <v>14</v>
      </c>
      <c r="D20" s="4">
        <v>13.2027637765785</v>
      </c>
      <c r="E20" s="4">
        <v>15.5141331537369</v>
      </c>
      <c r="F20" s="5">
        <v>13.6288058591824</v>
      </c>
      <c r="G20" s="5">
        <v>15.2953004873343</v>
      </c>
      <c r="H20" s="6">
        <v>13.6209919592863</v>
      </c>
      <c r="I20" s="6">
        <v>13.540404146864301</v>
      </c>
      <c r="J20" s="4">
        <v>12.021552238385301</v>
      </c>
      <c r="K20" s="4">
        <v>15.5542974793096</v>
      </c>
      <c r="L20" s="5">
        <v>12.252924906674</v>
      </c>
      <c r="M20" s="5">
        <v>15.421397746953801</v>
      </c>
      <c r="N20" s="6">
        <v>12.6721580650851</v>
      </c>
      <c r="O20" s="11">
        <v>14.471359437258601</v>
      </c>
    </row>
    <row r="21" spans="2:15" x14ac:dyDescent="0.25">
      <c r="B21" s="122"/>
      <c r="C21" s="18" t="s">
        <v>13</v>
      </c>
      <c r="D21" s="4">
        <v>13.4416613010972</v>
      </c>
      <c r="E21" s="4">
        <v>15.515862774555</v>
      </c>
      <c r="F21" s="5">
        <v>13.7319630643641</v>
      </c>
      <c r="G21" s="5">
        <v>15.2595580057317</v>
      </c>
      <c r="H21" s="6">
        <v>13.7101443133713</v>
      </c>
      <c r="I21" s="6">
        <v>13.3986334003833</v>
      </c>
      <c r="J21" s="4">
        <v>12.353677960610799</v>
      </c>
      <c r="K21" s="4">
        <v>15.5605678749868</v>
      </c>
      <c r="L21" s="5">
        <v>12.3788577579953</v>
      </c>
      <c r="M21" s="5">
        <v>15.4140389043484</v>
      </c>
      <c r="N21" s="6">
        <v>12.739027943791299</v>
      </c>
      <c r="O21" s="11">
        <v>14.4075157443969</v>
      </c>
    </row>
    <row r="22" spans="2:15" x14ac:dyDescent="0.25">
      <c r="B22" s="122"/>
      <c r="C22" s="18" t="s">
        <v>12</v>
      </c>
      <c r="D22" s="4">
        <v>13.539867813723101</v>
      </c>
      <c r="E22" s="4">
        <v>15.513929955553699</v>
      </c>
      <c r="F22" s="5">
        <v>13.723870084288601</v>
      </c>
      <c r="G22" s="5">
        <v>15.248589659094501</v>
      </c>
      <c r="H22" s="6">
        <v>13.6648697078942</v>
      </c>
      <c r="I22" s="6">
        <v>13.390539061102</v>
      </c>
      <c r="J22" s="4">
        <v>12.4106234429798</v>
      </c>
      <c r="K22" s="4">
        <v>15.560667192528999</v>
      </c>
      <c r="L22" s="5">
        <v>12.4339153490188</v>
      </c>
      <c r="M22" s="5">
        <v>15.412324602507599</v>
      </c>
      <c r="N22" s="6">
        <v>12.731390283112701</v>
      </c>
      <c r="O22" s="11">
        <v>14.387429806108701</v>
      </c>
    </row>
    <row r="23" spans="2:15" x14ac:dyDescent="0.25">
      <c r="B23" s="122"/>
      <c r="C23" s="18" t="s">
        <v>11</v>
      </c>
      <c r="D23" s="4">
        <v>13.589542577438101</v>
      </c>
      <c r="E23" s="4">
        <v>15.508843863492899</v>
      </c>
      <c r="F23" s="5">
        <v>13.676200181199601</v>
      </c>
      <c r="G23" s="5">
        <v>15.251233670361</v>
      </c>
      <c r="H23" s="6">
        <v>13.569492128121301</v>
      </c>
      <c r="I23" s="6">
        <v>13.440312579331099</v>
      </c>
      <c r="J23" s="4">
        <v>12.4464332315421</v>
      </c>
      <c r="K23" s="4">
        <v>15.560155242769801</v>
      </c>
      <c r="L23" s="5">
        <v>12.4587969572441</v>
      </c>
      <c r="M23" s="5">
        <v>15.4144288173039</v>
      </c>
      <c r="N23" s="6">
        <v>12.6983514533948</v>
      </c>
      <c r="O23" s="11">
        <v>14.392534076062599</v>
      </c>
    </row>
    <row r="24" spans="2:15" x14ac:dyDescent="0.25">
      <c r="B24" s="122"/>
      <c r="C24" s="18" t="s">
        <v>10</v>
      </c>
      <c r="D24" s="4">
        <v>13.624505342045</v>
      </c>
      <c r="E24" s="4">
        <v>15.502866290910401</v>
      </c>
      <c r="F24" s="5">
        <v>13.6251185605411</v>
      </c>
      <c r="G24" s="5">
        <v>15.260378274753901</v>
      </c>
      <c r="H24" s="6">
        <v>13.467875639801299</v>
      </c>
      <c r="I24" s="6">
        <v>13.515898364818</v>
      </c>
      <c r="J24" s="4">
        <v>12.4723983031591</v>
      </c>
      <c r="K24" s="4">
        <v>15.5597934366314</v>
      </c>
      <c r="L24" s="5">
        <v>12.4835466013256</v>
      </c>
      <c r="M24" s="5">
        <v>15.4203284746549</v>
      </c>
      <c r="N24" s="6">
        <v>12.6618878237483</v>
      </c>
      <c r="O24" s="11">
        <v>14.4200062419632</v>
      </c>
    </row>
    <row r="25" spans="2:15" x14ac:dyDescent="0.25">
      <c r="B25" s="122"/>
      <c r="C25" s="18" t="s">
        <v>9</v>
      </c>
      <c r="D25" s="4">
        <v>13.6362049335794</v>
      </c>
      <c r="E25" s="4">
        <v>15.4974622591601</v>
      </c>
      <c r="F25" s="5">
        <v>13.558421029455401</v>
      </c>
      <c r="G25" s="5">
        <v>15.2715505799881</v>
      </c>
      <c r="H25" s="6">
        <v>13.3470785333653</v>
      </c>
      <c r="I25" s="6">
        <v>13.6046210084334</v>
      </c>
      <c r="J25" s="4">
        <v>12.490692664029501</v>
      </c>
      <c r="K25" s="4">
        <v>15.5584229376407</v>
      </c>
      <c r="L25" s="5">
        <v>12.497805156423301</v>
      </c>
      <c r="M25" s="5">
        <v>15.426165166798301</v>
      </c>
      <c r="N25" s="6">
        <v>12.6125977242512</v>
      </c>
      <c r="O25" s="11">
        <v>14.4464015216685</v>
      </c>
    </row>
    <row r="26" spans="2:15" x14ac:dyDescent="0.25">
      <c r="B26" s="122"/>
      <c r="C26" s="18" t="s">
        <v>8</v>
      </c>
      <c r="D26" s="4">
        <v>13.622092232803199</v>
      </c>
      <c r="E26" s="4">
        <v>15.4924344735639</v>
      </c>
      <c r="F26" s="5">
        <v>13.4683604240089</v>
      </c>
      <c r="G26" s="5">
        <v>15.2853736887393</v>
      </c>
      <c r="H26" s="6">
        <v>13.2008886180493</v>
      </c>
      <c r="I26" s="6">
        <v>13.7094796422397</v>
      </c>
      <c r="J26" s="4">
        <v>12.5003280892739</v>
      </c>
      <c r="K26" s="4">
        <v>15.556011227781999</v>
      </c>
      <c r="L26" s="5">
        <v>12.4991570734866</v>
      </c>
      <c r="M26" s="5">
        <v>15.431899465649799</v>
      </c>
      <c r="N26" s="6">
        <v>12.5475019270703</v>
      </c>
      <c r="O26" s="11">
        <v>14.4724494063679</v>
      </c>
    </row>
    <row r="27" spans="2:15" x14ac:dyDescent="0.25">
      <c r="B27" s="122"/>
      <c r="C27" s="18" t="s">
        <v>7</v>
      </c>
      <c r="D27" s="4">
        <v>13.588607748629499</v>
      </c>
      <c r="E27" s="4">
        <v>15.4872955995124</v>
      </c>
      <c r="F27" s="5">
        <v>13.356383567377099</v>
      </c>
      <c r="G27" s="5">
        <v>15.301281296565501</v>
      </c>
      <c r="H27" s="6">
        <v>13.032053158067299</v>
      </c>
      <c r="I27" s="6">
        <v>13.8286024408907</v>
      </c>
      <c r="J27" s="4">
        <v>12.502942729767</v>
      </c>
      <c r="K27" s="4">
        <v>15.5529114660565</v>
      </c>
      <c r="L27" s="5">
        <v>12.491565286089999</v>
      </c>
      <c r="M27" s="5">
        <v>15.437761773579901</v>
      </c>
      <c r="N27" s="6">
        <v>12.4683007047177</v>
      </c>
      <c r="O27" s="11">
        <v>14.499112011892199</v>
      </c>
    </row>
    <row r="28" spans="2:15" x14ac:dyDescent="0.25">
      <c r="B28" s="122"/>
      <c r="C28" s="18" t="s">
        <v>6</v>
      </c>
      <c r="D28" s="4">
        <v>13.5568172417229</v>
      </c>
      <c r="E28" s="4">
        <v>15.4823017118692</v>
      </c>
      <c r="F28" s="5">
        <v>13.2521832260593</v>
      </c>
      <c r="G28" s="5">
        <v>15.3131540259023</v>
      </c>
      <c r="H28" s="6">
        <v>12.8755219853537</v>
      </c>
      <c r="I28" s="6">
        <v>13.9329999214293</v>
      </c>
      <c r="J28" s="4">
        <v>12.503729958898001</v>
      </c>
      <c r="K28" s="4">
        <v>15.549636806723401</v>
      </c>
      <c r="L28" s="5">
        <v>12.478425153150299</v>
      </c>
      <c r="M28" s="5">
        <v>15.4426384810422</v>
      </c>
      <c r="N28" s="6">
        <v>12.3932161974496</v>
      </c>
      <c r="O28" s="11">
        <v>14.5212421922131</v>
      </c>
    </row>
    <row r="29" spans="2:15" ht="15.75" thickBot="1" x14ac:dyDescent="0.3">
      <c r="B29" s="123"/>
      <c r="C29" s="20" t="s">
        <v>5</v>
      </c>
      <c r="D29" s="12">
        <v>20.118679034528999</v>
      </c>
      <c r="E29" s="12">
        <v>13.6365606852602</v>
      </c>
      <c r="F29" s="13">
        <v>24.205236859149402</v>
      </c>
      <c r="G29" s="13">
        <v>13.796491850176601</v>
      </c>
      <c r="H29" s="14">
        <v>24.296911127885298</v>
      </c>
      <c r="I29" s="14">
        <v>2.4798743318515002</v>
      </c>
      <c r="J29" s="12">
        <v>19.953298064496099</v>
      </c>
      <c r="K29" s="12">
        <v>13.650368146505199</v>
      </c>
      <c r="L29" s="13">
        <v>23.568741332813001</v>
      </c>
      <c r="M29" s="13">
        <v>13.7646359849726</v>
      </c>
      <c r="N29" s="14">
        <v>23.847633099845002</v>
      </c>
      <c r="O29" s="15">
        <v>2.93534149016907</v>
      </c>
    </row>
  </sheetData>
  <mergeCells count="13">
    <mergeCell ref="B7:C7"/>
    <mergeCell ref="B8:B18"/>
    <mergeCell ref="B19:B29"/>
    <mergeCell ref="J2:O2"/>
    <mergeCell ref="B3:B4"/>
    <mergeCell ref="D2:I2"/>
    <mergeCell ref="D3:E3"/>
    <mergeCell ref="F3:G3"/>
    <mergeCell ref="H3:I3"/>
    <mergeCell ref="C3:C4"/>
    <mergeCell ref="N3:O3"/>
    <mergeCell ref="J3:K3"/>
    <mergeCell ref="L3:M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3"/>
  <dimension ref="C8:N32"/>
  <sheetViews>
    <sheetView topLeftCell="A4" workbookViewId="0">
      <selection activeCell="I23" sqref="I23"/>
    </sheetView>
  </sheetViews>
  <sheetFormatPr baseColWidth="10" defaultRowHeight="15" x14ac:dyDescent="0.25"/>
  <sheetData>
    <row r="8" spans="9:14" x14ac:dyDescent="0.25">
      <c r="I8" s="151" t="s">
        <v>62</v>
      </c>
      <c r="J8" s="151"/>
      <c r="K8" s="151"/>
      <c r="L8" s="151"/>
      <c r="M8" s="151"/>
      <c r="N8" s="151"/>
    </row>
    <row r="9" spans="9:14" x14ac:dyDescent="0.25">
      <c r="I9" s="151"/>
      <c r="J9" s="151"/>
      <c r="K9" s="151"/>
      <c r="L9" s="151"/>
      <c r="M9" s="151"/>
      <c r="N9" s="151"/>
    </row>
    <row r="10" spans="9:14" x14ac:dyDescent="0.25">
      <c r="I10" s="151"/>
      <c r="J10" s="151"/>
      <c r="K10" s="151"/>
      <c r="L10" s="151"/>
      <c r="M10" s="151"/>
      <c r="N10" s="151"/>
    </row>
    <row r="11" spans="9:14" x14ac:dyDescent="0.25">
      <c r="I11" s="151"/>
      <c r="J11" s="151"/>
      <c r="K11" s="151"/>
      <c r="L11" s="151"/>
      <c r="M11" s="151"/>
      <c r="N11" s="151"/>
    </row>
    <row r="19" spans="3:14" x14ac:dyDescent="0.25">
      <c r="I19" s="151" t="s">
        <v>63</v>
      </c>
      <c r="J19" s="151"/>
      <c r="K19" s="151"/>
      <c r="L19" s="151"/>
      <c r="M19" s="151"/>
      <c r="N19" s="151"/>
    </row>
    <row r="20" spans="3:14" x14ac:dyDescent="0.25">
      <c r="I20" s="151"/>
      <c r="J20" s="151"/>
      <c r="K20" s="151"/>
      <c r="L20" s="151"/>
      <c r="M20" s="151"/>
      <c r="N20" s="151"/>
    </row>
    <row r="21" spans="3:14" x14ac:dyDescent="0.25">
      <c r="I21" s="151"/>
      <c r="J21" s="151"/>
      <c r="K21" s="151"/>
      <c r="L21" s="151"/>
      <c r="M21" s="151"/>
      <c r="N21" s="151"/>
    </row>
    <row r="27" spans="3:14" ht="14.45" customHeight="1" x14ac:dyDescent="0.25">
      <c r="C27" s="151" t="s">
        <v>64</v>
      </c>
      <c r="D27" s="151"/>
      <c r="E27" s="151"/>
      <c r="F27" s="151"/>
      <c r="G27" s="151"/>
      <c r="H27" s="151"/>
    </row>
    <row r="28" spans="3:14" x14ac:dyDescent="0.25">
      <c r="C28" s="151"/>
      <c r="D28" s="151"/>
      <c r="E28" s="151"/>
      <c r="F28" s="151"/>
      <c r="G28" s="151"/>
      <c r="H28" s="151"/>
    </row>
    <row r="29" spans="3:14" x14ac:dyDescent="0.25">
      <c r="C29" s="151"/>
      <c r="D29" s="151"/>
      <c r="E29" s="151"/>
      <c r="F29" s="151"/>
      <c r="G29" s="151"/>
      <c r="H29" s="151"/>
    </row>
    <row r="30" spans="3:14" x14ac:dyDescent="0.25">
      <c r="C30" s="151"/>
      <c r="D30" s="151"/>
      <c r="E30" s="151"/>
      <c r="F30" s="151"/>
      <c r="G30" s="151"/>
      <c r="H30" s="151"/>
    </row>
    <row r="31" spans="3:14" x14ac:dyDescent="0.25">
      <c r="C31" s="151"/>
      <c r="D31" s="151"/>
      <c r="E31" s="151"/>
      <c r="F31" s="151"/>
      <c r="G31" s="151"/>
      <c r="H31" s="151"/>
    </row>
    <row r="32" spans="3:14" x14ac:dyDescent="0.25">
      <c r="C32" s="151"/>
      <c r="D32" s="151"/>
      <c r="E32" s="151"/>
      <c r="F32" s="151"/>
      <c r="G32" s="151"/>
      <c r="H32" s="151"/>
    </row>
  </sheetData>
  <mergeCells count="3">
    <mergeCell ref="I8:N11"/>
    <mergeCell ref="I19:N21"/>
    <mergeCell ref="C27:H32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MPARACION">
                <anchor moveWithCells="1" sizeWithCells="1">
                  <from>
                    <xdr:col>1</xdr:col>
                    <xdr:colOff>752475</xdr:colOff>
                    <xdr:row>6</xdr:row>
                    <xdr:rowOff>0</xdr:rowOff>
                  </from>
                  <to>
                    <xdr:col>6</xdr:col>
                    <xdr:colOff>676275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FORMATO_TOTAL">
                <anchor moveWithCells="1" sizeWithCells="1">
                  <from>
                    <xdr:col>2</xdr:col>
                    <xdr:colOff>95250</xdr:colOff>
                    <xdr:row>17</xdr:row>
                    <xdr:rowOff>19050</xdr:rowOff>
                  </from>
                  <to>
                    <xdr:col>6</xdr:col>
                    <xdr:colOff>657225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D-DERIVAS</vt:lpstr>
      <vt:lpstr>D-IRRE TORSIONAL</vt:lpstr>
      <vt:lpstr>D-PCMCR</vt:lpstr>
      <vt:lpstr>COLUMNAS N1</vt:lpstr>
      <vt:lpstr>IRRE TORSIONAL</vt:lpstr>
      <vt:lpstr>DERIVAS</vt:lpstr>
      <vt:lpstr>GENERALES</vt:lpstr>
      <vt:lpstr>DIRECTOR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Allan Flores</cp:lastModifiedBy>
  <dcterms:created xsi:type="dcterms:W3CDTF">2021-05-21T15:35:27Z</dcterms:created>
  <dcterms:modified xsi:type="dcterms:W3CDTF">2021-06-15T04:23:34Z</dcterms:modified>
</cp:coreProperties>
</file>