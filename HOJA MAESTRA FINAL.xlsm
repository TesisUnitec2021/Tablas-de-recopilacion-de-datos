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23040" windowHeight="9972" tabRatio="830" firstSheet="5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<sst xmlns="http://schemas.openxmlformats.org/spreadsheetml/2006/main" count="913" uniqueCount="198">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</sst>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0" fillId="0" borderId="5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16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38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8</xdr:row>
          <xdr:rowOff>0</xdr:rowOff>
        </xdr:from>
        <xdr:to>
          <xdr:col>15</xdr:col>
          <xdr:colOff>510540</xdr:colOff>
          <xdr:row>48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784860</xdr:colOff>
          <xdr:row>0</xdr:row>
          <xdr:rowOff>99060</xdr:rowOff>
        </xdr:from>
        <xdr:to>
          <xdr:col>13</xdr:col>
          <xdr:colOff>381000</xdr:colOff>
          <xdr:row>9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708660</xdr:colOff>
      <xdr:row>3</xdr:row>
      <xdr:rowOff>30480</xdr:rowOff>
    </xdr:from>
    <xdr:to>
      <xdr:col>16</xdr:col>
      <xdr:colOff>137160</xdr:colOff>
      <xdr:row>5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152400</xdr:rowOff>
        </xdr:from>
        <xdr:to>
          <xdr:col>15</xdr:col>
          <xdr:colOff>274320</xdr:colOff>
          <xdr:row>9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3</xdr:row>
      <xdr:rowOff>0</xdr:rowOff>
    </xdr:from>
    <xdr:to>
      <xdr:col>18</xdr:col>
      <xdr:colOff>220980</xdr:colOff>
      <xdr:row>5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>
      <selection activeCell="J10" sqref="J10"/>
    </sheetView>
  </sheetViews>
  <sheetFormatPr baseColWidth="10" defaultRowHeight="14.4" x14ac:dyDescent="0.3"/>
  <sheetData>
    <row r="4" spans="7:13" x14ac:dyDescent="0.3">
      <c r="G4" s="193" t="s">
        <v>197</v>
      </c>
      <c r="H4" s="193"/>
      <c r="I4" s="193"/>
      <c r="J4" s="193"/>
      <c r="K4" s="193"/>
      <c r="L4" s="193"/>
      <c r="M4" s="193"/>
    </row>
    <row r="5" spans="7:13" x14ac:dyDescent="0.3">
      <c r="G5" s="193"/>
      <c r="H5" s="193"/>
      <c r="I5" s="193"/>
      <c r="J5" s="193"/>
      <c r="K5" s="193"/>
      <c r="L5" s="193"/>
      <c r="M5" s="193"/>
    </row>
    <row r="6" spans="7:13" x14ac:dyDescent="0.3">
      <c r="G6" s="193"/>
      <c r="H6" s="193"/>
      <c r="I6" s="193"/>
      <c r="J6" s="193"/>
      <c r="K6" s="193"/>
      <c r="L6" s="193"/>
      <c r="M6" s="193"/>
    </row>
    <row r="13" spans="7:13" x14ac:dyDescent="0.3">
      <c r="G13" s="193" t="s">
        <v>196</v>
      </c>
      <c r="H13" s="193"/>
      <c r="I13" s="193"/>
      <c r="J13" s="193"/>
      <c r="K13" s="193"/>
      <c r="L13" s="193"/>
      <c r="M13" s="193"/>
    </row>
    <row r="14" spans="7:13" x14ac:dyDescent="0.3">
      <c r="G14" s="193"/>
      <c r="H14" s="193"/>
      <c r="I14" s="193"/>
      <c r="J14" s="193"/>
      <c r="K14" s="193"/>
      <c r="L14" s="193"/>
      <c r="M14" s="193"/>
    </row>
    <row r="15" spans="7:13" x14ac:dyDescent="0.3">
      <c r="G15" s="193"/>
      <c r="H15" s="193"/>
      <c r="I15" s="193"/>
      <c r="J15" s="193"/>
      <c r="K15" s="193"/>
      <c r="L15" s="193"/>
      <c r="M15" s="193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4" t="s">
        <v>195</v>
      </c>
      <c r="H21" s="194"/>
      <c r="I21" s="194"/>
      <c r="J21" s="194"/>
      <c r="K21" s="194"/>
      <c r="L21" s="194"/>
      <c r="M21" s="194"/>
    </row>
    <row r="22" spans="2:13" x14ac:dyDescent="0.3">
      <c r="B22" s="75"/>
      <c r="C22" s="75"/>
      <c r="D22" s="75"/>
      <c r="E22" s="75"/>
      <c r="F22" s="75"/>
      <c r="G22" s="194"/>
      <c r="H22" s="194"/>
      <c r="I22" s="194"/>
      <c r="J22" s="194"/>
      <c r="K22" s="194"/>
      <c r="L22" s="194"/>
      <c r="M22" s="194"/>
    </row>
    <row r="23" spans="2:13" x14ac:dyDescent="0.3">
      <c r="B23" s="75"/>
      <c r="C23" s="75"/>
      <c r="D23" s="75"/>
      <c r="E23" s="75"/>
      <c r="F23" s="75"/>
      <c r="G23" s="194"/>
      <c r="H23" s="194"/>
      <c r="I23" s="194"/>
      <c r="J23" s="194"/>
      <c r="K23" s="194"/>
      <c r="L23" s="194"/>
      <c r="M23" s="194"/>
    </row>
    <row r="24" spans="2:13" x14ac:dyDescent="0.3">
      <c r="B24" s="75"/>
      <c r="C24" s="75"/>
      <c r="D24" s="75"/>
      <c r="E24" s="75"/>
      <c r="F24" s="75"/>
      <c r="G24" s="192"/>
      <c r="H24" s="192"/>
      <c r="I24" s="192"/>
      <c r="J24" s="192"/>
      <c r="K24" s="192"/>
      <c r="L24" s="192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5" t="s">
        <v>38</v>
      </c>
      <c r="C29" s="197">
        <f>+G22*3.23</f>
        <v>952.85</v>
      </c>
      <c r="D29" s="197"/>
      <c r="G29" s="9" t="s">
        <v>152</v>
      </c>
      <c r="H29">
        <v>4</v>
      </c>
      <c r="I29" t="s">
        <v>155</v>
      </c>
    </row>
    <row r="30" spans="2:18" x14ac:dyDescent="0.3">
      <c r="B30" s="196"/>
      <c r="C30" s="198"/>
      <c r="D30" s="198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9" t="s">
        <v>163</v>
      </c>
      <c r="C32" s="1"/>
      <c r="D32" s="1"/>
      <c r="F32" t="s">
        <v>164</v>
      </c>
    </row>
    <row r="33" spans="2:18" x14ac:dyDescent="0.3">
      <c r="B33" s="199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>
        <f>+B33</f>
        <v>0</v>
      </c>
      <c r="C5" s="172">
        <f t="shared" ref="C5:M5" si="0">+C33</f>
        <v>0</v>
      </c>
      <c r="D5" s="172">
        <f t="shared" si="0"/>
        <v>0</v>
      </c>
      <c r="E5" s="172">
        <f t="shared" si="0"/>
        <v>0</v>
      </c>
      <c r="F5" s="172">
        <f t="shared" si="0"/>
        <v>0</v>
      </c>
      <c r="G5" s="172">
        <f t="shared" si="0"/>
        <v>0</v>
      </c>
      <c r="H5" s="172">
        <f t="shared" si="0"/>
        <v>0</v>
      </c>
      <c r="I5" s="172">
        <f t="shared" si="0"/>
        <v>0</v>
      </c>
      <c r="J5" s="172">
        <f t="shared" si="0"/>
        <v>0</v>
      </c>
      <c r="K5" s="172">
        <f t="shared" si="0"/>
        <v>0</v>
      </c>
      <c r="L5" s="172">
        <f t="shared" si="0"/>
        <v>0</v>
      </c>
      <c r="M5" s="172">
        <f t="shared" si="0"/>
        <v>0</v>
      </c>
      <c r="N5" s="76"/>
      <c r="O5" s="75"/>
    </row>
    <row r="6" spans="2:15" x14ac:dyDescent="0.3">
      <c r="B6" s="172">
        <f>+B32</f>
        <v>0</v>
      </c>
      <c r="C6" s="172">
        <f t="shared" ref="C6:M6" si="1">+C32</f>
        <v>0</v>
      </c>
      <c r="D6" s="172">
        <f t="shared" si="1"/>
        <v>0</v>
      </c>
      <c r="E6" s="172">
        <f t="shared" si="1"/>
        <v>0</v>
      </c>
      <c r="F6" s="172">
        <f t="shared" si="1"/>
        <v>0</v>
      </c>
      <c r="G6" s="172">
        <f t="shared" si="1"/>
        <v>0</v>
      </c>
      <c r="H6" s="172">
        <f t="shared" si="1"/>
        <v>0</v>
      </c>
      <c r="I6" s="172">
        <f t="shared" si="1"/>
        <v>0</v>
      </c>
      <c r="J6" s="172">
        <f t="shared" si="1"/>
        <v>0</v>
      </c>
      <c r="K6" s="172">
        <f t="shared" si="1"/>
        <v>0</v>
      </c>
      <c r="L6" s="172">
        <f t="shared" si="1"/>
        <v>0</v>
      </c>
      <c r="M6" s="172">
        <f t="shared" si="1"/>
        <v>0</v>
      </c>
      <c r="N6" s="77"/>
      <c r="O6" s="75"/>
    </row>
    <row r="7" spans="2:15" x14ac:dyDescent="0.3">
      <c r="B7" s="172">
        <f>+B31</f>
        <v>0</v>
      </c>
      <c r="C7" s="172">
        <f t="shared" ref="C7:M7" si="2">+C31</f>
        <v>0</v>
      </c>
      <c r="D7" s="172">
        <f t="shared" si="2"/>
        <v>0</v>
      </c>
      <c r="E7" s="172">
        <f t="shared" si="2"/>
        <v>0</v>
      </c>
      <c r="F7" s="172">
        <f t="shared" si="2"/>
        <v>0</v>
      </c>
      <c r="G7" s="172">
        <f t="shared" si="2"/>
        <v>0</v>
      </c>
      <c r="H7" s="172">
        <f t="shared" si="2"/>
        <v>0</v>
      </c>
      <c r="I7" s="172">
        <f t="shared" si="2"/>
        <v>0</v>
      </c>
      <c r="J7" s="172">
        <f t="shared" si="2"/>
        <v>0</v>
      </c>
      <c r="K7" s="172">
        <f t="shared" si="2"/>
        <v>0</v>
      </c>
      <c r="L7" s="172">
        <f t="shared" si="2"/>
        <v>0</v>
      </c>
      <c r="M7" s="172">
        <f t="shared" si="2"/>
        <v>0</v>
      </c>
      <c r="N7" s="75"/>
      <c r="O7" s="75"/>
    </row>
    <row r="8" spans="2:15" x14ac:dyDescent="0.3">
      <c r="B8" s="172">
        <f>+B30</f>
        <v>0</v>
      </c>
      <c r="C8" s="172">
        <f t="shared" ref="C8:M8" si="3">+C30</f>
        <v>0</v>
      </c>
      <c r="D8" s="172">
        <f t="shared" si="3"/>
        <v>0</v>
      </c>
      <c r="E8" s="172">
        <f t="shared" si="3"/>
        <v>0</v>
      </c>
      <c r="F8" s="172">
        <f t="shared" si="3"/>
        <v>0</v>
      </c>
      <c r="G8" s="172">
        <f t="shared" si="3"/>
        <v>0</v>
      </c>
      <c r="H8" s="172">
        <f t="shared" si="3"/>
        <v>0</v>
      </c>
      <c r="I8" s="172">
        <f t="shared" si="3"/>
        <v>0</v>
      </c>
      <c r="J8" s="172">
        <f t="shared" si="3"/>
        <v>0</v>
      </c>
      <c r="K8" s="172">
        <f t="shared" si="3"/>
        <v>0</v>
      </c>
      <c r="L8" s="172">
        <f t="shared" si="3"/>
        <v>0</v>
      </c>
      <c r="M8" s="172">
        <f t="shared" si="3"/>
        <v>0</v>
      </c>
      <c r="N8" s="75"/>
      <c r="O8" s="75"/>
    </row>
    <row r="9" spans="2:15" x14ac:dyDescent="0.3">
      <c r="B9" s="172">
        <f>+B29</f>
        <v>0</v>
      </c>
      <c r="C9" s="172">
        <f t="shared" ref="C9:M9" si="4">+C29</f>
        <v>0</v>
      </c>
      <c r="D9" s="172">
        <f t="shared" si="4"/>
        <v>0</v>
      </c>
      <c r="E9" s="172">
        <f t="shared" si="4"/>
        <v>0</v>
      </c>
      <c r="F9" s="172">
        <f t="shared" si="4"/>
        <v>0</v>
      </c>
      <c r="G9" s="172">
        <f t="shared" si="4"/>
        <v>0</v>
      </c>
      <c r="H9" s="172">
        <f t="shared" si="4"/>
        <v>0</v>
      </c>
      <c r="I9" s="172">
        <f t="shared" si="4"/>
        <v>0</v>
      </c>
      <c r="J9" s="172">
        <f t="shared" si="4"/>
        <v>0</v>
      </c>
      <c r="K9" s="172">
        <f t="shared" si="4"/>
        <v>0</v>
      </c>
      <c r="L9" s="172">
        <f t="shared" si="4"/>
        <v>0</v>
      </c>
      <c r="M9" s="172">
        <f t="shared" si="4"/>
        <v>0</v>
      </c>
      <c r="N9" s="75"/>
      <c r="O9" s="75"/>
    </row>
    <row r="10" spans="2:15" x14ac:dyDescent="0.3">
      <c r="B10" s="172">
        <f>+B28</f>
        <v>0</v>
      </c>
      <c r="C10" s="172">
        <f t="shared" ref="C10:M10" si="5">+C28</f>
        <v>0</v>
      </c>
      <c r="D10" s="172">
        <f t="shared" si="5"/>
        <v>0</v>
      </c>
      <c r="E10" s="172">
        <f t="shared" si="5"/>
        <v>0</v>
      </c>
      <c r="F10" s="172">
        <f t="shared" si="5"/>
        <v>0</v>
      </c>
      <c r="G10" s="172">
        <f t="shared" si="5"/>
        <v>0</v>
      </c>
      <c r="H10" s="172">
        <f t="shared" si="5"/>
        <v>0</v>
      </c>
      <c r="I10" s="172">
        <f t="shared" si="5"/>
        <v>0</v>
      </c>
      <c r="J10" s="172">
        <f t="shared" si="5"/>
        <v>0</v>
      </c>
      <c r="K10" s="172">
        <f t="shared" si="5"/>
        <v>0</v>
      </c>
      <c r="L10" s="172">
        <f t="shared" si="5"/>
        <v>0</v>
      </c>
      <c r="M10" s="172">
        <f t="shared" si="5"/>
        <v>0</v>
      </c>
      <c r="N10" s="75"/>
      <c r="O10" s="75"/>
    </row>
    <row r="11" spans="2:15" x14ac:dyDescent="0.3">
      <c r="B11" s="172">
        <f>+B27</f>
        <v>0</v>
      </c>
      <c r="C11" s="172">
        <f t="shared" ref="C11:M11" si="6">+C27</f>
        <v>0</v>
      </c>
      <c r="D11" s="172">
        <f t="shared" si="6"/>
        <v>0</v>
      </c>
      <c r="E11" s="172">
        <f t="shared" si="6"/>
        <v>0</v>
      </c>
      <c r="F11" s="172">
        <f t="shared" si="6"/>
        <v>0</v>
      </c>
      <c r="G11" s="172">
        <f t="shared" si="6"/>
        <v>0</v>
      </c>
      <c r="H11" s="172">
        <f t="shared" si="6"/>
        <v>0</v>
      </c>
      <c r="I11" s="172">
        <f t="shared" si="6"/>
        <v>0</v>
      </c>
      <c r="J11" s="172">
        <f t="shared" si="6"/>
        <v>0</v>
      </c>
      <c r="K11" s="172">
        <f t="shared" si="6"/>
        <v>0</v>
      </c>
      <c r="L11" s="172">
        <f t="shared" si="6"/>
        <v>0</v>
      </c>
      <c r="M11" s="172">
        <f t="shared" si="6"/>
        <v>0</v>
      </c>
      <c r="N11" s="75"/>
      <c r="O11" s="75"/>
    </row>
    <row r="12" spans="2:15" x14ac:dyDescent="0.3">
      <c r="B12" s="172">
        <f>+B26</f>
        <v>0</v>
      </c>
      <c r="C12" s="172">
        <f t="shared" ref="C12:M12" si="7">+C26</f>
        <v>0</v>
      </c>
      <c r="D12" s="172">
        <f t="shared" si="7"/>
        <v>0</v>
      </c>
      <c r="E12" s="172">
        <f t="shared" si="7"/>
        <v>0</v>
      </c>
      <c r="F12" s="172">
        <f t="shared" si="7"/>
        <v>0</v>
      </c>
      <c r="G12" s="172">
        <f t="shared" si="7"/>
        <v>0</v>
      </c>
      <c r="H12" s="172">
        <f t="shared" si="7"/>
        <v>0</v>
      </c>
      <c r="I12" s="172">
        <f t="shared" si="7"/>
        <v>0</v>
      </c>
      <c r="J12" s="172">
        <f t="shared" si="7"/>
        <v>0</v>
      </c>
      <c r="K12" s="172">
        <f t="shared" si="7"/>
        <v>0</v>
      </c>
      <c r="L12" s="172">
        <f t="shared" si="7"/>
        <v>0</v>
      </c>
      <c r="M12" s="172">
        <f t="shared" si="7"/>
        <v>0</v>
      </c>
      <c r="N12" s="75"/>
      <c r="O12" s="75"/>
    </row>
    <row r="13" spans="2:15" x14ac:dyDescent="0.3">
      <c r="B13" s="172">
        <f>+B25</f>
        <v>0</v>
      </c>
      <c r="C13" s="172">
        <f t="shared" ref="C13:M13" si="8">+C25</f>
        <v>0</v>
      </c>
      <c r="D13" s="172">
        <f t="shared" si="8"/>
        <v>0</v>
      </c>
      <c r="E13" s="172">
        <f t="shared" si="8"/>
        <v>0</v>
      </c>
      <c r="F13" s="172">
        <f t="shared" si="8"/>
        <v>0</v>
      </c>
      <c r="G13" s="172">
        <f t="shared" si="8"/>
        <v>0</v>
      </c>
      <c r="H13" s="172">
        <f t="shared" si="8"/>
        <v>0</v>
      </c>
      <c r="I13" s="172">
        <f t="shared" si="8"/>
        <v>0</v>
      </c>
      <c r="J13" s="172">
        <f t="shared" si="8"/>
        <v>0</v>
      </c>
      <c r="K13" s="172">
        <f t="shared" si="8"/>
        <v>0</v>
      </c>
      <c r="L13" s="172">
        <f t="shared" si="8"/>
        <v>0</v>
      </c>
      <c r="M13" s="172">
        <f t="shared" si="8"/>
        <v>0</v>
      </c>
      <c r="N13" s="75"/>
      <c r="O13" s="75"/>
    </row>
    <row r="14" spans="2:15" x14ac:dyDescent="0.3">
      <c r="B14" s="172">
        <f>+B24</f>
        <v>0</v>
      </c>
      <c r="C14" s="172">
        <f t="shared" ref="C14:M14" si="9">+C24</f>
        <v>0</v>
      </c>
      <c r="D14" s="172">
        <f t="shared" si="9"/>
        <v>0</v>
      </c>
      <c r="E14" s="172">
        <f t="shared" si="9"/>
        <v>0</v>
      </c>
      <c r="F14" s="172">
        <f t="shared" si="9"/>
        <v>0</v>
      </c>
      <c r="G14" s="172">
        <f t="shared" si="9"/>
        <v>0</v>
      </c>
      <c r="H14" s="172">
        <f t="shared" si="9"/>
        <v>0</v>
      </c>
      <c r="I14" s="172">
        <f t="shared" si="9"/>
        <v>0</v>
      </c>
      <c r="J14" s="172">
        <f t="shared" si="9"/>
        <v>0</v>
      </c>
      <c r="K14" s="172">
        <f t="shared" si="9"/>
        <v>0</v>
      </c>
      <c r="L14" s="172">
        <f t="shared" si="9"/>
        <v>0</v>
      </c>
      <c r="M14" s="172">
        <f t="shared" si="9"/>
        <v>0</v>
      </c>
      <c r="N14" s="75"/>
      <c r="O14" s="75"/>
    </row>
    <row r="15" spans="2:15" x14ac:dyDescent="0.3">
      <c r="B15" s="172">
        <f>+B23</f>
        <v>0</v>
      </c>
      <c r="C15" s="172">
        <f t="shared" ref="C15:M15" si="10">+C23</f>
        <v>0</v>
      </c>
      <c r="D15" s="172">
        <f t="shared" si="10"/>
        <v>0</v>
      </c>
      <c r="E15" s="172">
        <f t="shared" si="10"/>
        <v>0</v>
      </c>
      <c r="F15" s="172">
        <f t="shared" si="10"/>
        <v>0</v>
      </c>
      <c r="G15" s="172">
        <f t="shared" si="10"/>
        <v>0</v>
      </c>
      <c r="H15" s="172">
        <f t="shared" si="10"/>
        <v>0</v>
      </c>
      <c r="I15" s="172">
        <f t="shared" si="10"/>
        <v>0</v>
      </c>
      <c r="J15" s="172">
        <f t="shared" si="10"/>
        <v>0</v>
      </c>
      <c r="K15" s="172">
        <f t="shared" si="10"/>
        <v>0</v>
      </c>
      <c r="L15" s="172">
        <f t="shared" si="10"/>
        <v>0</v>
      </c>
      <c r="M15" s="172">
        <f t="shared" si="10"/>
        <v>0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97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5" x14ac:dyDescent="0.3"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76"/>
    </row>
    <row r="22" spans="2:15" x14ac:dyDescent="0.3"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77"/>
    </row>
    <row r="23" spans="2:15" x14ac:dyDescent="0.3"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</row>
    <row r="24" spans="2:15" x14ac:dyDescent="0.3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</row>
    <row r="25" spans="2:15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5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5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5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5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5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5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5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B2:L52"/>
  <sheetViews>
    <sheetView workbookViewId="0">
      <selection activeCell="B2" sqref="B2:K52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97"/>
      <c r="C2" s="75"/>
      <c r="D2" s="75"/>
      <c r="E2" s="75"/>
      <c r="F2" s="75"/>
      <c r="G2" s="75"/>
      <c r="H2" s="75"/>
      <c r="I2" s="75"/>
      <c r="J2" s="75"/>
      <c r="K2" s="75"/>
    </row>
    <row r="3" spans="2:12" x14ac:dyDescent="0.3">
      <c r="B3" s="98"/>
      <c r="C3" s="98"/>
      <c r="D3" s="98"/>
      <c r="E3" s="98"/>
      <c r="F3" s="98"/>
      <c r="G3" s="98"/>
      <c r="H3" s="98"/>
      <c r="I3" s="98"/>
      <c r="J3" s="98"/>
      <c r="K3" s="76"/>
      <c r="L3" s="14"/>
    </row>
    <row r="4" spans="2:12" x14ac:dyDescent="0.3">
      <c r="B4" s="99"/>
      <c r="C4" s="99"/>
      <c r="D4" s="99"/>
      <c r="E4" s="99"/>
      <c r="F4" s="99"/>
      <c r="G4" s="99"/>
      <c r="H4" s="99"/>
      <c r="I4" s="99"/>
      <c r="J4" s="99"/>
      <c r="K4" s="77"/>
      <c r="L4" s="14"/>
    </row>
    <row r="5" spans="2:12" s="172" customFormat="1" x14ac:dyDescent="0.3">
      <c r="B5" s="75"/>
      <c r="C5" s="75"/>
      <c r="D5" s="75"/>
      <c r="E5" s="75"/>
      <c r="F5" s="75"/>
      <c r="G5" s="75"/>
      <c r="H5" s="75"/>
      <c r="I5" s="75"/>
      <c r="J5" s="75"/>
      <c r="K5" s="75"/>
      <c r="L5" s="14"/>
    </row>
    <row r="6" spans="2:12" s="172" customFormat="1" x14ac:dyDescent="0.3">
      <c r="B6" s="75"/>
      <c r="C6" s="75"/>
      <c r="D6" s="75"/>
      <c r="E6" s="75"/>
      <c r="F6" s="75"/>
      <c r="G6" s="75"/>
      <c r="H6" s="75"/>
      <c r="I6" s="75"/>
      <c r="J6" s="75"/>
      <c r="K6" s="75"/>
      <c r="L6" s="14"/>
    </row>
    <row r="7" spans="2:12" x14ac:dyDescent="0.3"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2:12" x14ac:dyDescent="0.3"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2:12" x14ac:dyDescent="0.3"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2:12" x14ac:dyDescent="0.3"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2:12" x14ac:dyDescent="0.3"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2:12" x14ac:dyDescent="0.3"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2:12" x14ac:dyDescent="0.3"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2:12" x14ac:dyDescent="0.3"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2:12" x14ac:dyDescent="0.3"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2:12" x14ac:dyDescent="0.3">
      <c r="B16" s="75"/>
      <c r="C16" s="75"/>
      <c r="D16" s="75"/>
      <c r="E16" s="75"/>
      <c r="F16" s="75"/>
      <c r="G16" s="75"/>
      <c r="H16" s="75"/>
      <c r="I16" s="75"/>
      <c r="J16" s="75"/>
      <c r="K16" s="75"/>
    </row>
    <row r="17" spans="2:11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</row>
    <row r="18" spans="2:11" x14ac:dyDescent="0.3">
      <c r="B18" s="75"/>
      <c r="C18" s="75"/>
      <c r="D18" s="75"/>
      <c r="E18" s="75"/>
      <c r="F18" s="75"/>
      <c r="G18" s="75"/>
      <c r="H18" s="75"/>
      <c r="I18" s="75"/>
      <c r="J18" s="75"/>
      <c r="K18" s="75"/>
    </row>
    <row r="19" spans="2:11" x14ac:dyDescent="0.3">
      <c r="B19" s="75"/>
      <c r="C19" s="75"/>
      <c r="D19" s="75"/>
      <c r="E19" s="75"/>
      <c r="F19" s="75"/>
      <c r="G19" s="75"/>
      <c r="H19" s="75"/>
      <c r="I19" s="75"/>
      <c r="J19" s="75"/>
      <c r="K19" s="75"/>
    </row>
    <row r="20" spans="2:11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2:11" x14ac:dyDescent="0.3"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2:11" x14ac:dyDescent="0.3"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2:11" x14ac:dyDescent="0.3">
      <c r="B23" s="75"/>
      <c r="C23" s="75"/>
      <c r="D23" s="75"/>
      <c r="E23" s="75"/>
      <c r="F23" s="75"/>
      <c r="G23" s="75"/>
      <c r="H23" s="75"/>
      <c r="I23" s="75"/>
      <c r="J23" s="75"/>
      <c r="K23" s="75"/>
    </row>
    <row r="24" spans="2:11" x14ac:dyDescent="0.3">
      <c r="B24" s="75"/>
      <c r="C24" s="75"/>
      <c r="D24" s="75"/>
      <c r="E24" s="75"/>
      <c r="F24" s="75"/>
      <c r="G24" s="75"/>
      <c r="H24" s="75"/>
      <c r="I24" s="75"/>
      <c r="J24" s="75"/>
      <c r="K24" s="75"/>
    </row>
    <row r="25" spans="2:11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</row>
    <row r="26" spans="2:11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</row>
    <row r="27" spans="2:11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</row>
    <row r="28" spans="2:11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</row>
    <row r="29" spans="2:11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</row>
    <row r="30" spans="2:11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</row>
    <row r="31" spans="2:11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</row>
    <row r="32" spans="2:11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</row>
    <row r="33" spans="2:11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2:11" x14ac:dyDescent="0.3"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2:11" x14ac:dyDescent="0.3"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2:11" x14ac:dyDescent="0.3"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2:11" x14ac:dyDescent="0.3"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2:11" x14ac:dyDescent="0.3"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2:11" x14ac:dyDescent="0.3"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2:11" x14ac:dyDescent="0.3"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2:11" x14ac:dyDescent="0.3"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2:11" x14ac:dyDescent="0.3"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2:11" x14ac:dyDescent="0.3">
      <c r="B43" s="75"/>
      <c r="C43" s="75"/>
      <c r="D43" s="75"/>
      <c r="E43" s="75"/>
      <c r="F43" s="75"/>
      <c r="G43" s="75"/>
      <c r="H43" s="75"/>
      <c r="I43" s="75"/>
      <c r="J43" s="75"/>
      <c r="K43" s="75"/>
    </row>
    <row r="44" spans="2:11" x14ac:dyDescent="0.3">
      <c r="B44" s="75"/>
      <c r="C44" s="75"/>
      <c r="D44" s="75"/>
      <c r="E44" s="75"/>
      <c r="F44" s="75"/>
      <c r="G44" s="75"/>
      <c r="H44" s="75"/>
      <c r="I44" s="75"/>
      <c r="J44" s="75"/>
      <c r="K44" s="75"/>
    </row>
    <row r="45" spans="2:11" x14ac:dyDescent="0.3">
      <c r="B45" s="75"/>
      <c r="C45" s="75"/>
      <c r="D45" s="75"/>
      <c r="E45" s="75"/>
      <c r="F45" s="75"/>
      <c r="G45" s="75"/>
      <c r="H45" s="75"/>
      <c r="I45" s="75"/>
      <c r="J45" s="75"/>
      <c r="K45" s="75"/>
    </row>
    <row r="46" spans="2:11" x14ac:dyDescent="0.3">
      <c r="B46" s="75"/>
      <c r="C46" s="75"/>
      <c r="D46" s="75"/>
      <c r="E46" s="75"/>
      <c r="F46" s="75"/>
      <c r="G46" s="75"/>
      <c r="H46" s="75"/>
      <c r="I46" s="75"/>
      <c r="J46" s="75"/>
      <c r="K46" s="75"/>
    </row>
    <row r="47" spans="2:11" x14ac:dyDescent="0.3">
      <c r="B47" s="75"/>
      <c r="C47" s="75"/>
      <c r="D47" s="75"/>
      <c r="E47" s="75"/>
      <c r="F47" s="75"/>
      <c r="G47" s="75"/>
      <c r="H47" s="75"/>
      <c r="I47" s="75"/>
      <c r="J47" s="75"/>
      <c r="K47" s="75"/>
    </row>
    <row r="48" spans="2:11" x14ac:dyDescent="0.3">
      <c r="B48" s="75"/>
      <c r="C48" s="75"/>
      <c r="D48" s="75"/>
      <c r="E48" s="75"/>
      <c r="F48" s="75"/>
      <c r="G48" s="75"/>
      <c r="H48" s="75"/>
      <c r="I48" s="75"/>
      <c r="J48" s="75"/>
      <c r="K48" s="75"/>
    </row>
    <row r="49" spans="2:11" x14ac:dyDescent="0.3">
      <c r="B49" s="75"/>
      <c r="C49" s="75"/>
      <c r="D49" s="75"/>
      <c r="E49" s="75"/>
      <c r="F49" s="75"/>
      <c r="G49" s="75"/>
      <c r="H49" s="75"/>
      <c r="I49" s="75"/>
      <c r="J49" s="75"/>
      <c r="K49" s="75"/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B59" sqref="B59:P71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97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2:17" x14ac:dyDescent="0.3"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76"/>
    </row>
    <row r="4" spans="2:17" x14ac:dyDescent="0.3"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77"/>
    </row>
    <row r="5" spans="2:17" x14ac:dyDescent="0.3"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2:17" x14ac:dyDescent="0.3"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2:17" x14ac:dyDescent="0.3">
      <c r="B7" s="200" t="s">
        <v>192</v>
      </c>
      <c r="C7" s="200"/>
      <c r="D7">
        <v>38.5</v>
      </c>
      <c r="E7" t="s">
        <v>7</v>
      </c>
      <c r="H7" t="s">
        <v>119</v>
      </c>
      <c r="I7" t="e">
        <f>+(1.25*K5)/M7^(2/3)</f>
        <v>#DIV/0!</v>
      </c>
      <c r="L7" t="s">
        <v>55</v>
      </c>
      <c r="M7">
        <f>+F6*POWER(D7*3.28,3/4)</f>
        <v>0</v>
      </c>
    </row>
    <row r="8" spans="2:17" x14ac:dyDescent="0.3">
      <c r="H8" t="s">
        <v>120</v>
      </c>
      <c r="I8" t="e">
        <f>+(J5*I7)/I5</f>
        <v>#DIV/0!</v>
      </c>
      <c r="L8" t="s">
        <v>56</v>
      </c>
      <c r="M8">
        <f>+M7*1.4</f>
        <v>0</v>
      </c>
    </row>
    <row r="9" spans="2:17" s="13" customFormat="1" x14ac:dyDescent="0.3">
      <c r="H9" s="13" t="s">
        <v>121</v>
      </c>
      <c r="I9" s="13" t="e">
        <f>0.8*I8</f>
        <v>#DIV/0!</v>
      </c>
      <c r="J9" s="13" t="s">
        <v>122</v>
      </c>
    </row>
    <row r="10" spans="2:17" s="13" customFormat="1" x14ac:dyDescent="0.3">
      <c r="C10" s="201" t="s">
        <v>125</v>
      </c>
      <c r="D10" s="201"/>
      <c r="E10" s="201" t="s">
        <v>124</v>
      </c>
      <c r="F10" s="201"/>
      <c r="G10" s="201"/>
      <c r="H10" s="9" t="s">
        <v>126</v>
      </c>
      <c r="I10" s="9" t="e">
        <f>+$I$9*O5</f>
        <v>#DIV/0!</v>
      </c>
      <c r="J10" s="9" t="s">
        <v>123</v>
      </c>
      <c r="K10" s="103" t="e">
        <f>+IF(I10&gt;N51,"USAR TA","USAR  TB")</f>
        <v>#DIV/0!</v>
      </c>
      <c r="L10" s="101"/>
      <c r="M10" s="101"/>
      <c r="N10" s="101"/>
    </row>
    <row r="11" spans="2:17" s="100" customFormat="1" ht="15" thickBot="1" x14ac:dyDescent="0.35">
      <c r="C11" s="201" t="s">
        <v>125</v>
      </c>
      <c r="D11" s="201"/>
      <c r="E11" s="201" t="s">
        <v>124</v>
      </c>
      <c r="F11" s="201"/>
      <c r="G11" s="201"/>
      <c r="H11" s="9" t="s">
        <v>127</v>
      </c>
      <c r="I11" s="9" t="e">
        <f>+$I$9*O6</f>
        <v>#DIV/0!</v>
      </c>
      <c r="J11" s="9" t="s">
        <v>123</v>
      </c>
      <c r="K11" s="103" t="e">
        <f>+IF(I11&gt;N52,"USAR TA","USAR TB")</f>
        <v>#DIV/0!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8" t="s">
        <v>61</v>
      </c>
      <c r="M12" s="198"/>
      <c r="N12" s="198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8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8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/>
      <c r="C15" s="172"/>
      <c r="D15" s="172"/>
      <c r="E15" s="172"/>
      <c r="F15" s="172"/>
      <c r="G15" s="172"/>
      <c r="H15" s="172"/>
      <c r="I15" s="172"/>
      <c r="J15" s="172"/>
      <c r="K15" s="166"/>
      <c r="L15" s="166" t="s">
        <v>189</v>
      </c>
      <c r="M15">
        <f>+F15</f>
        <v>0</v>
      </c>
      <c r="N15">
        <f>+G15</f>
        <v>0</v>
      </c>
      <c r="O15" s="18" t="e">
        <f t="shared" ref="O15:P19" si="0">+M15*$O$55</f>
        <v>#DIV/0!</v>
      </c>
      <c r="P15" s="19" t="e">
        <f t="shared" si="0"/>
        <v>#DIV/0!</v>
      </c>
    </row>
    <row r="16" spans="2:17" x14ac:dyDescent="0.3">
      <c r="B16" s="172"/>
      <c r="C16" s="172"/>
      <c r="D16" s="172"/>
      <c r="E16" s="172"/>
      <c r="F16" s="172"/>
      <c r="G16" s="172"/>
      <c r="H16" s="172"/>
      <c r="I16" s="172"/>
      <c r="J16" s="172"/>
      <c r="K16" s="166"/>
      <c r="L16" s="166" t="s">
        <v>187</v>
      </c>
      <c r="M16" s="13">
        <f>+F16-F15</f>
        <v>0</v>
      </c>
      <c r="N16">
        <f>+G16-G15</f>
        <v>0</v>
      </c>
      <c r="O16" s="18" t="e">
        <f t="shared" si="0"/>
        <v>#DIV/0!</v>
      </c>
      <c r="P16" s="19" t="e">
        <f t="shared" si="0"/>
        <v>#DIV/0!</v>
      </c>
    </row>
    <row r="17" spans="2:16" x14ac:dyDescent="0.3">
      <c r="B17" s="172"/>
      <c r="C17" s="172"/>
      <c r="D17" s="172"/>
      <c r="E17" s="172"/>
      <c r="F17" s="172"/>
      <c r="G17" s="172"/>
      <c r="H17" s="172"/>
      <c r="I17" s="172"/>
      <c r="J17" s="172"/>
      <c r="K17" s="166"/>
      <c r="L17" s="166" t="s">
        <v>185</v>
      </c>
      <c r="M17" s="13">
        <f t="shared" ref="M17:M25" si="1">+F17-F16</f>
        <v>0</v>
      </c>
      <c r="N17" s="13">
        <f t="shared" ref="N17:N25" si="2">+G17-G16</f>
        <v>0</v>
      </c>
      <c r="O17" s="18" t="e">
        <f t="shared" si="0"/>
        <v>#DIV/0!</v>
      </c>
      <c r="P17" s="19" t="e">
        <f t="shared" si="0"/>
        <v>#DIV/0!</v>
      </c>
    </row>
    <row r="18" spans="2:16" x14ac:dyDescent="0.3">
      <c r="B18" s="172"/>
      <c r="C18" s="172"/>
      <c r="D18" s="172"/>
      <c r="E18" s="172"/>
      <c r="F18" s="172"/>
      <c r="G18" s="172"/>
      <c r="H18" s="172"/>
      <c r="I18" s="172"/>
      <c r="J18" s="172"/>
      <c r="K18" s="166"/>
      <c r="L18" s="166" t="s">
        <v>183</v>
      </c>
      <c r="M18" s="13">
        <f t="shared" si="1"/>
        <v>0</v>
      </c>
      <c r="N18" s="13">
        <f t="shared" si="2"/>
        <v>0</v>
      </c>
      <c r="O18" s="18" t="e">
        <f t="shared" si="0"/>
        <v>#DIV/0!</v>
      </c>
      <c r="P18" s="19" t="e">
        <f t="shared" si="0"/>
        <v>#DIV/0!</v>
      </c>
    </row>
    <row r="19" spans="2:16" x14ac:dyDescent="0.3">
      <c r="B19" s="172"/>
      <c r="C19" s="172"/>
      <c r="D19" s="172"/>
      <c r="E19" s="172"/>
      <c r="F19" s="172"/>
      <c r="G19" s="172"/>
      <c r="H19" s="172"/>
      <c r="I19" s="172"/>
      <c r="J19" s="172"/>
      <c r="K19" s="166"/>
      <c r="L19" s="166" t="s">
        <v>181</v>
      </c>
      <c r="M19" s="13">
        <f t="shared" si="1"/>
        <v>0</v>
      </c>
      <c r="N19" s="13">
        <f t="shared" si="2"/>
        <v>0</v>
      </c>
      <c r="O19" s="18" t="e">
        <f t="shared" si="0"/>
        <v>#DIV/0!</v>
      </c>
      <c r="P19" s="19" t="e">
        <f t="shared" si="0"/>
        <v>#DIV/0!</v>
      </c>
    </row>
    <row r="20" spans="2:16" s="100" customFormat="1" x14ac:dyDescent="0.3">
      <c r="B20" s="172"/>
      <c r="C20" s="172"/>
      <c r="D20" s="172"/>
      <c r="E20" s="172"/>
      <c r="F20" s="172"/>
      <c r="G20" s="172"/>
      <c r="H20" s="172"/>
      <c r="I20" s="172"/>
      <c r="J20" s="172"/>
      <c r="K20" s="166"/>
      <c r="L20" s="166" t="s">
        <v>179</v>
      </c>
      <c r="M20" s="113">
        <f t="shared" si="1"/>
        <v>0</v>
      </c>
      <c r="N20" s="113">
        <f t="shared" si="2"/>
        <v>0</v>
      </c>
      <c r="O20" s="18" t="e">
        <f t="shared" ref="O20:O25" si="3">+M20*$O$55</f>
        <v>#DIV/0!</v>
      </c>
      <c r="P20" s="19" t="e">
        <f t="shared" ref="P20:P25" si="4">+N20*$O$55</f>
        <v>#DIV/0!</v>
      </c>
    </row>
    <row r="21" spans="2:16" s="100" customFormat="1" x14ac:dyDescent="0.3">
      <c r="B21" s="172"/>
      <c r="C21" s="172"/>
      <c r="D21" s="172"/>
      <c r="E21" s="172"/>
      <c r="F21" s="172"/>
      <c r="G21" s="172"/>
      <c r="H21" s="172"/>
      <c r="I21" s="172"/>
      <c r="J21" s="172"/>
      <c r="K21" s="166"/>
      <c r="L21" s="166" t="s">
        <v>39</v>
      </c>
      <c r="M21" s="113">
        <f t="shared" si="1"/>
        <v>0</v>
      </c>
      <c r="N21" s="113">
        <f t="shared" si="2"/>
        <v>0</v>
      </c>
      <c r="O21" s="18" t="e">
        <f t="shared" si="3"/>
        <v>#DIV/0!</v>
      </c>
      <c r="P21" s="19" t="e">
        <f t="shared" si="4"/>
        <v>#DIV/0!</v>
      </c>
    </row>
    <row r="22" spans="2:16" s="100" customFormat="1" x14ac:dyDescent="0.3">
      <c r="B22" s="172"/>
      <c r="C22" s="172"/>
      <c r="D22" s="172"/>
      <c r="E22" s="172"/>
      <c r="F22" s="172"/>
      <c r="G22" s="172"/>
      <c r="H22" s="172"/>
      <c r="I22" s="172"/>
      <c r="J22" s="172"/>
      <c r="K22" s="166"/>
      <c r="L22" s="166" t="s">
        <v>26</v>
      </c>
      <c r="M22" s="113">
        <f t="shared" si="1"/>
        <v>0</v>
      </c>
      <c r="N22" s="113">
        <f t="shared" si="2"/>
        <v>0</v>
      </c>
      <c r="O22" s="18" t="e">
        <f t="shared" si="3"/>
        <v>#DIV/0!</v>
      </c>
      <c r="P22" s="19" t="e">
        <f t="shared" si="4"/>
        <v>#DIV/0!</v>
      </c>
    </row>
    <row r="23" spans="2:16" s="100" customFormat="1" x14ac:dyDescent="0.3">
      <c r="B23" s="172"/>
      <c r="C23" s="172"/>
      <c r="D23" s="172"/>
      <c r="E23" s="172"/>
      <c r="F23" s="172"/>
      <c r="G23" s="172"/>
      <c r="H23" s="172"/>
      <c r="I23" s="172"/>
      <c r="J23" s="172"/>
      <c r="K23" s="166"/>
      <c r="L23" s="166" t="s">
        <v>25</v>
      </c>
      <c r="M23" s="113">
        <f t="shared" si="1"/>
        <v>0</v>
      </c>
      <c r="N23" s="113">
        <f t="shared" si="2"/>
        <v>0</v>
      </c>
      <c r="O23" s="18" t="e">
        <f t="shared" si="3"/>
        <v>#DIV/0!</v>
      </c>
      <c r="P23" s="19" t="e">
        <f t="shared" si="4"/>
        <v>#DIV/0!</v>
      </c>
    </row>
    <row r="24" spans="2:16" s="100" customFormat="1" x14ac:dyDescent="0.3">
      <c r="B24" s="172"/>
      <c r="C24" s="172"/>
      <c r="D24" s="172"/>
      <c r="E24" s="172"/>
      <c r="F24" s="172"/>
      <c r="G24" s="172"/>
      <c r="H24" s="172"/>
      <c r="I24" s="172"/>
      <c r="J24" s="172"/>
      <c r="K24" s="166"/>
      <c r="L24" s="166" t="s">
        <v>24</v>
      </c>
      <c r="M24" s="113">
        <f t="shared" si="1"/>
        <v>0</v>
      </c>
      <c r="N24" s="113">
        <f t="shared" si="2"/>
        <v>0</v>
      </c>
      <c r="O24" s="18" t="e">
        <f t="shared" si="3"/>
        <v>#DIV/0!</v>
      </c>
      <c r="P24" s="19" t="e">
        <f t="shared" si="4"/>
        <v>#DIV/0!</v>
      </c>
    </row>
    <row r="25" spans="2:16" s="100" customFormat="1" ht="15" thickBot="1" x14ac:dyDescent="0.35">
      <c r="B25" s="172"/>
      <c r="C25" s="172"/>
      <c r="D25" s="172"/>
      <c r="E25" s="172"/>
      <c r="F25" s="172"/>
      <c r="G25" s="172"/>
      <c r="H25" s="172"/>
      <c r="I25" s="172"/>
      <c r="J25" s="172"/>
      <c r="K25" s="166"/>
      <c r="L25" s="166" t="s">
        <v>22</v>
      </c>
      <c r="M25" s="113">
        <f t="shared" si="1"/>
        <v>0</v>
      </c>
      <c r="N25" s="113">
        <f t="shared" si="2"/>
        <v>0</v>
      </c>
      <c r="O25" s="30" t="e">
        <f t="shared" si="3"/>
        <v>#DIV/0!</v>
      </c>
      <c r="P25" s="24" t="e">
        <f t="shared" si="4"/>
        <v>#DIV/0!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8" t="s">
        <v>61</v>
      </c>
      <c r="M31" s="198"/>
      <c r="N31" s="198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8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8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/>
      <c r="C34" s="172"/>
      <c r="D34" s="172"/>
      <c r="E34" s="172"/>
      <c r="F34" s="172"/>
      <c r="G34" s="172"/>
      <c r="H34" s="172"/>
      <c r="I34" s="172"/>
      <c r="J34" s="172"/>
      <c r="L34" s="113" t="s">
        <v>189</v>
      </c>
      <c r="M34" s="13">
        <f>+F34</f>
        <v>0</v>
      </c>
      <c r="N34" s="13">
        <f>+G34</f>
        <v>0</v>
      </c>
      <c r="O34" s="18" t="e">
        <f>+M34*$O$56</f>
        <v>#DIV/0!</v>
      </c>
      <c r="P34" s="19" t="e">
        <f>+N34*$O$56</f>
        <v>#DIV/0!</v>
      </c>
    </row>
    <row r="35" spans="2:16" x14ac:dyDescent="0.3">
      <c r="B35" s="172"/>
      <c r="C35" s="172"/>
      <c r="D35" s="172"/>
      <c r="E35" s="172"/>
      <c r="F35" s="172"/>
      <c r="G35" s="172"/>
      <c r="H35" s="172"/>
      <c r="I35" s="172"/>
      <c r="J35" s="172"/>
      <c r="L35" s="113" t="s">
        <v>187</v>
      </c>
      <c r="M35" s="13">
        <f>+F35-F34</f>
        <v>0</v>
      </c>
      <c r="N35" s="13">
        <f>+G35-G34</f>
        <v>0</v>
      </c>
      <c r="O35" s="18" t="e">
        <f t="shared" ref="O35:P44" si="5">+M35*$O$56</f>
        <v>#DIV/0!</v>
      </c>
      <c r="P35" s="19" t="e">
        <f t="shared" si="5"/>
        <v>#DIV/0!</v>
      </c>
    </row>
    <row r="36" spans="2:16" x14ac:dyDescent="0.3">
      <c r="B36" s="172"/>
      <c r="C36" s="172"/>
      <c r="D36" s="172"/>
      <c r="E36" s="172"/>
      <c r="F36" s="172"/>
      <c r="G36" s="172"/>
      <c r="H36" s="172"/>
      <c r="I36" s="172"/>
      <c r="J36" s="172"/>
      <c r="L36" s="113" t="s">
        <v>185</v>
      </c>
      <c r="M36" s="13">
        <f t="shared" ref="M36:M44" si="6">+F36-F35</f>
        <v>0</v>
      </c>
      <c r="N36" s="13">
        <f t="shared" ref="N36:N44" si="7">+G36-G35</f>
        <v>0</v>
      </c>
      <c r="O36" s="18" t="e">
        <f t="shared" si="5"/>
        <v>#DIV/0!</v>
      </c>
      <c r="P36" s="19" t="e">
        <f t="shared" si="5"/>
        <v>#DIV/0!</v>
      </c>
    </row>
    <row r="37" spans="2:16" x14ac:dyDescent="0.3">
      <c r="B37" s="172"/>
      <c r="C37" s="172"/>
      <c r="D37" s="172"/>
      <c r="E37" s="172"/>
      <c r="F37" s="172"/>
      <c r="G37" s="172"/>
      <c r="H37" s="172"/>
      <c r="I37" s="172"/>
      <c r="J37" s="172"/>
      <c r="L37" s="113" t="s">
        <v>183</v>
      </c>
      <c r="M37" s="13">
        <f t="shared" si="6"/>
        <v>0</v>
      </c>
      <c r="N37" s="13">
        <f t="shared" si="7"/>
        <v>0</v>
      </c>
      <c r="O37" s="18" t="e">
        <f t="shared" si="5"/>
        <v>#DIV/0!</v>
      </c>
      <c r="P37" s="19" t="e">
        <f t="shared" si="5"/>
        <v>#DIV/0!</v>
      </c>
    </row>
    <row r="38" spans="2:16" x14ac:dyDescent="0.3">
      <c r="B38" s="172"/>
      <c r="C38" s="172"/>
      <c r="D38" s="172"/>
      <c r="E38" s="172"/>
      <c r="F38" s="172"/>
      <c r="G38" s="172"/>
      <c r="H38" s="172"/>
      <c r="I38" s="172"/>
      <c r="J38" s="172"/>
      <c r="L38" s="113" t="s">
        <v>181</v>
      </c>
      <c r="M38" s="13">
        <f t="shared" si="6"/>
        <v>0</v>
      </c>
      <c r="N38" s="13">
        <f t="shared" si="7"/>
        <v>0</v>
      </c>
      <c r="O38" s="18" t="e">
        <f t="shared" si="5"/>
        <v>#DIV/0!</v>
      </c>
      <c r="P38" s="19" t="e">
        <f t="shared" si="5"/>
        <v>#DIV/0!</v>
      </c>
    </row>
    <row r="39" spans="2:16" s="100" customFormat="1" x14ac:dyDescent="0.3">
      <c r="B39" s="172"/>
      <c r="C39" s="172"/>
      <c r="D39" s="172"/>
      <c r="E39" s="172"/>
      <c r="F39" s="172"/>
      <c r="G39" s="172"/>
      <c r="H39" s="172"/>
      <c r="I39" s="172"/>
      <c r="J39" s="172"/>
      <c r="L39" s="113" t="s">
        <v>179</v>
      </c>
      <c r="M39" s="113">
        <f t="shared" si="6"/>
        <v>0</v>
      </c>
      <c r="N39" s="113">
        <f t="shared" si="7"/>
        <v>0</v>
      </c>
      <c r="O39" s="18" t="e">
        <f t="shared" si="5"/>
        <v>#DIV/0!</v>
      </c>
      <c r="P39" s="19" t="e">
        <f t="shared" si="5"/>
        <v>#DIV/0!</v>
      </c>
    </row>
    <row r="40" spans="2:16" s="100" customFormat="1" x14ac:dyDescent="0.3">
      <c r="B40" s="172"/>
      <c r="C40" s="172"/>
      <c r="D40" s="172"/>
      <c r="E40" s="172"/>
      <c r="F40" s="172"/>
      <c r="G40" s="172"/>
      <c r="H40" s="172"/>
      <c r="I40" s="172"/>
      <c r="J40" s="172"/>
      <c r="L40" s="13" t="s">
        <v>39</v>
      </c>
      <c r="M40" s="113">
        <f t="shared" si="6"/>
        <v>0</v>
      </c>
      <c r="N40" s="113">
        <f t="shared" si="7"/>
        <v>0</v>
      </c>
      <c r="O40" s="18" t="e">
        <f t="shared" si="5"/>
        <v>#DIV/0!</v>
      </c>
      <c r="P40" s="19" t="e">
        <f t="shared" si="5"/>
        <v>#DIV/0!</v>
      </c>
    </row>
    <row r="41" spans="2:16" s="100" customFormat="1" x14ac:dyDescent="0.3">
      <c r="B41" s="172"/>
      <c r="C41" s="172"/>
      <c r="D41" s="172"/>
      <c r="E41" s="172"/>
      <c r="F41" s="172"/>
      <c r="G41" s="172"/>
      <c r="H41" s="172"/>
      <c r="I41" s="172"/>
      <c r="J41" s="172"/>
      <c r="L41" s="13" t="s">
        <v>26</v>
      </c>
      <c r="M41" s="113">
        <f t="shared" si="6"/>
        <v>0</v>
      </c>
      <c r="N41" s="113">
        <f t="shared" si="7"/>
        <v>0</v>
      </c>
      <c r="O41" s="18" t="e">
        <f t="shared" si="5"/>
        <v>#DIV/0!</v>
      </c>
      <c r="P41" s="19" t="e">
        <f t="shared" si="5"/>
        <v>#DIV/0!</v>
      </c>
    </row>
    <row r="42" spans="2:16" s="100" customFormat="1" x14ac:dyDescent="0.3">
      <c r="B42" s="172"/>
      <c r="C42" s="172"/>
      <c r="D42" s="172"/>
      <c r="E42" s="172"/>
      <c r="F42" s="172"/>
      <c r="G42" s="172"/>
      <c r="H42" s="172"/>
      <c r="I42" s="172"/>
      <c r="J42" s="172"/>
      <c r="L42" s="13" t="s">
        <v>25</v>
      </c>
      <c r="M42" s="113">
        <f t="shared" si="6"/>
        <v>0</v>
      </c>
      <c r="N42" s="113">
        <f t="shared" si="7"/>
        <v>0</v>
      </c>
      <c r="O42" s="18" t="e">
        <f t="shared" si="5"/>
        <v>#DIV/0!</v>
      </c>
      <c r="P42" s="19" t="e">
        <f t="shared" si="5"/>
        <v>#DIV/0!</v>
      </c>
    </row>
    <row r="43" spans="2:16" s="100" customFormat="1" x14ac:dyDescent="0.3">
      <c r="B43" s="172"/>
      <c r="C43" s="172"/>
      <c r="D43" s="172"/>
      <c r="E43" s="172"/>
      <c r="F43" s="172"/>
      <c r="G43" s="172"/>
      <c r="H43" s="172"/>
      <c r="I43" s="172"/>
      <c r="J43" s="172"/>
      <c r="L43" s="13" t="s">
        <v>24</v>
      </c>
      <c r="M43" s="113">
        <f t="shared" si="6"/>
        <v>0</v>
      </c>
      <c r="N43" s="113">
        <f t="shared" si="7"/>
        <v>0</v>
      </c>
      <c r="O43" s="18" t="e">
        <f t="shared" si="5"/>
        <v>#DIV/0!</v>
      </c>
      <c r="P43" s="19" t="e">
        <f t="shared" si="5"/>
        <v>#DIV/0!</v>
      </c>
    </row>
    <row r="44" spans="2:16" s="100" customFormat="1" ht="15" thickBot="1" x14ac:dyDescent="0.35">
      <c r="B44" s="172"/>
      <c r="C44" s="172"/>
      <c r="D44" s="172"/>
      <c r="E44" s="172"/>
      <c r="F44" s="172"/>
      <c r="G44" s="172"/>
      <c r="H44" s="172"/>
      <c r="I44" s="172"/>
      <c r="J44" s="172"/>
      <c r="L44" s="13" t="s">
        <v>22</v>
      </c>
      <c r="M44" s="113">
        <f t="shared" si="6"/>
        <v>0</v>
      </c>
      <c r="N44" s="113">
        <f t="shared" si="7"/>
        <v>0</v>
      </c>
      <c r="O44" s="30" t="e">
        <f t="shared" si="5"/>
        <v>#DIV/0!</v>
      </c>
      <c r="P44" s="24" t="e">
        <f t="shared" si="5"/>
        <v>#DIV/0!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2" t="s">
        <v>57</v>
      </c>
      <c r="M49" s="203"/>
      <c r="N49" s="203"/>
      <c r="O49" s="203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0</v>
      </c>
      <c r="O51" s="14" t="e">
        <f>+K10</f>
        <v>#DIV/0!</v>
      </c>
      <c r="P51" s="107" t="e">
        <f>+IF(O51="USAR TA",(I10),N51)</f>
        <v>#DIV/0!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0</v>
      </c>
      <c r="O52" s="14" t="e">
        <f>+K11</f>
        <v>#DIV/0!</v>
      </c>
      <c r="P52" s="107" t="e">
        <f>+IF(O52="USAR TB",(N52),I11)</f>
        <v>#DIV/0!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0</v>
      </c>
      <c r="N55" s="16" t="e">
        <f>+IF(M55&lt;P51,"ESCALAR",N51)</f>
        <v>#DIV/0!</v>
      </c>
      <c r="O55" s="14" t="e">
        <f>+IF(N55="ESCALAR",(P51/M55))</f>
        <v>#DIV/0!</v>
      </c>
      <c r="P55" s="19" t="e">
        <f>+M55*O55</f>
        <v>#DIV/0!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0</v>
      </c>
      <c r="N56" s="112" t="e">
        <f>+IF(M56&lt;P52,"ESCALAR",M56)</f>
        <v>#DIV/0!</v>
      </c>
      <c r="O56" s="23" t="e">
        <f>+IF(N56="ESCALAR",(P52/M56))</f>
        <v>#DIV/0!</v>
      </c>
      <c r="P56" s="24" t="e">
        <f>+M56*O56</f>
        <v>#DIV/0!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97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</row>
    <row r="60" spans="2:16" x14ac:dyDescent="0.3"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76"/>
    </row>
    <row r="61" spans="2:16" x14ac:dyDescent="0.3"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77"/>
    </row>
    <row r="62" spans="2:16" x14ac:dyDescent="0.3"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</row>
    <row r="63" spans="2:16" x14ac:dyDescent="0.3"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</row>
    <row r="64" spans="2:16" x14ac:dyDescent="0.3"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</row>
    <row r="65" spans="2:16" x14ac:dyDescent="0.3"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</row>
    <row r="66" spans="2:16" x14ac:dyDescent="0.3"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</row>
    <row r="67" spans="2:16" x14ac:dyDescent="0.3"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</row>
    <row r="68" spans="2:16" x14ac:dyDescent="0.3"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</row>
    <row r="69" spans="2:16" x14ac:dyDescent="0.3"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</row>
    <row r="70" spans="2:16" x14ac:dyDescent="0.3"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</row>
    <row r="71" spans="2:16" x14ac:dyDescent="0.3"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52"/>
  <sheetViews>
    <sheetView workbookViewId="0">
      <selection activeCell="B2" sqref="B2:I52"/>
    </sheetView>
  </sheetViews>
  <sheetFormatPr baseColWidth="10" defaultRowHeight="14.4" x14ac:dyDescent="0.3"/>
  <sheetData>
    <row r="2" spans="2:9" x14ac:dyDescent="0.3">
      <c r="B2" s="97"/>
      <c r="C2" s="75"/>
      <c r="D2" s="75"/>
      <c r="E2" s="75"/>
      <c r="F2" s="75"/>
      <c r="G2" s="75"/>
      <c r="H2" s="75"/>
      <c r="I2" s="75"/>
    </row>
    <row r="3" spans="2:9" x14ac:dyDescent="0.3">
      <c r="B3" s="98"/>
      <c r="C3" s="98"/>
      <c r="D3" s="98"/>
      <c r="E3" s="98"/>
      <c r="F3" s="98"/>
      <c r="G3" s="98"/>
      <c r="H3" s="98"/>
      <c r="I3" s="76"/>
    </row>
    <row r="4" spans="2:9" x14ac:dyDescent="0.3">
      <c r="B4" s="99"/>
      <c r="C4" s="99"/>
      <c r="D4" s="99"/>
      <c r="E4" s="99"/>
      <c r="F4" s="99"/>
      <c r="G4" s="99"/>
      <c r="H4" s="99"/>
      <c r="I4" s="77"/>
    </row>
    <row r="5" spans="2:9" x14ac:dyDescent="0.3">
      <c r="B5" s="75"/>
      <c r="C5" s="75"/>
      <c r="D5" s="75"/>
      <c r="E5" s="75"/>
      <c r="F5" s="75"/>
      <c r="G5" s="75"/>
      <c r="H5" s="75"/>
      <c r="I5" s="75"/>
    </row>
    <row r="6" spans="2:9" x14ac:dyDescent="0.3">
      <c r="B6" s="75"/>
      <c r="C6" s="75"/>
      <c r="D6" s="75"/>
      <c r="E6" s="75"/>
      <c r="F6" s="75"/>
      <c r="G6" s="75"/>
      <c r="H6" s="75"/>
      <c r="I6" s="75"/>
    </row>
    <row r="7" spans="2:9" x14ac:dyDescent="0.3">
      <c r="B7" s="75"/>
      <c r="C7" s="75"/>
      <c r="D7" s="75"/>
      <c r="E7" s="75"/>
      <c r="F7" s="75"/>
      <c r="G7" s="75"/>
      <c r="H7" s="75"/>
      <c r="I7" s="75"/>
    </row>
    <row r="8" spans="2:9" x14ac:dyDescent="0.3">
      <c r="B8" s="75"/>
      <c r="C8" s="75"/>
      <c r="D8" s="75"/>
      <c r="E8" s="75"/>
      <c r="F8" s="75"/>
      <c r="G8" s="75"/>
      <c r="H8" s="75"/>
      <c r="I8" s="75"/>
    </row>
    <row r="9" spans="2:9" x14ac:dyDescent="0.3">
      <c r="B9" s="75"/>
      <c r="C9" s="75"/>
      <c r="D9" s="75"/>
      <c r="E9" s="75"/>
      <c r="F9" s="75"/>
      <c r="G9" s="75"/>
      <c r="H9" s="75"/>
      <c r="I9" s="75"/>
    </row>
    <row r="10" spans="2:9" x14ac:dyDescent="0.3">
      <c r="B10" s="75"/>
      <c r="C10" s="75"/>
      <c r="D10" s="75"/>
      <c r="E10" s="75"/>
      <c r="F10" s="75"/>
      <c r="G10" s="75"/>
      <c r="H10" s="75"/>
      <c r="I10" s="75"/>
    </row>
    <row r="11" spans="2:9" x14ac:dyDescent="0.3">
      <c r="B11" s="75"/>
      <c r="C11" s="75"/>
      <c r="D11" s="75"/>
      <c r="E11" s="75"/>
      <c r="F11" s="75"/>
      <c r="G11" s="75"/>
      <c r="H11" s="75"/>
      <c r="I11" s="75"/>
    </row>
    <row r="12" spans="2:9" x14ac:dyDescent="0.3">
      <c r="B12" s="75"/>
      <c r="C12" s="75"/>
      <c r="D12" s="75"/>
      <c r="E12" s="75"/>
      <c r="F12" s="75"/>
      <c r="G12" s="75"/>
      <c r="H12" s="75"/>
      <c r="I12" s="75"/>
    </row>
    <row r="13" spans="2:9" x14ac:dyDescent="0.3">
      <c r="B13" s="75"/>
      <c r="C13" s="75"/>
      <c r="D13" s="75"/>
      <c r="E13" s="75"/>
      <c r="F13" s="75"/>
      <c r="G13" s="75"/>
      <c r="H13" s="75"/>
      <c r="I13" s="75"/>
    </row>
    <row r="14" spans="2:9" x14ac:dyDescent="0.3">
      <c r="B14" s="75"/>
      <c r="C14" s="75"/>
      <c r="D14" s="75"/>
      <c r="E14" s="75"/>
      <c r="F14" s="75"/>
      <c r="G14" s="75"/>
      <c r="H14" s="75"/>
      <c r="I14" s="75"/>
    </row>
    <row r="15" spans="2:9" x14ac:dyDescent="0.3">
      <c r="B15" s="75"/>
      <c r="C15" s="75"/>
      <c r="D15" s="75"/>
      <c r="E15" s="75"/>
      <c r="F15" s="75"/>
      <c r="G15" s="75"/>
      <c r="H15" s="75"/>
      <c r="I15" s="75"/>
    </row>
    <row r="16" spans="2:9" x14ac:dyDescent="0.3">
      <c r="B16" s="75"/>
      <c r="C16" s="75"/>
      <c r="D16" s="75"/>
      <c r="E16" s="75"/>
      <c r="F16" s="75"/>
      <c r="G16" s="75"/>
      <c r="H16" s="75"/>
      <c r="I16" s="75"/>
    </row>
    <row r="17" spans="2:9" x14ac:dyDescent="0.3">
      <c r="B17" s="75"/>
      <c r="C17" s="75"/>
      <c r="D17" s="75"/>
      <c r="E17" s="75"/>
      <c r="F17" s="75"/>
      <c r="G17" s="75"/>
      <c r="H17" s="75"/>
      <c r="I17" s="75"/>
    </row>
    <row r="18" spans="2:9" x14ac:dyDescent="0.3">
      <c r="B18" s="75"/>
      <c r="C18" s="75"/>
      <c r="D18" s="75"/>
      <c r="E18" s="75"/>
      <c r="F18" s="75"/>
      <c r="G18" s="75"/>
      <c r="H18" s="75"/>
      <c r="I18" s="75"/>
    </row>
    <row r="19" spans="2:9" x14ac:dyDescent="0.3">
      <c r="B19" s="75"/>
      <c r="C19" s="75"/>
      <c r="D19" s="75"/>
      <c r="E19" s="75"/>
      <c r="F19" s="75"/>
      <c r="G19" s="75"/>
      <c r="H19" s="75"/>
      <c r="I19" s="75"/>
    </row>
    <row r="20" spans="2:9" x14ac:dyDescent="0.3">
      <c r="B20" s="75"/>
      <c r="C20" s="75"/>
      <c r="D20" s="75"/>
      <c r="E20" s="75"/>
      <c r="F20" s="75"/>
      <c r="G20" s="75"/>
      <c r="H20" s="75"/>
      <c r="I20" s="75"/>
    </row>
    <row r="21" spans="2:9" x14ac:dyDescent="0.3">
      <c r="B21" s="75"/>
      <c r="C21" s="75"/>
      <c r="D21" s="75"/>
      <c r="E21" s="75"/>
      <c r="F21" s="75"/>
      <c r="G21" s="75"/>
      <c r="H21" s="75"/>
      <c r="I21" s="75"/>
    </row>
    <row r="22" spans="2:9" x14ac:dyDescent="0.3">
      <c r="B22" s="75"/>
      <c r="C22" s="75"/>
      <c r="D22" s="75"/>
      <c r="E22" s="75"/>
      <c r="F22" s="75"/>
      <c r="G22" s="75"/>
      <c r="H22" s="75"/>
      <c r="I22" s="75"/>
    </row>
    <row r="23" spans="2:9" x14ac:dyDescent="0.3">
      <c r="B23" s="75"/>
      <c r="C23" s="75"/>
      <c r="D23" s="75"/>
      <c r="E23" s="75"/>
      <c r="F23" s="75"/>
      <c r="G23" s="75"/>
      <c r="H23" s="75"/>
      <c r="I23" s="75"/>
    </row>
    <row r="24" spans="2:9" x14ac:dyDescent="0.3">
      <c r="B24" s="75"/>
      <c r="C24" s="75"/>
      <c r="D24" s="75"/>
      <c r="E24" s="75"/>
      <c r="F24" s="75"/>
      <c r="G24" s="75"/>
      <c r="H24" s="75"/>
      <c r="I24" s="75"/>
    </row>
    <row r="25" spans="2:9" x14ac:dyDescent="0.3">
      <c r="B25" s="75"/>
      <c r="C25" s="75"/>
      <c r="D25" s="75"/>
      <c r="E25" s="75"/>
      <c r="F25" s="75"/>
      <c r="G25" s="75"/>
      <c r="H25" s="75"/>
      <c r="I25" s="75"/>
    </row>
    <row r="26" spans="2:9" x14ac:dyDescent="0.3">
      <c r="B26" s="75"/>
      <c r="C26" s="75"/>
      <c r="D26" s="75"/>
      <c r="E26" s="75"/>
      <c r="F26" s="75"/>
      <c r="G26" s="75"/>
      <c r="H26" s="75"/>
      <c r="I26" s="75"/>
    </row>
    <row r="27" spans="2:9" x14ac:dyDescent="0.3">
      <c r="B27" s="75"/>
      <c r="C27" s="75"/>
      <c r="D27" s="75"/>
      <c r="E27" s="75"/>
      <c r="F27" s="75"/>
      <c r="G27" s="75"/>
      <c r="H27" s="75"/>
      <c r="I27" s="75"/>
    </row>
    <row r="28" spans="2:9" x14ac:dyDescent="0.3">
      <c r="B28" s="75"/>
      <c r="C28" s="75"/>
      <c r="D28" s="75"/>
      <c r="E28" s="75"/>
      <c r="F28" s="75"/>
      <c r="G28" s="75"/>
      <c r="H28" s="75"/>
      <c r="I28" s="75"/>
    </row>
    <row r="29" spans="2:9" x14ac:dyDescent="0.3">
      <c r="B29" s="75"/>
      <c r="C29" s="75"/>
      <c r="D29" s="75"/>
      <c r="E29" s="75"/>
      <c r="F29" s="75"/>
      <c r="G29" s="75"/>
      <c r="H29" s="75"/>
      <c r="I29" s="75"/>
    </row>
    <row r="30" spans="2:9" x14ac:dyDescent="0.3">
      <c r="B30" s="75"/>
      <c r="C30" s="75"/>
      <c r="D30" s="75"/>
      <c r="E30" s="75"/>
      <c r="F30" s="75"/>
      <c r="G30" s="75"/>
      <c r="H30" s="75"/>
      <c r="I30" s="75"/>
    </row>
    <row r="31" spans="2:9" x14ac:dyDescent="0.3">
      <c r="B31" s="75"/>
      <c r="C31" s="75"/>
      <c r="D31" s="75"/>
      <c r="E31" s="75"/>
      <c r="F31" s="75"/>
      <c r="G31" s="75"/>
      <c r="H31" s="75"/>
      <c r="I31" s="75"/>
    </row>
    <row r="32" spans="2:9" x14ac:dyDescent="0.3">
      <c r="B32" s="75"/>
      <c r="C32" s="75"/>
      <c r="D32" s="75"/>
      <c r="E32" s="75"/>
      <c r="F32" s="75"/>
      <c r="G32" s="75"/>
      <c r="H32" s="75"/>
      <c r="I32" s="75"/>
    </row>
    <row r="33" spans="2:9" x14ac:dyDescent="0.3">
      <c r="B33" s="75"/>
      <c r="C33" s="75"/>
      <c r="D33" s="75"/>
      <c r="E33" s="75"/>
      <c r="F33" s="75"/>
      <c r="G33" s="75"/>
      <c r="H33" s="75"/>
      <c r="I33" s="75"/>
    </row>
    <row r="34" spans="2:9" x14ac:dyDescent="0.3">
      <c r="B34" s="75"/>
      <c r="C34" s="75"/>
      <c r="D34" s="75"/>
      <c r="E34" s="75"/>
      <c r="F34" s="75"/>
      <c r="G34" s="75"/>
      <c r="H34" s="75"/>
      <c r="I34" s="75"/>
    </row>
    <row r="35" spans="2:9" x14ac:dyDescent="0.3">
      <c r="B35" s="75"/>
      <c r="C35" s="75"/>
      <c r="D35" s="75"/>
      <c r="E35" s="75"/>
      <c r="F35" s="75"/>
      <c r="G35" s="75"/>
      <c r="H35" s="75"/>
      <c r="I35" s="75"/>
    </row>
    <row r="36" spans="2:9" x14ac:dyDescent="0.3">
      <c r="B36" s="75"/>
      <c r="C36" s="75"/>
      <c r="D36" s="75"/>
      <c r="E36" s="75"/>
      <c r="F36" s="75"/>
      <c r="G36" s="75"/>
      <c r="H36" s="75"/>
      <c r="I36" s="75"/>
    </row>
    <row r="37" spans="2:9" x14ac:dyDescent="0.3">
      <c r="B37" s="75"/>
      <c r="C37" s="75"/>
      <c r="D37" s="75"/>
      <c r="E37" s="75"/>
      <c r="F37" s="75"/>
      <c r="G37" s="75"/>
      <c r="H37" s="75"/>
      <c r="I37" s="75"/>
    </row>
    <row r="38" spans="2:9" x14ac:dyDescent="0.3">
      <c r="B38" s="75"/>
      <c r="C38" s="75"/>
      <c r="D38" s="75"/>
      <c r="E38" s="75"/>
      <c r="F38" s="75"/>
      <c r="G38" s="75"/>
      <c r="H38" s="75"/>
      <c r="I38" s="75"/>
    </row>
    <row r="39" spans="2:9" x14ac:dyDescent="0.3">
      <c r="B39" s="75"/>
      <c r="C39" s="75"/>
      <c r="D39" s="75"/>
      <c r="E39" s="75"/>
      <c r="F39" s="75"/>
      <c r="G39" s="75"/>
      <c r="H39" s="75"/>
      <c r="I39" s="75"/>
    </row>
    <row r="40" spans="2:9" x14ac:dyDescent="0.3">
      <c r="B40" s="75"/>
      <c r="C40" s="75"/>
      <c r="D40" s="75"/>
      <c r="E40" s="75"/>
      <c r="F40" s="75"/>
      <c r="G40" s="75"/>
      <c r="H40" s="75"/>
      <c r="I40" s="75"/>
    </row>
    <row r="41" spans="2:9" x14ac:dyDescent="0.3">
      <c r="B41" s="75"/>
      <c r="C41" s="75"/>
      <c r="D41" s="75"/>
      <c r="E41" s="75"/>
      <c r="F41" s="75"/>
      <c r="G41" s="75"/>
      <c r="H41" s="75"/>
      <c r="I41" s="75"/>
    </row>
    <row r="42" spans="2:9" x14ac:dyDescent="0.3">
      <c r="B42" s="75"/>
      <c r="C42" s="75"/>
      <c r="D42" s="75"/>
      <c r="E42" s="75"/>
      <c r="F42" s="75"/>
      <c r="G42" s="75"/>
      <c r="H42" s="75"/>
      <c r="I42" s="75"/>
    </row>
    <row r="43" spans="2:9" x14ac:dyDescent="0.3">
      <c r="B43" s="75"/>
      <c r="C43" s="75"/>
      <c r="D43" s="75"/>
      <c r="E43" s="75"/>
      <c r="F43" s="75"/>
      <c r="G43" s="75"/>
      <c r="H43" s="75"/>
      <c r="I43" s="75"/>
    </row>
    <row r="44" spans="2:9" x14ac:dyDescent="0.3">
      <c r="B44" s="75"/>
      <c r="C44" s="75"/>
      <c r="D44" s="75"/>
      <c r="E44" s="75"/>
      <c r="F44" s="75"/>
      <c r="G44" s="75"/>
      <c r="H44" s="75"/>
      <c r="I44" s="75"/>
    </row>
    <row r="45" spans="2:9" x14ac:dyDescent="0.3">
      <c r="B45" s="75"/>
      <c r="C45" s="75"/>
      <c r="D45" s="75"/>
      <c r="E45" s="75"/>
      <c r="F45" s="75"/>
      <c r="G45" s="75"/>
      <c r="H45" s="75"/>
      <c r="I45" s="75"/>
    </row>
    <row r="46" spans="2:9" x14ac:dyDescent="0.3">
      <c r="B46" s="75"/>
      <c r="C46" s="75"/>
      <c r="D46" s="75"/>
      <c r="E46" s="75"/>
      <c r="F46" s="75"/>
      <c r="G46" s="75"/>
      <c r="H46" s="75"/>
      <c r="I46" s="75"/>
    </row>
    <row r="47" spans="2:9" x14ac:dyDescent="0.3">
      <c r="B47" s="91"/>
      <c r="C47" s="91"/>
      <c r="D47" s="91"/>
      <c r="E47" s="91"/>
      <c r="F47" s="91"/>
      <c r="G47" s="91"/>
      <c r="H47" s="91"/>
      <c r="I47" s="91"/>
    </row>
    <row r="48" spans="2:9" x14ac:dyDescent="0.3">
      <c r="B48" s="75"/>
      <c r="C48" s="75"/>
      <c r="D48" s="75"/>
      <c r="E48" s="75"/>
      <c r="F48" s="75"/>
      <c r="G48" s="75"/>
      <c r="H48" s="75"/>
      <c r="I48" s="75"/>
    </row>
    <row r="49" spans="2:9" x14ac:dyDescent="0.3">
      <c r="B49" s="75"/>
      <c r="C49" s="75"/>
      <c r="D49" s="75"/>
      <c r="E49" s="75"/>
      <c r="F49" s="75"/>
      <c r="G49" s="75"/>
      <c r="H49" s="75"/>
      <c r="I49" s="75"/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2:M108"/>
  <sheetViews>
    <sheetView workbookViewId="0">
      <selection activeCell="R6" sqref="R6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2:12" x14ac:dyDescent="0.3">
      <c r="B2" s="97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2:12" x14ac:dyDescent="0.3">
      <c r="B3" s="98"/>
      <c r="C3" s="98"/>
      <c r="D3" s="98"/>
      <c r="E3" s="98"/>
      <c r="F3" s="98"/>
      <c r="G3" s="98"/>
      <c r="H3" s="98"/>
      <c r="I3" s="98"/>
      <c r="J3" s="98"/>
      <c r="K3" s="98"/>
      <c r="L3" s="76"/>
    </row>
    <row r="4" spans="2:12" x14ac:dyDescent="0.3">
      <c r="B4" s="99"/>
      <c r="C4" s="99"/>
      <c r="D4" s="99"/>
      <c r="E4" s="99"/>
      <c r="F4" s="99"/>
      <c r="G4" s="99"/>
      <c r="H4" s="99"/>
      <c r="I4" s="99"/>
      <c r="J4" s="99"/>
      <c r="K4" s="99"/>
      <c r="L4" s="77"/>
    </row>
    <row r="5" spans="2:12" x14ac:dyDescent="0.3"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2:12" x14ac:dyDescent="0.3"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</row>
    <row r="7" spans="2:12" x14ac:dyDescent="0.3"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</row>
    <row r="8" spans="2:12" x14ac:dyDescent="0.3"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</row>
    <row r="9" spans="2:12" x14ac:dyDescent="0.3"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</row>
    <row r="10" spans="2:12" x14ac:dyDescent="0.3"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</row>
    <row r="11" spans="2:12" x14ac:dyDescent="0.3"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</row>
    <row r="12" spans="2:12" x14ac:dyDescent="0.3"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</row>
    <row r="13" spans="2:12" x14ac:dyDescent="0.3"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</row>
    <row r="14" spans="2:12" x14ac:dyDescent="0.3"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</row>
    <row r="15" spans="2:12" x14ac:dyDescent="0.3"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</row>
    <row r="16" spans="2:12" x14ac:dyDescent="0.3"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</row>
    <row r="17" spans="2:12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</row>
    <row r="18" spans="2:12" x14ac:dyDescent="0.3"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</row>
    <row r="19" spans="2:12" x14ac:dyDescent="0.3"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</row>
    <row r="20" spans="2:12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</row>
    <row r="21" spans="2:12" x14ac:dyDescent="0.3"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</row>
    <row r="22" spans="2:12" x14ac:dyDescent="0.3"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</row>
    <row r="23" spans="2:12" x14ac:dyDescent="0.3"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</row>
    <row r="24" spans="2:12" x14ac:dyDescent="0.3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</row>
    <row r="25" spans="2:12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</row>
    <row r="26" spans="2:12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</row>
    <row r="27" spans="2:12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</row>
    <row r="28" spans="2:12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</row>
    <row r="29" spans="2:12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</row>
    <row r="30" spans="2:12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</row>
    <row r="31" spans="2:12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</row>
    <row r="32" spans="2:12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</row>
    <row r="33" spans="2:12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</row>
    <row r="34" spans="2:12" x14ac:dyDescent="0.3"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</row>
    <row r="35" spans="2:12" x14ac:dyDescent="0.3"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</row>
    <row r="36" spans="2:12" x14ac:dyDescent="0.3"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</row>
    <row r="37" spans="2:12" x14ac:dyDescent="0.3"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</row>
    <row r="38" spans="2:12" x14ac:dyDescent="0.3"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</row>
    <row r="39" spans="2:12" x14ac:dyDescent="0.3"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</row>
    <row r="40" spans="2:12" x14ac:dyDescent="0.3"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</row>
    <row r="41" spans="2:12" x14ac:dyDescent="0.3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</row>
    <row r="42" spans="2:12" x14ac:dyDescent="0.3"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</row>
    <row r="43" spans="2:12" x14ac:dyDescent="0.3"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</row>
    <row r="44" spans="2:12" x14ac:dyDescent="0.3"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</row>
    <row r="45" spans="2:12" x14ac:dyDescent="0.3"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</row>
    <row r="46" spans="2:12" x14ac:dyDescent="0.3"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</row>
    <row r="47" spans="2:12" x14ac:dyDescent="0.3"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</row>
    <row r="48" spans="2:12" x14ac:dyDescent="0.3"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</row>
    <row r="49" spans="2:12" x14ac:dyDescent="0.3"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</row>
    <row r="50" spans="2:12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</row>
    <row r="51" spans="2:12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</row>
    <row r="52" spans="2:12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</row>
    <row r="53" spans="2:12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</row>
    <row r="54" spans="2:12" x14ac:dyDescent="0.3"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</row>
    <row r="55" spans="2:12" x14ac:dyDescent="0.3"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</row>
    <row r="56" spans="2:12" x14ac:dyDescent="0.3"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</row>
    <row r="57" spans="2:12" x14ac:dyDescent="0.3"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</row>
    <row r="58" spans="2:12" x14ac:dyDescent="0.3"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</row>
    <row r="59" spans="2:12" x14ac:dyDescent="0.3"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</row>
    <row r="60" spans="2:12" x14ac:dyDescent="0.3"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</row>
    <row r="61" spans="2:12" x14ac:dyDescent="0.3"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</row>
    <row r="62" spans="2:12" x14ac:dyDescent="0.3"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</row>
    <row r="63" spans="2:12" x14ac:dyDescent="0.3"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</row>
    <row r="64" spans="2:12" x14ac:dyDescent="0.3"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</row>
    <row r="65" spans="2:12" x14ac:dyDescent="0.3"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</row>
    <row r="66" spans="2:12" x14ac:dyDescent="0.3"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</row>
    <row r="67" spans="2:12" x14ac:dyDescent="0.3"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</row>
    <row r="68" spans="2:12" x14ac:dyDescent="0.3"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</row>
    <row r="69" spans="2:12" x14ac:dyDescent="0.3"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</row>
    <row r="70" spans="2:12" x14ac:dyDescent="0.3"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</row>
    <row r="71" spans="2:12" x14ac:dyDescent="0.3"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</row>
    <row r="72" spans="2:12" x14ac:dyDescent="0.3"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</row>
    <row r="73" spans="2:12" x14ac:dyDescent="0.3"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</row>
    <row r="74" spans="2:12" x14ac:dyDescent="0.3"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</row>
    <row r="75" spans="2:12" x14ac:dyDescent="0.3"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</row>
    <row r="76" spans="2:12" x14ac:dyDescent="0.3"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</row>
    <row r="77" spans="2:12" x14ac:dyDescent="0.3"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</row>
    <row r="78" spans="2:12" x14ac:dyDescent="0.3"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</row>
    <row r="79" spans="2:12" x14ac:dyDescent="0.3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</row>
    <row r="80" spans="2:12" x14ac:dyDescent="0.3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</row>
    <row r="81" spans="2:12" x14ac:dyDescent="0.3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</row>
    <row r="82" spans="2:12" x14ac:dyDescent="0.3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</row>
    <row r="83" spans="2:12" x14ac:dyDescent="0.3"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</row>
    <row r="84" spans="2:12" x14ac:dyDescent="0.3"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</row>
    <row r="85" spans="2:12" x14ac:dyDescent="0.3"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</row>
    <row r="86" spans="2:12" x14ac:dyDescent="0.3"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</row>
    <row r="87" spans="2:12" x14ac:dyDescent="0.3"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</row>
    <row r="88" spans="2:12" x14ac:dyDescent="0.3"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</row>
    <row r="89" spans="2:12" x14ac:dyDescent="0.3"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</row>
    <row r="90" spans="2:12" x14ac:dyDescent="0.3"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</row>
    <row r="91" spans="2:12" x14ac:dyDescent="0.3"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</row>
    <row r="92" spans="2:12" x14ac:dyDescent="0.3"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</row>
    <row r="93" spans="2:12" x14ac:dyDescent="0.3"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</row>
    <row r="94" spans="2:12" x14ac:dyDescent="0.3"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</row>
    <row r="95" spans="2:12" x14ac:dyDescent="0.3"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</row>
    <row r="96" spans="2:12" x14ac:dyDescent="0.3"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</row>
    <row r="97" spans="2:12" x14ac:dyDescent="0.3"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</row>
    <row r="98" spans="2:12" x14ac:dyDescent="0.3"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</row>
    <row r="99" spans="2:12" x14ac:dyDescent="0.3"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</row>
    <row r="100" spans="2:12" x14ac:dyDescent="0.3"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</row>
    <row r="101" spans="2:12" x14ac:dyDescent="0.3"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</row>
    <row r="102" spans="2:12" x14ac:dyDescent="0.3"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</row>
    <row r="103" spans="2:12" x14ac:dyDescent="0.3"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</row>
    <row r="104" spans="2:12" x14ac:dyDescent="0.3"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</row>
    <row r="105" spans="2:12" x14ac:dyDescent="0.3"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</row>
    <row r="106" spans="2:12" x14ac:dyDescent="0.3"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</row>
    <row r="107" spans="2:12" x14ac:dyDescent="0.3"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</row>
    <row r="108" spans="2:12" x14ac:dyDescent="0.3"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8</xdr:row>
                    <xdr:rowOff>0</xdr:rowOff>
                  </from>
                  <to>
                    <xdr:col>15</xdr:col>
                    <xdr:colOff>510540</xdr:colOff>
                    <xdr:row>48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356"/>
  <sheetViews>
    <sheetView workbookViewId="0">
      <selection activeCell="O5" sqref="O5"/>
    </sheetView>
  </sheetViews>
  <sheetFormatPr baseColWidth="10" defaultRowHeight="14.4" x14ac:dyDescent="0.3"/>
  <cols>
    <col min="2" max="7" width="11.5546875" style="75"/>
  </cols>
  <sheetData>
    <row r="2" spans="2:7" x14ac:dyDescent="0.3">
      <c r="B2" s="97"/>
    </row>
    <row r="3" spans="2:7" x14ac:dyDescent="0.3">
      <c r="B3" s="98"/>
      <c r="C3" s="98"/>
      <c r="D3" s="98"/>
      <c r="E3" s="98"/>
      <c r="F3" s="98"/>
      <c r="G3" s="76"/>
    </row>
    <row r="4" spans="2:7" x14ac:dyDescent="0.3">
      <c r="B4" s="190"/>
      <c r="C4" s="190"/>
      <c r="D4" s="190"/>
      <c r="E4" s="190"/>
      <c r="F4" s="190"/>
      <c r="G4" s="191"/>
    </row>
    <row r="5" spans="2:7" s="172" customFormat="1" x14ac:dyDescent="0.3">
      <c r="B5" s="93"/>
      <c r="C5" s="93"/>
      <c r="D5" s="93"/>
      <c r="E5" s="93"/>
      <c r="F5" s="93"/>
      <c r="G5" s="93"/>
    </row>
    <row r="6" spans="2:7" s="172" customFormat="1" x14ac:dyDescent="0.3">
      <c r="B6" s="75"/>
      <c r="C6" s="75"/>
      <c r="D6" s="75"/>
      <c r="E6" s="75"/>
      <c r="F6" s="75"/>
      <c r="G6" s="75"/>
    </row>
    <row r="7" spans="2:7" s="172" customFormat="1" x14ac:dyDescent="0.3">
      <c r="B7" s="75"/>
      <c r="C7" s="75"/>
      <c r="D7" s="75"/>
      <c r="E7" s="75"/>
      <c r="F7" s="75"/>
      <c r="G7" s="75"/>
    </row>
    <row r="8" spans="2:7" s="172" customFormat="1" x14ac:dyDescent="0.3">
      <c r="B8" s="75"/>
      <c r="C8" s="75"/>
      <c r="D8" s="75"/>
      <c r="E8" s="75"/>
      <c r="F8" s="75"/>
      <c r="G8" s="75"/>
    </row>
    <row r="9" spans="2:7" s="172" customFormat="1" x14ac:dyDescent="0.3">
      <c r="B9" s="75"/>
      <c r="C9" s="75"/>
      <c r="D9" s="75"/>
      <c r="E9" s="75"/>
      <c r="F9" s="75"/>
      <c r="G9" s="75"/>
    </row>
    <row r="10" spans="2:7" s="172" customFormat="1" x14ac:dyDescent="0.3">
      <c r="B10" s="75"/>
      <c r="C10" s="75"/>
      <c r="D10" s="75"/>
      <c r="E10" s="75"/>
      <c r="F10" s="75"/>
      <c r="G10" s="75"/>
    </row>
    <row r="11" spans="2:7" s="172" customFormat="1" x14ac:dyDescent="0.3">
      <c r="B11" s="75"/>
      <c r="C11" s="75"/>
      <c r="D11" s="75"/>
      <c r="E11" s="75"/>
      <c r="F11" s="75"/>
      <c r="G11" s="75"/>
    </row>
    <row r="12" spans="2:7" s="172" customFormat="1" x14ac:dyDescent="0.3">
      <c r="B12" s="75"/>
      <c r="C12" s="75"/>
      <c r="D12" s="75"/>
      <c r="E12" s="75"/>
      <c r="F12" s="75"/>
      <c r="G12" s="75"/>
    </row>
    <row r="13" spans="2:7" s="172" customFormat="1" x14ac:dyDescent="0.3">
      <c r="B13" s="75"/>
      <c r="C13" s="75"/>
      <c r="D13" s="75"/>
      <c r="E13" s="75"/>
      <c r="F13" s="75"/>
      <c r="G13" s="75"/>
    </row>
    <row r="111" spans="2:7" x14ac:dyDescent="0.3">
      <c r="B111" s="97"/>
    </row>
    <row r="112" spans="2:7" x14ac:dyDescent="0.3">
      <c r="B112" s="98"/>
      <c r="C112" s="98"/>
      <c r="D112" s="98"/>
      <c r="E112" s="98"/>
      <c r="F112" s="98"/>
      <c r="G112" s="76"/>
    </row>
    <row r="113" spans="2:7" x14ac:dyDescent="0.3">
      <c r="B113" s="190"/>
      <c r="C113" s="190"/>
      <c r="D113" s="190"/>
      <c r="E113" s="190"/>
      <c r="F113" s="190"/>
      <c r="G113" s="191"/>
    </row>
    <row r="114" spans="2:7" s="172" customFormat="1" x14ac:dyDescent="0.3">
      <c r="B114" s="93"/>
      <c r="C114" s="93"/>
      <c r="D114" s="93"/>
      <c r="E114" s="93"/>
      <c r="F114" s="93"/>
      <c r="G114" s="93"/>
    </row>
    <row r="116" spans="2:7" s="172" customFormat="1" x14ac:dyDescent="0.3">
      <c r="B116" s="75"/>
      <c r="C116" s="75"/>
      <c r="D116" s="75"/>
      <c r="E116" s="75"/>
      <c r="F116" s="75"/>
      <c r="G116" s="75"/>
    </row>
    <row r="118" spans="2:7" s="172" customFormat="1" x14ac:dyDescent="0.3">
      <c r="B118" s="75"/>
      <c r="C118" s="75"/>
      <c r="D118" s="75"/>
      <c r="E118" s="75"/>
      <c r="F118" s="75"/>
      <c r="G118" s="75"/>
    </row>
    <row r="120" spans="2:7" s="172" customFormat="1" x14ac:dyDescent="0.3">
      <c r="B120" s="75"/>
      <c r="C120" s="75"/>
      <c r="D120" s="75"/>
      <c r="E120" s="75"/>
      <c r="F120" s="75"/>
      <c r="G120" s="75"/>
    </row>
    <row r="122" spans="2:7" s="172" customFormat="1" x14ac:dyDescent="0.3">
      <c r="B122" s="75"/>
      <c r="C122" s="75"/>
      <c r="D122" s="75"/>
      <c r="E122" s="75"/>
      <c r="F122" s="75"/>
      <c r="G122" s="75"/>
    </row>
    <row r="124" spans="2:7" s="172" customFormat="1" x14ac:dyDescent="0.3">
      <c r="B124" s="75"/>
      <c r="C124" s="75"/>
      <c r="D124" s="75"/>
      <c r="E124" s="75"/>
      <c r="F124" s="75"/>
      <c r="G124" s="75"/>
    </row>
    <row r="222" spans="2:7" x14ac:dyDescent="0.3">
      <c r="B222" s="97"/>
    </row>
    <row r="223" spans="2:7" x14ac:dyDescent="0.3">
      <c r="B223" s="98"/>
      <c r="C223" s="98"/>
      <c r="D223" s="98"/>
      <c r="E223" s="98"/>
      <c r="F223" s="98"/>
      <c r="G223" s="76"/>
    </row>
    <row r="224" spans="2:7" x14ac:dyDescent="0.3">
      <c r="B224" s="190"/>
      <c r="C224" s="190"/>
      <c r="D224" s="190"/>
      <c r="E224" s="190"/>
      <c r="F224" s="190"/>
      <c r="G224" s="191"/>
    </row>
    <row r="225" spans="2:7" s="172" customFormat="1" x14ac:dyDescent="0.3">
      <c r="B225" s="93"/>
      <c r="C225" s="93"/>
      <c r="D225" s="93"/>
      <c r="E225" s="93"/>
      <c r="F225" s="93"/>
      <c r="G225" s="93"/>
    </row>
    <row r="228" spans="2:7" s="172" customFormat="1" x14ac:dyDescent="0.3">
      <c r="B228" s="75"/>
      <c r="C228" s="75"/>
      <c r="D228" s="75"/>
      <c r="E228" s="75"/>
      <c r="F228" s="75"/>
      <c r="G228" s="75"/>
    </row>
    <row r="231" spans="2:7" s="172" customFormat="1" x14ac:dyDescent="0.3">
      <c r="B231" s="75"/>
      <c r="C231" s="75"/>
      <c r="D231" s="75"/>
      <c r="E231" s="75"/>
      <c r="F231" s="75"/>
      <c r="G231" s="75"/>
    </row>
    <row r="234" spans="2:7" s="172" customFormat="1" x14ac:dyDescent="0.3">
      <c r="B234" s="75"/>
      <c r="C234" s="75"/>
      <c r="D234" s="75"/>
      <c r="E234" s="75"/>
      <c r="F234" s="75"/>
      <c r="G234" s="75"/>
    </row>
    <row r="237" spans="2:7" s="172" customFormat="1" x14ac:dyDescent="0.3">
      <c r="B237" s="75"/>
      <c r="C237" s="75"/>
      <c r="D237" s="75"/>
      <c r="E237" s="75"/>
      <c r="F237" s="75"/>
      <c r="G237" s="75"/>
    </row>
    <row r="240" spans="2:7" s="172" customFormat="1" x14ac:dyDescent="0.3">
      <c r="B240" s="75"/>
      <c r="C240" s="75"/>
      <c r="D240" s="75"/>
      <c r="E240" s="75"/>
      <c r="F240" s="75"/>
      <c r="G240" s="75"/>
    </row>
    <row r="333" spans="2:7" x14ac:dyDescent="0.3">
      <c r="B333" s="97"/>
    </row>
    <row r="334" spans="2:7" x14ac:dyDescent="0.3">
      <c r="B334" s="98"/>
      <c r="C334" s="98"/>
      <c r="D334" s="98"/>
      <c r="E334" s="98"/>
      <c r="F334" s="98"/>
      <c r="G334" s="76"/>
    </row>
    <row r="335" spans="2:7" x14ac:dyDescent="0.3">
      <c r="B335" s="190"/>
      <c r="C335" s="190"/>
      <c r="D335" s="190"/>
      <c r="E335" s="190"/>
      <c r="F335" s="190"/>
      <c r="G335" s="191"/>
    </row>
    <row r="336" spans="2:7" s="172" customFormat="1" x14ac:dyDescent="0.3">
      <c r="B336" s="93"/>
      <c r="C336" s="93"/>
      <c r="D336" s="93"/>
      <c r="E336" s="93"/>
      <c r="F336" s="93"/>
      <c r="G336" s="93"/>
    </row>
    <row r="340" spans="2:7" s="172" customFormat="1" x14ac:dyDescent="0.3">
      <c r="B340" s="75"/>
      <c r="C340" s="75"/>
      <c r="D340" s="75"/>
      <c r="E340" s="75"/>
      <c r="F340" s="75"/>
      <c r="G340" s="75"/>
    </row>
    <row r="344" spans="2:7" s="172" customFormat="1" x14ac:dyDescent="0.3">
      <c r="B344" s="75"/>
      <c r="C344" s="75"/>
      <c r="D344" s="75"/>
      <c r="E344" s="75"/>
      <c r="F344" s="75"/>
      <c r="G344" s="75"/>
    </row>
    <row r="348" spans="2:7" s="172" customFormat="1" x14ac:dyDescent="0.3">
      <c r="B348" s="75"/>
      <c r="C348" s="75"/>
      <c r="D348" s="75"/>
      <c r="E348" s="75"/>
      <c r="F348" s="75"/>
      <c r="G348" s="75"/>
    </row>
    <row r="352" spans="2:7" s="172" customFormat="1" x14ac:dyDescent="0.3">
      <c r="B352" s="75"/>
      <c r="C352" s="75"/>
      <c r="D352" s="75"/>
      <c r="E352" s="75"/>
      <c r="F352" s="75"/>
      <c r="G352" s="75"/>
    </row>
    <row r="356" spans="2:7" s="172" customFormat="1" x14ac:dyDescent="0.3">
      <c r="B356" s="75"/>
      <c r="C356" s="75"/>
      <c r="D356" s="75"/>
      <c r="E356" s="75"/>
      <c r="F356" s="75"/>
      <c r="G356" s="7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10</xdr:col>
                    <xdr:colOff>784860</xdr:colOff>
                    <xdr:row>0</xdr:row>
                    <xdr:rowOff>99060</xdr:rowOff>
                  </from>
                  <to>
                    <xdr:col>13</xdr:col>
                    <xdr:colOff>381000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356"/>
  <sheetViews>
    <sheetView workbookViewId="0">
      <selection activeCell="Q6" sqref="Q6"/>
    </sheetView>
  </sheetViews>
  <sheetFormatPr baseColWidth="10" defaultRowHeight="14.4" x14ac:dyDescent="0.3"/>
  <cols>
    <col min="2" max="9" width="11.5546875" style="75"/>
  </cols>
  <sheetData>
    <row r="2" spans="2:9" x14ac:dyDescent="0.3">
      <c r="B2" s="97"/>
    </row>
    <row r="3" spans="2:9" x14ac:dyDescent="0.3">
      <c r="B3" s="98"/>
      <c r="C3" s="98"/>
      <c r="D3" s="98"/>
      <c r="E3" s="98"/>
      <c r="F3" s="98"/>
      <c r="G3" s="98"/>
      <c r="H3" s="98"/>
      <c r="I3" s="76"/>
    </row>
    <row r="4" spans="2:9" x14ac:dyDescent="0.3">
      <c r="B4" s="190"/>
      <c r="C4" s="190"/>
      <c r="D4" s="190"/>
      <c r="E4" s="190"/>
      <c r="F4" s="190"/>
      <c r="G4" s="190"/>
      <c r="H4" s="190"/>
      <c r="I4" s="191"/>
    </row>
    <row r="5" spans="2:9" s="172" customFormat="1" x14ac:dyDescent="0.3">
      <c r="B5" s="93"/>
      <c r="C5" s="93"/>
      <c r="D5" s="93"/>
      <c r="E5" s="93"/>
      <c r="F5" s="93"/>
      <c r="G5" s="93"/>
      <c r="H5" s="93"/>
      <c r="I5" s="93"/>
    </row>
    <row r="6" spans="2:9" s="172" customFormat="1" x14ac:dyDescent="0.3">
      <c r="B6" s="75"/>
      <c r="C6" s="75"/>
      <c r="D6" s="75"/>
      <c r="E6" s="75"/>
      <c r="F6" s="75"/>
      <c r="G6" s="75"/>
      <c r="H6" s="75"/>
      <c r="I6" s="75"/>
    </row>
    <row r="7" spans="2:9" s="172" customFormat="1" x14ac:dyDescent="0.3">
      <c r="B7" s="75"/>
      <c r="C7" s="75"/>
      <c r="D7" s="75"/>
      <c r="E7" s="75"/>
      <c r="F7" s="75"/>
      <c r="G7" s="75"/>
      <c r="H7" s="75"/>
      <c r="I7" s="75"/>
    </row>
    <row r="8" spans="2:9" s="172" customFormat="1" x14ac:dyDescent="0.3">
      <c r="B8" s="75"/>
      <c r="C8" s="75"/>
      <c r="D8" s="75"/>
      <c r="E8" s="75"/>
      <c r="F8" s="75"/>
      <c r="G8" s="75"/>
      <c r="H8" s="75"/>
      <c r="I8" s="75"/>
    </row>
    <row r="9" spans="2:9" s="172" customFormat="1" x14ac:dyDescent="0.3">
      <c r="B9" s="75"/>
      <c r="C9" s="75"/>
      <c r="D9" s="75"/>
      <c r="E9" s="75"/>
      <c r="F9" s="75"/>
      <c r="G9" s="75"/>
      <c r="H9" s="75"/>
      <c r="I9" s="75"/>
    </row>
    <row r="10" spans="2:9" s="172" customFormat="1" x14ac:dyDescent="0.3">
      <c r="B10" s="75"/>
      <c r="C10" s="75"/>
      <c r="D10" s="75"/>
      <c r="E10" s="75"/>
      <c r="F10" s="75"/>
      <c r="G10" s="75"/>
      <c r="H10" s="75"/>
      <c r="I10" s="75"/>
    </row>
    <row r="11" spans="2:9" s="172" customFormat="1" x14ac:dyDescent="0.3">
      <c r="B11" s="75"/>
      <c r="C11" s="75"/>
      <c r="D11" s="75"/>
      <c r="E11" s="75"/>
      <c r="F11" s="75"/>
      <c r="G11" s="75"/>
      <c r="H11" s="75"/>
      <c r="I11" s="75"/>
    </row>
    <row r="12" spans="2:9" s="172" customFormat="1" x14ac:dyDescent="0.3">
      <c r="B12" s="75"/>
      <c r="C12" s="75"/>
      <c r="D12" s="75"/>
      <c r="E12" s="75"/>
      <c r="F12" s="75"/>
      <c r="G12" s="75"/>
      <c r="H12" s="75"/>
      <c r="I12" s="75"/>
    </row>
    <row r="111" spans="2:9" x14ac:dyDescent="0.3">
      <c r="B111" s="97"/>
    </row>
    <row r="112" spans="2:9" x14ac:dyDescent="0.3">
      <c r="B112" s="98"/>
      <c r="C112" s="98"/>
      <c r="D112" s="98"/>
      <c r="E112" s="98"/>
      <c r="F112" s="98"/>
      <c r="G112" s="98"/>
      <c r="H112" s="98"/>
      <c r="I112" s="76"/>
    </row>
    <row r="113" spans="2:9" x14ac:dyDescent="0.3">
      <c r="B113" s="190"/>
      <c r="C113" s="190"/>
      <c r="D113" s="190"/>
      <c r="E113" s="190"/>
      <c r="F113" s="190"/>
      <c r="G113" s="190"/>
      <c r="H113" s="190"/>
      <c r="I113" s="191"/>
    </row>
    <row r="114" spans="2:9" s="172" customFormat="1" x14ac:dyDescent="0.3">
      <c r="B114" s="93"/>
      <c r="C114" s="93"/>
      <c r="D114" s="93"/>
      <c r="E114" s="93"/>
      <c r="F114" s="93"/>
      <c r="G114" s="93"/>
      <c r="H114" s="93"/>
      <c r="I114" s="93"/>
    </row>
    <row r="116" spans="2:9" s="172" customFormat="1" x14ac:dyDescent="0.3">
      <c r="B116" s="75"/>
      <c r="C116" s="75"/>
      <c r="D116" s="75"/>
      <c r="E116" s="75"/>
      <c r="F116" s="75"/>
      <c r="G116" s="75"/>
      <c r="H116" s="75"/>
      <c r="I116" s="75"/>
    </row>
    <row r="118" spans="2:9" s="172" customFormat="1" x14ac:dyDescent="0.3">
      <c r="B118" s="75"/>
      <c r="C118" s="75"/>
      <c r="D118" s="75"/>
      <c r="E118" s="75"/>
      <c r="F118" s="75"/>
      <c r="G118" s="75"/>
      <c r="H118" s="75"/>
      <c r="I118" s="75"/>
    </row>
    <row r="120" spans="2:9" s="172" customFormat="1" x14ac:dyDescent="0.3">
      <c r="B120" s="75"/>
      <c r="C120" s="75"/>
      <c r="D120" s="75"/>
      <c r="E120" s="75"/>
      <c r="F120" s="75"/>
      <c r="G120" s="75"/>
      <c r="H120" s="75"/>
      <c r="I120" s="75"/>
    </row>
    <row r="122" spans="2:9" s="172" customFormat="1" x14ac:dyDescent="0.3">
      <c r="B122" s="75"/>
      <c r="C122" s="75"/>
      <c r="D122" s="75"/>
      <c r="E122" s="75"/>
      <c r="F122" s="75"/>
      <c r="G122" s="75"/>
      <c r="H122" s="75"/>
      <c r="I122" s="75"/>
    </row>
    <row r="124" spans="2:9" s="172" customFormat="1" x14ac:dyDescent="0.3">
      <c r="B124" s="75"/>
      <c r="C124" s="75"/>
      <c r="D124" s="75"/>
      <c r="E124" s="75"/>
      <c r="F124" s="75"/>
      <c r="G124" s="75"/>
      <c r="H124" s="75"/>
      <c r="I124" s="75"/>
    </row>
    <row r="222" spans="2:9" x14ac:dyDescent="0.3">
      <c r="B222" s="97"/>
    </row>
    <row r="223" spans="2:9" x14ac:dyDescent="0.3">
      <c r="B223" s="98"/>
      <c r="C223" s="98"/>
      <c r="D223" s="98"/>
      <c r="E223" s="98"/>
      <c r="F223" s="98"/>
      <c r="G223" s="98"/>
      <c r="H223" s="98"/>
      <c r="I223" s="76"/>
    </row>
    <row r="224" spans="2:9" x14ac:dyDescent="0.3">
      <c r="B224" s="190"/>
      <c r="C224" s="190"/>
      <c r="D224" s="190"/>
      <c r="E224" s="190"/>
      <c r="F224" s="190"/>
      <c r="G224" s="190"/>
      <c r="H224" s="190"/>
      <c r="I224" s="191"/>
    </row>
    <row r="225" spans="2:9" s="172" customFormat="1" x14ac:dyDescent="0.3">
      <c r="B225" s="93"/>
      <c r="C225" s="93"/>
      <c r="D225" s="93"/>
      <c r="E225" s="93"/>
      <c r="F225" s="93"/>
      <c r="G225" s="93"/>
      <c r="H225" s="93"/>
      <c r="I225" s="93"/>
    </row>
    <row r="228" spans="2:9" s="172" customFormat="1" x14ac:dyDescent="0.3">
      <c r="B228" s="75"/>
      <c r="C228" s="75"/>
      <c r="D228" s="75"/>
      <c r="E228" s="75"/>
      <c r="F228" s="75"/>
      <c r="G228" s="75"/>
      <c r="H228" s="75"/>
      <c r="I228" s="75"/>
    </row>
    <row r="231" spans="2:9" s="172" customFormat="1" x14ac:dyDescent="0.3">
      <c r="B231" s="75"/>
      <c r="C231" s="75"/>
      <c r="D231" s="75"/>
      <c r="E231" s="75"/>
      <c r="F231" s="75"/>
      <c r="G231" s="75"/>
      <c r="H231" s="75"/>
      <c r="I231" s="75"/>
    </row>
    <row r="234" spans="2:9" s="172" customFormat="1" x14ac:dyDescent="0.3">
      <c r="B234" s="75"/>
      <c r="C234" s="75"/>
      <c r="D234" s="75"/>
      <c r="E234" s="75"/>
      <c r="F234" s="75"/>
      <c r="G234" s="75"/>
      <c r="H234" s="75"/>
      <c r="I234" s="75"/>
    </row>
    <row r="237" spans="2:9" s="172" customFormat="1" x14ac:dyDescent="0.3">
      <c r="B237" s="75"/>
      <c r="C237" s="75"/>
      <c r="D237" s="75"/>
      <c r="E237" s="75"/>
      <c r="F237" s="75"/>
      <c r="G237" s="75"/>
      <c r="H237" s="75"/>
      <c r="I237" s="75"/>
    </row>
    <row r="240" spans="2:9" s="172" customFormat="1" x14ac:dyDescent="0.3">
      <c r="B240" s="75"/>
      <c r="C240" s="75"/>
      <c r="D240" s="75"/>
      <c r="E240" s="75"/>
      <c r="F240" s="75"/>
      <c r="G240" s="75"/>
      <c r="H240" s="75"/>
      <c r="I240" s="75"/>
    </row>
    <row r="333" spans="2:9" x14ac:dyDescent="0.3">
      <c r="B333" s="97"/>
    </row>
    <row r="334" spans="2:9" x14ac:dyDescent="0.3">
      <c r="B334" s="98"/>
      <c r="C334" s="98"/>
      <c r="D334" s="98"/>
      <c r="E334" s="98"/>
      <c r="F334" s="98"/>
      <c r="G334" s="98"/>
      <c r="H334" s="98"/>
      <c r="I334" s="76"/>
    </row>
    <row r="335" spans="2:9" x14ac:dyDescent="0.3">
      <c r="B335" s="190"/>
      <c r="C335" s="190"/>
      <c r="D335" s="190"/>
      <c r="E335" s="190"/>
      <c r="F335" s="190"/>
      <c r="G335" s="190"/>
      <c r="H335" s="190"/>
      <c r="I335" s="191"/>
    </row>
    <row r="336" spans="2:9" s="172" customFormat="1" x14ac:dyDescent="0.3">
      <c r="B336" s="93"/>
      <c r="C336" s="93"/>
      <c r="D336" s="93"/>
      <c r="E336" s="93"/>
      <c r="F336" s="93"/>
      <c r="G336" s="93"/>
      <c r="H336" s="93"/>
      <c r="I336" s="93"/>
    </row>
    <row r="340" spans="2:9" s="172" customFormat="1" x14ac:dyDescent="0.3">
      <c r="B340" s="75"/>
      <c r="C340" s="75"/>
      <c r="D340" s="75"/>
      <c r="E340" s="75"/>
      <c r="F340" s="75"/>
      <c r="G340" s="75"/>
      <c r="H340" s="75"/>
      <c r="I340" s="75"/>
    </row>
    <row r="344" spans="2:9" s="172" customFormat="1" x14ac:dyDescent="0.3">
      <c r="B344" s="75"/>
      <c r="C344" s="75"/>
      <c r="D344" s="75"/>
      <c r="E344" s="75"/>
      <c r="F344" s="75"/>
      <c r="G344" s="75"/>
      <c r="H344" s="75"/>
      <c r="I344" s="75"/>
    </row>
    <row r="348" spans="2:9" s="172" customFormat="1" x14ac:dyDescent="0.3">
      <c r="B348" s="75"/>
      <c r="C348" s="75"/>
      <c r="D348" s="75"/>
      <c r="E348" s="75"/>
      <c r="F348" s="75"/>
      <c r="G348" s="75"/>
      <c r="H348" s="75"/>
      <c r="I348" s="75"/>
    </row>
    <row r="352" spans="2:9" s="172" customFormat="1" x14ac:dyDescent="0.3">
      <c r="B352" s="75"/>
      <c r="C352" s="75"/>
      <c r="D352" s="75"/>
      <c r="E352" s="75"/>
      <c r="F352" s="75"/>
      <c r="G352" s="75"/>
      <c r="H352" s="75"/>
      <c r="I352" s="75"/>
    </row>
    <row r="356" spans="2:9" s="172" customFormat="1" x14ac:dyDescent="0.3">
      <c r="B356" s="75"/>
      <c r="C356" s="75"/>
      <c r="D356" s="75"/>
      <c r="E356" s="75"/>
      <c r="F356" s="75"/>
      <c r="G356" s="75"/>
      <c r="H356" s="75"/>
      <c r="I356" s="7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12</xdr:col>
                    <xdr:colOff>457200</xdr:colOff>
                    <xdr:row>0</xdr:row>
                    <xdr:rowOff>152400</xdr:rowOff>
                  </from>
                  <to>
                    <xdr:col>15</xdr:col>
                    <xdr:colOff>274320</xdr:colOff>
                    <xdr:row>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E66" sqref="E66:E77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201" t="s">
        <v>78</v>
      </c>
      <c r="C2" s="201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0.04/RW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/>
      <c r="F7" s="36">
        <f>+IF($F$6="0.03/RW",0.03/$E$2,0.04/$E$2)</f>
        <v>3.3333333333333335E-3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/>
      <c r="F8" s="36">
        <f t="shared" ref="F8:F17" si="2">+IF($F$6="0.03/RW",0.03/$E$2,0.04/$E$2)</f>
        <v>3.3333333333333335E-3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/>
      <c r="F9" s="36">
        <f t="shared" si="2"/>
        <v>3.3333333333333335E-3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/>
      <c r="F10" s="36">
        <f t="shared" si="2"/>
        <v>3.3333333333333335E-3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/>
      <c r="F11" s="36">
        <f t="shared" si="2"/>
        <v>3.3333333333333335E-3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/>
      <c r="F12" s="36">
        <f t="shared" si="2"/>
        <v>3.3333333333333335E-3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/>
      <c r="F13" s="36">
        <f t="shared" si="2"/>
        <v>3.3333333333333335E-3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/>
      <c r="F14" s="36">
        <f t="shared" si="2"/>
        <v>3.3333333333333335E-3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/>
      <c r="F15" s="36">
        <f t="shared" si="2"/>
        <v>3.3333333333333335E-3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/>
      <c r="F16" s="36">
        <f t="shared" si="2"/>
        <v>3.3333333333333335E-3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/>
      <c r="F17" s="36">
        <f t="shared" si="2"/>
        <v>3.3333333333333335E-3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0.04/RW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/>
      <c r="F26" s="36">
        <f>+F7</f>
        <v>3.3333333333333335E-3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/>
      <c r="F27" s="36">
        <f t="shared" ref="F27:F36" si="5">+F8</f>
        <v>3.3333333333333335E-3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/>
      <c r="F28" s="36">
        <f t="shared" si="5"/>
        <v>3.3333333333333335E-3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/>
      <c r="F29" s="36">
        <f t="shared" si="5"/>
        <v>3.3333333333333335E-3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/>
      <c r="F30" s="36">
        <f t="shared" si="5"/>
        <v>3.3333333333333335E-3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/>
      <c r="F31" s="36">
        <f t="shared" si="5"/>
        <v>3.3333333333333335E-3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/>
      <c r="F32" s="36">
        <f t="shared" si="5"/>
        <v>3.3333333333333335E-3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/>
      <c r="F33" s="36">
        <f t="shared" si="5"/>
        <v>3.3333333333333335E-3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/>
      <c r="F34" s="36">
        <f t="shared" si="5"/>
        <v>3.3333333333333335E-3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/>
      <c r="F35" s="36">
        <f t="shared" si="5"/>
        <v>3.3333333333333335E-3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/>
      <c r="F36" s="36">
        <f t="shared" si="5"/>
        <v>3.3333333333333335E-3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0.04/RW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/>
      <c r="F45" s="36">
        <f>+IF($F$44="0.03/RW",0.03/$E$2,0.04/$E$2)</f>
        <v>3.3333333333333335E-3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/>
      <c r="F46" s="36">
        <f t="shared" ref="F46:F55" si="8">+IF($F$44="0.03/RW",0.03/$E$2,0.04/$E$2)</f>
        <v>3.3333333333333335E-3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/>
      <c r="F47" s="36">
        <f t="shared" si="8"/>
        <v>3.3333333333333335E-3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/>
      <c r="F48" s="36">
        <f t="shared" si="8"/>
        <v>3.3333333333333335E-3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/>
      <c r="F49" s="36">
        <f t="shared" si="8"/>
        <v>3.3333333333333335E-3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/>
      <c r="F50" s="36">
        <f t="shared" si="8"/>
        <v>3.3333333333333335E-3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/>
      <c r="F51" s="36">
        <f t="shared" si="8"/>
        <v>3.3333333333333335E-3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/>
      <c r="F52" s="36">
        <f t="shared" si="8"/>
        <v>3.3333333333333335E-3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/>
      <c r="F53" s="36">
        <f t="shared" si="8"/>
        <v>3.3333333333333335E-3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/>
      <c r="F54" s="36">
        <f t="shared" si="8"/>
        <v>3.3333333333333335E-3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/>
      <c r="F55" s="36">
        <f t="shared" si="8"/>
        <v>3.3333333333333335E-3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0.04/RW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/>
      <c r="F66" s="36">
        <f>+F45</f>
        <v>3.3333333333333335E-3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/>
      <c r="F67" s="36">
        <f t="shared" ref="F67:F76" si="11">+F46</f>
        <v>3.3333333333333335E-3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/>
      <c r="F68" s="36">
        <f t="shared" si="11"/>
        <v>3.3333333333333335E-3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/>
      <c r="F69" s="36">
        <f t="shared" si="11"/>
        <v>3.3333333333333335E-3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/>
      <c r="F70" s="36">
        <f t="shared" si="11"/>
        <v>3.3333333333333335E-3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/>
      <c r="F71" s="36">
        <f t="shared" si="11"/>
        <v>3.3333333333333335E-3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/>
      <c r="F72" s="36">
        <f t="shared" si="11"/>
        <v>3.3333333333333335E-3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/>
      <c r="F73" s="36">
        <f t="shared" si="11"/>
        <v>3.3333333333333335E-3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/>
      <c r="F74" s="36">
        <f t="shared" si="11"/>
        <v>3.3333333333333335E-3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/>
      <c r="F75" s="36">
        <f t="shared" si="11"/>
        <v>3.3333333333333335E-3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/>
      <c r="F76" s="36">
        <f t="shared" si="11"/>
        <v>3.3333333333333335E-3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topLeftCell="A43" zoomScale="80" zoomScaleNormal="80" workbookViewId="0">
      <selection activeCell="G60" sqref="G60:G70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4" t="s">
        <v>194</v>
      </c>
      <c r="N2" s="204"/>
      <c r="O2" s="204"/>
      <c r="P2" s="204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/>
      <c r="C6" s="185"/>
      <c r="D6" s="185"/>
      <c r="E6" s="185"/>
      <c r="F6" s="185"/>
      <c r="G6" s="186"/>
      <c r="H6" s="42" t="e">
        <f>+E6/(1.2*F6)</f>
        <v>#DIV/0!</v>
      </c>
      <c r="I6" s="47">
        <f>+'Centers of Mass and Rigidity'!L5-'Centers of Mass and Rigidity'!F5</f>
        <v>0</v>
      </c>
      <c r="J6" s="47">
        <f>+'Centers of Mass and Rigidity'!M5-'Centers of Mass and Rigidity'!G5</f>
        <v>0</v>
      </c>
      <c r="K6" s="172" t="e">
        <f>IF(+'Sismo UBC-94 y Dinamico'!O15=0,'Sismo UBC-94 y Dinamico'!M15,'Sismo UBC-94 y Dinamico'!O15)</f>
        <v>#DIV/0!</v>
      </c>
      <c r="L6" s="172" t="e">
        <f>IF(+'Sismo UBC-94 y Dinamico'!P15=0,'Sismo UBC-94 y Dinamico'!N15,'Sismo UBC-94 y Dinamico'!P15)</f>
        <v>#DIV/0!</v>
      </c>
      <c r="M6" s="52" t="e">
        <f>0.05*N6*K6*(H6-1)+0.05*O6*L6*(H6-1)</f>
        <v>#DIV/0!</v>
      </c>
      <c r="N6">
        <f>+$N$3</f>
        <v>31</v>
      </c>
      <c r="O6">
        <f>+$O$3</f>
        <v>23</v>
      </c>
      <c r="P6" s="95" t="e">
        <f>+K6*(J6+0.05*N6*H6)-K6*(J6+0.05*N6)</f>
        <v>#DIV/0!</v>
      </c>
      <c r="Q6" s="95" t="e">
        <f>+L6*(I6+0.05*O6*H6)-L6*(I6+0.05*O6)</f>
        <v>#DIV/0!</v>
      </c>
      <c r="R6" s="95" t="e">
        <f>+P6+Q6</f>
        <v>#DIV/0!</v>
      </c>
    </row>
    <row r="7" spans="2:18" x14ac:dyDescent="0.3">
      <c r="B7" s="184"/>
      <c r="C7" s="185"/>
      <c r="D7" s="185"/>
      <c r="E7" s="185"/>
      <c r="F7" s="185"/>
      <c r="G7" s="186"/>
      <c r="H7" s="42" t="e">
        <f t="shared" ref="H7:H16" si="0">+E7/(1.2*F7)</f>
        <v>#DIV/0!</v>
      </c>
      <c r="I7" s="47">
        <f>+'Centers of Mass and Rigidity'!L6-'Centers of Mass and Rigidity'!F6</f>
        <v>0</v>
      </c>
      <c r="J7" s="47">
        <f>+'Centers of Mass and Rigidity'!M6-'Centers of Mass and Rigidity'!G6</f>
        <v>0</v>
      </c>
      <c r="K7" s="172" t="e">
        <f>IF(+'Sismo UBC-94 y Dinamico'!O16=0,'Sismo UBC-94 y Dinamico'!M16,'Sismo UBC-94 y Dinamico'!O16)</f>
        <v>#DIV/0!</v>
      </c>
      <c r="L7" s="172" t="e">
        <f>IF(+'Sismo UBC-94 y Dinamico'!P16=0,'Sismo UBC-94 y Dinamico'!N16,'Sismo UBC-94 y Dinamico'!P16)</f>
        <v>#DIV/0!</v>
      </c>
      <c r="M7" s="52" t="e">
        <f>0.05*N7*K7*(H7-1)+0.05*O7*L7*(H7-1)</f>
        <v>#DIV/0!</v>
      </c>
      <c r="N7" s="172">
        <f t="shared" ref="N7:N16" si="1">+$N$3</f>
        <v>31</v>
      </c>
      <c r="O7" s="172">
        <f t="shared" ref="O7:O16" si="2">+$O$3</f>
        <v>23</v>
      </c>
      <c r="P7" s="95" t="e">
        <f>+K7*(J7+0.05*N7*H7)-K7*(J7+0.05*N7)</f>
        <v>#DIV/0!</v>
      </c>
      <c r="Q7" s="95" t="e">
        <f>+L7*(I7+0.05*O7*H7)-L7*(I7+0.05*O7)</f>
        <v>#DIV/0!</v>
      </c>
      <c r="R7" s="95" t="e">
        <f>+P7+Q7</f>
        <v>#DIV/0!</v>
      </c>
    </row>
    <row r="8" spans="2:18" x14ac:dyDescent="0.3">
      <c r="B8" s="184"/>
      <c r="C8" s="185"/>
      <c r="D8" s="185"/>
      <c r="E8" s="185"/>
      <c r="F8" s="185"/>
      <c r="G8" s="186"/>
      <c r="H8" s="42" t="e">
        <f t="shared" si="0"/>
        <v>#DIV/0!</v>
      </c>
      <c r="I8" s="47">
        <f>+'Centers of Mass and Rigidity'!L7-'Centers of Mass and Rigidity'!F7</f>
        <v>0</v>
      </c>
      <c r="J8" s="47">
        <f>+'Centers of Mass and Rigidity'!M7-'Centers of Mass and Rigidity'!G7</f>
        <v>0</v>
      </c>
      <c r="K8" s="172" t="e">
        <f>IF(+'Sismo UBC-94 y Dinamico'!O17=0,'Sismo UBC-94 y Dinamico'!M17,'Sismo UBC-94 y Dinamico'!O17)</f>
        <v>#DIV/0!</v>
      </c>
      <c r="L8" s="172" t="e">
        <f>IF(+'Sismo UBC-94 y Dinamico'!P17=0,'Sismo UBC-94 y Dinamico'!N17,'Sismo UBC-94 y Dinamico'!P17)</f>
        <v>#DIV/0!</v>
      </c>
      <c r="M8" s="52" t="e">
        <f>0.05*N8*K8*(H8-1)+0.05*O8*L8*(H8-1)</f>
        <v>#DIV/0!</v>
      </c>
      <c r="N8" s="172">
        <f t="shared" si="1"/>
        <v>31</v>
      </c>
      <c r="O8" s="172">
        <f t="shared" si="2"/>
        <v>23</v>
      </c>
      <c r="P8" s="95" t="e">
        <f>+K8*(J8+0.05*N8*H8)-K8*(J8+0.05*N8)</f>
        <v>#DIV/0!</v>
      </c>
      <c r="Q8" s="95" t="e">
        <f>+L8*(I8+0.05*O8*H8)-L8*(I8+0.05*O8)</f>
        <v>#DIV/0!</v>
      </c>
      <c r="R8" s="95" t="e">
        <f>+P8+Q8</f>
        <v>#DIV/0!</v>
      </c>
    </row>
    <row r="9" spans="2:18" x14ac:dyDescent="0.3">
      <c r="B9" s="184"/>
      <c r="C9" s="185"/>
      <c r="D9" s="185"/>
      <c r="E9" s="185"/>
      <c r="F9" s="185"/>
      <c r="G9" s="186"/>
      <c r="H9" s="42" t="e">
        <f t="shared" si="0"/>
        <v>#DIV/0!</v>
      </c>
      <c r="I9" s="47">
        <f>+'Centers of Mass and Rigidity'!L8-'Centers of Mass and Rigidity'!F8</f>
        <v>0</v>
      </c>
      <c r="J9" s="47">
        <f>+'Centers of Mass and Rigidity'!M8-'Centers of Mass and Rigidity'!G8</f>
        <v>0</v>
      </c>
      <c r="K9" s="172" t="e">
        <f>IF(+'Sismo UBC-94 y Dinamico'!O18=0,'Sismo UBC-94 y Dinamico'!M18,'Sismo UBC-94 y Dinamico'!O18)</f>
        <v>#DIV/0!</v>
      </c>
      <c r="L9" s="172" t="e">
        <f>IF(+'Sismo UBC-94 y Dinamico'!P18=0,'Sismo UBC-94 y Dinamico'!N18,'Sismo UBC-94 y Dinamico'!P18)</f>
        <v>#DIV/0!</v>
      </c>
      <c r="M9" s="52" t="e">
        <f>0.05*N9*K9*(H9-1)+0.05*O9*L9*(H9-1)</f>
        <v>#DIV/0!</v>
      </c>
      <c r="N9" s="172">
        <f t="shared" si="1"/>
        <v>31</v>
      </c>
      <c r="O9" s="172">
        <f t="shared" si="2"/>
        <v>23</v>
      </c>
      <c r="P9" s="95" t="e">
        <f>+K9*(J9+0.05*N9*H9)-K9*(J9+0.05*N9)</f>
        <v>#DIV/0!</v>
      </c>
      <c r="Q9" s="95" t="e">
        <f>+L9*(I9+0.05*O9*H9)-L9*(I9+0.05*O9)</f>
        <v>#DIV/0!</v>
      </c>
      <c r="R9" s="95" t="e">
        <f>+P9+Q9</f>
        <v>#DIV/0!</v>
      </c>
    </row>
    <row r="10" spans="2:18" x14ac:dyDescent="0.3">
      <c r="B10" s="184"/>
      <c r="C10" s="185"/>
      <c r="D10" s="185"/>
      <c r="E10" s="185"/>
      <c r="F10" s="185"/>
      <c r="G10" s="186"/>
      <c r="H10" s="42" t="e">
        <f t="shared" si="0"/>
        <v>#DIV/0!</v>
      </c>
      <c r="I10" s="47">
        <f>+'Centers of Mass and Rigidity'!L9-'Centers of Mass and Rigidity'!F9</f>
        <v>0</v>
      </c>
      <c r="J10" s="47">
        <f>+'Centers of Mass and Rigidity'!M9-'Centers of Mass and Rigidity'!G9</f>
        <v>0</v>
      </c>
      <c r="K10" s="172" t="e">
        <f>IF(+'Sismo UBC-94 y Dinamico'!O19=0,'Sismo UBC-94 y Dinamico'!M19,'Sismo UBC-94 y Dinamico'!O19)</f>
        <v>#DIV/0!</v>
      </c>
      <c r="L10" s="172" t="e">
        <f>IF(+'Sismo UBC-94 y Dinamico'!P19=0,'Sismo UBC-94 y Dinamico'!N19,'Sismo UBC-94 y Dinamico'!P19)</f>
        <v>#DIV/0!</v>
      </c>
      <c r="M10" s="52" t="e">
        <f>0.05*N10*K10*(H10-1)+0.05*O10*L10*(H10-1)</f>
        <v>#DIV/0!</v>
      </c>
      <c r="N10" s="172">
        <f t="shared" si="1"/>
        <v>31</v>
      </c>
      <c r="O10" s="172">
        <f t="shared" si="2"/>
        <v>23</v>
      </c>
      <c r="P10" s="95" t="e">
        <f>+K10*(J10+0.05*N10*H10)-K10*(J10+0.05*N10)</f>
        <v>#DIV/0!</v>
      </c>
      <c r="Q10" s="95" t="e">
        <f>+L10*(I10+0.05*O10*H10)-L10*(I10+0.05*O10)</f>
        <v>#DIV/0!</v>
      </c>
      <c r="R10" s="95" t="e">
        <f>+P10+Q10</f>
        <v>#DIV/0!</v>
      </c>
    </row>
    <row r="11" spans="2:18" s="151" customFormat="1" x14ac:dyDescent="0.3">
      <c r="B11" s="184"/>
      <c r="C11" s="185"/>
      <c r="D11" s="185"/>
      <c r="E11" s="185"/>
      <c r="F11" s="185"/>
      <c r="G11" s="186"/>
      <c r="H11" s="42" t="e">
        <f t="shared" si="0"/>
        <v>#DIV/0!</v>
      </c>
      <c r="I11" s="47">
        <f>+'Centers of Mass and Rigidity'!L10-'Centers of Mass and Rigidity'!F10</f>
        <v>0</v>
      </c>
      <c r="J11" s="47">
        <f>+'Centers of Mass and Rigidity'!M10-'Centers of Mass and Rigidity'!G10</f>
        <v>0</v>
      </c>
      <c r="K11" s="172" t="e">
        <f>IF(+'Sismo UBC-94 y Dinamico'!O20=0,'Sismo UBC-94 y Dinamico'!M20,'Sismo UBC-94 y Dinamico'!O20)</f>
        <v>#DIV/0!</v>
      </c>
      <c r="L11" s="172" t="e">
        <f>IF(+'Sismo UBC-94 y Dinamico'!P20=0,'Sismo UBC-94 y Dinamico'!N20,'Sismo UBC-94 y Dinamico'!P20)</f>
        <v>#DIV/0!</v>
      </c>
      <c r="M11" s="52" t="e">
        <f t="shared" ref="M11:M16" si="3">0.05*N11*K11*(H11-1)+0.05*O11*L11*(H11-1)</f>
        <v>#DIV/0!</v>
      </c>
      <c r="N11" s="172">
        <f t="shared" si="1"/>
        <v>31</v>
      </c>
      <c r="O11" s="172">
        <f t="shared" si="2"/>
        <v>23</v>
      </c>
      <c r="P11" s="95" t="e">
        <f t="shared" ref="P11:P16" si="4">+K11*(J11+0.05*N11*H11)-K11*(J11+0.05*N11)</f>
        <v>#DIV/0!</v>
      </c>
      <c r="Q11" s="95" t="e">
        <f t="shared" ref="Q11:Q16" si="5">+L11*(I11+0.05*O11*H11)-L11*(I11+0.05*O11)</f>
        <v>#DIV/0!</v>
      </c>
      <c r="R11" s="95" t="e">
        <f t="shared" ref="R11:R16" si="6">+P11+Q11</f>
        <v>#DIV/0!</v>
      </c>
    </row>
    <row r="12" spans="2:18" s="151" customFormat="1" x14ac:dyDescent="0.3">
      <c r="B12" s="184"/>
      <c r="C12" s="185"/>
      <c r="D12" s="185"/>
      <c r="E12" s="185"/>
      <c r="F12" s="185"/>
      <c r="G12" s="186"/>
      <c r="H12" s="42" t="e">
        <f t="shared" si="0"/>
        <v>#DIV/0!</v>
      </c>
      <c r="I12" s="47">
        <f>+'Centers of Mass and Rigidity'!L11-'Centers of Mass and Rigidity'!F11</f>
        <v>0</v>
      </c>
      <c r="J12" s="47">
        <f>+'Centers of Mass and Rigidity'!M11-'Centers of Mass and Rigidity'!G11</f>
        <v>0</v>
      </c>
      <c r="K12" s="172" t="e">
        <f>IF(+'Sismo UBC-94 y Dinamico'!O21=0,'Sismo UBC-94 y Dinamico'!M21,'Sismo UBC-94 y Dinamico'!O21)</f>
        <v>#DIV/0!</v>
      </c>
      <c r="L12" s="172" t="e">
        <f>IF(+'Sismo UBC-94 y Dinamico'!P21=0,'Sismo UBC-94 y Dinamico'!N21,'Sismo UBC-94 y Dinamico'!P21)</f>
        <v>#DIV/0!</v>
      </c>
      <c r="M12" s="52" t="e">
        <f t="shared" si="3"/>
        <v>#DIV/0!</v>
      </c>
      <c r="N12" s="172">
        <f t="shared" si="1"/>
        <v>31</v>
      </c>
      <c r="O12" s="172">
        <f t="shared" si="2"/>
        <v>23</v>
      </c>
      <c r="P12" s="95" t="e">
        <f t="shared" si="4"/>
        <v>#DIV/0!</v>
      </c>
      <c r="Q12" s="95" t="e">
        <f t="shared" si="5"/>
        <v>#DIV/0!</v>
      </c>
      <c r="R12" s="95" t="e">
        <f t="shared" si="6"/>
        <v>#DIV/0!</v>
      </c>
    </row>
    <row r="13" spans="2:18" s="151" customFormat="1" x14ac:dyDescent="0.3">
      <c r="B13" s="184"/>
      <c r="C13" s="185"/>
      <c r="D13" s="185"/>
      <c r="E13" s="185"/>
      <c r="F13" s="185"/>
      <c r="G13" s="186"/>
      <c r="H13" s="42" t="e">
        <f t="shared" si="0"/>
        <v>#DIV/0!</v>
      </c>
      <c r="I13" s="47">
        <f>+'Centers of Mass and Rigidity'!L12-'Centers of Mass and Rigidity'!F12</f>
        <v>0</v>
      </c>
      <c r="J13" s="47">
        <f>+'Centers of Mass and Rigidity'!M12-'Centers of Mass and Rigidity'!G12</f>
        <v>0</v>
      </c>
      <c r="K13" s="172" t="e">
        <f>IF(+'Sismo UBC-94 y Dinamico'!O22=0,'Sismo UBC-94 y Dinamico'!M22,'Sismo UBC-94 y Dinamico'!O22)</f>
        <v>#DIV/0!</v>
      </c>
      <c r="L13" s="172" t="e">
        <f>IF(+'Sismo UBC-94 y Dinamico'!P22=0,'Sismo UBC-94 y Dinamico'!N22,'Sismo UBC-94 y Dinamico'!P22)</f>
        <v>#DIV/0!</v>
      </c>
      <c r="M13" s="52" t="e">
        <f t="shared" si="3"/>
        <v>#DIV/0!</v>
      </c>
      <c r="N13" s="172">
        <f t="shared" si="1"/>
        <v>31</v>
      </c>
      <c r="O13" s="172">
        <f t="shared" si="2"/>
        <v>23</v>
      </c>
      <c r="P13" s="95" t="e">
        <f t="shared" si="4"/>
        <v>#DIV/0!</v>
      </c>
      <c r="Q13" s="95" t="e">
        <f t="shared" si="5"/>
        <v>#DIV/0!</v>
      </c>
      <c r="R13" s="95" t="e">
        <f t="shared" si="6"/>
        <v>#DIV/0!</v>
      </c>
    </row>
    <row r="14" spans="2:18" s="151" customFormat="1" x14ac:dyDescent="0.3">
      <c r="B14" s="184"/>
      <c r="C14" s="185"/>
      <c r="D14" s="185"/>
      <c r="E14" s="185"/>
      <c r="F14" s="185"/>
      <c r="G14" s="186"/>
      <c r="H14" s="42" t="e">
        <f t="shared" si="0"/>
        <v>#DIV/0!</v>
      </c>
      <c r="I14" s="47">
        <f>+'Centers of Mass and Rigidity'!L13-'Centers of Mass and Rigidity'!F13</f>
        <v>0</v>
      </c>
      <c r="J14" s="47">
        <f>+'Centers of Mass and Rigidity'!M13-'Centers of Mass and Rigidity'!G13</f>
        <v>0</v>
      </c>
      <c r="K14" s="172" t="e">
        <f>IF(+'Sismo UBC-94 y Dinamico'!O23=0,'Sismo UBC-94 y Dinamico'!M23,'Sismo UBC-94 y Dinamico'!O23)</f>
        <v>#DIV/0!</v>
      </c>
      <c r="L14" s="172" t="e">
        <f>IF(+'Sismo UBC-94 y Dinamico'!P23=0,'Sismo UBC-94 y Dinamico'!N23,'Sismo UBC-94 y Dinamico'!P23)</f>
        <v>#DIV/0!</v>
      </c>
      <c r="M14" s="52" t="e">
        <f t="shared" si="3"/>
        <v>#DIV/0!</v>
      </c>
      <c r="N14" s="172">
        <f t="shared" si="1"/>
        <v>31</v>
      </c>
      <c r="O14" s="172">
        <f t="shared" si="2"/>
        <v>23</v>
      </c>
      <c r="P14" s="95" t="e">
        <f t="shared" si="4"/>
        <v>#DIV/0!</v>
      </c>
      <c r="Q14" s="95" t="e">
        <f t="shared" si="5"/>
        <v>#DIV/0!</v>
      </c>
      <c r="R14" s="95" t="e">
        <f t="shared" si="6"/>
        <v>#DIV/0!</v>
      </c>
    </row>
    <row r="15" spans="2:18" s="151" customFormat="1" x14ac:dyDescent="0.3">
      <c r="B15" s="184"/>
      <c r="C15" s="185"/>
      <c r="D15" s="185"/>
      <c r="E15" s="185"/>
      <c r="F15" s="185"/>
      <c r="G15" s="186"/>
      <c r="H15" s="42" t="e">
        <f t="shared" si="0"/>
        <v>#DIV/0!</v>
      </c>
      <c r="I15" s="47">
        <f>+'Centers of Mass and Rigidity'!L14-'Centers of Mass and Rigidity'!F14</f>
        <v>0</v>
      </c>
      <c r="J15" s="47">
        <f>+'Centers of Mass and Rigidity'!M14-'Centers of Mass and Rigidity'!G14</f>
        <v>0</v>
      </c>
      <c r="K15" s="172" t="e">
        <f>IF(+'Sismo UBC-94 y Dinamico'!O24=0,'Sismo UBC-94 y Dinamico'!M24,'Sismo UBC-94 y Dinamico'!O24)</f>
        <v>#DIV/0!</v>
      </c>
      <c r="L15" s="172" t="e">
        <f>IF(+'Sismo UBC-94 y Dinamico'!P24=0,'Sismo UBC-94 y Dinamico'!N24,'Sismo UBC-94 y Dinamico'!P24)</f>
        <v>#DIV/0!</v>
      </c>
      <c r="M15" s="52" t="e">
        <f t="shared" si="3"/>
        <v>#DIV/0!</v>
      </c>
      <c r="N15" s="172">
        <f t="shared" si="1"/>
        <v>31</v>
      </c>
      <c r="O15" s="172">
        <f t="shared" si="2"/>
        <v>23</v>
      </c>
      <c r="P15" s="95" t="e">
        <f t="shared" si="4"/>
        <v>#DIV/0!</v>
      </c>
      <c r="Q15" s="95" t="e">
        <f t="shared" si="5"/>
        <v>#DIV/0!</v>
      </c>
      <c r="R15" s="95" t="e">
        <f t="shared" si="6"/>
        <v>#DIV/0!</v>
      </c>
    </row>
    <row r="16" spans="2:18" s="151" customFormat="1" x14ac:dyDescent="0.3">
      <c r="B16" s="187"/>
      <c r="C16" s="188"/>
      <c r="D16" s="188"/>
      <c r="E16" s="188"/>
      <c r="F16" s="188"/>
      <c r="G16" s="189"/>
      <c r="H16" s="42" t="e">
        <f t="shared" si="0"/>
        <v>#DIV/0!</v>
      </c>
      <c r="I16" s="47">
        <f>+'Centers of Mass and Rigidity'!L15-'Centers of Mass and Rigidity'!F15</f>
        <v>0</v>
      </c>
      <c r="J16" s="47">
        <f>+'Centers of Mass and Rigidity'!M15-'Centers of Mass and Rigidity'!G15</f>
        <v>0</v>
      </c>
      <c r="K16" s="172" t="e">
        <f>IF(+'Sismo UBC-94 y Dinamico'!O25=0,'Sismo UBC-94 y Dinamico'!M25,'Sismo UBC-94 y Dinamico'!O25)</f>
        <v>#DIV/0!</v>
      </c>
      <c r="L16" s="172" t="e">
        <f>IF(+'Sismo UBC-94 y Dinamico'!P25=0,'Sismo UBC-94 y Dinamico'!N25,'Sismo UBC-94 y Dinamico'!P25)</f>
        <v>#DIV/0!</v>
      </c>
      <c r="M16" s="52" t="e">
        <f t="shared" si="3"/>
        <v>#DIV/0!</v>
      </c>
      <c r="N16" s="172">
        <f t="shared" si="1"/>
        <v>31</v>
      </c>
      <c r="O16" s="172">
        <f t="shared" si="2"/>
        <v>23</v>
      </c>
      <c r="P16" s="95" t="e">
        <f t="shared" si="4"/>
        <v>#DIV/0!</v>
      </c>
      <c r="Q16" s="95" t="e">
        <f t="shared" si="5"/>
        <v>#DIV/0!</v>
      </c>
      <c r="R16" s="95" t="e">
        <f t="shared" si="6"/>
        <v>#DIV/0!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/>
      <c r="C24" s="185"/>
      <c r="D24" s="185"/>
      <c r="E24" s="185"/>
      <c r="F24" s="185"/>
      <c r="G24" s="186"/>
      <c r="H24" s="42" t="e">
        <f>+E24/(1.2*F24)</f>
        <v>#DIV/0!</v>
      </c>
      <c r="I24" s="47">
        <f t="shared" ref="I24:L28" si="7">+I6</f>
        <v>0</v>
      </c>
      <c r="J24" s="47">
        <f t="shared" si="7"/>
        <v>0</v>
      </c>
      <c r="K24" s="48" t="e">
        <f>+K6</f>
        <v>#DIV/0!</v>
      </c>
      <c r="L24" s="48" t="e">
        <f>+L6</f>
        <v>#DIV/0!</v>
      </c>
      <c r="M24" s="52" t="e">
        <f>-0.05*N24*K24*(H24-1)-0.05*O24*L24*(H24-1)</f>
        <v>#DIV/0!</v>
      </c>
      <c r="N24" s="172">
        <f>+$N$3</f>
        <v>31</v>
      </c>
      <c r="O24" s="172">
        <f>+$O$3</f>
        <v>23</v>
      </c>
      <c r="P24" s="95" t="e">
        <f>+K24*(J24-0.05*N24*H24)-K24*(J24-0.05*N24)</f>
        <v>#DIV/0!</v>
      </c>
      <c r="Q24" s="95" t="e">
        <f>+L24*(I24-0.05*O24*H24)-L24*(I24-0.05*O24)</f>
        <v>#DIV/0!</v>
      </c>
      <c r="R24" s="95" t="e">
        <f>+P24+Q24</f>
        <v>#DIV/0!</v>
      </c>
    </row>
    <row r="25" spans="2:18" x14ac:dyDescent="0.3">
      <c r="B25" s="184"/>
      <c r="C25" s="185"/>
      <c r="D25" s="185"/>
      <c r="E25" s="185"/>
      <c r="F25" s="185"/>
      <c r="G25" s="186"/>
      <c r="H25" s="42" t="e">
        <f>+E25/(1.2*F25)</f>
        <v>#DIV/0!</v>
      </c>
      <c r="I25" s="47">
        <f t="shared" si="7"/>
        <v>0</v>
      </c>
      <c r="J25" s="47">
        <f t="shared" si="7"/>
        <v>0</v>
      </c>
      <c r="K25" s="48" t="e">
        <f t="shared" si="7"/>
        <v>#DIV/0!</v>
      </c>
      <c r="L25" s="48" t="e">
        <f t="shared" si="7"/>
        <v>#DIV/0!</v>
      </c>
      <c r="M25" s="52" t="e">
        <f>-0.05*N25*K25*(H25-1)-0.05*O25*L25*(H25-1)</f>
        <v>#DIV/0!</v>
      </c>
      <c r="N25" s="172">
        <f t="shared" ref="N25:N34" si="8">+$N$3</f>
        <v>31</v>
      </c>
      <c r="O25" s="172">
        <f t="shared" ref="O25:O34" si="9">+$O$3</f>
        <v>23</v>
      </c>
      <c r="P25" s="95" t="e">
        <f>+K25*(J25-0.05*N25*H25)-K25*(J25-0.05*N25)</f>
        <v>#DIV/0!</v>
      </c>
      <c r="Q25" s="95" t="e">
        <f>+L25*(I25-0.05*O25*H25)-L25*(I25-0.05*O25)</f>
        <v>#DIV/0!</v>
      </c>
      <c r="R25" s="95" t="e">
        <f>+P25+Q25</f>
        <v>#DIV/0!</v>
      </c>
    </row>
    <row r="26" spans="2:18" x14ac:dyDescent="0.3">
      <c r="B26" s="184"/>
      <c r="C26" s="185"/>
      <c r="D26" s="185"/>
      <c r="E26" s="185"/>
      <c r="F26" s="185"/>
      <c r="G26" s="186"/>
      <c r="H26" s="42" t="e">
        <f>+E26/(1.2*F26)</f>
        <v>#DIV/0!</v>
      </c>
      <c r="I26" s="47">
        <f t="shared" si="7"/>
        <v>0</v>
      </c>
      <c r="J26" s="47">
        <f t="shared" si="7"/>
        <v>0</v>
      </c>
      <c r="K26" s="48" t="e">
        <f t="shared" si="7"/>
        <v>#DIV/0!</v>
      </c>
      <c r="L26" s="48" t="e">
        <f t="shared" si="7"/>
        <v>#DIV/0!</v>
      </c>
      <c r="M26" s="52" t="e">
        <f>-0.05*N26*K26*(H26-1)-0.05*O26*L26*(H26-1)</f>
        <v>#DIV/0!</v>
      </c>
      <c r="N26" s="172">
        <f t="shared" si="8"/>
        <v>31</v>
      </c>
      <c r="O26" s="172">
        <f t="shared" si="9"/>
        <v>23</v>
      </c>
      <c r="P26" s="95" t="e">
        <f>+K26*(J26-0.05*N26*H26)-K26*(J26-0.05*N26)</f>
        <v>#DIV/0!</v>
      </c>
      <c r="Q26" s="95" t="e">
        <f>+L26*(I26-0.05*O26*H26)-L26*(I26-0.05*O26)</f>
        <v>#DIV/0!</v>
      </c>
      <c r="R26" s="95" t="e">
        <f>+P26+Q26</f>
        <v>#DIV/0!</v>
      </c>
    </row>
    <row r="27" spans="2:18" x14ac:dyDescent="0.3">
      <c r="B27" s="184"/>
      <c r="C27" s="185"/>
      <c r="D27" s="185"/>
      <c r="E27" s="185"/>
      <c r="F27" s="185"/>
      <c r="G27" s="186"/>
      <c r="H27" s="42" t="e">
        <f>+E27/(1.2*F27)</f>
        <v>#DIV/0!</v>
      </c>
      <c r="I27" s="47">
        <f t="shared" si="7"/>
        <v>0</v>
      </c>
      <c r="J27" s="47">
        <f t="shared" si="7"/>
        <v>0</v>
      </c>
      <c r="K27" s="48" t="e">
        <f t="shared" si="7"/>
        <v>#DIV/0!</v>
      </c>
      <c r="L27" s="48" t="e">
        <f t="shared" si="7"/>
        <v>#DIV/0!</v>
      </c>
      <c r="M27" s="52" t="e">
        <f>-0.05*N27*K27*(H27-1)-0.05*O27*L27*(H27-1)</f>
        <v>#DIV/0!</v>
      </c>
      <c r="N27" s="172">
        <f t="shared" si="8"/>
        <v>31</v>
      </c>
      <c r="O27" s="172">
        <f t="shared" si="9"/>
        <v>23</v>
      </c>
      <c r="P27" s="95" t="e">
        <f>+K27*(J27-0.05*N27*H27)-K27*(J27-0.05*N27)</f>
        <v>#DIV/0!</v>
      </c>
      <c r="Q27" s="95" t="e">
        <f>+L27*(I27-0.05*O27*H27)-L27*(I27-0.05*O27)</f>
        <v>#DIV/0!</v>
      </c>
      <c r="R27" s="95" t="e">
        <f>+P27+Q27</f>
        <v>#DIV/0!</v>
      </c>
    </row>
    <row r="28" spans="2:18" x14ac:dyDescent="0.3">
      <c r="B28" s="184"/>
      <c r="C28" s="185"/>
      <c r="D28" s="185"/>
      <c r="E28" s="185"/>
      <c r="F28" s="185"/>
      <c r="G28" s="186"/>
      <c r="H28" s="42" t="e">
        <f>+E28/(1.2*F28)</f>
        <v>#DIV/0!</v>
      </c>
      <c r="I28" s="47">
        <f t="shared" si="7"/>
        <v>0</v>
      </c>
      <c r="J28" s="47">
        <f t="shared" si="7"/>
        <v>0</v>
      </c>
      <c r="K28" s="48" t="e">
        <f t="shared" si="7"/>
        <v>#DIV/0!</v>
      </c>
      <c r="L28" s="48" t="e">
        <f t="shared" si="7"/>
        <v>#DIV/0!</v>
      </c>
      <c r="M28" s="52" t="e">
        <f>-0.05*N28*K28*(H28-1)-0.05*O28*L28*(H28-1)</f>
        <v>#DIV/0!</v>
      </c>
      <c r="N28" s="172">
        <f t="shared" si="8"/>
        <v>31</v>
      </c>
      <c r="O28" s="172">
        <f t="shared" si="9"/>
        <v>23</v>
      </c>
      <c r="P28" s="95" t="e">
        <f>+K28*(J28-0.05*N28*H28)-K28*(J28-0.05*N28)</f>
        <v>#DIV/0!</v>
      </c>
      <c r="Q28" s="95" t="e">
        <f>+L28*(I28-0.05*O28*H28)-L28*(I28-0.05*O28)</f>
        <v>#DIV/0!</v>
      </c>
      <c r="R28" s="95" t="e">
        <f>+P28+Q28</f>
        <v>#DIV/0!</v>
      </c>
    </row>
    <row r="29" spans="2:18" s="151" customFormat="1" x14ac:dyDescent="0.3">
      <c r="B29" s="184"/>
      <c r="C29" s="185"/>
      <c r="D29" s="185"/>
      <c r="E29" s="185"/>
      <c r="F29" s="185"/>
      <c r="G29" s="186"/>
      <c r="H29" s="42" t="e">
        <f t="shared" ref="H29:H34" si="10">+E29/(1.2*F29)</f>
        <v>#DIV/0!</v>
      </c>
      <c r="I29" s="47">
        <f t="shared" ref="I29:L34" si="11">+I11</f>
        <v>0</v>
      </c>
      <c r="J29" s="47">
        <f t="shared" si="11"/>
        <v>0</v>
      </c>
      <c r="K29" s="48" t="e">
        <f t="shared" si="11"/>
        <v>#DIV/0!</v>
      </c>
      <c r="L29" s="48" t="e">
        <f t="shared" si="11"/>
        <v>#DIV/0!</v>
      </c>
      <c r="M29" s="52" t="e">
        <f t="shared" ref="M29:M34" si="12">-0.05*N29*K29*(H29-1)-0.05*O29*L29*(H29-1)</f>
        <v>#DIV/0!</v>
      </c>
      <c r="N29" s="172">
        <f t="shared" si="8"/>
        <v>31</v>
      </c>
      <c r="O29" s="172">
        <f t="shared" si="9"/>
        <v>23</v>
      </c>
      <c r="P29" s="95" t="e">
        <f t="shared" ref="P29:P34" si="13">+K29*(J29-0.05*N29*H29)-K29*(J29-0.05*N29)</f>
        <v>#DIV/0!</v>
      </c>
      <c r="Q29" s="95" t="e">
        <f t="shared" ref="Q29:Q34" si="14">+L29*(I29-0.05*O29*H29)-L29*(I29-0.05*O29)</f>
        <v>#DIV/0!</v>
      </c>
      <c r="R29" s="95" t="e">
        <f t="shared" ref="R29:R34" si="15">+P29+Q29</f>
        <v>#DIV/0!</v>
      </c>
    </row>
    <row r="30" spans="2:18" s="151" customFormat="1" x14ac:dyDescent="0.3">
      <c r="B30" s="184"/>
      <c r="C30" s="185"/>
      <c r="D30" s="185"/>
      <c r="E30" s="185"/>
      <c r="F30" s="185"/>
      <c r="G30" s="186"/>
      <c r="H30" s="42" t="e">
        <f t="shared" si="10"/>
        <v>#DIV/0!</v>
      </c>
      <c r="I30" s="47">
        <f t="shared" si="11"/>
        <v>0</v>
      </c>
      <c r="J30" s="47">
        <f t="shared" si="11"/>
        <v>0</v>
      </c>
      <c r="K30" s="48" t="e">
        <f t="shared" si="11"/>
        <v>#DIV/0!</v>
      </c>
      <c r="L30" s="48" t="e">
        <f t="shared" si="11"/>
        <v>#DIV/0!</v>
      </c>
      <c r="M30" s="52" t="e">
        <f t="shared" si="12"/>
        <v>#DIV/0!</v>
      </c>
      <c r="N30" s="172">
        <f t="shared" si="8"/>
        <v>31</v>
      </c>
      <c r="O30" s="172">
        <f t="shared" si="9"/>
        <v>23</v>
      </c>
      <c r="P30" s="95" t="e">
        <f t="shared" si="13"/>
        <v>#DIV/0!</v>
      </c>
      <c r="Q30" s="95" t="e">
        <f t="shared" si="14"/>
        <v>#DIV/0!</v>
      </c>
      <c r="R30" s="95" t="e">
        <f t="shared" si="15"/>
        <v>#DIV/0!</v>
      </c>
    </row>
    <row r="31" spans="2:18" s="151" customFormat="1" x14ac:dyDescent="0.3">
      <c r="B31" s="184"/>
      <c r="C31" s="185"/>
      <c r="D31" s="185"/>
      <c r="E31" s="185"/>
      <c r="F31" s="185"/>
      <c r="G31" s="186"/>
      <c r="H31" s="42" t="e">
        <f t="shared" si="10"/>
        <v>#DIV/0!</v>
      </c>
      <c r="I31" s="47">
        <f t="shared" si="11"/>
        <v>0</v>
      </c>
      <c r="J31" s="47">
        <f t="shared" si="11"/>
        <v>0</v>
      </c>
      <c r="K31" s="48" t="e">
        <f t="shared" si="11"/>
        <v>#DIV/0!</v>
      </c>
      <c r="L31" s="48" t="e">
        <f t="shared" si="11"/>
        <v>#DIV/0!</v>
      </c>
      <c r="M31" s="52" t="e">
        <f t="shared" si="12"/>
        <v>#DIV/0!</v>
      </c>
      <c r="N31" s="172">
        <f t="shared" si="8"/>
        <v>31</v>
      </c>
      <c r="O31" s="172">
        <f t="shared" si="9"/>
        <v>23</v>
      </c>
      <c r="P31" s="95" t="e">
        <f t="shared" si="13"/>
        <v>#DIV/0!</v>
      </c>
      <c r="Q31" s="95" t="e">
        <f t="shared" si="14"/>
        <v>#DIV/0!</v>
      </c>
      <c r="R31" s="95" t="e">
        <f t="shared" si="15"/>
        <v>#DIV/0!</v>
      </c>
    </row>
    <row r="32" spans="2:18" s="151" customFormat="1" x14ac:dyDescent="0.3">
      <c r="B32" s="184"/>
      <c r="C32" s="185"/>
      <c r="D32" s="185"/>
      <c r="E32" s="185"/>
      <c r="F32" s="185"/>
      <c r="G32" s="186"/>
      <c r="H32" s="42" t="e">
        <f t="shared" si="10"/>
        <v>#DIV/0!</v>
      </c>
      <c r="I32" s="47">
        <f t="shared" si="11"/>
        <v>0</v>
      </c>
      <c r="J32" s="47">
        <f t="shared" si="11"/>
        <v>0</v>
      </c>
      <c r="K32" s="48" t="e">
        <f t="shared" si="11"/>
        <v>#DIV/0!</v>
      </c>
      <c r="L32" s="48" t="e">
        <f t="shared" si="11"/>
        <v>#DIV/0!</v>
      </c>
      <c r="M32" s="52" t="e">
        <f t="shared" si="12"/>
        <v>#DIV/0!</v>
      </c>
      <c r="N32" s="172">
        <f t="shared" si="8"/>
        <v>31</v>
      </c>
      <c r="O32" s="172">
        <f t="shared" si="9"/>
        <v>23</v>
      </c>
      <c r="P32" s="95" t="e">
        <f t="shared" si="13"/>
        <v>#DIV/0!</v>
      </c>
      <c r="Q32" s="95" t="e">
        <f t="shared" si="14"/>
        <v>#DIV/0!</v>
      </c>
      <c r="R32" s="95" t="e">
        <f t="shared" si="15"/>
        <v>#DIV/0!</v>
      </c>
    </row>
    <row r="33" spans="2:18" s="151" customFormat="1" x14ac:dyDescent="0.3">
      <c r="B33" s="184"/>
      <c r="C33" s="185"/>
      <c r="D33" s="185"/>
      <c r="E33" s="185"/>
      <c r="F33" s="185"/>
      <c r="G33" s="186"/>
      <c r="H33" s="42" t="e">
        <f t="shared" si="10"/>
        <v>#DIV/0!</v>
      </c>
      <c r="I33" s="47">
        <f t="shared" si="11"/>
        <v>0</v>
      </c>
      <c r="J33" s="47">
        <f t="shared" si="11"/>
        <v>0</v>
      </c>
      <c r="K33" s="48" t="e">
        <f t="shared" si="11"/>
        <v>#DIV/0!</v>
      </c>
      <c r="L33" s="48" t="e">
        <f t="shared" si="11"/>
        <v>#DIV/0!</v>
      </c>
      <c r="M33" s="52" t="e">
        <f t="shared" si="12"/>
        <v>#DIV/0!</v>
      </c>
      <c r="N33" s="172">
        <f t="shared" si="8"/>
        <v>31</v>
      </c>
      <c r="O33" s="172">
        <f t="shared" si="9"/>
        <v>23</v>
      </c>
      <c r="P33" s="95" t="e">
        <f t="shared" si="13"/>
        <v>#DIV/0!</v>
      </c>
      <c r="Q33" s="95" t="e">
        <f t="shared" si="14"/>
        <v>#DIV/0!</v>
      </c>
      <c r="R33" s="95" t="e">
        <f t="shared" si="15"/>
        <v>#DIV/0!</v>
      </c>
    </row>
    <row r="34" spans="2:18" s="151" customFormat="1" x14ac:dyDescent="0.3">
      <c r="B34" s="187"/>
      <c r="C34" s="188"/>
      <c r="D34" s="188"/>
      <c r="E34" s="188"/>
      <c r="F34" s="188"/>
      <c r="G34" s="189"/>
      <c r="H34" s="42" t="e">
        <f t="shared" si="10"/>
        <v>#DIV/0!</v>
      </c>
      <c r="I34" s="47">
        <f t="shared" si="11"/>
        <v>0</v>
      </c>
      <c r="J34" s="47">
        <f t="shared" si="11"/>
        <v>0</v>
      </c>
      <c r="K34" s="48" t="e">
        <f t="shared" si="11"/>
        <v>#DIV/0!</v>
      </c>
      <c r="L34" s="48" t="e">
        <f t="shared" si="11"/>
        <v>#DIV/0!</v>
      </c>
      <c r="M34" s="52" t="e">
        <f t="shared" si="12"/>
        <v>#DIV/0!</v>
      </c>
      <c r="N34" s="172">
        <f t="shared" si="8"/>
        <v>31</v>
      </c>
      <c r="O34" s="172">
        <f t="shared" si="9"/>
        <v>23</v>
      </c>
      <c r="P34" s="95" t="e">
        <f t="shared" si="13"/>
        <v>#DIV/0!</v>
      </c>
      <c r="Q34" s="95" t="e">
        <f t="shared" si="14"/>
        <v>#DIV/0!</v>
      </c>
      <c r="R34" s="95" t="e">
        <f t="shared" si="15"/>
        <v>#DIV/0!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/>
      <c r="C42" s="185"/>
      <c r="D42" s="185"/>
      <c r="E42" s="185"/>
      <c r="F42" s="185"/>
      <c r="G42" s="186"/>
      <c r="H42" s="42" t="e">
        <f>+E42/(1.2*F42)</f>
        <v>#DIV/0!</v>
      </c>
      <c r="I42" s="181">
        <f>+I24</f>
        <v>0</v>
      </c>
      <c r="J42" s="181">
        <f>+J24</f>
        <v>0</v>
      </c>
      <c r="K42" s="48" t="e">
        <f>IF(+'Sismo UBC-94 y Dinamico'!O34=0,'Sismo UBC-94 y Dinamico'!M34,'Sismo UBC-94 y Dinamico'!O34)</f>
        <v>#DIV/0!</v>
      </c>
      <c r="L42" s="48" t="e">
        <f>IF(+'Sismo UBC-94 y Dinamico'!P34=0,'Sismo UBC-94 y Dinamico'!N34,'Sismo UBC-94 y Dinamico'!P34)</f>
        <v>#DIV/0!</v>
      </c>
      <c r="M42" s="52" t="e">
        <f>0.05*N42*K42*(H42-1)+0.05*O42*L42*(H42-1)</f>
        <v>#DIV/0!</v>
      </c>
      <c r="N42" s="172">
        <f>+$N$3</f>
        <v>31</v>
      </c>
      <c r="O42" s="172">
        <f>+$O$3</f>
        <v>23</v>
      </c>
      <c r="P42" s="95" t="e">
        <f>+K42*(J42+0.05*N42*H42)-K42*(J42+0.05*N42)</f>
        <v>#DIV/0!</v>
      </c>
      <c r="Q42" s="95" t="e">
        <f>+L42*(I42+0.05*O42*H42)-L42*(I42+0.05*O42)</f>
        <v>#DIV/0!</v>
      </c>
      <c r="R42" s="95" t="e">
        <f>+P42+Q42</f>
        <v>#DIV/0!</v>
      </c>
    </row>
    <row r="43" spans="2:18" x14ac:dyDescent="0.3">
      <c r="B43" s="184"/>
      <c r="C43" s="185"/>
      <c r="D43" s="185"/>
      <c r="E43" s="185"/>
      <c r="F43" s="185"/>
      <c r="G43" s="186"/>
      <c r="H43" s="42" t="e">
        <f t="shared" ref="H43:H52" si="16">+E43/(1.2*F43)</f>
        <v>#DIV/0!</v>
      </c>
      <c r="I43" s="181">
        <f t="shared" ref="I43:J43" si="17">+I25</f>
        <v>0</v>
      </c>
      <c r="J43" s="181">
        <f t="shared" si="17"/>
        <v>0</v>
      </c>
      <c r="K43" s="48" t="e">
        <f>IF(+'Sismo UBC-94 y Dinamico'!O35=0,'Sismo UBC-94 y Dinamico'!M35,'Sismo UBC-94 y Dinamico'!O35)</f>
        <v>#DIV/0!</v>
      </c>
      <c r="L43" s="48" t="e">
        <f>IF(+'Sismo UBC-94 y Dinamico'!P35=0,'Sismo UBC-94 y Dinamico'!N35,'Sismo UBC-94 y Dinamico'!P35)</f>
        <v>#DIV/0!</v>
      </c>
      <c r="M43" s="52" t="e">
        <f>0.05*N43*K43*(H43-1)+0.05*O43*L43*(H43-1)</f>
        <v>#DIV/0!</v>
      </c>
      <c r="N43" s="172">
        <f t="shared" ref="N43:N52" si="18">+$N$3</f>
        <v>31</v>
      </c>
      <c r="O43" s="172">
        <f t="shared" ref="O43:O52" si="19">+$O$3</f>
        <v>23</v>
      </c>
      <c r="P43" s="95" t="e">
        <f>+K43*(J43+0.05*N43*H43)-K43*(J43+0.05*N43)</f>
        <v>#DIV/0!</v>
      </c>
      <c r="Q43" s="95" t="e">
        <f>+L43*(I43+0.05*O43*H43)-L43*(I43+0.05*O43)</f>
        <v>#DIV/0!</v>
      </c>
      <c r="R43" s="95" t="e">
        <f>+P43+Q43</f>
        <v>#DIV/0!</v>
      </c>
    </row>
    <row r="44" spans="2:18" x14ac:dyDescent="0.3">
      <c r="B44" s="184"/>
      <c r="C44" s="185"/>
      <c r="D44" s="185"/>
      <c r="E44" s="185"/>
      <c r="F44" s="185"/>
      <c r="G44" s="186"/>
      <c r="H44" s="42" t="e">
        <f t="shared" si="16"/>
        <v>#DIV/0!</v>
      </c>
      <c r="I44" s="181">
        <f t="shared" ref="I44:J44" si="20">+I26</f>
        <v>0</v>
      </c>
      <c r="J44" s="181">
        <f t="shared" si="20"/>
        <v>0</v>
      </c>
      <c r="K44" s="48" t="e">
        <f>IF(+'Sismo UBC-94 y Dinamico'!O36=0,'Sismo UBC-94 y Dinamico'!M36,'Sismo UBC-94 y Dinamico'!O36)</f>
        <v>#DIV/0!</v>
      </c>
      <c r="L44" s="48" t="e">
        <f>IF(+'Sismo UBC-94 y Dinamico'!P36=0,'Sismo UBC-94 y Dinamico'!N36,'Sismo UBC-94 y Dinamico'!P36)</f>
        <v>#DIV/0!</v>
      </c>
      <c r="M44" s="52" t="e">
        <f>0.05*N44*K44*(H44-1)+0.05*O44*L44*(H44-1)</f>
        <v>#DIV/0!</v>
      </c>
      <c r="N44" s="172">
        <f t="shared" si="18"/>
        <v>31</v>
      </c>
      <c r="O44" s="172">
        <f t="shared" si="19"/>
        <v>23</v>
      </c>
      <c r="P44" s="95" t="e">
        <f>+K44*(J44+0.05*N44*H44)-K44*(J44+0.05*N44)</f>
        <v>#DIV/0!</v>
      </c>
      <c r="Q44" s="95" t="e">
        <f>+L44*(I44+0.05*O44*H44)-L44*(I44+0.05*O44)</f>
        <v>#DIV/0!</v>
      </c>
      <c r="R44" s="95" t="e">
        <f>+P44+Q44</f>
        <v>#DIV/0!</v>
      </c>
    </row>
    <row r="45" spans="2:18" x14ac:dyDescent="0.3">
      <c r="B45" s="184"/>
      <c r="C45" s="185"/>
      <c r="D45" s="185"/>
      <c r="E45" s="185"/>
      <c r="F45" s="185"/>
      <c r="G45" s="186"/>
      <c r="H45" s="42" t="e">
        <f t="shared" si="16"/>
        <v>#DIV/0!</v>
      </c>
      <c r="I45" s="181">
        <f t="shared" ref="I45:J45" si="21">+I27</f>
        <v>0</v>
      </c>
      <c r="J45" s="181">
        <f t="shared" si="21"/>
        <v>0</v>
      </c>
      <c r="K45" s="48" t="e">
        <f>IF(+'Sismo UBC-94 y Dinamico'!O37=0,'Sismo UBC-94 y Dinamico'!M37,'Sismo UBC-94 y Dinamico'!O37)</f>
        <v>#DIV/0!</v>
      </c>
      <c r="L45" s="48" t="e">
        <f>IF(+'Sismo UBC-94 y Dinamico'!P37=0,'Sismo UBC-94 y Dinamico'!N37,'Sismo UBC-94 y Dinamico'!P37)</f>
        <v>#DIV/0!</v>
      </c>
      <c r="M45" s="52" t="e">
        <f>0.05*N45*K45*(H45-1)+0.05*O45*L45*(H45-1)</f>
        <v>#DIV/0!</v>
      </c>
      <c r="N45" s="172">
        <f t="shared" si="18"/>
        <v>31</v>
      </c>
      <c r="O45" s="172">
        <f t="shared" si="19"/>
        <v>23</v>
      </c>
      <c r="P45" s="95" t="e">
        <f>+K45*(J45+0.05*N45*H45)-K45*(J45+0.05*N45)</f>
        <v>#DIV/0!</v>
      </c>
      <c r="Q45" s="95" t="e">
        <f>+L45*(I45+0.05*O45*H45)-L45*(I45+0.05*O45)</f>
        <v>#DIV/0!</v>
      </c>
      <c r="R45" s="95" t="e">
        <f>+P45+Q45</f>
        <v>#DIV/0!</v>
      </c>
    </row>
    <row r="46" spans="2:18" x14ac:dyDescent="0.3">
      <c r="B46" s="184"/>
      <c r="C46" s="185"/>
      <c r="D46" s="185"/>
      <c r="E46" s="185"/>
      <c r="F46" s="185"/>
      <c r="G46" s="186"/>
      <c r="H46" s="42" t="e">
        <f t="shared" si="16"/>
        <v>#DIV/0!</v>
      </c>
      <c r="I46" s="181">
        <f t="shared" ref="I46:J46" si="22">+I28</f>
        <v>0</v>
      </c>
      <c r="J46" s="181">
        <f t="shared" si="22"/>
        <v>0</v>
      </c>
      <c r="K46" s="48" t="e">
        <f>IF(+'Sismo UBC-94 y Dinamico'!O38=0,'Sismo UBC-94 y Dinamico'!M38,'Sismo UBC-94 y Dinamico'!O38)</f>
        <v>#DIV/0!</v>
      </c>
      <c r="L46" s="48" t="e">
        <f>IF(+'Sismo UBC-94 y Dinamico'!P38=0,'Sismo UBC-94 y Dinamico'!N38,'Sismo UBC-94 y Dinamico'!P38)</f>
        <v>#DIV/0!</v>
      </c>
      <c r="M46" s="52" t="e">
        <f>0.05*N46*K46*(H46-1)+0.05*O46*L46*(H46-1)</f>
        <v>#DIV/0!</v>
      </c>
      <c r="N46" s="172">
        <f t="shared" si="18"/>
        <v>31</v>
      </c>
      <c r="O46" s="172">
        <f t="shared" si="19"/>
        <v>23</v>
      </c>
      <c r="P46" s="95" t="e">
        <f>+K46*(J46+0.05*N46*H46)-K46*(J46+0.05*N46)</f>
        <v>#DIV/0!</v>
      </c>
      <c r="Q46" s="95" t="e">
        <f>+L46*(I46+0.05*O46*H46)-L46*(I46+0.05*O46)</f>
        <v>#DIV/0!</v>
      </c>
      <c r="R46" s="95" t="e">
        <f>+P46+Q46</f>
        <v>#DIV/0!</v>
      </c>
    </row>
    <row r="47" spans="2:18" s="151" customFormat="1" x14ac:dyDescent="0.3">
      <c r="B47" s="184"/>
      <c r="C47" s="185"/>
      <c r="D47" s="185"/>
      <c r="E47" s="185"/>
      <c r="F47" s="185"/>
      <c r="G47" s="186"/>
      <c r="H47" s="42" t="e">
        <f t="shared" si="16"/>
        <v>#DIV/0!</v>
      </c>
      <c r="I47" s="181">
        <f t="shared" ref="I47:J47" si="23">+I29</f>
        <v>0</v>
      </c>
      <c r="J47" s="181">
        <f t="shared" si="23"/>
        <v>0</v>
      </c>
      <c r="K47" s="48" t="e">
        <f>IF(+'Sismo UBC-94 y Dinamico'!O39=0,'Sismo UBC-94 y Dinamico'!M39,'Sismo UBC-94 y Dinamico'!O39)</f>
        <v>#DIV/0!</v>
      </c>
      <c r="L47" s="48" t="e">
        <f>IF(+'Sismo UBC-94 y Dinamico'!P39=0,'Sismo UBC-94 y Dinamico'!N39,'Sismo UBC-94 y Dinamico'!P39)</f>
        <v>#DIV/0!</v>
      </c>
      <c r="M47" s="52" t="e">
        <f t="shared" ref="M47:M52" si="24">0.05*N47*K47*(H47-1)+0.05*O47*L47*(H47-1)</f>
        <v>#DIV/0!</v>
      </c>
      <c r="N47" s="172">
        <f t="shared" si="18"/>
        <v>31</v>
      </c>
      <c r="O47" s="172">
        <f t="shared" si="19"/>
        <v>23</v>
      </c>
      <c r="P47" s="95" t="e">
        <f t="shared" ref="P47:P52" si="25">+K47*(J47+0.05*N47*H47)-K47*(J47+0.05*N47)</f>
        <v>#DIV/0!</v>
      </c>
      <c r="Q47" s="95" t="e">
        <f t="shared" ref="Q47:Q52" si="26">+L47*(I47+0.05*O47*H47)-L47*(I47+0.05*O47)</f>
        <v>#DIV/0!</v>
      </c>
      <c r="R47" s="95" t="e">
        <f t="shared" ref="R47:R52" si="27">+P47+Q47</f>
        <v>#DIV/0!</v>
      </c>
    </row>
    <row r="48" spans="2:18" s="151" customFormat="1" x14ac:dyDescent="0.3">
      <c r="B48" s="184"/>
      <c r="C48" s="185"/>
      <c r="D48" s="185"/>
      <c r="E48" s="185"/>
      <c r="F48" s="185"/>
      <c r="G48" s="186"/>
      <c r="H48" s="42" t="e">
        <f t="shared" si="16"/>
        <v>#DIV/0!</v>
      </c>
      <c r="I48" s="181">
        <f t="shared" ref="I48:J48" si="28">+I30</f>
        <v>0</v>
      </c>
      <c r="J48" s="181">
        <f t="shared" si="28"/>
        <v>0</v>
      </c>
      <c r="K48" s="48" t="e">
        <f>IF(+'Sismo UBC-94 y Dinamico'!O40=0,'Sismo UBC-94 y Dinamico'!M40,'Sismo UBC-94 y Dinamico'!O40)</f>
        <v>#DIV/0!</v>
      </c>
      <c r="L48" s="48" t="e">
        <f>IF(+'Sismo UBC-94 y Dinamico'!P40=0,'Sismo UBC-94 y Dinamico'!N40,'Sismo UBC-94 y Dinamico'!P40)</f>
        <v>#DIV/0!</v>
      </c>
      <c r="M48" s="52" t="e">
        <f t="shared" si="24"/>
        <v>#DIV/0!</v>
      </c>
      <c r="N48" s="172">
        <f t="shared" si="18"/>
        <v>31</v>
      </c>
      <c r="O48" s="172">
        <f t="shared" si="19"/>
        <v>23</v>
      </c>
      <c r="P48" s="95" t="e">
        <f t="shared" si="25"/>
        <v>#DIV/0!</v>
      </c>
      <c r="Q48" s="95" t="e">
        <f t="shared" si="26"/>
        <v>#DIV/0!</v>
      </c>
      <c r="R48" s="95" t="e">
        <f t="shared" si="27"/>
        <v>#DIV/0!</v>
      </c>
    </row>
    <row r="49" spans="2:18" s="151" customFormat="1" x14ac:dyDescent="0.3">
      <c r="B49" s="184"/>
      <c r="C49" s="185"/>
      <c r="D49" s="185"/>
      <c r="E49" s="185"/>
      <c r="F49" s="185"/>
      <c r="G49" s="186"/>
      <c r="H49" s="42" t="e">
        <f t="shared" si="16"/>
        <v>#DIV/0!</v>
      </c>
      <c r="I49" s="181">
        <f t="shared" ref="I49:J49" si="29">+I31</f>
        <v>0</v>
      </c>
      <c r="J49" s="181">
        <f t="shared" si="29"/>
        <v>0</v>
      </c>
      <c r="K49" s="48" t="e">
        <f>IF(+'Sismo UBC-94 y Dinamico'!O41=0,'Sismo UBC-94 y Dinamico'!M41,'Sismo UBC-94 y Dinamico'!O41)</f>
        <v>#DIV/0!</v>
      </c>
      <c r="L49" s="48" t="e">
        <f>IF(+'Sismo UBC-94 y Dinamico'!P41=0,'Sismo UBC-94 y Dinamico'!N41,'Sismo UBC-94 y Dinamico'!P41)</f>
        <v>#DIV/0!</v>
      </c>
      <c r="M49" s="52" t="e">
        <f t="shared" si="24"/>
        <v>#DIV/0!</v>
      </c>
      <c r="N49" s="172">
        <f t="shared" si="18"/>
        <v>31</v>
      </c>
      <c r="O49" s="172">
        <f t="shared" si="19"/>
        <v>23</v>
      </c>
      <c r="P49" s="95" t="e">
        <f t="shared" si="25"/>
        <v>#DIV/0!</v>
      </c>
      <c r="Q49" s="95" t="e">
        <f t="shared" si="26"/>
        <v>#DIV/0!</v>
      </c>
      <c r="R49" s="95" t="e">
        <f t="shared" si="27"/>
        <v>#DIV/0!</v>
      </c>
    </row>
    <row r="50" spans="2:18" s="151" customFormat="1" x14ac:dyDescent="0.3">
      <c r="B50" s="184"/>
      <c r="C50" s="185"/>
      <c r="D50" s="185"/>
      <c r="E50" s="185"/>
      <c r="F50" s="185"/>
      <c r="G50" s="186"/>
      <c r="H50" s="42" t="e">
        <f t="shared" si="16"/>
        <v>#DIV/0!</v>
      </c>
      <c r="I50" s="181">
        <f t="shared" ref="I50:J50" si="30">+I32</f>
        <v>0</v>
      </c>
      <c r="J50" s="181">
        <f t="shared" si="30"/>
        <v>0</v>
      </c>
      <c r="K50" s="48" t="e">
        <f>IF(+'Sismo UBC-94 y Dinamico'!O42=0,'Sismo UBC-94 y Dinamico'!M42,'Sismo UBC-94 y Dinamico'!O42)</f>
        <v>#DIV/0!</v>
      </c>
      <c r="L50" s="48" t="e">
        <f>IF(+'Sismo UBC-94 y Dinamico'!P42=0,'Sismo UBC-94 y Dinamico'!N42,'Sismo UBC-94 y Dinamico'!P42)</f>
        <v>#DIV/0!</v>
      </c>
      <c r="M50" s="52" t="e">
        <f t="shared" si="24"/>
        <v>#DIV/0!</v>
      </c>
      <c r="N50" s="172">
        <f t="shared" si="18"/>
        <v>31</v>
      </c>
      <c r="O50" s="172">
        <f t="shared" si="19"/>
        <v>23</v>
      </c>
      <c r="P50" s="95" t="e">
        <f t="shared" si="25"/>
        <v>#DIV/0!</v>
      </c>
      <c r="Q50" s="95" t="e">
        <f t="shared" si="26"/>
        <v>#DIV/0!</v>
      </c>
      <c r="R50" s="95" t="e">
        <f t="shared" si="27"/>
        <v>#DIV/0!</v>
      </c>
    </row>
    <row r="51" spans="2:18" s="151" customFormat="1" x14ac:dyDescent="0.3">
      <c r="B51" s="184"/>
      <c r="C51" s="185"/>
      <c r="D51" s="185"/>
      <c r="E51" s="185"/>
      <c r="F51" s="185"/>
      <c r="G51" s="186"/>
      <c r="H51" s="42" t="e">
        <f t="shared" si="16"/>
        <v>#DIV/0!</v>
      </c>
      <c r="I51" s="181">
        <f t="shared" ref="I51:J51" si="31">+I33</f>
        <v>0</v>
      </c>
      <c r="J51" s="181">
        <f t="shared" si="31"/>
        <v>0</v>
      </c>
      <c r="K51" s="48" t="e">
        <f>IF(+'Sismo UBC-94 y Dinamico'!O43=0,'Sismo UBC-94 y Dinamico'!M43,'Sismo UBC-94 y Dinamico'!O43)</f>
        <v>#DIV/0!</v>
      </c>
      <c r="L51" s="48" t="e">
        <f>IF(+'Sismo UBC-94 y Dinamico'!P43=0,'Sismo UBC-94 y Dinamico'!N43,'Sismo UBC-94 y Dinamico'!P43)</f>
        <v>#DIV/0!</v>
      </c>
      <c r="M51" s="52" t="e">
        <f t="shared" si="24"/>
        <v>#DIV/0!</v>
      </c>
      <c r="N51" s="172">
        <f t="shared" si="18"/>
        <v>31</v>
      </c>
      <c r="O51" s="172">
        <f t="shared" si="19"/>
        <v>23</v>
      </c>
      <c r="P51" s="95" t="e">
        <f t="shared" si="25"/>
        <v>#DIV/0!</v>
      </c>
      <c r="Q51" s="95" t="e">
        <f t="shared" si="26"/>
        <v>#DIV/0!</v>
      </c>
      <c r="R51" s="95" t="e">
        <f t="shared" si="27"/>
        <v>#DIV/0!</v>
      </c>
    </row>
    <row r="52" spans="2:18" s="151" customFormat="1" x14ac:dyDescent="0.3">
      <c r="B52" s="187"/>
      <c r="C52" s="188"/>
      <c r="D52" s="188"/>
      <c r="E52" s="188"/>
      <c r="F52" s="188"/>
      <c r="G52" s="189"/>
      <c r="H52" s="42" t="e">
        <f t="shared" si="16"/>
        <v>#DIV/0!</v>
      </c>
      <c r="I52" s="181">
        <f t="shared" ref="I52:J52" si="32">+I34</f>
        <v>0</v>
      </c>
      <c r="J52" s="181">
        <f t="shared" si="32"/>
        <v>0</v>
      </c>
      <c r="K52" s="48" t="e">
        <f>IF(+'Sismo UBC-94 y Dinamico'!O44=0,'Sismo UBC-94 y Dinamico'!M44,'Sismo UBC-94 y Dinamico'!O44)</f>
        <v>#DIV/0!</v>
      </c>
      <c r="L52" s="48" t="e">
        <f>IF(+'Sismo UBC-94 y Dinamico'!P44=0,'Sismo UBC-94 y Dinamico'!N44,'Sismo UBC-94 y Dinamico'!P44)</f>
        <v>#DIV/0!</v>
      </c>
      <c r="M52" s="52" t="e">
        <f t="shared" si="24"/>
        <v>#DIV/0!</v>
      </c>
      <c r="N52" s="172">
        <f t="shared" si="18"/>
        <v>31</v>
      </c>
      <c r="O52" s="172">
        <f t="shared" si="19"/>
        <v>23</v>
      </c>
      <c r="P52" s="95" t="e">
        <f t="shared" si="25"/>
        <v>#DIV/0!</v>
      </c>
      <c r="Q52" s="95" t="e">
        <f t="shared" si="26"/>
        <v>#DIV/0!</v>
      </c>
      <c r="R52" s="95" t="e">
        <f t="shared" si="27"/>
        <v>#DIV/0!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/>
      <c r="C60" s="185"/>
      <c r="D60" s="185"/>
      <c r="E60" s="185"/>
      <c r="F60" s="185"/>
      <c r="G60" s="186"/>
      <c r="H60" s="42" t="e">
        <f>+E60/(1.2*F60)</f>
        <v>#DIV/0!</v>
      </c>
      <c r="I60" s="181">
        <f>+I42</f>
        <v>0</v>
      </c>
      <c r="J60" s="181">
        <f>+J42</f>
        <v>0</v>
      </c>
      <c r="K60" s="48" t="e">
        <f>+K42</f>
        <v>#DIV/0!</v>
      </c>
      <c r="L60" s="48" t="e">
        <f>+L42</f>
        <v>#DIV/0!</v>
      </c>
      <c r="M60" s="52" t="e">
        <f>-0.05*N60*K60*(H60-1)-0.05*O60*L60*(H60-1)</f>
        <v>#DIV/0!</v>
      </c>
      <c r="N60" s="172">
        <f>+$N$3</f>
        <v>31</v>
      </c>
      <c r="O60" s="172">
        <f>+$O$3</f>
        <v>23</v>
      </c>
      <c r="P60" s="95" t="e">
        <f>+K60*(J60-0.05*N60*H60)-K60*(J60-0.05*N60)</f>
        <v>#DIV/0!</v>
      </c>
      <c r="Q60" s="95" t="e">
        <f>+L60*(I60-0.05*O60*H60)-L60*(I60-0.05*O60)</f>
        <v>#DIV/0!</v>
      </c>
      <c r="R60" s="95" t="e">
        <f>+P60+Q60</f>
        <v>#DIV/0!</v>
      </c>
    </row>
    <row r="61" spans="2:18" x14ac:dyDescent="0.3">
      <c r="B61" s="184"/>
      <c r="C61" s="185"/>
      <c r="D61" s="185"/>
      <c r="E61" s="185"/>
      <c r="F61" s="185"/>
      <c r="G61" s="186"/>
      <c r="H61" s="42" t="e">
        <f t="shared" ref="H61:H70" si="33">+E61/(1.2*F61)</f>
        <v>#DIV/0!</v>
      </c>
      <c r="I61" s="181">
        <f t="shared" ref="I61:J61" si="34">+I43</f>
        <v>0</v>
      </c>
      <c r="J61" s="181">
        <f t="shared" si="34"/>
        <v>0</v>
      </c>
      <c r="K61" s="48" t="e">
        <f t="shared" ref="K61:L64" si="35">+K43</f>
        <v>#DIV/0!</v>
      </c>
      <c r="L61" s="48" t="e">
        <f t="shared" si="35"/>
        <v>#DIV/0!</v>
      </c>
      <c r="M61" s="52" t="e">
        <f>-0.05*N61*K61*(H61-1)-0.05*O61*L61*(H61-1)</f>
        <v>#DIV/0!</v>
      </c>
      <c r="N61" s="172">
        <f t="shared" ref="N61:N70" si="36">+$N$3</f>
        <v>31</v>
      </c>
      <c r="O61" s="172">
        <f t="shared" ref="O61:O70" si="37">+$O$3</f>
        <v>23</v>
      </c>
      <c r="P61" s="95" t="e">
        <f>+K61*(J61-0.05*N61*H61)-K61*(J61-0.05*N61)</f>
        <v>#DIV/0!</v>
      </c>
      <c r="Q61" s="95" t="e">
        <f>+L61*(I61-0.05*O61*H61)-L61*(I61-0.05*O61)</f>
        <v>#DIV/0!</v>
      </c>
      <c r="R61" s="95" t="e">
        <f>+P61+Q61</f>
        <v>#DIV/0!</v>
      </c>
    </row>
    <row r="62" spans="2:18" x14ac:dyDescent="0.3">
      <c r="B62" s="184"/>
      <c r="C62" s="185"/>
      <c r="D62" s="185"/>
      <c r="E62" s="185"/>
      <c r="F62" s="185"/>
      <c r="G62" s="186"/>
      <c r="H62" s="42" t="e">
        <f t="shared" si="33"/>
        <v>#DIV/0!</v>
      </c>
      <c r="I62" s="181">
        <f t="shared" ref="I62:J62" si="38">+I44</f>
        <v>0</v>
      </c>
      <c r="J62" s="181">
        <f t="shared" si="38"/>
        <v>0</v>
      </c>
      <c r="K62" s="48" t="e">
        <f t="shared" si="35"/>
        <v>#DIV/0!</v>
      </c>
      <c r="L62" s="48" t="e">
        <f t="shared" si="35"/>
        <v>#DIV/0!</v>
      </c>
      <c r="M62" s="52" t="e">
        <f>-0.05*N62*K62*(H62-1)-0.05*O62*L62*(H62-1)</f>
        <v>#DIV/0!</v>
      </c>
      <c r="N62" s="172">
        <f t="shared" si="36"/>
        <v>31</v>
      </c>
      <c r="O62" s="172">
        <f t="shared" si="37"/>
        <v>23</v>
      </c>
      <c r="P62" s="95" t="e">
        <f>+K62*(J62-0.05*N62*H62)-K62*(J62-0.05*N62)</f>
        <v>#DIV/0!</v>
      </c>
      <c r="Q62" s="95" t="e">
        <f>+L62*(I62-0.05*O62*H62)-L62*(I62-0.05*O62)</f>
        <v>#DIV/0!</v>
      </c>
      <c r="R62" s="95" t="e">
        <f>+P62+Q62</f>
        <v>#DIV/0!</v>
      </c>
    </row>
    <row r="63" spans="2:18" x14ac:dyDescent="0.3">
      <c r="B63" s="184"/>
      <c r="C63" s="185"/>
      <c r="D63" s="185"/>
      <c r="E63" s="185"/>
      <c r="F63" s="185"/>
      <c r="G63" s="186"/>
      <c r="H63" s="42" t="e">
        <f t="shared" si="33"/>
        <v>#DIV/0!</v>
      </c>
      <c r="I63" s="181">
        <f t="shared" ref="I63:J63" si="39">+I45</f>
        <v>0</v>
      </c>
      <c r="J63" s="181">
        <f t="shared" si="39"/>
        <v>0</v>
      </c>
      <c r="K63" s="48" t="e">
        <f t="shared" si="35"/>
        <v>#DIV/0!</v>
      </c>
      <c r="L63" s="48" t="e">
        <f t="shared" si="35"/>
        <v>#DIV/0!</v>
      </c>
      <c r="M63" s="52" t="e">
        <f>-0.05*N63*K63*(H63-1)-0.05*O63*L63*(H63-1)</f>
        <v>#DIV/0!</v>
      </c>
      <c r="N63" s="172">
        <f t="shared" si="36"/>
        <v>31</v>
      </c>
      <c r="O63" s="172">
        <f t="shared" si="37"/>
        <v>23</v>
      </c>
      <c r="P63" s="95" t="e">
        <f>+K63*(J63-0.05*N63*H63)-K63*(J63-0.05*N63)</f>
        <v>#DIV/0!</v>
      </c>
      <c r="Q63" s="95" t="e">
        <f>+L63*(I63-0.05*O63*H63)-L63*(I63-0.05*O63)</f>
        <v>#DIV/0!</v>
      </c>
      <c r="R63" s="95" t="e">
        <f>+P63+Q63</f>
        <v>#DIV/0!</v>
      </c>
    </row>
    <row r="64" spans="2:18" x14ac:dyDescent="0.3">
      <c r="B64" s="184"/>
      <c r="C64" s="185"/>
      <c r="D64" s="185"/>
      <c r="E64" s="185"/>
      <c r="F64" s="185"/>
      <c r="G64" s="186"/>
      <c r="H64" s="42" t="e">
        <f t="shared" si="33"/>
        <v>#DIV/0!</v>
      </c>
      <c r="I64" s="181">
        <f t="shared" ref="I64:J64" si="40">+I46</f>
        <v>0</v>
      </c>
      <c r="J64" s="181">
        <f t="shared" si="40"/>
        <v>0</v>
      </c>
      <c r="K64" s="48" t="e">
        <f t="shared" si="35"/>
        <v>#DIV/0!</v>
      </c>
      <c r="L64" s="48" t="e">
        <f t="shared" si="35"/>
        <v>#DIV/0!</v>
      </c>
      <c r="M64" s="52" t="e">
        <f>-0.05*N64*K64*(H64-1)-0.05*O64*L64*(H64-1)</f>
        <v>#DIV/0!</v>
      </c>
      <c r="N64" s="172">
        <f t="shared" si="36"/>
        <v>31</v>
      </c>
      <c r="O64" s="172">
        <f t="shared" si="37"/>
        <v>23</v>
      </c>
      <c r="P64" s="95" t="e">
        <f>+K64*(J64-0.05*N64*H64)-K64*(J64-0.05*N64)</f>
        <v>#DIV/0!</v>
      </c>
      <c r="Q64" s="95" t="e">
        <f>+L64*(I64-0.05*O64*H64)-L64*(I64-0.05*O64)</f>
        <v>#DIV/0!</v>
      </c>
      <c r="R64" s="95" t="e">
        <f>+P64+Q64</f>
        <v>#DIV/0!</v>
      </c>
    </row>
    <row r="65" spans="2:18" x14ac:dyDescent="0.3">
      <c r="B65" s="184"/>
      <c r="C65" s="185"/>
      <c r="D65" s="185"/>
      <c r="E65" s="185"/>
      <c r="F65" s="185"/>
      <c r="G65" s="186"/>
      <c r="H65" s="42" t="e">
        <f t="shared" si="33"/>
        <v>#DIV/0!</v>
      </c>
      <c r="I65" s="181">
        <f t="shared" ref="I65:J65" si="41">+I47</f>
        <v>0</v>
      </c>
      <c r="J65" s="181">
        <f t="shared" si="41"/>
        <v>0</v>
      </c>
      <c r="K65" s="48" t="e">
        <f t="shared" ref="K65:L70" si="42">+K47</f>
        <v>#DIV/0!</v>
      </c>
      <c r="L65" s="48" t="e">
        <f t="shared" si="42"/>
        <v>#DIV/0!</v>
      </c>
      <c r="M65" s="52" t="e">
        <f t="shared" ref="M65:M70" si="43">-0.05*N65*K65*(H65-1)-0.05*O65*L65*(H65-1)</f>
        <v>#DIV/0!</v>
      </c>
      <c r="N65" s="172">
        <f t="shared" si="36"/>
        <v>31</v>
      </c>
      <c r="O65" s="172">
        <f t="shared" si="37"/>
        <v>23</v>
      </c>
      <c r="P65" s="95" t="e">
        <f t="shared" ref="P65:P70" si="44">+K65*(J65-0.05*N65*H65)-K65*(J65-0.05*N65)</f>
        <v>#DIV/0!</v>
      </c>
      <c r="Q65" s="95" t="e">
        <f t="shared" ref="Q65:Q70" si="45">+L65*(I65-0.05*O65*H65)-L65*(I65-0.05*O65)</f>
        <v>#DIV/0!</v>
      </c>
      <c r="R65" s="95" t="e">
        <f t="shared" ref="R65:R70" si="46">+P65+Q65</f>
        <v>#DIV/0!</v>
      </c>
    </row>
    <row r="66" spans="2:18" x14ac:dyDescent="0.3">
      <c r="B66" s="184"/>
      <c r="C66" s="185"/>
      <c r="D66" s="185"/>
      <c r="E66" s="185"/>
      <c r="F66" s="185"/>
      <c r="G66" s="186"/>
      <c r="H66" s="42" t="e">
        <f t="shared" si="33"/>
        <v>#DIV/0!</v>
      </c>
      <c r="I66" s="181">
        <f t="shared" ref="I66:J66" si="47">+I48</f>
        <v>0</v>
      </c>
      <c r="J66" s="181">
        <f t="shared" si="47"/>
        <v>0</v>
      </c>
      <c r="K66" s="48" t="e">
        <f t="shared" si="42"/>
        <v>#DIV/0!</v>
      </c>
      <c r="L66" s="48" t="e">
        <f t="shared" si="42"/>
        <v>#DIV/0!</v>
      </c>
      <c r="M66" s="52" t="e">
        <f t="shared" si="43"/>
        <v>#DIV/0!</v>
      </c>
      <c r="N66" s="172">
        <f t="shared" si="36"/>
        <v>31</v>
      </c>
      <c r="O66" s="172">
        <f t="shared" si="37"/>
        <v>23</v>
      </c>
      <c r="P66" s="95" t="e">
        <f t="shared" si="44"/>
        <v>#DIV/0!</v>
      </c>
      <c r="Q66" s="95" t="e">
        <f t="shared" si="45"/>
        <v>#DIV/0!</v>
      </c>
      <c r="R66" s="95" t="e">
        <f t="shared" si="46"/>
        <v>#DIV/0!</v>
      </c>
    </row>
    <row r="67" spans="2:18" x14ac:dyDescent="0.3">
      <c r="B67" s="184"/>
      <c r="C67" s="185"/>
      <c r="D67" s="185"/>
      <c r="E67" s="185"/>
      <c r="F67" s="185"/>
      <c r="G67" s="186"/>
      <c r="H67" s="42" t="e">
        <f t="shared" si="33"/>
        <v>#DIV/0!</v>
      </c>
      <c r="I67" s="181">
        <f t="shared" ref="I67:J67" si="48">+I49</f>
        <v>0</v>
      </c>
      <c r="J67" s="181">
        <f t="shared" si="48"/>
        <v>0</v>
      </c>
      <c r="K67" s="48" t="e">
        <f t="shared" si="42"/>
        <v>#DIV/0!</v>
      </c>
      <c r="L67" s="48" t="e">
        <f t="shared" si="42"/>
        <v>#DIV/0!</v>
      </c>
      <c r="M67" s="52" t="e">
        <f t="shared" si="43"/>
        <v>#DIV/0!</v>
      </c>
      <c r="N67" s="172">
        <f t="shared" si="36"/>
        <v>31</v>
      </c>
      <c r="O67" s="172">
        <f t="shared" si="37"/>
        <v>23</v>
      </c>
      <c r="P67" s="95" t="e">
        <f t="shared" si="44"/>
        <v>#DIV/0!</v>
      </c>
      <c r="Q67" s="95" t="e">
        <f t="shared" si="45"/>
        <v>#DIV/0!</v>
      </c>
      <c r="R67" s="95" t="e">
        <f t="shared" si="46"/>
        <v>#DIV/0!</v>
      </c>
    </row>
    <row r="68" spans="2:18" x14ac:dyDescent="0.3">
      <c r="B68" s="184"/>
      <c r="C68" s="185"/>
      <c r="D68" s="185"/>
      <c r="E68" s="185"/>
      <c r="F68" s="185"/>
      <c r="G68" s="186"/>
      <c r="H68" s="42" t="e">
        <f t="shared" si="33"/>
        <v>#DIV/0!</v>
      </c>
      <c r="I68" s="181">
        <f t="shared" ref="I68:J68" si="49">+I50</f>
        <v>0</v>
      </c>
      <c r="J68" s="181">
        <f t="shared" si="49"/>
        <v>0</v>
      </c>
      <c r="K68" s="48" t="e">
        <f t="shared" si="42"/>
        <v>#DIV/0!</v>
      </c>
      <c r="L68" s="48" t="e">
        <f t="shared" si="42"/>
        <v>#DIV/0!</v>
      </c>
      <c r="M68" s="52" t="e">
        <f t="shared" si="43"/>
        <v>#DIV/0!</v>
      </c>
      <c r="N68" s="172">
        <f t="shared" si="36"/>
        <v>31</v>
      </c>
      <c r="O68" s="172">
        <f t="shared" si="37"/>
        <v>23</v>
      </c>
      <c r="P68" s="95" t="e">
        <f t="shared" si="44"/>
        <v>#DIV/0!</v>
      </c>
      <c r="Q68" s="95" t="e">
        <f t="shared" si="45"/>
        <v>#DIV/0!</v>
      </c>
      <c r="R68" s="95" t="e">
        <f t="shared" si="46"/>
        <v>#DIV/0!</v>
      </c>
    </row>
    <row r="69" spans="2:18" x14ac:dyDescent="0.3">
      <c r="B69" s="184"/>
      <c r="C69" s="185"/>
      <c r="D69" s="185"/>
      <c r="E69" s="185"/>
      <c r="F69" s="185"/>
      <c r="G69" s="186"/>
      <c r="H69" s="42" t="e">
        <f t="shared" si="33"/>
        <v>#DIV/0!</v>
      </c>
      <c r="I69" s="181">
        <f t="shared" ref="I69:J69" si="50">+I51</f>
        <v>0</v>
      </c>
      <c r="J69" s="181">
        <f t="shared" si="50"/>
        <v>0</v>
      </c>
      <c r="K69" s="48" t="e">
        <f t="shared" si="42"/>
        <v>#DIV/0!</v>
      </c>
      <c r="L69" s="48" t="e">
        <f t="shared" si="42"/>
        <v>#DIV/0!</v>
      </c>
      <c r="M69" s="52" t="e">
        <f t="shared" si="43"/>
        <v>#DIV/0!</v>
      </c>
      <c r="N69" s="172">
        <f t="shared" si="36"/>
        <v>31</v>
      </c>
      <c r="O69" s="172">
        <f t="shared" si="37"/>
        <v>23</v>
      </c>
      <c r="P69" s="95" t="e">
        <f t="shared" si="44"/>
        <v>#DIV/0!</v>
      </c>
      <c r="Q69" s="95" t="e">
        <f t="shared" si="45"/>
        <v>#DIV/0!</v>
      </c>
      <c r="R69" s="95" t="e">
        <f t="shared" si="46"/>
        <v>#DIV/0!</v>
      </c>
    </row>
    <row r="70" spans="2:18" x14ac:dyDescent="0.3">
      <c r="B70" s="187"/>
      <c r="C70" s="188"/>
      <c r="D70" s="188"/>
      <c r="E70" s="188"/>
      <c r="F70" s="188"/>
      <c r="G70" s="189"/>
      <c r="H70" s="42" t="e">
        <f t="shared" si="33"/>
        <v>#DIV/0!</v>
      </c>
      <c r="I70" s="181">
        <f t="shared" ref="I70:J70" si="51">+I52</f>
        <v>0</v>
      </c>
      <c r="J70" s="181">
        <f t="shared" si="51"/>
        <v>0</v>
      </c>
      <c r="K70" s="48" t="e">
        <f t="shared" si="42"/>
        <v>#DIV/0!</v>
      </c>
      <c r="L70" s="48" t="e">
        <f t="shared" si="42"/>
        <v>#DIV/0!</v>
      </c>
      <c r="M70" s="52" t="e">
        <f t="shared" si="43"/>
        <v>#DIV/0!</v>
      </c>
      <c r="N70" s="172">
        <f t="shared" si="36"/>
        <v>31</v>
      </c>
      <c r="O70" s="172">
        <f t="shared" si="37"/>
        <v>23</v>
      </c>
      <c r="P70" s="95" t="e">
        <f t="shared" si="44"/>
        <v>#DIV/0!</v>
      </c>
      <c r="Q70" s="95" t="e">
        <f t="shared" si="45"/>
        <v>#DIV/0!</v>
      </c>
      <c r="R70" s="95" t="e">
        <f t="shared" si="46"/>
        <v>#DIV/0!</v>
      </c>
    </row>
  </sheetData>
  <mergeCells count="1">
    <mergeCell ref="M2:P2"/>
  </mergeCells>
  <conditionalFormatting sqref="G1:G5 G19:G23 G37:G41 G55:G59 G71:G1048576">
    <cfRule type="cellIs" dxfId="7" priority="5" operator="greaterThan">
      <formula>1.2</formula>
    </cfRule>
  </conditionalFormatting>
  <conditionalFormatting sqref="G1:G23 G35:G41 G53:G59 G71:G1048576">
    <cfRule type="cellIs" dxfId="6" priority="4" operator="greaterThan">
      <formula>1.2</formula>
    </cfRule>
  </conditionalFormatting>
  <conditionalFormatting sqref="G24:G34">
    <cfRule type="cellIs" dxfId="5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1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B33" sqref="B33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/>
      <c r="E6" s="53">
        <f>0.7*D6</f>
        <v>0</v>
      </c>
      <c r="F6" s="1" t="str">
        <f>+IF(D6&lt;E5,"piso suave","ok")</f>
        <v>ok</v>
      </c>
      <c r="G6" s="53">
        <f>0.9*D6</f>
        <v>0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/>
      <c r="E7" s="53">
        <f>0.7*D7</f>
        <v>0</v>
      </c>
      <c r="F7" s="1" t="str">
        <f>+IF(D7&lt;E6,"piso suave","ok")</f>
        <v>ok</v>
      </c>
      <c r="G7" s="53">
        <f>0.9*D7</f>
        <v>0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/>
      <c r="E8" s="53">
        <f>0.7*D8</f>
        <v>0</v>
      </c>
      <c r="F8" s="1" t="str">
        <f>+IF(D8&lt;E7,"piso suave","ok")</f>
        <v>ok</v>
      </c>
      <c r="G8" s="53">
        <f>0.9*D8</f>
        <v>0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/>
      <c r="E9" s="53">
        <f>0.7*D9</f>
        <v>0</v>
      </c>
      <c r="F9" s="1" t="str">
        <f>+IF(D9&lt;E8,"piso suave","ok")</f>
        <v>ok</v>
      </c>
      <c r="G9" s="53">
        <f>0.9*D9</f>
        <v>0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/>
      <c r="E10" s="53">
        <f>0.7*D10</f>
        <v>0</v>
      </c>
      <c r="F10" s="1" t="str">
        <f>+IF(D10&lt;E9,"piso suave","ok")</f>
        <v>ok</v>
      </c>
      <c r="G10" s="53">
        <f>0.9*D10</f>
        <v>0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/>
      <c r="E11" s="53">
        <f t="shared" ref="E11:E16" si="0">0.7*D11</f>
        <v>0</v>
      </c>
      <c r="F11" s="1" t="str">
        <f t="shared" ref="F11:F16" si="1">+IF(D11&lt;E10,"piso suave","ok")</f>
        <v>ok</v>
      </c>
      <c r="G11" s="53">
        <f t="shared" ref="G11:G16" si="2">0.9*D11</f>
        <v>0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/>
      <c r="E12" s="53">
        <f t="shared" si="0"/>
        <v>0</v>
      </c>
      <c r="F12" s="1" t="str">
        <f t="shared" si="1"/>
        <v>ok</v>
      </c>
      <c r="G12" s="53">
        <f t="shared" si="2"/>
        <v>0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/>
      <c r="E13" s="53">
        <f t="shared" si="0"/>
        <v>0</v>
      </c>
      <c r="F13" s="1" t="str">
        <f t="shared" si="1"/>
        <v>ok</v>
      </c>
      <c r="G13" s="53">
        <f t="shared" si="2"/>
        <v>0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/>
      <c r="E14" s="53">
        <f t="shared" si="0"/>
        <v>0</v>
      </c>
      <c r="F14" s="1" t="str">
        <f t="shared" si="1"/>
        <v>ok</v>
      </c>
      <c r="G14" s="53">
        <f t="shared" si="2"/>
        <v>0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/>
      <c r="E15" s="53">
        <f t="shared" si="0"/>
        <v>0</v>
      </c>
      <c r="F15" s="1" t="str">
        <f t="shared" si="1"/>
        <v>ok</v>
      </c>
      <c r="G15" s="53">
        <f t="shared" si="2"/>
        <v>0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/>
      <c r="E16" s="53">
        <f t="shared" si="0"/>
        <v>0</v>
      </c>
      <c r="F16" s="1" t="str">
        <f t="shared" si="1"/>
        <v>ok</v>
      </c>
      <c r="G16" s="53">
        <f t="shared" si="2"/>
        <v>0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/>
      <c r="E23" s="53">
        <f>0.7*D23</f>
        <v>0</v>
      </c>
      <c r="F23" s="1" t="str">
        <f>+IF(D23&lt;E22,"piso suave","ok")</f>
        <v>ok</v>
      </c>
      <c r="G23" s="53">
        <f>0.9*D23</f>
        <v>0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/>
      <c r="E24" s="53">
        <f>0.7*D24</f>
        <v>0</v>
      </c>
      <c r="F24" s="1" t="str">
        <f>+IF(D24&lt;E23,"piso suave","ok")</f>
        <v>ok</v>
      </c>
      <c r="G24" s="53">
        <f>0.9*D24</f>
        <v>0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/>
      <c r="E25" s="53">
        <f>0.7*D25</f>
        <v>0</v>
      </c>
      <c r="F25" s="1" t="str">
        <f>+IF(D25&lt;E24,"piso suave","ok")</f>
        <v>ok</v>
      </c>
      <c r="G25" s="53">
        <f>0.9*D25</f>
        <v>0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/>
      <c r="E26" s="53">
        <f>0.7*D26</f>
        <v>0</v>
      </c>
      <c r="F26" s="1" t="str">
        <f>+IF(D26&lt;E25,"piso suave","ok")</f>
        <v>ok</v>
      </c>
      <c r="G26" s="53">
        <f>0.9*D26</f>
        <v>0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/>
      <c r="E27" s="53">
        <f>0.7*D27</f>
        <v>0</v>
      </c>
      <c r="F27" s="1" t="str">
        <f>+IF(D27&lt;E26,"piso suave","ok")</f>
        <v>ok</v>
      </c>
      <c r="G27" s="53">
        <f>0.9*D27</f>
        <v>0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/>
      <c r="E28" s="53">
        <f t="shared" ref="E28:E33" si="4">0.7*D28</f>
        <v>0</v>
      </c>
      <c r="F28" s="1" t="str">
        <f t="shared" ref="F28:F33" si="5">+IF(D28&lt;E27,"piso suave","ok")</f>
        <v>ok</v>
      </c>
      <c r="G28" s="53">
        <f t="shared" ref="G28:G33" si="6">0.9*D28</f>
        <v>0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/>
      <c r="E29" s="53">
        <f t="shared" si="4"/>
        <v>0</v>
      </c>
      <c r="F29" s="1" t="str">
        <f t="shared" si="5"/>
        <v>ok</v>
      </c>
      <c r="G29" s="53">
        <f t="shared" si="6"/>
        <v>0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/>
      <c r="E30" s="53">
        <f t="shared" si="4"/>
        <v>0</v>
      </c>
      <c r="F30" s="1" t="str">
        <f t="shared" si="5"/>
        <v>ok</v>
      </c>
      <c r="G30" s="53">
        <f t="shared" si="6"/>
        <v>0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/>
      <c r="E31" s="53">
        <f t="shared" si="4"/>
        <v>0</v>
      </c>
      <c r="F31" s="1" t="str">
        <f t="shared" si="5"/>
        <v>ok</v>
      </c>
      <c r="G31" s="53">
        <f t="shared" si="6"/>
        <v>0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/>
      <c r="E32" s="53">
        <f t="shared" si="4"/>
        <v>0</v>
      </c>
      <c r="F32" s="1" t="str">
        <f t="shared" si="5"/>
        <v>ok</v>
      </c>
      <c r="G32" s="53">
        <f t="shared" si="6"/>
        <v>0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/>
      <c r="E33" s="53">
        <f t="shared" si="4"/>
        <v>0</v>
      </c>
      <c r="F33" s="1" t="str">
        <f t="shared" si="5"/>
        <v>ok</v>
      </c>
      <c r="G33" s="53">
        <f t="shared" si="6"/>
        <v>0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/>
      <c r="E40" s="53">
        <f>0.7*D40</f>
        <v>0</v>
      </c>
      <c r="F40" s="1" t="str">
        <f>+IF(D40&lt;E39,"piso suave","ok")</f>
        <v>ok</v>
      </c>
      <c r="G40" s="53">
        <f>0.9*D40</f>
        <v>0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/>
      <c r="E41" s="53">
        <f>0.7*D41</f>
        <v>0</v>
      </c>
      <c r="F41" s="1" t="str">
        <f>+IF(D41&lt;E40,"piso suave","ok")</f>
        <v>ok</v>
      </c>
      <c r="G41" s="53">
        <f>0.9*D41</f>
        <v>0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/>
      <c r="E42" s="53">
        <f>0.7*D42</f>
        <v>0</v>
      </c>
      <c r="F42" s="1" t="str">
        <f>+IF(D42&lt;E41,"piso suave","ok")</f>
        <v>ok</v>
      </c>
      <c r="G42" s="53">
        <f>0.9*D42</f>
        <v>0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/>
      <c r="E43" s="53">
        <f>0.7*D43</f>
        <v>0</v>
      </c>
      <c r="F43" s="1" t="str">
        <f>+IF(D43&lt;E42,"piso suave","ok")</f>
        <v>ok</v>
      </c>
      <c r="G43" s="53">
        <f>0.9*D43</f>
        <v>0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/>
      <c r="E44" s="53">
        <f>0.7*D44</f>
        <v>0</v>
      </c>
      <c r="F44" s="1" t="str">
        <f>+IF(D44&lt;E43,"piso suave","ok")</f>
        <v>ok</v>
      </c>
      <c r="G44" s="53">
        <f>0.9*D44</f>
        <v>0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/>
      <c r="E45" s="53">
        <f t="shared" ref="E45:E50" si="8">0.7*D45</f>
        <v>0</v>
      </c>
      <c r="F45" s="1" t="str">
        <f t="shared" ref="F45:F50" si="9">+IF(D45&lt;E44,"piso suave","ok")</f>
        <v>ok</v>
      </c>
      <c r="G45" s="53">
        <f t="shared" ref="G45:G50" si="10">0.9*D45</f>
        <v>0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/>
      <c r="E46" s="53">
        <f t="shared" si="8"/>
        <v>0</v>
      </c>
      <c r="F46" s="1" t="str">
        <f t="shared" si="9"/>
        <v>ok</v>
      </c>
      <c r="G46" s="53">
        <f t="shared" si="10"/>
        <v>0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/>
      <c r="E47" s="53">
        <f t="shared" si="8"/>
        <v>0</v>
      </c>
      <c r="F47" s="1" t="str">
        <f t="shared" si="9"/>
        <v>ok</v>
      </c>
      <c r="G47" s="53">
        <f t="shared" si="10"/>
        <v>0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/>
      <c r="E48" s="53">
        <f t="shared" si="8"/>
        <v>0</v>
      </c>
      <c r="F48" s="1" t="str">
        <f t="shared" si="9"/>
        <v>ok</v>
      </c>
      <c r="G48" s="53">
        <f t="shared" si="10"/>
        <v>0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/>
      <c r="E49" s="53">
        <f t="shared" si="8"/>
        <v>0</v>
      </c>
      <c r="F49" s="1" t="str">
        <f t="shared" si="9"/>
        <v>ok</v>
      </c>
      <c r="G49" s="53">
        <f t="shared" si="10"/>
        <v>0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/>
      <c r="E50" s="53">
        <f t="shared" si="8"/>
        <v>0</v>
      </c>
      <c r="F50" s="1" t="str">
        <f t="shared" si="9"/>
        <v>ok</v>
      </c>
      <c r="G50" s="53">
        <f t="shared" si="10"/>
        <v>0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/>
      <c r="E57" s="53">
        <f>0.7*D57</f>
        <v>0</v>
      </c>
      <c r="F57" s="1" t="str">
        <f>+IF(D57&lt;E56,"piso suave","ok")</f>
        <v>ok</v>
      </c>
      <c r="G57" s="53">
        <f>0.9*D57</f>
        <v>0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/>
      <c r="E58" s="53">
        <f>0.7*D58</f>
        <v>0</v>
      </c>
      <c r="F58" s="1" t="str">
        <f>+IF(D58&lt;E57,"piso suave","ok")</f>
        <v>ok</v>
      </c>
      <c r="G58" s="53">
        <f>0.9*D58</f>
        <v>0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/>
      <c r="E59" s="53">
        <f>0.7*D59</f>
        <v>0</v>
      </c>
      <c r="F59" s="1" t="str">
        <f>+IF(D59&lt;E58,"piso suave","ok")</f>
        <v>ok</v>
      </c>
      <c r="G59" s="53">
        <f>0.9*D59</f>
        <v>0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/>
      <c r="E60" s="53">
        <f>0.7*D60</f>
        <v>0</v>
      </c>
      <c r="F60" s="1" t="str">
        <f>+IF(D60&lt;E59,"piso suave","ok")</f>
        <v>ok</v>
      </c>
      <c r="G60" s="53">
        <f>0.9*D60</f>
        <v>0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/>
      <c r="E61" s="53">
        <f>0.7*D61</f>
        <v>0</v>
      </c>
      <c r="F61" s="1" t="str">
        <f>+IF(D61&lt;E60,"piso suave","ok")</f>
        <v>ok</v>
      </c>
      <c r="G61" s="53">
        <f>0.9*D61</f>
        <v>0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/>
      <c r="E62" s="53">
        <f t="shared" ref="E62:E67" si="12">0.7*D62</f>
        <v>0</v>
      </c>
      <c r="F62" s="1" t="str">
        <f t="shared" ref="F62:F67" si="13">+IF(D62&lt;E61,"piso suave","ok")</f>
        <v>ok</v>
      </c>
      <c r="G62" s="53">
        <f t="shared" ref="G62:G67" si="14">0.9*D62</f>
        <v>0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/>
      <c r="E63" s="53">
        <f t="shared" si="12"/>
        <v>0</v>
      </c>
      <c r="F63" s="1" t="str">
        <f t="shared" si="13"/>
        <v>ok</v>
      </c>
      <c r="G63" s="53">
        <f t="shared" si="14"/>
        <v>0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/>
      <c r="E64" s="53">
        <f t="shared" si="12"/>
        <v>0</v>
      </c>
      <c r="F64" s="1" t="str">
        <f t="shared" si="13"/>
        <v>ok</v>
      </c>
      <c r="G64" s="53">
        <f t="shared" si="14"/>
        <v>0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/>
      <c r="E65" s="53">
        <f t="shared" si="12"/>
        <v>0</v>
      </c>
      <c r="F65" s="1" t="str">
        <f t="shared" si="13"/>
        <v>ok</v>
      </c>
      <c r="G65" s="53">
        <f t="shared" si="14"/>
        <v>0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/>
      <c r="E66" s="53">
        <f t="shared" si="12"/>
        <v>0</v>
      </c>
      <c r="F66" s="1" t="str">
        <f t="shared" si="13"/>
        <v>ok</v>
      </c>
      <c r="G66" s="53">
        <f t="shared" si="14"/>
        <v>0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/>
      <c r="E67" s="53">
        <f t="shared" si="12"/>
        <v>0</v>
      </c>
      <c r="F67" s="1" t="str">
        <f t="shared" si="13"/>
        <v>ok</v>
      </c>
      <c r="G67" s="53">
        <f t="shared" si="14"/>
        <v>0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0</v>
      </c>
      <c r="E7" s="171">
        <f>+'Centers of Mass and Rigidity'!E5</f>
        <v>0</v>
      </c>
      <c r="F7" s="68">
        <f>+E7*9.807</f>
        <v>0</v>
      </c>
      <c r="G7">
        <f>1.5*F7</f>
        <v>0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0</v>
      </c>
      <c r="E8" s="171">
        <f>+'Centers of Mass and Rigidity'!E6</f>
        <v>0</v>
      </c>
      <c r="F8" s="68">
        <f t="shared" ref="F8:F17" si="0">+E8*9.807</f>
        <v>0</v>
      </c>
      <c r="G8" s="68">
        <f t="shared" ref="G8:G17" si="1">1.5*F8</f>
        <v>0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0</v>
      </c>
      <c r="E9" s="171">
        <f>+'Centers of Mass and Rigidity'!E7</f>
        <v>0</v>
      </c>
      <c r="F9" s="68">
        <f t="shared" si="0"/>
        <v>0</v>
      </c>
      <c r="G9" s="68">
        <f t="shared" si="1"/>
        <v>0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0</v>
      </c>
      <c r="E10" s="171">
        <f>+'Centers of Mass and Rigidity'!E8</f>
        <v>0</v>
      </c>
      <c r="F10" s="68">
        <f t="shared" si="0"/>
        <v>0</v>
      </c>
      <c r="G10" s="68">
        <f t="shared" si="1"/>
        <v>0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0</v>
      </c>
      <c r="E11" s="171">
        <f>+'Centers of Mass and Rigidity'!E9</f>
        <v>0</v>
      </c>
      <c r="F11" s="68">
        <f t="shared" si="0"/>
        <v>0</v>
      </c>
      <c r="G11" s="68">
        <f t="shared" si="1"/>
        <v>0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0</v>
      </c>
      <c r="E12" s="171">
        <f>+'Centers of Mass and Rigidity'!E10</f>
        <v>0</v>
      </c>
      <c r="F12" s="158">
        <f t="shared" si="0"/>
        <v>0</v>
      </c>
      <c r="G12" s="158">
        <f t="shared" si="1"/>
        <v>0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0</v>
      </c>
      <c r="E13" s="171">
        <f>+'Centers of Mass and Rigidity'!E11</f>
        <v>0</v>
      </c>
      <c r="F13" s="158">
        <f t="shared" si="0"/>
        <v>0</v>
      </c>
      <c r="G13" s="158">
        <f t="shared" si="1"/>
        <v>0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0</v>
      </c>
      <c r="E14" s="171">
        <f>+'Centers of Mass and Rigidity'!E12</f>
        <v>0</v>
      </c>
      <c r="F14" s="158">
        <f t="shared" si="0"/>
        <v>0</v>
      </c>
      <c r="G14" s="158">
        <f t="shared" si="1"/>
        <v>0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0</v>
      </c>
      <c r="E15" s="171">
        <f>+'Centers of Mass and Rigidity'!E13</f>
        <v>0</v>
      </c>
      <c r="F15" s="158">
        <f t="shared" si="0"/>
        <v>0</v>
      </c>
      <c r="G15" s="158">
        <f t="shared" si="1"/>
        <v>0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0</v>
      </c>
      <c r="E16" s="171">
        <f>+'Centers of Mass and Rigidity'!E14</f>
        <v>0</v>
      </c>
      <c r="F16" s="158">
        <f t="shared" si="0"/>
        <v>0</v>
      </c>
      <c r="G16" s="158">
        <f t="shared" si="1"/>
        <v>0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0</v>
      </c>
      <c r="E17" s="171">
        <f>+'Centers of Mass and Rigidity'!E15</f>
        <v>0</v>
      </c>
      <c r="F17" s="158">
        <f t="shared" si="0"/>
        <v>0</v>
      </c>
      <c r="G17" s="158">
        <f t="shared" si="1"/>
        <v>0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0</v>
      </c>
      <c r="G18">
        <f>1.5*F18</f>
        <v>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B5" sqref="B5:J15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/>
      <c r="C5" s="172"/>
      <c r="D5" s="172"/>
      <c r="E5" s="172"/>
      <c r="F5" s="172"/>
      <c r="G5" s="172"/>
      <c r="H5" s="172"/>
      <c r="I5" s="172"/>
      <c r="J5" s="172"/>
    </row>
    <row r="6" spans="2:10" x14ac:dyDescent="0.3">
      <c r="B6" s="172"/>
      <c r="C6" s="172"/>
      <c r="D6" s="172"/>
      <c r="E6" s="172"/>
      <c r="F6" s="172"/>
      <c r="G6" s="172"/>
      <c r="H6" s="172"/>
      <c r="I6" s="172"/>
      <c r="J6" s="172"/>
    </row>
    <row r="7" spans="2:10" x14ac:dyDescent="0.3">
      <c r="B7" s="172"/>
      <c r="C7" s="172"/>
      <c r="D7" s="172"/>
      <c r="E7" s="172"/>
      <c r="F7" s="172"/>
      <c r="G7" s="172"/>
      <c r="H7" s="172"/>
      <c r="I7" s="172"/>
      <c r="J7" s="172"/>
    </row>
    <row r="8" spans="2:10" x14ac:dyDescent="0.3">
      <c r="B8" s="172"/>
      <c r="C8" s="172"/>
      <c r="D8" s="172"/>
      <c r="E8" s="172"/>
      <c r="F8" s="172"/>
      <c r="G8" s="172"/>
      <c r="H8" s="172"/>
      <c r="I8" s="172"/>
      <c r="J8" s="172"/>
    </row>
    <row r="9" spans="2:10" x14ac:dyDescent="0.3">
      <c r="B9" s="172"/>
      <c r="C9" s="172"/>
      <c r="D9" s="172"/>
      <c r="E9" s="172"/>
      <c r="F9" s="172"/>
      <c r="G9" s="172"/>
      <c r="H9" s="172"/>
      <c r="I9" s="172"/>
      <c r="J9" s="172"/>
    </row>
    <row r="10" spans="2:10" s="158" customFormat="1" x14ac:dyDescent="0.3">
      <c r="B10" s="172"/>
      <c r="C10" s="172"/>
      <c r="D10" s="172"/>
      <c r="E10" s="172"/>
      <c r="F10" s="172"/>
      <c r="G10" s="172"/>
      <c r="H10" s="172"/>
      <c r="I10" s="172"/>
      <c r="J10" s="172"/>
    </row>
    <row r="11" spans="2:10" s="158" customFormat="1" x14ac:dyDescent="0.3">
      <c r="B11" s="172"/>
      <c r="C11" s="172"/>
      <c r="D11" s="172"/>
      <c r="E11" s="172"/>
      <c r="F11" s="172"/>
      <c r="G11" s="172"/>
      <c r="H11" s="172"/>
      <c r="I11" s="172"/>
      <c r="J11" s="172"/>
    </row>
    <row r="12" spans="2:10" s="158" customFormat="1" x14ac:dyDescent="0.3">
      <c r="B12" s="172"/>
      <c r="C12" s="172"/>
      <c r="D12" s="172"/>
      <c r="E12" s="172"/>
      <c r="F12" s="172"/>
      <c r="G12" s="172"/>
      <c r="H12" s="172"/>
      <c r="I12" s="172"/>
      <c r="J12" s="172"/>
    </row>
    <row r="13" spans="2:10" s="158" customFormat="1" x14ac:dyDescent="0.3">
      <c r="B13" s="172"/>
      <c r="C13" s="172"/>
      <c r="D13" s="172"/>
      <c r="E13" s="172"/>
      <c r="F13" s="172"/>
      <c r="G13" s="172"/>
      <c r="H13" s="172"/>
      <c r="I13" s="172"/>
      <c r="J13" s="172"/>
    </row>
    <row r="14" spans="2:10" s="158" customFormat="1" x14ac:dyDescent="0.3">
      <c r="B14" s="172"/>
      <c r="C14" s="172"/>
      <c r="D14" s="172"/>
      <c r="E14" s="172"/>
      <c r="F14" s="172"/>
      <c r="G14" s="172"/>
      <c r="H14" s="172"/>
      <c r="I14" s="172"/>
      <c r="J14" s="172"/>
    </row>
    <row r="15" spans="2:10" s="158" customFormat="1" x14ac:dyDescent="0.3">
      <c r="B15" s="172"/>
      <c r="C15" s="172"/>
      <c r="D15" s="172"/>
      <c r="E15" s="172"/>
      <c r="F15" s="172"/>
      <c r="G15" s="172"/>
      <c r="H15" s="172"/>
      <c r="I15" s="172"/>
      <c r="J15" s="172"/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6" t="s">
        <v>73</v>
      </c>
      <c r="F19" s="206"/>
      <c r="G19" s="206"/>
      <c r="H19" s="206"/>
      <c r="I19" s="206"/>
      <c r="J19" s="206"/>
      <c r="K19" s="206"/>
      <c r="L19" s="206"/>
      <c r="M19" s="206"/>
      <c r="N19" s="206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0</v>
      </c>
      <c r="F22" s="83">
        <f t="shared" ref="F22:F32" si="0">+E5</f>
        <v>0</v>
      </c>
      <c r="G22" s="83">
        <v>0</v>
      </c>
      <c r="H22" s="83">
        <f t="shared" ref="H22:H32" si="1">+E22</f>
        <v>0</v>
      </c>
      <c r="I22" s="83">
        <f t="shared" ref="I22:I31" si="2">+H22-H23</f>
        <v>0</v>
      </c>
      <c r="J22" s="83" t="e">
        <f>IF(+'Sismo UBC-94 y Dinamico'!O15=0,'Sismo UBC-94 y Dinamico'!M15,'Sismo UBC-94 y Dinamico'!O15)</f>
        <v>#DIV/0!</v>
      </c>
      <c r="K22" s="83">
        <f t="shared" ref="K22:K32" si="3">+C22</f>
        <v>38.5</v>
      </c>
      <c r="L22" s="83">
        <f>+G22*I22</f>
        <v>0</v>
      </c>
      <c r="M22" s="83" t="e">
        <f>+J22*K22</f>
        <v>#DIV/0!</v>
      </c>
      <c r="N22" s="83" t="e">
        <f>+L22/M22</f>
        <v>#DIV/0!</v>
      </c>
      <c r="O22" s="83" t="e">
        <f>+IF(N22&gt;O21,"P-DELTA","OK")</f>
        <v>#DIV/0!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0</v>
      </c>
      <c r="F23" s="165">
        <f t="shared" si="0"/>
        <v>0</v>
      </c>
      <c r="G23" s="83">
        <f>+F23</f>
        <v>0</v>
      </c>
      <c r="H23" s="83">
        <f t="shared" si="1"/>
        <v>0</v>
      </c>
      <c r="I23" s="83">
        <f t="shared" si="2"/>
        <v>0</v>
      </c>
      <c r="J23" s="172" t="e">
        <f>IF(+'Sismo UBC-94 y Dinamico'!O16=0,'Sismo UBC-94 y Dinamico'!M16,'Sismo UBC-94 y Dinamico'!O16)</f>
        <v>#DIV/0!</v>
      </c>
      <c r="K23" s="172">
        <f t="shared" si="3"/>
        <v>35.5</v>
      </c>
      <c r="L23" s="83">
        <f t="shared" ref="L23:L32" si="4">+G23*I23</f>
        <v>0</v>
      </c>
      <c r="M23" s="83" t="e">
        <f t="shared" ref="M23:M32" si="5">+J23*K23</f>
        <v>#DIV/0!</v>
      </c>
      <c r="N23" s="83" t="e">
        <f t="shared" ref="N23:N32" si="6">+L23/M23</f>
        <v>#DIV/0!</v>
      </c>
      <c r="O23" s="83" t="e">
        <f t="shared" ref="O23:O32" si="7">+IF(N23&gt;O22,"P-DELTA","OK")</f>
        <v>#DIV/0!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0</v>
      </c>
      <c r="F24" s="165">
        <f t="shared" si="0"/>
        <v>0</v>
      </c>
      <c r="G24" s="83">
        <f>+F24-F23</f>
        <v>0</v>
      </c>
      <c r="H24" s="83">
        <f t="shared" si="1"/>
        <v>0</v>
      </c>
      <c r="I24" s="83">
        <f t="shared" si="2"/>
        <v>0</v>
      </c>
      <c r="J24" s="172" t="e">
        <f>IF(+'Sismo UBC-94 y Dinamico'!O17=0,'Sismo UBC-94 y Dinamico'!M17,'Sismo UBC-94 y Dinamico'!O17)</f>
        <v>#DIV/0!</v>
      </c>
      <c r="K24" s="172">
        <f t="shared" si="3"/>
        <v>32</v>
      </c>
      <c r="L24" s="83">
        <f t="shared" si="4"/>
        <v>0</v>
      </c>
      <c r="M24" s="83" t="e">
        <f t="shared" si="5"/>
        <v>#DIV/0!</v>
      </c>
      <c r="N24" s="83" t="e">
        <f t="shared" si="6"/>
        <v>#DIV/0!</v>
      </c>
      <c r="O24" s="83" t="e">
        <f t="shared" si="7"/>
        <v>#DIV/0!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0</v>
      </c>
      <c r="F25" s="165">
        <f t="shared" si="0"/>
        <v>0</v>
      </c>
      <c r="G25" s="83">
        <f>+F25-F24</f>
        <v>0</v>
      </c>
      <c r="H25" s="83">
        <f t="shared" si="1"/>
        <v>0</v>
      </c>
      <c r="I25" s="83">
        <f t="shared" si="2"/>
        <v>0</v>
      </c>
      <c r="J25" s="172" t="e">
        <f>IF(+'Sismo UBC-94 y Dinamico'!O18=0,'Sismo UBC-94 y Dinamico'!M18,'Sismo UBC-94 y Dinamico'!O18)</f>
        <v>#DIV/0!</v>
      </c>
      <c r="K25" s="172">
        <f t="shared" si="3"/>
        <v>28.5</v>
      </c>
      <c r="L25" s="83">
        <f t="shared" si="4"/>
        <v>0</v>
      </c>
      <c r="M25" s="83" t="e">
        <f t="shared" si="5"/>
        <v>#DIV/0!</v>
      </c>
      <c r="N25" s="83" t="e">
        <f t="shared" si="6"/>
        <v>#DIV/0!</v>
      </c>
      <c r="O25" s="83" t="e">
        <f t="shared" si="7"/>
        <v>#DIV/0!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0</v>
      </c>
      <c r="F26" s="165">
        <f t="shared" si="0"/>
        <v>0</v>
      </c>
      <c r="G26" s="83">
        <f>+F26-F25</f>
        <v>0</v>
      </c>
      <c r="H26" s="83">
        <f t="shared" si="1"/>
        <v>0</v>
      </c>
      <c r="I26" s="83">
        <f t="shared" si="2"/>
        <v>0</v>
      </c>
      <c r="J26" s="172" t="e">
        <f>IF(+'Sismo UBC-94 y Dinamico'!O19=0,'Sismo UBC-94 y Dinamico'!M19,'Sismo UBC-94 y Dinamico'!O19)</f>
        <v>#DIV/0!</v>
      </c>
      <c r="K26" s="172">
        <f t="shared" si="3"/>
        <v>25</v>
      </c>
      <c r="L26" s="83">
        <f t="shared" si="4"/>
        <v>0</v>
      </c>
      <c r="M26" s="83" t="e">
        <f t="shared" si="5"/>
        <v>#DIV/0!</v>
      </c>
      <c r="N26" s="83" t="e">
        <f t="shared" si="6"/>
        <v>#DIV/0!</v>
      </c>
      <c r="O26" s="83" t="e">
        <f t="shared" si="7"/>
        <v>#DIV/0!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0</v>
      </c>
      <c r="F27" s="165">
        <f t="shared" si="0"/>
        <v>0</v>
      </c>
      <c r="G27" s="165">
        <f t="shared" ref="G27:G32" si="8">+F27-F26</f>
        <v>0</v>
      </c>
      <c r="H27" s="165">
        <f t="shared" si="1"/>
        <v>0</v>
      </c>
      <c r="I27" s="165">
        <f t="shared" si="2"/>
        <v>0</v>
      </c>
      <c r="J27" s="172" t="e">
        <f>IF(+'Sismo UBC-94 y Dinamico'!O20=0,'Sismo UBC-94 y Dinamico'!M20,'Sismo UBC-94 y Dinamico'!O20)</f>
        <v>#DIV/0!</v>
      </c>
      <c r="K27" s="172">
        <f t="shared" si="3"/>
        <v>21.5</v>
      </c>
      <c r="L27" s="165">
        <f t="shared" si="4"/>
        <v>0</v>
      </c>
      <c r="M27" s="165" t="e">
        <f t="shared" si="5"/>
        <v>#DIV/0!</v>
      </c>
      <c r="N27" s="165" t="e">
        <f t="shared" si="6"/>
        <v>#DIV/0!</v>
      </c>
      <c r="O27" s="165" t="e">
        <f t="shared" si="7"/>
        <v>#DIV/0!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0</v>
      </c>
      <c r="F28" s="165">
        <f t="shared" si="0"/>
        <v>0</v>
      </c>
      <c r="G28" s="165">
        <f t="shared" si="8"/>
        <v>0</v>
      </c>
      <c r="H28" s="165">
        <f t="shared" si="1"/>
        <v>0</v>
      </c>
      <c r="I28" s="165">
        <f t="shared" si="2"/>
        <v>0</v>
      </c>
      <c r="J28" s="172" t="e">
        <f>IF(+'Sismo UBC-94 y Dinamico'!O21=0,'Sismo UBC-94 y Dinamico'!M21,'Sismo UBC-94 y Dinamico'!O21)</f>
        <v>#DIV/0!</v>
      </c>
      <c r="K28" s="172">
        <f t="shared" si="3"/>
        <v>18</v>
      </c>
      <c r="L28" s="165">
        <f t="shared" si="4"/>
        <v>0</v>
      </c>
      <c r="M28" s="165" t="e">
        <f t="shared" si="5"/>
        <v>#DIV/0!</v>
      </c>
      <c r="N28" s="165" t="e">
        <f t="shared" si="6"/>
        <v>#DIV/0!</v>
      </c>
      <c r="O28" s="165" t="e">
        <f t="shared" si="7"/>
        <v>#DIV/0!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0</v>
      </c>
      <c r="F29" s="165">
        <f t="shared" si="0"/>
        <v>0</v>
      </c>
      <c r="G29" s="165">
        <f t="shared" si="8"/>
        <v>0</v>
      </c>
      <c r="H29" s="165">
        <f t="shared" si="1"/>
        <v>0</v>
      </c>
      <c r="I29" s="165">
        <f t="shared" si="2"/>
        <v>0</v>
      </c>
      <c r="J29" s="172" t="e">
        <f>IF(+'Sismo UBC-94 y Dinamico'!O22=0,'Sismo UBC-94 y Dinamico'!M22,'Sismo UBC-94 y Dinamico'!O22)</f>
        <v>#DIV/0!</v>
      </c>
      <c r="K29" s="172">
        <f t="shared" si="3"/>
        <v>14.5</v>
      </c>
      <c r="L29" s="165">
        <f t="shared" si="4"/>
        <v>0</v>
      </c>
      <c r="M29" s="165" t="e">
        <f t="shared" si="5"/>
        <v>#DIV/0!</v>
      </c>
      <c r="N29" s="165" t="e">
        <f t="shared" si="6"/>
        <v>#DIV/0!</v>
      </c>
      <c r="O29" s="165" t="e">
        <f t="shared" si="7"/>
        <v>#DIV/0!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0</v>
      </c>
      <c r="F30" s="165">
        <f t="shared" si="0"/>
        <v>0</v>
      </c>
      <c r="G30" s="165">
        <f t="shared" si="8"/>
        <v>0</v>
      </c>
      <c r="H30" s="165">
        <f t="shared" si="1"/>
        <v>0</v>
      </c>
      <c r="I30" s="165">
        <f t="shared" si="2"/>
        <v>0</v>
      </c>
      <c r="J30" s="172" t="e">
        <f>IF(+'Sismo UBC-94 y Dinamico'!O23=0,'Sismo UBC-94 y Dinamico'!M23,'Sismo UBC-94 y Dinamico'!O23)</f>
        <v>#DIV/0!</v>
      </c>
      <c r="K30" s="172">
        <f t="shared" si="3"/>
        <v>11</v>
      </c>
      <c r="L30" s="165">
        <f t="shared" si="4"/>
        <v>0</v>
      </c>
      <c r="M30" s="165" t="e">
        <f t="shared" si="5"/>
        <v>#DIV/0!</v>
      </c>
      <c r="N30" s="165" t="e">
        <f t="shared" si="6"/>
        <v>#DIV/0!</v>
      </c>
      <c r="O30" s="165" t="e">
        <f t="shared" si="7"/>
        <v>#DIV/0!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0</v>
      </c>
      <c r="F31" s="165">
        <f t="shared" si="0"/>
        <v>0</v>
      </c>
      <c r="G31" s="165">
        <f t="shared" si="8"/>
        <v>0</v>
      </c>
      <c r="H31" s="165">
        <f t="shared" si="1"/>
        <v>0</v>
      </c>
      <c r="I31" s="165">
        <f t="shared" si="2"/>
        <v>0</v>
      </c>
      <c r="J31" s="172" t="e">
        <f>IF(+'Sismo UBC-94 y Dinamico'!O24=0,'Sismo UBC-94 y Dinamico'!M24,'Sismo UBC-94 y Dinamico'!O24)</f>
        <v>#DIV/0!</v>
      </c>
      <c r="K31" s="172">
        <f t="shared" si="3"/>
        <v>7.5</v>
      </c>
      <c r="L31" s="165">
        <f t="shared" si="4"/>
        <v>0</v>
      </c>
      <c r="M31" s="165" t="e">
        <f t="shared" si="5"/>
        <v>#DIV/0!</v>
      </c>
      <c r="N31" s="165" t="e">
        <f t="shared" si="6"/>
        <v>#DIV/0!</v>
      </c>
      <c r="O31" s="165" t="e">
        <f t="shared" si="7"/>
        <v>#DIV/0!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0</v>
      </c>
      <c r="F32" s="165">
        <f t="shared" si="0"/>
        <v>0</v>
      </c>
      <c r="G32" s="165">
        <f t="shared" si="8"/>
        <v>0</v>
      </c>
      <c r="H32" s="165">
        <f t="shared" si="1"/>
        <v>0</v>
      </c>
      <c r="I32" s="165">
        <f>+H32-I33</f>
        <v>0</v>
      </c>
      <c r="J32" s="172" t="e">
        <f>IF(+'Sismo UBC-94 y Dinamico'!O25=0,'Sismo UBC-94 y Dinamico'!M25,'Sismo UBC-94 y Dinamico'!O25)</f>
        <v>#DIV/0!</v>
      </c>
      <c r="K32" s="172">
        <f t="shared" si="3"/>
        <v>4</v>
      </c>
      <c r="L32" s="165">
        <f t="shared" si="4"/>
        <v>0</v>
      </c>
      <c r="M32" s="165" t="e">
        <f t="shared" si="5"/>
        <v>#DIV/0!</v>
      </c>
      <c r="N32" s="165" t="e">
        <f t="shared" si="6"/>
        <v>#DIV/0!</v>
      </c>
      <c r="O32" s="165" t="e">
        <f t="shared" si="7"/>
        <v>#DIV/0!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6" t="s">
        <v>73</v>
      </c>
      <c r="F37" s="206"/>
      <c r="G37" s="206"/>
      <c r="H37" s="206"/>
      <c r="I37" s="206"/>
      <c r="J37" s="206"/>
      <c r="K37" s="206"/>
      <c r="L37" s="206"/>
      <c r="M37" s="206"/>
      <c r="N37" s="206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0</v>
      </c>
      <c r="F40" s="165">
        <f t="shared" ref="F40:F50" si="9">+E5</f>
        <v>0</v>
      </c>
      <c r="G40" s="165">
        <v>0</v>
      </c>
      <c r="H40" s="165">
        <f t="shared" ref="H40:H50" si="10">+E40</f>
        <v>0</v>
      </c>
      <c r="I40" s="165">
        <f t="shared" ref="I40:I49" si="11">+H40-H41</f>
        <v>0</v>
      </c>
      <c r="J40" s="165" t="e">
        <f>+J22</f>
        <v>#DIV/0!</v>
      </c>
      <c r="K40" s="165">
        <f t="shared" ref="K40:K50" si="12">+C40</f>
        <v>38.5</v>
      </c>
      <c r="L40" s="165">
        <f>+G40*I40</f>
        <v>0</v>
      </c>
      <c r="M40" s="165" t="e">
        <f>+J40*K40</f>
        <v>#DIV/0!</v>
      </c>
      <c r="N40" s="165" t="e">
        <f>+L40/M40</f>
        <v>#DIV/0!</v>
      </c>
      <c r="O40" s="165" t="e">
        <f>+IF(N40&gt;O39,"P-DELTA","OK")</f>
        <v>#DIV/0!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0</v>
      </c>
      <c r="F41" s="165">
        <f t="shared" si="9"/>
        <v>0</v>
      </c>
      <c r="G41" s="165">
        <f>+F41</f>
        <v>0</v>
      </c>
      <c r="H41" s="165">
        <f t="shared" si="10"/>
        <v>0</v>
      </c>
      <c r="I41" s="165">
        <f t="shared" si="11"/>
        <v>0</v>
      </c>
      <c r="J41" s="172" t="e">
        <f t="shared" ref="J41:J50" si="13">+J23</f>
        <v>#DIV/0!</v>
      </c>
      <c r="K41" s="172">
        <f t="shared" si="12"/>
        <v>35.5</v>
      </c>
      <c r="L41" s="165">
        <f t="shared" ref="L41:L50" si="14">+G41*I41</f>
        <v>0</v>
      </c>
      <c r="M41" s="165" t="e">
        <f t="shared" ref="M41:M50" si="15">+J41*K41</f>
        <v>#DIV/0!</v>
      </c>
      <c r="N41" s="165" t="e">
        <f t="shared" ref="N41:N50" si="16">+L41/M41</f>
        <v>#DIV/0!</v>
      </c>
      <c r="O41" s="165" t="e">
        <f t="shared" ref="O41:O50" si="17">+IF(N41&gt;O40,"P-DELTA","OK")</f>
        <v>#DIV/0!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0</v>
      </c>
      <c r="F42" s="165">
        <f t="shared" si="9"/>
        <v>0</v>
      </c>
      <c r="G42" s="165">
        <f>+F42-F41</f>
        <v>0</v>
      </c>
      <c r="H42" s="165">
        <f t="shared" si="10"/>
        <v>0</v>
      </c>
      <c r="I42" s="165">
        <f t="shared" si="11"/>
        <v>0</v>
      </c>
      <c r="J42" s="172" t="e">
        <f t="shared" si="13"/>
        <v>#DIV/0!</v>
      </c>
      <c r="K42" s="172">
        <f t="shared" si="12"/>
        <v>32</v>
      </c>
      <c r="L42" s="165">
        <f t="shared" si="14"/>
        <v>0</v>
      </c>
      <c r="M42" s="165" t="e">
        <f t="shared" si="15"/>
        <v>#DIV/0!</v>
      </c>
      <c r="N42" s="165" t="e">
        <f t="shared" si="16"/>
        <v>#DIV/0!</v>
      </c>
      <c r="O42" s="165" t="e">
        <f t="shared" si="17"/>
        <v>#DIV/0!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0</v>
      </c>
      <c r="F43" s="165">
        <f t="shared" si="9"/>
        <v>0</v>
      </c>
      <c r="G43" s="165">
        <f t="shared" ref="G43:G50" si="18">+F43-F42</f>
        <v>0</v>
      </c>
      <c r="H43" s="165">
        <f t="shared" si="10"/>
        <v>0</v>
      </c>
      <c r="I43" s="165">
        <f t="shared" si="11"/>
        <v>0</v>
      </c>
      <c r="J43" s="172" t="e">
        <f t="shared" si="13"/>
        <v>#DIV/0!</v>
      </c>
      <c r="K43" s="172">
        <f t="shared" si="12"/>
        <v>28.5</v>
      </c>
      <c r="L43" s="165">
        <f t="shared" si="14"/>
        <v>0</v>
      </c>
      <c r="M43" s="165" t="e">
        <f t="shared" si="15"/>
        <v>#DIV/0!</v>
      </c>
      <c r="N43" s="165" t="e">
        <f t="shared" si="16"/>
        <v>#DIV/0!</v>
      </c>
      <c r="O43" s="165" t="e">
        <f t="shared" si="17"/>
        <v>#DIV/0!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0</v>
      </c>
      <c r="F44" s="165">
        <f t="shared" si="9"/>
        <v>0</v>
      </c>
      <c r="G44" s="165">
        <f t="shared" si="18"/>
        <v>0</v>
      </c>
      <c r="H44" s="165">
        <f t="shared" si="10"/>
        <v>0</v>
      </c>
      <c r="I44" s="165">
        <f t="shared" si="11"/>
        <v>0</v>
      </c>
      <c r="J44" s="172" t="e">
        <f t="shared" si="13"/>
        <v>#DIV/0!</v>
      </c>
      <c r="K44" s="172">
        <f t="shared" si="12"/>
        <v>25</v>
      </c>
      <c r="L44" s="165">
        <f t="shared" si="14"/>
        <v>0</v>
      </c>
      <c r="M44" s="165" t="e">
        <f t="shared" si="15"/>
        <v>#DIV/0!</v>
      </c>
      <c r="N44" s="165" t="e">
        <f t="shared" si="16"/>
        <v>#DIV/0!</v>
      </c>
      <c r="O44" s="165" t="e">
        <f t="shared" si="17"/>
        <v>#DIV/0!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0</v>
      </c>
      <c r="F45" s="165">
        <f t="shared" si="9"/>
        <v>0</v>
      </c>
      <c r="G45" s="165">
        <f t="shared" si="18"/>
        <v>0</v>
      </c>
      <c r="H45" s="165">
        <f t="shared" si="10"/>
        <v>0</v>
      </c>
      <c r="I45" s="165">
        <f t="shared" si="11"/>
        <v>0</v>
      </c>
      <c r="J45" s="172" t="e">
        <f t="shared" si="13"/>
        <v>#DIV/0!</v>
      </c>
      <c r="K45" s="172">
        <f t="shared" si="12"/>
        <v>21.5</v>
      </c>
      <c r="L45" s="165">
        <f t="shared" si="14"/>
        <v>0</v>
      </c>
      <c r="M45" s="165" t="e">
        <f t="shared" si="15"/>
        <v>#DIV/0!</v>
      </c>
      <c r="N45" s="165" t="e">
        <f t="shared" si="16"/>
        <v>#DIV/0!</v>
      </c>
      <c r="O45" s="165" t="e">
        <f t="shared" si="17"/>
        <v>#DIV/0!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0</v>
      </c>
      <c r="F46" s="165">
        <f t="shared" si="9"/>
        <v>0</v>
      </c>
      <c r="G46" s="165">
        <f t="shared" si="18"/>
        <v>0</v>
      </c>
      <c r="H46" s="165">
        <f t="shared" si="10"/>
        <v>0</v>
      </c>
      <c r="I46" s="165">
        <f t="shared" si="11"/>
        <v>0</v>
      </c>
      <c r="J46" s="172" t="e">
        <f t="shared" si="13"/>
        <v>#DIV/0!</v>
      </c>
      <c r="K46" s="172">
        <f t="shared" si="12"/>
        <v>18</v>
      </c>
      <c r="L46" s="165">
        <f t="shared" si="14"/>
        <v>0</v>
      </c>
      <c r="M46" s="165" t="e">
        <f t="shared" si="15"/>
        <v>#DIV/0!</v>
      </c>
      <c r="N46" s="165" t="e">
        <f t="shared" si="16"/>
        <v>#DIV/0!</v>
      </c>
      <c r="O46" s="165" t="e">
        <f t="shared" si="17"/>
        <v>#DIV/0!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0</v>
      </c>
      <c r="F47" s="165">
        <f t="shared" si="9"/>
        <v>0</v>
      </c>
      <c r="G47" s="165">
        <f t="shared" si="18"/>
        <v>0</v>
      </c>
      <c r="H47" s="165">
        <f t="shared" si="10"/>
        <v>0</v>
      </c>
      <c r="I47" s="165">
        <f t="shared" si="11"/>
        <v>0</v>
      </c>
      <c r="J47" s="172" t="e">
        <f t="shared" si="13"/>
        <v>#DIV/0!</v>
      </c>
      <c r="K47" s="172">
        <f t="shared" si="12"/>
        <v>14.5</v>
      </c>
      <c r="L47" s="165">
        <f t="shared" si="14"/>
        <v>0</v>
      </c>
      <c r="M47" s="165" t="e">
        <f t="shared" si="15"/>
        <v>#DIV/0!</v>
      </c>
      <c r="N47" s="165" t="e">
        <f t="shared" si="16"/>
        <v>#DIV/0!</v>
      </c>
      <c r="O47" s="165" t="e">
        <f t="shared" si="17"/>
        <v>#DIV/0!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0</v>
      </c>
      <c r="F48" s="165">
        <f t="shared" si="9"/>
        <v>0</v>
      </c>
      <c r="G48" s="165">
        <f t="shared" si="18"/>
        <v>0</v>
      </c>
      <c r="H48" s="165">
        <f t="shared" si="10"/>
        <v>0</v>
      </c>
      <c r="I48" s="165">
        <f t="shared" si="11"/>
        <v>0</v>
      </c>
      <c r="J48" s="172" t="e">
        <f t="shared" si="13"/>
        <v>#DIV/0!</v>
      </c>
      <c r="K48" s="172">
        <f t="shared" si="12"/>
        <v>11</v>
      </c>
      <c r="L48" s="165">
        <f t="shared" si="14"/>
        <v>0</v>
      </c>
      <c r="M48" s="165" t="e">
        <f t="shared" si="15"/>
        <v>#DIV/0!</v>
      </c>
      <c r="N48" s="165" t="e">
        <f t="shared" si="16"/>
        <v>#DIV/0!</v>
      </c>
      <c r="O48" s="165" t="e">
        <f t="shared" si="17"/>
        <v>#DIV/0!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0</v>
      </c>
      <c r="F49" s="165">
        <f t="shared" si="9"/>
        <v>0</v>
      </c>
      <c r="G49" s="165">
        <f t="shared" si="18"/>
        <v>0</v>
      </c>
      <c r="H49" s="165">
        <f t="shared" si="10"/>
        <v>0</v>
      </c>
      <c r="I49" s="165">
        <f t="shared" si="11"/>
        <v>0</v>
      </c>
      <c r="J49" s="172" t="e">
        <f t="shared" si="13"/>
        <v>#DIV/0!</v>
      </c>
      <c r="K49" s="172">
        <f t="shared" si="12"/>
        <v>7.5</v>
      </c>
      <c r="L49" s="165">
        <f t="shared" si="14"/>
        <v>0</v>
      </c>
      <c r="M49" s="165" t="e">
        <f t="shared" si="15"/>
        <v>#DIV/0!</v>
      </c>
      <c r="N49" s="165" t="e">
        <f t="shared" si="16"/>
        <v>#DIV/0!</v>
      </c>
      <c r="O49" s="165" t="e">
        <f t="shared" si="17"/>
        <v>#DIV/0!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0</v>
      </c>
      <c r="F50" s="165">
        <f t="shared" si="9"/>
        <v>0</v>
      </c>
      <c r="G50" s="165">
        <f t="shared" si="18"/>
        <v>0</v>
      </c>
      <c r="H50" s="165">
        <f t="shared" si="10"/>
        <v>0</v>
      </c>
      <c r="I50" s="165">
        <f>+H50-I51</f>
        <v>0</v>
      </c>
      <c r="J50" s="172" t="e">
        <f t="shared" si="13"/>
        <v>#DIV/0!</v>
      </c>
      <c r="K50" s="172">
        <f t="shared" si="12"/>
        <v>4</v>
      </c>
      <c r="L50" s="165">
        <f t="shared" si="14"/>
        <v>0</v>
      </c>
      <c r="M50" s="165" t="e">
        <f t="shared" si="15"/>
        <v>#DIV/0!</v>
      </c>
      <c r="N50" s="165" t="e">
        <f t="shared" si="16"/>
        <v>#DIV/0!</v>
      </c>
      <c r="O50" s="165" t="e">
        <f t="shared" si="17"/>
        <v>#DIV/0!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6" t="s">
        <v>73</v>
      </c>
      <c r="F55" s="206"/>
      <c r="G55" s="206"/>
      <c r="H55" s="206"/>
      <c r="I55" s="206"/>
      <c r="J55" s="206"/>
      <c r="K55" s="206"/>
      <c r="L55" s="206"/>
      <c r="M55" s="206"/>
      <c r="N55" s="206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0</v>
      </c>
      <c r="F58" s="83">
        <f t="shared" ref="F58:F68" si="19">+E5</f>
        <v>0</v>
      </c>
      <c r="G58" s="83">
        <v>0</v>
      </c>
      <c r="H58" s="83">
        <f>+E58</f>
        <v>0</v>
      </c>
      <c r="I58" s="83">
        <f>+H58-H59</f>
        <v>0</v>
      </c>
      <c r="J58" s="83" t="e">
        <f>IF(+'Sismo UBC-94 y Dinamico'!P34=0,'Sismo UBC-94 y Dinamico'!N34,'Sismo UBC-94 y Dinamico'!P34)</f>
        <v>#DIV/0!</v>
      </c>
      <c r="K58" s="83">
        <f t="shared" ref="K58:K68" si="20">+C58</f>
        <v>38.5</v>
      </c>
      <c r="L58" s="83">
        <f>+G58*I58</f>
        <v>0</v>
      </c>
      <c r="M58" s="83" t="e">
        <f>+J58*K58</f>
        <v>#DIV/0!</v>
      </c>
      <c r="N58" s="83" t="e">
        <f>+L58/M58</f>
        <v>#DIV/0!</v>
      </c>
      <c r="O58" s="83" t="e">
        <f>+IF(N58&gt;O57,"P-DELTA","OK")</f>
        <v>#DIV/0!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0</v>
      </c>
      <c r="F59" s="165">
        <f t="shared" si="19"/>
        <v>0</v>
      </c>
      <c r="G59" s="83">
        <f>+F59</f>
        <v>0</v>
      </c>
      <c r="H59" s="83">
        <f t="shared" ref="H59:H68" si="21">+E59</f>
        <v>0</v>
      </c>
      <c r="I59" s="83">
        <f>+H59-H60</f>
        <v>0</v>
      </c>
      <c r="J59" s="172" t="e">
        <f>IF(+'Sismo UBC-94 y Dinamico'!P35=0,'Sismo UBC-94 y Dinamico'!N35,'Sismo UBC-94 y Dinamico'!P35)</f>
        <v>#DIV/0!</v>
      </c>
      <c r="K59" s="172">
        <f t="shared" si="20"/>
        <v>35.5</v>
      </c>
      <c r="L59" s="83">
        <f>+G59*I59</f>
        <v>0</v>
      </c>
      <c r="M59" s="83" t="e">
        <f>+J59*K59</f>
        <v>#DIV/0!</v>
      </c>
      <c r="N59" s="83" t="e">
        <f>+L59/M59</f>
        <v>#DIV/0!</v>
      </c>
      <c r="O59" s="83" t="e">
        <f>+IF(N59&gt;O58,"P-DELTA","OK")</f>
        <v>#DIV/0!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0</v>
      </c>
      <c r="F60" s="165">
        <f t="shared" si="19"/>
        <v>0</v>
      </c>
      <c r="G60" s="83">
        <f>+F60-F59</f>
        <v>0</v>
      </c>
      <c r="H60" s="83">
        <f t="shared" si="21"/>
        <v>0</v>
      </c>
      <c r="I60" s="83">
        <f>+H60-H61</f>
        <v>0</v>
      </c>
      <c r="J60" s="172" t="e">
        <f>IF(+'Sismo UBC-94 y Dinamico'!P36=0,'Sismo UBC-94 y Dinamico'!N36,'Sismo UBC-94 y Dinamico'!P36)</f>
        <v>#DIV/0!</v>
      </c>
      <c r="K60" s="172">
        <f t="shared" si="20"/>
        <v>32</v>
      </c>
      <c r="L60" s="83">
        <f>+G60*I60</f>
        <v>0</v>
      </c>
      <c r="M60" s="83" t="e">
        <f>+J60*K60</f>
        <v>#DIV/0!</v>
      </c>
      <c r="N60" s="83" t="e">
        <f>+L60/M60</f>
        <v>#DIV/0!</v>
      </c>
      <c r="O60" s="83" t="e">
        <f>+IF(N60&gt;O59,"P-DELTA","OK")</f>
        <v>#DIV/0!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0</v>
      </c>
      <c r="F61" s="165">
        <f t="shared" si="19"/>
        <v>0</v>
      </c>
      <c r="G61" s="83">
        <f t="shared" ref="G61:G68" si="22">+F61-F60</f>
        <v>0</v>
      </c>
      <c r="H61" s="83">
        <f t="shared" si="21"/>
        <v>0</v>
      </c>
      <c r="I61" s="83">
        <f>+H61-H62</f>
        <v>0</v>
      </c>
      <c r="J61" s="172" t="e">
        <f>IF(+'Sismo UBC-94 y Dinamico'!P37=0,'Sismo UBC-94 y Dinamico'!N37,'Sismo UBC-94 y Dinamico'!P37)</f>
        <v>#DIV/0!</v>
      </c>
      <c r="K61" s="172">
        <f t="shared" si="20"/>
        <v>28.5</v>
      </c>
      <c r="L61" s="83">
        <f>+G61*I61</f>
        <v>0</v>
      </c>
      <c r="M61" s="83" t="e">
        <f>+J61*K61</f>
        <v>#DIV/0!</v>
      </c>
      <c r="N61" s="83" t="e">
        <f>+L61/M61</f>
        <v>#DIV/0!</v>
      </c>
      <c r="O61" s="83" t="e">
        <f>+IF(N61&gt;O60,"P-DELTA","OK")</f>
        <v>#DIV/0!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0</v>
      </c>
      <c r="F62" s="165">
        <f t="shared" si="19"/>
        <v>0</v>
      </c>
      <c r="G62" s="83">
        <f t="shared" si="22"/>
        <v>0</v>
      </c>
      <c r="H62" s="83">
        <f t="shared" si="21"/>
        <v>0</v>
      </c>
      <c r="I62" s="83">
        <f>+H62-H63</f>
        <v>0</v>
      </c>
      <c r="J62" s="172" t="e">
        <f>IF(+'Sismo UBC-94 y Dinamico'!P38=0,'Sismo UBC-94 y Dinamico'!N38,'Sismo UBC-94 y Dinamico'!P38)</f>
        <v>#DIV/0!</v>
      </c>
      <c r="K62" s="172">
        <f t="shared" si="20"/>
        <v>25</v>
      </c>
      <c r="L62" s="83">
        <f>+G62*I62</f>
        <v>0</v>
      </c>
      <c r="M62" s="83" t="e">
        <f>+J62*K62</f>
        <v>#DIV/0!</v>
      </c>
      <c r="N62" s="83" t="e">
        <f>+L62/M62</f>
        <v>#DIV/0!</v>
      </c>
      <c r="O62" s="83" t="e">
        <f>+IF(N62&gt;O61,"P-DELTA","OK")</f>
        <v>#DIV/0!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0</v>
      </c>
      <c r="F63" s="165">
        <f t="shared" si="19"/>
        <v>0</v>
      </c>
      <c r="G63" s="165">
        <f t="shared" si="22"/>
        <v>0</v>
      </c>
      <c r="H63" s="165">
        <f t="shared" si="21"/>
        <v>0</v>
      </c>
      <c r="I63" s="165">
        <f t="shared" ref="I63:I68" si="23">+H63-H64</f>
        <v>0</v>
      </c>
      <c r="J63" s="172" t="e">
        <f>IF(+'Sismo UBC-94 y Dinamico'!P39=0,'Sismo UBC-94 y Dinamico'!N39,'Sismo UBC-94 y Dinamico'!P39)</f>
        <v>#DIV/0!</v>
      </c>
      <c r="K63" s="172">
        <f t="shared" si="20"/>
        <v>21.5</v>
      </c>
      <c r="L63" s="165">
        <f t="shared" ref="L63:L68" si="24">+G63*I63</f>
        <v>0</v>
      </c>
      <c r="M63" s="165" t="e">
        <f t="shared" ref="M63:M68" si="25">+J63*K63</f>
        <v>#DIV/0!</v>
      </c>
      <c r="N63" s="165" t="e">
        <f t="shared" ref="N63:N68" si="26">+L63/M63</f>
        <v>#DIV/0!</v>
      </c>
      <c r="O63" s="165" t="e">
        <f t="shared" ref="O63:O68" si="27">+IF(N63&gt;O62,"P-DELTA","OK")</f>
        <v>#DIV/0!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0</v>
      </c>
      <c r="F64" s="165">
        <f t="shared" si="19"/>
        <v>0</v>
      </c>
      <c r="G64" s="165">
        <f t="shared" si="22"/>
        <v>0</v>
      </c>
      <c r="H64" s="165">
        <f t="shared" si="21"/>
        <v>0</v>
      </c>
      <c r="I64" s="165">
        <f t="shared" si="23"/>
        <v>0</v>
      </c>
      <c r="J64" s="172" t="e">
        <f>IF(+'Sismo UBC-94 y Dinamico'!P40=0,'Sismo UBC-94 y Dinamico'!N40,'Sismo UBC-94 y Dinamico'!P40)</f>
        <v>#DIV/0!</v>
      </c>
      <c r="K64" s="172">
        <f t="shared" si="20"/>
        <v>18</v>
      </c>
      <c r="L64" s="165">
        <f t="shared" si="24"/>
        <v>0</v>
      </c>
      <c r="M64" s="165" t="e">
        <f t="shared" si="25"/>
        <v>#DIV/0!</v>
      </c>
      <c r="N64" s="165" t="e">
        <f t="shared" si="26"/>
        <v>#DIV/0!</v>
      </c>
      <c r="O64" s="165" t="e">
        <f t="shared" si="27"/>
        <v>#DIV/0!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0</v>
      </c>
      <c r="F65" s="165">
        <f t="shared" si="19"/>
        <v>0</v>
      </c>
      <c r="G65" s="165">
        <f t="shared" si="22"/>
        <v>0</v>
      </c>
      <c r="H65" s="165">
        <f t="shared" si="21"/>
        <v>0</v>
      </c>
      <c r="I65" s="165">
        <f t="shared" si="23"/>
        <v>0</v>
      </c>
      <c r="J65" s="172" t="e">
        <f>IF(+'Sismo UBC-94 y Dinamico'!P41=0,'Sismo UBC-94 y Dinamico'!N41,'Sismo UBC-94 y Dinamico'!P41)</f>
        <v>#DIV/0!</v>
      </c>
      <c r="K65" s="172">
        <f t="shared" si="20"/>
        <v>14.5</v>
      </c>
      <c r="L65" s="165">
        <f t="shared" si="24"/>
        <v>0</v>
      </c>
      <c r="M65" s="165" t="e">
        <f t="shared" si="25"/>
        <v>#DIV/0!</v>
      </c>
      <c r="N65" s="165" t="e">
        <f t="shared" si="26"/>
        <v>#DIV/0!</v>
      </c>
      <c r="O65" s="165" t="e">
        <f t="shared" si="27"/>
        <v>#DIV/0!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0</v>
      </c>
      <c r="F66" s="165">
        <f t="shared" si="19"/>
        <v>0</v>
      </c>
      <c r="G66" s="165">
        <f t="shared" si="22"/>
        <v>0</v>
      </c>
      <c r="H66" s="165">
        <f t="shared" si="21"/>
        <v>0</v>
      </c>
      <c r="I66" s="165">
        <f t="shared" si="23"/>
        <v>0</v>
      </c>
      <c r="J66" s="172" t="e">
        <f>IF(+'Sismo UBC-94 y Dinamico'!P42=0,'Sismo UBC-94 y Dinamico'!N42,'Sismo UBC-94 y Dinamico'!P42)</f>
        <v>#DIV/0!</v>
      </c>
      <c r="K66" s="172">
        <f t="shared" si="20"/>
        <v>11</v>
      </c>
      <c r="L66" s="165">
        <f t="shared" si="24"/>
        <v>0</v>
      </c>
      <c r="M66" s="165" t="e">
        <f t="shared" si="25"/>
        <v>#DIV/0!</v>
      </c>
      <c r="N66" s="165" t="e">
        <f t="shared" si="26"/>
        <v>#DIV/0!</v>
      </c>
      <c r="O66" s="165" t="e">
        <f t="shared" si="27"/>
        <v>#DIV/0!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0</v>
      </c>
      <c r="F67" s="165">
        <f t="shared" si="19"/>
        <v>0</v>
      </c>
      <c r="G67" s="165">
        <f t="shared" si="22"/>
        <v>0</v>
      </c>
      <c r="H67" s="165">
        <f t="shared" si="21"/>
        <v>0</v>
      </c>
      <c r="I67" s="165">
        <f t="shared" si="23"/>
        <v>0</v>
      </c>
      <c r="J67" s="172" t="e">
        <f>IF(+'Sismo UBC-94 y Dinamico'!P43=0,'Sismo UBC-94 y Dinamico'!N43,'Sismo UBC-94 y Dinamico'!P43)</f>
        <v>#DIV/0!</v>
      </c>
      <c r="K67" s="172">
        <f t="shared" si="20"/>
        <v>7.5</v>
      </c>
      <c r="L67" s="165">
        <f t="shared" si="24"/>
        <v>0</v>
      </c>
      <c r="M67" s="165" t="e">
        <f t="shared" si="25"/>
        <v>#DIV/0!</v>
      </c>
      <c r="N67" s="165" t="e">
        <f t="shared" si="26"/>
        <v>#DIV/0!</v>
      </c>
      <c r="O67" s="165" t="e">
        <f t="shared" si="27"/>
        <v>#DIV/0!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0</v>
      </c>
      <c r="F68" s="165">
        <f t="shared" si="19"/>
        <v>0</v>
      </c>
      <c r="G68" s="165">
        <f t="shared" si="22"/>
        <v>0</v>
      </c>
      <c r="H68" s="165">
        <f t="shared" si="21"/>
        <v>0</v>
      </c>
      <c r="I68" s="165">
        <f t="shared" si="23"/>
        <v>0</v>
      </c>
      <c r="J68" s="172" t="e">
        <f>IF(+'Sismo UBC-94 y Dinamico'!P44=0,'Sismo UBC-94 y Dinamico'!N44,'Sismo UBC-94 y Dinamico'!P44)</f>
        <v>#DIV/0!</v>
      </c>
      <c r="K68" s="172">
        <f t="shared" si="20"/>
        <v>4</v>
      </c>
      <c r="L68" s="165">
        <f t="shared" si="24"/>
        <v>0</v>
      </c>
      <c r="M68" s="165" t="e">
        <f t="shared" si="25"/>
        <v>#DIV/0!</v>
      </c>
      <c r="N68" s="165" t="e">
        <f t="shared" si="26"/>
        <v>#DIV/0!</v>
      </c>
      <c r="O68" s="165" t="e">
        <f t="shared" si="27"/>
        <v>#DIV/0!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6" t="s">
        <v>73</v>
      </c>
      <c r="F73" s="206"/>
      <c r="G73" s="206"/>
      <c r="H73" s="206"/>
      <c r="I73" s="206"/>
      <c r="J73" s="206"/>
      <c r="K73" s="206"/>
      <c r="L73" s="206"/>
      <c r="M73" s="206"/>
      <c r="N73" s="206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0</v>
      </c>
      <c r="F76" s="83">
        <f t="shared" ref="F76:F86" si="28">+E5</f>
        <v>0</v>
      </c>
      <c r="G76" s="83">
        <v>0</v>
      </c>
      <c r="H76" s="83">
        <f>+E76</f>
        <v>0</v>
      </c>
      <c r="I76" s="83">
        <f>+H76-H77</f>
        <v>0</v>
      </c>
      <c r="J76" s="83" t="e">
        <f>+J58</f>
        <v>#DIV/0!</v>
      </c>
      <c r="K76" s="83">
        <f t="shared" ref="K76:K86" si="29">+C76</f>
        <v>38.5</v>
      </c>
      <c r="L76" s="83">
        <f>+G76*I76</f>
        <v>0</v>
      </c>
      <c r="M76" s="83" t="e">
        <f>+J76*K76</f>
        <v>#DIV/0!</v>
      </c>
      <c r="N76" s="83" t="e">
        <f>+L76/M76</f>
        <v>#DIV/0!</v>
      </c>
      <c r="O76" s="83" t="e">
        <f>+IF(N76&gt;O75,"P-DELTA","OK")</f>
        <v>#DIV/0!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0</v>
      </c>
      <c r="F77" s="165">
        <f t="shared" si="28"/>
        <v>0</v>
      </c>
      <c r="G77" s="83">
        <f>+F77</f>
        <v>0</v>
      </c>
      <c r="H77" s="83">
        <f>+E77</f>
        <v>0</v>
      </c>
      <c r="I77" s="83">
        <f>+H77-H78</f>
        <v>0</v>
      </c>
      <c r="J77" s="172" t="e">
        <f t="shared" ref="J77:J86" si="30">+J59</f>
        <v>#DIV/0!</v>
      </c>
      <c r="K77" s="172">
        <f t="shared" si="29"/>
        <v>35.5</v>
      </c>
      <c r="L77" s="83">
        <f>+G77*I77</f>
        <v>0</v>
      </c>
      <c r="M77" s="83" t="e">
        <f>+J77*K77</f>
        <v>#DIV/0!</v>
      </c>
      <c r="N77" s="83" t="e">
        <f>+L77/M77</f>
        <v>#DIV/0!</v>
      </c>
      <c r="O77" s="83" t="e">
        <f>+IF(N77&gt;O76,"P-DELTA","OK")</f>
        <v>#DIV/0!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0</v>
      </c>
      <c r="F78" s="165">
        <f t="shared" si="28"/>
        <v>0</v>
      </c>
      <c r="G78" s="83">
        <f>+F78-F77</f>
        <v>0</v>
      </c>
      <c r="H78" s="83">
        <f>+E78</f>
        <v>0</v>
      </c>
      <c r="I78" s="83">
        <f>+H78-H79</f>
        <v>0</v>
      </c>
      <c r="J78" s="172" t="e">
        <f t="shared" si="30"/>
        <v>#DIV/0!</v>
      </c>
      <c r="K78" s="172">
        <f t="shared" si="29"/>
        <v>32</v>
      </c>
      <c r="L78" s="83">
        <f>+G78*I78</f>
        <v>0</v>
      </c>
      <c r="M78" s="83" t="e">
        <f>+J78*K78</f>
        <v>#DIV/0!</v>
      </c>
      <c r="N78" s="83" t="e">
        <f>+L78/M78</f>
        <v>#DIV/0!</v>
      </c>
      <c r="O78" s="83" t="e">
        <f>+IF(N78&gt;O77,"P-DELTA","OK")</f>
        <v>#DIV/0!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0</v>
      </c>
      <c r="F79" s="165">
        <f t="shared" si="28"/>
        <v>0</v>
      </c>
      <c r="G79" s="83">
        <f t="shared" ref="G79:G86" si="31">+F79-F78</f>
        <v>0</v>
      </c>
      <c r="H79" s="83">
        <f>+E79</f>
        <v>0</v>
      </c>
      <c r="I79" s="83">
        <f>+H79-H80</f>
        <v>0</v>
      </c>
      <c r="J79" s="172" t="e">
        <f t="shared" si="30"/>
        <v>#DIV/0!</v>
      </c>
      <c r="K79" s="172">
        <f t="shared" si="29"/>
        <v>28.5</v>
      </c>
      <c r="L79" s="83">
        <f>+G79*I79</f>
        <v>0</v>
      </c>
      <c r="M79" s="83" t="e">
        <f>+J79*K79</f>
        <v>#DIV/0!</v>
      </c>
      <c r="N79" s="83" t="e">
        <f>+L79/M79</f>
        <v>#DIV/0!</v>
      </c>
      <c r="O79" s="83" t="e">
        <f>+IF(N79&gt;O78,"P-DELTA","OK")</f>
        <v>#DIV/0!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0</v>
      </c>
      <c r="F80" s="165">
        <f t="shared" si="28"/>
        <v>0</v>
      </c>
      <c r="G80" s="83">
        <f t="shared" si="31"/>
        <v>0</v>
      </c>
      <c r="H80" s="83">
        <f>+E80</f>
        <v>0</v>
      </c>
      <c r="I80" s="83">
        <f>+H80-H81</f>
        <v>0</v>
      </c>
      <c r="J80" s="172" t="e">
        <f t="shared" si="30"/>
        <v>#DIV/0!</v>
      </c>
      <c r="K80" s="172">
        <f t="shared" si="29"/>
        <v>25</v>
      </c>
      <c r="L80" s="83">
        <f>+G80*I80</f>
        <v>0</v>
      </c>
      <c r="M80" s="83" t="e">
        <f>+J80*K80</f>
        <v>#DIV/0!</v>
      </c>
      <c r="N80" s="83" t="e">
        <f>+L80/M80</f>
        <v>#DIV/0!</v>
      </c>
      <c r="O80" s="83" t="e">
        <f>+IF(N80&gt;O79,"P-DELTA","OK")</f>
        <v>#DIV/0!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0</v>
      </c>
      <c r="F81" s="165">
        <f t="shared" si="28"/>
        <v>0</v>
      </c>
      <c r="G81" s="165">
        <f t="shared" si="31"/>
        <v>0</v>
      </c>
      <c r="H81" s="165">
        <f t="shared" ref="H81:H86" si="32">+E81</f>
        <v>0</v>
      </c>
      <c r="I81" s="165">
        <f t="shared" ref="I81:I86" si="33">+H81-H82</f>
        <v>0</v>
      </c>
      <c r="J81" s="172" t="e">
        <f t="shared" si="30"/>
        <v>#DIV/0!</v>
      </c>
      <c r="K81" s="172">
        <f t="shared" si="29"/>
        <v>21.5</v>
      </c>
      <c r="L81" s="165">
        <f t="shared" ref="L81:L86" si="34">+G81*I81</f>
        <v>0</v>
      </c>
      <c r="M81" s="165" t="e">
        <f t="shared" ref="M81:M86" si="35">+J81*K81</f>
        <v>#DIV/0!</v>
      </c>
      <c r="N81" s="165" t="e">
        <f t="shared" ref="N81:N86" si="36">+L81/M81</f>
        <v>#DIV/0!</v>
      </c>
      <c r="O81" s="165" t="e">
        <f t="shared" ref="O81:O86" si="37">+IF(N81&gt;O80,"P-DELTA","OK")</f>
        <v>#DIV/0!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0</v>
      </c>
      <c r="F82" s="165">
        <f t="shared" si="28"/>
        <v>0</v>
      </c>
      <c r="G82" s="165">
        <f t="shared" si="31"/>
        <v>0</v>
      </c>
      <c r="H82" s="165">
        <f t="shared" si="32"/>
        <v>0</v>
      </c>
      <c r="I82" s="165">
        <f t="shared" si="33"/>
        <v>0</v>
      </c>
      <c r="J82" s="172" t="e">
        <f t="shared" si="30"/>
        <v>#DIV/0!</v>
      </c>
      <c r="K82" s="172">
        <f t="shared" si="29"/>
        <v>18</v>
      </c>
      <c r="L82" s="165">
        <f t="shared" si="34"/>
        <v>0</v>
      </c>
      <c r="M82" s="165" t="e">
        <f t="shared" si="35"/>
        <v>#DIV/0!</v>
      </c>
      <c r="N82" s="165" t="e">
        <f t="shared" si="36"/>
        <v>#DIV/0!</v>
      </c>
      <c r="O82" s="165" t="e">
        <f t="shared" si="37"/>
        <v>#DIV/0!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0</v>
      </c>
      <c r="F83" s="165">
        <f t="shared" si="28"/>
        <v>0</v>
      </c>
      <c r="G83" s="165">
        <f t="shared" si="31"/>
        <v>0</v>
      </c>
      <c r="H83" s="165">
        <f t="shared" si="32"/>
        <v>0</v>
      </c>
      <c r="I83" s="165">
        <f t="shared" si="33"/>
        <v>0</v>
      </c>
      <c r="J83" s="172" t="e">
        <f t="shared" si="30"/>
        <v>#DIV/0!</v>
      </c>
      <c r="K83" s="172">
        <f t="shared" si="29"/>
        <v>14.5</v>
      </c>
      <c r="L83" s="165">
        <f t="shared" si="34"/>
        <v>0</v>
      </c>
      <c r="M83" s="165" t="e">
        <f t="shared" si="35"/>
        <v>#DIV/0!</v>
      </c>
      <c r="N83" s="165" t="e">
        <f t="shared" si="36"/>
        <v>#DIV/0!</v>
      </c>
      <c r="O83" s="165" t="e">
        <f t="shared" si="37"/>
        <v>#DIV/0!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0</v>
      </c>
      <c r="F84" s="165">
        <f t="shared" si="28"/>
        <v>0</v>
      </c>
      <c r="G84" s="165">
        <f t="shared" si="31"/>
        <v>0</v>
      </c>
      <c r="H84" s="165">
        <f t="shared" si="32"/>
        <v>0</v>
      </c>
      <c r="I84" s="165">
        <f t="shared" si="33"/>
        <v>0</v>
      </c>
      <c r="J84" s="172" t="e">
        <f t="shared" si="30"/>
        <v>#DIV/0!</v>
      </c>
      <c r="K84" s="172">
        <f t="shared" si="29"/>
        <v>11</v>
      </c>
      <c r="L84" s="165">
        <f t="shared" si="34"/>
        <v>0</v>
      </c>
      <c r="M84" s="165" t="e">
        <f t="shared" si="35"/>
        <v>#DIV/0!</v>
      </c>
      <c r="N84" s="165" t="e">
        <f t="shared" si="36"/>
        <v>#DIV/0!</v>
      </c>
      <c r="O84" s="165" t="e">
        <f t="shared" si="37"/>
        <v>#DIV/0!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0</v>
      </c>
      <c r="F85" s="165">
        <f t="shared" si="28"/>
        <v>0</v>
      </c>
      <c r="G85" s="165">
        <f t="shared" si="31"/>
        <v>0</v>
      </c>
      <c r="H85" s="165">
        <f t="shared" si="32"/>
        <v>0</v>
      </c>
      <c r="I85" s="165">
        <f t="shared" si="33"/>
        <v>0</v>
      </c>
      <c r="J85" s="172" t="e">
        <f t="shared" si="30"/>
        <v>#DIV/0!</v>
      </c>
      <c r="K85" s="172">
        <f t="shared" si="29"/>
        <v>7.5</v>
      </c>
      <c r="L85" s="165">
        <f t="shared" si="34"/>
        <v>0</v>
      </c>
      <c r="M85" s="165" t="e">
        <f t="shared" si="35"/>
        <v>#DIV/0!</v>
      </c>
      <c r="N85" s="165" t="e">
        <f t="shared" si="36"/>
        <v>#DIV/0!</v>
      </c>
      <c r="O85" s="165" t="e">
        <f t="shared" si="37"/>
        <v>#DIV/0!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0</v>
      </c>
      <c r="F86" s="165">
        <f t="shared" si="28"/>
        <v>0</v>
      </c>
      <c r="G86" s="165">
        <f t="shared" si="31"/>
        <v>0</v>
      </c>
      <c r="H86" s="165">
        <f t="shared" si="32"/>
        <v>0</v>
      </c>
      <c r="I86" s="165">
        <f t="shared" si="33"/>
        <v>0</v>
      </c>
      <c r="J86" s="172" t="e">
        <f t="shared" si="30"/>
        <v>#DIV/0!</v>
      </c>
      <c r="K86" s="172">
        <f t="shared" si="29"/>
        <v>4</v>
      </c>
      <c r="L86" s="165">
        <f t="shared" si="34"/>
        <v>0</v>
      </c>
      <c r="M86" s="165" t="e">
        <f t="shared" si="35"/>
        <v>#DIV/0!</v>
      </c>
      <c r="N86" s="165" t="e">
        <f t="shared" si="36"/>
        <v>#DIV/0!</v>
      </c>
      <c r="O86" s="165" t="e">
        <f t="shared" si="37"/>
        <v>#DIV/0!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5"/>
      <c r="D104" s="205"/>
      <c r="E104" s="205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2021-05-20T22:16:01Z</dcterms:modified>
</cp:coreProperties>
</file>