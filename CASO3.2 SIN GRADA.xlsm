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os\Maestria Unitec\Seminario Cientifico\MODELO EDIFICIO\VOLUMENES DE EDIFICIOS\TABULACIONES\CASO 3\"/>
    </mc:Choice>
  </mc:AlternateContent>
  <bookViews>
    <workbookView xWindow="0" yWindow="0" windowWidth="23040" windowHeight="9972" tabRatio="830" firstSheet="5" activeTab="11"/>
  </bookViews>
  <sheets>
    <sheet name="DIRECTOR" sheetId="18" r:id="rId1"/>
    <sheet name="Carga muerta y viva" sheetId="1" r:id="rId2"/>
    <sheet name="ESPECTROS HONDURAS" sheetId="12" r:id="rId3"/>
    <sheet name="Centers of Mass and Rigidity" sheetId="3" r:id="rId4"/>
    <sheet name="Story Forces Inicial" sheetId="13" r:id="rId5"/>
    <sheet name="Sismo UBC-94 y Dinamico" sheetId="4" r:id="rId6"/>
    <sheet name="Story Stiffness" sheetId="14" r:id="rId7"/>
    <sheet name="Story Forces Final" sheetId="15" r:id="rId8"/>
    <sheet name="Story Max Avg Displacements" sheetId="16" r:id="rId9"/>
    <sheet name="Story Drifts" sheetId="17" r:id="rId10"/>
    <sheet name="Derivas por EQ Manual" sheetId="6" r:id="rId11"/>
    <sheet name="Irre. Torsional" sheetId="8" r:id="rId12"/>
    <sheet name="Irre. Piso Suave" sheetId="9" r:id="rId13"/>
    <sheet name="Irre. Masa" sheetId="10" r:id="rId14"/>
    <sheet name="P-Delta" sheetId="11" r:id="rId15"/>
  </sheets>
  <definedNames>
    <definedName name="_xlnm._FilterDatabase" localSheetId="7" hidden="1">'Story Forces Final'!$B$5:$L$115</definedName>
    <definedName name="_xlnm._FilterDatabase" localSheetId="4" hidden="1">'Story Forces Inicial'!$B$5:$K$49</definedName>
    <definedName name="_xlnm._FilterDatabase" localSheetId="6" hidden="1">'Story Stiffness'!$B$5:$I$49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1" i="8" l="1"/>
  <c r="H62" i="8"/>
  <c r="H63" i="8"/>
  <c r="H64" i="8"/>
  <c r="H65" i="8"/>
  <c r="H66" i="8"/>
  <c r="H67" i="8"/>
  <c r="H68" i="8"/>
  <c r="H69" i="8"/>
  <c r="H70" i="8"/>
  <c r="H60" i="8"/>
  <c r="H43" i="8"/>
  <c r="H44" i="8"/>
  <c r="H45" i="8"/>
  <c r="H46" i="8"/>
  <c r="H47" i="8"/>
  <c r="H48" i="8"/>
  <c r="H49" i="8"/>
  <c r="H50" i="8"/>
  <c r="H51" i="8"/>
  <c r="H52" i="8"/>
  <c r="H42" i="8"/>
  <c r="C5" i="3" l="1"/>
  <c r="D5" i="3"/>
  <c r="E5" i="3"/>
  <c r="F5" i="3"/>
  <c r="G5" i="3"/>
  <c r="H5" i="3"/>
  <c r="I5" i="3"/>
  <c r="J5" i="3"/>
  <c r="K5" i="3"/>
  <c r="L5" i="3"/>
  <c r="M5" i="3"/>
  <c r="C6" i="3"/>
  <c r="D6" i="3"/>
  <c r="E6" i="3"/>
  <c r="F6" i="3"/>
  <c r="G6" i="3"/>
  <c r="H6" i="3"/>
  <c r="I6" i="3"/>
  <c r="J6" i="3"/>
  <c r="K6" i="3"/>
  <c r="L6" i="3"/>
  <c r="M6" i="3"/>
  <c r="C7" i="3"/>
  <c r="D7" i="3"/>
  <c r="E7" i="3"/>
  <c r="F7" i="3"/>
  <c r="G7" i="3"/>
  <c r="H7" i="3"/>
  <c r="I7" i="3"/>
  <c r="J7" i="3"/>
  <c r="K7" i="3"/>
  <c r="L7" i="3"/>
  <c r="M7" i="3"/>
  <c r="C8" i="3"/>
  <c r="D8" i="3"/>
  <c r="E8" i="3"/>
  <c r="F8" i="3"/>
  <c r="G8" i="3"/>
  <c r="H8" i="3"/>
  <c r="I8" i="3"/>
  <c r="J8" i="3"/>
  <c r="K8" i="3"/>
  <c r="L8" i="3"/>
  <c r="M8" i="3"/>
  <c r="C9" i="3"/>
  <c r="D9" i="3"/>
  <c r="E9" i="3"/>
  <c r="F9" i="3"/>
  <c r="G9" i="3"/>
  <c r="H9" i="3"/>
  <c r="I9" i="3"/>
  <c r="J9" i="3"/>
  <c r="K9" i="3"/>
  <c r="L9" i="3"/>
  <c r="M9" i="3"/>
  <c r="C10" i="3"/>
  <c r="D10" i="3"/>
  <c r="E10" i="3"/>
  <c r="F10" i="3"/>
  <c r="G10" i="3"/>
  <c r="H10" i="3"/>
  <c r="I10" i="3"/>
  <c r="J10" i="3"/>
  <c r="K10" i="3"/>
  <c r="L10" i="3"/>
  <c r="M10" i="3"/>
  <c r="C11" i="3"/>
  <c r="D11" i="3"/>
  <c r="E11" i="3"/>
  <c r="F11" i="3"/>
  <c r="G11" i="3"/>
  <c r="H11" i="3"/>
  <c r="I11" i="3"/>
  <c r="J11" i="3"/>
  <c r="K11" i="3"/>
  <c r="L11" i="3"/>
  <c r="M11" i="3"/>
  <c r="C12" i="3"/>
  <c r="D12" i="3"/>
  <c r="E12" i="3"/>
  <c r="F12" i="3"/>
  <c r="G12" i="3"/>
  <c r="H12" i="3"/>
  <c r="I12" i="3"/>
  <c r="J12" i="3"/>
  <c r="K12" i="3"/>
  <c r="L12" i="3"/>
  <c r="M12" i="3"/>
  <c r="C13" i="3"/>
  <c r="D13" i="3"/>
  <c r="E13" i="3"/>
  <c r="F13" i="3"/>
  <c r="G13" i="3"/>
  <c r="H13" i="3"/>
  <c r="I13" i="3"/>
  <c r="J13" i="3"/>
  <c r="K13" i="3"/>
  <c r="L13" i="3"/>
  <c r="M13" i="3"/>
  <c r="C14" i="3"/>
  <c r="D14" i="3"/>
  <c r="E14" i="3"/>
  <c r="F14" i="3"/>
  <c r="G14" i="3"/>
  <c r="H14" i="3"/>
  <c r="I14" i="3"/>
  <c r="J14" i="3"/>
  <c r="K14" i="3"/>
  <c r="L14" i="3"/>
  <c r="M14" i="3"/>
  <c r="C15" i="3"/>
  <c r="D15" i="3"/>
  <c r="E15" i="3"/>
  <c r="F15" i="3"/>
  <c r="G15" i="3"/>
  <c r="H15" i="3"/>
  <c r="I15" i="3"/>
  <c r="J15" i="3"/>
  <c r="K15" i="3"/>
  <c r="L15" i="3"/>
  <c r="M15" i="3"/>
  <c r="B15" i="3"/>
  <c r="B14" i="3"/>
  <c r="B13" i="3"/>
  <c r="B12" i="3"/>
  <c r="B11" i="3"/>
  <c r="B10" i="3"/>
  <c r="B9" i="3"/>
  <c r="B8" i="3"/>
  <c r="B7" i="3"/>
  <c r="B6" i="3"/>
  <c r="B5" i="3"/>
  <c r="F44" i="6" l="1"/>
  <c r="F51" i="6" s="1"/>
  <c r="F72" i="6" s="1"/>
  <c r="F6" i="6"/>
  <c r="F13" i="6" s="1"/>
  <c r="F32" i="6" s="1"/>
  <c r="O70" i="8"/>
  <c r="N70" i="8"/>
  <c r="O69" i="8"/>
  <c r="N69" i="8"/>
  <c r="O68" i="8"/>
  <c r="N68" i="8"/>
  <c r="O67" i="8"/>
  <c r="N67" i="8"/>
  <c r="O66" i="8"/>
  <c r="N66" i="8"/>
  <c r="O65" i="8"/>
  <c r="N65" i="8"/>
  <c r="O64" i="8"/>
  <c r="N64" i="8"/>
  <c r="O63" i="8"/>
  <c r="N63" i="8"/>
  <c r="O62" i="8"/>
  <c r="N62" i="8"/>
  <c r="O61" i="8"/>
  <c r="N61" i="8"/>
  <c r="O60" i="8"/>
  <c r="N60" i="8"/>
  <c r="O52" i="8"/>
  <c r="N52" i="8"/>
  <c r="O51" i="8"/>
  <c r="N51" i="8"/>
  <c r="O50" i="8"/>
  <c r="N50" i="8"/>
  <c r="O49" i="8"/>
  <c r="N49" i="8"/>
  <c r="O48" i="8"/>
  <c r="N48" i="8"/>
  <c r="O47" i="8"/>
  <c r="N47" i="8"/>
  <c r="O46" i="8"/>
  <c r="N46" i="8"/>
  <c r="O45" i="8"/>
  <c r="N45" i="8"/>
  <c r="O44" i="8"/>
  <c r="N44" i="8"/>
  <c r="O43" i="8"/>
  <c r="N43" i="8"/>
  <c r="O42" i="8"/>
  <c r="N42" i="8"/>
  <c r="O34" i="8"/>
  <c r="N34" i="8"/>
  <c r="O33" i="8"/>
  <c r="N33" i="8"/>
  <c r="O32" i="8"/>
  <c r="N32" i="8"/>
  <c r="O31" i="8"/>
  <c r="N31" i="8"/>
  <c r="O30" i="8"/>
  <c r="N30" i="8"/>
  <c r="O29" i="8"/>
  <c r="N29" i="8"/>
  <c r="O28" i="8"/>
  <c r="N28" i="8"/>
  <c r="O27" i="8"/>
  <c r="N27" i="8"/>
  <c r="O26" i="8"/>
  <c r="N26" i="8"/>
  <c r="O25" i="8"/>
  <c r="N25" i="8"/>
  <c r="O24" i="8"/>
  <c r="N24" i="8"/>
  <c r="N7" i="8"/>
  <c r="O7" i="8"/>
  <c r="N8" i="8"/>
  <c r="O8" i="8"/>
  <c r="N9" i="8"/>
  <c r="O9" i="8"/>
  <c r="N10" i="8"/>
  <c r="O10" i="8"/>
  <c r="N11" i="8"/>
  <c r="O11" i="8"/>
  <c r="N12" i="8"/>
  <c r="O12" i="8"/>
  <c r="N13" i="8"/>
  <c r="O13" i="8"/>
  <c r="N14" i="8"/>
  <c r="O14" i="8"/>
  <c r="N15" i="8"/>
  <c r="O15" i="8"/>
  <c r="N16" i="8"/>
  <c r="O16" i="8"/>
  <c r="O6" i="8"/>
  <c r="N6" i="8"/>
  <c r="F45" i="6" l="1"/>
  <c r="F66" i="6" s="1"/>
  <c r="F17" i="6"/>
  <c r="F36" i="6" s="1"/>
  <c r="F55" i="6"/>
  <c r="F76" i="6" s="1"/>
  <c r="F47" i="6"/>
  <c r="F68" i="6" s="1"/>
  <c r="F12" i="6"/>
  <c r="F31" i="6" s="1"/>
  <c r="F50" i="6"/>
  <c r="F71" i="6" s="1"/>
  <c r="F11" i="6"/>
  <c r="F30" i="6" s="1"/>
  <c r="F49" i="6"/>
  <c r="F70" i="6" s="1"/>
  <c r="F10" i="6"/>
  <c r="F29" i="6" s="1"/>
  <c r="F9" i="6"/>
  <c r="F28" i="6" s="1"/>
  <c r="F16" i="6"/>
  <c r="F35" i="6" s="1"/>
  <c r="F8" i="6"/>
  <c r="F27" i="6" s="1"/>
  <c r="F54" i="6"/>
  <c r="F75" i="6" s="1"/>
  <c r="F46" i="6"/>
  <c r="F67" i="6" s="1"/>
  <c r="F15" i="6"/>
  <c r="F34" i="6" s="1"/>
  <c r="F25" i="6"/>
  <c r="F53" i="6"/>
  <c r="F74" i="6" s="1"/>
  <c r="F65" i="6"/>
  <c r="F7" i="6"/>
  <c r="F26" i="6" s="1"/>
  <c r="F48" i="6"/>
  <c r="F69" i="6" s="1"/>
  <c r="F14" i="6"/>
  <c r="F33" i="6" s="1"/>
  <c r="F52" i="6"/>
  <c r="F73" i="6" s="1"/>
  <c r="E77" i="11"/>
  <c r="E78" i="11"/>
  <c r="E79" i="11"/>
  <c r="E80" i="11"/>
  <c r="E81" i="11"/>
  <c r="E82" i="11"/>
  <c r="E83" i="11"/>
  <c r="E84" i="11"/>
  <c r="E85" i="11"/>
  <c r="E86" i="11"/>
  <c r="E76" i="11"/>
  <c r="E59" i="11"/>
  <c r="E60" i="11"/>
  <c r="E61" i="11"/>
  <c r="E62" i="11"/>
  <c r="E63" i="11"/>
  <c r="E64" i="11"/>
  <c r="E65" i="11"/>
  <c r="E66" i="11"/>
  <c r="E67" i="11"/>
  <c r="E68" i="11"/>
  <c r="E58" i="11"/>
  <c r="E41" i="11"/>
  <c r="E42" i="11"/>
  <c r="E43" i="11"/>
  <c r="E44" i="11"/>
  <c r="E45" i="11"/>
  <c r="E46" i="11"/>
  <c r="E47" i="11"/>
  <c r="E48" i="11"/>
  <c r="E49" i="11"/>
  <c r="E50" i="11"/>
  <c r="E40" i="11"/>
  <c r="E23" i="11"/>
  <c r="E24" i="11"/>
  <c r="E25" i="11"/>
  <c r="E26" i="11"/>
  <c r="E27" i="11"/>
  <c r="E28" i="11"/>
  <c r="E29" i="11"/>
  <c r="E30" i="11"/>
  <c r="E31" i="11"/>
  <c r="E32" i="11"/>
  <c r="E22" i="11"/>
  <c r="K77" i="11" l="1"/>
  <c r="K78" i="11"/>
  <c r="K79" i="11"/>
  <c r="K80" i="11"/>
  <c r="K81" i="11"/>
  <c r="K82" i="11"/>
  <c r="K83" i="11"/>
  <c r="K84" i="11"/>
  <c r="K85" i="11"/>
  <c r="K86" i="11"/>
  <c r="K76" i="11"/>
  <c r="K59" i="11"/>
  <c r="K60" i="11"/>
  <c r="K61" i="11"/>
  <c r="K62" i="11"/>
  <c r="K63" i="11"/>
  <c r="K64" i="11"/>
  <c r="K65" i="11"/>
  <c r="K66" i="11"/>
  <c r="K67" i="11"/>
  <c r="K68" i="11"/>
  <c r="K58" i="11"/>
  <c r="K41" i="11"/>
  <c r="K42" i="11"/>
  <c r="K43" i="11"/>
  <c r="K44" i="11"/>
  <c r="K45" i="11"/>
  <c r="K46" i="11"/>
  <c r="K47" i="11"/>
  <c r="K48" i="11"/>
  <c r="K49" i="11"/>
  <c r="K50" i="11"/>
  <c r="K40" i="11"/>
  <c r="K23" i="11"/>
  <c r="K24" i="11"/>
  <c r="K25" i="11"/>
  <c r="K26" i="11"/>
  <c r="K27" i="11"/>
  <c r="K28" i="11"/>
  <c r="K29" i="11"/>
  <c r="K30" i="11"/>
  <c r="K31" i="11"/>
  <c r="K32" i="11"/>
  <c r="K22" i="11"/>
  <c r="E7" i="10"/>
  <c r="E8" i="10"/>
  <c r="E9" i="10"/>
  <c r="E10" i="10"/>
  <c r="E11" i="10"/>
  <c r="E12" i="10"/>
  <c r="E13" i="10"/>
  <c r="E14" i="10"/>
  <c r="E15" i="10"/>
  <c r="E16" i="10"/>
  <c r="E17" i="10"/>
  <c r="D8" i="10"/>
  <c r="D9" i="10"/>
  <c r="D10" i="10"/>
  <c r="D11" i="10"/>
  <c r="D12" i="10"/>
  <c r="D13" i="10"/>
  <c r="D14" i="10"/>
  <c r="D15" i="10"/>
  <c r="D16" i="10"/>
  <c r="D17" i="10"/>
  <c r="D7" i="10"/>
  <c r="G46" i="6"/>
  <c r="G47" i="6"/>
  <c r="G48" i="6"/>
  <c r="G49" i="6"/>
  <c r="G50" i="6"/>
  <c r="G51" i="6"/>
  <c r="G52" i="6"/>
  <c r="G53" i="6"/>
  <c r="G54" i="6"/>
  <c r="G55" i="6"/>
  <c r="G45" i="6"/>
  <c r="G67" i="6"/>
  <c r="G68" i="6"/>
  <c r="G69" i="6"/>
  <c r="G70" i="6"/>
  <c r="G71" i="6"/>
  <c r="G72" i="6"/>
  <c r="G73" i="6"/>
  <c r="G74" i="6"/>
  <c r="G75" i="6"/>
  <c r="G76" i="6"/>
  <c r="G66" i="6"/>
  <c r="H81" i="11" l="1"/>
  <c r="H82" i="11"/>
  <c r="H83" i="11"/>
  <c r="H84" i="11"/>
  <c r="H85" i="11"/>
  <c r="H86" i="11"/>
  <c r="I86" i="11" s="1"/>
  <c r="F77" i="11"/>
  <c r="F78" i="11"/>
  <c r="F79" i="11"/>
  <c r="F80" i="11"/>
  <c r="F81" i="11"/>
  <c r="F82" i="11"/>
  <c r="F83" i="11"/>
  <c r="F84" i="11"/>
  <c r="F85" i="11"/>
  <c r="F86" i="11"/>
  <c r="F76" i="11"/>
  <c r="H63" i="11"/>
  <c r="H64" i="11"/>
  <c r="H65" i="11"/>
  <c r="H66" i="11"/>
  <c r="H67" i="11"/>
  <c r="H68" i="11"/>
  <c r="I68" i="11" s="1"/>
  <c r="F59" i="11"/>
  <c r="F60" i="11"/>
  <c r="F61" i="11"/>
  <c r="F62" i="11"/>
  <c r="F63" i="11"/>
  <c r="F64" i="11"/>
  <c r="F65" i="11"/>
  <c r="F66" i="11"/>
  <c r="F67" i="11"/>
  <c r="F68" i="11"/>
  <c r="F58" i="11"/>
  <c r="F41" i="11"/>
  <c r="G41" i="11" s="1"/>
  <c r="F42" i="11"/>
  <c r="F43" i="11"/>
  <c r="F44" i="11"/>
  <c r="F45" i="11"/>
  <c r="F46" i="11"/>
  <c r="F47" i="11"/>
  <c r="F48" i="11"/>
  <c r="F49" i="11"/>
  <c r="F50" i="11"/>
  <c r="F40" i="11"/>
  <c r="H50" i="11"/>
  <c r="I50" i="11" s="1"/>
  <c r="H49" i="11"/>
  <c r="H48" i="11"/>
  <c r="H47" i="11"/>
  <c r="H46" i="11"/>
  <c r="H45" i="11"/>
  <c r="H44" i="11"/>
  <c r="H43" i="11"/>
  <c r="H42" i="11"/>
  <c r="H41" i="11"/>
  <c r="H40" i="11"/>
  <c r="H27" i="11"/>
  <c r="H28" i="11"/>
  <c r="H29" i="11"/>
  <c r="H30" i="11"/>
  <c r="H31" i="11"/>
  <c r="H32" i="11"/>
  <c r="I32" i="11" s="1"/>
  <c r="F23" i="11"/>
  <c r="F24" i="11"/>
  <c r="F25" i="11"/>
  <c r="F26" i="11"/>
  <c r="F27" i="11"/>
  <c r="F28" i="11"/>
  <c r="F29" i="11"/>
  <c r="F30" i="11"/>
  <c r="F31" i="11"/>
  <c r="F32" i="11"/>
  <c r="F22" i="11"/>
  <c r="F12" i="10"/>
  <c r="G12" i="10" s="1"/>
  <c r="F13" i="10"/>
  <c r="F14" i="10"/>
  <c r="G14" i="10" s="1"/>
  <c r="F15" i="10"/>
  <c r="G15" i="10" s="1"/>
  <c r="F16" i="10"/>
  <c r="G16" i="10" s="1"/>
  <c r="F17" i="10"/>
  <c r="G17" i="10" s="1"/>
  <c r="E62" i="9"/>
  <c r="F63" i="9" s="1"/>
  <c r="G62" i="9"/>
  <c r="E63" i="9"/>
  <c r="F64" i="9" s="1"/>
  <c r="G63" i="9"/>
  <c r="E64" i="9"/>
  <c r="F65" i="9" s="1"/>
  <c r="G64" i="9"/>
  <c r="E65" i="9"/>
  <c r="F66" i="9" s="1"/>
  <c r="G65" i="9"/>
  <c r="E66" i="9"/>
  <c r="F67" i="9" s="1"/>
  <c r="G66" i="9"/>
  <c r="E67" i="9"/>
  <c r="G67" i="9"/>
  <c r="E45" i="9"/>
  <c r="F46" i="9" s="1"/>
  <c r="G45" i="9"/>
  <c r="E46" i="9"/>
  <c r="F47" i="9" s="1"/>
  <c r="G46" i="9"/>
  <c r="E47" i="9"/>
  <c r="F48" i="9" s="1"/>
  <c r="G47" i="9"/>
  <c r="E48" i="9"/>
  <c r="F49" i="9" s="1"/>
  <c r="G48" i="9"/>
  <c r="E49" i="9"/>
  <c r="F50" i="9" s="1"/>
  <c r="G49" i="9"/>
  <c r="E50" i="9"/>
  <c r="G50" i="9"/>
  <c r="E28" i="9"/>
  <c r="F29" i="9" s="1"/>
  <c r="G28" i="9"/>
  <c r="E29" i="9"/>
  <c r="F30" i="9" s="1"/>
  <c r="G29" i="9"/>
  <c r="E30" i="9"/>
  <c r="F31" i="9" s="1"/>
  <c r="G30" i="9"/>
  <c r="E31" i="9"/>
  <c r="F32" i="9" s="1"/>
  <c r="G31" i="9"/>
  <c r="E32" i="9"/>
  <c r="F33" i="9" s="1"/>
  <c r="G32" i="9"/>
  <c r="E33" i="9"/>
  <c r="G33" i="9"/>
  <c r="E11" i="9"/>
  <c r="F12" i="9" s="1"/>
  <c r="G11" i="9"/>
  <c r="E12" i="9"/>
  <c r="F13" i="9" s="1"/>
  <c r="G12" i="9"/>
  <c r="E13" i="9"/>
  <c r="F14" i="9" s="1"/>
  <c r="G13" i="9"/>
  <c r="E14" i="9"/>
  <c r="F15" i="9" s="1"/>
  <c r="G14" i="9"/>
  <c r="E15" i="9"/>
  <c r="F16" i="9" s="1"/>
  <c r="G15" i="9"/>
  <c r="E16" i="9"/>
  <c r="G16" i="9"/>
  <c r="E6" i="9"/>
  <c r="F7" i="9" s="1"/>
  <c r="F6" i="9"/>
  <c r="E7" i="9"/>
  <c r="F8" i="9" s="1"/>
  <c r="E8" i="9"/>
  <c r="F9" i="9" s="1"/>
  <c r="E9" i="9"/>
  <c r="F10" i="9" s="1"/>
  <c r="E10" i="9"/>
  <c r="F11" i="9" s="1"/>
  <c r="H29" i="8"/>
  <c r="H30" i="8"/>
  <c r="H31" i="8"/>
  <c r="H32" i="8"/>
  <c r="H33" i="8"/>
  <c r="H34" i="8"/>
  <c r="I11" i="8"/>
  <c r="I29" i="8" s="1"/>
  <c r="I47" i="8" s="1"/>
  <c r="I65" i="8" s="1"/>
  <c r="J11" i="8"/>
  <c r="J29" i="8" s="1"/>
  <c r="J47" i="8" s="1"/>
  <c r="J65" i="8" s="1"/>
  <c r="I12" i="8"/>
  <c r="I30" i="8" s="1"/>
  <c r="I48" i="8" s="1"/>
  <c r="I66" i="8" s="1"/>
  <c r="J12" i="8"/>
  <c r="J30" i="8" s="1"/>
  <c r="J48" i="8" s="1"/>
  <c r="J66" i="8" s="1"/>
  <c r="I13" i="8"/>
  <c r="J13" i="8"/>
  <c r="I14" i="8"/>
  <c r="I32" i="8" s="1"/>
  <c r="I50" i="8" s="1"/>
  <c r="I68" i="8" s="1"/>
  <c r="J14" i="8"/>
  <c r="J32" i="8" s="1"/>
  <c r="J50" i="8" s="1"/>
  <c r="J68" i="8" s="1"/>
  <c r="I15" i="8"/>
  <c r="I33" i="8" s="1"/>
  <c r="I51" i="8" s="1"/>
  <c r="I69" i="8" s="1"/>
  <c r="J15" i="8"/>
  <c r="I16" i="8"/>
  <c r="I34" i="8" s="1"/>
  <c r="I52" i="8" s="1"/>
  <c r="I70" i="8" s="1"/>
  <c r="J16" i="8"/>
  <c r="H11" i="8"/>
  <c r="H12" i="8"/>
  <c r="H13" i="8"/>
  <c r="H14" i="8"/>
  <c r="H15" i="8"/>
  <c r="H16" i="8"/>
  <c r="I13" i="6"/>
  <c r="I14" i="6"/>
  <c r="I15" i="6"/>
  <c r="I16" i="6"/>
  <c r="I17" i="6"/>
  <c r="I32" i="6"/>
  <c r="I33" i="6"/>
  <c r="I34" i="6"/>
  <c r="I35" i="6"/>
  <c r="I36" i="6"/>
  <c r="I51" i="6"/>
  <c r="I52" i="6"/>
  <c r="I53" i="6"/>
  <c r="I54" i="6"/>
  <c r="I55" i="6"/>
  <c r="I72" i="6"/>
  <c r="I73" i="6"/>
  <c r="I74" i="6"/>
  <c r="I75" i="6"/>
  <c r="I76" i="6"/>
  <c r="G32" i="6"/>
  <c r="G33" i="6"/>
  <c r="G34" i="6"/>
  <c r="G35" i="6"/>
  <c r="G36" i="6"/>
  <c r="G13" i="6"/>
  <c r="G14" i="6"/>
  <c r="G15" i="6"/>
  <c r="G16" i="6"/>
  <c r="G17" i="6"/>
  <c r="G46" i="11" l="1"/>
  <c r="G84" i="11"/>
  <c r="I83" i="11"/>
  <c r="G85" i="11"/>
  <c r="I45" i="11"/>
  <c r="H48" i="9"/>
  <c r="H50" i="9"/>
  <c r="I82" i="11"/>
  <c r="I47" i="11"/>
  <c r="H31" i="9"/>
  <c r="G44" i="11"/>
  <c r="G64" i="11"/>
  <c r="G83" i="11"/>
  <c r="L83" i="11" s="1"/>
  <c r="G81" i="11"/>
  <c r="G31" i="11"/>
  <c r="G65" i="11"/>
  <c r="G50" i="11"/>
  <c r="L50" i="11" s="1"/>
  <c r="G42" i="11"/>
  <c r="G63" i="11"/>
  <c r="G82" i="11"/>
  <c r="G48" i="11"/>
  <c r="H33" i="9"/>
  <c r="I66" i="11"/>
  <c r="I31" i="11"/>
  <c r="I28" i="11"/>
  <c r="I63" i="11"/>
  <c r="I43" i="11"/>
  <c r="I40" i="11"/>
  <c r="L40" i="11" s="1"/>
  <c r="I30" i="11"/>
  <c r="I27" i="11"/>
  <c r="G27" i="11"/>
  <c r="G67" i="11"/>
  <c r="G29" i="11"/>
  <c r="G45" i="11"/>
  <c r="G66" i="11"/>
  <c r="G86" i="11"/>
  <c r="L86" i="11" s="1"/>
  <c r="H49" i="9"/>
  <c r="H16" i="9"/>
  <c r="I85" i="11"/>
  <c r="I81" i="11"/>
  <c r="I65" i="11"/>
  <c r="I64" i="11"/>
  <c r="H16" i="10"/>
  <c r="H17" i="10"/>
  <c r="H13" i="10"/>
  <c r="I84" i="11"/>
  <c r="I67" i="11"/>
  <c r="I42" i="11"/>
  <c r="I29" i="11"/>
  <c r="G68" i="11"/>
  <c r="L68" i="11" s="1"/>
  <c r="H66" i="9"/>
  <c r="H67" i="9"/>
  <c r="G13" i="10"/>
  <c r="H14" i="10" s="1"/>
  <c r="H15" i="10"/>
  <c r="J31" i="8"/>
  <c r="J49" i="8" s="1"/>
  <c r="J67" i="8" s="1"/>
  <c r="J33" i="8"/>
  <c r="J51" i="8" s="1"/>
  <c r="J69" i="8" s="1"/>
  <c r="I31" i="8"/>
  <c r="I49" i="8" s="1"/>
  <c r="I67" i="8" s="1"/>
  <c r="J34" i="8"/>
  <c r="J52" i="8" s="1"/>
  <c r="J70" i="8" s="1"/>
  <c r="I48" i="11"/>
  <c r="I41" i="11"/>
  <c r="L41" i="11" s="1"/>
  <c r="I46" i="11"/>
  <c r="I49" i="11"/>
  <c r="I44" i="11"/>
  <c r="G49" i="11"/>
  <c r="G43" i="11"/>
  <c r="G47" i="11"/>
  <c r="G30" i="11"/>
  <c r="G32" i="11"/>
  <c r="L32" i="11" s="1"/>
  <c r="G28" i="11"/>
  <c r="H65" i="9"/>
  <c r="H32" i="9"/>
  <c r="H14" i="9"/>
  <c r="H15" i="9"/>
  <c r="M7" i="4"/>
  <c r="J6" i="8"/>
  <c r="J7" i="8"/>
  <c r="J8" i="8"/>
  <c r="J9" i="8"/>
  <c r="J10" i="8"/>
  <c r="I7" i="8"/>
  <c r="I8" i="8"/>
  <c r="I9" i="8"/>
  <c r="I10" i="8"/>
  <c r="I6" i="8"/>
  <c r="L46" i="11" l="1"/>
  <c r="L65" i="11"/>
  <c r="L84" i="11"/>
  <c r="L85" i="11"/>
  <c r="L81" i="11"/>
  <c r="L43" i="11"/>
  <c r="L45" i="11"/>
  <c r="L30" i="11"/>
  <c r="L64" i="11"/>
  <c r="L82" i="11"/>
  <c r="L63" i="11"/>
  <c r="L47" i="11"/>
  <c r="L31" i="11"/>
  <c r="L29" i="11"/>
  <c r="L44" i="11"/>
  <c r="L48" i="11"/>
  <c r="L27" i="11"/>
  <c r="L42" i="11"/>
  <c r="L66" i="11"/>
  <c r="L28" i="11"/>
  <c r="L67" i="11"/>
  <c r="L49" i="11"/>
  <c r="M56" i="4" l="1"/>
  <c r="M55" i="4"/>
  <c r="N20" i="4"/>
  <c r="N21" i="4"/>
  <c r="N22" i="4"/>
  <c r="N23" i="4"/>
  <c r="N24" i="4"/>
  <c r="N25" i="4"/>
  <c r="M20" i="4"/>
  <c r="M21" i="4"/>
  <c r="M22" i="4"/>
  <c r="M23" i="4"/>
  <c r="M24" i="4"/>
  <c r="M25" i="4"/>
  <c r="N39" i="4"/>
  <c r="N40" i="4"/>
  <c r="N41" i="4"/>
  <c r="N42" i="4"/>
  <c r="N43" i="4"/>
  <c r="N44" i="4"/>
  <c r="M39" i="4"/>
  <c r="M40" i="4"/>
  <c r="M41" i="4"/>
  <c r="M42" i="4"/>
  <c r="M43" i="4"/>
  <c r="M44" i="4"/>
  <c r="I7" i="4"/>
  <c r="I8" i="4" s="1"/>
  <c r="J83" i="1"/>
  <c r="J82" i="1"/>
  <c r="J81" i="1"/>
  <c r="J80" i="1"/>
  <c r="K83" i="1"/>
  <c r="N83" i="1" s="1"/>
  <c r="L83" i="1"/>
  <c r="O83" i="1" s="1"/>
  <c r="J77" i="1"/>
  <c r="J76" i="1"/>
  <c r="J75" i="1"/>
  <c r="J74" i="1"/>
  <c r="J71" i="1"/>
  <c r="K71" i="1" s="1"/>
  <c r="N71" i="1" s="1"/>
  <c r="J70" i="1"/>
  <c r="J69" i="1"/>
  <c r="J68" i="1"/>
  <c r="J65" i="1"/>
  <c r="J64" i="1"/>
  <c r="L64" i="1" s="1"/>
  <c r="O64" i="1" s="1"/>
  <c r="J63" i="1"/>
  <c r="J62" i="1"/>
  <c r="I83" i="1"/>
  <c r="H83" i="1"/>
  <c r="I82" i="1"/>
  <c r="H82" i="1"/>
  <c r="I81" i="1"/>
  <c r="H81" i="1"/>
  <c r="I80" i="1"/>
  <c r="H80" i="1"/>
  <c r="I77" i="1"/>
  <c r="H77" i="1"/>
  <c r="K76" i="1"/>
  <c r="I76" i="1"/>
  <c r="H76" i="1"/>
  <c r="I75" i="1"/>
  <c r="H75" i="1"/>
  <c r="I74" i="1"/>
  <c r="H74" i="1"/>
  <c r="I71" i="1"/>
  <c r="H71" i="1"/>
  <c r="I70" i="1"/>
  <c r="H70" i="1"/>
  <c r="I69" i="1"/>
  <c r="H69" i="1"/>
  <c r="I68" i="1"/>
  <c r="H68" i="1"/>
  <c r="I65" i="1"/>
  <c r="H65" i="1"/>
  <c r="I64" i="1"/>
  <c r="H64" i="1"/>
  <c r="I63" i="1"/>
  <c r="H63" i="1"/>
  <c r="I62" i="1"/>
  <c r="H62" i="1"/>
  <c r="L71" i="1" l="1"/>
  <c r="O71" i="1" s="1"/>
  <c r="K80" i="1"/>
  <c r="L80" i="1"/>
  <c r="O80" i="1" s="1"/>
  <c r="L62" i="1"/>
  <c r="O62" i="1" s="1"/>
  <c r="K62" i="1"/>
  <c r="N76" i="1"/>
  <c r="K68" i="1"/>
  <c r="L68" i="1"/>
  <c r="O68" i="1" s="1"/>
  <c r="L82" i="1"/>
  <c r="O82" i="1" s="1"/>
  <c r="K82" i="1"/>
  <c r="K77" i="1"/>
  <c r="L77" i="1"/>
  <c r="O77" i="1" s="1"/>
  <c r="L70" i="1"/>
  <c r="O70" i="1" s="1"/>
  <c r="K70" i="1"/>
  <c r="K65" i="1"/>
  <c r="L65" i="1"/>
  <c r="O65" i="1" s="1"/>
  <c r="K81" i="1"/>
  <c r="L81" i="1"/>
  <c r="O81" i="1" s="1"/>
  <c r="L63" i="1"/>
  <c r="O63" i="1" s="1"/>
  <c r="K63" i="1"/>
  <c r="L69" i="1"/>
  <c r="O69" i="1" s="1"/>
  <c r="K69" i="1"/>
  <c r="L74" i="1"/>
  <c r="O74" i="1" s="1"/>
  <c r="K74" i="1"/>
  <c r="L75" i="1"/>
  <c r="O75" i="1" s="1"/>
  <c r="K75" i="1"/>
  <c r="K64" i="1"/>
  <c r="L76" i="1"/>
  <c r="O76" i="1" s="1"/>
  <c r="M83" i="1"/>
  <c r="P83" i="1" s="1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M71" i="1" l="1"/>
  <c r="P71" i="1" s="1"/>
  <c r="Q71" i="1" s="1"/>
  <c r="N65" i="1"/>
  <c r="M65" i="1"/>
  <c r="P65" i="1" s="1"/>
  <c r="N68" i="1"/>
  <c r="M68" i="1"/>
  <c r="P68" i="1" s="1"/>
  <c r="R83" i="1"/>
  <c r="Q83" i="1"/>
  <c r="M69" i="1"/>
  <c r="P69" i="1" s="1"/>
  <c r="N69" i="1"/>
  <c r="M70" i="1"/>
  <c r="P70" i="1" s="1"/>
  <c r="N70" i="1"/>
  <c r="M76" i="1"/>
  <c r="P76" i="1" s="1"/>
  <c r="N74" i="1"/>
  <c r="M74" i="1"/>
  <c r="P74" i="1" s="1"/>
  <c r="N63" i="1"/>
  <c r="M63" i="1"/>
  <c r="P63" i="1" s="1"/>
  <c r="N62" i="1"/>
  <c r="M62" i="1"/>
  <c r="P62" i="1" s="1"/>
  <c r="M80" i="1"/>
  <c r="P80" i="1" s="1"/>
  <c r="N80" i="1"/>
  <c r="M64" i="1"/>
  <c r="P64" i="1" s="1"/>
  <c r="N64" i="1"/>
  <c r="N77" i="1"/>
  <c r="M77" i="1"/>
  <c r="P77" i="1" s="1"/>
  <c r="N81" i="1"/>
  <c r="M81" i="1"/>
  <c r="P81" i="1" s="1"/>
  <c r="N75" i="1"/>
  <c r="M75" i="1"/>
  <c r="P75" i="1" s="1"/>
  <c r="M82" i="1"/>
  <c r="P82" i="1" s="1"/>
  <c r="N82" i="1"/>
  <c r="L54" i="1"/>
  <c r="L53" i="1"/>
  <c r="L52" i="1"/>
  <c r="L51" i="1"/>
  <c r="L48" i="1"/>
  <c r="L47" i="1"/>
  <c r="L46" i="1"/>
  <c r="L45" i="1"/>
  <c r="L42" i="1"/>
  <c r="L41" i="1"/>
  <c r="O41" i="1" s="1"/>
  <c r="L40" i="1"/>
  <c r="L39" i="1"/>
  <c r="O39" i="1" s="1"/>
  <c r="L34" i="1"/>
  <c r="O34" i="1" s="1"/>
  <c r="L35" i="1"/>
  <c r="O35" i="1" s="1"/>
  <c r="L36" i="1"/>
  <c r="O36" i="1" s="1"/>
  <c r="L33" i="1"/>
  <c r="O33" i="1" s="1"/>
  <c r="K54" i="1"/>
  <c r="K53" i="1"/>
  <c r="K52" i="1"/>
  <c r="N52" i="1" s="1"/>
  <c r="K51" i="1"/>
  <c r="N51" i="1" s="1"/>
  <c r="K48" i="1"/>
  <c r="K47" i="1"/>
  <c r="O47" i="1" s="1"/>
  <c r="K46" i="1"/>
  <c r="N46" i="1" s="1"/>
  <c r="K45" i="1"/>
  <c r="N45" i="1" s="1"/>
  <c r="K42" i="1"/>
  <c r="K41" i="1"/>
  <c r="K40" i="1"/>
  <c r="K39" i="1"/>
  <c r="K34" i="1"/>
  <c r="K35" i="1"/>
  <c r="N35" i="1" s="1"/>
  <c r="K36" i="1"/>
  <c r="K33" i="1"/>
  <c r="N33" i="1" s="1"/>
  <c r="N53" i="1"/>
  <c r="N47" i="1"/>
  <c r="N41" i="1"/>
  <c r="N40" i="1"/>
  <c r="N39" i="1"/>
  <c r="N34" i="1"/>
  <c r="N36" i="1"/>
  <c r="H52" i="1"/>
  <c r="H53" i="1"/>
  <c r="H54" i="1"/>
  <c r="H51" i="1"/>
  <c r="I52" i="1"/>
  <c r="I53" i="1"/>
  <c r="I54" i="1"/>
  <c r="I51" i="1"/>
  <c r="I46" i="1"/>
  <c r="I47" i="1"/>
  <c r="I48" i="1"/>
  <c r="I45" i="1"/>
  <c r="H46" i="1"/>
  <c r="H47" i="1"/>
  <c r="H48" i="1"/>
  <c r="J48" i="1" s="1"/>
  <c r="H45" i="1"/>
  <c r="J54" i="1"/>
  <c r="I40" i="1"/>
  <c r="I41" i="1"/>
  <c r="I42" i="1"/>
  <c r="I39" i="1"/>
  <c r="I34" i="1"/>
  <c r="I35" i="1"/>
  <c r="I36" i="1"/>
  <c r="I33" i="1"/>
  <c r="H40" i="1"/>
  <c r="H41" i="1"/>
  <c r="H42" i="1"/>
  <c r="H39" i="1"/>
  <c r="H34" i="1"/>
  <c r="H35" i="1"/>
  <c r="H36" i="1"/>
  <c r="H33" i="1"/>
  <c r="D38" i="1"/>
  <c r="C38" i="1"/>
  <c r="D37" i="1"/>
  <c r="C37" i="1"/>
  <c r="C34" i="1"/>
  <c r="D9" i="1"/>
  <c r="D8" i="1"/>
  <c r="C8" i="1"/>
  <c r="R71" i="1" l="1"/>
  <c r="R69" i="1"/>
  <c r="Q69" i="1"/>
  <c r="Q75" i="1"/>
  <c r="R75" i="1"/>
  <c r="R80" i="1"/>
  <c r="Q80" i="1"/>
  <c r="R68" i="1"/>
  <c r="Q68" i="1"/>
  <c r="R82" i="1"/>
  <c r="Q82" i="1"/>
  <c r="Q74" i="1"/>
  <c r="R74" i="1"/>
  <c r="R81" i="1"/>
  <c r="Q81" i="1"/>
  <c r="R62" i="1"/>
  <c r="Q62" i="1"/>
  <c r="Q76" i="1"/>
  <c r="R76" i="1"/>
  <c r="Q64" i="1"/>
  <c r="R64" i="1"/>
  <c r="R65" i="1"/>
  <c r="Q65" i="1"/>
  <c r="Q77" i="1"/>
  <c r="R77" i="1"/>
  <c r="Q63" i="1"/>
  <c r="R63" i="1"/>
  <c r="Q70" i="1"/>
  <c r="R70" i="1"/>
  <c r="O53" i="1"/>
  <c r="O54" i="1"/>
  <c r="O48" i="1"/>
  <c r="O42" i="1"/>
  <c r="O40" i="1"/>
  <c r="O51" i="1"/>
  <c r="N54" i="1"/>
  <c r="O52" i="1"/>
  <c r="O45" i="1"/>
  <c r="N48" i="1"/>
  <c r="O46" i="1"/>
  <c r="N42" i="1"/>
  <c r="J47" i="1"/>
  <c r="J53" i="1"/>
  <c r="J52" i="1"/>
  <c r="J51" i="1"/>
  <c r="J46" i="1"/>
  <c r="J45" i="1"/>
  <c r="J41" i="1"/>
  <c r="J36" i="1"/>
  <c r="J40" i="1"/>
  <c r="J42" i="1"/>
  <c r="J39" i="1"/>
  <c r="M41" i="1"/>
  <c r="P41" i="1" s="1"/>
  <c r="J34" i="1"/>
  <c r="J35" i="1"/>
  <c r="J33" i="1"/>
  <c r="D80" i="12"/>
  <c r="C80" i="12"/>
  <c r="D79" i="12"/>
  <c r="C79" i="12"/>
  <c r="C78" i="12"/>
  <c r="D78" i="12" s="1"/>
  <c r="C77" i="12"/>
  <c r="D77" i="12" s="1"/>
  <c r="D76" i="12"/>
  <c r="C76" i="12"/>
  <c r="D75" i="12"/>
  <c r="C75" i="12"/>
  <c r="C74" i="12"/>
  <c r="D74" i="12" s="1"/>
  <c r="C73" i="12"/>
  <c r="D73" i="12" s="1"/>
  <c r="D72" i="12"/>
  <c r="C72" i="12"/>
  <c r="D71" i="12"/>
  <c r="C71" i="12"/>
  <c r="C70" i="12"/>
  <c r="D70" i="12" s="1"/>
  <c r="C69" i="12"/>
  <c r="D69" i="12" s="1"/>
  <c r="D68" i="12"/>
  <c r="C68" i="12"/>
  <c r="D67" i="12"/>
  <c r="C67" i="12"/>
  <c r="C66" i="12"/>
  <c r="D66" i="12" s="1"/>
  <c r="C65" i="12"/>
  <c r="D65" i="12" s="1"/>
  <c r="D64" i="12"/>
  <c r="C64" i="12"/>
  <c r="D63" i="12"/>
  <c r="C63" i="12"/>
  <c r="C62" i="12"/>
  <c r="D62" i="12" s="1"/>
  <c r="C61" i="12"/>
  <c r="D61" i="12" s="1"/>
  <c r="D60" i="12"/>
  <c r="C60" i="12"/>
  <c r="D59" i="12"/>
  <c r="C59" i="12"/>
  <c r="C58" i="12"/>
  <c r="D58" i="12" s="1"/>
  <c r="C57" i="12"/>
  <c r="D57" i="12" s="1"/>
  <c r="D56" i="12"/>
  <c r="C56" i="12"/>
  <c r="D55" i="12"/>
  <c r="C55" i="12"/>
  <c r="C54" i="12"/>
  <c r="D54" i="12" s="1"/>
  <c r="C53" i="12"/>
  <c r="D53" i="12" s="1"/>
  <c r="D52" i="12"/>
  <c r="C52" i="12"/>
  <c r="D51" i="12"/>
  <c r="C51" i="12"/>
  <c r="C50" i="12"/>
  <c r="D50" i="12" s="1"/>
  <c r="V38" i="12"/>
  <c r="S38" i="12"/>
  <c r="T38" i="12" s="1"/>
  <c r="P38" i="12"/>
  <c r="Q38" i="12" s="1"/>
  <c r="F38" i="12"/>
  <c r="C38" i="12"/>
  <c r="V37" i="12"/>
  <c r="T37" i="12"/>
  <c r="S37" i="12"/>
  <c r="P37" i="12"/>
  <c r="Q37" i="12" s="1"/>
  <c r="F37" i="12"/>
  <c r="C37" i="12"/>
  <c r="V36" i="12"/>
  <c r="S36" i="12"/>
  <c r="T36" i="12" s="1"/>
  <c r="P36" i="12"/>
  <c r="Q36" i="12" s="1"/>
  <c r="F36" i="12"/>
  <c r="C36" i="12"/>
  <c r="V35" i="12"/>
  <c r="S35" i="12"/>
  <c r="T35" i="12" s="1"/>
  <c r="Q35" i="12"/>
  <c r="P35" i="12"/>
  <c r="F35" i="12"/>
  <c r="C35" i="12"/>
  <c r="V34" i="12"/>
  <c r="S34" i="12"/>
  <c r="T34" i="12" s="1"/>
  <c r="P34" i="12"/>
  <c r="Q34" i="12" s="1"/>
  <c r="F34" i="12"/>
  <c r="C34" i="12"/>
  <c r="V33" i="12"/>
  <c r="S33" i="12"/>
  <c r="T33" i="12" s="1"/>
  <c r="P33" i="12"/>
  <c r="Q33" i="12" s="1"/>
  <c r="F33" i="12"/>
  <c r="C33" i="12"/>
  <c r="V32" i="12"/>
  <c r="S32" i="12"/>
  <c r="T32" i="12" s="1"/>
  <c r="P32" i="12"/>
  <c r="Q32" i="12" s="1"/>
  <c r="F32" i="12"/>
  <c r="C32" i="12"/>
  <c r="V31" i="12"/>
  <c r="S31" i="12"/>
  <c r="T31" i="12" s="1"/>
  <c r="Q31" i="12"/>
  <c r="P31" i="12"/>
  <c r="F31" i="12"/>
  <c r="C31" i="12"/>
  <c r="V30" i="12"/>
  <c r="S30" i="12"/>
  <c r="T30" i="12" s="1"/>
  <c r="P30" i="12"/>
  <c r="Q30" i="12" s="1"/>
  <c r="F30" i="12"/>
  <c r="C30" i="12"/>
  <c r="V29" i="12"/>
  <c r="T29" i="12"/>
  <c r="S29" i="12"/>
  <c r="P29" i="12"/>
  <c r="Q29" i="12" s="1"/>
  <c r="F29" i="12"/>
  <c r="C29" i="12"/>
  <c r="V28" i="12"/>
  <c r="S28" i="12"/>
  <c r="T28" i="12" s="1"/>
  <c r="P28" i="12"/>
  <c r="Q28" i="12" s="1"/>
  <c r="F28" i="12"/>
  <c r="C28" i="12"/>
  <c r="V27" i="12"/>
  <c r="S27" i="12"/>
  <c r="T27" i="12" s="1"/>
  <c r="Q27" i="12"/>
  <c r="P27" i="12"/>
  <c r="F27" i="12"/>
  <c r="C27" i="12"/>
  <c r="V26" i="12"/>
  <c r="S26" i="12"/>
  <c r="T26" i="12" s="1"/>
  <c r="P26" i="12"/>
  <c r="Q26" i="12" s="1"/>
  <c r="F26" i="12"/>
  <c r="C26" i="12"/>
  <c r="V25" i="12"/>
  <c r="T25" i="12"/>
  <c r="S25" i="12"/>
  <c r="P25" i="12"/>
  <c r="Q25" i="12" s="1"/>
  <c r="F25" i="12"/>
  <c r="C25" i="12"/>
  <c r="V24" i="12"/>
  <c r="T24" i="12"/>
  <c r="S24" i="12"/>
  <c r="P24" i="12"/>
  <c r="Q24" i="12" s="1"/>
  <c r="F24" i="12"/>
  <c r="C24" i="12"/>
  <c r="V23" i="12"/>
  <c r="S23" i="12"/>
  <c r="T23" i="12" s="1"/>
  <c r="Q23" i="12"/>
  <c r="P23" i="12"/>
  <c r="F23" i="12"/>
  <c r="C23" i="12"/>
  <c r="V22" i="12"/>
  <c r="S22" i="12"/>
  <c r="T22" i="12" s="1"/>
  <c r="Q22" i="12"/>
  <c r="P22" i="12"/>
  <c r="F22" i="12"/>
  <c r="C22" i="12"/>
  <c r="V21" i="12"/>
  <c r="T21" i="12"/>
  <c r="S21" i="12"/>
  <c r="P21" i="12"/>
  <c r="Q21" i="12" s="1"/>
  <c r="F21" i="12"/>
  <c r="C21" i="12"/>
  <c r="V20" i="12"/>
  <c r="S20" i="12"/>
  <c r="T20" i="12" s="1"/>
  <c r="P20" i="12"/>
  <c r="Q20" i="12" s="1"/>
  <c r="F20" i="12"/>
  <c r="C20" i="12"/>
  <c r="V19" i="12"/>
  <c r="S19" i="12"/>
  <c r="T19" i="12" s="1"/>
  <c r="Q19" i="12"/>
  <c r="P19" i="12"/>
  <c r="F19" i="12"/>
  <c r="C19" i="12"/>
  <c r="V18" i="12"/>
  <c r="S18" i="12"/>
  <c r="T18" i="12" s="1"/>
  <c r="P18" i="12"/>
  <c r="Q18" i="12" s="1"/>
  <c r="F18" i="12"/>
  <c r="C18" i="12"/>
  <c r="V17" i="12"/>
  <c r="S17" i="12"/>
  <c r="T17" i="12" s="1"/>
  <c r="P17" i="12"/>
  <c r="Q17" i="12" s="1"/>
  <c r="F17" i="12"/>
  <c r="C17" i="12"/>
  <c r="V16" i="12"/>
  <c r="S16" i="12"/>
  <c r="T16" i="12" s="1"/>
  <c r="P16" i="12"/>
  <c r="Q16" i="12" s="1"/>
  <c r="F16" i="12"/>
  <c r="C16" i="12"/>
  <c r="V15" i="12"/>
  <c r="S15" i="12"/>
  <c r="T15" i="12" s="1"/>
  <c r="P15" i="12"/>
  <c r="Q15" i="12" s="1"/>
  <c r="F15" i="12"/>
  <c r="C15" i="12"/>
  <c r="V14" i="12"/>
  <c r="S14" i="12"/>
  <c r="T14" i="12" s="1"/>
  <c r="P14" i="12"/>
  <c r="Q14" i="12" s="1"/>
  <c r="F14" i="12"/>
  <c r="C14" i="12"/>
  <c r="V13" i="12"/>
  <c r="S13" i="12"/>
  <c r="T13" i="12" s="1"/>
  <c r="P13" i="12"/>
  <c r="Q13" i="12" s="1"/>
  <c r="F13" i="12"/>
  <c r="C13" i="12"/>
  <c r="V12" i="12"/>
  <c r="S12" i="12"/>
  <c r="T12" i="12" s="1"/>
  <c r="P12" i="12"/>
  <c r="Q12" i="12" s="1"/>
  <c r="F12" i="12"/>
  <c r="C12" i="12"/>
  <c r="V11" i="12"/>
  <c r="S11" i="12"/>
  <c r="T11" i="12" s="1"/>
  <c r="P11" i="12"/>
  <c r="Q11" i="12" s="1"/>
  <c r="F11" i="12"/>
  <c r="C11" i="12"/>
  <c r="V10" i="12"/>
  <c r="S10" i="12"/>
  <c r="T10" i="12" s="1"/>
  <c r="P10" i="12"/>
  <c r="Q10" i="12" s="1"/>
  <c r="F10" i="12"/>
  <c r="C10" i="12"/>
  <c r="Q41" i="1" l="1"/>
  <c r="R41" i="1"/>
  <c r="M45" i="1"/>
  <c r="P45" i="1" s="1"/>
  <c r="M53" i="1"/>
  <c r="P53" i="1" s="1"/>
  <c r="M47" i="1"/>
  <c r="P47" i="1" s="1"/>
  <c r="M46" i="1"/>
  <c r="P46" i="1" s="1"/>
  <c r="M48" i="1"/>
  <c r="P48" i="1" s="1"/>
  <c r="M52" i="1"/>
  <c r="P52" i="1" s="1"/>
  <c r="M51" i="1"/>
  <c r="P51" i="1" s="1"/>
  <c r="M54" i="1"/>
  <c r="P54" i="1" s="1"/>
  <c r="M40" i="1"/>
  <c r="P40" i="1" s="1"/>
  <c r="M42" i="1"/>
  <c r="P42" i="1" s="1"/>
  <c r="M39" i="1"/>
  <c r="P39" i="1" s="1"/>
  <c r="M35" i="1"/>
  <c r="P35" i="1" s="1"/>
  <c r="M33" i="1"/>
  <c r="P33" i="1" s="1"/>
  <c r="M34" i="1"/>
  <c r="P34" i="1" s="1"/>
  <c r="M36" i="1"/>
  <c r="P36" i="1" s="1"/>
  <c r="N51" i="4"/>
  <c r="R51" i="1" l="1"/>
  <c r="Q51" i="1"/>
  <c r="R54" i="1"/>
  <c r="Q54" i="1"/>
  <c r="Q52" i="1"/>
  <c r="R52" i="1"/>
  <c r="R53" i="1"/>
  <c r="Q53" i="1"/>
  <c r="Q48" i="1"/>
  <c r="R48" i="1"/>
  <c r="R46" i="1"/>
  <c r="Q46" i="1"/>
  <c r="R47" i="1"/>
  <c r="Q47" i="1"/>
  <c r="R45" i="1"/>
  <c r="Q45" i="1"/>
  <c r="R39" i="1"/>
  <c r="Q39" i="1"/>
  <c r="Q42" i="1"/>
  <c r="R42" i="1"/>
  <c r="R40" i="1"/>
  <c r="Q40" i="1"/>
  <c r="Q36" i="1"/>
  <c r="R36" i="1"/>
  <c r="R34" i="1"/>
  <c r="Q34" i="1"/>
  <c r="R35" i="1"/>
  <c r="Q35" i="1"/>
  <c r="Q33" i="1"/>
  <c r="R33" i="1"/>
  <c r="H80" i="11" l="1"/>
  <c r="H79" i="11"/>
  <c r="G80" i="11"/>
  <c r="H78" i="11"/>
  <c r="G78" i="11"/>
  <c r="H77" i="11"/>
  <c r="G77" i="11"/>
  <c r="H76" i="11"/>
  <c r="H59" i="11"/>
  <c r="H60" i="11"/>
  <c r="H61" i="11"/>
  <c r="H62" i="11"/>
  <c r="I62" i="11" s="1"/>
  <c r="H58" i="11"/>
  <c r="G61" i="11"/>
  <c r="G59" i="11"/>
  <c r="G26" i="11"/>
  <c r="G23" i="11"/>
  <c r="H23" i="11"/>
  <c r="H24" i="11"/>
  <c r="H25" i="11"/>
  <c r="H26" i="11"/>
  <c r="I26" i="11" s="1"/>
  <c r="H22" i="11"/>
  <c r="I78" i="11" l="1"/>
  <c r="L78" i="11" s="1"/>
  <c r="I76" i="11"/>
  <c r="L76" i="11" s="1"/>
  <c r="I22" i="11"/>
  <c r="L22" i="11" s="1"/>
  <c r="G62" i="11"/>
  <c r="L62" i="11" s="1"/>
  <c r="G60" i="11"/>
  <c r="I60" i="11"/>
  <c r="I59" i="11"/>
  <c r="L59" i="11" s="1"/>
  <c r="I61" i="11"/>
  <c r="L61" i="11" s="1"/>
  <c r="I23" i="11"/>
  <c r="L23" i="11" s="1"/>
  <c r="I25" i="11"/>
  <c r="I24" i="11"/>
  <c r="I77" i="11"/>
  <c r="I79" i="11"/>
  <c r="L77" i="11"/>
  <c r="I58" i="11"/>
  <c r="L58" i="11" s="1"/>
  <c r="L26" i="11"/>
  <c r="I80" i="11"/>
  <c r="L80" i="11" s="1"/>
  <c r="G79" i="11"/>
  <c r="G25" i="11"/>
  <c r="G24" i="11"/>
  <c r="L79" i="11" l="1"/>
  <c r="L60" i="11"/>
  <c r="L25" i="11"/>
  <c r="L24" i="11"/>
  <c r="I67" i="6"/>
  <c r="I68" i="6"/>
  <c r="I66" i="6"/>
  <c r="I47" i="6"/>
  <c r="I48" i="6"/>
  <c r="I49" i="6"/>
  <c r="H66" i="6"/>
  <c r="H45" i="6"/>
  <c r="I31" i="6"/>
  <c r="I30" i="6"/>
  <c r="I29" i="6"/>
  <c r="I28" i="6"/>
  <c r="H26" i="6"/>
  <c r="I8" i="6"/>
  <c r="I9" i="6"/>
  <c r="I10" i="6"/>
  <c r="I11" i="6"/>
  <c r="I12" i="6"/>
  <c r="H7" i="6"/>
  <c r="I69" i="6" s="1"/>
  <c r="I46" i="6" l="1"/>
  <c r="I26" i="6"/>
  <c r="I45" i="6"/>
  <c r="I70" i="6"/>
  <c r="I71" i="6"/>
  <c r="I7" i="6"/>
  <c r="I27" i="6"/>
  <c r="I50" i="6"/>
  <c r="F7" i="10"/>
  <c r="F8" i="10"/>
  <c r="G8" i="10" s="1"/>
  <c r="F9" i="10"/>
  <c r="G9" i="10" s="1"/>
  <c r="F10" i="10"/>
  <c r="G10" i="10" s="1"/>
  <c r="F11" i="10"/>
  <c r="G61" i="9"/>
  <c r="H64" i="9" s="1"/>
  <c r="E61" i="9"/>
  <c r="F62" i="9" s="1"/>
  <c r="G60" i="9"/>
  <c r="H63" i="9" s="1"/>
  <c r="E60" i="9"/>
  <c r="F61" i="9" s="1"/>
  <c r="G59" i="9"/>
  <c r="E59" i="9"/>
  <c r="F60" i="9" s="1"/>
  <c r="G58" i="9"/>
  <c r="E58" i="9"/>
  <c r="F59" i="9" s="1"/>
  <c r="G57" i="9"/>
  <c r="F57" i="9"/>
  <c r="E57" i="9"/>
  <c r="F58" i="9" s="1"/>
  <c r="G44" i="9"/>
  <c r="H47" i="9" s="1"/>
  <c r="E44" i="9"/>
  <c r="F45" i="9" s="1"/>
  <c r="G43" i="9"/>
  <c r="E43" i="9"/>
  <c r="F44" i="9" s="1"/>
  <c r="G42" i="9"/>
  <c r="E42" i="9"/>
  <c r="F43" i="9" s="1"/>
  <c r="G41" i="9"/>
  <c r="E41" i="9"/>
  <c r="F42" i="9" s="1"/>
  <c r="G40" i="9"/>
  <c r="F40" i="9"/>
  <c r="E40" i="9"/>
  <c r="F41" i="9" s="1"/>
  <c r="G27" i="9"/>
  <c r="H30" i="9" s="1"/>
  <c r="E27" i="9"/>
  <c r="F28" i="9" s="1"/>
  <c r="G26" i="9"/>
  <c r="H29" i="9" s="1"/>
  <c r="E26" i="9"/>
  <c r="F27" i="9" s="1"/>
  <c r="G25" i="9"/>
  <c r="E25" i="9"/>
  <c r="F26" i="9" s="1"/>
  <c r="G24" i="9"/>
  <c r="E24" i="9"/>
  <c r="F25" i="9" s="1"/>
  <c r="G23" i="9"/>
  <c r="F23" i="9"/>
  <c r="E23" i="9"/>
  <c r="F24" i="9" s="1"/>
  <c r="G7" i="9"/>
  <c r="G8" i="9"/>
  <c r="G9" i="9"/>
  <c r="G10" i="9"/>
  <c r="H13" i="9" s="1"/>
  <c r="G6" i="9"/>
  <c r="H7" i="9" s="1"/>
  <c r="H28" i="9" l="1"/>
  <c r="H12" i="9"/>
  <c r="H62" i="9"/>
  <c r="H45" i="9"/>
  <c r="H46" i="9"/>
  <c r="H25" i="9"/>
  <c r="F18" i="10"/>
  <c r="G18" i="10" s="1"/>
  <c r="G7" i="10"/>
  <c r="H11" i="10"/>
  <c r="H9" i="10"/>
  <c r="H8" i="10"/>
  <c r="H11" i="9"/>
  <c r="H61" i="9"/>
  <c r="H60" i="9"/>
  <c r="H42" i="9"/>
  <c r="H10" i="9"/>
  <c r="H7" i="10"/>
  <c r="G11" i="10"/>
  <c r="H59" i="9"/>
  <c r="H44" i="9"/>
  <c r="H26" i="9"/>
  <c r="H24" i="9"/>
  <c r="H9" i="9"/>
  <c r="H8" i="9"/>
  <c r="H58" i="9"/>
  <c r="H41" i="9"/>
  <c r="H43" i="9"/>
  <c r="H27" i="9"/>
  <c r="H10" i="10" l="1"/>
  <c r="H12" i="10"/>
  <c r="J28" i="8"/>
  <c r="J46" i="8" s="1"/>
  <c r="J64" i="8" s="1"/>
  <c r="J27" i="8"/>
  <c r="J45" i="8" s="1"/>
  <c r="J63" i="8" s="1"/>
  <c r="J24" i="8"/>
  <c r="J42" i="8" s="1"/>
  <c r="J60" i="8" s="1"/>
  <c r="I26" i="8"/>
  <c r="I44" i="8" s="1"/>
  <c r="I62" i="8" s="1"/>
  <c r="I24" i="8"/>
  <c r="I42" i="8" s="1"/>
  <c r="I60" i="8" s="1"/>
  <c r="J25" i="8"/>
  <c r="J43" i="8" s="1"/>
  <c r="J61" i="8" s="1"/>
  <c r="I25" i="8"/>
  <c r="I43" i="8" s="1"/>
  <c r="I61" i="8" s="1"/>
  <c r="J26" i="8"/>
  <c r="J44" i="8" s="1"/>
  <c r="J62" i="8" s="1"/>
  <c r="I28" i="8"/>
  <c r="I46" i="8" s="1"/>
  <c r="I64" i="8" s="1"/>
  <c r="I27" i="8"/>
  <c r="I45" i="8" s="1"/>
  <c r="I63" i="8" s="1"/>
  <c r="H28" i="8"/>
  <c r="H27" i="8"/>
  <c r="H26" i="8"/>
  <c r="H25" i="8"/>
  <c r="H24" i="8"/>
  <c r="H10" i="8"/>
  <c r="H9" i="8"/>
  <c r="H8" i="8"/>
  <c r="H7" i="8"/>
  <c r="H6" i="8"/>
  <c r="G31" i="6"/>
  <c r="G30" i="6"/>
  <c r="G29" i="6"/>
  <c r="G28" i="6"/>
  <c r="G27" i="6"/>
  <c r="G26" i="6"/>
  <c r="G12" i="6"/>
  <c r="G11" i="6"/>
  <c r="G10" i="6"/>
  <c r="G9" i="6"/>
  <c r="G8" i="6"/>
  <c r="G7" i="6"/>
  <c r="I9" i="4" l="1"/>
  <c r="N38" i="4"/>
  <c r="M38" i="4"/>
  <c r="N37" i="4"/>
  <c r="M37" i="4"/>
  <c r="N36" i="4"/>
  <c r="M36" i="4"/>
  <c r="N35" i="4"/>
  <c r="M35" i="4"/>
  <c r="N34" i="4"/>
  <c r="M34" i="4"/>
  <c r="N17" i="4"/>
  <c r="N18" i="4"/>
  <c r="N19" i="4"/>
  <c r="N16" i="4"/>
  <c r="N15" i="4"/>
  <c r="M17" i="4"/>
  <c r="M18" i="4"/>
  <c r="M19" i="4"/>
  <c r="M16" i="4"/>
  <c r="M15" i="4"/>
  <c r="I11" i="4" l="1"/>
  <c r="I10" i="4"/>
  <c r="N52" i="4"/>
  <c r="M8" i="4"/>
  <c r="K11" i="4" l="1"/>
  <c r="O52" i="4" s="1"/>
  <c r="P52" i="4" s="1"/>
  <c r="N56" i="4" s="1"/>
  <c r="O56" i="4" s="1"/>
  <c r="C29" i="1"/>
  <c r="D28" i="1"/>
  <c r="D27" i="1"/>
  <c r="C27" i="1"/>
  <c r="C22" i="1"/>
  <c r="C28" i="1" s="1"/>
  <c r="O34" i="4" l="1"/>
  <c r="K42" i="8" s="1"/>
  <c r="O40" i="4"/>
  <c r="K48" i="8" s="1"/>
  <c r="P39" i="4"/>
  <c r="P40" i="4"/>
  <c r="P41" i="4"/>
  <c r="O43" i="4"/>
  <c r="K51" i="8" s="1"/>
  <c r="O44" i="4"/>
  <c r="K52" i="8" s="1"/>
  <c r="O41" i="4"/>
  <c r="K49" i="8" s="1"/>
  <c r="P56" i="4"/>
  <c r="O42" i="4"/>
  <c r="K50" i="8" s="1"/>
  <c r="P42" i="4"/>
  <c r="P43" i="4"/>
  <c r="P44" i="4"/>
  <c r="O39" i="4"/>
  <c r="K47" i="8" s="1"/>
  <c r="O38" i="4"/>
  <c r="K46" i="8" s="1"/>
  <c r="P36" i="4"/>
  <c r="P34" i="4"/>
  <c r="P38" i="4"/>
  <c r="O35" i="4"/>
  <c r="K43" i="8" s="1"/>
  <c r="P35" i="4"/>
  <c r="O36" i="4"/>
  <c r="K44" i="8" s="1"/>
  <c r="O37" i="4"/>
  <c r="K45" i="8" s="1"/>
  <c r="P37" i="4"/>
  <c r="D17" i="1"/>
  <c r="C17" i="1"/>
  <c r="K64" i="8" l="1"/>
  <c r="P46" i="8"/>
  <c r="K69" i="8"/>
  <c r="P51" i="8"/>
  <c r="J68" i="11"/>
  <c r="J86" i="11" s="1"/>
  <c r="M86" i="11" s="1"/>
  <c r="N86" i="11" s="1"/>
  <c r="L52" i="8"/>
  <c r="J65" i="11"/>
  <c r="J83" i="11" s="1"/>
  <c r="M83" i="11" s="1"/>
  <c r="N83" i="11" s="1"/>
  <c r="L49" i="8"/>
  <c r="M49" i="8" s="1"/>
  <c r="K63" i="8"/>
  <c r="P45" i="8"/>
  <c r="L43" i="8"/>
  <c r="M43" i="8" s="1"/>
  <c r="J59" i="11"/>
  <c r="J77" i="11" s="1"/>
  <c r="L48" i="8"/>
  <c r="M48" i="8" s="1"/>
  <c r="J64" i="11"/>
  <c r="J82" i="11" s="1"/>
  <c r="M82" i="11" s="1"/>
  <c r="N82" i="11" s="1"/>
  <c r="K70" i="8"/>
  <c r="P52" i="8"/>
  <c r="K61" i="8"/>
  <c r="P43" i="8"/>
  <c r="L50" i="8"/>
  <c r="J66" i="11"/>
  <c r="J84" i="11" s="1"/>
  <c r="M84" i="11" s="1"/>
  <c r="N84" i="11" s="1"/>
  <c r="J63" i="11"/>
  <c r="J81" i="11" s="1"/>
  <c r="M81" i="11" s="1"/>
  <c r="N81" i="11" s="1"/>
  <c r="L47" i="8"/>
  <c r="M47" i="8" s="1"/>
  <c r="K67" i="8"/>
  <c r="P49" i="8"/>
  <c r="J62" i="11"/>
  <c r="J80" i="11" s="1"/>
  <c r="L46" i="8"/>
  <c r="L44" i="8"/>
  <c r="M44" i="8" s="1"/>
  <c r="J60" i="11"/>
  <c r="J78" i="11" s="1"/>
  <c r="L45" i="8"/>
  <c r="M45" i="8" s="1"/>
  <c r="J61" i="11"/>
  <c r="J79" i="11" s="1"/>
  <c r="K65" i="8"/>
  <c r="P47" i="8"/>
  <c r="K62" i="8"/>
  <c r="P44" i="8"/>
  <c r="L51" i="8"/>
  <c r="M51" i="8" s="1"/>
  <c r="J67" i="11"/>
  <c r="J85" i="11" s="1"/>
  <c r="M85" i="11" s="1"/>
  <c r="N85" i="11" s="1"/>
  <c r="K68" i="8"/>
  <c r="P50" i="8"/>
  <c r="K66" i="8"/>
  <c r="P48" i="8"/>
  <c r="J58" i="11"/>
  <c r="J76" i="11" s="1"/>
  <c r="L42" i="8"/>
  <c r="M42" i="8" s="1"/>
  <c r="K60" i="8"/>
  <c r="P42" i="8"/>
  <c r="M68" i="11"/>
  <c r="N68" i="11" s="1"/>
  <c r="M63" i="11" l="1"/>
  <c r="N63" i="11" s="1"/>
  <c r="M67" i="11"/>
  <c r="N67" i="11" s="1"/>
  <c r="L66" i="8"/>
  <c r="Q66" i="8" s="1"/>
  <c r="Q48" i="8"/>
  <c r="R48" i="8" s="1"/>
  <c r="M65" i="11"/>
  <c r="N65" i="11" s="1"/>
  <c r="L68" i="8"/>
  <c r="Q68" i="8" s="1"/>
  <c r="Q50" i="8"/>
  <c r="R50" i="8" s="1"/>
  <c r="L61" i="8"/>
  <c r="Q61" i="8" s="1"/>
  <c r="Q43" i="8"/>
  <c r="R43" i="8" s="1"/>
  <c r="P60" i="8"/>
  <c r="P68" i="8"/>
  <c r="P65" i="8"/>
  <c r="P61" i="8"/>
  <c r="L62" i="8"/>
  <c r="Q62" i="8" s="1"/>
  <c r="Q44" i="8"/>
  <c r="R44" i="8" s="1"/>
  <c r="P66" i="8"/>
  <c r="L70" i="8"/>
  <c r="Q70" i="8" s="1"/>
  <c r="Q52" i="8"/>
  <c r="R52" i="8" s="1"/>
  <c r="L60" i="8"/>
  <c r="Q60" i="8" s="1"/>
  <c r="Q42" i="8"/>
  <c r="R42" i="8" s="1"/>
  <c r="P67" i="8"/>
  <c r="P69" i="8"/>
  <c r="P64" i="8"/>
  <c r="P62" i="8"/>
  <c r="M66" i="11"/>
  <c r="N66" i="11" s="1"/>
  <c r="L69" i="8"/>
  <c r="Q69" i="8" s="1"/>
  <c r="Q51" i="8"/>
  <c r="R51" i="8" s="1"/>
  <c r="L63" i="8"/>
  <c r="Q63" i="8" s="1"/>
  <c r="Q45" i="8"/>
  <c r="R45" i="8" s="1"/>
  <c r="L65" i="8"/>
  <c r="Q65" i="8" s="1"/>
  <c r="Q47" i="8"/>
  <c r="R47" i="8" s="1"/>
  <c r="M52" i="8"/>
  <c r="P63" i="8"/>
  <c r="L64" i="8"/>
  <c r="Q64" i="8" s="1"/>
  <c r="Q46" i="8"/>
  <c r="R46" i="8" s="1"/>
  <c r="M50" i="8"/>
  <c r="M64" i="11"/>
  <c r="N64" i="11" s="1"/>
  <c r="P70" i="8"/>
  <c r="L67" i="8"/>
  <c r="Q67" i="8" s="1"/>
  <c r="Q49" i="8"/>
  <c r="R49" i="8" s="1"/>
  <c r="M46" i="8"/>
  <c r="D18" i="1"/>
  <c r="C13" i="1"/>
  <c r="C18" i="1" s="1"/>
  <c r="C3" i="1"/>
  <c r="C9" i="1" s="1"/>
  <c r="K10" i="4"/>
  <c r="O51" i="4" s="1"/>
  <c r="P51" i="4" s="1"/>
  <c r="N55" i="4" s="1"/>
  <c r="O55" i="4" s="1"/>
  <c r="R69" i="8" l="1"/>
  <c r="M69" i="8"/>
  <c r="M66" i="8"/>
  <c r="M65" i="8"/>
  <c r="R62" i="8"/>
  <c r="R66" i="8"/>
  <c r="M68" i="8"/>
  <c r="R63" i="8"/>
  <c r="R64" i="8"/>
  <c r="R67" i="8"/>
  <c r="M60" i="8"/>
  <c r="M67" i="8"/>
  <c r="R68" i="8"/>
  <c r="R70" i="8"/>
  <c r="M70" i="8"/>
  <c r="M62" i="8"/>
  <c r="R61" i="8"/>
  <c r="M63" i="8"/>
  <c r="R60" i="8"/>
  <c r="M61" i="8"/>
  <c r="M64" i="8"/>
  <c r="R65" i="8"/>
  <c r="P55" i="4"/>
  <c r="O20" i="4"/>
  <c r="O21" i="4"/>
  <c r="P20" i="4"/>
  <c r="O22" i="4"/>
  <c r="P21" i="4"/>
  <c r="O23" i="4"/>
  <c r="P22" i="4"/>
  <c r="O24" i="4"/>
  <c r="P23" i="4"/>
  <c r="O25" i="4"/>
  <c r="P24" i="4"/>
  <c r="P25" i="4"/>
  <c r="P17" i="4"/>
  <c r="O15" i="4"/>
  <c r="O18" i="4"/>
  <c r="P19" i="4"/>
  <c r="O17" i="4"/>
  <c r="O16" i="4"/>
  <c r="O19" i="4"/>
  <c r="P16" i="4"/>
  <c r="P18" i="4"/>
  <c r="P15" i="4"/>
  <c r="L13" i="8" l="1"/>
  <c r="L31" i="8" s="1"/>
  <c r="Q31" i="8" s="1"/>
  <c r="J22" i="11"/>
  <c r="J40" i="11" s="1"/>
  <c r="M40" i="11" s="1"/>
  <c r="N40" i="11" s="1"/>
  <c r="O40" i="11" s="1"/>
  <c r="K6" i="8"/>
  <c r="K24" i="8" s="1"/>
  <c r="L12" i="8"/>
  <c r="L30" i="8" s="1"/>
  <c r="Q30" i="8" s="1"/>
  <c r="L15" i="8"/>
  <c r="L33" i="8" s="1"/>
  <c r="Q33" i="8" s="1"/>
  <c r="L16" i="8"/>
  <c r="L34" i="8" s="1"/>
  <c r="Q34" i="8" s="1"/>
  <c r="K12" i="8"/>
  <c r="K30" i="8" s="1"/>
  <c r="J28" i="11"/>
  <c r="J46" i="11" s="1"/>
  <c r="M46" i="11" s="1"/>
  <c r="N46" i="11" s="1"/>
  <c r="K14" i="8"/>
  <c r="K32" i="8" s="1"/>
  <c r="J30" i="11"/>
  <c r="J48" i="11" s="1"/>
  <c r="M48" i="11" s="1"/>
  <c r="N48" i="11" s="1"/>
  <c r="L7" i="8"/>
  <c r="L25" i="8" s="1"/>
  <c r="Q25" i="8" s="1"/>
  <c r="L11" i="8"/>
  <c r="L29" i="8" s="1"/>
  <c r="Q29" i="8" s="1"/>
  <c r="J32" i="11"/>
  <c r="J50" i="11" s="1"/>
  <c r="M50" i="11" s="1"/>
  <c r="N50" i="11" s="1"/>
  <c r="K16" i="8"/>
  <c r="K34" i="8" s="1"/>
  <c r="J27" i="11"/>
  <c r="J45" i="11" s="1"/>
  <c r="M45" i="11" s="1"/>
  <c r="N45" i="11" s="1"/>
  <c r="K11" i="8"/>
  <c r="K29" i="8" s="1"/>
  <c r="J25" i="11"/>
  <c r="J43" i="11" s="1"/>
  <c r="M43" i="11" s="1"/>
  <c r="N43" i="11" s="1"/>
  <c r="K9" i="8"/>
  <c r="K27" i="8" s="1"/>
  <c r="L6" i="8"/>
  <c r="L24" i="8" s="1"/>
  <c r="Q24" i="8" s="1"/>
  <c r="L9" i="8"/>
  <c r="L27" i="8" s="1"/>
  <c r="Q27" i="8" s="1"/>
  <c r="L8" i="8"/>
  <c r="L26" i="8" s="1"/>
  <c r="Q26" i="8" s="1"/>
  <c r="K13" i="8"/>
  <c r="K31" i="8" s="1"/>
  <c r="J29" i="11"/>
  <c r="J47" i="11" s="1"/>
  <c r="M47" i="11" s="1"/>
  <c r="N47" i="11" s="1"/>
  <c r="J26" i="11"/>
  <c r="J44" i="11" s="1"/>
  <c r="M44" i="11" s="1"/>
  <c r="N44" i="11" s="1"/>
  <c r="K10" i="8"/>
  <c r="K28" i="8" s="1"/>
  <c r="J23" i="11"/>
  <c r="J41" i="11" s="1"/>
  <c r="M41" i="11" s="1"/>
  <c r="N41" i="11" s="1"/>
  <c r="K7" i="8"/>
  <c r="K25" i="8" s="1"/>
  <c r="J24" i="11"/>
  <c r="J42" i="11" s="1"/>
  <c r="M42" i="11" s="1"/>
  <c r="N42" i="11" s="1"/>
  <c r="K8" i="8"/>
  <c r="K26" i="8" s="1"/>
  <c r="L14" i="8"/>
  <c r="L32" i="8" s="1"/>
  <c r="Q32" i="8" s="1"/>
  <c r="L10" i="8"/>
  <c r="L28" i="8" s="1"/>
  <c r="Q28" i="8" s="1"/>
  <c r="K15" i="8"/>
  <c r="K33" i="8" s="1"/>
  <c r="J31" i="11"/>
  <c r="J49" i="11" s="1"/>
  <c r="M49" i="11" s="1"/>
  <c r="N49" i="11" s="1"/>
  <c r="M31" i="11" l="1"/>
  <c r="N31" i="11" s="1"/>
  <c r="M28" i="11"/>
  <c r="N28" i="11" s="1"/>
  <c r="Q16" i="8"/>
  <c r="M27" i="11"/>
  <c r="N27" i="11" s="1"/>
  <c r="Q9" i="8"/>
  <c r="M23" i="11"/>
  <c r="N23" i="11" s="1"/>
  <c r="Q13" i="8"/>
  <c r="Q11" i="8"/>
  <c r="Q10" i="8"/>
  <c r="Q12" i="8"/>
  <c r="M30" i="11"/>
  <c r="N30" i="11" s="1"/>
  <c r="Q8" i="8"/>
  <c r="Q6" i="8"/>
  <c r="M29" i="11"/>
  <c r="N29" i="11" s="1"/>
  <c r="Q14" i="8"/>
  <c r="Q7" i="8"/>
  <c r="Q15" i="8"/>
  <c r="M24" i="11"/>
  <c r="N24" i="11" s="1"/>
  <c r="M32" i="11"/>
  <c r="N32" i="11" s="1"/>
  <c r="M22" i="11"/>
  <c r="N22" i="11" s="1"/>
  <c r="O22" i="11" s="1"/>
  <c r="M25" i="11"/>
  <c r="N25" i="11" s="1"/>
  <c r="M26" i="11"/>
  <c r="N26" i="11" s="1"/>
  <c r="O41" i="11"/>
  <c r="O42" i="11" s="1"/>
  <c r="O43" i="11" s="1"/>
  <c r="O44" i="11" s="1"/>
  <c r="O45" i="11" s="1"/>
  <c r="O46" i="11" s="1"/>
  <c r="O47" i="11" s="1"/>
  <c r="O48" i="11" s="1"/>
  <c r="O49" i="11" s="1"/>
  <c r="O50" i="11" s="1"/>
  <c r="P10" i="8"/>
  <c r="M10" i="8"/>
  <c r="M11" i="8"/>
  <c r="P11" i="8"/>
  <c r="M8" i="8"/>
  <c r="P8" i="8"/>
  <c r="P7" i="8"/>
  <c r="M7" i="8"/>
  <c r="M14" i="8"/>
  <c r="P14" i="8"/>
  <c r="M13" i="8"/>
  <c r="P13" i="8"/>
  <c r="M9" i="8"/>
  <c r="P9" i="8"/>
  <c r="M16" i="8"/>
  <c r="P16" i="8"/>
  <c r="M6" i="8"/>
  <c r="P6" i="8"/>
  <c r="M15" i="8"/>
  <c r="P15" i="8"/>
  <c r="M12" i="8"/>
  <c r="P12" i="8"/>
  <c r="R16" i="8" l="1"/>
  <c r="R9" i="8"/>
  <c r="O23" i="11"/>
  <c r="O24" i="11" s="1"/>
  <c r="O25" i="11" s="1"/>
  <c r="O26" i="11" s="1"/>
  <c r="O27" i="11" s="1"/>
  <c r="O28" i="11" s="1"/>
  <c r="O29" i="11" s="1"/>
  <c r="O30" i="11" s="1"/>
  <c r="O31" i="11" s="1"/>
  <c r="O32" i="11" s="1"/>
  <c r="R13" i="8"/>
  <c r="R10" i="8"/>
  <c r="R12" i="8"/>
  <c r="R8" i="8"/>
  <c r="R7" i="8"/>
  <c r="R11" i="8"/>
  <c r="R6" i="8"/>
  <c r="R14" i="8"/>
  <c r="R15" i="8"/>
  <c r="M29" i="8"/>
  <c r="P29" i="8"/>
  <c r="R29" i="8" s="1"/>
  <c r="P26" i="8"/>
  <c r="R26" i="8" s="1"/>
  <c r="M26" i="8"/>
  <c r="M34" i="8"/>
  <c r="P34" i="8"/>
  <c r="R34" i="8" s="1"/>
  <c r="M32" i="8"/>
  <c r="P32" i="8"/>
  <c r="R32" i="8" s="1"/>
  <c r="M33" i="8"/>
  <c r="P33" i="8"/>
  <c r="R33" i="8" s="1"/>
  <c r="P27" i="8"/>
  <c r="R27" i="8" s="1"/>
  <c r="M27" i="8"/>
  <c r="P25" i="8"/>
  <c r="R25" i="8" s="1"/>
  <c r="M25" i="8"/>
  <c r="M31" i="8"/>
  <c r="P31" i="8"/>
  <c r="R31" i="8" s="1"/>
  <c r="M30" i="8"/>
  <c r="P30" i="8"/>
  <c r="R30" i="8" s="1"/>
  <c r="P24" i="8"/>
  <c r="R24" i="8" s="1"/>
  <c r="M24" i="8"/>
  <c r="M28" i="8"/>
  <c r="P28" i="8"/>
  <c r="R28" i="8" s="1"/>
  <c r="M59" i="11"/>
  <c r="N59" i="11" s="1"/>
  <c r="M77" i="11"/>
  <c r="N77" i="11" s="1"/>
  <c r="M80" i="11"/>
  <c r="N80" i="11" s="1"/>
  <c r="M62" i="11"/>
  <c r="N62" i="11" s="1"/>
  <c r="M61" i="11"/>
  <c r="N61" i="11" s="1"/>
  <c r="M79" i="11"/>
  <c r="N79" i="11" s="1"/>
  <c r="M58" i="11"/>
  <c r="N58" i="11" s="1"/>
  <c r="O58" i="11" s="1"/>
  <c r="M76" i="11"/>
  <c r="N76" i="11" s="1"/>
  <c r="O76" i="11" s="1"/>
  <c r="M60" i="11"/>
  <c r="N60" i="11" s="1"/>
  <c r="M78" i="11"/>
  <c r="N78" i="11" s="1"/>
  <c r="O77" i="11" l="1"/>
  <c r="O78" i="11" s="1"/>
  <c r="O79" i="11" s="1"/>
  <c r="O80" i="11" s="1"/>
  <c r="O81" i="11" s="1"/>
  <c r="O82" i="11" s="1"/>
  <c r="O83" i="11" s="1"/>
  <c r="O84" i="11" s="1"/>
  <c r="O85" i="11" s="1"/>
  <c r="O86" i="11" s="1"/>
  <c r="O59" i="11"/>
  <c r="O60" i="11" s="1"/>
  <c r="O61" i="11" s="1"/>
  <c r="O62" i="11" s="1"/>
  <c r="O63" i="11" s="1"/>
  <c r="O64" i="11" s="1"/>
  <c r="O65" i="11" s="1"/>
  <c r="O66" i="11" s="1"/>
  <c r="O67" i="11" s="1"/>
  <c r="O68" i="11" s="1"/>
</calcChain>
</file>

<file path=xl/sharedStrings.xml><?xml version="1.0" encoding="utf-8"?>
<sst xmlns="http://schemas.openxmlformats.org/spreadsheetml/2006/main" count="3488" uniqueCount="262">
  <si>
    <t>Losa 15cm</t>
  </si>
  <si>
    <t>Cielo Falso e instalaciones</t>
  </si>
  <si>
    <t xml:space="preserve">Ceramica + Pegamix </t>
  </si>
  <si>
    <t>Total</t>
  </si>
  <si>
    <t>Pendientes de techo</t>
  </si>
  <si>
    <t>Kg/m2</t>
  </si>
  <si>
    <t>SISMO</t>
  </si>
  <si>
    <t>m</t>
  </si>
  <si>
    <t>TABLE:  Centers of Mass and Rigidity</t>
  </si>
  <si>
    <t>Story</t>
  </si>
  <si>
    <t>Diaphragm</t>
  </si>
  <si>
    <t>Mass X</t>
  </si>
  <si>
    <t>Mass Y</t>
  </si>
  <si>
    <t>XCM</t>
  </si>
  <si>
    <t>YCM</t>
  </si>
  <si>
    <t>Cumulative X</t>
  </si>
  <si>
    <t>Cumulative Y</t>
  </si>
  <si>
    <t>XCCM</t>
  </si>
  <si>
    <t>YCCM</t>
  </si>
  <si>
    <t>XCR</t>
  </si>
  <si>
    <t>YCR</t>
  </si>
  <si>
    <t>kgf-s²/m</t>
  </si>
  <si>
    <t>Story1</t>
  </si>
  <si>
    <t>D1</t>
  </si>
  <si>
    <t>Story2</t>
  </si>
  <si>
    <t>Story3</t>
  </si>
  <si>
    <t>Story4</t>
  </si>
  <si>
    <t>ETABS</t>
  </si>
  <si>
    <t xml:space="preserve">Sub-total </t>
  </si>
  <si>
    <t>Sub-total</t>
  </si>
  <si>
    <t>Firme de nivelacion</t>
  </si>
  <si>
    <t>CARGA MUERTA GRADAS</t>
  </si>
  <si>
    <t>Huella de grada (0.17x0.30m)</t>
  </si>
  <si>
    <t xml:space="preserve">Firme de nivelacion 2.5cm </t>
  </si>
  <si>
    <t>Instalaciones</t>
  </si>
  <si>
    <t>PESO PARED DE 15CM</t>
  </si>
  <si>
    <t>PESO PARED DE 10CM</t>
  </si>
  <si>
    <t>KG/M2</t>
  </si>
  <si>
    <t xml:space="preserve">Peso de pared encima de grada H=3.23m </t>
  </si>
  <si>
    <t>Story5</t>
  </si>
  <si>
    <t>Peso Z</t>
  </si>
  <si>
    <t>Kgf</t>
  </si>
  <si>
    <t>Direction</t>
  </si>
  <si>
    <t>kgf</t>
  </si>
  <si>
    <t>Base</t>
  </si>
  <si>
    <t>TABLE:  Story Forces</t>
  </si>
  <si>
    <t>Load Case/Combo</t>
  </si>
  <si>
    <t>Location</t>
  </si>
  <si>
    <t>P</t>
  </si>
  <si>
    <t>VX</t>
  </si>
  <si>
    <t>VY</t>
  </si>
  <si>
    <t>T</t>
  </si>
  <si>
    <t>MX</t>
  </si>
  <si>
    <t>MY</t>
  </si>
  <si>
    <t>kgf-m</t>
  </si>
  <si>
    <t>TA</t>
  </si>
  <si>
    <t>1.4TA</t>
  </si>
  <si>
    <t>ESCALAMIENTO DE SISMO DINAMICO</t>
  </si>
  <si>
    <t>90% ESTATICO X</t>
  </si>
  <si>
    <t>90% ESTATICO Y</t>
  </si>
  <si>
    <t>DINAMICO</t>
  </si>
  <si>
    <t>FUERZAS POR PISO DEBIDO AL ESPECTRO DINAMICO</t>
  </si>
  <si>
    <t>Vx</t>
  </si>
  <si>
    <t>Vy</t>
  </si>
  <si>
    <t>Dinamico X</t>
  </si>
  <si>
    <t>Dinamico Y</t>
  </si>
  <si>
    <t xml:space="preserve">ESCALAMIENTO DE FUERZAS </t>
  </si>
  <si>
    <t>ESCALAMIENTO DE FUERZAS</t>
  </si>
  <si>
    <t>TABLE:  Story Response</t>
  </si>
  <si>
    <t>Elevation</t>
  </si>
  <si>
    <t>X-Dir</t>
  </si>
  <si>
    <t>Y-Dir</t>
  </si>
  <si>
    <t>Top</t>
  </si>
  <si>
    <t>STORY DISPLACEMENT</t>
  </si>
  <si>
    <t>Revision</t>
  </si>
  <si>
    <t>CHOC X-Dir</t>
  </si>
  <si>
    <t>CHOC Y-Dir</t>
  </si>
  <si>
    <t>RW</t>
  </si>
  <si>
    <t>DERIVAS POR NIVEL</t>
  </si>
  <si>
    <t>EQXEP</t>
  </si>
  <si>
    <t>EQXEN</t>
  </si>
  <si>
    <t>EQYEP</t>
  </si>
  <si>
    <t>EQYEN</t>
  </si>
  <si>
    <t>TABLE:  Story Max/Avg Displacements</t>
  </si>
  <si>
    <t>Maximum</t>
  </si>
  <si>
    <t>Average</t>
  </si>
  <si>
    <t>Ratio</t>
  </si>
  <si>
    <t>Ax</t>
  </si>
  <si>
    <t>FX</t>
  </si>
  <si>
    <t>eX (m)</t>
  </si>
  <si>
    <t>eY (m)</t>
  </si>
  <si>
    <t>Mz</t>
  </si>
  <si>
    <t>FY</t>
  </si>
  <si>
    <t>TABLE:  Story Stiffness</t>
  </si>
  <si>
    <t>Load Case</t>
  </si>
  <si>
    <t>Stiffness X</t>
  </si>
  <si>
    <t>Stiffness Y</t>
  </si>
  <si>
    <t>kgf/m</t>
  </si>
  <si>
    <t>0.7 RIGIDEZ</t>
  </si>
  <si>
    <t>0.9 RIGIDEZ</t>
  </si>
  <si>
    <t>REVISION IRREGULARIDAD PISO SUAVE CHOC 1.3.4-4</t>
  </si>
  <si>
    <t>REVISION IRREGULARIDAD TORSIONAL CHOC 1.3.4-4</t>
  </si>
  <si>
    <t>150% W</t>
  </si>
  <si>
    <t>REVISION IRREGULARIDAD DE MASA CHOC 1.3.4-4</t>
  </si>
  <si>
    <t>D+L</t>
  </si>
  <si>
    <t>(D+L)i</t>
  </si>
  <si>
    <t>Despl.relativo</t>
  </si>
  <si>
    <t>Fx</t>
  </si>
  <si>
    <t>hi</t>
  </si>
  <si>
    <t>(D+L)*Desplaz</t>
  </si>
  <si>
    <t>Fi*hi</t>
  </si>
  <si>
    <t>M2/M1</t>
  </si>
  <si>
    <t>P-Delta</t>
  </si>
  <si>
    <t>REVISION</t>
  </si>
  <si>
    <t>B</t>
  </si>
  <si>
    <t>L</t>
  </si>
  <si>
    <t>MVX</t>
  </si>
  <si>
    <t>MVY</t>
  </si>
  <si>
    <t>MZ</t>
  </si>
  <si>
    <t>C</t>
  </si>
  <si>
    <t>V</t>
  </si>
  <si>
    <t>VA</t>
  </si>
  <si>
    <t>W</t>
  </si>
  <si>
    <t xml:space="preserve">Kgf </t>
  </si>
  <si>
    <t>Cortante del 80% periodo TA</t>
  </si>
  <si>
    <t>CHOC 1.3.6.5.2</t>
  </si>
  <si>
    <t>VAX</t>
  </si>
  <si>
    <t>VAY</t>
  </si>
  <si>
    <t>PERIODO TB</t>
  </si>
  <si>
    <t>ESPECTROS SEGÚN CHOC-08</t>
  </si>
  <si>
    <t>SUELO S-2</t>
  </si>
  <si>
    <t>Ta</t>
  </si>
  <si>
    <t>Tb</t>
  </si>
  <si>
    <t>Exponente</t>
  </si>
  <si>
    <t>Zona Sismica</t>
  </si>
  <si>
    <t>SUELO S-3</t>
  </si>
  <si>
    <t>T (seg)</t>
  </si>
  <si>
    <t>a (m/s2)</t>
  </si>
  <si>
    <t>SUELO S-1</t>
  </si>
  <si>
    <t>Divisiones</t>
  </si>
  <si>
    <t>NIVEL</t>
  </si>
  <si>
    <t>Sala de reuniones y Gimnasio</t>
  </si>
  <si>
    <t>Residencial</t>
  </si>
  <si>
    <t>Azotea (Equipos, paneles y terraza)</t>
  </si>
  <si>
    <t>DIMENSIONAMIENTO COLUMNAS</t>
  </si>
  <si>
    <t>CENTRAL</t>
  </si>
  <si>
    <t>ESQUINA</t>
  </si>
  <si>
    <t>AREA (m2)</t>
  </si>
  <si>
    <t>PuViva (Kip)</t>
  </si>
  <si>
    <t>PuMuerta (Kip)</t>
  </si>
  <si>
    <t>INTERMEDIA CENTRAL</t>
  </si>
  <si>
    <t>ORILLA</t>
  </si>
  <si>
    <t>Fc</t>
  </si>
  <si>
    <t>Fy</t>
  </si>
  <si>
    <t>ρ</t>
  </si>
  <si>
    <t>Ksi</t>
  </si>
  <si>
    <t>AREA FINAL in2</t>
  </si>
  <si>
    <t>B in</t>
  </si>
  <si>
    <t>H in</t>
  </si>
  <si>
    <r>
      <t xml:space="preserve">AREA in2 COLUMNA TOMANDO </t>
    </r>
    <r>
      <rPr>
        <b/>
        <sz val="11"/>
        <color theme="1"/>
        <rFont val="Calibri"/>
        <family val="2"/>
      </rPr>
      <t>ρ=0.02</t>
    </r>
  </si>
  <si>
    <t>Ecuacion tomada de libro de mcgregor</t>
  </si>
  <si>
    <t>CARGA MUERTA LOSA 1 a 9</t>
  </si>
  <si>
    <t>CARGA MUERTA LOSA 10 SOCIAL</t>
  </si>
  <si>
    <t>CARGA MUERTA LOSA 10 EQUIPOS Y PANELES</t>
  </si>
  <si>
    <t>PARA 10 NIVELES</t>
  </si>
  <si>
    <t>PARA 7 NIVELES</t>
  </si>
  <si>
    <t>PARA 5 NIVELES</t>
  </si>
  <si>
    <t>PARA 3 NIVELES</t>
  </si>
  <si>
    <t>B CM</t>
  </si>
  <si>
    <t>H CM</t>
  </si>
  <si>
    <t>ACERO IN2</t>
  </si>
  <si>
    <t>#BARRAS #8</t>
  </si>
  <si>
    <t>#BARRAS #6</t>
  </si>
  <si>
    <t>30CM MENOR DIMENSION</t>
  </si>
  <si>
    <t>Ecuacion tomada de libro de Oviedo Peru</t>
  </si>
  <si>
    <t>D2</t>
  </si>
  <si>
    <t>D3</t>
  </si>
  <si>
    <t>D4</t>
  </si>
  <si>
    <t>D5</t>
  </si>
  <si>
    <t>Story6</t>
  </si>
  <si>
    <t>D6</t>
  </si>
  <si>
    <t>Story7</t>
  </si>
  <si>
    <t>D7</t>
  </si>
  <si>
    <t>Story8</t>
  </si>
  <si>
    <t>D8</t>
  </si>
  <si>
    <t>Story9</t>
  </si>
  <si>
    <t>D9</t>
  </si>
  <si>
    <t>Story10</t>
  </si>
  <si>
    <t>D10</t>
  </si>
  <si>
    <t>Story11</t>
  </si>
  <si>
    <t>D11</t>
  </si>
  <si>
    <t>CARGA  VIVA LOSA 1 AL 10</t>
  </si>
  <si>
    <t>ALTURA EDIFICIO</t>
  </si>
  <si>
    <t xml:space="preserve">m </t>
  </si>
  <si>
    <t>VALORES INGRESADOS MANUAL</t>
  </si>
  <si>
    <t>ESTE BOTON SE DEBE PRESIONAR 2 VECES, LUEGO DE HABER CORRIDO TODAS LAS MACROS DENTRO DE CADA UNA DE LAS HOJAS DEL EXCEL</t>
  </si>
  <si>
    <t>ESTE BOTON SE DEBE PRESIONAR UNA VEZ QUE SE HA CORRIDO EL MODELO DE ETABS CON LAS CARGAS SISMICAS DEL DINAMICO MAYORADO  Y EXPORTADO LAS TABLAS DE DISEÑO Y GUARDADO COMO LIBRO2.XLSX</t>
  </si>
  <si>
    <t>ESTE BOTON SE DEBE PRESIONAR CUANDO SE HA CORRIDO EL MODELO DE ETABS POR PRIMERA VEZ, CARGADO CON EL ESPECTRO, Y EXPORTADO LAS TABLAS INICIALES Y GUARDADO COMO LIBRO1.XLSX</t>
  </si>
  <si>
    <t>TABLE:  Auto Seismic - UBC 94</t>
  </si>
  <si>
    <t>Load Pattern</t>
  </si>
  <si>
    <t>Type</t>
  </si>
  <si>
    <t>Period Method</t>
  </si>
  <si>
    <t>Ct</t>
  </si>
  <si>
    <t>Top Story</t>
  </si>
  <si>
    <t>Bottom Story</t>
  </si>
  <si>
    <t>Rw</t>
  </si>
  <si>
    <t>Z</t>
  </si>
  <si>
    <t>S</t>
  </si>
  <si>
    <t>I</t>
  </si>
  <si>
    <t>Period Used</t>
  </si>
  <si>
    <t>Coeff Used</t>
  </si>
  <si>
    <t>Weight Used</t>
  </si>
  <si>
    <t>Base Shear</t>
  </si>
  <si>
    <t>Ft Used</t>
  </si>
  <si>
    <t>ft</t>
  </si>
  <si>
    <t>sec</t>
  </si>
  <si>
    <t>SX</t>
  </si>
  <si>
    <t>Seismic</t>
  </si>
  <si>
    <t>X</t>
  </si>
  <si>
    <t>Program Calculated</t>
  </si>
  <si>
    <t>SY</t>
  </si>
  <si>
    <t>Y</t>
  </si>
  <si>
    <t>TABLE:  Modal Participating Mass Ratios</t>
  </si>
  <si>
    <t>Case</t>
  </si>
  <si>
    <t>Mode</t>
  </si>
  <si>
    <t>Period</t>
  </si>
  <si>
    <t>UX</t>
  </si>
  <si>
    <t>UY</t>
  </si>
  <si>
    <t>UZ</t>
  </si>
  <si>
    <t>Sum UX</t>
  </si>
  <si>
    <t>Sum UY</t>
  </si>
  <si>
    <t>Sum UZ</t>
  </si>
  <si>
    <t>RX</t>
  </si>
  <si>
    <t>RY</t>
  </si>
  <si>
    <t>RZ</t>
  </si>
  <si>
    <t>Sum RX</t>
  </si>
  <si>
    <t>Sum RY</t>
  </si>
  <si>
    <t>Sum RZ</t>
  </si>
  <si>
    <t>Modal</t>
  </si>
  <si>
    <t>Step Type</t>
  </si>
  <si>
    <t>ESPECTRO X</t>
  </si>
  <si>
    <t>Max</t>
  </si>
  <si>
    <t>Bottom</t>
  </si>
  <si>
    <t>ESPECTRO Y</t>
  </si>
  <si>
    <t>Step</t>
  </si>
  <si>
    <t>Single Step</t>
  </si>
  <si>
    <t>S D+L</t>
  </si>
  <si>
    <t>Shear X</t>
  </si>
  <si>
    <t>Drift X</t>
  </si>
  <si>
    <t>Shear Y</t>
  </si>
  <si>
    <t>Drift Y</t>
  </si>
  <si>
    <t>TABLE:  Story Drifts</t>
  </si>
  <si>
    <t>Drift</t>
  </si>
  <si>
    <t>Label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</si>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</sst>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-* #,##0.000000_-;\-* #,##0.000000_-;_-* &quot;-&quot;??_-;_-@_-"/>
    <numFmt numFmtId="165" formatCode="_-* #,##0.0000_-;\-* #,##0.0000_-;_-* &quot;-&quot;??_-;_-@_-"/>
    <numFmt numFmtId="166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0" fontId="5" fillId="0" borderId="0"/>
    <xf numFmtId="43" fontId="8" fillId="0" borderId="0" applyFont="0" applyFill="0" applyBorder="0" applyAlignment="0" applyProtection="0"/>
  </cellStyleXfs>
  <cellXfs count="20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0" xfId="0"/>
    <xf numFmtId="0" fontId="2" fillId="0" borderId="0" xfId="0" applyFont="1"/>
    <xf numFmtId="0" fontId="4" fillId="0" borderId="0" xfId="0" applyFont="1"/>
    <xf numFmtId="0" fontId="3" fillId="4" borderId="1" xfId="0" applyFont="1" applyFill="1" applyBorder="1"/>
    <xf numFmtId="0" fontId="1" fillId="0" borderId="0" xfId="0" applyFont="1"/>
    <xf numFmtId="0" fontId="0" fillId="0" borderId="1" xfId="0" applyFont="1" applyBorder="1"/>
    <xf numFmtId="0" fontId="0" fillId="0" borderId="1" xfId="0" applyFill="1" applyBorder="1"/>
    <xf numFmtId="0" fontId="0" fillId="0" borderId="0" xfId="0"/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6" borderId="12" xfId="0" applyFill="1" applyBorder="1"/>
    <xf numFmtId="0" fontId="0" fillId="0" borderId="15" xfId="0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0" fillId="0" borderId="9" xfId="0" applyBorder="1"/>
    <xf numFmtId="0" fontId="0" fillId="0" borderId="14" xfId="0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0" borderId="0" xfId="0"/>
    <xf numFmtId="164" fontId="0" fillId="0" borderId="0" xfId="0" applyNumberFormat="1"/>
    <xf numFmtId="0" fontId="0" fillId="0" borderId="0" xfId="0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0" fillId="0" borderId="0" xfId="0" applyFont="1"/>
    <xf numFmtId="0" fontId="0" fillId="2" borderId="0" xfId="0" applyFont="1" applyFill="1"/>
    <xf numFmtId="0" fontId="1" fillId="2" borderId="0" xfId="0" applyFont="1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65" fontId="0" fillId="0" borderId="0" xfId="2" applyNumberFormat="1" applyFont="1"/>
    <xf numFmtId="43" fontId="0" fillId="0" borderId="0" xfId="2" applyFont="1"/>
    <xf numFmtId="0" fontId="1" fillId="3" borderId="5" xfId="0" applyFont="1" applyFill="1" applyBorder="1" applyAlignment="1">
      <alignment horizontal="center" vertical="center" wrapText="1"/>
    </xf>
    <xf numFmtId="0" fontId="0" fillId="3" borderId="6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166" fontId="0" fillId="0" borderId="0" xfId="0" applyNumberFormat="1" applyFont="1"/>
    <xf numFmtId="0" fontId="0" fillId="0" borderId="0" xfId="0" applyAlignment="1">
      <alignment vertical="center" wrapText="1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 applyFill="1"/>
    <xf numFmtId="0" fontId="1" fillId="0" borderId="4" xfId="0" applyFon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Fill="1" applyAlignment="1">
      <alignment vertical="center" wrapText="1"/>
    </xf>
    <xf numFmtId="0" fontId="6" fillId="0" borderId="0" xfId="0" applyFont="1"/>
    <xf numFmtId="0" fontId="1" fillId="3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vertical="center" wrapText="1"/>
    </xf>
    <xf numFmtId="43" fontId="0" fillId="0" borderId="0" xfId="0" applyNumberFormat="1"/>
    <xf numFmtId="0" fontId="0" fillId="3" borderId="8" xfId="0" applyFont="1" applyFill="1" applyBorder="1" applyAlignment="1">
      <alignment horizontal="center"/>
    </xf>
    <xf numFmtId="0" fontId="1" fillId="0" borderId="0" xfId="0" applyFont="1" applyFill="1"/>
    <xf numFmtId="0" fontId="1" fillId="0" borderId="5" xfId="0" applyFont="1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/>
    <xf numFmtId="0" fontId="4" fillId="0" borderId="0" xfId="0" applyFont="1" applyFill="1" applyAlignment="1"/>
    <xf numFmtId="0" fontId="4" fillId="0" borderId="0" xfId="0" applyFont="1" applyFill="1" applyAlignment="1">
      <alignment horizontal="center"/>
    </xf>
    <xf numFmtId="0" fontId="0" fillId="5" borderId="0" xfId="0" applyFont="1" applyFill="1" applyAlignment="1"/>
    <xf numFmtId="0" fontId="0" fillId="0" borderId="0" xfId="0" applyFont="1" applyFill="1" applyBorder="1" applyAlignment="1">
      <alignment horizontal="center"/>
    </xf>
    <xf numFmtId="0" fontId="0" fillId="6" borderId="11" xfId="0" applyFill="1" applyBorder="1"/>
    <xf numFmtId="0" fontId="0" fillId="0" borderId="13" xfId="0" applyBorder="1" applyAlignment="1">
      <alignment horizontal="center"/>
    </xf>
    <xf numFmtId="0" fontId="0" fillId="7" borderId="13" xfId="0" applyFill="1" applyBorder="1"/>
    <xf numFmtId="11" fontId="0" fillId="0" borderId="0" xfId="0" applyNumberFormat="1" applyAlignment="1">
      <alignment vertical="center" wrapText="1"/>
    </xf>
    <xf numFmtId="0" fontId="9" fillId="0" borderId="0" xfId="0" applyFont="1"/>
    <xf numFmtId="2" fontId="0" fillId="0" borderId="0" xfId="0" applyNumberFormat="1"/>
    <xf numFmtId="0" fontId="0" fillId="0" borderId="0" xfId="0" applyFont="1" applyBorder="1"/>
    <xf numFmtId="0" fontId="1" fillId="0" borderId="15" xfId="0" applyFont="1" applyBorder="1"/>
    <xf numFmtId="0" fontId="0" fillId="0" borderId="0" xfId="0"/>
    <xf numFmtId="0" fontId="3" fillId="0" borderId="2" xfId="0" applyFont="1" applyBorder="1" applyAlignment="1">
      <alignment horizontal="center"/>
    </xf>
    <xf numFmtId="0" fontId="0" fillId="0" borderId="2" xfId="0" applyBorder="1"/>
    <xf numFmtId="0" fontId="3" fillId="4" borderId="2" xfId="0" applyFont="1" applyFill="1" applyBorder="1"/>
    <xf numFmtId="0" fontId="1" fillId="0" borderId="2" xfId="0" applyFont="1" applyBorder="1"/>
    <xf numFmtId="0" fontId="1" fillId="0" borderId="1" xfId="0" applyFont="1" applyBorder="1" applyAlignment="1">
      <alignment horizontal="right"/>
    </xf>
    <xf numFmtId="43" fontId="1" fillId="0" borderId="0" xfId="0" applyNumberFormat="1" applyFont="1" applyFill="1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right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0" xfId="0"/>
    <xf numFmtId="0" fontId="0" fillId="0" borderId="0" xfId="0"/>
    <xf numFmtId="0" fontId="1" fillId="2" borderId="0" xfId="0" applyFont="1" applyFill="1"/>
    <xf numFmtId="0" fontId="0" fillId="2" borderId="0" xfId="0" applyFill="1"/>
    <xf numFmtId="0" fontId="1" fillId="3" borderId="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3" borderId="6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9" xfId="0" applyBorder="1" applyAlignment="1"/>
    <xf numFmtId="0" fontId="0" fillId="0" borderId="11" xfId="0" applyBorder="1" applyAlignment="1"/>
    <xf numFmtId="0" fontId="0" fillId="0" borderId="18" xfId="0" applyBorder="1"/>
    <xf numFmtId="0" fontId="1" fillId="2" borderId="17" xfId="0" applyFont="1" applyFill="1" applyBorder="1" applyAlignment="1"/>
    <xf numFmtId="0" fontId="1" fillId="2" borderId="0" xfId="0" applyFont="1" applyFill="1" applyBorder="1" applyAlignment="1"/>
    <xf numFmtId="0" fontId="1" fillId="0" borderId="0" xfId="0" applyFont="1" applyFill="1" applyBorder="1" applyAlignment="1"/>
    <xf numFmtId="165" fontId="0" fillId="0" borderId="0" xfId="0" applyNumberFormat="1"/>
    <xf numFmtId="0" fontId="1" fillId="3" borderId="20" xfId="0" applyFont="1" applyFill="1" applyBorder="1" applyAlignment="1">
      <alignment horizontal="center"/>
    </xf>
    <xf numFmtId="0" fontId="3" fillId="9" borderId="19" xfId="0" applyFont="1" applyFill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0" fillId="0" borderId="24" xfId="0" applyFont="1" applyBorder="1"/>
    <xf numFmtId="0" fontId="0" fillId="0" borderId="25" xfId="0" applyFont="1" applyBorder="1"/>
    <xf numFmtId="0" fontId="0" fillId="0" borderId="26" xfId="0" applyFont="1" applyBorder="1"/>
    <xf numFmtId="0" fontId="3" fillId="0" borderId="0" xfId="0" applyFont="1" applyFill="1" applyAlignment="1">
      <alignment vertical="center" wrapText="1"/>
    </xf>
    <xf numFmtId="0" fontId="3" fillId="0" borderId="0" xfId="0" applyFont="1" applyAlignment="1">
      <alignment horizontal="center" wrapText="1"/>
    </xf>
    <xf numFmtId="0" fontId="3" fillId="0" borderId="0" xfId="0" applyFont="1" applyFill="1" applyAlignment="1">
      <alignment horizontal="center" vertical="center" wrapText="1"/>
    </xf>
    <xf numFmtId="0" fontId="0" fillId="0" borderId="7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6" borderId="10" xfId="0" applyFont="1" applyFill="1" applyBorder="1" applyAlignment="1">
      <alignment horizontal="center"/>
    </xf>
    <xf numFmtId="0" fontId="2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">
    <cellStyle name="Millares" xfId="2" builtinId="3"/>
    <cellStyle name="Normal" xfId="0" builtinId="0"/>
    <cellStyle name="Normal 2" xfId="1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  <dxf>
      <fill>
        <patternFill patternType="solid">
          <fgColor indexed="64"/>
          <bgColor indexed="44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22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DIRECTOR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</xdr:row>
          <xdr:rowOff>121920</xdr:rowOff>
        </xdr:from>
        <xdr:to>
          <xdr:col>5</xdr:col>
          <xdr:colOff>449580</xdr:colOff>
          <xdr:row>8</xdr:row>
          <xdr:rowOff>45720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</xdr:colOff>
          <xdr:row>10</xdr:row>
          <xdr:rowOff>83820</xdr:rowOff>
        </xdr:from>
        <xdr:to>
          <xdr:col>5</xdr:col>
          <xdr:colOff>449580</xdr:colOff>
          <xdr:row>16</xdr:row>
          <xdr:rowOff>144780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CORRIDA DISEÑO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396240</xdr:colOff>
          <xdr:row>19</xdr:row>
          <xdr:rowOff>38100</xdr:rowOff>
        </xdr:from>
        <xdr:to>
          <xdr:col>5</xdr:col>
          <xdr:colOff>472440</xdr:colOff>
          <xdr:row>25</xdr:row>
          <xdr:rowOff>152400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BORRAR TABLAS COPIADAS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114300</xdr:rowOff>
    </xdr:from>
    <xdr:to>
      <xdr:col>16</xdr:col>
      <xdr:colOff>335280</xdr:colOff>
      <xdr:row>4</xdr:row>
      <xdr:rowOff>38100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1376660" y="2971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3</xdr:row>
          <xdr:rowOff>99060</xdr:rowOff>
        </xdr:from>
        <xdr:to>
          <xdr:col>15</xdr:col>
          <xdr:colOff>38100</xdr:colOff>
          <xdr:row>17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FUERZAS ESPECTRALES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259080</xdr:colOff>
      <xdr:row>0</xdr:row>
      <xdr:rowOff>45720</xdr:rowOff>
    </xdr:from>
    <xdr:to>
      <xdr:col>14</xdr:col>
      <xdr:colOff>480060</xdr:colOff>
      <xdr:row>2</xdr:row>
      <xdr:rowOff>152400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976360" y="457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180975</xdr:colOff>
      <xdr:row>0</xdr:row>
      <xdr:rowOff>104775</xdr:rowOff>
    </xdr:from>
    <xdr:to>
      <xdr:col>19</xdr:col>
      <xdr:colOff>405765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580197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3</xdr:row>
          <xdr:rowOff>83820</xdr:rowOff>
        </xdr:from>
        <xdr:to>
          <xdr:col>12</xdr:col>
          <xdr:colOff>152400</xdr:colOff>
          <xdr:row>39</xdr:row>
          <xdr:rowOff>15240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RIGIDEZ PISO SUAVE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624840</xdr:colOff>
      <xdr:row>0</xdr:row>
      <xdr:rowOff>53340</xdr:rowOff>
    </xdr:from>
    <xdr:to>
      <xdr:col>12</xdr:col>
      <xdr:colOff>53340</xdr:colOff>
      <xdr:row>2</xdr:row>
      <xdr:rowOff>160020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7757160" y="533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640080</xdr:colOff>
          <xdr:row>9</xdr:row>
          <xdr:rowOff>0</xdr:rowOff>
        </xdr:from>
        <xdr:to>
          <xdr:col>15</xdr:col>
          <xdr:colOff>510540</xdr:colOff>
          <xdr:row>49</xdr:row>
          <xdr:rowOff>7620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P-DELTA/ SERVICIO DL+LL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144780</xdr:colOff>
      <xdr:row>0</xdr:row>
      <xdr:rowOff>137160</xdr:rowOff>
    </xdr:from>
    <xdr:to>
      <xdr:col>15</xdr:col>
      <xdr:colOff>365760</xdr:colOff>
      <xdr:row>3</xdr:row>
      <xdr:rowOff>60960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8862060" y="13716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784860</xdr:colOff>
          <xdr:row>0</xdr:row>
          <xdr:rowOff>99060</xdr:rowOff>
        </xdr:from>
        <xdr:to>
          <xdr:col>11</xdr:col>
          <xdr:colOff>381000</xdr:colOff>
          <xdr:row>10</xdr:row>
          <xdr:rowOff>45720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IRRE_TORSIONAL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708660</xdr:colOff>
      <xdr:row>3</xdr:row>
      <xdr:rowOff>30480</xdr:rowOff>
    </xdr:from>
    <xdr:to>
      <xdr:col>14</xdr:col>
      <xdr:colOff>137160</xdr:colOff>
      <xdr:row>6</xdr:row>
      <xdr:rowOff>137160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1010900" y="5791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152400</xdr:rowOff>
        </xdr:from>
        <xdr:to>
          <xdr:col>13</xdr:col>
          <xdr:colOff>274320</xdr:colOff>
          <xdr:row>10</xdr:row>
          <xdr:rowOff>99060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H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DERIVAS POR PISO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3</xdr:row>
      <xdr:rowOff>0</xdr:rowOff>
    </xdr:from>
    <xdr:to>
      <xdr:col>16</xdr:col>
      <xdr:colOff>220980</xdr:colOff>
      <xdr:row>6</xdr:row>
      <xdr:rowOff>106680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2679680" y="54864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771525</xdr:colOff>
      <xdr:row>0</xdr:row>
      <xdr:rowOff>114300</xdr:rowOff>
    </xdr:from>
    <xdr:to>
      <xdr:col>12</xdr:col>
      <xdr:colOff>205740</xdr:colOff>
      <xdr:row>3</xdr:row>
      <xdr:rowOff>43815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8039100" y="11430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409575</xdr:colOff>
      <xdr:row>0</xdr:row>
      <xdr:rowOff>104775</xdr:rowOff>
    </xdr:from>
    <xdr:to>
      <xdr:col>20</xdr:col>
      <xdr:colOff>634365</xdr:colOff>
      <xdr:row>3</xdr:row>
      <xdr:rowOff>15240</xdr:rowOff>
    </xdr:to>
    <xdr:sp macro="" textlink="">
      <xdr:nvSpPr>
        <xdr:cNvPr id="3" name="CuadroTexto 2">
          <a:hlinkClick xmlns:r="http://schemas.openxmlformats.org/officeDocument/2006/relationships" r:id="rId1"/>
        </xdr:cNvPr>
        <xdr:cNvSpPr txBox="1"/>
      </xdr:nvSpPr>
      <xdr:spPr>
        <a:xfrm>
          <a:off x="149066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662940</xdr:colOff>
      <xdr:row>0</xdr:row>
      <xdr:rowOff>160020</xdr:rowOff>
    </xdr:from>
    <xdr:to>
      <xdr:col>11</xdr:col>
      <xdr:colOff>91440</xdr:colOff>
      <xdr:row>3</xdr:row>
      <xdr:rowOff>83820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7002780" y="16002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647700</xdr:colOff>
      <xdr:row>1</xdr:row>
      <xdr:rowOff>0</xdr:rowOff>
    </xdr:from>
    <xdr:to>
      <xdr:col>11</xdr:col>
      <xdr:colOff>76200</xdr:colOff>
      <xdr:row>3</xdr:row>
      <xdr:rowOff>106680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6987540" y="182880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104775</xdr:colOff>
      <xdr:row>0</xdr:row>
      <xdr:rowOff>104775</xdr:rowOff>
    </xdr:from>
    <xdr:to>
      <xdr:col>17</xdr:col>
      <xdr:colOff>329565</xdr:colOff>
      <xdr:row>3</xdr:row>
      <xdr:rowOff>34290</xdr:rowOff>
    </xdr:to>
    <xdr:sp macro="" textlink="">
      <xdr:nvSpPr>
        <xdr:cNvPr id="2" name="CuadroTexto 1">
          <a:hlinkClick xmlns:r="http://schemas.openxmlformats.org/officeDocument/2006/relationships" r:id="rId1"/>
        </xdr:cNvPr>
        <xdr:cNvSpPr txBox="1"/>
      </xdr:nvSpPr>
      <xdr:spPr>
        <a:xfrm>
          <a:off x="13306425" y="104775"/>
          <a:ext cx="1805940" cy="472440"/>
        </a:xfrm>
        <a:prstGeom prst="ribbon2">
          <a:avLst/>
        </a:prstGeom>
        <a:ln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HN" sz="1200" b="1"/>
            <a:t>DIRECTOR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B5:G132" totalsRowShown="0" headerRowDxfId="23" tableBorderDxfId="24">
  <autoFilter ref="B5:G132">
    <filterColumn colId="1">
      <filters>
        <filter val="EQXEP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137:G264" totalsRowShown="0" headerRowDxfId="21" tableBorderDxfId="22">
  <autoFilter ref="B137:G264">
    <filterColumn colId="1">
      <filters>
        <filter val="EQXEN"/>
      </filters>
    </filterColumn>
    <filterColumn colId="2">
      <filters>
        <filter val="X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269:G396" totalsRowShown="0" headerRowDxfId="19" tableBorderDxfId="20">
  <autoFilter ref="B269:G396">
    <filterColumn colId="1">
      <filters>
        <filter val="EQYEP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B401:G528" totalsRowShown="0" headerRowDxfId="17" tableBorderDxfId="18">
  <autoFilter ref="B401:G528">
    <filterColumn colId="1">
      <filters>
        <filter val="EQYEN"/>
      </filters>
    </filterColumn>
    <filterColumn colId="2">
      <filters>
        <filter val="Y"/>
      </filters>
    </filterColumn>
  </autoFilter>
  <tableColumns count="6">
    <tableColumn id="1" name="Columna1"/>
    <tableColumn id="2" name="Columna2"/>
    <tableColumn id="3" name="Columna3"/>
    <tableColumn id="4" name="Columna4"/>
    <tableColumn id="5" name="Columna5"/>
    <tableColumn id="6" name="Columna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B5:I132" totalsRowShown="0" headerRowDxfId="15" tableBorderDxfId="16">
  <autoFilter ref="B5:I132">
    <filterColumn colId="1">
      <filters>
        <filter val="EQXEP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B137:I264" totalsRowShown="0" headerRowDxfId="13" tableBorderDxfId="14">
  <autoFilter ref="B137:I264">
    <filterColumn colId="1">
      <filters>
        <filter val="EQXEN"/>
      </filters>
    </filterColumn>
    <filterColumn colId="2">
      <filters>
        <filter val="X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B269:I396" totalsRowShown="0" headerRowDxfId="11" tableBorderDxfId="12">
  <autoFilter ref="B269:I396">
    <filterColumn colId="1">
      <filters>
        <filter val="EQYEP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B401:I528" totalsRowShown="0" headerRowDxfId="7" tableBorderDxfId="8">
  <autoFilter ref="B401:I528">
    <filterColumn colId="1">
      <filters>
        <filter val="EQYEN"/>
      </filters>
    </filterColumn>
    <filterColumn colId="2">
      <filters>
        <filter val="Y"/>
      </filters>
    </filterColumn>
  </autoFilter>
  <tableColumns count="8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B4:M33"/>
  <sheetViews>
    <sheetView workbookViewId="0"/>
  </sheetViews>
  <sheetFormatPr baseColWidth="10" defaultRowHeight="14.4" x14ac:dyDescent="0.3"/>
  <sheetData>
    <row r="4" spans="7:13" x14ac:dyDescent="0.3">
      <c r="G4" s="191" t="s">
        <v>197</v>
      </c>
      <c r="H4" s="191"/>
      <c r="I4" s="191"/>
      <c r="J4" s="191"/>
      <c r="K4" s="191"/>
      <c r="L4" s="191"/>
      <c r="M4" s="191"/>
    </row>
    <row r="5" spans="7:13" x14ac:dyDescent="0.3">
      <c r="G5" s="191"/>
      <c r="H5" s="191"/>
      <c r="I5" s="191"/>
      <c r="J5" s="191"/>
      <c r="K5" s="191"/>
      <c r="L5" s="191"/>
      <c r="M5" s="191"/>
    </row>
    <row r="6" spans="7:13" x14ac:dyDescent="0.3">
      <c r="G6" s="191"/>
      <c r="H6" s="191"/>
      <c r="I6" s="191"/>
      <c r="J6" s="191"/>
      <c r="K6" s="191"/>
      <c r="L6" s="191"/>
      <c r="M6" s="191"/>
    </row>
    <row r="13" spans="7:13" x14ac:dyDescent="0.3">
      <c r="G13" s="191" t="s">
        <v>196</v>
      </c>
      <c r="H13" s="191"/>
      <c r="I13" s="191"/>
      <c r="J13" s="191"/>
      <c r="K13" s="191"/>
      <c r="L13" s="191"/>
      <c r="M13" s="191"/>
    </row>
    <row r="14" spans="7:13" x14ac:dyDescent="0.3">
      <c r="G14" s="191"/>
      <c r="H14" s="191"/>
      <c r="I14" s="191"/>
      <c r="J14" s="191"/>
      <c r="K14" s="191"/>
      <c r="L14" s="191"/>
      <c r="M14" s="191"/>
    </row>
    <row r="15" spans="7:13" x14ac:dyDescent="0.3">
      <c r="G15" s="191"/>
      <c r="H15" s="191"/>
      <c r="I15" s="191"/>
      <c r="J15" s="191"/>
      <c r="K15" s="191"/>
      <c r="L15" s="191"/>
      <c r="M15" s="191"/>
    </row>
    <row r="20" spans="2:13" x14ac:dyDescent="0.3"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</row>
    <row r="21" spans="2:13" ht="14.4" customHeight="1" x14ac:dyDescent="0.3">
      <c r="B21" s="75"/>
      <c r="C21" s="75"/>
      <c r="D21" s="75"/>
      <c r="E21" s="75"/>
      <c r="F21" s="75"/>
      <c r="G21" s="192" t="s">
        <v>195</v>
      </c>
      <c r="H21" s="192"/>
      <c r="I21" s="192"/>
      <c r="J21" s="192"/>
      <c r="K21" s="192"/>
      <c r="L21" s="192"/>
      <c r="M21" s="192"/>
    </row>
    <row r="22" spans="2:13" x14ac:dyDescent="0.3">
      <c r="B22" s="75"/>
      <c r="C22" s="75"/>
      <c r="D22" s="75"/>
      <c r="E22" s="75"/>
      <c r="F22" s="75"/>
      <c r="G22" s="192"/>
      <c r="H22" s="192"/>
      <c r="I22" s="192"/>
      <c r="J22" s="192"/>
      <c r="K22" s="192"/>
      <c r="L22" s="192"/>
      <c r="M22" s="192"/>
    </row>
    <row r="23" spans="2:13" x14ac:dyDescent="0.3">
      <c r="B23" s="75"/>
      <c r="C23" s="75"/>
      <c r="D23" s="75"/>
      <c r="E23" s="75"/>
      <c r="F23" s="75"/>
      <c r="G23" s="192"/>
      <c r="H23" s="192"/>
      <c r="I23" s="192"/>
      <c r="J23" s="192"/>
      <c r="K23" s="192"/>
      <c r="L23" s="192"/>
      <c r="M23" s="192"/>
    </row>
    <row r="24" spans="2:13" x14ac:dyDescent="0.3">
      <c r="B24" s="75"/>
      <c r="C24" s="75"/>
      <c r="D24" s="75"/>
      <c r="E24" s="75"/>
      <c r="F24" s="75"/>
      <c r="G24" s="190"/>
      <c r="H24" s="190"/>
      <c r="I24" s="190"/>
      <c r="J24" s="190"/>
      <c r="K24" s="190"/>
      <c r="L24" s="190"/>
      <c r="M24" s="75"/>
    </row>
    <row r="25" spans="2:13" x14ac:dyDescent="0.3"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</row>
    <row r="26" spans="2:13" x14ac:dyDescent="0.3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3">
      <c r="B27" s="75"/>
      <c r="C27" s="75"/>
      <c r="D27" s="75"/>
      <c r="E27" s="75"/>
      <c r="F27" s="75"/>
      <c r="G27" s="75"/>
      <c r="H27" s="75"/>
      <c r="I27" s="75"/>
      <c r="J27" s="75"/>
      <c r="K27" s="75"/>
      <c r="L27" s="75"/>
      <c r="M27" s="75"/>
    </row>
    <row r="28" spans="2:13" x14ac:dyDescent="0.3">
      <c r="B28" s="75"/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3">
      <c r="B29" s="75"/>
      <c r="C29" s="75"/>
      <c r="D29" s="75"/>
      <c r="E29" s="75"/>
      <c r="F29" s="75"/>
      <c r="G29" s="75"/>
      <c r="H29" s="75"/>
      <c r="I29" s="75"/>
      <c r="J29" s="75"/>
      <c r="K29" s="75"/>
      <c r="L29" s="75"/>
      <c r="M29" s="75"/>
    </row>
    <row r="30" spans="2:13" x14ac:dyDescent="0.3">
      <c r="B30" s="75"/>
      <c r="C30" s="75"/>
      <c r="D30" s="75"/>
      <c r="E30" s="75"/>
      <c r="F30" s="75"/>
      <c r="G30" s="75"/>
      <c r="H30" s="75"/>
      <c r="I30" s="75"/>
      <c r="J30" s="75"/>
      <c r="K30" s="75"/>
      <c r="L30" s="75"/>
      <c r="M30" s="75"/>
    </row>
    <row r="31" spans="2:13" x14ac:dyDescent="0.3">
      <c r="B31" s="75"/>
      <c r="C31" s="75"/>
      <c r="D31" s="75"/>
      <c r="E31" s="75"/>
      <c r="F31" s="75"/>
      <c r="G31" s="75"/>
      <c r="H31" s="75"/>
      <c r="I31" s="75"/>
      <c r="J31" s="75"/>
      <c r="K31" s="75"/>
      <c r="L31" s="75"/>
      <c r="M31" s="75"/>
    </row>
    <row r="32" spans="2:13" x14ac:dyDescent="0.3"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2:13" x14ac:dyDescent="0.3"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</sheetData>
  <mergeCells count="3">
    <mergeCell ref="G13:M15"/>
    <mergeCell ref="G21:M23"/>
    <mergeCell ref="G4:M6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OPIAR_CELDAS_INICIALES">
                <anchor moveWithCells="1" sizeWithCells="1">
                  <from>
                    <xdr:col>1</xdr:col>
                    <xdr:colOff>350520</xdr:colOff>
                    <xdr:row>1</xdr:row>
                    <xdr:rowOff>121920</xdr:rowOff>
                  </from>
                  <to>
                    <xdr:col>5</xdr:col>
                    <xdr:colOff>449580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OPIAR_CELDAS_DISEÑO">
                <anchor moveWithCells="1" sizeWithCells="1">
                  <from>
                    <xdr:col>1</xdr:col>
                    <xdr:colOff>350520</xdr:colOff>
                    <xdr:row>10</xdr:row>
                    <xdr:rowOff>83820</xdr:rowOff>
                  </from>
                  <to>
                    <xdr:col>5</xdr:col>
                    <xdr:colOff>449580</xdr:colOff>
                    <xdr:row>16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6" name="Button 6">
              <controlPr defaultSize="0" print="0" autoFill="0" autoPict="0" macro="[0]!BORRAR_TABLAS">
                <anchor moveWithCells="1" sizeWithCells="1">
                  <from>
                    <xdr:col>1</xdr:col>
                    <xdr:colOff>396240</xdr:colOff>
                    <xdr:row>19</xdr:row>
                    <xdr:rowOff>38100</xdr:rowOff>
                  </from>
                  <to>
                    <xdr:col>5</xdr:col>
                    <xdr:colOff>472440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R83"/>
  <sheetViews>
    <sheetView workbookViewId="0">
      <selection activeCell="K17" sqref="K17"/>
    </sheetView>
  </sheetViews>
  <sheetFormatPr baseColWidth="10" defaultRowHeight="14.4" x14ac:dyDescent="0.3"/>
  <cols>
    <col min="2" max="2" width="28.88671875" customWidth="1"/>
    <col min="6" max="6" width="29.88671875" customWidth="1"/>
    <col min="7" max="7" width="11.33203125" customWidth="1"/>
    <col min="8" max="8" width="11.21875" customWidth="1"/>
    <col min="9" max="9" width="13.44140625" customWidth="1"/>
    <col min="10" max="10" width="34.109375" customWidth="1"/>
    <col min="13" max="13" width="14.21875" customWidth="1"/>
    <col min="17" max="17" width="12.5546875" bestFit="1" customWidth="1"/>
  </cols>
  <sheetData>
    <row r="2" spans="2:12" x14ac:dyDescent="0.3">
      <c r="B2" s="4" t="s">
        <v>161</v>
      </c>
      <c r="C2" s="3" t="s">
        <v>5</v>
      </c>
      <c r="D2" s="114" t="s">
        <v>6</v>
      </c>
      <c r="E2" s="118" t="s">
        <v>140</v>
      </c>
      <c r="F2" s="4" t="s">
        <v>191</v>
      </c>
      <c r="G2" s="3" t="s">
        <v>5</v>
      </c>
      <c r="H2" s="3" t="s">
        <v>6</v>
      </c>
    </row>
    <row r="3" spans="2:12" x14ac:dyDescent="0.3">
      <c r="B3" s="1" t="s">
        <v>0</v>
      </c>
      <c r="C3" s="1">
        <f>0.15*2400</f>
        <v>360</v>
      </c>
      <c r="D3" s="115">
        <v>360</v>
      </c>
      <c r="E3" s="1">
        <v>1</v>
      </c>
      <c r="F3" s="1" t="s">
        <v>141</v>
      </c>
      <c r="G3" s="1">
        <v>500</v>
      </c>
      <c r="H3" s="1"/>
    </row>
    <row r="4" spans="2:12" x14ac:dyDescent="0.3">
      <c r="B4" s="1" t="s">
        <v>1</v>
      </c>
      <c r="C4" s="1">
        <v>20</v>
      </c>
      <c r="D4" s="115">
        <v>20</v>
      </c>
      <c r="E4" s="1">
        <v>2</v>
      </c>
      <c r="F4" s="1" t="s">
        <v>142</v>
      </c>
      <c r="G4" s="1">
        <v>200</v>
      </c>
      <c r="H4" s="1"/>
    </row>
    <row r="5" spans="2:12" x14ac:dyDescent="0.3">
      <c r="B5" s="1" t="s">
        <v>2</v>
      </c>
      <c r="C5" s="1">
        <v>25</v>
      </c>
      <c r="D5" s="115">
        <v>25</v>
      </c>
      <c r="E5" s="1">
        <v>3</v>
      </c>
      <c r="F5" s="1" t="s">
        <v>142</v>
      </c>
      <c r="G5" s="1">
        <v>200</v>
      </c>
      <c r="H5" s="1"/>
    </row>
    <row r="6" spans="2:12" s="5" customFormat="1" x14ac:dyDescent="0.3">
      <c r="B6" s="1" t="s">
        <v>30</v>
      </c>
      <c r="C6" s="1">
        <v>75</v>
      </c>
      <c r="D6" s="115">
        <v>75</v>
      </c>
      <c r="E6" s="1">
        <v>4</v>
      </c>
      <c r="F6" s="1" t="s">
        <v>142</v>
      </c>
      <c r="G6" s="1">
        <v>200</v>
      </c>
      <c r="H6" s="1"/>
    </row>
    <row r="7" spans="2:12" s="100" customFormat="1" x14ac:dyDescent="0.3">
      <c r="B7" s="1" t="s">
        <v>139</v>
      </c>
      <c r="C7" s="1">
        <v>100</v>
      </c>
      <c r="D7" s="115">
        <v>50</v>
      </c>
      <c r="E7" s="1">
        <v>5</v>
      </c>
      <c r="F7" s="1" t="s">
        <v>142</v>
      </c>
      <c r="G7" s="1">
        <v>200</v>
      </c>
      <c r="H7" s="1"/>
    </row>
    <row r="8" spans="2:12" s="5" customFormat="1" x14ac:dyDescent="0.3">
      <c r="B8" s="8" t="s">
        <v>28</v>
      </c>
      <c r="C8" s="8">
        <f>SUM(C4:C7)</f>
        <v>220</v>
      </c>
      <c r="D8" s="116">
        <f>SUM(D4:D7)</f>
        <v>170</v>
      </c>
      <c r="E8" s="1">
        <v>6</v>
      </c>
      <c r="F8" s="1" t="s">
        <v>142</v>
      </c>
      <c r="G8" s="1">
        <v>200</v>
      </c>
      <c r="H8" s="1"/>
    </row>
    <row r="9" spans="2:12" x14ac:dyDescent="0.3">
      <c r="B9" s="2" t="s">
        <v>3</v>
      </c>
      <c r="C9" s="2">
        <f>SUM(C3:C7)</f>
        <v>580</v>
      </c>
      <c r="D9" s="117">
        <f>SUM(D3:D7)</f>
        <v>530</v>
      </c>
      <c r="E9" s="1">
        <v>7</v>
      </c>
      <c r="F9" s="1" t="s">
        <v>142</v>
      </c>
      <c r="G9" s="1">
        <v>200</v>
      </c>
      <c r="H9" s="2"/>
    </row>
    <row r="10" spans="2:12" x14ac:dyDescent="0.3">
      <c r="B10" s="11"/>
      <c r="C10" s="11"/>
      <c r="E10" s="1">
        <v>8</v>
      </c>
      <c r="F10" s="1" t="s">
        <v>142</v>
      </c>
      <c r="G10" s="1">
        <v>200</v>
      </c>
      <c r="H10" s="1"/>
    </row>
    <row r="11" spans="2:12" x14ac:dyDescent="0.3">
      <c r="E11" s="1">
        <v>9</v>
      </c>
      <c r="F11" s="1" t="s">
        <v>142</v>
      </c>
      <c r="G11" s="1">
        <v>200</v>
      </c>
      <c r="H11" s="1"/>
    </row>
    <row r="12" spans="2:12" x14ac:dyDescent="0.3">
      <c r="B12" s="4" t="s">
        <v>162</v>
      </c>
      <c r="C12" s="3" t="s">
        <v>5</v>
      </c>
      <c r="D12" s="114" t="s">
        <v>6</v>
      </c>
      <c r="E12" s="1">
        <v>10</v>
      </c>
      <c r="F12" s="10" t="s">
        <v>143</v>
      </c>
      <c r="G12" s="10">
        <v>350</v>
      </c>
      <c r="H12" s="3"/>
      <c r="J12" s="16"/>
      <c r="K12" s="111"/>
      <c r="L12" s="16"/>
    </row>
    <row r="13" spans="2:12" x14ac:dyDescent="0.3">
      <c r="B13" s="1" t="s">
        <v>0</v>
      </c>
      <c r="C13" s="1">
        <f>0.15*2400</f>
        <v>360</v>
      </c>
      <c r="D13" s="1">
        <v>360</v>
      </c>
      <c r="F13" s="177"/>
      <c r="G13" s="177"/>
      <c r="H13" s="177"/>
      <c r="J13" s="111"/>
      <c r="K13" s="111"/>
      <c r="L13" s="14"/>
    </row>
    <row r="14" spans="2:12" x14ac:dyDescent="0.3">
      <c r="B14" s="1" t="s">
        <v>1</v>
      </c>
      <c r="C14" s="1">
        <v>20</v>
      </c>
      <c r="D14" s="1">
        <v>20</v>
      </c>
      <c r="F14" s="14"/>
      <c r="G14" s="14"/>
      <c r="H14" s="14"/>
      <c r="J14" s="14"/>
      <c r="K14" s="14"/>
      <c r="L14" s="14"/>
    </row>
    <row r="15" spans="2:12" x14ac:dyDescent="0.3">
      <c r="B15" s="1" t="s">
        <v>2</v>
      </c>
      <c r="C15" s="1">
        <v>25</v>
      </c>
      <c r="D15" s="1">
        <v>25</v>
      </c>
      <c r="F15" s="14"/>
      <c r="G15" s="14"/>
      <c r="H15" s="14"/>
      <c r="J15" s="14"/>
      <c r="K15" s="14"/>
      <c r="L15" s="14"/>
    </row>
    <row r="16" spans="2:12" x14ac:dyDescent="0.3">
      <c r="B16" s="1" t="s">
        <v>4</v>
      </c>
      <c r="C16" s="1">
        <v>70</v>
      </c>
      <c r="D16" s="1">
        <v>50</v>
      </c>
      <c r="F16" s="14"/>
      <c r="G16" s="14"/>
      <c r="H16" s="14"/>
      <c r="J16" s="14"/>
      <c r="K16" s="14"/>
      <c r="L16" s="14"/>
    </row>
    <row r="17" spans="2:18" s="5" customFormat="1" x14ac:dyDescent="0.3">
      <c r="B17" s="8" t="s">
        <v>29</v>
      </c>
      <c r="C17" s="8">
        <f>SUM(C14:C16)</f>
        <v>115</v>
      </c>
      <c r="D17" s="8">
        <f>SUM(D14:D16)</f>
        <v>95</v>
      </c>
      <c r="F17" s="14"/>
      <c r="G17" s="14"/>
      <c r="H17" s="14"/>
      <c r="J17" s="92"/>
      <c r="K17" s="16"/>
      <c r="L17" s="14"/>
    </row>
    <row r="18" spans="2:18" x14ac:dyDescent="0.3">
      <c r="B18" s="2" t="s">
        <v>3</v>
      </c>
      <c r="C18" s="2">
        <f>SUM(C13:C16)</f>
        <v>475</v>
      </c>
      <c r="D18" s="2">
        <f>SUM(D13:D16)</f>
        <v>455</v>
      </c>
      <c r="F18" s="16"/>
      <c r="G18" s="16"/>
      <c r="H18" s="16"/>
      <c r="J18" s="91"/>
      <c r="K18" s="14"/>
      <c r="L18" s="14"/>
    </row>
    <row r="20" spans="2:18" x14ac:dyDescent="0.3">
      <c r="F20" s="1"/>
      <c r="G20" s="1" t="s">
        <v>37</v>
      </c>
    </row>
    <row r="21" spans="2:18" x14ac:dyDescent="0.3">
      <c r="B21" s="4" t="s">
        <v>31</v>
      </c>
      <c r="C21" s="3" t="s">
        <v>5</v>
      </c>
      <c r="D21" s="3" t="s">
        <v>6</v>
      </c>
      <c r="F21" s="2" t="s">
        <v>35</v>
      </c>
      <c r="G21" s="1">
        <v>345</v>
      </c>
    </row>
    <row r="22" spans="2:18" x14ac:dyDescent="0.3">
      <c r="B22" s="1" t="s">
        <v>0</v>
      </c>
      <c r="C22" s="1">
        <f>0.15*2400</f>
        <v>360</v>
      </c>
      <c r="D22" s="1">
        <v>360</v>
      </c>
      <c r="F22" s="2" t="s">
        <v>36</v>
      </c>
      <c r="G22" s="1">
        <v>295</v>
      </c>
    </row>
    <row r="23" spans="2:18" x14ac:dyDescent="0.3">
      <c r="B23" s="1" t="s">
        <v>32</v>
      </c>
      <c r="C23" s="1">
        <v>200</v>
      </c>
      <c r="D23" s="1">
        <v>200</v>
      </c>
    </row>
    <row r="24" spans="2:18" x14ac:dyDescent="0.3">
      <c r="B24" s="1" t="s">
        <v>2</v>
      </c>
      <c r="C24" s="1">
        <v>25</v>
      </c>
      <c r="D24" s="1">
        <v>25</v>
      </c>
    </row>
    <row r="25" spans="2:18" x14ac:dyDescent="0.3">
      <c r="B25" s="1" t="s">
        <v>33</v>
      </c>
      <c r="C25" s="1">
        <v>50</v>
      </c>
      <c r="D25" s="1">
        <v>50</v>
      </c>
    </row>
    <row r="26" spans="2:18" s="5" customFormat="1" x14ac:dyDescent="0.3">
      <c r="B26" s="1" t="s">
        <v>34</v>
      </c>
      <c r="C26" s="1">
        <v>10</v>
      </c>
      <c r="D26" s="1">
        <v>10</v>
      </c>
    </row>
    <row r="27" spans="2:18" x14ac:dyDescent="0.3">
      <c r="B27" s="8" t="s">
        <v>29</v>
      </c>
      <c r="C27" s="8">
        <f>SUM(C23:C26)</f>
        <v>285</v>
      </c>
      <c r="D27" s="8">
        <f>SUM(D23:D26)</f>
        <v>285</v>
      </c>
    </row>
    <row r="28" spans="2:18" x14ac:dyDescent="0.3">
      <c r="B28" s="2" t="s">
        <v>3</v>
      </c>
      <c r="C28" s="2">
        <f>SUM(C22:C26)</f>
        <v>645</v>
      </c>
      <c r="D28" s="2">
        <f>SUM(D22:D26)</f>
        <v>645</v>
      </c>
      <c r="G28" s="109" t="s">
        <v>154</v>
      </c>
      <c r="H28">
        <v>0.02</v>
      </c>
    </row>
    <row r="29" spans="2:18" x14ac:dyDescent="0.3">
      <c r="B29" s="193" t="s">
        <v>38</v>
      </c>
      <c r="C29" s="195">
        <f>+G22*3.23</f>
        <v>952.85</v>
      </c>
      <c r="D29" s="195"/>
      <c r="G29" s="9" t="s">
        <v>152</v>
      </c>
      <c r="H29">
        <v>4</v>
      </c>
      <c r="I29" t="s">
        <v>155</v>
      </c>
    </row>
    <row r="30" spans="2:18" x14ac:dyDescent="0.3">
      <c r="B30" s="194"/>
      <c r="C30" s="196"/>
      <c r="D30" s="196"/>
      <c r="G30" s="9" t="s">
        <v>153</v>
      </c>
      <c r="H30">
        <v>60</v>
      </c>
      <c r="I30" t="s">
        <v>155</v>
      </c>
      <c r="J30" t="s">
        <v>160</v>
      </c>
      <c r="K30" s="9" t="s">
        <v>173</v>
      </c>
      <c r="L30" s="9"/>
    </row>
    <row r="31" spans="2:18" x14ac:dyDescent="0.3">
      <c r="F31" s="9" t="s">
        <v>144</v>
      </c>
      <c r="G31" s="9" t="s">
        <v>147</v>
      </c>
      <c r="H31" s="9" t="s">
        <v>148</v>
      </c>
      <c r="I31" s="9" t="s">
        <v>149</v>
      </c>
      <c r="J31" s="9" t="s">
        <v>159</v>
      </c>
      <c r="K31" s="9" t="s">
        <v>157</v>
      </c>
      <c r="L31" s="9" t="s">
        <v>158</v>
      </c>
      <c r="M31" s="9" t="s">
        <v>156</v>
      </c>
      <c r="N31" s="9" t="s">
        <v>168</v>
      </c>
      <c r="O31" s="9" t="s">
        <v>169</v>
      </c>
      <c r="P31" s="9" t="s">
        <v>170</v>
      </c>
      <c r="Q31" s="9" t="s">
        <v>171</v>
      </c>
      <c r="R31" s="9" t="s">
        <v>172</v>
      </c>
    </row>
    <row r="32" spans="2:18" x14ac:dyDescent="0.3">
      <c r="B32" s="197" t="s">
        <v>163</v>
      </c>
      <c r="C32" s="1"/>
      <c r="D32" s="1"/>
      <c r="F32" t="s">
        <v>164</v>
      </c>
    </row>
    <row r="33" spans="2:18" x14ac:dyDescent="0.3">
      <c r="B33" s="197"/>
      <c r="C33" s="3" t="s">
        <v>5</v>
      </c>
      <c r="D33" s="3" t="s">
        <v>6</v>
      </c>
      <c r="F33" s="7" t="s">
        <v>145</v>
      </c>
      <c r="G33">
        <v>32.5</v>
      </c>
      <c r="H33">
        <f>+G33*(SUM($G$3:$G$12))*2.2/1000</f>
        <v>175.17500000000001</v>
      </c>
      <c r="I33">
        <f>+G33*($C$9*9+$C$38)*2.2/1000</f>
        <v>405.40500000000009</v>
      </c>
      <c r="J33">
        <f>+(1.4*(I33)+1.7*(H33))/(0.4*($H$29+$H$30*($H$28)))</f>
        <v>416.04062500000003</v>
      </c>
      <c r="K33">
        <f>+IF(EVEN(SQRT(J33))&lt;12,12,EVEN(SQRT(J33)))</f>
        <v>22</v>
      </c>
      <c r="L33" s="100">
        <f>+IF(EVEN(SQRT(J33))&lt;12,12,EVEN(SQRT(J33)))</f>
        <v>22</v>
      </c>
      <c r="M33">
        <f>+K33*L33</f>
        <v>484</v>
      </c>
      <c r="N33">
        <f>+K33*2.5</f>
        <v>55</v>
      </c>
      <c r="O33" s="100">
        <f>+L33*2.5</f>
        <v>55</v>
      </c>
      <c r="P33">
        <f>+M33*0.02</f>
        <v>9.68</v>
      </c>
      <c r="Q33" s="110">
        <f>+P33/0.79</f>
        <v>12.253164556962025</v>
      </c>
      <c r="R33" s="110">
        <f>+P33/0.44</f>
        <v>22</v>
      </c>
    </row>
    <row r="34" spans="2:18" x14ac:dyDescent="0.3">
      <c r="B34" s="1" t="s">
        <v>0</v>
      </c>
      <c r="C34" s="1">
        <f>0.15*2400</f>
        <v>360</v>
      </c>
      <c r="D34" s="1">
        <v>360</v>
      </c>
      <c r="F34" s="7" t="s">
        <v>150</v>
      </c>
      <c r="G34">
        <v>30</v>
      </c>
      <c r="H34" s="100">
        <f>+G34*(SUM($G$3:$G$12))*2.2/1000</f>
        <v>161.69999999999999</v>
      </c>
      <c r="I34" s="100">
        <f>+G34*($C$9*9+$C$38)*2.2/1000</f>
        <v>374.22000000000008</v>
      </c>
      <c r="J34" s="100">
        <f>+(1.4*(I34)+1.7*(H34))/(0.4*($H$29+$H$30*($H$28)))</f>
        <v>384.03750000000002</v>
      </c>
      <c r="K34" s="100">
        <f>+IF(EVEN(SQRT(J34))&lt;12,12,EVEN(SQRT(J34)))</f>
        <v>20</v>
      </c>
      <c r="L34" s="100">
        <f>+IF(EVEN(SQRT(J34))&lt;12,12,EVEN(SQRT(J34)))</f>
        <v>20</v>
      </c>
      <c r="M34" s="100">
        <f>+K34*L34</f>
        <v>400</v>
      </c>
      <c r="N34" s="100">
        <f t="shared" ref="N34:O36" si="0">+K34*2.5</f>
        <v>50</v>
      </c>
      <c r="O34" s="100">
        <f t="shared" si="0"/>
        <v>50</v>
      </c>
      <c r="P34" s="100">
        <f t="shared" ref="P34:P54" si="1">+M34*0.02</f>
        <v>8</v>
      </c>
      <c r="Q34" s="110">
        <f>+P34/0.79</f>
        <v>10.126582278481012</v>
      </c>
      <c r="R34" s="110">
        <f>+P34/0.44</f>
        <v>18.181818181818183</v>
      </c>
    </row>
    <row r="35" spans="2:18" x14ac:dyDescent="0.3">
      <c r="B35" s="1" t="s">
        <v>1</v>
      </c>
      <c r="C35" s="1">
        <v>20</v>
      </c>
      <c r="D35" s="1">
        <v>20</v>
      </c>
      <c r="F35" s="7" t="s">
        <v>146</v>
      </c>
      <c r="G35">
        <v>6</v>
      </c>
      <c r="H35" s="100">
        <f>+G35*(SUM($G$3:$G$12))*2.2/1000</f>
        <v>32.340000000000003</v>
      </c>
      <c r="I35" s="100">
        <f>+G35*($C$9*9+$C$38)*2.2/1000</f>
        <v>74.843999999999994</v>
      </c>
      <c r="J35" s="100">
        <f>+(1.4*(I35)+1.7*(H35))/(0.4*($H$29+$H$30*($H$28)))</f>
        <v>76.80749999999999</v>
      </c>
      <c r="K35" s="100">
        <f>+IF(EVEN(SQRT(J35))&lt;12,12,EVEN(SQRT(J35)))</f>
        <v>12</v>
      </c>
      <c r="L35" s="100">
        <f>+IF(EVEN(SQRT(J35))&lt;12,12,EVEN(SQRT(J35)))</f>
        <v>12</v>
      </c>
      <c r="M35" s="100">
        <f>+K35*L35</f>
        <v>144</v>
      </c>
      <c r="N35" s="100">
        <f t="shared" si="0"/>
        <v>30</v>
      </c>
      <c r="O35" s="100">
        <f t="shared" si="0"/>
        <v>30</v>
      </c>
      <c r="P35" s="100">
        <f t="shared" si="1"/>
        <v>2.88</v>
      </c>
      <c r="Q35" s="110">
        <f>+P35/0.79</f>
        <v>3.6455696202531644</v>
      </c>
      <c r="R35" s="110">
        <f>+P35/0.44</f>
        <v>6.545454545454545</v>
      </c>
    </row>
    <row r="36" spans="2:18" x14ac:dyDescent="0.3">
      <c r="B36" s="1" t="s">
        <v>4</v>
      </c>
      <c r="C36" s="1">
        <v>70</v>
      </c>
      <c r="D36" s="1">
        <v>50</v>
      </c>
      <c r="F36" s="7" t="s">
        <v>151</v>
      </c>
      <c r="G36">
        <v>15</v>
      </c>
      <c r="H36" s="100">
        <f>+G36*(SUM($G$3:$G$12))*2.2/1000</f>
        <v>80.849999999999994</v>
      </c>
      <c r="I36" s="100">
        <f>+G36*($C$9*9+$C$38)*2.2/1000</f>
        <v>187.11000000000004</v>
      </c>
      <c r="J36" s="100">
        <f>+(1.4*(I36)+1.7*(H36))/(0.4*($H$29+$H$30*($H$28)))</f>
        <v>192.01875000000001</v>
      </c>
      <c r="K36" s="100">
        <f>+IF(EVEN(SQRT(J36))&lt;12,12,EVEN(SQRT(J36)))</f>
        <v>14</v>
      </c>
      <c r="L36" s="100">
        <f>+IF(EVEN(SQRT(J36))&lt;12,12,EVEN(SQRT(J36)))</f>
        <v>14</v>
      </c>
      <c r="M36" s="100">
        <f>+K36*L36</f>
        <v>196</v>
      </c>
      <c r="N36" s="100">
        <f t="shared" si="0"/>
        <v>35</v>
      </c>
      <c r="O36" s="100">
        <f t="shared" si="0"/>
        <v>35</v>
      </c>
      <c r="P36" s="100">
        <f t="shared" si="1"/>
        <v>3.92</v>
      </c>
      <c r="Q36" s="110">
        <f>+P36/0.79</f>
        <v>4.962025316455696</v>
      </c>
      <c r="R36" s="110">
        <f>+P36/0.44</f>
        <v>8.9090909090909083</v>
      </c>
    </row>
    <row r="37" spans="2:18" x14ac:dyDescent="0.3">
      <c r="B37" s="8" t="s">
        <v>29</v>
      </c>
      <c r="C37" s="8">
        <f>SUM(C35:C36)</f>
        <v>90</v>
      </c>
      <c r="D37" s="8">
        <f>SUM(D35:D36)</f>
        <v>70</v>
      </c>
      <c r="P37" s="100"/>
    </row>
    <row r="38" spans="2:18" x14ac:dyDescent="0.3">
      <c r="B38" s="2" t="s">
        <v>3</v>
      </c>
      <c r="C38" s="2">
        <f>SUM(C34:C36)</f>
        <v>450</v>
      </c>
      <c r="D38" s="2">
        <f>SUM(D34:D36)</f>
        <v>430</v>
      </c>
      <c r="F38" s="42" t="s">
        <v>165</v>
      </c>
      <c r="P38" s="100"/>
    </row>
    <row r="39" spans="2:18" x14ac:dyDescent="0.3">
      <c r="F39" s="7" t="s">
        <v>145</v>
      </c>
      <c r="G39" s="100">
        <v>32.5</v>
      </c>
      <c r="H39" s="100">
        <f>+G39*(SUM($G$3:$G$8)+$G$12)*2.2/1000</f>
        <v>132.27500000000001</v>
      </c>
      <c r="I39" s="100">
        <f>+G39*($C$9*6+$C$38)*2.2/1000</f>
        <v>280.995</v>
      </c>
      <c r="J39" s="100">
        <f>+(1.4*(I39)+1.7*(H39))/(0.4*($H$29+$H$30*($H$28)))</f>
        <v>297.24062499999997</v>
      </c>
      <c r="K39" s="100">
        <f>+IF(EVEN(SQRT(J39))&lt;12,12,EVEN(SQRT(J39)))</f>
        <v>18</v>
      </c>
      <c r="L39" s="100">
        <f>+IF(EVEN(SQRT(J39))&lt;12,12,EVEN(SQRT(J39)))</f>
        <v>18</v>
      </c>
      <c r="M39" s="100">
        <f>+K39*L39</f>
        <v>324</v>
      </c>
      <c r="N39" s="100">
        <f>+K39*2.5</f>
        <v>45</v>
      </c>
      <c r="O39" s="100">
        <f>+L39*2.5</f>
        <v>45</v>
      </c>
      <c r="P39" s="100">
        <f t="shared" si="1"/>
        <v>6.48</v>
      </c>
      <c r="Q39" s="110">
        <f>+P39/0.79</f>
        <v>8.2025316455696196</v>
      </c>
      <c r="R39" s="110">
        <f>+P39/0.44</f>
        <v>14.727272727272728</v>
      </c>
    </row>
    <row r="40" spans="2:18" x14ac:dyDescent="0.3">
      <c r="F40" s="7" t="s">
        <v>150</v>
      </c>
      <c r="G40" s="100">
        <v>30</v>
      </c>
      <c r="H40" s="100">
        <f>+G40*(SUM($G$3:$G$8)+$G$12)*2.2/1000</f>
        <v>122.10000000000001</v>
      </c>
      <c r="I40" s="100">
        <f>+G40*($C$9*6+$C$38)*2.2/1000</f>
        <v>259.38000000000005</v>
      </c>
      <c r="J40" s="100">
        <f>+(1.4*(I40)+1.7*(H40))/(0.4*($H$29+$H$30*($H$28)))</f>
        <v>274.37596153846158</v>
      </c>
      <c r="K40" s="100">
        <f>+IF(EVEN(SQRT(J40))&lt;12,12,EVEN(SQRT(J40)))</f>
        <v>18</v>
      </c>
      <c r="L40" s="100">
        <f>+IF(EVEN(SQRT(J40))&lt;12,12,EVEN(SQRT(J40)))</f>
        <v>18</v>
      </c>
      <c r="M40" s="100">
        <f>+K40*L40</f>
        <v>324</v>
      </c>
      <c r="N40" s="100">
        <f t="shared" ref="N40:O42" si="2">+K40*2.5</f>
        <v>45</v>
      </c>
      <c r="O40" s="100">
        <f t="shared" si="2"/>
        <v>45</v>
      </c>
      <c r="P40" s="100">
        <f t="shared" si="1"/>
        <v>6.48</v>
      </c>
      <c r="Q40" s="110">
        <f>+P40/0.79</f>
        <v>8.2025316455696196</v>
      </c>
      <c r="R40" s="110">
        <f>+P40/0.44</f>
        <v>14.727272727272728</v>
      </c>
    </row>
    <row r="41" spans="2:18" x14ac:dyDescent="0.3">
      <c r="F41" s="7" t="s">
        <v>146</v>
      </c>
      <c r="G41" s="100">
        <v>6</v>
      </c>
      <c r="H41" s="100">
        <f>+G41*(SUM($G$3:$G$8)+$G$12)*2.2/1000</f>
        <v>24.420000000000005</v>
      </c>
      <c r="I41" s="100">
        <f>+G41*($C$9*6+$C$38)*2.2/1000</f>
        <v>51.876000000000005</v>
      </c>
      <c r="J41" s="100">
        <f>+(1.4*(I41)+1.7*(H41))/(0.4*($H$29+$H$30*($H$28)))</f>
        <v>54.875192307692309</v>
      </c>
      <c r="K41" s="100">
        <f>+IF(EVEN(SQRT(J41))&lt;12,12,EVEN(SQRT(J41)))</f>
        <v>12</v>
      </c>
      <c r="L41" s="100">
        <f>+IF(EVEN(SQRT(J41))&lt;12,12,EVEN(SQRT(J41)))</f>
        <v>12</v>
      </c>
      <c r="M41" s="100">
        <f>+K41*L41</f>
        <v>144</v>
      </c>
      <c r="N41" s="100">
        <f t="shared" si="2"/>
        <v>30</v>
      </c>
      <c r="O41" s="100">
        <f t="shared" si="2"/>
        <v>30</v>
      </c>
      <c r="P41" s="100">
        <f t="shared" si="1"/>
        <v>2.88</v>
      </c>
      <c r="Q41" s="110">
        <f>+P41/0.79</f>
        <v>3.6455696202531644</v>
      </c>
      <c r="R41" s="110">
        <f>+P41/0.44</f>
        <v>6.545454545454545</v>
      </c>
    </row>
    <row r="42" spans="2:18" x14ac:dyDescent="0.3">
      <c r="F42" s="7" t="s">
        <v>151</v>
      </c>
      <c r="G42" s="100">
        <v>15</v>
      </c>
      <c r="H42" s="100">
        <f>+G42*(SUM($G$3:$G$8)+$G$12)*2.2/1000</f>
        <v>61.050000000000004</v>
      </c>
      <c r="I42" s="100">
        <f>+G42*($C$9*6+$C$38)*2.2/1000</f>
        <v>129.69000000000003</v>
      </c>
      <c r="J42" s="100">
        <f>+(1.4*(I42)+1.7*(H42))/(0.4*($H$29+$H$30*($H$28)))</f>
        <v>137.18798076923079</v>
      </c>
      <c r="K42" s="100">
        <f>+IF(EVEN(SQRT(J42))&lt;12,12,EVEN(SQRT(J42)))</f>
        <v>12</v>
      </c>
      <c r="L42" s="100">
        <f>+IF(EVEN(SQRT(J42))&lt;12,12,EVEN(SQRT(J42)))</f>
        <v>12</v>
      </c>
      <c r="M42" s="100">
        <f>+K42*L42</f>
        <v>144</v>
      </c>
      <c r="N42" s="100">
        <f t="shared" si="2"/>
        <v>30</v>
      </c>
      <c r="O42" s="100">
        <f t="shared" si="2"/>
        <v>30</v>
      </c>
      <c r="P42" s="100">
        <f t="shared" si="1"/>
        <v>2.88</v>
      </c>
      <c r="Q42" s="110">
        <f>+P42/0.79</f>
        <v>3.6455696202531644</v>
      </c>
      <c r="R42" s="110">
        <f>+P42/0.44</f>
        <v>6.545454545454545</v>
      </c>
    </row>
    <row r="43" spans="2:18" x14ac:dyDescent="0.3">
      <c r="P43" s="100"/>
    </row>
    <row r="44" spans="2:18" x14ac:dyDescent="0.3">
      <c r="F44" s="42" t="s">
        <v>166</v>
      </c>
      <c r="G44" s="100"/>
      <c r="H44" s="100"/>
      <c r="I44" s="100"/>
      <c r="J44" s="100"/>
      <c r="K44" s="100"/>
      <c r="L44" s="100"/>
      <c r="M44" s="100"/>
      <c r="P44" s="100"/>
    </row>
    <row r="45" spans="2:18" x14ac:dyDescent="0.3">
      <c r="F45" s="7" t="s">
        <v>145</v>
      </c>
      <c r="G45" s="100">
        <v>32.5</v>
      </c>
      <c r="H45" s="100">
        <f>+G45*(SUM($G$3:$G$6)+$G$12)*2.2/1000</f>
        <v>103.67500000000001</v>
      </c>
      <c r="I45" s="100">
        <f>+G45*($C$9*4+$C$38)*2.2/1000</f>
        <v>198.05500000000004</v>
      </c>
      <c r="J45" s="100">
        <f>+(1.4*(I45)+1.7*(H45))/(0.4*($H$29+$H$30*($H$28)))</f>
        <v>218.04062500000001</v>
      </c>
      <c r="K45" s="100">
        <f>+IF(EVEN(SQRT(J45))&lt;12,12,EVEN(SQRT(J45)))</f>
        <v>16</v>
      </c>
      <c r="L45" s="100">
        <f>+IF(EVEN(SQRT(J45))&lt;12,12,EVEN(SQRT(J45)))</f>
        <v>16</v>
      </c>
      <c r="M45" s="100">
        <f>+K45*L45</f>
        <v>256</v>
      </c>
      <c r="N45" s="100">
        <f t="shared" ref="N45:O48" si="3">+K45*2.5</f>
        <v>40</v>
      </c>
      <c r="O45" s="100">
        <f t="shared" si="3"/>
        <v>40</v>
      </c>
      <c r="P45" s="100">
        <f t="shared" si="1"/>
        <v>5.12</v>
      </c>
      <c r="Q45" s="110">
        <f>+P45/0.79</f>
        <v>6.481012658227848</v>
      </c>
      <c r="R45" s="110">
        <f>+P45/0.44</f>
        <v>11.636363636363637</v>
      </c>
    </row>
    <row r="46" spans="2:18" x14ac:dyDescent="0.3">
      <c r="F46" s="7" t="s">
        <v>150</v>
      </c>
      <c r="G46" s="100">
        <v>30</v>
      </c>
      <c r="H46" s="100">
        <f>+G46*(SUM($G$3:$G$6)+$G$12)*2.2/1000</f>
        <v>95.700000000000017</v>
      </c>
      <c r="I46" s="100">
        <f>+G46*($C$9*4+$C$38)*2.2/1000</f>
        <v>182.82000000000002</v>
      </c>
      <c r="J46" s="100">
        <f>+(1.4*(I46)+1.7*(H46))/(0.4*($H$29+$H$30*($H$28)))</f>
        <v>201.26826923076925</v>
      </c>
      <c r="K46" s="100">
        <f>+IF(EVEN(SQRT(J46))&lt;12,12,EVEN(SQRT(J46)))</f>
        <v>16</v>
      </c>
      <c r="L46" s="100">
        <f>+IF(EVEN(SQRT(J46))&lt;12,12,EVEN(SQRT(J46)))</f>
        <v>16</v>
      </c>
      <c r="M46" s="100">
        <f>+K46*L46</f>
        <v>256</v>
      </c>
      <c r="N46" s="100">
        <f t="shared" si="3"/>
        <v>40</v>
      </c>
      <c r="O46" s="100">
        <f t="shared" si="3"/>
        <v>40</v>
      </c>
      <c r="P46" s="100">
        <f t="shared" si="1"/>
        <v>5.12</v>
      </c>
      <c r="Q46" s="110">
        <f>+P46/0.79</f>
        <v>6.481012658227848</v>
      </c>
      <c r="R46" s="110">
        <f>+P46/0.44</f>
        <v>11.636363636363637</v>
      </c>
    </row>
    <row r="47" spans="2:18" x14ac:dyDescent="0.3">
      <c r="F47" s="7" t="s">
        <v>146</v>
      </c>
      <c r="G47" s="100">
        <v>6</v>
      </c>
      <c r="H47" s="100">
        <f>+G47*(SUM($G$3:$G$6)+$G$12)*2.2/1000</f>
        <v>19.14</v>
      </c>
      <c r="I47" s="100">
        <f>+G47*($C$9*4+$C$38)*2.2/1000</f>
        <v>36.564</v>
      </c>
      <c r="J47" s="100">
        <f>+(1.4*(I47)+1.7*(H47))/(0.4*($H$29+$H$30*($H$28)))</f>
        <v>40.253653846153846</v>
      </c>
      <c r="K47" s="100">
        <f>+IF(EVEN(SQRT(J47))&lt;12,12,EVEN(SQRT(J47)))</f>
        <v>12</v>
      </c>
      <c r="L47" s="100">
        <f>+IF(EVEN(SQRT(J47))&lt;12,12,EVEN(SQRT(J47)))</f>
        <v>12</v>
      </c>
      <c r="M47" s="100">
        <f>+K47*L47</f>
        <v>144</v>
      </c>
      <c r="N47" s="100">
        <f t="shared" si="3"/>
        <v>30</v>
      </c>
      <c r="O47" s="100">
        <f t="shared" si="3"/>
        <v>30</v>
      </c>
      <c r="P47" s="100">
        <f t="shared" si="1"/>
        <v>2.88</v>
      </c>
      <c r="Q47" s="110">
        <f>+P47/0.79</f>
        <v>3.6455696202531644</v>
      </c>
      <c r="R47" s="110">
        <f>+P47/0.44</f>
        <v>6.545454545454545</v>
      </c>
    </row>
    <row r="48" spans="2:18" x14ac:dyDescent="0.3">
      <c r="F48" s="7" t="s">
        <v>151</v>
      </c>
      <c r="G48" s="100">
        <v>15</v>
      </c>
      <c r="H48" s="100">
        <f>+G48*(SUM($G$3:$G$6)+$G$12)*2.2/1000</f>
        <v>47.850000000000009</v>
      </c>
      <c r="I48" s="100">
        <f>+G48*($C$9*4+$C$38)*2.2/1000</f>
        <v>91.410000000000011</v>
      </c>
      <c r="J48" s="100">
        <f>+(1.4*(I48)+1.7*(H48))/(0.4*($H$29+$H$30*($H$28)))</f>
        <v>100.63413461538462</v>
      </c>
      <c r="K48" s="100">
        <f>+IF(EVEN(SQRT(J48))&lt;12,12,EVEN(SQRT(J48)))</f>
        <v>12</v>
      </c>
      <c r="L48" s="100">
        <f>+IF(EVEN(SQRT(J48))&lt;12,12,EVEN(SQRT(J48)))</f>
        <v>12</v>
      </c>
      <c r="M48" s="100">
        <f>+K48*L48</f>
        <v>144</v>
      </c>
      <c r="N48" s="100">
        <f t="shared" si="3"/>
        <v>30</v>
      </c>
      <c r="O48" s="100">
        <f t="shared" si="3"/>
        <v>30</v>
      </c>
      <c r="P48" s="100">
        <f t="shared" si="1"/>
        <v>2.88</v>
      </c>
      <c r="Q48" s="110">
        <f>+P48/0.79</f>
        <v>3.6455696202531644</v>
      </c>
      <c r="R48" s="110">
        <f>+P48/0.44</f>
        <v>6.545454545454545</v>
      </c>
    </row>
    <row r="49" spans="6:18" x14ac:dyDescent="0.3">
      <c r="P49" s="100"/>
    </row>
    <row r="50" spans="6:18" x14ac:dyDescent="0.3">
      <c r="F50" s="42" t="s">
        <v>167</v>
      </c>
      <c r="G50" s="100"/>
      <c r="H50" s="100"/>
      <c r="I50" s="100"/>
      <c r="J50" s="100"/>
      <c r="K50" s="100"/>
      <c r="L50" s="100"/>
      <c r="M50" s="100"/>
      <c r="P50" s="100"/>
    </row>
    <row r="51" spans="6:18" x14ac:dyDescent="0.3">
      <c r="F51" s="7" t="s">
        <v>145</v>
      </c>
      <c r="G51" s="100">
        <v>32.5</v>
      </c>
      <c r="H51" s="100">
        <f>+G51*(SUM($G$3:$G$4)+$G$12)*2.2/1000</f>
        <v>75.075000000000003</v>
      </c>
      <c r="I51" s="100">
        <f>+G51*($C$9*2+$C$38)*2.2/1000</f>
        <v>115.11500000000001</v>
      </c>
      <c r="J51" s="100">
        <f>+(1.4*(I51)+1.7*(H51))/(0.4*($H$29+$H$30*($H$28)))</f>
        <v>138.84062499999999</v>
      </c>
      <c r="K51" s="100">
        <f>+IF(EVEN(SQRT(J51))&lt;12,12,EVEN(SQRT(J51)))</f>
        <v>12</v>
      </c>
      <c r="L51" s="100">
        <f>+IF(EVEN(SQRT(J51))&lt;12,12,EVEN(SQRT(J51)))</f>
        <v>12</v>
      </c>
      <c r="M51" s="100">
        <f>+K51*L51</f>
        <v>144</v>
      </c>
      <c r="N51" s="100">
        <f t="shared" ref="N51:O54" si="4">+K51*2.5</f>
        <v>30</v>
      </c>
      <c r="O51" s="100">
        <f t="shared" si="4"/>
        <v>30</v>
      </c>
      <c r="P51" s="100">
        <f t="shared" si="1"/>
        <v>2.88</v>
      </c>
      <c r="Q51" s="110">
        <f>+P51/0.79</f>
        <v>3.6455696202531644</v>
      </c>
      <c r="R51" s="110">
        <f>+P51/0.44</f>
        <v>6.545454545454545</v>
      </c>
    </row>
    <row r="52" spans="6:18" x14ac:dyDescent="0.3">
      <c r="F52" s="7" t="s">
        <v>150</v>
      </c>
      <c r="G52" s="100">
        <v>30</v>
      </c>
      <c r="H52" s="100">
        <f>+G52*(SUM($G$3:$G$4)+$G$12)*2.2/1000</f>
        <v>69.3</v>
      </c>
      <c r="I52" s="100">
        <f>+G52*($C$9*2+$C$38)*2.2/1000</f>
        <v>106.26000000000002</v>
      </c>
      <c r="J52" s="100">
        <f>+(1.4*(I52)+1.7*(H52))/(0.4*($H$29+$H$30*($H$28)))</f>
        <v>128.16057692307692</v>
      </c>
      <c r="K52" s="100">
        <f>+IF(EVEN(SQRT(J52))&lt;12,12,EVEN(SQRT(J52)))</f>
        <v>12</v>
      </c>
      <c r="L52" s="100">
        <f>+IF(EVEN(SQRT(J52))&lt;12,12,EVEN(SQRT(J52)))</f>
        <v>12</v>
      </c>
      <c r="M52" s="100">
        <f>+K52*L52</f>
        <v>144</v>
      </c>
      <c r="N52" s="100">
        <f t="shared" si="4"/>
        <v>30</v>
      </c>
      <c r="O52" s="100">
        <f t="shared" si="4"/>
        <v>30</v>
      </c>
      <c r="P52" s="100">
        <f t="shared" si="1"/>
        <v>2.88</v>
      </c>
      <c r="Q52" s="110">
        <f>+P52/0.79</f>
        <v>3.6455696202531644</v>
      </c>
      <c r="R52" s="110">
        <f>+P52/0.44</f>
        <v>6.545454545454545</v>
      </c>
    </row>
    <row r="53" spans="6:18" x14ac:dyDescent="0.3">
      <c r="F53" s="7" t="s">
        <v>146</v>
      </c>
      <c r="G53" s="100">
        <v>6</v>
      </c>
      <c r="H53" s="100">
        <f>+G53*(SUM($G$3:$G$4)+$G$12)*2.2/1000</f>
        <v>13.860000000000001</v>
      </c>
      <c r="I53" s="100">
        <f>+G53*($C$9*2+$C$38)*2.2/1000</f>
        <v>21.251999999999999</v>
      </c>
      <c r="J53" s="100">
        <f>+(1.4*(I53)+1.7*(H53))/(0.4*($H$29+$H$30*($H$28)))</f>
        <v>25.632115384615382</v>
      </c>
      <c r="K53" s="100">
        <f>+IF(EVEN(SQRT(J53))&lt;12,12,EVEN(SQRT(J53)))</f>
        <v>12</v>
      </c>
      <c r="L53" s="100">
        <f>+IF(EVEN(SQRT(J53))&lt;12,12,EVEN(SQRT(J53)))</f>
        <v>12</v>
      </c>
      <c r="M53" s="100">
        <f>+K53*L53</f>
        <v>144</v>
      </c>
      <c r="N53" s="100">
        <f t="shared" si="4"/>
        <v>30</v>
      </c>
      <c r="O53" s="100">
        <f t="shared" si="4"/>
        <v>30</v>
      </c>
      <c r="P53" s="100">
        <f t="shared" si="1"/>
        <v>2.88</v>
      </c>
      <c r="Q53" s="110">
        <f>+P53/0.79</f>
        <v>3.6455696202531644</v>
      </c>
      <c r="R53" s="110">
        <f>+P53/0.44</f>
        <v>6.545454545454545</v>
      </c>
    </row>
    <row r="54" spans="6:18" x14ac:dyDescent="0.3">
      <c r="F54" s="7" t="s">
        <v>151</v>
      </c>
      <c r="G54" s="100">
        <v>15</v>
      </c>
      <c r="H54" s="100">
        <f>+G54*(SUM($G$3:$G$4)+$G$12)*2.2/1000</f>
        <v>34.65</v>
      </c>
      <c r="I54" s="100">
        <f>+G54*($C$9*2+$C$38)*2.2/1000</f>
        <v>53.13000000000001</v>
      </c>
      <c r="J54" s="100">
        <f>+(1.4*(I54)+1.7*(H54))/(0.4*($H$29+$H$30*($H$28)))</f>
        <v>64.080288461538458</v>
      </c>
      <c r="K54" s="100">
        <f>+IF(EVEN(SQRT(J54))&lt;12,12,EVEN(SQRT(J54)))</f>
        <v>12</v>
      </c>
      <c r="L54" s="100">
        <f>+IF(EVEN(SQRT(J54))&lt;12,12,EVEN(SQRT(J54)))</f>
        <v>12</v>
      </c>
      <c r="M54" s="100">
        <f>+K54*L54</f>
        <v>144</v>
      </c>
      <c r="N54" s="100">
        <f t="shared" si="4"/>
        <v>30</v>
      </c>
      <c r="O54" s="100">
        <f t="shared" si="4"/>
        <v>30</v>
      </c>
      <c r="P54" s="100">
        <f t="shared" si="1"/>
        <v>2.88</v>
      </c>
      <c r="Q54" s="110">
        <f>+P54/0.79</f>
        <v>3.6455696202531644</v>
      </c>
      <c r="R54" s="110">
        <f>+P54/0.44</f>
        <v>6.545454545454545</v>
      </c>
    </row>
    <row r="57" spans="6:18" x14ac:dyDescent="0.3">
      <c r="F57" s="100"/>
      <c r="G57" s="109" t="s">
        <v>154</v>
      </c>
      <c r="H57" s="100">
        <v>0.02</v>
      </c>
      <c r="I57" s="100"/>
      <c r="J57" s="100"/>
      <c r="K57" s="100"/>
      <c r="L57" s="100"/>
      <c r="M57" s="100"/>
      <c r="N57" s="100"/>
      <c r="O57" s="100"/>
      <c r="P57" s="100"/>
      <c r="Q57" s="100"/>
      <c r="R57" s="100"/>
    </row>
    <row r="58" spans="6:18" x14ac:dyDescent="0.3">
      <c r="F58" s="100"/>
      <c r="G58" s="9" t="s">
        <v>152</v>
      </c>
      <c r="H58" s="100">
        <v>4</v>
      </c>
      <c r="I58" s="100" t="s">
        <v>155</v>
      </c>
      <c r="J58" s="100"/>
      <c r="K58" s="100"/>
      <c r="L58" s="100"/>
      <c r="M58" s="100"/>
      <c r="N58" s="100"/>
      <c r="O58" s="100"/>
      <c r="P58" s="100"/>
      <c r="Q58" s="100"/>
      <c r="R58" s="100"/>
    </row>
    <row r="59" spans="6:18" x14ac:dyDescent="0.3">
      <c r="F59" s="100"/>
      <c r="G59" s="9" t="s">
        <v>153</v>
      </c>
      <c r="H59" s="100">
        <v>60</v>
      </c>
      <c r="I59" s="100" t="s">
        <v>155</v>
      </c>
      <c r="J59" s="100" t="s">
        <v>174</v>
      </c>
      <c r="K59" s="9" t="s">
        <v>173</v>
      </c>
      <c r="L59" s="9"/>
      <c r="M59" s="100"/>
      <c r="N59" s="100"/>
      <c r="O59" s="100"/>
      <c r="P59" s="100"/>
      <c r="Q59" s="100"/>
      <c r="R59" s="100"/>
    </row>
    <row r="60" spans="6:18" x14ac:dyDescent="0.3">
      <c r="F60" s="9" t="s">
        <v>144</v>
      </c>
      <c r="G60" s="9" t="s">
        <v>147</v>
      </c>
      <c r="H60" s="9" t="s">
        <v>148</v>
      </c>
      <c r="I60" s="9" t="s">
        <v>149</v>
      </c>
      <c r="J60" s="9" t="s">
        <v>159</v>
      </c>
      <c r="K60" s="9" t="s">
        <v>157</v>
      </c>
      <c r="L60" s="9" t="s">
        <v>158</v>
      </c>
      <c r="M60" s="9" t="s">
        <v>156</v>
      </c>
      <c r="N60" s="9" t="s">
        <v>168</v>
      </c>
      <c r="O60" s="9" t="s">
        <v>169</v>
      </c>
      <c r="P60" s="9" t="s">
        <v>170</v>
      </c>
      <c r="Q60" s="9" t="s">
        <v>171</v>
      </c>
      <c r="R60" s="9" t="s">
        <v>172</v>
      </c>
    </row>
    <row r="61" spans="6:18" x14ac:dyDescent="0.3">
      <c r="F61" s="100" t="s">
        <v>164</v>
      </c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</row>
    <row r="62" spans="6:18" x14ac:dyDescent="0.3">
      <c r="F62" s="7" t="s">
        <v>145</v>
      </c>
      <c r="G62" s="100">
        <v>32.5</v>
      </c>
      <c r="H62" s="100">
        <f>+G62*(SUM($G$3:$G$12))*2.2/1000</f>
        <v>175.17500000000001</v>
      </c>
      <c r="I62" s="100">
        <f>+G62*($C$9*9+$C$38)*2.2/1000</f>
        <v>405.40500000000009</v>
      </c>
      <c r="J62" s="100">
        <f>+(1.1*(H62+I62))/(0.3*$H$58)</f>
        <v>532.19833333333361</v>
      </c>
      <c r="K62" s="100">
        <f>+IF(EVEN(SQRT(J62))&lt;12,12,EVEN(SQRT(J62)))</f>
        <v>24</v>
      </c>
      <c r="L62" s="100">
        <f>+IF(EVEN(SQRT(J62))&lt;12,12,EVEN(SQRT(J62)))</f>
        <v>24</v>
      </c>
      <c r="M62" s="100">
        <f>+K62*L62</f>
        <v>576</v>
      </c>
      <c r="N62" s="100">
        <f t="shared" ref="N62:O65" si="5">+K62*2.5</f>
        <v>60</v>
      </c>
      <c r="O62" s="100">
        <f t="shared" si="5"/>
        <v>60</v>
      </c>
      <c r="P62" s="100">
        <f>+M62*0.02</f>
        <v>11.52</v>
      </c>
      <c r="Q62" s="110">
        <f>+P62/0.79</f>
        <v>14.582278481012658</v>
      </c>
      <c r="R62" s="110">
        <f>+P62/0.44</f>
        <v>26.18181818181818</v>
      </c>
    </row>
    <row r="63" spans="6:18" x14ac:dyDescent="0.3">
      <c r="F63" s="7" t="s">
        <v>150</v>
      </c>
      <c r="G63" s="100">
        <v>30</v>
      </c>
      <c r="H63" s="100">
        <f>+G63*(SUM($G$3:$G$12))*2.2/1000</f>
        <v>161.69999999999999</v>
      </c>
      <c r="I63" s="100">
        <f>+G63*($C$9*9+$C$38)*2.2/1000</f>
        <v>374.22000000000008</v>
      </c>
      <c r="J63" s="100">
        <f>+(1.1*(H63+I63))/(0.3*$H$58)</f>
        <v>491.26000000000016</v>
      </c>
      <c r="K63" s="100">
        <f>+IF(EVEN(SQRT(J63))&lt;12,12,EVEN(SQRT(J63)))</f>
        <v>24</v>
      </c>
      <c r="L63" s="100">
        <f>+IF(EVEN(SQRT(J63))&lt;12,12,EVEN(SQRT(J63)))</f>
        <v>24</v>
      </c>
      <c r="M63" s="100">
        <f>+K63*L63</f>
        <v>576</v>
      </c>
      <c r="N63" s="100">
        <f t="shared" si="5"/>
        <v>60</v>
      </c>
      <c r="O63" s="100">
        <f t="shared" si="5"/>
        <v>60</v>
      </c>
      <c r="P63" s="100">
        <f>+M63*0.02</f>
        <v>11.52</v>
      </c>
      <c r="Q63" s="110">
        <f>+P63/0.79</f>
        <v>14.582278481012658</v>
      </c>
      <c r="R63" s="110">
        <f>+P63/0.44</f>
        <v>26.18181818181818</v>
      </c>
    </row>
    <row r="64" spans="6:18" x14ac:dyDescent="0.3">
      <c r="F64" s="7" t="s">
        <v>146</v>
      </c>
      <c r="G64" s="100">
        <v>6</v>
      </c>
      <c r="H64" s="100">
        <f>+G64*(SUM($G$3:$G$12))*2.2/1000</f>
        <v>32.340000000000003</v>
      </c>
      <c r="I64" s="100">
        <f>+G64*($C$9*9+$C$38)*2.2/1000</f>
        <v>74.843999999999994</v>
      </c>
      <c r="J64" s="100">
        <f>+(1.5*(H64+I64))/(0.2*$H$58)</f>
        <v>200.97</v>
      </c>
      <c r="K64" s="100">
        <f>+IF(EVEN(SQRT(J64))&lt;12,12,EVEN(SQRT(J64)))</f>
        <v>16</v>
      </c>
      <c r="L64" s="100">
        <f>+IF(EVEN(SQRT(J64))&lt;12,12,EVEN(SQRT(J64)))</f>
        <v>16</v>
      </c>
      <c r="M64" s="100">
        <f>+K64*L64</f>
        <v>256</v>
      </c>
      <c r="N64" s="100">
        <f t="shared" si="5"/>
        <v>40</v>
      </c>
      <c r="O64" s="100">
        <f t="shared" si="5"/>
        <v>40</v>
      </c>
      <c r="P64" s="100">
        <f>+M64*0.02</f>
        <v>5.12</v>
      </c>
      <c r="Q64" s="110">
        <f>+P64/0.79</f>
        <v>6.481012658227848</v>
      </c>
      <c r="R64" s="110">
        <f>+P64/0.44</f>
        <v>11.636363636363637</v>
      </c>
    </row>
    <row r="65" spans="6:18" x14ac:dyDescent="0.3">
      <c r="F65" s="7" t="s">
        <v>151</v>
      </c>
      <c r="G65" s="100">
        <v>15</v>
      </c>
      <c r="H65" s="100">
        <f>+G65*(SUM($G$3:$G$12))*2.2/1000</f>
        <v>80.849999999999994</v>
      </c>
      <c r="I65" s="100">
        <f>+G65*($C$9*9+$C$38)*2.2/1000</f>
        <v>187.11000000000004</v>
      </c>
      <c r="J65" s="100">
        <f>+(1.25*(H65+I65))/(0.25*$H$58)</f>
        <v>334.95000000000005</v>
      </c>
      <c r="K65" s="100">
        <f>+IF(EVEN(SQRT(J65))&lt;12,12,EVEN(SQRT(J65)))</f>
        <v>20</v>
      </c>
      <c r="L65" s="100">
        <f>+IF(EVEN(SQRT(J65))&lt;12,12,EVEN(SQRT(J65)))</f>
        <v>20</v>
      </c>
      <c r="M65" s="100">
        <f>+K65*L65</f>
        <v>400</v>
      </c>
      <c r="N65" s="100">
        <f t="shared" si="5"/>
        <v>50</v>
      </c>
      <c r="O65" s="100">
        <f t="shared" si="5"/>
        <v>50</v>
      </c>
      <c r="P65" s="100">
        <f>+M65*0.02</f>
        <v>8</v>
      </c>
      <c r="Q65" s="110">
        <f>+P65/0.79</f>
        <v>10.126582278481012</v>
      </c>
      <c r="R65" s="110">
        <f>+P65/0.44</f>
        <v>18.181818181818183</v>
      </c>
    </row>
    <row r="66" spans="6:18" x14ac:dyDescent="0.3"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</row>
    <row r="67" spans="6:18" x14ac:dyDescent="0.3">
      <c r="F67" s="42" t="s">
        <v>165</v>
      </c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</row>
    <row r="68" spans="6:18" x14ac:dyDescent="0.3">
      <c r="F68" s="7" t="s">
        <v>145</v>
      </c>
      <c r="G68" s="100">
        <v>32.5</v>
      </c>
      <c r="H68" s="100">
        <f>+G68*(SUM($G$3:$G$8)+$G$12)*2.2/1000</f>
        <v>132.27500000000001</v>
      </c>
      <c r="I68" s="100">
        <f>+G68*($C$9*6+$C$38)*2.2/1000</f>
        <v>280.995</v>
      </c>
      <c r="J68" s="100">
        <f>+(1.1*(H68+I68))/(0.3*$H$58)</f>
        <v>378.83083333333337</v>
      </c>
      <c r="K68" s="100">
        <f>+IF(EVEN(SQRT(J68))&lt;12,12,EVEN(SQRT(J68)))</f>
        <v>20</v>
      </c>
      <c r="L68" s="100">
        <f>+IF(EVEN(SQRT(J68))&lt;12,12,EVEN(SQRT(J68)))</f>
        <v>20</v>
      </c>
      <c r="M68" s="100">
        <f>+K68*L68</f>
        <v>400</v>
      </c>
      <c r="N68" s="100">
        <f t="shared" ref="N68:O71" si="6">+K68*2.5</f>
        <v>50</v>
      </c>
      <c r="O68" s="100">
        <f t="shared" si="6"/>
        <v>50</v>
      </c>
      <c r="P68" s="100">
        <f>+M68*0.02</f>
        <v>8</v>
      </c>
      <c r="Q68" s="110">
        <f>+P68/0.79</f>
        <v>10.126582278481012</v>
      </c>
      <c r="R68" s="110">
        <f>+P68/0.44</f>
        <v>18.181818181818183</v>
      </c>
    </row>
    <row r="69" spans="6:18" x14ac:dyDescent="0.3">
      <c r="F69" s="7" t="s">
        <v>150</v>
      </c>
      <c r="G69" s="100">
        <v>30</v>
      </c>
      <c r="H69" s="100">
        <f>+G69*(SUM($G$3:$G$8)+$G$12)*2.2/1000</f>
        <v>122.10000000000001</v>
      </c>
      <c r="I69" s="100">
        <f>+G69*($C$9*6+$C$38)*2.2/1000</f>
        <v>259.38000000000005</v>
      </c>
      <c r="J69" s="100">
        <f>+(1.1*(H69+I69))/(0.3*$H$58)</f>
        <v>349.69000000000011</v>
      </c>
      <c r="K69" s="100">
        <f>+IF(EVEN(SQRT(J69))&lt;12,12,EVEN(SQRT(J69)))</f>
        <v>20</v>
      </c>
      <c r="L69" s="100">
        <f>+IF(EVEN(SQRT(J69))&lt;12,12,EVEN(SQRT(J69)))</f>
        <v>20</v>
      </c>
      <c r="M69" s="100">
        <f>+K69*L69</f>
        <v>400</v>
      </c>
      <c r="N69" s="100">
        <f t="shared" si="6"/>
        <v>50</v>
      </c>
      <c r="O69" s="100">
        <f t="shared" si="6"/>
        <v>50</v>
      </c>
      <c r="P69" s="100">
        <f>+M69*0.02</f>
        <v>8</v>
      </c>
      <c r="Q69" s="110">
        <f>+P69/0.79</f>
        <v>10.126582278481012</v>
      </c>
      <c r="R69" s="110">
        <f>+P69/0.44</f>
        <v>18.181818181818183</v>
      </c>
    </row>
    <row r="70" spans="6:18" x14ac:dyDescent="0.3">
      <c r="F70" s="7" t="s">
        <v>146</v>
      </c>
      <c r="G70" s="100">
        <v>6</v>
      </c>
      <c r="H70" s="100">
        <f>+G70*(SUM($G$3:$G$8)+$G$12)*2.2/1000</f>
        <v>24.420000000000005</v>
      </c>
      <c r="I70" s="100">
        <f>+G70*($C$9*6+$C$38)*2.2/1000</f>
        <v>51.876000000000005</v>
      </c>
      <c r="J70" s="100">
        <f>+(1.5*(H70+I70))/(0.2*$H$58)</f>
        <v>143.05500000000001</v>
      </c>
      <c r="K70" s="100">
        <f>+IF(EVEN(SQRT(J70))&lt;12,12,EVEN(SQRT(J70)))</f>
        <v>12</v>
      </c>
      <c r="L70" s="100">
        <f>+IF(EVEN(SQRT(J70))&lt;12,12,EVEN(SQRT(J70)))</f>
        <v>12</v>
      </c>
      <c r="M70" s="100">
        <f>+K70*L70</f>
        <v>144</v>
      </c>
      <c r="N70" s="100">
        <f t="shared" si="6"/>
        <v>30</v>
      </c>
      <c r="O70" s="100">
        <f t="shared" si="6"/>
        <v>30</v>
      </c>
      <c r="P70" s="100">
        <f>+M70*0.02</f>
        <v>2.88</v>
      </c>
      <c r="Q70" s="110">
        <f>+P70/0.79</f>
        <v>3.6455696202531644</v>
      </c>
      <c r="R70" s="110">
        <f>+P70/0.44</f>
        <v>6.545454545454545</v>
      </c>
    </row>
    <row r="71" spans="6:18" x14ac:dyDescent="0.3">
      <c r="F71" s="7" t="s">
        <v>151</v>
      </c>
      <c r="G71" s="100">
        <v>15</v>
      </c>
      <c r="H71" s="100">
        <f>+G71*(SUM($G$3:$G$8)+$G$12)*2.2/1000</f>
        <v>61.050000000000004</v>
      </c>
      <c r="I71" s="100">
        <f>+G71*($C$9*6+$C$38)*2.2/1000</f>
        <v>129.69000000000003</v>
      </c>
      <c r="J71" s="100">
        <f>+(1.25*(H71+I71))/(0.25*$H$58)</f>
        <v>238.42500000000004</v>
      </c>
      <c r="K71" s="100">
        <f>+IF(EVEN(SQRT(J71))&lt;12,12,EVEN(SQRT(J71)))</f>
        <v>16</v>
      </c>
      <c r="L71" s="100">
        <f>+IF(EVEN(SQRT(J71))&lt;12,12,EVEN(SQRT(J71)))</f>
        <v>16</v>
      </c>
      <c r="M71" s="100">
        <f>+K71*L71</f>
        <v>256</v>
      </c>
      <c r="N71" s="100">
        <f t="shared" si="6"/>
        <v>40</v>
      </c>
      <c r="O71" s="100">
        <f t="shared" si="6"/>
        <v>40</v>
      </c>
      <c r="P71" s="100">
        <f>+M71*0.02</f>
        <v>5.12</v>
      </c>
      <c r="Q71" s="110">
        <f>+P71/0.79</f>
        <v>6.481012658227848</v>
      </c>
      <c r="R71" s="110">
        <f>+P71/0.44</f>
        <v>11.636363636363637</v>
      </c>
    </row>
    <row r="72" spans="6:18" x14ac:dyDescent="0.3"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</row>
    <row r="73" spans="6:18" x14ac:dyDescent="0.3">
      <c r="F73" s="42" t="s">
        <v>166</v>
      </c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</row>
    <row r="74" spans="6:18" x14ac:dyDescent="0.3">
      <c r="F74" s="7" t="s">
        <v>145</v>
      </c>
      <c r="G74" s="100">
        <v>32.5</v>
      </c>
      <c r="H74" s="100">
        <f>+G74*(SUM($G$3:$G$6)+$G$12)*2.2/1000</f>
        <v>103.67500000000001</v>
      </c>
      <c r="I74" s="100">
        <f>+G74*($C$9*4+$C$38)*2.2/1000</f>
        <v>198.05500000000004</v>
      </c>
      <c r="J74" s="100">
        <f>+(1.1*(H74+I74))/(0.3*$H$58)</f>
        <v>276.58583333333337</v>
      </c>
      <c r="K74" s="100">
        <f>+IF(EVEN(SQRT(J74))&lt;12,12,EVEN(SQRT(J74)))</f>
        <v>18</v>
      </c>
      <c r="L74" s="100">
        <f>+IF(EVEN(SQRT(J74))&lt;12,12,EVEN(SQRT(J74)))</f>
        <v>18</v>
      </c>
      <c r="M74" s="100">
        <f>+K74*L74</f>
        <v>324</v>
      </c>
      <c r="N74" s="100">
        <f t="shared" ref="N74:O77" si="7">+K74*2.5</f>
        <v>45</v>
      </c>
      <c r="O74" s="100">
        <f t="shared" si="7"/>
        <v>45</v>
      </c>
      <c r="P74" s="100">
        <f>+M74*0.02</f>
        <v>6.48</v>
      </c>
      <c r="Q74" s="110">
        <f>+P74/0.79</f>
        <v>8.2025316455696196</v>
      </c>
      <c r="R74" s="110">
        <f>+P74/0.44</f>
        <v>14.727272727272728</v>
      </c>
    </row>
    <row r="75" spans="6:18" x14ac:dyDescent="0.3">
      <c r="F75" s="7" t="s">
        <v>150</v>
      </c>
      <c r="G75" s="100">
        <v>30</v>
      </c>
      <c r="H75" s="100">
        <f>+G75*(SUM($G$3:$G$6)+$G$12)*2.2/1000</f>
        <v>95.700000000000017</v>
      </c>
      <c r="I75" s="100">
        <f>+G75*($C$9*4+$C$38)*2.2/1000</f>
        <v>182.82000000000002</v>
      </c>
      <c r="J75" s="100">
        <f>+(1.1*(H75+I75))/(0.3*$H$58)</f>
        <v>255.31000000000006</v>
      </c>
      <c r="K75" s="100">
        <f>+IF(EVEN(SQRT(J75))&lt;12,12,EVEN(SQRT(J75)))</f>
        <v>16</v>
      </c>
      <c r="L75" s="100">
        <f>+IF(EVEN(SQRT(J75))&lt;12,12,EVEN(SQRT(J75)))</f>
        <v>16</v>
      </c>
      <c r="M75" s="100">
        <f>+K75*L75</f>
        <v>256</v>
      </c>
      <c r="N75" s="100">
        <f t="shared" si="7"/>
        <v>40</v>
      </c>
      <c r="O75" s="100">
        <f t="shared" si="7"/>
        <v>40</v>
      </c>
      <c r="P75" s="100">
        <f>+M75*0.02</f>
        <v>5.12</v>
      </c>
      <c r="Q75" s="110">
        <f>+P75/0.79</f>
        <v>6.481012658227848</v>
      </c>
      <c r="R75" s="110">
        <f>+P75/0.44</f>
        <v>11.636363636363637</v>
      </c>
    </row>
    <row r="76" spans="6:18" x14ac:dyDescent="0.3">
      <c r="F76" s="7" t="s">
        <v>146</v>
      </c>
      <c r="G76" s="100">
        <v>6</v>
      </c>
      <c r="H76" s="100">
        <f>+G76*(SUM($G$3:$G$6)+$G$12)*2.2/1000</f>
        <v>19.14</v>
      </c>
      <c r="I76" s="100">
        <f>+G76*($C$9*4+$C$38)*2.2/1000</f>
        <v>36.564</v>
      </c>
      <c r="J76" s="100">
        <f>+(1.5*(H76+I76))/(0.2*$H$58)</f>
        <v>104.44499999999999</v>
      </c>
      <c r="K76" s="100">
        <f>+IF(EVEN(SQRT(J76))&lt;12,12,EVEN(SQRT(J76)))</f>
        <v>12</v>
      </c>
      <c r="L76" s="100">
        <f>+IF(EVEN(SQRT(J76))&lt;12,12,EVEN(SQRT(J76)))</f>
        <v>12</v>
      </c>
      <c r="M76" s="100">
        <f>+K76*L76</f>
        <v>144</v>
      </c>
      <c r="N76" s="100">
        <f t="shared" si="7"/>
        <v>30</v>
      </c>
      <c r="O76" s="100">
        <f t="shared" si="7"/>
        <v>30</v>
      </c>
      <c r="P76" s="100">
        <f>+M76*0.02</f>
        <v>2.88</v>
      </c>
      <c r="Q76" s="110">
        <f>+P76/0.79</f>
        <v>3.6455696202531644</v>
      </c>
      <c r="R76" s="110">
        <f>+P76/0.44</f>
        <v>6.545454545454545</v>
      </c>
    </row>
    <row r="77" spans="6:18" x14ac:dyDescent="0.3">
      <c r="F77" s="7" t="s">
        <v>151</v>
      </c>
      <c r="G77" s="100">
        <v>15</v>
      </c>
      <c r="H77" s="100">
        <f>+G77*(SUM($G$3:$G$6)+$G$12)*2.2/1000</f>
        <v>47.850000000000009</v>
      </c>
      <c r="I77" s="100">
        <f>+G77*($C$9*4+$C$38)*2.2/1000</f>
        <v>91.410000000000011</v>
      </c>
      <c r="J77" s="100">
        <f>+(1.25*(H77+I77))/(0.25*$H$58)</f>
        <v>174.07500000000002</v>
      </c>
      <c r="K77" s="100">
        <f>+IF(EVEN(SQRT(J77))&lt;12,12,EVEN(SQRT(J77)))</f>
        <v>14</v>
      </c>
      <c r="L77" s="100">
        <f>+IF(EVEN(SQRT(J77))&lt;12,12,EVEN(SQRT(J77)))</f>
        <v>14</v>
      </c>
      <c r="M77" s="100">
        <f>+K77*L77</f>
        <v>196</v>
      </c>
      <c r="N77" s="100">
        <f t="shared" si="7"/>
        <v>35</v>
      </c>
      <c r="O77" s="100">
        <f t="shared" si="7"/>
        <v>35</v>
      </c>
      <c r="P77" s="100">
        <f>+M77*0.02</f>
        <v>3.92</v>
      </c>
      <c r="Q77" s="110">
        <f>+P77/0.79</f>
        <v>4.962025316455696</v>
      </c>
      <c r="R77" s="110">
        <f>+P77/0.44</f>
        <v>8.9090909090909083</v>
      </c>
    </row>
    <row r="78" spans="6:18" x14ac:dyDescent="0.3"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</row>
    <row r="79" spans="6:18" x14ac:dyDescent="0.3">
      <c r="F79" s="42" t="s">
        <v>167</v>
      </c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</row>
    <row r="80" spans="6:18" x14ac:dyDescent="0.3">
      <c r="F80" s="7" t="s">
        <v>145</v>
      </c>
      <c r="G80" s="100">
        <v>32.5</v>
      </c>
      <c r="H80" s="100">
        <f>+G80*(SUM($G$3:$G$4)+$G$12)*2.2/1000</f>
        <v>75.075000000000003</v>
      </c>
      <c r="I80" s="100">
        <f>+G80*($C$9*2+$C$38)*2.2/1000</f>
        <v>115.11500000000001</v>
      </c>
      <c r="J80" s="100">
        <f>+(1.1*(H80+I80))/(0.3*$H$58)</f>
        <v>174.34083333333334</v>
      </c>
      <c r="K80" s="100">
        <f>+IF(EVEN(SQRT(J80))&lt;12,12,EVEN(SQRT(J80)))</f>
        <v>14</v>
      </c>
      <c r="L80" s="100">
        <f>+IF(EVEN(SQRT(J80))&lt;12,12,EVEN(SQRT(J80)))</f>
        <v>14</v>
      </c>
      <c r="M80" s="100">
        <f>+K80*L80</f>
        <v>196</v>
      </c>
      <c r="N80" s="100">
        <f t="shared" ref="N80:O83" si="8">+K80*2.5</f>
        <v>35</v>
      </c>
      <c r="O80" s="100">
        <f t="shared" si="8"/>
        <v>35</v>
      </c>
      <c r="P80" s="100">
        <f>+M80*0.02</f>
        <v>3.92</v>
      </c>
      <c r="Q80" s="110">
        <f>+P80/0.79</f>
        <v>4.962025316455696</v>
      </c>
      <c r="R80" s="110">
        <f>+P80/0.44</f>
        <v>8.9090909090909083</v>
      </c>
    </row>
    <row r="81" spans="6:18" x14ac:dyDescent="0.3">
      <c r="F81" s="7" t="s">
        <v>150</v>
      </c>
      <c r="G81" s="100">
        <v>30</v>
      </c>
      <c r="H81" s="100">
        <f>+G81*(SUM($G$3:$G$4)+$G$12)*2.2/1000</f>
        <v>69.3</v>
      </c>
      <c r="I81" s="100">
        <f>+G81*($C$9*2+$C$38)*2.2/1000</f>
        <v>106.26000000000002</v>
      </c>
      <c r="J81" s="100">
        <f>+(1.1*(H81+I81))/(0.3*$H$58)</f>
        <v>160.93</v>
      </c>
      <c r="K81" s="100">
        <f>+IF(EVEN(SQRT(J81))&lt;12,12,EVEN(SQRT(J81)))</f>
        <v>14</v>
      </c>
      <c r="L81" s="100">
        <f>+IF(EVEN(SQRT(J81))&lt;12,12,EVEN(SQRT(J81)))</f>
        <v>14</v>
      </c>
      <c r="M81" s="100">
        <f>+K81*L81</f>
        <v>196</v>
      </c>
      <c r="N81" s="100">
        <f t="shared" si="8"/>
        <v>35</v>
      </c>
      <c r="O81" s="100">
        <f t="shared" si="8"/>
        <v>35</v>
      </c>
      <c r="P81" s="100">
        <f>+M81*0.02</f>
        <v>3.92</v>
      </c>
      <c r="Q81" s="110">
        <f>+P81/0.79</f>
        <v>4.962025316455696</v>
      </c>
      <c r="R81" s="110">
        <f>+P81/0.44</f>
        <v>8.9090909090909083</v>
      </c>
    </row>
    <row r="82" spans="6:18" x14ac:dyDescent="0.3">
      <c r="F82" s="7" t="s">
        <v>146</v>
      </c>
      <c r="G82" s="100">
        <v>6</v>
      </c>
      <c r="H82" s="100">
        <f>+G82*(SUM($G$3:$G$4)+$G$12)*2.2/1000</f>
        <v>13.860000000000001</v>
      </c>
      <c r="I82" s="100">
        <f>+G82*($C$9*2+$C$38)*2.2/1000</f>
        <v>21.251999999999999</v>
      </c>
      <c r="J82" s="100">
        <f>+(1.5*(H82+I82))/(0.2*$H$58)</f>
        <v>65.835000000000008</v>
      </c>
      <c r="K82" s="100">
        <f>+IF(EVEN(SQRT(J82))&lt;12,12,EVEN(SQRT(J82)))</f>
        <v>12</v>
      </c>
      <c r="L82" s="100">
        <f>+IF(EVEN(SQRT(J82))&lt;12,12,EVEN(SQRT(J82)))</f>
        <v>12</v>
      </c>
      <c r="M82" s="100">
        <f>+K82*L82</f>
        <v>144</v>
      </c>
      <c r="N82" s="100">
        <f t="shared" si="8"/>
        <v>30</v>
      </c>
      <c r="O82" s="100">
        <f t="shared" si="8"/>
        <v>30</v>
      </c>
      <c r="P82" s="100">
        <f>+M82*0.02</f>
        <v>2.88</v>
      </c>
      <c r="Q82" s="110">
        <f>+P82/0.79</f>
        <v>3.6455696202531644</v>
      </c>
      <c r="R82" s="110">
        <f>+P82/0.44</f>
        <v>6.545454545454545</v>
      </c>
    </row>
    <row r="83" spans="6:18" x14ac:dyDescent="0.3">
      <c r="F83" s="7" t="s">
        <v>151</v>
      </c>
      <c r="G83" s="100">
        <v>15</v>
      </c>
      <c r="H83" s="100">
        <f>+G83*(SUM($G$3:$G$4)+$G$12)*2.2/1000</f>
        <v>34.65</v>
      </c>
      <c r="I83" s="100">
        <f>+G83*($C$9*2+$C$38)*2.2/1000</f>
        <v>53.13000000000001</v>
      </c>
      <c r="J83" s="100">
        <f>+(1.25*(H83+I83))/(0.25*$H$58)</f>
        <v>109.72499999999999</v>
      </c>
      <c r="K83" s="100">
        <f>+IF(EVEN(SQRT(J83))&lt;12,12,EVEN(SQRT(J83)))</f>
        <v>12</v>
      </c>
      <c r="L83" s="100">
        <f>+IF(EVEN(SQRT(J83))&lt;12,12,EVEN(SQRT(J83)))</f>
        <v>12</v>
      </c>
      <c r="M83" s="100">
        <f>+K83*L83</f>
        <v>144</v>
      </c>
      <c r="N83" s="100">
        <f t="shared" si="8"/>
        <v>30</v>
      </c>
      <c r="O83" s="100">
        <f t="shared" si="8"/>
        <v>30</v>
      </c>
      <c r="P83" s="100">
        <f>+M83*0.02</f>
        <v>2.88</v>
      </c>
      <c r="Q83" s="110">
        <f>+P83/0.79</f>
        <v>3.6455696202531644</v>
      </c>
      <c r="R83" s="110">
        <f>+P83/0.44</f>
        <v>6.545454545454545</v>
      </c>
    </row>
  </sheetData>
  <mergeCells count="4">
    <mergeCell ref="B29:B30"/>
    <mergeCell ref="C29:C30"/>
    <mergeCell ref="D29:D30"/>
    <mergeCell ref="B32:B33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G128"/>
  <sheetViews>
    <sheetView topLeftCell="B1" workbookViewId="0">
      <selection activeCell="X50" sqref="X50"/>
    </sheetView>
  </sheetViews>
  <sheetFormatPr baseColWidth="10" defaultRowHeight="14.4" x14ac:dyDescent="0.3"/>
  <sheetData>
    <row r="1" spans="1:25" x14ac:dyDescent="0.3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</row>
    <row r="2" spans="1:25" x14ac:dyDescent="0.3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</row>
    <row r="3" spans="1:25" x14ac:dyDescent="0.3">
      <c r="A3" s="100"/>
      <c r="B3" s="100" t="s">
        <v>129</v>
      </c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 t="s">
        <v>129</v>
      </c>
      <c r="P3" s="100"/>
      <c r="Q3" s="100"/>
      <c r="R3" s="100"/>
      <c r="S3" s="100"/>
      <c r="T3" s="100"/>
      <c r="U3" s="100"/>
      <c r="V3" s="100"/>
      <c r="W3" s="100"/>
      <c r="X3" s="100"/>
      <c r="Y3" s="100"/>
    </row>
    <row r="4" spans="1:25" x14ac:dyDescent="0.3">
      <c r="A4" s="100"/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</row>
    <row r="5" spans="1:25" x14ac:dyDescent="0.3">
      <c r="A5" s="100"/>
      <c r="B5" s="100" t="s">
        <v>130</v>
      </c>
      <c r="C5" s="100">
        <v>1.2</v>
      </c>
      <c r="D5" s="100" t="s">
        <v>131</v>
      </c>
      <c r="E5" s="100">
        <v>0.186</v>
      </c>
      <c r="F5" s="100" t="s">
        <v>132</v>
      </c>
      <c r="G5" s="100">
        <v>0.52400000000000002</v>
      </c>
      <c r="H5" s="100" t="s">
        <v>133</v>
      </c>
      <c r="I5" s="100">
        <v>2</v>
      </c>
      <c r="J5" s="100" t="s">
        <v>134</v>
      </c>
      <c r="K5" s="100">
        <v>0.25</v>
      </c>
      <c r="L5" s="100"/>
      <c r="M5" s="100"/>
      <c r="N5" s="100"/>
      <c r="O5" s="100" t="s">
        <v>135</v>
      </c>
      <c r="P5" s="100">
        <v>1.5</v>
      </c>
      <c r="Q5" s="100" t="s">
        <v>131</v>
      </c>
      <c r="R5" s="100">
        <v>0.23300000000000001</v>
      </c>
      <c r="S5" s="100" t="s">
        <v>132</v>
      </c>
      <c r="T5" s="100">
        <v>0.81799999999999995</v>
      </c>
      <c r="U5" s="100" t="s">
        <v>133</v>
      </c>
      <c r="V5" s="100">
        <v>2</v>
      </c>
      <c r="W5" s="100" t="s">
        <v>134</v>
      </c>
      <c r="X5" s="100">
        <v>0.28000000000000003</v>
      </c>
      <c r="Y5" s="100"/>
    </row>
    <row r="6" spans="1:25" x14ac:dyDescent="0.3">
      <c r="A6" s="100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</row>
    <row r="7" spans="1:25" x14ac:dyDescent="0.3">
      <c r="A7" s="100"/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</row>
    <row r="8" spans="1:25" x14ac:dyDescent="0.3">
      <c r="A8" s="100"/>
      <c r="B8" s="100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</row>
    <row r="9" spans="1:25" x14ac:dyDescent="0.3">
      <c r="A9" s="100"/>
      <c r="B9" s="100" t="s">
        <v>136</v>
      </c>
      <c r="C9" s="100" t="s">
        <v>137</v>
      </c>
      <c r="D9" s="100"/>
      <c r="E9" s="100" t="s">
        <v>136</v>
      </c>
      <c r="F9" s="100" t="s">
        <v>137</v>
      </c>
      <c r="G9" s="100"/>
      <c r="H9" s="100"/>
      <c r="I9" s="100"/>
      <c r="J9" s="100"/>
      <c r="K9" s="100"/>
      <c r="L9" s="100"/>
      <c r="M9" s="100"/>
      <c r="N9" s="100"/>
      <c r="O9" s="100" t="s">
        <v>136</v>
      </c>
      <c r="P9" s="100" t="s">
        <v>137</v>
      </c>
      <c r="Q9" s="100" t="s">
        <v>137</v>
      </c>
      <c r="R9" s="100" t="s">
        <v>136</v>
      </c>
      <c r="S9" s="100" t="s">
        <v>137</v>
      </c>
      <c r="T9" s="100" t="s">
        <v>137</v>
      </c>
      <c r="U9" s="100" t="s">
        <v>136</v>
      </c>
      <c r="V9" s="100" t="s">
        <v>137</v>
      </c>
      <c r="W9" s="100" t="s">
        <v>137</v>
      </c>
      <c r="X9" s="100"/>
      <c r="Y9" s="100"/>
    </row>
    <row r="10" spans="1:25" x14ac:dyDescent="0.3">
      <c r="A10" s="100"/>
      <c r="B10" s="100">
        <v>0</v>
      </c>
      <c r="C10" s="100">
        <f>2.5*$K$5*9.81*(0.4+0.7*(B10/$E$5))</f>
        <v>2.4525000000000006</v>
      </c>
      <c r="D10" s="100"/>
      <c r="E10" s="100">
        <v>3.1</v>
      </c>
      <c r="F10" s="100">
        <f t="shared" ref="F10:F38" si="0">+$K$5*9.81*((($C$5)^$I$5)/E10)</f>
        <v>1.139225806451613</v>
      </c>
      <c r="G10" s="100"/>
      <c r="H10" s="100"/>
      <c r="I10" s="100"/>
      <c r="J10" s="100"/>
      <c r="K10" s="100"/>
      <c r="L10" s="100"/>
      <c r="M10" s="100"/>
      <c r="N10" s="100"/>
      <c r="O10" s="100">
        <v>0</v>
      </c>
      <c r="P10" s="100">
        <f>2.5*$X$5*9.81*(0.4+0.7*(O10/$R$5))</f>
        <v>2.7468000000000004</v>
      </c>
      <c r="Q10" s="100">
        <f>+P10/9.81</f>
        <v>0.28000000000000003</v>
      </c>
      <c r="R10" s="100">
        <v>3.4</v>
      </c>
      <c r="S10" s="100">
        <f>+$X$5*9.81*((($P$5)^$V$5)/R10)</f>
        <v>1.8177352941176472</v>
      </c>
      <c r="T10" s="100">
        <f>+S10/9.81</f>
        <v>0.18529411764705883</v>
      </c>
      <c r="U10" s="100">
        <v>6.3</v>
      </c>
      <c r="V10" s="100">
        <f>+$X$5*9.81*((($P$5)^$V$5)/U10)</f>
        <v>0.98100000000000009</v>
      </c>
      <c r="W10" s="100">
        <f>+V10/9.81</f>
        <v>0.1</v>
      </c>
      <c r="X10" s="100"/>
      <c r="Y10" s="100"/>
    </row>
    <row r="11" spans="1:25" x14ac:dyDescent="0.3">
      <c r="A11" s="100"/>
      <c r="B11" s="100">
        <v>0.186</v>
      </c>
      <c r="C11" s="100">
        <f>2.5*$K$5*9.81*(0.4+0.7*(B11/$E$5))</f>
        <v>6.7443750000000016</v>
      </c>
      <c r="D11" s="100"/>
      <c r="E11" s="100">
        <v>3.2</v>
      </c>
      <c r="F11" s="100">
        <f t="shared" si="0"/>
        <v>1.1036249999999999</v>
      </c>
      <c r="G11" s="100"/>
      <c r="H11" s="100"/>
      <c r="I11" s="100"/>
      <c r="J11" s="100"/>
      <c r="K11" s="100"/>
      <c r="L11" s="100"/>
      <c r="M11" s="100"/>
      <c r="N11" s="100"/>
      <c r="O11" s="100">
        <v>0.23300000000000001</v>
      </c>
      <c r="P11" s="100">
        <f>2.5*$X$5*9.81*(0.4+0.7*(O11/$R$5))</f>
        <v>7.5537000000000019</v>
      </c>
      <c r="Q11" s="100">
        <f t="shared" ref="Q11:Q38" si="1">+P11/9.81</f>
        <v>0.77000000000000013</v>
      </c>
      <c r="R11" s="100">
        <v>3.5</v>
      </c>
      <c r="S11" s="100">
        <f t="shared" ref="S11:S38" si="2">+$X$5*9.81*((($P$5)^$V$5)/R11)</f>
        <v>1.7658000000000003</v>
      </c>
      <c r="T11" s="100">
        <f t="shared" ref="T11:T38" si="3">+S11/9.81</f>
        <v>0.18000000000000002</v>
      </c>
      <c r="U11" s="100">
        <v>6.4</v>
      </c>
      <c r="V11" s="100">
        <f t="shared" ref="V11:V38" si="4">+$X$5*9.81*((($P$5)^$V$5)/U11)</f>
        <v>0.96567187500000018</v>
      </c>
      <c r="W11" s="100">
        <f t="shared" ref="W11:W38" si="5">+V11/9.81</f>
        <v>9.8437500000000011E-2</v>
      </c>
      <c r="X11" s="100"/>
      <c r="Y11" s="100"/>
    </row>
    <row r="12" spans="1:25" x14ac:dyDescent="0.3">
      <c r="A12" s="100"/>
      <c r="B12" s="100">
        <v>0.52400000000000002</v>
      </c>
      <c r="C12" s="100">
        <f>2.75*$K$5*9.81</f>
        <v>6.7443750000000007</v>
      </c>
      <c r="D12" s="100"/>
      <c r="E12" s="100">
        <v>3.3</v>
      </c>
      <c r="F12" s="100">
        <f t="shared" si="0"/>
        <v>1.0701818181818183</v>
      </c>
      <c r="G12" s="100"/>
      <c r="H12" s="100"/>
      <c r="I12" s="100"/>
      <c r="J12" s="100"/>
      <c r="K12" s="100"/>
      <c r="L12" s="100"/>
      <c r="M12" s="100"/>
      <c r="N12" s="100"/>
      <c r="O12" s="100">
        <v>0.81799999999999995</v>
      </c>
      <c r="P12" s="100">
        <f>2.75*$X$5*9.81</f>
        <v>7.553700000000001</v>
      </c>
      <c r="Q12" s="100">
        <f t="shared" si="1"/>
        <v>0.77</v>
      </c>
      <c r="R12" s="100">
        <v>3.6</v>
      </c>
      <c r="S12" s="100">
        <f t="shared" si="2"/>
        <v>1.7167500000000002</v>
      </c>
      <c r="T12" s="100">
        <f t="shared" si="3"/>
        <v>0.17500000000000002</v>
      </c>
      <c r="U12" s="100">
        <v>6.5</v>
      </c>
      <c r="V12" s="100">
        <f t="shared" si="4"/>
        <v>0.95081538461538473</v>
      </c>
      <c r="W12" s="100">
        <f t="shared" si="5"/>
        <v>9.6923076923076931E-2</v>
      </c>
      <c r="X12" s="100"/>
      <c r="Y12" s="100"/>
    </row>
    <row r="13" spans="1:25" x14ac:dyDescent="0.3">
      <c r="A13" s="100"/>
      <c r="B13" s="100">
        <v>0.52400000000000002</v>
      </c>
      <c r="C13" s="100">
        <f>+$K$5*9.81*((($C$5)^$I$5)/B13)</f>
        <v>6.7396946564885489</v>
      </c>
      <c r="D13" s="100"/>
      <c r="E13" s="100">
        <v>3.4</v>
      </c>
      <c r="F13" s="100">
        <f t="shared" si="0"/>
        <v>1.0387058823529411</v>
      </c>
      <c r="G13" s="100"/>
      <c r="H13" s="100"/>
      <c r="I13" s="100"/>
      <c r="J13" s="100"/>
      <c r="K13" s="100"/>
      <c r="L13" s="100"/>
      <c r="M13" s="100"/>
      <c r="N13" s="100"/>
      <c r="O13" s="100">
        <v>0.81799999999999995</v>
      </c>
      <c r="P13" s="100">
        <f>+$X$5*9.81*((($P$5)^$V$5)/O13)</f>
        <v>7.5553789731051362</v>
      </c>
      <c r="Q13" s="100">
        <f t="shared" si="1"/>
        <v>0.77017114914425444</v>
      </c>
      <c r="R13" s="100">
        <v>3.7</v>
      </c>
      <c r="S13" s="100">
        <f t="shared" si="2"/>
        <v>1.6703513513513515</v>
      </c>
      <c r="T13" s="100">
        <f t="shared" si="3"/>
        <v>0.17027027027027028</v>
      </c>
      <c r="U13" s="100">
        <v>6.6</v>
      </c>
      <c r="V13" s="100">
        <f t="shared" si="4"/>
        <v>0.93640909090909108</v>
      </c>
      <c r="W13" s="100">
        <f t="shared" si="5"/>
        <v>9.5454545454545472E-2</v>
      </c>
      <c r="X13" s="100"/>
      <c r="Y13" s="100"/>
    </row>
    <row r="14" spans="1:25" x14ac:dyDescent="0.3">
      <c r="A14" s="100"/>
      <c r="B14" s="100">
        <v>0.6</v>
      </c>
      <c r="C14" s="100">
        <f t="shared" ref="C14:C38" si="6">+$K$5*9.81*((($C$5)^$I$5)/B14)</f>
        <v>5.8860000000000001</v>
      </c>
      <c r="D14" s="100"/>
      <c r="E14" s="100">
        <v>3.5</v>
      </c>
      <c r="F14" s="100">
        <f t="shared" si="0"/>
        <v>1.0090285714285714</v>
      </c>
      <c r="G14" s="100"/>
      <c r="H14" s="100"/>
      <c r="I14" s="100"/>
      <c r="J14" s="100"/>
      <c r="K14" s="100"/>
      <c r="L14" s="100"/>
      <c r="M14" s="100"/>
      <c r="N14" s="100"/>
      <c r="O14" s="100">
        <v>0.9</v>
      </c>
      <c r="P14" s="100">
        <f>+$X$5*9.81*((($P$5)^$V$5)/O14)</f>
        <v>6.8670000000000009</v>
      </c>
      <c r="Q14" s="100">
        <f t="shared" si="1"/>
        <v>0.70000000000000007</v>
      </c>
      <c r="R14" s="100">
        <v>3.8</v>
      </c>
      <c r="S14" s="100">
        <f t="shared" si="2"/>
        <v>1.6263947368421057</v>
      </c>
      <c r="T14" s="100">
        <f t="shared" si="3"/>
        <v>0.16578947368421057</v>
      </c>
      <c r="U14" s="100">
        <v>6.7</v>
      </c>
      <c r="V14" s="100">
        <f t="shared" si="4"/>
        <v>0.92243283582089552</v>
      </c>
      <c r="W14" s="100">
        <f t="shared" si="5"/>
        <v>9.4029850746268656E-2</v>
      </c>
      <c r="X14" s="100"/>
      <c r="Y14" s="100"/>
    </row>
    <row r="15" spans="1:25" x14ac:dyDescent="0.3">
      <c r="A15" s="100"/>
      <c r="B15" s="100">
        <v>0.7</v>
      </c>
      <c r="C15" s="100">
        <f t="shared" si="6"/>
        <v>5.0451428571428583</v>
      </c>
      <c r="D15" s="100"/>
      <c r="E15" s="100">
        <v>3.6</v>
      </c>
      <c r="F15" s="100">
        <f t="shared" si="0"/>
        <v>0.98099999999999998</v>
      </c>
      <c r="G15" s="100"/>
      <c r="H15" s="100"/>
      <c r="I15" s="100"/>
      <c r="J15" s="100"/>
      <c r="K15" s="100"/>
      <c r="L15" s="100"/>
      <c r="M15" s="100"/>
      <c r="N15" s="100"/>
      <c r="O15" s="100">
        <v>1</v>
      </c>
      <c r="P15" s="100">
        <f>+$X$5*9.81*((($P$5)^$V$5)/O15)</f>
        <v>6.1803000000000008</v>
      </c>
      <c r="Q15" s="100">
        <f t="shared" si="1"/>
        <v>0.63</v>
      </c>
      <c r="R15" s="100">
        <v>3.9</v>
      </c>
      <c r="S15" s="100">
        <f t="shared" si="2"/>
        <v>1.5846923076923081</v>
      </c>
      <c r="T15" s="100">
        <f t="shared" si="3"/>
        <v>0.16153846153846158</v>
      </c>
      <c r="U15" s="100">
        <v>6.8</v>
      </c>
      <c r="V15" s="100">
        <f t="shared" si="4"/>
        <v>0.90886764705882361</v>
      </c>
      <c r="W15" s="100">
        <f t="shared" si="5"/>
        <v>9.2647058823529416E-2</v>
      </c>
      <c r="X15" s="100"/>
      <c r="Y15" s="100"/>
    </row>
    <row r="16" spans="1:25" x14ac:dyDescent="0.3">
      <c r="A16" s="100"/>
      <c r="B16" s="100">
        <v>0.8</v>
      </c>
      <c r="C16" s="100">
        <f t="shared" si="6"/>
        <v>4.4144999999999994</v>
      </c>
      <c r="D16" s="100"/>
      <c r="E16" s="100">
        <v>3.7</v>
      </c>
      <c r="F16" s="100">
        <f t="shared" si="0"/>
        <v>0.95448648648648649</v>
      </c>
      <c r="G16" s="100"/>
      <c r="H16" s="100"/>
      <c r="I16" s="100"/>
      <c r="J16" s="100"/>
      <c r="K16" s="100"/>
      <c r="L16" s="100"/>
      <c r="M16" s="100"/>
      <c r="N16" s="100"/>
      <c r="O16" s="100">
        <v>1.1000000000000001</v>
      </c>
      <c r="P16" s="100">
        <f t="shared" ref="P16:P38" si="7">+$X$5*9.81*((($P$5)^$V$5)/O16)</f>
        <v>5.6184545454545463</v>
      </c>
      <c r="Q16" s="100">
        <f t="shared" si="1"/>
        <v>0.57272727272727275</v>
      </c>
      <c r="R16" s="100">
        <v>4</v>
      </c>
      <c r="S16" s="100">
        <f t="shared" si="2"/>
        <v>1.5450750000000002</v>
      </c>
      <c r="T16" s="100">
        <f t="shared" si="3"/>
        <v>0.1575</v>
      </c>
      <c r="U16" s="100">
        <v>6.9</v>
      </c>
      <c r="V16" s="100">
        <f t="shared" si="4"/>
        <v>0.89569565217391323</v>
      </c>
      <c r="W16" s="100">
        <f t="shared" si="5"/>
        <v>9.1304347826086971E-2</v>
      </c>
      <c r="X16" s="100"/>
      <c r="Y16" s="100"/>
    </row>
    <row r="17" spans="1:25" x14ac:dyDescent="0.3">
      <c r="A17" s="100"/>
      <c r="B17" s="100">
        <v>0.9</v>
      </c>
      <c r="C17" s="100">
        <f t="shared" si="6"/>
        <v>3.9239999999999999</v>
      </c>
      <c r="D17" s="100"/>
      <c r="E17" s="100">
        <v>3.8</v>
      </c>
      <c r="F17" s="100">
        <f t="shared" si="0"/>
        <v>0.92936842105263162</v>
      </c>
      <c r="G17" s="100"/>
      <c r="H17" s="100"/>
      <c r="I17" s="100"/>
      <c r="J17" s="100"/>
      <c r="K17" s="100"/>
      <c r="L17" s="100"/>
      <c r="M17" s="100"/>
      <c r="N17" s="100"/>
      <c r="O17" s="100">
        <v>1.2</v>
      </c>
      <c r="P17" s="100">
        <f t="shared" si="7"/>
        <v>5.1502500000000007</v>
      </c>
      <c r="Q17" s="100">
        <f t="shared" si="1"/>
        <v>0.52500000000000002</v>
      </c>
      <c r="R17" s="100">
        <v>4.0999999999999996</v>
      </c>
      <c r="S17" s="100">
        <f t="shared" si="2"/>
        <v>1.5073902439024394</v>
      </c>
      <c r="T17" s="100">
        <f t="shared" si="3"/>
        <v>0.15365853658536588</v>
      </c>
      <c r="U17" s="100">
        <v>7</v>
      </c>
      <c r="V17" s="100">
        <f t="shared" si="4"/>
        <v>0.88290000000000013</v>
      </c>
      <c r="W17" s="100">
        <f t="shared" si="5"/>
        <v>9.0000000000000011E-2</v>
      </c>
      <c r="X17" s="100"/>
      <c r="Y17" s="100"/>
    </row>
    <row r="18" spans="1:25" x14ac:dyDescent="0.3">
      <c r="A18" s="100"/>
      <c r="B18" s="100">
        <v>1</v>
      </c>
      <c r="C18" s="100">
        <f t="shared" si="6"/>
        <v>3.5316000000000001</v>
      </c>
      <c r="D18" s="100"/>
      <c r="E18" s="100">
        <v>3.9</v>
      </c>
      <c r="F18" s="100">
        <f t="shared" si="0"/>
        <v>0.90553846153846163</v>
      </c>
      <c r="G18" s="100"/>
      <c r="H18" s="100"/>
      <c r="I18" s="100"/>
      <c r="J18" s="100"/>
      <c r="K18" s="100"/>
      <c r="L18" s="100"/>
      <c r="M18" s="100"/>
      <c r="N18" s="100"/>
      <c r="O18" s="100">
        <v>1.3</v>
      </c>
      <c r="P18" s="100">
        <f t="shared" si="7"/>
        <v>4.7540769230769229</v>
      </c>
      <c r="Q18" s="100">
        <f t="shared" si="1"/>
        <v>0.48461538461538456</v>
      </c>
      <c r="R18" s="100">
        <v>4.2</v>
      </c>
      <c r="S18" s="100">
        <f t="shared" si="2"/>
        <v>1.4715000000000003</v>
      </c>
      <c r="T18" s="100">
        <f t="shared" si="3"/>
        <v>0.15000000000000002</v>
      </c>
      <c r="U18" s="100">
        <v>7.1</v>
      </c>
      <c r="V18" s="100">
        <f t="shared" si="4"/>
        <v>0.87046478873239452</v>
      </c>
      <c r="W18" s="100">
        <f t="shared" si="5"/>
        <v>8.873239436619719E-2</v>
      </c>
      <c r="X18" s="100"/>
      <c r="Y18" s="100"/>
    </row>
    <row r="19" spans="1:25" x14ac:dyDescent="0.3">
      <c r="A19" s="100"/>
      <c r="B19" s="100">
        <v>1.1000000000000001</v>
      </c>
      <c r="C19" s="100">
        <f t="shared" si="6"/>
        <v>3.2105454545454539</v>
      </c>
      <c r="D19" s="100"/>
      <c r="E19" s="100">
        <v>4</v>
      </c>
      <c r="F19" s="100">
        <f t="shared" si="0"/>
        <v>0.88290000000000002</v>
      </c>
      <c r="G19" s="100"/>
      <c r="H19" s="100"/>
      <c r="I19" s="100"/>
      <c r="J19" s="100"/>
      <c r="K19" s="100"/>
      <c r="L19" s="100"/>
      <c r="M19" s="100"/>
      <c r="N19" s="100"/>
      <c r="O19" s="100">
        <v>1.4</v>
      </c>
      <c r="P19" s="100">
        <f t="shared" si="7"/>
        <v>4.4145000000000003</v>
      </c>
      <c r="Q19" s="100">
        <f t="shared" si="1"/>
        <v>0.45</v>
      </c>
      <c r="R19" s="100">
        <v>4.3</v>
      </c>
      <c r="S19" s="100">
        <f t="shared" si="2"/>
        <v>1.4372790697674422</v>
      </c>
      <c r="T19" s="100">
        <f t="shared" si="3"/>
        <v>0.14651162790697678</v>
      </c>
      <c r="U19" s="100">
        <v>7.2</v>
      </c>
      <c r="V19" s="100">
        <f t="shared" si="4"/>
        <v>0.85837500000000011</v>
      </c>
      <c r="W19" s="100">
        <f t="shared" si="5"/>
        <v>8.7500000000000008E-2</v>
      </c>
      <c r="X19" s="100"/>
      <c r="Y19" s="100"/>
    </row>
    <row r="20" spans="1:25" x14ac:dyDescent="0.3">
      <c r="A20" s="100"/>
      <c r="B20" s="100">
        <v>1.2</v>
      </c>
      <c r="C20" s="100">
        <f t="shared" si="6"/>
        <v>2.9430000000000001</v>
      </c>
      <c r="D20" s="100"/>
      <c r="E20" s="100">
        <v>4.0999999999999996</v>
      </c>
      <c r="F20" s="100">
        <f t="shared" si="0"/>
        <v>0.86136585365853668</v>
      </c>
      <c r="G20" s="100"/>
      <c r="H20" s="100"/>
      <c r="I20" s="100"/>
      <c r="J20" s="100"/>
      <c r="K20" s="100"/>
      <c r="L20" s="100"/>
      <c r="M20" s="100"/>
      <c r="N20" s="100"/>
      <c r="O20" s="100">
        <v>1.5</v>
      </c>
      <c r="P20" s="100">
        <f t="shared" si="7"/>
        <v>4.1202000000000005</v>
      </c>
      <c r="Q20" s="100">
        <f t="shared" si="1"/>
        <v>0.42000000000000004</v>
      </c>
      <c r="R20" s="100">
        <v>4.4000000000000004</v>
      </c>
      <c r="S20" s="100">
        <f t="shared" si="2"/>
        <v>1.4046136363636366</v>
      </c>
      <c r="T20" s="100">
        <f t="shared" si="3"/>
        <v>0.14318181818181819</v>
      </c>
      <c r="U20" s="100">
        <v>7.3000000000000096</v>
      </c>
      <c r="V20" s="100">
        <f t="shared" si="4"/>
        <v>0.8466164383561634</v>
      </c>
      <c r="W20" s="100">
        <f t="shared" si="5"/>
        <v>8.6301369863013594E-2</v>
      </c>
      <c r="X20" s="100"/>
      <c r="Y20" s="100"/>
    </row>
    <row r="21" spans="1:25" x14ac:dyDescent="0.3">
      <c r="A21" s="100"/>
      <c r="B21" s="100">
        <v>1.3</v>
      </c>
      <c r="C21" s="100">
        <f t="shared" si="6"/>
        <v>2.7166153846153844</v>
      </c>
      <c r="D21" s="100"/>
      <c r="E21" s="100">
        <v>4.2</v>
      </c>
      <c r="F21" s="100">
        <f t="shared" si="0"/>
        <v>0.84085714285714275</v>
      </c>
      <c r="G21" s="100"/>
      <c r="H21" s="100"/>
      <c r="I21" s="100"/>
      <c r="J21" s="100"/>
      <c r="K21" s="100"/>
      <c r="L21" s="100"/>
      <c r="M21" s="100"/>
      <c r="N21" s="100"/>
      <c r="O21" s="100">
        <v>1.6</v>
      </c>
      <c r="P21" s="100">
        <f t="shared" si="7"/>
        <v>3.8626875000000007</v>
      </c>
      <c r="Q21" s="100">
        <f t="shared" si="1"/>
        <v>0.39375000000000004</v>
      </c>
      <c r="R21" s="100">
        <v>4.5</v>
      </c>
      <c r="S21" s="100">
        <f t="shared" si="2"/>
        <v>1.3734000000000002</v>
      </c>
      <c r="T21" s="100">
        <f t="shared" si="3"/>
        <v>0.14000000000000001</v>
      </c>
      <c r="U21" s="100">
        <v>7.4000000000000101</v>
      </c>
      <c r="V21" s="100">
        <f t="shared" si="4"/>
        <v>0.83517567567567452</v>
      </c>
      <c r="W21" s="100">
        <f t="shared" si="5"/>
        <v>8.5135135135135015E-2</v>
      </c>
      <c r="X21" s="100"/>
      <c r="Y21" s="100"/>
    </row>
    <row r="22" spans="1:25" x14ac:dyDescent="0.3">
      <c r="A22" s="100"/>
      <c r="B22" s="100">
        <v>1.4</v>
      </c>
      <c r="C22" s="100">
        <f t="shared" si="6"/>
        <v>2.5225714285714291</v>
      </c>
      <c r="D22" s="100"/>
      <c r="E22" s="100">
        <v>4.3</v>
      </c>
      <c r="F22" s="100">
        <f t="shared" si="0"/>
        <v>0.82130232558139538</v>
      </c>
      <c r="G22" s="100"/>
      <c r="H22" s="100"/>
      <c r="I22" s="100"/>
      <c r="J22" s="100"/>
      <c r="K22" s="100"/>
      <c r="L22" s="100"/>
      <c r="M22" s="100"/>
      <c r="N22" s="100"/>
      <c r="O22" s="100">
        <v>1.7</v>
      </c>
      <c r="P22" s="100">
        <f t="shared" si="7"/>
        <v>3.6354705882352945</v>
      </c>
      <c r="Q22" s="100">
        <f t="shared" si="1"/>
        <v>0.37058823529411766</v>
      </c>
      <c r="R22" s="100">
        <v>4.5999999999999996</v>
      </c>
      <c r="S22" s="100">
        <f t="shared" si="2"/>
        <v>1.3435434782608699</v>
      </c>
      <c r="T22" s="100">
        <f t="shared" si="3"/>
        <v>0.13695652173913048</v>
      </c>
      <c r="U22" s="100">
        <v>7.5000000000000098</v>
      </c>
      <c r="V22" s="100">
        <f t="shared" si="4"/>
        <v>0.824039999999999</v>
      </c>
      <c r="W22" s="100">
        <f t="shared" si="5"/>
        <v>8.3999999999999894E-2</v>
      </c>
      <c r="X22" s="100"/>
      <c r="Y22" s="100"/>
    </row>
    <row r="23" spans="1:25" x14ac:dyDescent="0.3">
      <c r="A23" s="100"/>
      <c r="B23" s="100">
        <v>1.5</v>
      </c>
      <c r="C23" s="100">
        <f t="shared" si="6"/>
        <v>2.3544</v>
      </c>
      <c r="D23" s="100"/>
      <c r="E23" s="100">
        <v>4.4000000000000004</v>
      </c>
      <c r="F23" s="100">
        <f t="shared" si="0"/>
        <v>0.80263636363636348</v>
      </c>
      <c r="G23" s="100"/>
      <c r="H23" s="100"/>
      <c r="I23" s="100"/>
      <c r="J23" s="100"/>
      <c r="K23" s="100"/>
      <c r="L23" s="100"/>
      <c r="M23" s="100"/>
      <c r="N23" s="100"/>
      <c r="O23" s="100">
        <v>1.8</v>
      </c>
      <c r="P23" s="100">
        <f t="shared" si="7"/>
        <v>3.4335000000000004</v>
      </c>
      <c r="Q23" s="100">
        <f t="shared" si="1"/>
        <v>0.35000000000000003</v>
      </c>
      <c r="R23" s="100">
        <v>4.7</v>
      </c>
      <c r="S23" s="100">
        <f t="shared" si="2"/>
        <v>1.3149574468085108</v>
      </c>
      <c r="T23" s="100">
        <f t="shared" si="3"/>
        <v>0.13404255319148936</v>
      </c>
      <c r="U23" s="100">
        <v>7.6000000000000103</v>
      </c>
      <c r="V23" s="100">
        <f t="shared" si="4"/>
        <v>0.81319736842105161</v>
      </c>
      <c r="W23" s="100">
        <f t="shared" si="5"/>
        <v>8.289473684210516E-2</v>
      </c>
      <c r="X23" s="100"/>
      <c r="Y23" s="100"/>
    </row>
    <row r="24" spans="1:25" x14ac:dyDescent="0.3">
      <c r="A24" s="100"/>
      <c r="B24" s="100">
        <v>1.6</v>
      </c>
      <c r="C24" s="100">
        <f t="shared" si="6"/>
        <v>2.2072499999999997</v>
      </c>
      <c r="D24" s="100"/>
      <c r="E24" s="100">
        <v>4.5</v>
      </c>
      <c r="F24" s="100">
        <f t="shared" si="0"/>
        <v>0.78480000000000005</v>
      </c>
      <c r="G24" s="100"/>
      <c r="H24" s="100"/>
      <c r="I24" s="100"/>
      <c r="J24" s="100"/>
      <c r="K24" s="100"/>
      <c r="L24" s="100"/>
      <c r="M24" s="100"/>
      <c r="N24" s="100"/>
      <c r="O24" s="100">
        <v>1.9</v>
      </c>
      <c r="P24" s="100">
        <f t="shared" si="7"/>
        <v>3.2527894736842113</v>
      </c>
      <c r="Q24" s="100">
        <f t="shared" si="1"/>
        <v>0.33157894736842114</v>
      </c>
      <c r="R24" s="100">
        <v>4.8</v>
      </c>
      <c r="S24" s="100">
        <f t="shared" si="2"/>
        <v>1.2875625000000002</v>
      </c>
      <c r="T24" s="100">
        <f t="shared" si="3"/>
        <v>0.13125000000000001</v>
      </c>
      <c r="U24" s="100">
        <v>7.7000000000000099</v>
      </c>
      <c r="V24" s="100">
        <f t="shared" si="4"/>
        <v>0.80263636363636259</v>
      </c>
      <c r="W24" s="100">
        <f t="shared" si="5"/>
        <v>8.1818181818181707E-2</v>
      </c>
      <c r="X24" s="100"/>
      <c r="Y24" s="100"/>
    </row>
    <row r="25" spans="1:25" x14ac:dyDescent="0.3">
      <c r="A25" s="100"/>
      <c r="B25" s="100">
        <v>1.7</v>
      </c>
      <c r="C25" s="100">
        <f t="shared" si="6"/>
        <v>2.0774117647058823</v>
      </c>
      <c r="D25" s="100"/>
      <c r="E25" s="100">
        <v>4.5999999999999996</v>
      </c>
      <c r="F25" s="100">
        <f t="shared" si="0"/>
        <v>0.7677391304347827</v>
      </c>
      <c r="G25" s="100"/>
      <c r="H25" s="100"/>
      <c r="I25" s="100"/>
      <c r="J25" s="100"/>
      <c r="K25" s="100"/>
      <c r="L25" s="100"/>
      <c r="M25" s="100"/>
      <c r="N25" s="100"/>
      <c r="O25" s="100">
        <v>2</v>
      </c>
      <c r="P25" s="100">
        <f t="shared" si="7"/>
        <v>3.0901500000000004</v>
      </c>
      <c r="Q25" s="100">
        <f t="shared" si="1"/>
        <v>0.315</v>
      </c>
      <c r="R25" s="100">
        <v>4.9000000000000004</v>
      </c>
      <c r="S25" s="100">
        <f t="shared" si="2"/>
        <v>1.2612857142857143</v>
      </c>
      <c r="T25" s="100">
        <f t="shared" si="3"/>
        <v>0.12857142857142856</v>
      </c>
      <c r="U25" s="100">
        <v>7.8000000000000096</v>
      </c>
      <c r="V25" s="100">
        <f t="shared" si="4"/>
        <v>0.79234615384615292</v>
      </c>
      <c r="W25" s="100">
        <f t="shared" si="5"/>
        <v>8.0769230769230677E-2</v>
      </c>
      <c r="X25" s="100"/>
      <c r="Y25" s="100"/>
    </row>
    <row r="26" spans="1:25" x14ac:dyDescent="0.3">
      <c r="A26" s="100"/>
      <c r="B26" s="100">
        <v>1.8</v>
      </c>
      <c r="C26" s="100">
        <f t="shared" si="6"/>
        <v>1.962</v>
      </c>
      <c r="D26" s="100"/>
      <c r="E26" s="100">
        <v>4.7</v>
      </c>
      <c r="F26" s="100">
        <f t="shared" si="0"/>
        <v>0.75140425531914901</v>
      </c>
      <c r="G26" s="100"/>
      <c r="H26" s="100"/>
      <c r="I26" s="100"/>
      <c r="J26" s="100"/>
      <c r="K26" s="100"/>
      <c r="L26" s="100"/>
      <c r="M26" s="100"/>
      <c r="N26" s="100"/>
      <c r="O26" s="100">
        <v>2.1</v>
      </c>
      <c r="P26" s="100">
        <f t="shared" si="7"/>
        <v>2.9430000000000005</v>
      </c>
      <c r="Q26" s="100">
        <f t="shared" si="1"/>
        <v>0.30000000000000004</v>
      </c>
      <c r="R26" s="100">
        <v>5</v>
      </c>
      <c r="S26" s="100">
        <f t="shared" si="2"/>
        <v>1.2360600000000002</v>
      </c>
      <c r="T26" s="100">
        <f t="shared" si="3"/>
        <v>0.126</v>
      </c>
      <c r="U26" s="100">
        <v>7.9000000000000101</v>
      </c>
      <c r="V26" s="100">
        <f t="shared" si="4"/>
        <v>0.78231645569620156</v>
      </c>
      <c r="W26" s="100">
        <f t="shared" si="5"/>
        <v>7.9746835443037872E-2</v>
      </c>
      <c r="X26" s="100"/>
      <c r="Y26" s="100"/>
    </row>
    <row r="27" spans="1:25" x14ac:dyDescent="0.3">
      <c r="A27" s="100"/>
      <c r="B27" s="100">
        <v>1.9</v>
      </c>
      <c r="C27" s="100">
        <f t="shared" si="6"/>
        <v>1.8587368421052632</v>
      </c>
      <c r="D27" s="100"/>
      <c r="E27" s="100">
        <v>4.8</v>
      </c>
      <c r="F27" s="100">
        <f t="shared" si="0"/>
        <v>0.73575000000000002</v>
      </c>
      <c r="G27" s="100"/>
      <c r="H27" s="100"/>
      <c r="I27" s="100"/>
      <c r="J27" s="100"/>
      <c r="K27" s="100"/>
      <c r="L27" s="100"/>
      <c r="M27" s="100"/>
      <c r="N27" s="100"/>
      <c r="O27" s="100">
        <v>2.2000000000000002</v>
      </c>
      <c r="P27" s="100">
        <f t="shared" si="7"/>
        <v>2.8092272727272731</v>
      </c>
      <c r="Q27" s="100">
        <f t="shared" si="1"/>
        <v>0.28636363636363638</v>
      </c>
      <c r="R27" s="100">
        <v>5.0999999999999996</v>
      </c>
      <c r="S27" s="100">
        <f t="shared" si="2"/>
        <v>1.211823529411765</v>
      </c>
      <c r="T27" s="100">
        <f t="shared" si="3"/>
        <v>0.1235294117647059</v>
      </c>
      <c r="U27" s="100">
        <v>8.0000000000000107</v>
      </c>
      <c r="V27" s="100">
        <f t="shared" si="4"/>
        <v>0.77253749999999899</v>
      </c>
      <c r="W27" s="100">
        <f t="shared" si="5"/>
        <v>7.874999999999989E-2</v>
      </c>
      <c r="X27" s="100"/>
      <c r="Y27" s="100"/>
    </row>
    <row r="28" spans="1:25" x14ac:dyDescent="0.3">
      <c r="A28" s="100"/>
      <c r="B28" s="100">
        <v>2</v>
      </c>
      <c r="C28" s="100">
        <f t="shared" si="6"/>
        <v>1.7658</v>
      </c>
      <c r="D28" s="100"/>
      <c r="E28" s="100">
        <v>4.9000000000000004</v>
      </c>
      <c r="F28" s="100">
        <f t="shared" si="0"/>
        <v>0.72073469387755096</v>
      </c>
      <c r="G28" s="100"/>
      <c r="H28" s="100"/>
      <c r="I28" s="100"/>
      <c r="J28" s="100"/>
      <c r="K28" s="100"/>
      <c r="L28" s="100"/>
      <c r="M28" s="100"/>
      <c r="N28" s="100"/>
      <c r="O28" s="100">
        <v>2.2999999999999998</v>
      </c>
      <c r="P28" s="100">
        <f t="shared" si="7"/>
        <v>2.6870869565217399</v>
      </c>
      <c r="Q28" s="100">
        <f t="shared" si="1"/>
        <v>0.27391304347826095</v>
      </c>
      <c r="R28" s="100">
        <v>5.2</v>
      </c>
      <c r="S28" s="100">
        <f t="shared" si="2"/>
        <v>1.1885192307692307</v>
      </c>
      <c r="T28" s="100">
        <f t="shared" si="3"/>
        <v>0.12115384615384614</v>
      </c>
      <c r="U28" s="100">
        <v>8.1000000000000103</v>
      </c>
      <c r="V28" s="100">
        <f t="shared" si="4"/>
        <v>0.76299999999999901</v>
      </c>
      <c r="W28" s="100">
        <f t="shared" si="5"/>
        <v>7.7777777777777668E-2</v>
      </c>
      <c r="X28" s="100"/>
      <c r="Y28" s="100"/>
    </row>
    <row r="29" spans="1:25" x14ac:dyDescent="0.3">
      <c r="A29" s="100"/>
      <c r="B29" s="100">
        <v>2.1</v>
      </c>
      <c r="C29" s="100">
        <f t="shared" si="6"/>
        <v>1.6817142857142855</v>
      </c>
      <c r="D29" s="100"/>
      <c r="E29" s="100">
        <v>5</v>
      </c>
      <c r="F29" s="100">
        <f t="shared" si="0"/>
        <v>0.70631999999999995</v>
      </c>
      <c r="G29" s="100"/>
      <c r="H29" s="100"/>
      <c r="I29" s="100"/>
      <c r="J29" s="100"/>
      <c r="K29" s="100"/>
      <c r="L29" s="100"/>
      <c r="M29" s="100"/>
      <c r="N29" s="100"/>
      <c r="O29" s="100">
        <v>2.4</v>
      </c>
      <c r="P29" s="100">
        <f t="shared" si="7"/>
        <v>2.5751250000000003</v>
      </c>
      <c r="Q29" s="100">
        <f t="shared" si="1"/>
        <v>0.26250000000000001</v>
      </c>
      <c r="R29" s="100">
        <v>5.3</v>
      </c>
      <c r="S29" s="100">
        <f t="shared" si="2"/>
        <v>1.1660943396226418</v>
      </c>
      <c r="T29" s="100">
        <f t="shared" si="3"/>
        <v>0.1188679245283019</v>
      </c>
      <c r="U29" s="100">
        <v>8.2000000000000099</v>
      </c>
      <c r="V29" s="100">
        <f t="shared" si="4"/>
        <v>0.75369512195121879</v>
      </c>
      <c r="W29" s="100">
        <f t="shared" si="5"/>
        <v>7.6829268292682856E-2</v>
      </c>
      <c r="X29" s="100"/>
      <c r="Y29" s="100"/>
    </row>
    <row r="30" spans="1:25" x14ac:dyDescent="0.3">
      <c r="A30" s="100"/>
      <c r="B30" s="100">
        <v>2.2000000000000002</v>
      </c>
      <c r="C30" s="100">
        <f t="shared" si="6"/>
        <v>1.605272727272727</v>
      </c>
      <c r="D30" s="100"/>
      <c r="E30" s="100">
        <v>5.0999999999999996</v>
      </c>
      <c r="F30" s="100">
        <f t="shared" si="0"/>
        <v>0.69247058823529417</v>
      </c>
      <c r="G30" s="100"/>
      <c r="H30" s="100"/>
      <c r="I30" s="100"/>
      <c r="J30" s="100"/>
      <c r="K30" s="100"/>
      <c r="L30" s="100"/>
      <c r="M30" s="100"/>
      <c r="N30" s="100"/>
      <c r="O30" s="100">
        <v>2.5</v>
      </c>
      <c r="P30" s="100">
        <f t="shared" si="7"/>
        <v>2.4721200000000003</v>
      </c>
      <c r="Q30" s="100">
        <f t="shared" si="1"/>
        <v>0.252</v>
      </c>
      <c r="R30" s="100">
        <v>5.4</v>
      </c>
      <c r="S30" s="100">
        <f t="shared" si="2"/>
        <v>1.1445000000000001</v>
      </c>
      <c r="T30" s="100">
        <f t="shared" si="3"/>
        <v>0.11666666666666667</v>
      </c>
      <c r="U30" s="100">
        <v>8.3000000000000096</v>
      </c>
      <c r="V30" s="100">
        <f t="shared" si="4"/>
        <v>0.74461445783132463</v>
      </c>
      <c r="W30" s="100">
        <f t="shared" si="5"/>
        <v>7.5903614457831253E-2</v>
      </c>
      <c r="X30" s="100"/>
      <c r="Y30" s="100"/>
    </row>
    <row r="31" spans="1:25" x14ac:dyDescent="0.3">
      <c r="A31" s="100"/>
      <c r="B31" s="100">
        <v>2.2999999999999998</v>
      </c>
      <c r="C31" s="100">
        <f t="shared" si="6"/>
        <v>1.5354782608695654</v>
      </c>
      <c r="D31" s="100"/>
      <c r="E31" s="100">
        <v>5.2</v>
      </c>
      <c r="F31" s="100">
        <f t="shared" si="0"/>
        <v>0.67915384615384611</v>
      </c>
      <c r="G31" s="100"/>
      <c r="H31" s="100"/>
      <c r="I31" s="100"/>
      <c r="J31" s="100"/>
      <c r="K31" s="100"/>
      <c r="L31" s="100"/>
      <c r="M31" s="100"/>
      <c r="N31" s="100"/>
      <c r="O31" s="100">
        <v>2.6</v>
      </c>
      <c r="P31" s="100">
        <f t="shared" si="7"/>
        <v>2.3770384615384614</v>
      </c>
      <c r="Q31" s="100">
        <f t="shared" si="1"/>
        <v>0.24230769230769228</v>
      </c>
      <c r="R31" s="100">
        <v>5.5</v>
      </c>
      <c r="S31" s="100">
        <f t="shared" si="2"/>
        <v>1.1236909090909093</v>
      </c>
      <c r="T31" s="100">
        <f t="shared" si="3"/>
        <v>0.11454545454545456</v>
      </c>
      <c r="U31" s="100">
        <v>8.4000000000000092</v>
      </c>
      <c r="V31" s="100">
        <f t="shared" si="4"/>
        <v>0.73574999999999935</v>
      </c>
      <c r="W31" s="100">
        <f t="shared" si="5"/>
        <v>7.4999999999999928E-2</v>
      </c>
      <c r="X31" s="100"/>
      <c r="Y31" s="100"/>
    </row>
    <row r="32" spans="1:25" x14ac:dyDescent="0.3">
      <c r="A32" s="100"/>
      <c r="B32" s="100">
        <v>2.4</v>
      </c>
      <c r="C32" s="100">
        <f t="shared" si="6"/>
        <v>1.4715</v>
      </c>
      <c r="D32" s="100"/>
      <c r="E32" s="100">
        <v>5.3</v>
      </c>
      <c r="F32" s="100">
        <f t="shared" si="0"/>
        <v>0.66633962264150948</v>
      </c>
      <c r="G32" s="100"/>
      <c r="H32" s="100"/>
      <c r="I32" s="100"/>
      <c r="J32" s="100"/>
      <c r="K32" s="100"/>
      <c r="L32" s="100"/>
      <c r="M32" s="100"/>
      <c r="N32" s="100"/>
      <c r="O32" s="100">
        <v>2.7</v>
      </c>
      <c r="P32" s="100">
        <f t="shared" si="7"/>
        <v>2.2890000000000001</v>
      </c>
      <c r="Q32" s="100">
        <f t="shared" si="1"/>
        <v>0.23333333333333334</v>
      </c>
      <c r="R32" s="100">
        <v>5.6</v>
      </c>
      <c r="S32" s="100">
        <f t="shared" si="2"/>
        <v>1.1036250000000001</v>
      </c>
      <c r="T32" s="100">
        <f t="shared" si="3"/>
        <v>0.1125</v>
      </c>
      <c r="U32" s="100">
        <v>8.5000000000000107</v>
      </c>
      <c r="V32" s="100">
        <f t="shared" si="4"/>
        <v>0.727094117647058</v>
      </c>
      <c r="W32" s="100">
        <f t="shared" si="5"/>
        <v>7.4117647058823441E-2</v>
      </c>
      <c r="X32" s="100"/>
      <c r="Y32" s="100"/>
    </row>
    <row r="33" spans="1:25" x14ac:dyDescent="0.3">
      <c r="A33" s="100"/>
      <c r="B33" s="100">
        <v>2.5</v>
      </c>
      <c r="C33" s="100">
        <f t="shared" si="6"/>
        <v>1.4126399999999999</v>
      </c>
      <c r="D33" s="100"/>
      <c r="E33" s="100">
        <v>5.4</v>
      </c>
      <c r="F33" s="100">
        <f t="shared" si="0"/>
        <v>0.65400000000000003</v>
      </c>
      <c r="G33" s="100"/>
      <c r="H33" s="100"/>
      <c r="I33" s="100"/>
      <c r="J33" s="100"/>
      <c r="K33" s="100"/>
      <c r="L33" s="100"/>
      <c r="M33" s="100"/>
      <c r="N33" s="100"/>
      <c r="O33" s="100">
        <v>2.8</v>
      </c>
      <c r="P33" s="100">
        <f t="shared" si="7"/>
        <v>2.2072500000000002</v>
      </c>
      <c r="Q33" s="100">
        <f t="shared" si="1"/>
        <v>0.22500000000000001</v>
      </c>
      <c r="R33" s="100">
        <v>5.7</v>
      </c>
      <c r="S33" s="100">
        <f t="shared" si="2"/>
        <v>1.084263157894737</v>
      </c>
      <c r="T33" s="100">
        <f t="shared" si="3"/>
        <v>0.11052631578947369</v>
      </c>
      <c r="U33" s="100">
        <v>8.6000000000000103</v>
      </c>
      <c r="V33" s="100">
        <f t="shared" si="4"/>
        <v>0.71863953488372012</v>
      </c>
      <c r="W33" s="100">
        <f t="shared" si="5"/>
        <v>7.3255813953488291E-2</v>
      </c>
      <c r="X33" s="100"/>
      <c r="Y33" s="100"/>
    </row>
    <row r="34" spans="1:25" x14ac:dyDescent="0.3">
      <c r="A34" s="100"/>
      <c r="B34" s="100">
        <v>2.6</v>
      </c>
      <c r="C34" s="100">
        <f t="shared" si="6"/>
        <v>1.3583076923076922</v>
      </c>
      <c r="D34" s="100"/>
      <c r="E34" s="100">
        <v>5.5</v>
      </c>
      <c r="F34" s="100">
        <f t="shared" si="0"/>
        <v>0.64210909090909085</v>
      </c>
      <c r="G34" s="100"/>
      <c r="H34" s="100"/>
      <c r="I34" s="100"/>
      <c r="J34" s="100"/>
      <c r="K34" s="100"/>
      <c r="L34" s="100"/>
      <c r="M34" s="100"/>
      <c r="N34" s="100"/>
      <c r="O34" s="100">
        <v>2.9</v>
      </c>
      <c r="P34" s="100">
        <f t="shared" si="7"/>
        <v>2.1311379310344831</v>
      </c>
      <c r="Q34" s="100">
        <f t="shared" si="1"/>
        <v>0.21724137931034485</v>
      </c>
      <c r="R34" s="100">
        <v>5.8</v>
      </c>
      <c r="S34" s="100">
        <f t="shared" si="2"/>
        <v>1.0655689655172416</v>
      </c>
      <c r="T34" s="100">
        <f t="shared" si="3"/>
        <v>0.10862068965517242</v>
      </c>
      <c r="U34" s="100">
        <v>8.7000000000000099</v>
      </c>
      <c r="V34" s="100">
        <f t="shared" si="4"/>
        <v>0.71037931034482682</v>
      </c>
      <c r="W34" s="100">
        <f t="shared" si="5"/>
        <v>7.2413793103448199E-2</v>
      </c>
      <c r="X34" s="100"/>
      <c r="Y34" s="100"/>
    </row>
    <row r="35" spans="1:25" x14ac:dyDescent="0.3">
      <c r="A35" s="100"/>
      <c r="B35" s="100">
        <v>2.7</v>
      </c>
      <c r="C35" s="100">
        <f t="shared" si="6"/>
        <v>1.3080000000000001</v>
      </c>
      <c r="D35" s="100"/>
      <c r="E35" s="100">
        <v>5.6</v>
      </c>
      <c r="F35" s="100">
        <f t="shared" si="0"/>
        <v>0.63064285714285728</v>
      </c>
      <c r="G35" s="100"/>
      <c r="H35" s="100"/>
      <c r="I35" s="100"/>
      <c r="J35" s="100"/>
      <c r="K35" s="100"/>
      <c r="L35" s="100"/>
      <c r="M35" s="100"/>
      <c r="N35" s="100"/>
      <c r="O35" s="100">
        <v>3</v>
      </c>
      <c r="P35" s="100">
        <f t="shared" si="7"/>
        <v>2.0601000000000003</v>
      </c>
      <c r="Q35" s="100">
        <f t="shared" si="1"/>
        <v>0.21000000000000002</v>
      </c>
      <c r="R35" s="100">
        <v>5.9</v>
      </c>
      <c r="S35" s="100">
        <f t="shared" si="2"/>
        <v>1.0475084745762713</v>
      </c>
      <c r="T35" s="100">
        <f t="shared" si="3"/>
        <v>0.10677966101694916</v>
      </c>
      <c r="U35" s="100">
        <v>8.8000000000000096</v>
      </c>
      <c r="V35" s="100">
        <f t="shared" si="4"/>
        <v>0.7023068181818175</v>
      </c>
      <c r="W35" s="100">
        <f t="shared" si="5"/>
        <v>7.1590909090909025E-2</v>
      </c>
      <c r="X35" s="100"/>
      <c r="Y35" s="100"/>
    </row>
    <row r="36" spans="1:25" x14ac:dyDescent="0.3">
      <c r="A36" s="100"/>
      <c r="B36" s="100">
        <v>2.8</v>
      </c>
      <c r="C36" s="100">
        <f t="shared" si="6"/>
        <v>1.2612857142857146</v>
      </c>
      <c r="D36" s="100"/>
      <c r="E36" s="100">
        <v>5.7</v>
      </c>
      <c r="F36" s="100">
        <f t="shared" si="0"/>
        <v>0.61957894736842112</v>
      </c>
      <c r="G36" s="100"/>
      <c r="H36" s="100"/>
      <c r="I36" s="100"/>
      <c r="J36" s="100"/>
      <c r="K36" s="100"/>
      <c r="L36" s="100"/>
      <c r="M36" s="100"/>
      <c r="N36" s="100"/>
      <c r="O36" s="100">
        <v>3.1</v>
      </c>
      <c r="P36" s="100">
        <f t="shared" si="7"/>
        <v>1.993645161290323</v>
      </c>
      <c r="Q36" s="100">
        <f t="shared" si="1"/>
        <v>0.20322580645161292</v>
      </c>
      <c r="R36" s="100">
        <v>6</v>
      </c>
      <c r="S36" s="100">
        <f t="shared" si="2"/>
        <v>1.0300500000000001</v>
      </c>
      <c r="T36" s="100">
        <f t="shared" si="3"/>
        <v>0.10500000000000001</v>
      </c>
      <c r="U36" s="100">
        <v>8.9000000000000092</v>
      </c>
      <c r="V36" s="100">
        <f t="shared" si="4"/>
        <v>0.69441573033707804</v>
      </c>
      <c r="W36" s="100">
        <f t="shared" si="5"/>
        <v>7.0786516853932516E-2</v>
      </c>
      <c r="X36" s="100"/>
      <c r="Y36" s="100"/>
    </row>
    <row r="37" spans="1:25" x14ac:dyDescent="0.3">
      <c r="A37" s="100"/>
      <c r="B37" s="100">
        <v>2.9</v>
      </c>
      <c r="C37" s="100">
        <f t="shared" si="6"/>
        <v>1.2177931034482758</v>
      </c>
      <c r="D37" s="100"/>
      <c r="E37" s="100">
        <v>5.8</v>
      </c>
      <c r="F37" s="100">
        <f t="shared" si="0"/>
        <v>0.60889655172413792</v>
      </c>
      <c r="G37" s="100"/>
      <c r="H37" s="100"/>
      <c r="I37" s="100"/>
      <c r="J37" s="100"/>
      <c r="K37" s="100"/>
      <c r="L37" s="100"/>
      <c r="M37" s="100"/>
      <c r="N37" s="100"/>
      <c r="O37" s="100">
        <v>3.2</v>
      </c>
      <c r="P37" s="100">
        <f t="shared" si="7"/>
        <v>1.9313437500000004</v>
      </c>
      <c r="Q37" s="100">
        <f t="shared" si="1"/>
        <v>0.19687500000000002</v>
      </c>
      <c r="R37" s="100">
        <v>6.1</v>
      </c>
      <c r="S37" s="100">
        <f t="shared" si="2"/>
        <v>1.0131639344262298</v>
      </c>
      <c r="T37" s="100">
        <f t="shared" si="3"/>
        <v>0.10327868852459018</v>
      </c>
      <c r="U37" s="100">
        <v>9.0000000000000107</v>
      </c>
      <c r="V37" s="100">
        <f t="shared" si="4"/>
        <v>0.6866999999999992</v>
      </c>
      <c r="W37" s="100">
        <f t="shared" si="5"/>
        <v>6.999999999999991E-2</v>
      </c>
      <c r="X37" s="100"/>
      <c r="Y37" s="100"/>
    </row>
    <row r="38" spans="1:25" x14ac:dyDescent="0.3">
      <c r="A38" s="100"/>
      <c r="B38" s="100">
        <v>3</v>
      </c>
      <c r="C38" s="100">
        <f t="shared" si="6"/>
        <v>1.1772</v>
      </c>
      <c r="D38" s="100"/>
      <c r="E38" s="100">
        <v>5.9</v>
      </c>
      <c r="F38" s="100">
        <f t="shared" si="0"/>
        <v>0.59857627118644063</v>
      </c>
      <c r="G38" s="100"/>
      <c r="H38" s="100"/>
      <c r="I38" s="100"/>
      <c r="J38" s="100"/>
      <c r="K38" s="100"/>
      <c r="L38" s="100"/>
      <c r="M38" s="100"/>
      <c r="N38" s="100"/>
      <c r="O38" s="100">
        <v>3.3</v>
      </c>
      <c r="P38" s="100">
        <f t="shared" si="7"/>
        <v>1.8728181818181822</v>
      </c>
      <c r="Q38" s="100">
        <f t="shared" si="1"/>
        <v>0.19090909090909094</v>
      </c>
      <c r="R38" s="100">
        <v>6.2</v>
      </c>
      <c r="S38" s="100">
        <f t="shared" si="2"/>
        <v>0.99682258064516149</v>
      </c>
      <c r="T38" s="100">
        <f t="shared" si="3"/>
        <v>0.10161290322580646</v>
      </c>
      <c r="U38" s="100">
        <v>9.1000000000000103</v>
      </c>
      <c r="V38" s="100">
        <f t="shared" si="4"/>
        <v>0.67915384615384555</v>
      </c>
      <c r="W38" s="100">
        <f t="shared" si="5"/>
        <v>6.9230769230769165E-2</v>
      </c>
      <c r="X38" s="100"/>
      <c r="Y38" s="100"/>
    </row>
    <row r="39" spans="1:25" x14ac:dyDescent="0.3">
      <c r="A39" s="100"/>
      <c r="B39" s="100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</row>
    <row r="40" spans="1:25" x14ac:dyDescent="0.3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</row>
    <row r="41" spans="1:25" x14ac:dyDescent="0.3">
      <c r="A41" s="100"/>
      <c r="B41" s="100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</row>
    <row r="42" spans="1:25" x14ac:dyDescent="0.3">
      <c r="A42" s="100"/>
      <c r="B42" s="100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>
        <v>0</v>
      </c>
      <c r="Q42" s="100">
        <v>0.28000000000000003</v>
      </c>
      <c r="R42" s="100"/>
      <c r="S42" s="100"/>
      <c r="T42" s="100"/>
      <c r="U42" s="100"/>
      <c r="V42" s="100"/>
      <c r="W42" s="100"/>
      <c r="X42" s="100"/>
      <c r="Y42" s="100"/>
    </row>
    <row r="43" spans="1:25" x14ac:dyDescent="0.3">
      <c r="A43" s="100"/>
      <c r="B43" s="100" t="s">
        <v>129</v>
      </c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>
        <v>0.23300000000000001</v>
      </c>
      <c r="Q43" s="100">
        <v>0.77000000000000013</v>
      </c>
      <c r="R43" s="100"/>
      <c r="S43" s="100"/>
      <c r="T43" s="100"/>
      <c r="U43" s="100"/>
      <c r="V43" s="100"/>
      <c r="W43" s="100"/>
      <c r="X43" s="100"/>
      <c r="Y43" s="100"/>
    </row>
    <row r="44" spans="1:25" x14ac:dyDescent="0.3">
      <c r="A44" s="100"/>
      <c r="B44" s="100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>
        <v>0.81799999999999995</v>
      </c>
      <c r="Q44" s="100">
        <v>0.77</v>
      </c>
      <c r="R44" s="100"/>
      <c r="S44" s="100"/>
      <c r="T44" s="100"/>
      <c r="U44" s="100"/>
      <c r="V44" s="100"/>
      <c r="W44" s="100"/>
      <c r="X44" s="100"/>
      <c r="Y44" s="100"/>
    </row>
    <row r="45" spans="1:25" x14ac:dyDescent="0.3">
      <c r="A45" s="100"/>
      <c r="B45" s="100" t="s">
        <v>138</v>
      </c>
      <c r="C45" s="100">
        <v>1</v>
      </c>
      <c r="D45" s="100" t="s">
        <v>131</v>
      </c>
      <c r="E45" s="100">
        <v>0.155</v>
      </c>
      <c r="F45" s="100" t="s">
        <v>132</v>
      </c>
      <c r="G45" s="100">
        <v>0.36399999999999999</v>
      </c>
      <c r="H45" s="100" t="s">
        <v>133</v>
      </c>
      <c r="I45" s="100">
        <v>2</v>
      </c>
      <c r="J45" s="100" t="s">
        <v>134</v>
      </c>
      <c r="K45" s="100">
        <v>0.3</v>
      </c>
      <c r="L45" s="100"/>
      <c r="M45" s="100"/>
      <c r="N45" s="100"/>
      <c r="O45" s="100"/>
      <c r="P45" s="100">
        <v>0.81799999999999995</v>
      </c>
      <c r="Q45" s="100">
        <v>0.77017114914425444</v>
      </c>
      <c r="R45" s="100"/>
      <c r="S45" s="100"/>
      <c r="T45" s="100"/>
      <c r="U45" s="100"/>
      <c r="V45" s="100"/>
      <c r="W45" s="100"/>
      <c r="X45" s="100"/>
      <c r="Y45" s="100"/>
    </row>
    <row r="46" spans="1:25" x14ac:dyDescent="0.3">
      <c r="A46" s="100"/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>
        <v>0.9</v>
      </c>
      <c r="Q46" s="100">
        <v>0.70000000000000007</v>
      </c>
      <c r="R46" s="100"/>
      <c r="S46" s="100"/>
      <c r="T46" s="100"/>
      <c r="U46" s="100"/>
      <c r="V46" s="100"/>
      <c r="W46" s="100"/>
      <c r="X46" s="100"/>
      <c r="Y46" s="100"/>
    </row>
    <row r="47" spans="1:25" x14ac:dyDescent="0.3">
      <c r="A47" s="100"/>
      <c r="B47" s="100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>
        <v>1</v>
      </c>
      <c r="Q47" s="100">
        <v>0.63</v>
      </c>
      <c r="R47" s="100"/>
      <c r="S47" s="100"/>
      <c r="T47" s="100"/>
      <c r="U47" s="100"/>
      <c r="V47" s="100"/>
      <c r="W47" s="100"/>
      <c r="X47" s="100"/>
      <c r="Y47" s="100"/>
    </row>
    <row r="48" spans="1:25" x14ac:dyDescent="0.3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>
        <v>1.1000000000000001</v>
      </c>
      <c r="Q48" s="100">
        <v>0.57272727272727275</v>
      </c>
      <c r="R48" s="100"/>
      <c r="S48" s="100"/>
      <c r="T48" s="100"/>
      <c r="U48" s="100"/>
      <c r="V48" s="100"/>
      <c r="W48" s="100"/>
      <c r="X48" s="100"/>
      <c r="Y48" s="100"/>
    </row>
    <row r="49" spans="1:33" x14ac:dyDescent="0.3">
      <c r="A49" s="100"/>
      <c r="B49" s="100" t="s">
        <v>136</v>
      </c>
      <c r="C49" s="100" t="s">
        <v>137</v>
      </c>
      <c r="D49" s="100" t="s">
        <v>137</v>
      </c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>
        <v>1.2</v>
      </c>
      <c r="Q49" s="100">
        <v>0.52500000000000002</v>
      </c>
      <c r="R49" s="100"/>
      <c r="S49" s="100"/>
      <c r="T49" s="100"/>
      <c r="U49" s="100"/>
      <c r="V49" s="97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x14ac:dyDescent="0.3">
      <c r="A50" s="100"/>
      <c r="B50" s="100">
        <v>0</v>
      </c>
      <c r="C50" s="100">
        <f>2.5*$K$45*9.81*(0.4+0.7*(B50/$E$45))</f>
        <v>2.9430000000000001</v>
      </c>
      <c r="D50" s="100">
        <f>+C50/9.81</f>
        <v>0.3</v>
      </c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>
        <v>1.3</v>
      </c>
      <c r="Q50" s="100">
        <v>0.48461538461538456</v>
      </c>
      <c r="R50" s="100"/>
      <c r="S50" s="100"/>
      <c r="T50" s="100"/>
      <c r="U50" s="100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76"/>
    </row>
    <row r="51" spans="1:33" x14ac:dyDescent="0.3">
      <c r="A51" s="100"/>
      <c r="B51" s="100">
        <v>0.155</v>
      </c>
      <c r="C51" s="100">
        <f>2.5*$K$45*9.81*(0.4+0.7*(B51/$E$45))</f>
        <v>8.0932500000000012</v>
      </c>
      <c r="D51" s="100">
        <f t="shared" ref="D51:D80" si="8">+C51/9.81</f>
        <v>0.82500000000000007</v>
      </c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>
        <v>1.4</v>
      </c>
      <c r="Q51" s="100">
        <v>0.45</v>
      </c>
      <c r="R51" s="100"/>
      <c r="S51" s="100"/>
      <c r="T51" s="100"/>
      <c r="U51" s="100"/>
      <c r="V51" s="99"/>
      <c r="W51" s="99"/>
      <c r="X51" s="99"/>
      <c r="Y51" s="99"/>
      <c r="Z51" s="99"/>
      <c r="AA51" s="99"/>
      <c r="AB51" s="99"/>
      <c r="AC51" s="99"/>
      <c r="AD51" s="99"/>
      <c r="AE51" s="99"/>
      <c r="AF51" s="99"/>
      <c r="AG51" s="77"/>
    </row>
    <row r="52" spans="1:33" x14ac:dyDescent="0.3">
      <c r="A52" s="100"/>
      <c r="B52" s="100">
        <v>0.36399999999999999</v>
      </c>
      <c r="C52" s="100">
        <f>2.75*$K$45*9.81</f>
        <v>8.0932499999999994</v>
      </c>
      <c r="D52" s="100">
        <f t="shared" si="8"/>
        <v>0.82499999999999984</v>
      </c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>
        <v>1.5</v>
      </c>
      <c r="Q52" s="100">
        <v>0.42000000000000004</v>
      </c>
      <c r="R52" s="100"/>
      <c r="S52" s="100"/>
      <c r="T52" s="100"/>
      <c r="U52" s="100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 x14ac:dyDescent="0.3">
      <c r="A53" s="100"/>
      <c r="B53" s="100">
        <v>0.36399999999999999</v>
      </c>
      <c r="C53" s="100">
        <f>+$K$45*9.81*((($C$45)^$I$45)/B53)</f>
        <v>8.0851648351648358</v>
      </c>
      <c r="D53" s="100">
        <f t="shared" si="8"/>
        <v>0.82417582417582425</v>
      </c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>
        <v>1.6</v>
      </c>
      <c r="Q53" s="100">
        <v>0.39375000000000004</v>
      </c>
      <c r="R53" s="100"/>
      <c r="S53" s="100"/>
      <c r="T53" s="100"/>
      <c r="U53" s="100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 x14ac:dyDescent="0.3">
      <c r="A54" s="100"/>
      <c r="B54" s="100">
        <v>0.4</v>
      </c>
      <c r="C54" s="100">
        <f>+$K$45*9.81*((($C$45)^$I$45)/B54)</f>
        <v>7.3574999999999999</v>
      </c>
      <c r="D54" s="100">
        <f t="shared" si="8"/>
        <v>0.75</v>
      </c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>
        <v>1.7</v>
      </c>
      <c r="Q54" s="100">
        <v>0.37058823529411766</v>
      </c>
      <c r="R54" s="100"/>
      <c r="S54" s="100"/>
      <c r="T54" s="100"/>
      <c r="U54" s="100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 x14ac:dyDescent="0.3">
      <c r="A55" s="100"/>
      <c r="B55" s="100">
        <v>0.5</v>
      </c>
      <c r="C55" s="100">
        <f t="shared" ref="C55:C80" si="9">+$K$45*9.81*((($C$45)^$I$45)/B55)</f>
        <v>5.8860000000000001</v>
      </c>
      <c r="D55" s="100">
        <f t="shared" si="8"/>
        <v>0.6</v>
      </c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>
        <v>1.8</v>
      </c>
      <c r="Q55" s="100">
        <v>0.35000000000000003</v>
      </c>
      <c r="R55" s="100"/>
      <c r="S55" s="100"/>
      <c r="T55" s="100"/>
      <c r="U55" s="100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 x14ac:dyDescent="0.3">
      <c r="A56" s="100"/>
      <c r="B56" s="100">
        <v>0.6</v>
      </c>
      <c r="C56" s="100">
        <f t="shared" si="9"/>
        <v>4.9050000000000002</v>
      </c>
      <c r="D56" s="100">
        <f t="shared" si="8"/>
        <v>0.5</v>
      </c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>
        <v>1.9</v>
      </c>
      <c r="Q56" s="100">
        <v>0.33157894736842114</v>
      </c>
      <c r="R56" s="100"/>
      <c r="S56" s="100"/>
      <c r="T56" s="100"/>
      <c r="U56" s="100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x14ac:dyDescent="0.3">
      <c r="A57" s="100"/>
      <c r="B57" s="100">
        <v>0.7</v>
      </c>
      <c r="C57" s="100">
        <f t="shared" si="9"/>
        <v>4.2042857142857146</v>
      </c>
      <c r="D57" s="100">
        <f t="shared" si="8"/>
        <v>0.4285714285714286</v>
      </c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>
        <v>2</v>
      </c>
      <c r="Q57" s="100">
        <v>0.315</v>
      </c>
      <c r="R57" s="100"/>
      <c r="S57" s="100"/>
      <c r="T57" s="100"/>
      <c r="U57" s="100"/>
      <c r="V57" s="75"/>
      <c r="W57" s="75"/>
      <c r="X57" s="75"/>
      <c r="Y57" s="75"/>
      <c r="Z57" s="75"/>
      <c r="AA57" s="75"/>
      <c r="AB57" s="75"/>
      <c r="AC57" s="75"/>
      <c r="AD57" s="75"/>
      <c r="AE57" s="75"/>
      <c r="AF57" s="75"/>
      <c r="AG57" s="75"/>
    </row>
    <row r="58" spans="1:33" x14ac:dyDescent="0.3">
      <c r="A58" s="100"/>
      <c r="B58" s="100">
        <v>0.8</v>
      </c>
      <c r="C58" s="100">
        <f t="shared" si="9"/>
        <v>3.67875</v>
      </c>
      <c r="D58" s="100">
        <f t="shared" si="8"/>
        <v>0.375</v>
      </c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>
        <v>2.1</v>
      </c>
      <c r="Q58" s="100">
        <v>0.30000000000000004</v>
      </c>
      <c r="R58" s="100"/>
      <c r="S58" s="100"/>
      <c r="T58" s="100"/>
      <c r="U58" s="100"/>
      <c r="V58" s="75"/>
      <c r="W58" s="75"/>
      <c r="X58" s="75"/>
      <c r="Y58" s="75"/>
      <c r="Z58" s="75"/>
      <c r="AA58" s="75"/>
      <c r="AB58" s="75"/>
      <c r="AC58" s="75"/>
      <c r="AD58" s="75"/>
      <c r="AE58" s="75"/>
      <c r="AF58" s="75"/>
      <c r="AG58" s="75"/>
    </row>
    <row r="59" spans="1:33" x14ac:dyDescent="0.3">
      <c r="A59" s="100"/>
      <c r="B59" s="100">
        <v>0.9</v>
      </c>
      <c r="C59" s="100">
        <f t="shared" si="9"/>
        <v>3.27</v>
      </c>
      <c r="D59" s="100">
        <f t="shared" si="8"/>
        <v>0.33333333333333331</v>
      </c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>
        <v>2.2000000000000002</v>
      </c>
      <c r="Q59" s="100">
        <v>0.28636363636363638</v>
      </c>
      <c r="R59" s="100"/>
      <c r="S59" s="100"/>
      <c r="T59" s="100"/>
      <c r="U59" s="100"/>
      <c r="V59" s="75"/>
      <c r="W59" s="75"/>
      <c r="X59" s="75"/>
      <c r="Y59" s="75"/>
      <c r="Z59" s="75"/>
      <c r="AA59" s="75"/>
      <c r="AB59" s="75"/>
      <c r="AC59" s="75"/>
      <c r="AD59" s="75"/>
      <c r="AE59" s="75"/>
      <c r="AF59" s="75"/>
      <c r="AG59" s="75"/>
    </row>
    <row r="60" spans="1:33" x14ac:dyDescent="0.3">
      <c r="A60" s="100"/>
      <c r="B60" s="100">
        <v>1</v>
      </c>
      <c r="C60" s="100">
        <f t="shared" si="9"/>
        <v>2.9430000000000001</v>
      </c>
      <c r="D60" s="100">
        <f t="shared" si="8"/>
        <v>0.3</v>
      </c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>
        <v>2.2999999999999998</v>
      </c>
      <c r="Q60" s="100">
        <v>0.27391304347826095</v>
      </c>
      <c r="R60" s="100"/>
      <c r="S60" s="100"/>
      <c r="T60" s="100"/>
      <c r="U60" s="100"/>
      <c r="V60" s="75"/>
      <c r="W60" s="75"/>
      <c r="X60" s="75"/>
      <c r="Y60" s="75"/>
      <c r="Z60" s="75"/>
      <c r="AA60" s="75"/>
      <c r="AB60" s="75"/>
      <c r="AC60" s="75"/>
      <c r="AD60" s="75"/>
      <c r="AE60" s="75"/>
      <c r="AF60" s="75"/>
      <c r="AG60" s="75"/>
    </row>
    <row r="61" spans="1:33" x14ac:dyDescent="0.3">
      <c r="A61" s="100"/>
      <c r="B61" s="100">
        <v>1.1000000000000001</v>
      </c>
      <c r="C61" s="100">
        <f t="shared" si="9"/>
        <v>2.6754545454545453</v>
      </c>
      <c r="D61" s="100">
        <f t="shared" si="8"/>
        <v>0.27272727272727271</v>
      </c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>
        <v>2.4</v>
      </c>
      <c r="Q61" s="100">
        <v>0.26250000000000001</v>
      </c>
      <c r="R61" s="100"/>
      <c r="S61" s="100"/>
      <c r="T61" s="100"/>
      <c r="U61" s="100"/>
      <c r="V61" s="75"/>
      <c r="W61" s="75"/>
      <c r="X61" s="75"/>
      <c r="Y61" s="75"/>
      <c r="Z61" s="75"/>
      <c r="AA61" s="75"/>
      <c r="AB61" s="75"/>
      <c r="AC61" s="75"/>
      <c r="AD61" s="75"/>
      <c r="AE61" s="75"/>
      <c r="AF61" s="75"/>
      <c r="AG61" s="75"/>
    </row>
    <row r="62" spans="1:33" x14ac:dyDescent="0.3">
      <c r="A62" s="100"/>
      <c r="B62" s="100">
        <v>1.2</v>
      </c>
      <c r="C62" s="100">
        <f t="shared" si="9"/>
        <v>2.4525000000000001</v>
      </c>
      <c r="D62" s="100">
        <f t="shared" si="8"/>
        <v>0.25</v>
      </c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>
        <v>2.5</v>
      </c>
      <c r="Q62" s="100">
        <v>0.252</v>
      </c>
      <c r="R62" s="100"/>
      <c r="S62" s="100"/>
      <c r="T62" s="100"/>
      <c r="U62" s="100"/>
      <c r="V62" s="75"/>
      <c r="W62" s="75"/>
      <c r="X62" s="75"/>
      <c r="Y62" s="75"/>
      <c r="Z62" s="75"/>
      <c r="AA62" s="75"/>
      <c r="AB62" s="75"/>
      <c r="AC62" s="75"/>
      <c r="AD62" s="75"/>
      <c r="AE62" s="75"/>
      <c r="AF62" s="75"/>
      <c r="AG62" s="75"/>
    </row>
    <row r="63" spans="1:33" x14ac:dyDescent="0.3">
      <c r="A63" s="100"/>
      <c r="B63" s="100">
        <v>1.3</v>
      </c>
      <c r="C63" s="100">
        <f t="shared" si="9"/>
        <v>2.2638461538461536</v>
      </c>
      <c r="D63" s="100">
        <f t="shared" si="8"/>
        <v>0.23076923076923073</v>
      </c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>
        <v>2.6</v>
      </c>
      <c r="Q63" s="100">
        <v>0.24230769230769228</v>
      </c>
      <c r="R63" s="100"/>
      <c r="S63" s="100"/>
      <c r="T63" s="100"/>
      <c r="U63" s="100"/>
      <c r="V63" s="100"/>
      <c r="W63" s="100"/>
      <c r="X63" s="100"/>
      <c r="Y63" s="100"/>
    </row>
    <row r="64" spans="1:33" x14ac:dyDescent="0.3">
      <c r="A64" s="100"/>
      <c r="B64" s="100">
        <v>1.4</v>
      </c>
      <c r="C64" s="100">
        <f t="shared" si="9"/>
        <v>2.1021428571428573</v>
      </c>
      <c r="D64" s="100">
        <f t="shared" si="8"/>
        <v>0.2142857142857143</v>
      </c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>
        <v>2.7</v>
      </c>
      <c r="Q64" s="100">
        <v>0.23333333333333334</v>
      </c>
      <c r="R64" s="100"/>
      <c r="S64" s="100"/>
      <c r="T64" s="100"/>
      <c r="U64" s="100"/>
      <c r="V64" s="100"/>
      <c r="W64" s="100"/>
      <c r="X64" s="100"/>
      <c r="Y64" s="100"/>
    </row>
    <row r="65" spans="1:25" x14ac:dyDescent="0.3">
      <c r="A65" s="100"/>
      <c r="B65" s="100">
        <v>1.5</v>
      </c>
      <c r="C65" s="100">
        <f t="shared" si="9"/>
        <v>1.962</v>
      </c>
      <c r="D65" s="100">
        <f t="shared" si="8"/>
        <v>0.19999999999999998</v>
      </c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>
        <v>2.8</v>
      </c>
      <c r="Q65" s="100">
        <v>0.22500000000000001</v>
      </c>
      <c r="R65" s="100"/>
      <c r="S65" s="100"/>
      <c r="T65" s="100"/>
      <c r="U65" s="100"/>
      <c r="V65" s="100"/>
      <c r="W65" s="100"/>
      <c r="X65" s="100"/>
      <c r="Y65" s="100"/>
    </row>
    <row r="66" spans="1:25" x14ac:dyDescent="0.3">
      <c r="A66" s="100"/>
      <c r="B66" s="100">
        <v>1.6</v>
      </c>
      <c r="C66" s="100">
        <f t="shared" si="9"/>
        <v>1.839375</v>
      </c>
      <c r="D66" s="100">
        <f t="shared" si="8"/>
        <v>0.1875</v>
      </c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>
        <v>2.9</v>
      </c>
      <c r="Q66" s="100">
        <v>0.21724137931034485</v>
      </c>
      <c r="R66" s="100"/>
      <c r="S66" s="100"/>
      <c r="T66" s="100"/>
      <c r="U66" s="100"/>
      <c r="V66" s="100"/>
      <c r="W66" s="100"/>
      <c r="X66" s="100"/>
      <c r="Y66" s="100"/>
    </row>
    <row r="67" spans="1:25" x14ac:dyDescent="0.3">
      <c r="A67" s="100"/>
      <c r="B67" s="100">
        <v>1.7</v>
      </c>
      <c r="C67" s="100">
        <f t="shared" si="9"/>
        <v>1.7311764705882353</v>
      </c>
      <c r="D67" s="100">
        <f t="shared" si="8"/>
        <v>0.1764705882352941</v>
      </c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>
        <v>3</v>
      </c>
      <c r="Q67" s="100">
        <v>0.21000000000000002</v>
      </c>
      <c r="R67" s="100"/>
      <c r="S67" s="100"/>
      <c r="T67" s="100"/>
      <c r="U67" s="100"/>
      <c r="V67" s="100"/>
      <c r="W67" s="100"/>
      <c r="X67" s="100"/>
      <c r="Y67" s="100"/>
    </row>
    <row r="68" spans="1:25" x14ac:dyDescent="0.3">
      <c r="A68" s="100"/>
      <c r="B68" s="100">
        <v>1.8</v>
      </c>
      <c r="C68" s="100">
        <f t="shared" si="9"/>
        <v>1.635</v>
      </c>
      <c r="D68" s="100">
        <f t="shared" si="8"/>
        <v>0.16666666666666666</v>
      </c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>
        <v>3.1</v>
      </c>
      <c r="Q68" s="100">
        <v>0.20322580645161292</v>
      </c>
      <c r="R68" s="100"/>
      <c r="S68" s="100"/>
      <c r="T68" s="100"/>
      <c r="U68" s="100"/>
      <c r="V68" s="100"/>
      <c r="W68" s="100"/>
      <c r="X68" s="100"/>
      <c r="Y68" s="100"/>
    </row>
    <row r="69" spans="1:25" x14ac:dyDescent="0.3">
      <c r="A69" s="100"/>
      <c r="B69" s="100">
        <v>1.9</v>
      </c>
      <c r="C69" s="100">
        <f t="shared" si="9"/>
        <v>1.5489473684210526</v>
      </c>
      <c r="D69" s="100">
        <f t="shared" si="8"/>
        <v>0.15789473684210525</v>
      </c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>
        <v>3.2</v>
      </c>
      <c r="Q69" s="100">
        <v>0.19687500000000002</v>
      </c>
      <c r="R69" s="100"/>
      <c r="S69" s="100"/>
      <c r="T69" s="100"/>
      <c r="U69" s="100"/>
      <c r="V69" s="100"/>
      <c r="W69" s="100"/>
      <c r="X69" s="100"/>
      <c r="Y69" s="100"/>
    </row>
    <row r="70" spans="1:25" x14ac:dyDescent="0.3">
      <c r="A70" s="100"/>
      <c r="B70" s="100">
        <v>2</v>
      </c>
      <c r="C70" s="100">
        <f t="shared" si="9"/>
        <v>1.4715</v>
      </c>
      <c r="D70" s="100">
        <f t="shared" si="8"/>
        <v>0.15</v>
      </c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>
        <v>3.3</v>
      </c>
      <c r="Q70" s="100">
        <v>0.19090909090909094</v>
      </c>
      <c r="R70" s="100"/>
      <c r="S70" s="100"/>
      <c r="T70" s="100"/>
      <c r="U70" s="100"/>
      <c r="V70" s="100"/>
      <c r="W70" s="100"/>
      <c r="X70" s="100"/>
      <c r="Y70" s="100"/>
    </row>
    <row r="71" spans="1:25" x14ac:dyDescent="0.3">
      <c r="A71" s="100"/>
      <c r="B71" s="100">
        <v>2.1</v>
      </c>
      <c r="C71" s="100">
        <f t="shared" si="9"/>
        <v>1.4014285714285715</v>
      </c>
      <c r="D71" s="100">
        <f t="shared" si="8"/>
        <v>0.14285714285714285</v>
      </c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>
        <v>3.4</v>
      </c>
      <c r="Q71" s="100">
        <v>0.18529411764705883</v>
      </c>
      <c r="R71" s="100"/>
      <c r="S71" s="100"/>
      <c r="T71" s="100"/>
      <c r="U71" s="100"/>
      <c r="V71" s="100"/>
      <c r="W71" s="100"/>
      <c r="X71" s="100"/>
      <c r="Y71" s="100"/>
    </row>
    <row r="72" spans="1:25" x14ac:dyDescent="0.3">
      <c r="A72" s="100"/>
      <c r="B72" s="100">
        <v>2.2000000000000002</v>
      </c>
      <c r="C72" s="100">
        <f t="shared" si="9"/>
        <v>1.3377272727272727</v>
      </c>
      <c r="D72" s="100">
        <f t="shared" si="8"/>
        <v>0.13636363636363635</v>
      </c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>
        <v>3.5</v>
      </c>
      <c r="Q72" s="100">
        <v>0.18000000000000002</v>
      </c>
      <c r="R72" s="100"/>
      <c r="S72" s="100"/>
      <c r="T72" s="100"/>
      <c r="U72" s="100"/>
      <c r="V72" s="100"/>
      <c r="W72" s="100"/>
      <c r="X72" s="100"/>
      <c r="Y72" s="100"/>
    </row>
    <row r="73" spans="1:25" x14ac:dyDescent="0.3">
      <c r="A73" s="100"/>
      <c r="B73" s="100">
        <v>2.2999999999999998</v>
      </c>
      <c r="C73" s="100">
        <f t="shared" si="9"/>
        <v>1.2795652173913046</v>
      </c>
      <c r="D73" s="100">
        <f t="shared" si="8"/>
        <v>0.13043478260869568</v>
      </c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>
        <v>3.6</v>
      </c>
      <c r="Q73" s="100">
        <v>0.17500000000000002</v>
      </c>
      <c r="R73" s="100"/>
      <c r="S73" s="100"/>
      <c r="T73" s="100"/>
      <c r="U73" s="100"/>
      <c r="V73" s="100"/>
      <c r="W73" s="100"/>
      <c r="X73" s="100"/>
      <c r="Y73" s="100"/>
    </row>
    <row r="74" spans="1:25" x14ac:dyDescent="0.3">
      <c r="A74" s="100"/>
      <c r="B74" s="100">
        <v>2.4</v>
      </c>
      <c r="C74" s="100">
        <f t="shared" si="9"/>
        <v>1.2262500000000001</v>
      </c>
      <c r="D74" s="100">
        <f t="shared" si="8"/>
        <v>0.125</v>
      </c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>
        <v>3.7</v>
      </c>
      <c r="Q74" s="100">
        <v>0.17027027027027028</v>
      </c>
      <c r="R74" s="100"/>
      <c r="S74" s="100"/>
      <c r="T74" s="100"/>
      <c r="U74" s="100"/>
      <c r="V74" s="100"/>
      <c r="W74" s="100"/>
      <c r="X74" s="100"/>
      <c r="Y74" s="100"/>
    </row>
    <row r="75" spans="1:25" x14ac:dyDescent="0.3">
      <c r="A75" s="100"/>
      <c r="B75" s="100">
        <v>2.5</v>
      </c>
      <c r="C75" s="100">
        <f t="shared" si="9"/>
        <v>1.1772</v>
      </c>
      <c r="D75" s="100">
        <f t="shared" si="8"/>
        <v>0.12</v>
      </c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>
        <v>3.8</v>
      </c>
      <c r="Q75" s="100">
        <v>0.16578947368421057</v>
      </c>
      <c r="R75" s="100"/>
      <c r="S75" s="100"/>
      <c r="T75" s="100"/>
      <c r="U75" s="100"/>
      <c r="V75" s="100"/>
      <c r="W75" s="100"/>
      <c r="X75" s="100"/>
      <c r="Y75" s="100"/>
    </row>
    <row r="76" spans="1:25" x14ac:dyDescent="0.3">
      <c r="A76" s="100"/>
      <c r="B76" s="100">
        <v>2.6</v>
      </c>
      <c r="C76" s="100">
        <f t="shared" si="9"/>
        <v>1.1319230769230768</v>
      </c>
      <c r="D76" s="100">
        <f t="shared" si="8"/>
        <v>0.11538461538461536</v>
      </c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>
        <v>3.9</v>
      </c>
      <c r="Q76" s="100">
        <v>0.16153846153846158</v>
      </c>
      <c r="R76" s="100"/>
      <c r="S76" s="100"/>
      <c r="T76" s="100"/>
      <c r="U76" s="100"/>
      <c r="V76" s="100"/>
      <c r="W76" s="100"/>
      <c r="X76" s="100"/>
      <c r="Y76" s="100"/>
    </row>
    <row r="77" spans="1:25" x14ac:dyDescent="0.3">
      <c r="A77" s="100"/>
      <c r="B77" s="100">
        <v>2.7</v>
      </c>
      <c r="C77" s="100">
        <f t="shared" si="9"/>
        <v>1.0899999999999999</v>
      </c>
      <c r="D77" s="100">
        <f t="shared" si="8"/>
        <v>0.11111111111111109</v>
      </c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>
        <v>4</v>
      </c>
      <c r="Q77" s="100">
        <v>0.1575</v>
      </c>
      <c r="R77" s="100"/>
      <c r="S77" s="100"/>
      <c r="T77" s="100"/>
      <c r="U77" s="100"/>
      <c r="V77" s="100"/>
      <c r="W77" s="100"/>
      <c r="X77" s="100"/>
      <c r="Y77" s="100"/>
    </row>
    <row r="78" spans="1:25" x14ac:dyDescent="0.3">
      <c r="A78" s="100"/>
      <c r="B78" s="100">
        <v>2.8</v>
      </c>
      <c r="C78" s="100">
        <f t="shared" si="9"/>
        <v>1.0510714285714287</v>
      </c>
      <c r="D78" s="100">
        <f t="shared" si="8"/>
        <v>0.10714285714285715</v>
      </c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>
        <v>4.0999999999999996</v>
      </c>
      <c r="Q78" s="100">
        <v>0.15365853658536588</v>
      </c>
      <c r="R78" s="100"/>
      <c r="S78" s="100"/>
      <c r="T78" s="100"/>
      <c r="U78" s="100"/>
      <c r="V78" s="100"/>
      <c r="W78" s="100"/>
      <c r="X78" s="100"/>
      <c r="Y78" s="100"/>
    </row>
    <row r="79" spans="1:25" x14ac:dyDescent="0.3">
      <c r="A79" s="100"/>
      <c r="B79" s="100">
        <v>2.9</v>
      </c>
      <c r="C79" s="100">
        <f t="shared" si="9"/>
        <v>1.0148275862068967</v>
      </c>
      <c r="D79" s="100">
        <f t="shared" si="8"/>
        <v>0.10344827586206898</v>
      </c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>
        <v>4.2</v>
      </c>
      <c r="Q79" s="100">
        <v>0.15000000000000002</v>
      </c>
      <c r="R79" s="100"/>
      <c r="S79" s="100"/>
      <c r="T79" s="100"/>
      <c r="U79" s="100"/>
      <c r="V79" s="100"/>
      <c r="W79" s="100"/>
      <c r="X79" s="100"/>
      <c r="Y79" s="100"/>
    </row>
    <row r="80" spans="1:25" x14ac:dyDescent="0.3">
      <c r="A80" s="100"/>
      <c r="B80" s="100">
        <v>3</v>
      </c>
      <c r="C80" s="100">
        <f t="shared" si="9"/>
        <v>0.98099999999999998</v>
      </c>
      <c r="D80" s="100">
        <f t="shared" si="8"/>
        <v>9.9999999999999992E-2</v>
      </c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>
        <v>4.3</v>
      </c>
      <c r="Q80" s="100">
        <v>0.14651162790697678</v>
      </c>
      <c r="R80" s="100"/>
      <c r="S80" s="100"/>
      <c r="T80" s="100"/>
      <c r="U80" s="100"/>
      <c r="V80" s="100"/>
      <c r="W80" s="100"/>
      <c r="X80" s="100"/>
      <c r="Y80" s="100"/>
    </row>
    <row r="81" spans="1:25" x14ac:dyDescent="0.3">
      <c r="A81" s="100"/>
      <c r="B81" s="100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>
        <v>4.4000000000000004</v>
      </c>
      <c r="Q81" s="100">
        <v>0.14318181818181819</v>
      </c>
      <c r="R81" s="100"/>
      <c r="S81" s="100"/>
      <c r="T81" s="100"/>
      <c r="U81" s="100"/>
      <c r="V81" s="100"/>
      <c r="W81" s="100"/>
      <c r="X81" s="100"/>
      <c r="Y81" s="100"/>
    </row>
    <row r="82" spans="1:25" x14ac:dyDescent="0.3">
      <c r="A82" s="100"/>
      <c r="B82" s="100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>
        <v>4.5</v>
      </c>
      <c r="Q82" s="100">
        <v>0.14000000000000001</v>
      </c>
      <c r="R82" s="100"/>
      <c r="S82" s="100"/>
      <c r="T82" s="100"/>
      <c r="U82" s="100"/>
      <c r="V82" s="100"/>
      <c r="W82" s="100"/>
      <c r="X82" s="100"/>
      <c r="Y82" s="100"/>
    </row>
    <row r="83" spans="1:25" x14ac:dyDescent="0.3">
      <c r="A83" s="100"/>
      <c r="B83" s="100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>
        <v>4.5999999999999996</v>
      </c>
      <c r="Q83" s="100">
        <v>0.13695652173913048</v>
      </c>
      <c r="R83" s="100"/>
      <c r="S83" s="100"/>
      <c r="T83" s="100"/>
      <c r="U83" s="100"/>
      <c r="V83" s="100"/>
      <c r="W83" s="100"/>
      <c r="X83" s="100"/>
      <c r="Y83" s="100"/>
    </row>
    <row r="84" spans="1:25" x14ac:dyDescent="0.3">
      <c r="A84" s="100"/>
      <c r="B84" s="100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>
        <v>4.7</v>
      </c>
      <c r="Q84" s="100">
        <v>0.13404255319148936</v>
      </c>
      <c r="R84" s="100"/>
      <c r="S84" s="100"/>
      <c r="T84" s="100"/>
      <c r="U84" s="100"/>
      <c r="V84" s="100"/>
      <c r="W84" s="100"/>
      <c r="X84" s="100"/>
      <c r="Y84" s="100"/>
    </row>
    <row r="85" spans="1:25" x14ac:dyDescent="0.3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>
        <v>4.8</v>
      </c>
      <c r="Q85" s="100">
        <v>0.13125000000000001</v>
      </c>
      <c r="R85" s="100"/>
      <c r="S85" s="100"/>
      <c r="T85" s="100"/>
      <c r="U85" s="100"/>
      <c r="V85" s="100"/>
      <c r="W85" s="100"/>
      <c r="X85" s="100"/>
      <c r="Y85" s="100"/>
    </row>
    <row r="86" spans="1:25" x14ac:dyDescent="0.3">
      <c r="A86" s="100"/>
      <c r="B86" s="100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>
        <v>4.9000000000000004</v>
      </c>
      <c r="Q86" s="100">
        <v>0.12857142857142856</v>
      </c>
      <c r="R86" s="100"/>
      <c r="S86" s="100"/>
      <c r="T86" s="100"/>
      <c r="U86" s="100"/>
      <c r="V86" s="100"/>
      <c r="W86" s="100"/>
      <c r="X86" s="100"/>
      <c r="Y86" s="100"/>
    </row>
    <row r="87" spans="1:25" x14ac:dyDescent="0.3">
      <c r="A87" s="100"/>
      <c r="B87" s="100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>
        <v>5</v>
      </c>
      <c r="Q87" s="100">
        <v>0.126</v>
      </c>
      <c r="R87" s="100"/>
      <c r="S87" s="100"/>
      <c r="T87" s="100"/>
      <c r="U87" s="100"/>
      <c r="V87" s="100"/>
      <c r="W87" s="100"/>
      <c r="X87" s="100"/>
      <c r="Y87" s="100"/>
    </row>
    <row r="88" spans="1:25" x14ac:dyDescent="0.3">
      <c r="A88" s="100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>
        <v>5.0999999999999996</v>
      </c>
      <c r="Q88" s="100">
        <v>0.1235294117647059</v>
      </c>
      <c r="R88" s="100"/>
      <c r="S88" s="100"/>
      <c r="T88" s="100"/>
      <c r="U88" s="100"/>
      <c r="V88" s="100"/>
      <c r="W88" s="100"/>
      <c r="X88" s="100"/>
      <c r="Y88" s="100"/>
    </row>
    <row r="89" spans="1:25" x14ac:dyDescent="0.3">
      <c r="P89">
        <v>5.2</v>
      </c>
      <c r="Q89">
        <v>0.12115384615384614</v>
      </c>
    </row>
    <row r="90" spans="1:25" x14ac:dyDescent="0.3">
      <c r="P90">
        <v>5.3</v>
      </c>
      <c r="Q90">
        <v>0.1188679245283019</v>
      </c>
    </row>
    <row r="91" spans="1:25" x14ac:dyDescent="0.3">
      <c r="P91">
        <v>5.4</v>
      </c>
      <c r="Q91">
        <v>0.11666666666666667</v>
      </c>
    </row>
    <row r="92" spans="1:25" x14ac:dyDescent="0.3">
      <c r="P92">
        <v>5.5</v>
      </c>
      <c r="Q92">
        <v>0.11454545454545456</v>
      </c>
    </row>
    <row r="93" spans="1:25" x14ac:dyDescent="0.3">
      <c r="P93">
        <v>5.6</v>
      </c>
      <c r="Q93">
        <v>0.1125</v>
      </c>
    </row>
    <row r="94" spans="1:25" x14ac:dyDescent="0.3">
      <c r="P94">
        <v>5.7</v>
      </c>
      <c r="Q94">
        <v>0.11052631578947369</v>
      </c>
    </row>
    <row r="95" spans="1:25" x14ac:dyDescent="0.3">
      <c r="P95">
        <v>5.8</v>
      </c>
      <c r="Q95">
        <v>0.10862068965517242</v>
      </c>
    </row>
    <row r="96" spans="1:25" x14ac:dyDescent="0.3">
      <c r="P96">
        <v>5.9</v>
      </c>
      <c r="Q96">
        <v>0.10677966101694916</v>
      </c>
    </row>
    <row r="97" spans="16:17" x14ac:dyDescent="0.3">
      <c r="P97">
        <v>6</v>
      </c>
      <c r="Q97">
        <v>0.10500000000000001</v>
      </c>
    </row>
    <row r="98" spans="16:17" x14ac:dyDescent="0.3">
      <c r="P98">
        <v>6.1</v>
      </c>
      <c r="Q98">
        <v>0.10327868852459018</v>
      </c>
    </row>
    <row r="99" spans="16:17" x14ac:dyDescent="0.3">
      <c r="P99">
        <v>6.2</v>
      </c>
      <c r="Q99">
        <v>0.10161290322580646</v>
      </c>
    </row>
    <row r="100" spans="16:17" x14ac:dyDescent="0.3">
      <c r="P100">
        <v>6.3</v>
      </c>
      <c r="Q100">
        <v>0.1</v>
      </c>
    </row>
    <row r="101" spans="16:17" x14ac:dyDescent="0.3">
      <c r="P101">
        <v>6.4</v>
      </c>
      <c r="Q101">
        <v>9.8437500000000011E-2</v>
      </c>
    </row>
    <row r="102" spans="16:17" x14ac:dyDescent="0.3">
      <c r="P102">
        <v>6.5</v>
      </c>
      <c r="Q102">
        <v>9.6923076923076931E-2</v>
      </c>
    </row>
    <row r="103" spans="16:17" x14ac:dyDescent="0.3">
      <c r="P103">
        <v>6.6</v>
      </c>
      <c r="Q103">
        <v>9.5454545454545472E-2</v>
      </c>
    </row>
    <row r="104" spans="16:17" x14ac:dyDescent="0.3">
      <c r="P104">
        <v>6.7</v>
      </c>
      <c r="Q104">
        <v>9.4029850746268656E-2</v>
      </c>
    </row>
    <row r="105" spans="16:17" x14ac:dyDescent="0.3">
      <c r="P105">
        <v>6.8</v>
      </c>
      <c r="Q105">
        <v>9.2647058823529416E-2</v>
      </c>
    </row>
    <row r="106" spans="16:17" x14ac:dyDescent="0.3">
      <c r="P106">
        <v>6.9</v>
      </c>
      <c r="Q106">
        <v>9.1304347826086971E-2</v>
      </c>
    </row>
    <row r="107" spans="16:17" x14ac:dyDescent="0.3">
      <c r="P107">
        <v>7</v>
      </c>
      <c r="Q107">
        <v>9.0000000000000011E-2</v>
      </c>
    </row>
    <row r="108" spans="16:17" x14ac:dyDescent="0.3">
      <c r="P108">
        <v>7.1</v>
      </c>
      <c r="Q108">
        <v>8.873239436619719E-2</v>
      </c>
    </row>
    <row r="109" spans="16:17" x14ac:dyDescent="0.3">
      <c r="P109">
        <v>7.2</v>
      </c>
      <c r="Q109">
        <v>8.7500000000000008E-2</v>
      </c>
    </row>
    <row r="110" spans="16:17" x14ac:dyDescent="0.3">
      <c r="P110">
        <v>7.3000000000000096</v>
      </c>
      <c r="Q110">
        <v>8.6301369863013594E-2</v>
      </c>
    </row>
    <row r="111" spans="16:17" x14ac:dyDescent="0.3">
      <c r="P111">
        <v>7.4000000000000101</v>
      </c>
      <c r="Q111">
        <v>8.5135135135135015E-2</v>
      </c>
    </row>
    <row r="112" spans="16:17" x14ac:dyDescent="0.3">
      <c r="P112">
        <v>7.5000000000000098</v>
      </c>
      <c r="Q112">
        <v>8.3999999999999894E-2</v>
      </c>
    </row>
    <row r="113" spans="16:17" x14ac:dyDescent="0.3">
      <c r="P113">
        <v>7.6000000000000103</v>
      </c>
      <c r="Q113">
        <v>8.289473684210516E-2</v>
      </c>
    </row>
    <row r="114" spans="16:17" x14ac:dyDescent="0.3">
      <c r="P114">
        <v>7.7000000000000099</v>
      </c>
      <c r="Q114">
        <v>8.1818181818181707E-2</v>
      </c>
    </row>
    <row r="115" spans="16:17" x14ac:dyDescent="0.3">
      <c r="P115">
        <v>7.8000000000000096</v>
      </c>
      <c r="Q115">
        <v>8.0769230769230677E-2</v>
      </c>
    </row>
    <row r="116" spans="16:17" x14ac:dyDescent="0.3">
      <c r="P116">
        <v>7.9000000000000101</v>
      </c>
      <c r="Q116">
        <v>7.9746835443037872E-2</v>
      </c>
    </row>
    <row r="117" spans="16:17" x14ac:dyDescent="0.3">
      <c r="P117">
        <v>8.0000000000000107</v>
      </c>
      <c r="Q117">
        <v>7.874999999999989E-2</v>
      </c>
    </row>
    <row r="118" spans="16:17" x14ac:dyDescent="0.3">
      <c r="P118">
        <v>8.1000000000000103</v>
      </c>
      <c r="Q118">
        <v>7.7777777777777668E-2</v>
      </c>
    </row>
    <row r="119" spans="16:17" x14ac:dyDescent="0.3">
      <c r="P119">
        <v>8.2000000000000099</v>
      </c>
      <c r="Q119">
        <v>7.6829268292682856E-2</v>
      </c>
    </row>
    <row r="120" spans="16:17" x14ac:dyDescent="0.3">
      <c r="P120">
        <v>8.3000000000000096</v>
      </c>
      <c r="Q120">
        <v>7.5903614457831253E-2</v>
      </c>
    </row>
    <row r="121" spans="16:17" x14ac:dyDescent="0.3">
      <c r="P121">
        <v>8.4000000000000092</v>
      </c>
      <c r="Q121">
        <v>7.4999999999999928E-2</v>
      </c>
    </row>
    <row r="122" spans="16:17" x14ac:dyDescent="0.3">
      <c r="P122">
        <v>8.5000000000000107</v>
      </c>
      <c r="Q122">
        <v>7.4117647058823441E-2</v>
      </c>
    </row>
    <row r="123" spans="16:17" x14ac:dyDescent="0.3">
      <c r="P123">
        <v>8.6000000000000103</v>
      </c>
      <c r="Q123">
        <v>7.3255813953488291E-2</v>
      </c>
    </row>
    <row r="124" spans="16:17" x14ac:dyDescent="0.3">
      <c r="P124">
        <v>8.7000000000000099</v>
      </c>
      <c r="Q124">
        <v>7.2413793103448199E-2</v>
      </c>
    </row>
    <row r="125" spans="16:17" x14ac:dyDescent="0.3">
      <c r="P125">
        <v>8.8000000000000096</v>
      </c>
      <c r="Q125">
        <v>7.1590909090909025E-2</v>
      </c>
    </row>
    <row r="126" spans="16:17" x14ac:dyDescent="0.3">
      <c r="P126">
        <v>8.9000000000000092</v>
      </c>
      <c r="Q126">
        <v>7.0786516853932516E-2</v>
      </c>
    </row>
    <row r="127" spans="16:17" x14ac:dyDescent="0.3">
      <c r="P127">
        <v>9.0000000000000107</v>
      </c>
      <c r="Q127">
        <v>6.999999999999991E-2</v>
      </c>
    </row>
    <row r="128" spans="16:17" x14ac:dyDescent="0.3">
      <c r="P128">
        <v>9.1000000000000103</v>
      </c>
      <c r="Q128">
        <v>6.9230769230769165E-2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O33"/>
  <sheetViews>
    <sheetView zoomScaleNormal="100" workbookViewId="0">
      <selection activeCell="B20" sqref="B20:M33"/>
    </sheetView>
  </sheetViews>
  <sheetFormatPr baseColWidth="10" defaultRowHeight="14.4" x14ac:dyDescent="0.3"/>
  <cols>
    <col min="6" max="6" width="14" style="35" bestFit="1" customWidth="1"/>
    <col min="7" max="7" width="11.5546875" style="12"/>
  </cols>
  <sheetData>
    <row r="1" spans="2:15" x14ac:dyDescent="0.3">
      <c r="C1" s="6" t="s">
        <v>27</v>
      </c>
    </row>
    <row r="2" spans="2:15" x14ac:dyDescent="0.3">
      <c r="B2" s="167" t="s">
        <v>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75"/>
      <c r="O2" s="75"/>
    </row>
    <row r="3" spans="2:15" x14ac:dyDescent="0.3">
      <c r="B3" s="169" t="s">
        <v>9</v>
      </c>
      <c r="C3" s="169" t="s">
        <v>10</v>
      </c>
      <c r="D3" s="169" t="s">
        <v>11</v>
      </c>
      <c r="E3" s="169" t="s">
        <v>12</v>
      </c>
      <c r="F3" s="169" t="s">
        <v>13</v>
      </c>
      <c r="G3" s="169" t="s">
        <v>14</v>
      </c>
      <c r="H3" s="169" t="s">
        <v>15</v>
      </c>
      <c r="I3" s="169" t="s">
        <v>16</v>
      </c>
      <c r="J3" s="169" t="s">
        <v>17</v>
      </c>
      <c r="K3" s="169" t="s">
        <v>18</v>
      </c>
      <c r="L3" s="169" t="s">
        <v>19</v>
      </c>
      <c r="M3" s="170" t="s">
        <v>20</v>
      </c>
      <c r="N3" s="75"/>
      <c r="O3" s="75"/>
    </row>
    <row r="4" spans="2:15" x14ac:dyDescent="0.3">
      <c r="B4" s="173"/>
      <c r="C4" s="173"/>
      <c r="D4" s="173" t="s">
        <v>21</v>
      </c>
      <c r="E4" s="173" t="s">
        <v>21</v>
      </c>
      <c r="F4" s="173" t="s">
        <v>7</v>
      </c>
      <c r="G4" s="173" t="s">
        <v>7</v>
      </c>
      <c r="H4" s="173" t="s">
        <v>21</v>
      </c>
      <c r="I4" s="173" t="s">
        <v>21</v>
      </c>
      <c r="J4" s="173" t="s">
        <v>7</v>
      </c>
      <c r="K4" s="173" t="s">
        <v>7</v>
      </c>
      <c r="L4" s="173" t="s">
        <v>7</v>
      </c>
      <c r="M4" s="174" t="s">
        <v>7</v>
      </c>
      <c r="N4" s="75"/>
      <c r="O4" s="75"/>
    </row>
    <row r="5" spans="2:15" x14ac:dyDescent="0.3">
      <c r="B5" s="172" t="str">
        <f>+B33</f>
        <v>Story11</v>
      </c>
      <c r="C5" s="172" t="str">
        <f t="shared" ref="C5:M5" si="0">+C33</f>
        <v>D11</v>
      </c>
      <c r="D5" s="172">
        <f t="shared" si="0"/>
        <v>782.285475187766</v>
      </c>
      <c r="E5" s="172">
        <f t="shared" si="0"/>
        <v>782.285475187766</v>
      </c>
      <c r="F5" s="172">
        <f t="shared" si="0"/>
        <v>18.500000003277801</v>
      </c>
      <c r="G5" s="172">
        <f t="shared" si="0"/>
        <v>6</v>
      </c>
      <c r="H5" s="172">
        <f t="shared" si="0"/>
        <v>782.285475187766</v>
      </c>
      <c r="I5" s="172">
        <f t="shared" si="0"/>
        <v>782.285475187766</v>
      </c>
      <c r="J5" s="172">
        <f t="shared" si="0"/>
        <v>18.500000003277801</v>
      </c>
      <c r="K5" s="172">
        <f t="shared" si="0"/>
        <v>6</v>
      </c>
      <c r="L5" s="172">
        <f t="shared" si="0"/>
        <v>15.6606215302346</v>
      </c>
      <c r="M5" s="172">
        <f t="shared" si="0"/>
        <v>6.4026322894856298</v>
      </c>
      <c r="N5" s="76"/>
      <c r="O5" s="75"/>
    </row>
    <row r="6" spans="2:15" x14ac:dyDescent="0.3">
      <c r="B6" s="172" t="str">
        <f>+B32</f>
        <v>Story10</v>
      </c>
      <c r="C6" s="172" t="str">
        <f t="shared" ref="C6:M6" si="1">+C32</f>
        <v>D10</v>
      </c>
      <c r="D6" s="172">
        <f t="shared" si="1"/>
        <v>7852.8803714260703</v>
      </c>
      <c r="E6" s="172">
        <f t="shared" si="1"/>
        <v>7852.8803714260703</v>
      </c>
      <c r="F6" s="172">
        <f t="shared" si="1"/>
        <v>9.8436943394218801</v>
      </c>
      <c r="G6" s="172">
        <f t="shared" si="1"/>
        <v>7.2723903945588697</v>
      </c>
      <c r="H6" s="172">
        <f t="shared" si="1"/>
        <v>7852.8803714260703</v>
      </c>
      <c r="I6" s="172">
        <f t="shared" si="1"/>
        <v>7852.8803714260703</v>
      </c>
      <c r="J6" s="172">
        <f t="shared" si="1"/>
        <v>9.8436943394218801</v>
      </c>
      <c r="K6" s="172">
        <f t="shared" si="1"/>
        <v>7.2723903945588697</v>
      </c>
      <c r="L6" s="172">
        <f t="shared" si="1"/>
        <v>10.2125165056163</v>
      </c>
      <c r="M6" s="172">
        <f t="shared" si="1"/>
        <v>7.3391771302891504</v>
      </c>
      <c r="N6" s="77"/>
      <c r="O6" s="75"/>
    </row>
    <row r="7" spans="2:15" x14ac:dyDescent="0.3">
      <c r="B7" s="172" t="str">
        <f>+B31</f>
        <v>Story9</v>
      </c>
      <c r="C7" s="172" t="str">
        <f t="shared" ref="C7:M7" si="2">+C31</f>
        <v>D9</v>
      </c>
      <c r="D7" s="172">
        <f t="shared" si="2"/>
        <v>9770.1866873913295</v>
      </c>
      <c r="E7" s="172">
        <f t="shared" si="2"/>
        <v>9770.1866873913295</v>
      </c>
      <c r="F7" s="172">
        <f t="shared" si="2"/>
        <v>9.6488845669268901</v>
      </c>
      <c r="G7" s="172">
        <f t="shared" si="2"/>
        <v>7.3260267017577698</v>
      </c>
      <c r="H7" s="172">
        <f t="shared" si="2"/>
        <v>9770.1866873913295</v>
      </c>
      <c r="I7" s="172">
        <f t="shared" si="2"/>
        <v>9770.1866873913295</v>
      </c>
      <c r="J7" s="172">
        <f t="shared" si="2"/>
        <v>9.6488845669268901</v>
      </c>
      <c r="K7" s="172">
        <f t="shared" si="2"/>
        <v>7.3260267017577698</v>
      </c>
      <c r="L7" s="172">
        <f t="shared" si="2"/>
        <v>10.2325379309897</v>
      </c>
      <c r="M7" s="172">
        <f t="shared" si="2"/>
        <v>7.3329729183654697</v>
      </c>
      <c r="N7" s="75"/>
      <c r="O7" s="75"/>
    </row>
    <row r="8" spans="2:15" x14ac:dyDescent="0.3">
      <c r="B8" s="172" t="str">
        <f>+B30</f>
        <v>Story8</v>
      </c>
      <c r="C8" s="172" t="str">
        <f t="shared" ref="C8:M8" si="3">+C30</f>
        <v>D8</v>
      </c>
      <c r="D8" s="172">
        <f t="shared" si="3"/>
        <v>9770.1866873913295</v>
      </c>
      <c r="E8" s="172">
        <f t="shared" si="3"/>
        <v>9770.1866873913295</v>
      </c>
      <c r="F8" s="172">
        <f t="shared" si="3"/>
        <v>9.6488845669268901</v>
      </c>
      <c r="G8" s="172">
        <f t="shared" si="3"/>
        <v>7.3260267017577698</v>
      </c>
      <c r="H8" s="172">
        <f t="shared" si="3"/>
        <v>9770.1866873913295</v>
      </c>
      <c r="I8" s="172">
        <f t="shared" si="3"/>
        <v>9770.1866873913295</v>
      </c>
      <c r="J8" s="172">
        <f t="shared" si="3"/>
        <v>9.6488845669268901</v>
      </c>
      <c r="K8" s="172">
        <f t="shared" si="3"/>
        <v>7.3260267017577698</v>
      </c>
      <c r="L8" s="172">
        <f t="shared" si="3"/>
        <v>10.257224177582801</v>
      </c>
      <c r="M8" s="172">
        <f t="shared" si="3"/>
        <v>7.3244070348674004</v>
      </c>
      <c r="N8" s="75"/>
      <c r="O8" s="75"/>
    </row>
    <row r="9" spans="2:15" x14ac:dyDescent="0.3">
      <c r="B9" s="172" t="str">
        <f>+B29</f>
        <v>Story7</v>
      </c>
      <c r="C9" s="172" t="str">
        <f t="shared" ref="C9:M9" si="4">+C29</f>
        <v>D7</v>
      </c>
      <c r="D9" s="172">
        <f t="shared" si="4"/>
        <v>9770.1866873913295</v>
      </c>
      <c r="E9" s="172">
        <f t="shared" si="4"/>
        <v>9770.1866873913295</v>
      </c>
      <c r="F9" s="172">
        <f t="shared" si="4"/>
        <v>9.6488845669268901</v>
      </c>
      <c r="G9" s="172">
        <f t="shared" si="4"/>
        <v>7.3260267017577698</v>
      </c>
      <c r="H9" s="172">
        <f t="shared" si="4"/>
        <v>9770.1866873913295</v>
      </c>
      <c r="I9" s="172">
        <f t="shared" si="4"/>
        <v>9770.1866873913295</v>
      </c>
      <c r="J9" s="172">
        <f t="shared" si="4"/>
        <v>9.6488845669268901</v>
      </c>
      <c r="K9" s="172">
        <f t="shared" si="4"/>
        <v>7.3260267017577698</v>
      </c>
      <c r="L9" s="172">
        <f t="shared" si="4"/>
        <v>10.280580622047999</v>
      </c>
      <c r="M9" s="172">
        <f t="shared" si="4"/>
        <v>7.3152147651216097</v>
      </c>
      <c r="N9" s="75"/>
      <c r="O9" s="75"/>
    </row>
    <row r="10" spans="2:15" x14ac:dyDescent="0.3">
      <c r="B10" s="172" t="str">
        <f>+B28</f>
        <v>Story6</v>
      </c>
      <c r="C10" s="172" t="str">
        <f t="shared" ref="C10:M10" si="5">+C28</f>
        <v>D6</v>
      </c>
      <c r="D10" s="172">
        <f t="shared" si="5"/>
        <v>9770.1866873913295</v>
      </c>
      <c r="E10" s="172">
        <f t="shared" si="5"/>
        <v>9770.1866873913295</v>
      </c>
      <c r="F10" s="172">
        <f t="shared" si="5"/>
        <v>9.6488845669268901</v>
      </c>
      <c r="G10" s="172">
        <f t="shared" si="5"/>
        <v>7.3260267017577698</v>
      </c>
      <c r="H10" s="172">
        <f t="shared" si="5"/>
        <v>9770.1866873913295</v>
      </c>
      <c r="I10" s="172">
        <f t="shared" si="5"/>
        <v>9770.1866873913295</v>
      </c>
      <c r="J10" s="172">
        <f t="shared" si="5"/>
        <v>9.6488845669268901</v>
      </c>
      <c r="K10" s="172">
        <f t="shared" si="5"/>
        <v>7.3260267017577698</v>
      </c>
      <c r="L10" s="172">
        <f t="shared" si="5"/>
        <v>10.303187331392399</v>
      </c>
      <c r="M10" s="172">
        <f t="shared" si="5"/>
        <v>7.3048664234136398</v>
      </c>
      <c r="N10" s="75"/>
      <c r="O10" s="75"/>
    </row>
    <row r="11" spans="2:15" x14ac:dyDescent="0.3">
      <c r="B11" s="172" t="str">
        <f>+B27</f>
        <v>Story5</v>
      </c>
      <c r="C11" s="172" t="str">
        <f t="shared" ref="C11:M11" si="6">+C27</f>
        <v>D5</v>
      </c>
      <c r="D11" s="172">
        <f t="shared" si="6"/>
        <v>9770.1866873913295</v>
      </c>
      <c r="E11" s="172">
        <f t="shared" si="6"/>
        <v>9770.1866873913295</v>
      </c>
      <c r="F11" s="172">
        <f t="shared" si="6"/>
        <v>9.6488845669268901</v>
      </c>
      <c r="G11" s="172">
        <f t="shared" si="6"/>
        <v>7.3260267017577698</v>
      </c>
      <c r="H11" s="172">
        <f t="shared" si="6"/>
        <v>9770.1866873913295</v>
      </c>
      <c r="I11" s="172">
        <f t="shared" si="6"/>
        <v>9770.1866873913295</v>
      </c>
      <c r="J11" s="172">
        <f t="shared" si="6"/>
        <v>9.6488845669268901</v>
      </c>
      <c r="K11" s="172">
        <f t="shared" si="6"/>
        <v>7.3260267017577698</v>
      </c>
      <c r="L11" s="172">
        <f t="shared" si="6"/>
        <v>10.3248855272212</v>
      </c>
      <c r="M11" s="172">
        <f t="shared" si="6"/>
        <v>7.2931696719462797</v>
      </c>
      <c r="N11" s="75"/>
      <c r="O11" s="75"/>
    </row>
    <row r="12" spans="2:15" x14ac:dyDescent="0.3">
      <c r="B12" s="172" t="str">
        <f>+B26</f>
        <v>Story4</v>
      </c>
      <c r="C12" s="172" t="str">
        <f t="shared" ref="C12:M12" si="7">+C26</f>
        <v>D4</v>
      </c>
      <c r="D12" s="172">
        <f t="shared" si="7"/>
        <v>9903.8102972201505</v>
      </c>
      <c r="E12" s="172">
        <f t="shared" si="7"/>
        <v>9903.8102972201505</v>
      </c>
      <c r="F12" s="172">
        <f t="shared" si="7"/>
        <v>9.7683551082376798</v>
      </c>
      <c r="G12" s="172">
        <f t="shared" si="7"/>
        <v>7.3081357618769802</v>
      </c>
      <c r="H12" s="172">
        <f t="shared" si="7"/>
        <v>9903.8102972201505</v>
      </c>
      <c r="I12" s="172">
        <f t="shared" si="7"/>
        <v>9903.8102972201505</v>
      </c>
      <c r="J12" s="172">
        <f t="shared" si="7"/>
        <v>9.7683551082376798</v>
      </c>
      <c r="K12" s="172">
        <f t="shared" si="7"/>
        <v>7.3081357618769802</v>
      </c>
      <c r="L12" s="172">
        <f t="shared" si="7"/>
        <v>10.338901127989899</v>
      </c>
      <c r="M12" s="172">
        <f t="shared" si="7"/>
        <v>7.2870699630159503</v>
      </c>
      <c r="N12" s="75"/>
      <c r="O12" s="75"/>
    </row>
    <row r="13" spans="2:15" x14ac:dyDescent="0.3">
      <c r="B13" s="172" t="str">
        <f>+B25</f>
        <v>Story3</v>
      </c>
      <c r="C13" s="172" t="str">
        <f t="shared" ref="C13:M13" si="8">+C25</f>
        <v>D3</v>
      </c>
      <c r="D13" s="172">
        <f t="shared" si="8"/>
        <v>9903.8102972201505</v>
      </c>
      <c r="E13" s="172">
        <f t="shared" si="8"/>
        <v>9903.8102972201505</v>
      </c>
      <c r="F13" s="172">
        <f t="shared" si="8"/>
        <v>9.7683551082376798</v>
      </c>
      <c r="G13" s="172">
        <f t="shared" si="8"/>
        <v>7.3081357618769802</v>
      </c>
      <c r="H13" s="172">
        <f t="shared" si="8"/>
        <v>9903.8102972201505</v>
      </c>
      <c r="I13" s="172">
        <f t="shared" si="8"/>
        <v>9903.8102972201505</v>
      </c>
      <c r="J13" s="172">
        <f t="shared" si="8"/>
        <v>9.7683551082376798</v>
      </c>
      <c r="K13" s="172">
        <f t="shared" si="8"/>
        <v>7.3081357618769802</v>
      </c>
      <c r="L13" s="172">
        <f t="shared" si="8"/>
        <v>10.342500808665299</v>
      </c>
      <c r="M13" s="172">
        <f t="shared" si="8"/>
        <v>7.2852074859808704</v>
      </c>
      <c r="N13" s="75"/>
      <c r="O13" s="75"/>
    </row>
    <row r="14" spans="2:15" x14ac:dyDescent="0.3">
      <c r="B14" s="172" t="str">
        <f>+B24</f>
        <v>Story2</v>
      </c>
      <c r="C14" s="172" t="str">
        <f t="shared" ref="C14:M14" si="9">+C24</f>
        <v>D2</v>
      </c>
      <c r="D14" s="172">
        <f t="shared" si="9"/>
        <v>9903.8102972201505</v>
      </c>
      <c r="E14" s="172">
        <f t="shared" si="9"/>
        <v>9903.8102972201505</v>
      </c>
      <c r="F14" s="172">
        <f t="shared" si="9"/>
        <v>9.7683551082376798</v>
      </c>
      <c r="G14" s="172">
        <f t="shared" si="9"/>
        <v>7.3081357618769802</v>
      </c>
      <c r="H14" s="172">
        <f t="shared" si="9"/>
        <v>9903.8102972201505</v>
      </c>
      <c r="I14" s="172">
        <f t="shared" si="9"/>
        <v>9903.8102972201505</v>
      </c>
      <c r="J14" s="172">
        <f t="shared" si="9"/>
        <v>9.7683551082376798</v>
      </c>
      <c r="K14" s="172">
        <f t="shared" si="9"/>
        <v>7.3081357618769802</v>
      </c>
      <c r="L14" s="172">
        <f t="shared" si="9"/>
        <v>10.326574200484799</v>
      </c>
      <c r="M14" s="172">
        <f t="shared" si="9"/>
        <v>7.2890482118864597</v>
      </c>
      <c r="N14" s="75"/>
      <c r="O14" s="75"/>
    </row>
    <row r="15" spans="2:15" x14ac:dyDescent="0.3">
      <c r="B15" s="172" t="str">
        <f>+B23</f>
        <v>Story1</v>
      </c>
      <c r="C15" s="172" t="str">
        <f t="shared" ref="C15:M15" si="10">+C23</f>
        <v>D1</v>
      </c>
      <c r="D15" s="172">
        <f t="shared" si="10"/>
        <v>10258.927839682099</v>
      </c>
      <c r="E15" s="172">
        <f t="shared" si="10"/>
        <v>10258.927839682099</v>
      </c>
      <c r="F15" s="172">
        <f t="shared" si="10"/>
        <v>9.8271794588260892</v>
      </c>
      <c r="G15" s="172">
        <f t="shared" si="10"/>
        <v>7.3071699295562</v>
      </c>
      <c r="H15" s="172">
        <f t="shared" si="10"/>
        <v>10258.927839682099</v>
      </c>
      <c r="I15" s="172">
        <f t="shared" si="10"/>
        <v>10258.927839682099</v>
      </c>
      <c r="J15" s="172">
        <f t="shared" si="10"/>
        <v>9.8271794588260892</v>
      </c>
      <c r="K15" s="172">
        <f t="shared" si="10"/>
        <v>7.3071699295562</v>
      </c>
      <c r="L15" s="172">
        <f t="shared" si="10"/>
        <v>10.2622317143322</v>
      </c>
      <c r="M15" s="172">
        <f t="shared" si="10"/>
        <v>7.3113304153036198</v>
      </c>
      <c r="N15" s="75"/>
      <c r="O15" s="75"/>
    </row>
    <row r="16" spans="2:15" x14ac:dyDescent="0.3">
      <c r="B16" s="75"/>
      <c r="C16" s="75"/>
      <c r="D16" s="75"/>
      <c r="E16" s="97"/>
      <c r="F16" s="75"/>
      <c r="G16" s="75"/>
      <c r="H16" s="75"/>
      <c r="I16" s="75"/>
      <c r="J16" s="75"/>
      <c r="K16" s="75"/>
      <c r="L16" s="75"/>
      <c r="M16" s="75"/>
      <c r="N16" s="75"/>
      <c r="O16" s="75"/>
    </row>
    <row r="17" spans="2:15" x14ac:dyDescent="0.3"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</row>
    <row r="18" spans="2:15" x14ac:dyDescent="0.3">
      <c r="B18" s="75"/>
      <c r="C18" s="75"/>
      <c r="D18" s="75"/>
      <c r="E18" s="75"/>
      <c r="F18" s="119"/>
      <c r="G18" s="75"/>
      <c r="H18" s="75"/>
      <c r="I18" s="75"/>
      <c r="J18" s="75"/>
      <c r="K18" s="75"/>
      <c r="L18" s="75"/>
      <c r="M18" s="75"/>
      <c r="N18" s="75"/>
      <c r="O18" s="75"/>
    </row>
    <row r="20" spans="2:15" x14ac:dyDescent="0.3">
      <c r="B20" s="167" t="s">
        <v>8</v>
      </c>
      <c r="C20" s="168"/>
      <c r="D20" s="168"/>
      <c r="E20" s="168"/>
      <c r="F20" s="168"/>
      <c r="G20" s="168"/>
      <c r="H20" s="168"/>
      <c r="I20" s="168"/>
      <c r="J20" s="168"/>
      <c r="K20" s="168"/>
      <c r="L20" s="168"/>
      <c r="M20" s="168"/>
    </row>
    <row r="21" spans="2:15" x14ac:dyDescent="0.3">
      <c r="B21" s="169" t="s">
        <v>9</v>
      </c>
      <c r="C21" s="169" t="s">
        <v>10</v>
      </c>
      <c r="D21" s="169" t="s">
        <v>11</v>
      </c>
      <c r="E21" s="169" t="s">
        <v>12</v>
      </c>
      <c r="F21" s="169" t="s">
        <v>13</v>
      </c>
      <c r="G21" s="169" t="s">
        <v>14</v>
      </c>
      <c r="H21" s="169" t="s">
        <v>15</v>
      </c>
      <c r="I21" s="169" t="s">
        <v>16</v>
      </c>
      <c r="J21" s="169" t="s">
        <v>17</v>
      </c>
      <c r="K21" s="169" t="s">
        <v>18</v>
      </c>
      <c r="L21" s="169" t="s">
        <v>19</v>
      </c>
      <c r="M21" s="170" t="s">
        <v>20</v>
      </c>
    </row>
    <row r="22" spans="2:15" x14ac:dyDescent="0.3">
      <c r="B22" s="173"/>
      <c r="C22" s="173"/>
      <c r="D22" s="173" t="s">
        <v>21</v>
      </c>
      <c r="E22" s="173" t="s">
        <v>21</v>
      </c>
      <c r="F22" s="173" t="s">
        <v>7</v>
      </c>
      <c r="G22" s="173" t="s">
        <v>7</v>
      </c>
      <c r="H22" s="173" t="s">
        <v>21</v>
      </c>
      <c r="I22" s="173" t="s">
        <v>21</v>
      </c>
      <c r="J22" s="173" t="s">
        <v>7</v>
      </c>
      <c r="K22" s="173" t="s">
        <v>7</v>
      </c>
      <c r="L22" s="173" t="s">
        <v>7</v>
      </c>
      <c r="M22" s="174" t="s">
        <v>7</v>
      </c>
    </row>
    <row r="23" spans="2:15" x14ac:dyDescent="0.3">
      <c r="B23" s="172" t="s">
        <v>22</v>
      </c>
      <c r="C23" s="172" t="s">
        <v>23</v>
      </c>
      <c r="D23" s="172">
        <v>10258.927839682099</v>
      </c>
      <c r="E23" s="172">
        <v>10258.927839682099</v>
      </c>
      <c r="F23" s="172">
        <v>9.8271794588260892</v>
      </c>
      <c r="G23" s="172">
        <v>7.3071699295562</v>
      </c>
      <c r="H23" s="172">
        <v>10258.927839682099</v>
      </c>
      <c r="I23" s="172">
        <v>10258.927839682099</v>
      </c>
      <c r="J23" s="172">
        <v>9.8271794588260892</v>
      </c>
      <c r="K23" s="172">
        <v>7.3071699295562</v>
      </c>
      <c r="L23" s="172">
        <v>10.2622317143322</v>
      </c>
      <c r="M23" s="172">
        <v>7.3113304153036198</v>
      </c>
    </row>
    <row r="24" spans="2:15" x14ac:dyDescent="0.3">
      <c r="B24" s="172" t="s">
        <v>24</v>
      </c>
      <c r="C24" s="172" t="s">
        <v>175</v>
      </c>
      <c r="D24" s="172">
        <v>9903.8102972201505</v>
      </c>
      <c r="E24" s="172">
        <v>9903.8102972201505</v>
      </c>
      <c r="F24" s="172">
        <v>9.7683551082376798</v>
      </c>
      <c r="G24" s="172">
        <v>7.3081357618769802</v>
      </c>
      <c r="H24" s="172">
        <v>9903.8102972201505</v>
      </c>
      <c r="I24" s="172">
        <v>9903.8102972201505</v>
      </c>
      <c r="J24" s="172">
        <v>9.7683551082376798</v>
      </c>
      <c r="K24" s="172">
        <v>7.3081357618769802</v>
      </c>
      <c r="L24" s="172">
        <v>10.326574200484799</v>
      </c>
      <c r="M24" s="172">
        <v>7.2890482118864597</v>
      </c>
    </row>
    <row r="25" spans="2:15" x14ac:dyDescent="0.3">
      <c r="B25" s="172" t="s">
        <v>25</v>
      </c>
      <c r="C25" s="172" t="s">
        <v>176</v>
      </c>
      <c r="D25" s="172">
        <v>9903.8102972201505</v>
      </c>
      <c r="E25" s="172">
        <v>9903.8102972201505</v>
      </c>
      <c r="F25" s="172">
        <v>9.7683551082376798</v>
      </c>
      <c r="G25" s="172">
        <v>7.3081357618769802</v>
      </c>
      <c r="H25" s="172">
        <v>9903.8102972201505</v>
      </c>
      <c r="I25" s="172">
        <v>9903.8102972201505</v>
      </c>
      <c r="J25" s="172">
        <v>9.7683551082376798</v>
      </c>
      <c r="K25" s="172">
        <v>7.3081357618769802</v>
      </c>
      <c r="L25" s="172">
        <v>10.342500808665299</v>
      </c>
      <c r="M25" s="172">
        <v>7.2852074859808704</v>
      </c>
    </row>
    <row r="26" spans="2:15" x14ac:dyDescent="0.3">
      <c r="B26" s="172" t="s">
        <v>26</v>
      </c>
      <c r="C26" s="172" t="s">
        <v>177</v>
      </c>
      <c r="D26" s="172">
        <v>9903.8102972201505</v>
      </c>
      <c r="E26" s="172">
        <v>9903.8102972201505</v>
      </c>
      <c r="F26" s="172">
        <v>9.7683551082376798</v>
      </c>
      <c r="G26" s="172">
        <v>7.3081357618769802</v>
      </c>
      <c r="H26" s="172">
        <v>9903.8102972201505</v>
      </c>
      <c r="I26" s="172">
        <v>9903.8102972201505</v>
      </c>
      <c r="J26" s="172">
        <v>9.7683551082376798</v>
      </c>
      <c r="K26" s="172">
        <v>7.3081357618769802</v>
      </c>
      <c r="L26" s="172">
        <v>10.338901127989899</v>
      </c>
      <c r="M26" s="172">
        <v>7.2870699630159503</v>
      </c>
    </row>
    <row r="27" spans="2:15" x14ac:dyDescent="0.3">
      <c r="B27" s="172" t="s">
        <v>39</v>
      </c>
      <c r="C27" s="172" t="s">
        <v>178</v>
      </c>
      <c r="D27" s="172">
        <v>9770.1866873913295</v>
      </c>
      <c r="E27" s="172">
        <v>9770.1866873913295</v>
      </c>
      <c r="F27" s="172">
        <v>9.6488845669268901</v>
      </c>
      <c r="G27" s="172">
        <v>7.3260267017577698</v>
      </c>
      <c r="H27" s="172">
        <v>9770.1866873913295</v>
      </c>
      <c r="I27" s="172">
        <v>9770.1866873913295</v>
      </c>
      <c r="J27" s="172">
        <v>9.6488845669268901</v>
      </c>
      <c r="K27" s="172">
        <v>7.3260267017577698</v>
      </c>
      <c r="L27" s="172">
        <v>10.3248855272212</v>
      </c>
      <c r="M27" s="172">
        <v>7.2931696719462797</v>
      </c>
    </row>
    <row r="28" spans="2:15" x14ac:dyDescent="0.3">
      <c r="B28" s="172" t="s">
        <v>179</v>
      </c>
      <c r="C28" s="172" t="s">
        <v>180</v>
      </c>
      <c r="D28" s="172">
        <v>9770.1866873913295</v>
      </c>
      <c r="E28" s="172">
        <v>9770.1866873913295</v>
      </c>
      <c r="F28" s="172">
        <v>9.6488845669268901</v>
      </c>
      <c r="G28" s="172">
        <v>7.3260267017577698</v>
      </c>
      <c r="H28" s="172">
        <v>9770.1866873913295</v>
      </c>
      <c r="I28" s="172">
        <v>9770.1866873913295</v>
      </c>
      <c r="J28" s="172">
        <v>9.6488845669268901</v>
      </c>
      <c r="K28" s="172">
        <v>7.3260267017577698</v>
      </c>
      <c r="L28" s="172">
        <v>10.303187331392399</v>
      </c>
      <c r="M28" s="172">
        <v>7.3048664234136398</v>
      </c>
    </row>
    <row r="29" spans="2:15" x14ac:dyDescent="0.3">
      <c r="B29" s="172" t="s">
        <v>181</v>
      </c>
      <c r="C29" s="172" t="s">
        <v>182</v>
      </c>
      <c r="D29" s="172">
        <v>9770.1866873913295</v>
      </c>
      <c r="E29" s="172">
        <v>9770.1866873913295</v>
      </c>
      <c r="F29" s="172">
        <v>9.6488845669268901</v>
      </c>
      <c r="G29" s="172">
        <v>7.3260267017577698</v>
      </c>
      <c r="H29" s="172">
        <v>9770.1866873913295</v>
      </c>
      <c r="I29" s="172">
        <v>9770.1866873913295</v>
      </c>
      <c r="J29" s="172">
        <v>9.6488845669268901</v>
      </c>
      <c r="K29" s="172">
        <v>7.3260267017577698</v>
      </c>
      <c r="L29" s="172">
        <v>10.280580622047999</v>
      </c>
      <c r="M29" s="172">
        <v>7.3152147651216097</v>
      </c>
    </row>
    <row r="30" spans="2:15" x14ac:dyDescent="0.3">
      <c r="B30" s="172" t="s">
        <v>183</v>
      </c>
      <c r="C30" s="172" t="s">
        <v>184</v>
      </c>
      <c r="D30" s="172">
        <v>9770.1866873913295</v>
      </c>
      <c r="E30" s="172">
        <v>9770.1866873913295</v>
      </c>
      <c r="F30" s="172">
        <v>9.6488845669268901</v>
      </c>
      <c r="G30" s="172">
        <v>7.3260267017577698</v>
      </c>
      <c r="H30" s="172">
        <v>9770.1866873913295</v>
      </c>
      <c r="I30" s="172">
        <v>9770.1866873913295</v>
      </c>
      <c r="J30" s="172">
        <v>9.6488845669268901</v>
      </c>
      <c r="K30" s="172">
        <v>7.3260267017577698</v>
      </c>
      <c r="L30" s="172">
        <v>10.257224177582801</v>
      </c>
      <c r="M30" s="172">
        <v>7.3244070348674004</v>
      </c>
    </row>
    <row r="31" spans="2:15" x14ac:dyDescent="0.3">
      <c r="B31" s="172" t="s">
        <v>185</v>
      </c>
      <c r="C31" s="172" t="s">
        <v>186</v>
      </c>
      <c r="D31" s="172">
        <v>9770.1866873913295</v>
      </c>
      <c r="E31" s="172">
        <v>9770.1866873913295</v>
      </c>
      <c r="F31" s="172">
        <v>9.6488845669268901</v>
      </c>
      <c r="G31" s="172">
        <v>7.3260267017577698</v>
      </c>
      <c r="H31" s="172">
        <v>9770.1866873913295</v>
      </c>
      <c r="I31" s="172">
        <v>9770.1866873913295</v>
      </c>
      <c r="J31" s="172">
        <v>9.6488845669268901</v>
      </c>
      <c r="K31" s="172">
        <v>7.3260267017577698</v>
      </c>
      <c r="L31" s="172">
        <v>10.2325379309897</v>
      </c>
      <c r="M31" s="172">
        <v>7.3329729183654697</v>
      </c>
    </row>
    <row r="32" spans="2:15" x14ac:dyDescent="0.3">
      <c r="B32" s="172" t="s">
        <v>187</v>
      </c>
      <c r="C32" s="172" t="s">
        <v>188</v>
      </c>
      <c r="D32" s="172">
        <v>7852.8803714260703</v>
      </c>
      <c r="E32" s="172">
        <v>7852.8803714260703</v>
      </c>
      <c r="F32" s="172">
        <v>9.8436943394218801</v>
      </c>
      <c r="G32" s="172">
        <v>7.2723903945588697</v>
      </c>
      <c r="H32" s="172">
        <v>7852.8803714260703</v>
      </c>
      <c r="I32" s="172">
        <v>7852.8803714260703</v>
      </c>
      <c r="J32" s="172">
        <v>9.8436943394218801</v>
      </c>
      <c r="K32" s="172">
        <v>7.2723903945588697</v>
      </c>
      <c r="L32" s="172">
        <v>10.2125165056163</v>
      </c>
      <c r="M32" s="172">
        <v>7.3391771302891504</v>
      </c>
    </row>
    <row r="33" spans="2:13" x14ac:dyDescent="0.3">
      <c r="B33" s="172" t="s">
        <v>189</v>
      </c>
      <c r="C33" s="172" t="s">
        <v>190</v>
      </c>
      <c r="D33" s="172">
        <v>782.285475187766</v>
      </c>
      <c r="E33" s="172">
        <v>782.285475187766</v>
      </c>
      <c r="F33" s="172">
        <v>18.500000003277801</v>
      </c>
      <c r="G33" s="172">
        <v>6</v>
      </c>
      <c r="H33" s="172">
        <v>782.285475187766</v>
      </c>
      <c r="I33" s="172">
        <v>782.285475187766</v>
      </c>
      <c r="J33" s="172">
        <v>18.500000003277801</v>
      </c>
      <c r="K33" s="172">
        <v>6</v>
      </c>
      <c r="L33" s="172">
        <v>15.6606215302346</v>
      </c>
      <c r="M33" s="172">
        <v>6.4026322894856298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filterMode="1"/>
  <dimension ref="B2:L53"/>
  <sheetViews>
    <sheetView workbookViewId="0">
      <selection activeCell="B8" sqref="B8:K48"/>
    </sheetView>
  </sheetViews>
  <sheetFormatPr baseColWidth="10" defaultRowHeight="14.4" x14ac:dyDescent="0.3"/>
  <cols>
    <col min="4" max="4" width="0" hidden="1" customWidth="1"/>
  </cols>
  <sheetData>
    <row r="2" spans="2:12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</row>
    <row r="3" spans="2:12" x14ac:dyDescent="0.3">
      <c r="B3" s="169" t="s">
        <v>9</v>
      </c>
      <c r="C3" s="169" t="s">
        <v>46</v>
      </c>
      <c r="D3" s="169" t="s">
        <v>239</v>
      </c>
      <c r="E3" s="169" t="s">
        <v>47</v>
      </c>
      <c r="F3" s="169" t="s">
        <v>48</v>
      </c>
      <c r="G3" s="169" t="s">
        <v>49</v>
      </c>
      <c r="H3" s="169" t="s">
        <v>50</v>
      </c>
      <c r="I3" s="169" t="s">
        <v>51</v>
      </c>
      <c r="J3" s="169" t="s">
        <v>52</v>
      </c>
      <c r="K3" s="170" t="s">
        <v>53</v>
      </c>
      <c r="L3" s="14"/>
    </row>
    <row r="4" spans="2:12" x14ac:dyDescent="0.3">
      <c r="B4" s="173"/>
      <c r="C4" s="173"/>
      <c r="D4" s="173"/>
      <c r="E4" s="173"/>
      <c r="F4" s="173" t="s">
        <v>43</v>
      </c>
      <c r="G4" s="173" t="s">
        <v>43</v>
      </c>
      <c r="H4" s="173" t="s">
        <v>43</v>
      </c>
      <c r="I4" s="173" t="s">
        <v>54</v>
      </c>
      <c r="J4" s="173" t="s">
        <v>54</v>
      </c>
      <c r="K4" s="174" t="s">
        <v>54</v>
      </c>
      <c r="L4" s="14"/>
    </row>
    <row r="5" spans="2:12" s="172" customFormat="1" x14ac:dyDescent="0.3">
      <c r="B5" s="27"/>
      <c r="C5" s="27"/>
      <c r="D5" s="27"/>
      <c r="E5" s="27"/>
      <c r="F5" s="27"/>
      <c r="G5" s="27"/>
      <c r="H5" s="27"/>
      <c r="I5" s="27"/>
      <c r="J5" s="27"/>
      <c r="K5" s="27"/>
      <c r="L5" s="14"/>
    </row>
    <row r="6" spans="2:12" s="172" customFormat="1" hidden="1" x14ac:dyDescent="0.3">
      <c r="B6" s="172" t="s">
        <v>189</v>
      </c>
      <c r="C6" s="172" t="s">
        <v>240</v>
      </c>
      <c r="D6" s="172" t="s">
        <v>241</v>
      </c>
      <c r="E6" s="172" t="s">
        <v>72</v>
      </c>
      <c r="F6" s="172">
        <v>6.7771703033853599E-10</v>
      </c>
      <c r="G6" s="172">
        <v>1035.5319789528401</v>
      </c>
      <c r="H6" s="172">
        <v>55.1832191787421</v>
      </c>
      <c r="I6" s="172">
        <v>7025.5641534728702</v>
      </c>
      <c r="J6" s="172">
        <v>4.4354556575678003E-9</v>
      </c>
      <c r="K6" s="172">
        <v>1.38453369597557E-8</v>
      </c>
      <c r="L6" s="14"/>
    </row>
    <row r="7" spans="2:12" s="172" customFormat="1" hidden="1" x14ac:dyDescent="0.3">
      <c r="B7" s="172" t="s">
        <v>189</v>
      </c>
      <c r="C7" s="172" t="s">
        <v>240</v>
      </c>
      <c r="D7" s="172" t="s">
        <v>241</v>
      </c>
      <c r="E7" s="172" t="s">
        <v>242</v>
      </c>
      <c r="F7" s="172">
        <v>5.8180585918410497E-10</v>
      </c>
      <c r="G7" s="172">
        <v>1035.53197895529</v>
      </c>
      <c r="H7" s="172">
        <v>55.183219178664302</v>
      </c>
      <c r="I7" s="172">
        <v>7025.5641534855604</v>
      </c>
      <c r="J7" s="172">
        <v>165.549657537684</v>
      </c>
      <c r="K7" s="172">
        <v>3106.59593685044</v>
      </c>
      <c r="L7" s="14"/>
    </row>
    <row r="8" spans="2:12" x14ac:dyDescent="0.3">
      <c r="B8" s="172" t="s">
        <v>189</v>
      </c>
      <c r="C8" s="172" t="s">
        <v>243</v>
      </c>
      <c r="D8" s="172" t="s">
        <v>241</v>
      </c>
      <c r="E8" s="172" t="s">
        <v>72</v>
      </c>
      <c r="F8" s="172">
        <v>8.4739326312328802E-11</v>
      </c>
      <c r="G8" s="172">
        <v>78.932148864697197</v>
      </c>
      <c r="H8" s="172">
        <v>724.09298889982301</v>
      </c>
      <c r="I8" s="172">
        <v>13349.6187499141</v>
      </c>
      <c r="J8" s="172">
        <v>3.5258191814921001E-10</v>
      </c>
      <c r="K8" s="172">
        <v>1.66929641347466E-9</v>
      </c>
    </row>
    <row r="9" spans="2:12" hidden="1" x14ac:dyDescent="0.3">
      <c r="B9" s="172" t="s">
        <v>189</v>
      </c>
      <c r="C9" s="172" t="s">
        <v>243</v>
      </c>
      <c r="D9" s="172" t="s">
        <v>241</v>
      </c>
      <c r="E9" s="172" t="s">
        <v>242</v>
      </c>
      <c r="F9" s="172">
        <v>3.2795297750005399E-10</v>
      </c>
      <c r="G9" s="172">
        <v>78.932148864761899</v>
      </c>
      <c r="H9" s="172">
        <v>724.09298889940999</v>
      </c>
      <c r="I9" s="172">
        <v>13349.6187499058</v>
      </c>
      <c r="J9" s="172">
        <v>2172.2789666992498</v>
      </c>
      <c r="K9" s="172">
        <v>236.796446591695</v>
      </c>
    </row>
    <row r="10" spans="2:12" hidden="1" x14ac:dyDescent="0.3">
      <c r="B10" s="172" t="s">
        <v>187</v>
      </c>
      <c r="C10" s="172" t="s">
        <v>240</v>
      </c>
      <c r="D10" s="172" t="s">
        <v>241</v>
      </c>
      <c r="E10" s="172" t="s">
        <v>72</v>
      </c>
      <c r="F10" s="172">
        <v>6.1516846557345303E-10</v>
      </c>
      <c r="G10" s="172">
        <v>12752.744336001801</v>
      </c>
      <c r="H10" s="172">
        <v>545.73099202050901</v>
      </c>
      <c r="I10" s="172">
        <v>96589.67140264</v>
      </c>
      <c r="J10" s="172">
        <v>165.549657534175</v>
      </c>
      <c r="K10" s="172">
        <v>3106.59593684725</v>
      </c>
    </row>
    <row r="11" spans="2:12" hidden="1" x14ac:dyDescent="0.3">
      <c r="B11" s="172" t="s">
        <v>187</v>
      </c>
      <c r="C11" s="172" t="s">
        <v>240</v>
      </c>
      <c r="D11" s="172" t="s">
        <v>241</v>
      </c>
      <c r="E11" s="172" t="s">
        <v>242</v>
      </c>
      <c r="F11" s="172">
        <v>8.2455973344162404E-10</v>
      </c>
      <c r="G11" s="172">
        <v>12788.8450587098</v>
      </c>
      <c r="H11" s="172">
        <v>547.110077512781</v>
      </c>
      <c r="I11" s="172">
        <v>96832.429481009196</v>
      </c>
      <c r="J11" s="172">
        <v>2030.40771061435</v>
      </c>
      <c r="K11" s="172">
        <v>47683.123605647401</v>
      </c>
    </row>
    <row r="12" spans="2:12" x14ac:dyDescent="0.3">
      <c r="B12" s="172" t="s">
        <v>187</v>
      </c>
      <c r="C12" s="172" t="s">
        <v>243</v>
      </c>
      <c r="D12" s="172" t="s">
        <v>241</v>
      </c>
      <c r="E12" s="172" t="s">
        <v>72</v>
      </c>
      <c r="F12" s="172">
        <v>9.3991121316126295E-10</v>
      </c>
      <c r="G12" s="172">
        <v>529.51424329036104</v>
      </c>
      <c r="H12" s="172">
        <v>11066.4773864871</v>
      </c>
      <c r="I12" s="172">
        <v>91119.041615678201</v>
      </c>
      <c r="J12" s="172">
        <v>2172.2789666844401</v>
      </c>
      <c r="K12" s="172">
        <v>236.79644659526099</v>
      </c>
    </row>
    <row r="13" spans="2:12" hidden="1" x14ac:dyDescent="0.3">
      <c r="B13" s="172" t="s">
        <v>187</v>
      </c>
      <c r="C13" s="172" t="s">
        <v>243</v>
      </c>
      <c r="D13" s="172" t="s">
        <v>241</v>
      </c>
      <c r="E13" s="172" t="s">
        <v>242</v>
      </c>
      <c r="F13" s="172">
        <v>1.0242981707894701E-9</v>
      </c>
      <c r="G13" s="172">
        <v>530.56631197113904</v>
      </c>
      <c r="H13" s="172">
        <v>11086.725156012601</v>
      </c>
      <c r="I13" s="172">
        <v>91652.225590795395</v>
      </c>
      <c r="J13" s="172">
        <v>40614.649892047499</v>
      </c>
      <c r="K13" s="172">
        <v>1948.3409918699001</v>
      </c>
    </row>
    <row r="14" spans="2:12" hidden="1" x14ac:dyDescent="0.3">
      <c r="B14" s="172" t="s">
        <v>185</v>
      </c>
      <c r="C14" s="172" t="s">
        <v>240</v>
      </c>
      <c r="D14" s="172" t="s">
        <v>241</v>
      </c>
      <c r="E14" s="172" t="s">
        <v>72</v>
      </c>
      <c r="F14" s="172">
        <v>2.0544727075352699E-9</v>
      </c>
      <c r="G14" s="172">
        <v>25901.166871881502</v>
      </c>
      <c r="H14" s="172">
        <v>1131.90688156842</v>
      </c>
      <c r="I14" s="172">
        <v>197537.38523645201</v>
      </c>
      <c r="J14" s="172">
        <v>2030.4077106095999</v>
      </c>
      <c r="K14" s="172">
        <v>47683.123605651002</v>
      </c>
    </row>
    <row r="15" spans="2:12" hidden="1" x14ac:dyDescent="0.3">
      <c r="B15" s="172" t="s">
        <v>185</v>
      </c>
      <c r="C15" s="172" t="s">
        <v>240</v>
      </c>
      <c r="D15" s="172" t="s">
        <v>241</v>
      </c>
      <c r="E15" s="172" t="s">
        <v>242</v>
      </c>
      <c r="F15" s="172">
        <v>2.52212719258597E-9</v>
      </c>
      <c r="G15" s="172">
        <v>25932.4092575053</v>
      </c>
      <c r="H15" s="172">
        <v>1133.1200193847701</v>
      </c>
      <c r="I15" s="172">
        <v>197748.34353816899</v>
      </c>
      <c r="J15" s="172">
        <v>5979.1103716287698</v>
      </c>
      <c r="K15" s="172">
        <v>138046.0831085</v>
      </c>
    </row>
    <row r="16" spans="2:12" x14ac:dyDescent="0.3">
      <c r="B16" s="172" t="s">
        <v>185</v>
      </c>
      <c r="C16" s="172" t="s">
        <v>243</v>
      </c>
      <c r="D16" s="172" t="s">
        <v>241</v>
      </c>
      <c r="E16" s="172" t="s">
        <v>72</v>
      </c>
      <c r="F16" s="172">
        <v>8.6223241294238795E-10</v>
      </c>
      <c r="G16" s="172">
        <v>1120.15691804223</v>
      </c>
      <c r="H16" s="172">
        <v>22524.356033558401</v>
      </c>
      <c r="I16" s="172">
        <v>177322.33512760399</v>
      </c>
      <c r="J16" s="172">
        <v>40614.649892038702</v>
      </c>
      <c r="K16" s="172">
        <v>1948.34099187122</v>
      </c>
    </row>
    <row r="17" spans="2:11" hidden="1" x14ac:dyDescent="0.3">
      <c r="B17" s="172" t="s">
        <v>185</v>
      </c>
      <c r="C17" s="172" t="s">
        <v>243</v>
      </c>
      <c r="D17" s="172" t="s">
        <v>241</v>
      </c>
      <c r="E17" s="172" t="s">
        <v>242</v>
      </c>
      <c r="F17" s="172">
        <v>8.4693382837304295E-10</v>
      </c>
      <c r="G17" s="172">
        <v>1120.95153930884</v>
      </c>
      <c r="H17" s="172">
        <v>22541.412598826999</v>
      </c>
      <c r="I17" s="172">
        <v>177780.69817357801</v>
      </c>
      <c r="J17" s="172">
        <v>119241.96747101301</v>
      </c>
      <c r="K17" s="172">
        <v>5839.0076975756201</v>
      </c>
    </row>
    <row r="18" spans="2:11" hidden="1" x14ac:dyDescent="0.3">
      <c r="B18" s="172" t="s">
        <v>183</v>
      </c>
      <c r="C18" s="172" t="s">
        <v>240</v>
      </c>
      <c r="D18" s="172" t="s">
        <v>241</v>
      </c>
      <c r="E18" s="172" t="s">
        <v>72</v>
      </c>
      <c r="F18" s="172">
        <v>3.9836173539898998E-9</v>
      </c>
      <c r="G18" s="172">
        <v>37141.402548542399</v>
      </c>
      <c r="H18" s="172">
        <v>1647.75528930164</v>
      </c>
      <c r="I18" s="172">
        <v>283988.49754165998</v>
      </c>
      <c r="J18" s="172">
        <v>5979.1103716194802</v>
      </c>
      <c r="K18" s="172">
        <v>138046.083108497</v>
      </c>
    </row>
    <row r="19" spans="2:11" hidden="1" x14ac:dyDescent="0.3">
      <c r="B19" s="172" t="s">
        <v>183</v>
      </c>
      <c r="C19" s="172" t="s">
        <v>240</v>
      </c>
      <c r="D19" s="172" t="s">
        <v>241</v>
      </c>
      <c r="E19" s="172" t="s">
        <v>242</v>
      </c>
      <c r="F19" s="172">
        <v>4.1998832377372298E-9</v>
      </c>
      <c r="G19" s="172">
        <v>37168.009801845299</v>
      </c>
      <c r="H19" s="172">
        <v>1648.82118732205</v>
      </c>
      <c r="I19" s="172">
        <v>284169.13340479898</v>
      </c>
      <c r="J19" s="172">
        <v>11718.261856097401</v>
      </c>
      <c r="K19" s="172">
        <v>266958.457352439</v>
      </c>
    </row>
    <row r="20" spans="2:11" x14ac:dyDescent="0.3">
      <c r="B20" s="172" t="s">
        <v>183</v>
      </c>
      <c r="C20" s="172" t="s">
        <v>243</v>
      </c>
      <c r="D20" s="172" t="s">
        <v>241</v>
      </c>
      <c r="E20" s="172" t="s">
        <v>72</v>
      </c>
      <c r="F20" s="172">
        <v>4.7706679669129596E-10</v>
      </c>
      <c r="G20" s="172">
        <v>1641.7644286493201</v>
      </c>
      <c r="H20" s="172">
        <v>32018.796315326399</v>
      </c>
      <c r="I20" s="172">
        <v>250008.34429776101</v>
      </c>
      <c r="J20" s="172">
        <v>119241.967471007</v>
      </c>
      <c r="K20" s="172">
        <v>5839.0076975778602</v>
      </c>
    </row>
    <row r="21" spans="2:11" hidden="1" x14ac:dyDescent="0.3">
      <c r="B21" s="172" t="s">
        <v>183</v>
      </c>
      <c r="C21" s="172" t="s">
        <v>243</v>
      </c>
      <c r="D21" s="172" t="s">
        <v>241</v>
      </c>
      <c r="E21" s="172" t="s">
        <v>242</v>
      </c>
      <c r="F21" s="172">
        <v>4.02063394417323E-10</v>
      </c>
      <c r="G21" s="172">
        <v>1642.4441298204099</v>
      </c>
      <c r="H21" s="172">
        <v>32032.933173743</v>
      </c>
      <c r="I21" s="172">
        <v>250394.76779742001</v>
      </c>
      <c r="J21" s="172">
        <v>230327.36082048601</v>
      </c>
      <c r="K21" s="172">
        <v>11556.4330691452</v>
      </c>
    </row>
    <row r="22" spans="2:11" hidden="1" x14ac:dyDescent="0.3">
      <c r="B22" s="172" t="s">
        <v>181</v>
      </c>
      <c r="C22" s="172" t="s">
        <v>240</v>
      </c>
      <c r="D22" s="172" t="s">
        <v>241</v>
      </c>
      <c r="E22" s="172" t="s">
        <v>72</v>
      </c>
      <c r="F22" s="172">
        <v>5.4676866732884603E-9</v>
      </c>
      <c r="G22" s="172">
        <v>46746.617741204398</v>
      </c>
      <c r="H22" s="172">
        <v>2095.8378557927899</v>
      </c>
      <c r="I22" s="172">
        <v>358003.66661307099</v>
      </c>
      <c r="J22" s="172">
        <v>11718.261856094099</v>
      </c>
      <c r="K22" s="172">
        <v>266958.45735243801</v>
      </c>
    </row>
    <row r="23" spans="2:11" hidden="1" x14ac:dyDescent="0.3">
      <c r="B23" s="172" t="s">
        <v>181</v>
      </c>
      <c r="C23" s="172" t="s">
        <v>240</v>
      </c>
      <c r="D23" s="172" t="s">
        <v>241</v>
      </c>
      <c r="E23" s="172" t="s">
        <v>242</v>
      </c>
      <c r="F23" s="172">
        <v>6.1091339690471703E-9</v>
      </c>
      <c r="G23" s="172">
        <v>46769.456513584599</v>
      </c>
      <c r="H23" s="172">
        <v>2096.7789321293999</v>
      </c>
      <c r="I23" s="172">
        <v>358159.64241879201</v>
      </c>
      <c r="J23" s="172">
        <v>18986.066566238798</v>
      </c>
      <c r="K23" s="172">
        <v>428116.29914608999</v>
      </c>
    </row>
    <row r="24" spans="2:11" x14ac:dyDescent="0.3">
      <c r="B24" s="172" t="s">
        <v>181</v>
      </c>
      <c r="C24" s="172" t="s">
        <v>243</v>
      </c>
      <c r="D24" s="172" t="s">
        <v>241</v>
      </c>
      <c r="E24" s="172" t="s">
        <v>72</v>
      </c>
      <c r="F24" s="172">
        <v>2.9096495188370498E-10</v>
      </c>
      <c r="G24" s="172">
        <v>2095.26038050844</v>
      </c>
      <c r="H24" s="172">
        <v>39911.707285002703</v>
      </c>
      <c r="I24" s="172">
        <v>311111.65873515198</v>
      </c>
      <c r="J24" s="172">
        <v>230327.36082048301</v>
      </c>
      <c r="K24" s="172">
        <v>11556.4330691461</v>
      </c>
    </row>
    <row r="25" spans="2:11" hidden="1" x14ac:dyDescent="0.3">
      <c r="B25" s="172" t="s">
        <v>181</v>
      </c>
      <c r="C25" s="172" t="s">
        <v>243</v>
      </c>
      <c r="D25" s="172" t="s">
        <v>241</v>
      </c>
      <c r="E25" s="172" t="s">
        <v>242</v>
      </c>
      <c r="F25" s="172">
        <v>3.6270089458829701E-10</v>
      </c>
      <c r="G25" s="172">
        <v>2095.8525801290498</v>
      </c>
      <c r="H25" s="172">
        <v>39923.572396765798</v>
      </c>
      <c r="I25" s="172">
        <v>311440.76042921899</v>
      </c>
      <c r="J25" s="172">
        <v>367605.84532729402</v>
      </c>
      <c r="K25" s="172">
        <v>18828.303626005501</v>
      </c>
    </row>
    <row r="26" spans="2:11" hidden="1" x14ac:dyDescent="0.3">
      <c r="B26" s="172" t="s">
        <v>179</v>
      </c>
      <c r="C26" s="172" t="s">
        <v>240</v>
      </c>
      <c r="D26" s="172" t="s">
        <v>241</v>
      </c>
      <c r="E26" s="172" t="s">
        <v>72</v>
      </c>
      <c r="F26" s="172">
        <v>7.1398138982590801E-9</v>
      </c>
      <c r="G26" s="172">
        <v>55032.5211044237</v>
      </c>
      <c r="H26" s="172">
        <v>2484.9460783258201</v>
      </c>
      <c r="I26" s="172">
        <v>421935.58740300097</v>
      </c>
      <c r="J26" s="172">
        <v>18986.066566234102</v>
      </c>
      <c r="K26" s="172">
        <v>428116.29914608499</v>
      </c>
    </row>
    <row r="27" spans="2:11" hidden="1" x14ac:dyDescent="0.3">
      <c r="B27" s="172" t="s">
        <v>179</v>
      </c>
      <c r="C27" s="172" t="s">
        <v>240</v>
      </c>
      <c r="D27" s="172" t="s">
        <v>241</v>
      </c>
      <c r="E27" s="172" t="s">
        <v>242</v>
      </c>
      <c r="F27" s="172">
        <v>7.1093687166145598E-9</v>
      </c>
      <c r="G27" s="172">
        <v>55052.308589804597</v>
      </c>
      <c r="H27" s="172">
        <v>2485.77864476988</v>
      </c>
      <c r="I27" s="172">
        <v>422071.34528258798</v>
      </c>
      <c r="J27" s="172">
        <v>27554.632096097201</v>
      </c>
      <c r="K27" s="172">
        <v>616427.04650619905</v>
      </c>
    </row>
    <row r="28" spans="2:11" x14ac:dyDescent="0.3">
      <c r="B28" s="172" t="s">
        <v>179</v>
      </c>
      <c r="C28" s="172" t="s">
        <v>243</v>
      </c>
      <c r="D28" s="172" t="s">
        <v>241</v>
      </c>
      <c r="E28" s="172" t="s">
        <v>72</v>
      </c>
      <c r="F28" s="172">
        <v>1.0555556368832699E-9</v>
      </c>
      <c r="G28" s="172">
        <v>2488.9109357480002</v>
      </c>
      <c r="H28" s="172">
        <v>46619.2460298769</v>
      </c>
      <c r="I28" s="172">
        <v>363422.141818206</v>
      </c>
      <c r="J28" s="172">
        <v>367605.84532729001</v>
      </c>
      <c r="K28" s="172">
        <v>18828.303626007499</v>
      </c>
    </row>
    <row r="29" spans="2:11" hidden="1" x14ac:dyDescent="0.3">
      <c r="B29" s="172" t="s">
        <v>179</v>
      </c>
      <c r="C29" s="172" t="s">
        <v>243</v>
      </c>
      <c r="D29" s="172" t="s">
        <v>241</v>
      </c>
      <c r="E29" s="172" t="s">
        <v>242</v>
      </c>
      <c r="F29" s="172">
        <v>9.8060962593897601E-10</v>
      </c>
      <c r="G29" s="172">
        <v>2489.4216039162002</v>
      </c>
      <c r="H29" s="172">
        <v>46629.463495078802</v>
      </c>
      <c r="I29" s="172">
        <v>363707.50326438801</v>
      </c>
      <c r="J29" s="172">
        <v>526346.69166555605</v>
      </c>
      <c r="K29" s="172">
        <v>27421.3300204632</v>
      </c>
    </row>
    <row r="30" spans="2:11" hidden="1" x14ac:dyDescent="0.3">
      <c r="B30" s="172" t="s">
        <v>39</v>
      </c>
      <c r="C30" s="172" t="s">
        <v>240</v>
      </c>
      <c r="D30" s="172" t="s">
        <v>241</v>
      </c>
      <c r="E30" s="172" t="s">
        <v>72</v>
      </c>
      <c r="F30" s="172">
        <v>7.5483588097648599E-9</v>
      </c>
      <c r="G30" s="172">
        <v>62223.825509661001</v>
      </c>
      <c r="H30" s="172">
        <v>2822.46522467555</v>
      </c>
      <c r="I30" s="172">
        <v>477437.24979648303</v>
      </c>
      <c r="J30" s="172">
        <v>27554.632096096098</v>
      </c>
      <c r="K30" s="172">
        <v>616427.046506193</v>
      </c>
    </row>
    <row r="31" spans="2:11" hidden="1" x14ac:dyDescent="0.3">
      <c r="B31" s="172" t="s">
        <v>39</v>
      </c>
      <c r="C31" s="172" t="s">
        <v>240</v>
      </c>
      <c r="D31" s="172" t="s">
        <v>241</v>
      </c>
      <c r="E31" s="172" t="s">
        <v>242</v>
      </c>
      <c r="F31" s="172">
        <v>7.5639275323196497E-9</v>
      </c>
      <c r="G31" s="172">
        <v>62240.919134375697</v>
      </c>
      <c r="H31" s="172">
        <v>2823.1916818190298</v>
      </c>
      <c r="I31" s="172">
        <v>477554.74923908501</v>
      </c>
      <c r="J31" s="172">
        <v>37228.554070061597</v>
      </c>
      <c r="K31" s="172">
        <v>827757.99469645205</v>
      </c>
    </row>
    <row r="32" spans="2:11" x14ac:dyDescent="0.3">
      <c r="B32" s="172" t="s">
        <v>39</v>
      </c>
      <c r="C32" s="172" t="s">
        <v>243</v>
      </c>
      <c r="D32" s="172" t="s">
        <v>241</v>
      </c>
      <c r="E32" s="172" t="s">
        <v>72</v>
      </c>
      <c r="F32" s="172">
        <v>1.4131936466982601E-9</v>
      </c>
      <c r="G32" s="172">
        <v>2829.2198716224898</v>
      </c>
      <c r="H32" s="172">
        <v>52470.152076903003</v>
      </c>
      <c r="I32" s="172">
        <v>409109.572112592</v>
      </c>
      <c r="J32" s="172">
        <v>526346.69166555104</v>
      </c>
      <c r="K32" s="172">
        <v>27421.330020466099</v>
      </c>
    </row>
    <row r="33" spans="2:11" hidden="1" x14ac:dyDescent="0.3">
      <c r="B33" s="172" t="s">
        <v>39</v>
      </c>
      <c r="C33" s="172" t="s">
        <v>243</v>
      </c>
      <c r="D33" s="172" t="s">
        <v>241</v>
      </c>
      <c r="E33" s="172" t="s">
        <v>242</v>
      </c>
      <c r="F33" s="172">
        <v>1.3311673152707399E-9</v>
      </c>
      <c r="G33" s="172">
        <v>2829.6446748046101</v>
      </c>
      <c r="H33" s="172">
        <v>52479.131518179303</v>
      </c>
      <c r="I33" s="172">
        <v>409359.42800003203</v>
      </c>
      <c r="J33" s="172">
        <v>703126.47271598899</v>
      </c>
      <c r="K33" s="172">
        <v>37134.072421889301</v>
      </c>
    </row>
    <row r="34" spans="2:11" hidden="1" x14ac:dyDescent="0.3">
      <c r="B34" s="172" t="s">
        <v>26</v>
      </c>
      <c r="C34" s="172" t="s">
        <v>240</v>
      </c>
      <c r="D34" s="172" t="s">
        <v>241</v>
      </c>
      <c r="E34" s="172" t="s">
        <v>72</v>
      </c>
      <c r="F34" s="172">
        <v>8.0827951369984003E-9</v>
      </c>
      <c r="G34" s="172">
        <v>68496.456311690403</v>
      </c>
      <c r="H34" s="172">
        <v>3113.4202481733</v>
      </c>
      <c r="I34" s="172">
        <v>525754.83148175199</v>
      </c>
      <c r="J34" s="172">
        <v>37228.5540700622</v>
      </c>
      <c r="K34" s="172">
        <v>827757.994696446</v>
      </c>
    </row>
    <row r="35" spans="2:11" hidden="1" x14ac:dyDescent="0.3">
      <c r="B35" s="172" t="s">
        <v>26</v>
      </c>
      <c r="C35" s="172" t="s">
        <v>240</v>
      </c>
      <c r="D35" s="172" t="s">
        <v>241</v>
      </c>
      <c r="E35" s="172" t="s">
        <v>242</v>
      </c>
      <c r="F35" s="172">
        <v>8.2379654047069104E-9</v>
      </c>
      <c r="G35" s="172">
        <v>68511.246128336294</v>
      </c>
      <c r="H35" s="172">
        <v>3114.0294672741502</v>
      </c>
      <c r="I35" s="172">
        <v>525856.02133644198</v>
      </c>
      <c r="J35" s="172">
        <v>47838.849878367197</v>
      </c>
      <c r="K35" s="172">
        <v>1058768.6844037501</v>
      </c>
    </row>
    <row r="36" spans="2:11" x14ac:dyDescent="0.3">
      <c r="B36" s="172" t="s">
        <v>26</v>
      </c>
      <c r="C36" s="172" t="s">
        <v>243</v>
      </c>
      <c r="D36" s="172" t="s">
        <v>241</v>
      </c>
      <c r="E36" s="172" t="s">
        <v>72</v>
      </c>
      <c r="F36" s="172">
        <v>7.2737610904511404E-10</v>
      </c>
      <c r="G36" s="172">
        <v>3120.0462013292399</v>
      </c>
      <c r="H36" s="172">
        <v>57668.827182291599</v>
      </c>
      <c r="I36" s="172">
        <v>449755.03193177702</v>
      </c>
      <c r="J36" s="172">
        <v>703126.47271597595</v>
      </c>
      <c r="K36" s="172">
        <v>37134.072421885001</v>
      </c>
    </row>
    <row r="37" spans="2:11" hidden="1" x14ac:dyDescent="0.3">
      <c r="B37" s="172" t="s">
        <v>26</v>
      </c>
      <c r="C37" s="172" t="s">
        <v>243</v>
      </c>
      <c r="D37" s="172" t="s">
        <v>241</v>
      </c>
      <c r="E37" s="172" t="s">
        <v>242</v>
      </c>
      <c r="F37" s="172">
        <v>6.8824764719981501E-10</v>
      </c>
      <c r="G37" s="172">
        <v>3120.3864755681502</v>
      </c>
      <c r="H37" s="172">
        <v>57676.706562037201</v>
      </c>
      <c r="I37" s="172">
        <v>449971.90827417898</v>
      </c>
      <c r="J37" s="172">
        <v>895489.54191024101</v>
      </c>
      <c r="K37" s="172">
        <v>47788.551157079797</v>
      </c>
    </row>
    <row r="38" spans="2:11" hidden="1" x14ac:dyDescent="0.3">
      <c r="B38" s="172" t="s">
        <v>25</v>
      </c>
      <c r="C38" s="172" t="s">
        <v>240</v>
      </c>
      <c r="D38" s="172" t="s">
        <v>241</v>
      </c>
      <c r="E38" s="172" t="s">
        <v>72</v>
      </c>
      <c r="F38" s="172">
        <v>8.9629984713197805E-9</v>
      </c>
      <c r="G38" s="172">
        <v>73804.167515948298</v>
      </c>
      <c r="H38" s="172">
        <v>3353.1088521073402</v>
      </c>
      <c r="I38" s="172">
        <v>566541.08380361099</v>
      </c>
      <c r="J38" s="172">
        <v>47838.849878363799</v>
      </c>
      <c r="K38" s="172">
        <v>1058768.6844037501</v>
      </c>
    </row>
    <row r="39" spans="2:11" hidden="1" x14ac:dyDescent="0.3">
      <c r="B39" s="172" t="s">
        <v>25</v>
      </c>
      <c r="C39" s="172" t="s">
        <v>240</v>
      </c>
      <c r="D39" s="172" t="s">
        <v>241</v>
      </c>
      <c r="E39" s="172" t="s">
        <v>242</v>
      </c>
      <c r="F39" s="172">
        <v>8.9223733718979303E-9</v>
      </c>
      <c r="G39" s="172">
        <v>73816.241859032394</v>
      </c>
      <c r="H39" s="172">
        <v>3353.5832691266601</v>
      </c>
      <c r="I39" s="172">
        <v>566623.20221414696</v>
      </c>
      <c r="J39" s="172">
        <v>59217.103730006798</v>
      </c>
      <c r="K39" s="172">
        <v>1306328.7192028901</v>
      </c>
    </row>
    <row r="40" spans="2:11" x14ac:dyDescent="0.3">
      <c r="B40" s="172" t="s">
        <v>25</v>
      </c>
      <c r="C40" s="172" t="s">
        <v>243</v>
      </c>
      <c r="D40" s="172" t="s">
        <v>241</v>
      </c>
      <c r="E40" s="172" t="s">
        <v>72</v>
      </c>
      <c r="F40" s="172">
        <v>1.57266279872005E-9</v>
      </c>
      <c r="G40" s="172">
        <v>3357.6666664078498</v>
      </c>
      <c r="H40" s="172">
        <v>62182.939060496203</v>
      </c>
      <c r="I40" s="172">
        <v>484663.06447402801</v>
      </c>
      <c r="J40" s="172">
        <v>895489.54191024101</v>
      </c>
      <c r="K40" s="172">
        <v>47788.551157082999</v>
      </c>
    </row>
    <row r="41" spans="2:11" hidden="1" x14ac:dyDescent="0.3">
      <c r="B41" s="172" t="s">
        <v>25</v>
      </c>
      <c r="C41" s="172" t="s">
        <v>243</v>
      </c>
      <c r="D41" s="172" t="s">
        <v>241</v>
      </c>
      <c r="E41" s="172" t="s">
        <v>242</v>
      </c>
      <c r="F41" s="172">
        <v>1.55636977167719E-9</v>
      </c>
      <c r="G41" s="172">
        <v>3357.9174419595602</v>
      </c>
      <c r="H41" s="172">
        <v>62189.501120842702</v>
      </c>
      <c r="I41" s="172">
        <v>484841.03406661999</v>
      </c>
      <c r="J41" s="172">
        <v>1101334.7828579</v>
      </c>
      <c r="K41" s="172">
        <v>59208.588271831999</v>
      </c>
    </row>
    <row r="42" spans="2:11" hidden="1" x14ac:dyDescent="0.3">
      <c r="B42" s="172" t="s">
        <v>24</v>
      </c>
      <c r="C42" s="172" t="s">
        <v>240</v>
      </c>
      <c r="D42" s="172" t="s">
        <v>241</v>
      </c>
      <c r="E42" s="172" t="s">
        <v>72</v>
      </c>
      <c r="F42" s="172">
        <v>9.8471444148213992E-9</v>
      </c>
      <c r="G42" s="172">
        <v>77907.9829455133</v>
      </c>
      <c r="H42" s="172">
        <v>3529.8352917401799</v>
      </c>
      <c r="I42" s="172">
        <v>597984.37683602097</v>
      </c>
      <c r="J42" s="172">
        <v>59217.103730002702</v>
      </c>
      <c r="K42" s="172">
        <v>1306328.7192029001</v>
      </c>
    </row>
    <row r="43" spans="2:11" hidden="1" x14ac:dyDescent="0.3">
      <c r="B43" s="172" t="s">
        <v>24</v>
      </c>
      <c r="C43" s="172" t="s">
        <v>240</v>
      </c>
      <c r="D43" s="172" t="s">
        <v>241</v>
      </c>
      <c r="E43" s="172" t="s">
        <v>242</v>
      </c>
      <c r="F43" s="172">
        <v>9.7088011011278398E-9</v>
      </c>
      <c r="G43" s="172">
        <v>77916.385537422</v>
      </c>
      <c r="H43" s="172">
        <v>3530.13838338191</v>
      </c>
      <c r="I43" s="172">
        <v>598040.934135066</v>
      </c>
      <c r="J43" s="172">
        <v>71177.680904205001</v>
      </c>
      <c r="K43" s="172">
        <v>1567009.4042056601</v>
      </c>
    </row>
    <row r="44" spans="2:11" x14ac:dyDescent="0.3">
      <c r="B44" s="172" t="s">
        <v>24</v>
      </c>
      <c r="C44" s="172" t="s">
        <v>243</v>
      </c>
      <c r="D44" s="172" t="s">
        <v>241</v>
      </c>
      <c r="E44" s="172" t="s">
        <v>72</v>
      </c>
      <c r="F44" s="172">
        <v>2.0312225208005202E-9</v>
      </c>
      <c r="G44" s="172">
        <v>3531.6092132940598</v>
      </c>
      <c r="H44" s="172">
        <v>65772.772004083497</v>
      </c>
      <c r="I44" s="172">
        <v>512134.76400880603</v>
      </c>
      <c r="J44" s="172">
        <v>1101334.7828579</v>
      </c>
      <c r="K44" s="172">
        <v>59208.588271834597</v>
      </c>
    </row>
    <row r="45" spans="2:11" hidden="1" x14ac:dyDescent="0.3">
      <c r="B45" s="172" t="s">
        <v>24</v>
      </c>
      <c r="C45" s="172" t="s">
        <v>243</v>
      </c>
      <c r="D45" s="172" t="s">
        <v>241</v>
      </c>
      <c r="E45" s="172" t="s">
        <v>242</v>
      </c>
      <c r="F45" s="172">
        <v>1.9458824331643701E-9</v>
      </c>
      <c r="G45" s="172">
        <v>3531.7619044592402</v>
      </c>
      <c r="H45" s="172">
        <v>65777.475548004295</v>
      </c>
      <c r="I45" s="172">
        <v>512259.983093858</v>
      </c>
      <c r="J45" s="172">
        <v>1318348.3173811301</v>
      </c>
      <c r="K45" s="172">
        <v>71202.910381298294</v>
      </c>
    </row>
    <row r="46" spans="2:11" hidden="1" x14ac:dyDescent="0.3">
      <c r="B46" s="172" t="s">
        <v>22</v>
      </c>
      <c r="C46" s="172" t="s">
        <v>240</v>
      </c>
      <c r="D46" s="172" t="s">
        <v>241</v>
      </c>
      <c r="E46" s="172" t="s">
        <v>72</v>
      </c>
      <c r="F46" s="172">
        <v>9.8671034145133403E-9</v>
      </c>
      <c r="G46" s="172">
        <v>80324.524779868807</v>
      </c>
      <c r="H46" s="172">
        <v>3625.24790441302</v>
      </c>
      <c r="I46" s="172">
        <v>616404.49775663705</v>
      </c>
      <c r="J46" s="172">
        <v>71177.680904203604</v>
      </c>
      <c r="K46" s="172">
        <v>1567009.4042056601</v>
      </c>
    </row>
    <row r="47" spans="2:11" hidden="1" x14ac:dyDescent="0.3">
      <c r="B47" s="172" t="s">
        <v>22</v>
      </c>
      <c r="C47" s="172" t="s">
        <v>240</v>
      </c>
      <c r="D47" s="172" t="s">
        <v>241</v>
      </c>
      <c r="E47" s="172" t="s">
        <v>242</v>
      </c>
      <c r="F47" s="172">
        <v>9.9145507973565298E-9</v>
      </c>
      <c r="G47" s="172">
        <v>80327.641313865897</v>
      </c>
      <c r="H47" s="172">
        <v>3625.3431644225898</v>
      </c>
      <c r="I47" s="172">
        <v>616424.98562110798</v>
      </c>
      <c r="J47" s="172">
        <v>85267.743411841599</v>
      </c>
      <c r="K47" s="172">
        <v>1875328.5556503001</v>
      </c>
    </row>
    <row r="48" spans="2:11" x14ac:dyDescent="0.3">
      <c r="B48" s="172" t="s">
        <v>22</v>
      </c>
      <c r="C48" s="172" t="s">
        <v>243</v>
      </c>
      <c r="D48" s="172" t="s">
        <v>241</v>
      </c>
      <c r="E48" s="172" t="s">
        <v>72</v>
      </c>
      <c r="F48" s="172">
        <v>2.23861576014385E-9</v>
      </c>
      <c r="G48" s="172">
        <v>3625.29606553854</v>
      </c>
      <c r="H48" s="172">
        <v>67924.953457867305</v>
      </c>
      <c r="I48" s="172">
        <v>528763.87742634804</v>
      </c>
      <c r="J48" s="172">
        <v>1318348.3173811301</v>
      </c>
      <c r="K48" s="172">
        <v>71202.910381299298</v>
      </c>
    </row>
    <row r="49" spans="2:11" hidden="1" x14ac:dyDescent="0.3">
      <c r="B49" s="172" t="s">
        <v>22</v>
      </c>
      <c r="C49" s="172" t="s">
        <v>243</v>
      </c>
      <c r="D49" s="172" t="s">
        <v>241</v>
      </c>
      <c r="E49" s="172" t="s">
        <v>242</v>
      </c>
      <c r="F49" s="172">
        <v>2.2844748693308899E-9</v>
      </c>
      <c r="G49" s="172">
        <v>3625.3431241886501</v>
      </c>
      <c r="H49" s="172">
        <v>67926.664291525303</v>
      </c>
      <c r="I49" s="172">
        <v>528808.59767456295</v>
      </c>
      <c r="J49" s="172">
        <v>1575804.5439156899</v>
      </c>
      <c r="K49" s="172">
        <v>85320.877107133099</v>
      </c>
    </row>
    <row r="50" spans="2:11" x14ac:dyDescent="0.3">
      <c r="B50" s="75"/>
      <c r="C50" s="75"/>
      <c r="D50" s="75"/>
      <c r="E50" s="75"/>
      <c r="F50" s="75"/>
      <c r="G50" s="75"/>
      <c r="H50" s="75"/>
      <c r="I50" s="75"/>
      <c r="J50" s="75"/>
      <c r="K50" s="75"/>
    </row>
    <row r="51" spans="2:11" x14ac:dyDescent="0.3"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2:11" x14ac:dyDescent="0.3"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2:11" x14ac:dyDescent="0.3">
      <c r="B53" s="75"/>
      <c r="C53" s="75"/>
      <c r="D53" s="75"/>
      <c r="E53" s="75"/>
      <c r="F53" s="75"/>
      <c r="G53" s="75"/>
      <c r="H53" s="75"/>
      <c r="I53" s="75"/>
      <c r="J53" s="75"/>
      <c r="K53" s="75"/>
    </row>
  </sheetData>
  <autoFilter ref="B5:K49">
    <filterColumn colId="1">
      <filters>
        <filter val="ESPECTRO Y"/>
      </filters>
    </filterColumn>
    <filterColumn colId="3">
      <filters>
        <filter val="Top"/>
      </filters>
    </filterColumn>
  </autoFilter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SPECTRO_FUERZAS">
                <anchor moveWithCells="1" sizeWithCells="1">
                  <from>
                    <xdr:col>11</xdr:col>
                    <xdr:colOff>693420</xdr:colOff>
                    <xdr:row>3</xdr:row>
                    <xdr:rowOff>99060</xdr:rowOff>
                  </from>
                  <to>
                    <xdr:col>15</xdr:col>
                    <xdr:colOff>38100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2:Q76"/>
  <sheetViews>
    <sheetView topLeftCell="A7" zoomScale="80" zoomScaleNormal="80" workbookViewId="0">
      <selection activeCell="A36" sqref="A36"/>
    </sheetView>
  </sheetViews>
  <sheetFormatPr baseColWidth="10" defaultRowHeight="14.4" x14ac:dyDescent="0.3"/>
  <cols>
    <col min="3" max="3" width="17.109375" customWidth="1"/>
    <col min="4" max="4" width="10" customWidth="1"/>
    <col min="5" max="5" width="17.6640625" customWidth="1"/>
    <col min="6" max="6" width="16.5546875" customWidth="1"/>
    <col min="12" max="12" width="15.33203125" customWidth="1"/>
    <col min="13" max="13" width="14.88671875" customWidth="1"/>
    <col min="14" max="14" width="18.109375" customWidth="1"/>
    <col min="16" max="16" width="14.5546875" customWidth="1"/>
  </cols>
  <sheetData>
    <row r="2" spans="2:17" x14ac:dyDescent="0.3">
      <c r="B2" s="167" t="s">
        <v>198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</row>
    <row r="3" spans="2:17" x14ac:dyDescent="0.3">
      <c r="B3" s="169" t="s">
        <v>199</v>
      </c>
      <c r="C3" s="169" t="s">
        <v>200</v>
      </c>
      <c r="D3" s="169" t="s">
        <v>42</v>
      </c>
      <c r="E3" s="169" t="s">
        <v>201</v>
      </c>
      <c r="F3" s="169" t="s">
        <v>202</v>
      </c>
      <c r="G3" s="169" t="s">
        <v>203</v>
      </c>
      <c r="H3" s="169" t="s">
        <v>204</v>
      </c>
      <c r="I3" s="169" t="s">
        <v>205</v>
      </c>
      <c r="J3" s="169" t="s">
        <v>206</v>
      </c>
      <c r="K3" s="169" t="s">
        <v>207</v>
      </c>
      <c r="L3" s="169" t="s">
        <v>208</v>
      </c>
      <c r="M3" s="169" t="s">
        <v>209</v>
      </c>
      <c r="N3" s="169" t="s">
        <v>210</v>
      </c>
      <c r="O3" s="169" t="s">
        <v>211</v>
      </c>
      <c r="P3" s="169" t="s">
        <v>212</v>
      </c>
      <c r="Q3" s="170" t="s">
        <v>213</v>
      </c>
    </row>
    <row r="4" spans="2:17" x14ac:dyDescent="0.3">
      <c r="B4" s="173"/>
      <c r="C4" s="173"/>
      <c r="D4" s="173"/>
      <c r="E4" s="173"/>
      <c r="F4" s="173" t="s">
        <v>214</v>
      </c>
      <c r="G4" s="173"/>
      <c r="H4" s="173"/>
      <c r="I4" s="173"/>
      <c r="J4" s="173"/>
      <c r="K4" s="173"/>
      <c r="L4" s="173"/>
      <c r="M4" s="173" t="s">
        <v>215</v>
      </c>
      <c r="N4" s="173"/>
      <c r="O4" s="173" t="s">
        <v>43</v>
      </c>
      <c r="P4" s="173" t="s">
        <v>43</v>
      </c>
      <c r="Q4" s="174" t="s">
        <v>43</v>
      </c>
    </row>
    <row r="5" spans="2:17" x14ac:dyDescent="0.3">
      <c r="B5" s="172" t="s">
        <v>216</v>
      </c>
      <c r="C5" s="172" t="s">
        <v>217</v>
      </c>
      <c r="D5" s="172" t="s">
        <v>218</v>
      </c>
      <c r="E5" s="172" t="s">
        <v>219</v>
      </c>
      <c r="F5" s="172">
        <v>0.03</v>
      </c>
      <c r="G5" s="172" t="s">
        <v>189</v>
      </c>
      <c r="H5" s="172" t="s">
        <v>44</v>
      </c>
      <c r="I5" s="172">
        <v>12</v>
      </c>
      <c r="J5" s="172">
        <v>0.28000000000000003</v>
      </c>
      <c r="K5" s="172">
        <v>1.5</v>
      </c>
      <c r="L5" s="172">
        <v>1</v>
      </c>
      <c r="M5" s="172">
        <v>1.3564245682992899</v>
      </c>
      <c r="N5" s="172">
        <v>1.5301623335021599</v>
      </c>
      <c r="O5" s="172">
        <v>2438581.6705500502</v>
      </c>
      <c r="P5" s="172">
        <v>87066.602453703701</v>
      </c>
      <c r="Q5" s="172">
        <v>8266.9495052586008</v>
      </c>
    </row>
    <row r="6" spans="2:17" x14ac:dyDescent="0.3">
      <c r="B6" s="172" t="s">
        <v>220</v>
      </c>
      <c r="C6" s="172" t="s">
        <v>217</v>
      </c>
      <c r="D6" s="172" t="s">
        <v>221</v>
      </c>
      <c r="E6" s="172" t="s">
        <v>219</v>
      </c>
      <c r="F6" s="172">
        <v>0.03</v>
      </c>
      <c r="G6" s="172" t="s">
        <v>189</v>
      </c>
      <c r="H6" s="172" t="s">
        <v>44</v>
      </c>
      <c r="I6" s="172">
        <v>12</v>
      </c>
      <c r="J6" s="172">
        <v>0.28000000000000003</v>
      </c>
      <c r="K6" s="172">
        <v>1.5</v>
      </c>
      <c r="L6" s="172">
        <v>1</v>
      </c>
      <c r="M6" s="172">
        <v>1.5125884153012901</v>
      </c>
      <c r="N6" s="172">
        <v>1.42294274424251</v>
      </c>
      <c r="O6" s="172">
        <v>2438581.6705500502</v>
      </c>
      <c r="P6" s="172">
        <v>80965.782201545793</v>
      </c>
      <c r="Q6" s="172">
        <v>8572.7532935705894</v>
      </c>
    </row>
    <row r="7" spans="2:17" x14ac:dyDescent="0.3">
      <c r="B7" s="198" t="s">
        <v>192</v>
      </c>
      <c r="C7" s="198"/>
      <c r="D7">
        <v>38.5</v>
      </c>
      <c r="E7" t="s">
        <v>7</v>
      </c>
      <c r="H7" t="s">
        <v>119</v>
      </c>
      <c r="I7">
        <f>+(1.25*K5)/M7^(2/3)</f>
        <v>1.7281700817164016</v>
      </c>
      <c r="L7" t="s">
        <v>55</v>
      </c>
      <c r="M7">
        <f>+F6*POWER(D7*3.28,3/4)</f>
        <v>1.1301138167587033</v>
      </c>
    </row>
    <row r="8" spans="2:17" x14ac:dyDescent="0.3">
      <c r="H8" t="s">
        <v>120</v>
      </c>
      <c r="I8">
        <f>+(J5*I7)/I5</f>
        <v>4.0323968573382711E-2</v>
      </c>
      <c r="L8" t="s">
        <v>56</v>
      </c>
      <c r="M8">
        <f>+M7*1.4</f>
        <v>1.5821593434621846</v>
      </c>
    </row>
    <row r="9" spans="2:17" s="13" customFormat="1" x14ac:dyDescent="0.3">
      <c r="H9" s="13" t="s">
        <v>121</v>
      </c>
      <c r="I9" s="13">
        <f>0.8*I8</f>
        <v>3.225917485870617E-2</v>
      </c>
      <c r="J9" s="13" t="s">
        <v>122</v>
      </c>
    </row>
    <row r="10" spans="2:17" s="13" customFormat="1" x14ac:dyDescent="0.3">
      <c r="C10" s="199" t="s">
        <v>125</v>
      </c>
      <c r="D10" s="199"/>
      <c r="E10" s="199" t="s">
        <v>124</v>
      </c>
      <c r="F10" s="199"/>
      <c r="G10" s="199"/>
      <c r="H10" s="9" t="s">
        <v>126</v>
      </c>
      <c r="I10" s="9">
        <f>+$I$9*O5</f>
        <v>78666.632517509875</v>
      </c>
      <c r="J10" s="9" t="s">
        <v>123</v>
      </c>
      <c r="K10" s="103" t="str">
        <f>+IF(I10&gt;N51,"USAR TA","USAR  TB")</f>
        <v>USAR TA</v>
      </c>
      <c r="L10" s="101"/>
      <c r="M10" s="101"/>
      <c r="N10" s="101"/>
    </row>
    <row r="11" spans="2:17" s="100" customFormat="1" ht="15" thickBot="1" x14ac:dyDescent="0.35">
      <c r="C11" s="199" t="s">
        <v>125</v>
      </c>
      <c r="D11" s="199"/>
      <c r="E11" s="199" t="s">
        <v>124</v>
      </c>
      <c r="F11" s="199"/>
      <c r="G11" s="199"/>
      <c r="H11" s="9" t="s">
        <v>127</v>
      </c>
      <c r="I11" s="9">
        <f>+$I$9*O6</f>
        <v>78666.632517509875</v>
      </c>
      <c r="J11" s="9" t="s">
        <v>123</v>
      </c>
      <c r="K11" s="103" t="str">
        <f>+IF(I11&gt;N52,"USAR TA","USAR TB")</f>
        <v>USAR TA</v>
      </c>
      <c r="L11" s="102"/>
      <c r="M11" s="102"/>
      <c r="N11" s="102"/>
    </row>
    <row r="12" spans="2:17" x14ac:dyDescent="0.3">
      <c r="B12" s="120" t="s">
        <v>45</v>
      </c>
      <c r="C12" s="121"/>
      <c r="D12" s="121"/>
      <c r="E12" s="121"/>
      <c r="F12" s="121"/>
      <c r="G12" s="121"/>
      <c r="H12" s="121"/>
      <c r="I12" s="121"/>
      <c r="J12" s="121"/>
      <c r="L12" s="196" t="s">
        <v>61</v>
      </c>
      <c r="M12" s="196"/>
      <c r="N12" s="196"/>
      <c r="O12" s="29" t="s">
        <v>67</v>
      </c>
      <c r="P12" s="17"/>
    </row>
    <row r="13" spans="2:17" x14ac:dyDescent="0.3">
      <c r="B13" s="122" t="s">
        <v>9</v>
      </c>
      <c r="C13" s="122" t="s">
        <v>46</v>
      </c>
      <c r="D13" s="122" t="s">
        <v>47</v>
      </c>
      <c r="E13" s="122" t="s">
        <v>48</v>
      </c>
      <c r="F13" s="122" t="s">
        <v>49</v>
      </c>
      <c r="G13" s="122" t="s">
        <v>50</v>
      </c>
      <c r="H13" s="122" t="s">
        <v>51</v>
      </c>
      <c r="I13" s="122" t="s">
        <v>52</v>
      </c>
      <c r="J13" s="123" t="s">
        <v>53</v>
      </c>
      <c r="L13" s="196" t="s">
        <v>64</v>
      </c>
      <c r="M13" s="28" t="s">
        <v>62</v>
      </c>
      <c r="N13" s="28" t="s">
        <v>63</v>
      </c>
      <c r="O13" s="31" t="s">
        <v>62</v>
      </c>
      <c r="P13" s="32" t="s">
        <v>63</v>
      </c>
    </row>
    <row r="14" spans="2:17" x14ac:dyDescent="0.3">
      <c r="B14" s="124"/>
      <c r="C14" s="124"/>
      <c r="D14" s="124"/>
      <c r="E14" s="124" t="s">
        <v>43</v>
      </c>
      <c r="F14" s="124" t="s">
        <v>43</v>
      </c>
      <c r="G14" s="124" t="s">
        <v>43</v>
      </c>
      <c r="H14" s="124" t="s">
        <v>54</v>
      </c>
      <c r="I14" s="124" t="s">
        <v>54</v>
      </c>
      <c r="J14" s="125" t="s">
        <v>54</v>
      </c>
      <c r="L14" s="196"/>
      <c r="M14" s="27" t="s">
        <v>41</v>
      </c>
      <c r="N14" s="27" t="s">
        <v>41</v>
      </c>
      <c r="O14" s="33" t="s">
        <v>41</v>
      </c>
      <c r="P14" s="34" t="s">
        <v>41</v>
      </c>
    </row>
    <row r="15" spans="2:17" x14ac:dyDescent="0.3">
      <c r="B15" s="172" t="s">
        <v>189</v>
      </c>
      <c r="C15" s="172" t="s">
        <v>240</v>
      </c>
      <c r="D15" s="172" t="s">
        <v>72</v>
      </c>
      <c r="E15" s="172">
        <v>6.7771703033853599E-10</v>
      </c>
      <c r="F15" s="172">
        <v>1035.5319789528401</v>
      </c>
      <c r="G15" s="172">
        <v>55.1832191787421</v>
      </c>
      <c r="H15" s="172">
        <v>7025.5641534728702</v>
      </c>
      <c r="I15" s="172">
        <v>4.4354556575678003E-9</v>
      </c>
      <c r="J15" s="172">
        <v>1.38453369597557E-8</v>
      </c>
      <c r="K15" s="166"/>
      <c r="L15" s="166" t="s">
        <v>189</v>
      </c>
      <c r="M15">
        <f>+F15</f>
        <v>1035.5319789528401</v>
      </c>
      <c r="N15">
        <f>+G15</f>
        <v>55.1832191787421</v>
      </c>
      <c r="O15" s="18">
        <f t="shared" ref="O15:P19" si="0">+M15*$O$55</f>
        <v>0</v>
      </c>
      <c r="P15" s="19">
        <f t="shared" si="0"/>
        <v>0</v>
      </c>
    </row>
    <row r="16" spans="2:17" x14ac:dyDescent="0.3">
      <c r="B16" s="172" t="s">
        <v>187</v>
      </c>
      <c r="C16" s="172" t="s">
        <v>240</v>
      </c>
      <c r="D16" s="172" t="s">
        <v>72</v>
      </c>
      <c r="E16" s="172">
        <v>6.1516846557345303E-10</v>
      </c>
      <c r="F16" s="172">
        <v>12752.744336001801</v>
      </c>
      <c r="G16" s="172">
        <v>545.73099202050901</v>
      </c>
      <c r="H16" s="172">
        <v>96589.67140264</v>
      </c>
      <c r="I16" s="172">
        <v>165.549657534175</v>
      </c>
      <c r="J16" s="172">
        <v>3106.59593684725</v>
      </c>
      <c r="K16" s="166"/>
      <c r="L16" s="166" t="s">
        <v>187</v>
      </c>
      <c r="M16" s="13">
        <f>+F16-F15</f>
        <v>11717.21235704896</v>
      </c>
      <c r="N16">
        <f>+G16-G15</f>
        <v>490.54777284176691</v>
      </c>
      <c r="O16" s="18">
        <f t="shared" si="0"/>
        <v>0</v>
      </c>
      <c r="P16" s="19">
        <f t="shared" si="0"/>
        <v>0</v>
      </c>
    </row>
    <row r="17" spans="2:16" x14ac:dyDescent="0.3">
      <c r="B17" s="172" t="s">
        <v>185</v>
      </c>
      <c r="C17" s="172" t="s">
        <v>240</v>
      </c>
      <c r="D17" s="172" t="s">
        <v>72</v>
      </c>
      <c r="E17" s="172">
        <v>2.0544727075352699E-9</v>
      </c>
      <c r="F17" s="172">
        <v>25901.166871881502</v>
      </c>
      <c r="G17" s="172">
        <v>1131.90688156842</v>
      </c>
      <c r="H17" s="172">
        <v>197537.38523645201</v>
      </c>
      <c r="I17" s="172">
        <v>2030.4077106095999</v>
      </c>
      <c r="J17" s="172">
        <v>47683.123605651002</v>
      </c>
      <c r="K17" s="166"/>
      <c r="L17" s="166" t="s">
        <v>185</v>
      </c>
      <c r="M17" s="13">
        <f t="shared" ref="M17:M25" si="1">+F17-F16</f>
        <v>13148.422535879701</v>
      </c>
      <c r="N17" s="13">
        <f t="shared" ref="N17:N25" si="2">+G17-G16</f>
        <v>586.17588954791097</v>
      </c>
      <c r="O17" s="18">
        <f t="shared" si="0"/>
        <v>0</v>
      </c>
      <c r="P17" s="19">
        <f t="shared" si="0"/>
        <v>0</v>
      </c>
    </row>
    <row r="18" spans="2:16" x14ac:dyDescent="0.3">
      <c r="B18" s="172" t="s">
        <v>183</v>
      </c>
      <c r="C18" s="172" t="s">
        <v>240</v>
      </c>
      <c r="D18" s="172" t="s">
        <v>72</v>
      </c>
      <c r="E18" s="172">
        <v>3.9836173539898998E-9</v>
      </c>
      <c r="F18" s="172">
        <v>37141.402548542399</v>
      </c>
      <c r="G18" s="172">
        <v>1647.75528930164</v>
      </c>
      <c r="H18" s="172">
        <v>283988.49754165998</v>
      </c>
      <c r="I18" s="172">
        <v>5979.1103716194802</v>
      </c>
      <c r="J18" s="172">
        <v>138046.083108497</v>
      </c>
      <c r="K18" s="166"/>
      <c r="L18" s="166" t="s">
        <v>183</v>
      </c>
      <c r="M18" s="13">
        <f t="shared" si="1"/>
        <v>11240.235676660897</v>
      </c>
      <c r="N18" s="13">
        <f t="shared" si="2"/>
        <v>515.84840773322003</v>
      </c>
      <c r="O18" s="18">
        <f t="shared" si="0"/>
        <v>0</v>
      </c>
      <c r="P18" s="19">
        <f t="shared" si="0"/>
        <v>0</v>
      </c>
    </row>
    <row r="19" spans="2:16" x14ac:dyDescent="0.3">
      <c r="B19" s="172" t="s">
        <v>181</v>
      </c>
      <c r="C19" s="172" t="s">
        <v>240</v>
      </c>
      <c r="D19" s="172" t="s">
        <v>72</v>
      </c>
      <c r="E19" s="172">
        <v>5.4676866732884603E-9</v>
      </c>
      <c r="F19" s="172">
        <v>46746.617741204398</v>
      </c>
      <c r="G19" s="172">
        <v>2095.8378557927899</v>
      </c>
      <c r="H19" s="172">
        <v>358003.66661307099</v>
      </c>
      <c r="I19" s="172">
        <v>11718.261856094099</v>
      </c>
      <c r="J19" s="172">
        <v>266958.45735243801</v>
      </c>
      <c r="K19" s="166"/>
      <c r="L19" s="166" t="s">
        <v>181</v>
      </c>
      <c r="M19" s="13">
        <f t="shared" si="1"/>
        <v>9605.215192661999</v>
      </c>
      <c r="N19" s="13">
        <f t="shared" si="2"/>
        <v>448.08256649114992</v>
      </c>
      <c r="O19" s="18">
        <f t="shared" si="0"/>
        <v>0</v>
      </c>
      <c r="P19" s="19">
        <f t="shared" si="0"/>
        <v>0</v>
      </c>
    </row>
    <row r="20" spans="2:16" s="100" customFormat="1" x14ac:dyDescent="0.3">
      <c r="B20" s="172" t="s">
        <v>179</v>
      </c>
      <c r="C20" s="172" t="s">
        <v>240</v>
      </c>
      <c r="D20" s="172" t="s">
        <v>72</v>
      </c>
      <c r="E20" s="172">
        <v>7.1398138982590801E-9</v>
      </c>
      <c r="F20" s="172">
        <v>55032.5211044237</v>
      </c>
      <c r="G20" s="172">
        <v>2484.9460783258201</v>
      </c>
      <c r="H20" s="172">
        <v>421935.58740300097</v>
      </c>
      <c r="I20" s="172">
        <v>18986.066566234102</v>
      </c>
      <c r="J20" s="172">
        <v>428116.29914608499</v>
      </c>
      <c r="K20" s="166"/>
      <c r="L20" s="166" t="s">
        <v>179</v>
      </c>
      <c r="M20" s="113">
        <f t="shared" si="1"/>
        <v>8285.9033632193023</v>
      </c>
      <c r="N20" s="113">
        <f t="shared" si="2"/>
        <v>389.10822253303013</v>
      </c>
      <c r="O20" s="18">
        <f t="shared" ref="O20:O25" si="3">+M20*$O$55</f>
        <v>0</v>
      </c>
      <c r="P20" s="19">
        <f t="shared" ref="P20:P25" si="4">+N20*$O$55</f>
        <v>0</v>
      </c>
    </row>
    <row r="21" spans="2:16" s="100" customFormat="1" x14ac:dyDescent="0.3">
      <c r="B21" s="172" t="s">
        <v>39</v>
      </c>
      <c r="C21" s="172" t="s">
        <v>240</v>
      </c>
      <c r="D21" s="172" t="s">
        <v>72</v>
      </c>
      <c r="E21" s="172">
        <v>7.5483588097648599E-9</v>
      </c>
      <c r="F21" s="172">
        <v>62223.825509661001</v>
      </c>
      <c r="G21" s="172">
        <v>2822.46522467555</v>
      </c>
      <c r="H21" s="172">
        <v>477437.24979648303</v>
      </c>
      <c r="I21" s="172">
        <v>27554.632096096098</v>
      </c>
      <c r="J21" s="172">
        <v>616427.046506193</v>
      </c>
      <c r="K21" s="166"/>
      <c r="L21" s="166" t="s">
        <v>39</v>
      </c>
      <c r="M21" s="113">
        <f t="shared" si="1"/>
        <v>7191.3044052373007</v>
      </c>
      <c r="N21" s="113">
        <f t="shared" si="2"/>
        <v>337.51914634972991</v>
      </c>
      <c r="O21" s="18">
        <f t="shared" si="3"/>
        <v>0</v>
      </c>
      <c r="P21" s="19">
        <f t="shared" si="4"/>
        <v>0</v>
      </c>
    </row>
    <row r="22" spans="2:16" s="100" customFormat="1" x14ac:dyDescent="0.3">
      <c r="B22" s="172" t="s">
        <v>26</v>
      </c>
      <c r="C22" s="172" t="s">
        <v>240</v>
      </c>
      <c r="D22" s="172" t="s">
        <v>72</v>
      </c>
      <c r="E22" s="172">
        <v>8.0827951369984003E-9</v>
      </c>
      <c r="F22" s="172">
        <v>68496.456311690403</v>
      </c>
      <c r="G22" s="172">
        <v>3113.4202481733</v>
      </c>
      <c r="H22" s="172">
        <v>525754.83148175199</v>
      </c>
      <c r="I22" s="172">
        <v>37228.5540700622</v>
      </c>
      <c r="J22" s="172">
        <v>827757.994696446</v>
      </c>
      <c r="K22" s="166"/>
      <c r="L22" s="166" t="s">
        <v>26</v>
      </c>
      <c r="M22" s="113">
        <f t="shared" si="1"/>
        <v>6272.6308020294018</v>
      </c>
      <c r="N22" s="113">
        <f t="shared" si="2"/>
        <v>290.95502349775006</v>
      </c>
      <c r="O22" s="18">
        <f t="shared" si="3"/>
        <v>0</v>
      </c>
      <c r="P22" s="19">
        <f t="shared" si="4"/>
        <v>0</v>
      </c>
    </row>
    <row r="23" spans="2:16" s="100" customFormat="1" x14ac:dyDescent="0.3">
      <c r="B23" s="172" t="s">
        <v>25</v>
      </c>
      <c r="C23" s="172" t="s">
        <v>240</v>
      </c>
      <c r="D23" s="172" t="s">
        <v>72</v>
      </c>
      <c r="E23" s="172">
        <v>8.9629984713197805E-9</v>
      </c>
      <c r="F23" s="172">
        <v>73804.167515948298</v>
      </c>
      <c r="G23" s="172">
        <v>3353.1088521073402</v>
      </c>
      <c r="H23" s="172">
        <v>566541.08380361099</v>
      </c>
      <c r="I23" s="172">
        <v>47838.849878363799</v>
      </c>
      <c r="J23" s="172">
        <v>1058768.6844037501</v>
      </c>
      <c r="K23" s="166"/>
      <c r="L23" s="166" t="s">
        <v>25</v>
      </c>
      <c r="M23" s="113">
        <f t="shared" si="1"/>
        <v>5307.7112042578956</v>
      </c>
      <c r="N23" s="113">
        <f t="shared" si="2"/>
        <v>239.6886039340402</v>
      </c>
      <c r="O23" s="18">
        <f t="shared" si="3"/>
        <v>0</v>
      </c>
      <c r="P23" s="19">
        <f t="shared" si="4"/>
        <v>0</v>
      </c>
    </row>
    <row r="24" spans="2:16" s="100" customFormat="1" x14ac:dyDescent="0.3">
      <c r="B24" s="172" t="s">
        <v>24</v>
      </c>
      <c r="C24" s="172" t="s">
        <v>240</v>
      </c>
      <c r="D24" s="172" t="s">
        <v>72</v>
      </c>
      <c r="E24" s="172">
        <v>9.8471444148213992E-9</v>
      </c>
      <c r="F24" s="172">
        <v>77907.9829455133</v>
      </c>
      <c r="G24" s="172">
        <v>3529.8352917401799</v>
      </c>
      <c r="H24" s="172">
        <v>597984.37683602097</v>
      </c>
      <c r="I24" s="172">
        <v>59217.103730002702</v>
      </c>
      <c r="J24" s="172">
        <v>1306328.7192029001</v>
      </c>
      <c r="K24" s="166"/>
      <c r="L24" s="166" t="s">
        <v>24</v>
      </c>
      <c r="M24" s="113">
        <f t="shared" si="1"/>
        <v>4103.815429565002</v>
      </c>
      <c r="N24" s="113">
        <f t="shared" si="2"/>
        <v>176.72643963283963</v>
      </c>
      <c r="O24" s="18">
        <f t="shared" si="3"/>
        <v>0</v>
      </c>
      <c r="P24" s="19">
        <f t="shared" si="4"/>
        <v>0</v>
      </c>
    </row>
    <row r="25" spans="2:16" s="100" customFormat="1" ht="15" thickBot="1" x14ac:dyDescent="0.35">
      <c r="B25" s="172" t="s">
        <v>22</v>
      </c>
      <c r="C25" s="172" t="s">
        <v>240</v>
      </c>
      <c r="D25" s="172" t="s">
        <v>72</v>
      </c>
      <c r="E25" s="172">
        <v>9.8671034145133403E-9</v>
      </c>
      <c r="F25" s="172">
        <v>80324.524779868807</v>
      </c>
      <c r="G25" s="172">
        <v>3625.24790441302</v>
      </c>
      <c r="H25" s="172">
        <v>616404.49775663705</v>
      </c>
      <c r="I25" s="172">
        <v>71177.680904203604</v>
      </c>
      <c r="J25" s="172">
        <v>1567009.4042056601</v>
      </c>
      <c r="K25" s="166"/>
      <c r="L25" s="166" t="s">
        <v>22</v>
      </c>
      <c r="M25" s="113">
        <f t="shared" si="1"/>
        <v>2416.5418343555066</v>
      </c>
      <c r="N25" s="113">
        <f t="shared" si="2"/>
        <v>95.412612672840169</v>
      </c>
      <c r="O25" s="30">
        <f t="shared" si="3"/>
        <v>0</v>
      </c>
      <c r="P25" s="24">
        <f t="shared" si="4"/>
        <v>0</v>
      </c>
    </row>
    <row r="26" spans="2:16" s="100" customFormat="1" x14ac:dyDescent="0.3">
      <c r="B26" s="53"/>
      <c r="C26" s="53"/>
      <c r="D26" s="53"/>
      <c r="E26" s="53"/>
      <c r="F26" s="78"/>
      <c r="G26" s="53"/>
      <c r="H26" s="53"/>
      <c r="I26" s="53"/>
      <c r="J26" s="53"/>
      <c r="O26" s="14"/>
      <c r="P26" s="14"/>
    </row>
    <row r="27" spans="2:16" s="100" customFormat="1" x14ac:dyDescent="0.3">
      <c r="B27" s="53"/>
      <c r="C27" s="53"/>
      <c r="D27" s="53"/>
      <c r="E27" s="53"/>
      <c r="F27" s="78"/>
      <c r="G27" s="53"/>
      <c r="H27" s="53"/>
      <c r="I27" s="53"/>
      <c r="J27" s="53"/>
      <c r="O27" s="14"/>
      <c r="P27" s="14"/>
    </row>
    <row r="28" spans="2:16" s="100" customFormat="1" x14ac:dyDescent="0.3">
      <c r="B28" s="53"/>
      <c r="C28" s="53"/>
      <c r="D28" s="53"/>
      <c r="E28" s="53"/>
      <c r="F28" s="78"/>
      <c r="G28" s="53"/>
      <c r="H28" s="53"/>
      <c r="I28" s="53"/>
      <c r="J28" s="53"/>
      <c r="O28" s="14"/>
      <c r="P28" s="14"/>
    </row>
    <row r="30" spans="2:16" ht="15" thickBot="1" x14ac:dyDescent="0.35"/>
    <row r="31" spans="2:16" x14ac:dyDescent="0.3">
      <c r="B31" s="126" t="s">
        <v>45</v>
      </c>
      <c r="C31" s="127"/>
      <c r="D31" s="127"/>
      <c r="E31" s="127"/>
      <c r="F31" s="127"/>
      <c r="G31" s="127"/>
      <c r="H31" s="127"/>
      <c r="I31" s="127"/>
      <c r="J31" s="127"/>
      <c r="L31" s="196" t="s">
        <v>61</v>
      </c>
      <c r="M31" s="196"/>
      <c r="N31" s="196"/>
      <c r="O31" s="175" t="s">
        <v>66</v>
      </c>
      <c r="P31" s="176"/>
    </row>
    <row r="32" spans="2:16" x14ac:dyDescent="0.3">
      <c r="B32" s="128" t="s">
        <v>9</v>
      </c>
      <c r="C32" s="128" t="s">
        <v>46</v>
      </c>
      <c r="D32" s="128" t="s">
        <v>47</v>
      </c>
      <c r="E32" s="128" t="s">
        <v>48</v>
      </c>
      <c r="F32" s="128" t="s">
        <v>49</v>
      </c>
      <c r="G32" s="128" t="s">
        <v>50</v>
      </c>
      <c r="H32" s="128" t="s">
        <v>51</v>
      </c>
      <c r="I32" s="128" t="s">
        <v>52</v>
      </c>
      <c r="J32" s="129" t="s">
        <v>53</v>
      </c>
      <c r="L32" s="196" t="s">
        <v>65</v>
      </c>
      <c r="M32" s="28" t="s">
        <v>62</v>
      </c>
      <c r="N32" s="28" t="s">
        <v>63</v>
      </c>
      <c r="O32" s="31" t="s">
        <v>62</v>
      </c>
      <c r="P32" s="32" t="s">
        <v>63</v>
      </c>
    </row>
    <row r="33" spans="2:16" x14ac:dyDescent="0.3">
      <c r="B33" s="130"/>
      <c r="C33" s="130"/>
      <c r="D33" s="130"/>
      <c r="E33" s="130" t="s">
        <v>43</v>
      </c>
      <c r="F33" s="130" t="s">
        <v>43</v>
      </c>
      <c r="G33" s="130" t="s">
        <v>43</v>
      </c>
      <c r="H33" s="130" t="s">
        <v>54</v>
      </c>
      <c r="I33" s="130" t="s">
        <v>54</v>
      </c>
      <c r="J33" s="131" t="s">
        <v>54</v>
      </c>
      <c r="L33" s="196"/>
      <c r="M33" s="27" t="s">
        <v>41</v>
      </c>
      <c r="N33" s="27" t="s">
        <v>41</v>
      </c>
      <c r="O33" s="33" t="s">
        <v>41</v>
      </c>
      <c r="P33" s="34" t="s">
        <v>41</v>
      </c>
    </row>
    <row r="34" spans="2:16" x14ac:dyDescent="0.3">
      <c r="B34" s="172" t="s">
        <v>189</v>
      </c>
      <c r="C34" s="172" t="s">
        <v>243</v>
      </c>
      <c r="D34" s="172" t="s">
        <v>72</v>
      </c>
      <c r="E34" s="172">
        <v>8.4739326312328802E-11</v>
      </c>
      <c r="F34" s="172">
        <v>78.932148864697197</v>
      </c>
      <c r="G34" s="172">
        <v>724.09298889982301</v>
      </c>
      <c r="H34" s="172">
        <v>13349.6187499141</v>
      </c>
      <c r="I34" s="172">
        <v>3.5258191814921001E-10</v>
      </c>
      <c r="J34" s="172">
        <v>1.66929641347466E-9</v>
      </c>
      <c r="L34" s="113" t="s">
        <v>189</v>
      </c>
      <c r="M34" s="13">
        <f>+F34</f>
        <v>78.932148864697197</v>
      </c>
      <c r="N34" s="13">
        <f>+G34</f>
        <v>724.09298889982301</v>
      </c>
      <c r="O34" s="18">
        <f>+M34*$O$56</f>
        <v>91.414510168314791</v>
      </c>
      <c r="P34" s="19">
        <f>+N34*$O$56</f>
        <v>838.60134113481979</v>
      </c>
    </row>
    <row r="35" spans="2:16" x14ac:dyDescent="0.3">
      <c r="B35" s="172" t="s">
        <v>187</v>
      </c>
      <c r="C35" s="172" t="s">
        <v>243</v>
      </c>
      <c r="D35" s="172" t="s">
        <v>72</v>
      </c>
      <c r="E35" s="172">
        <v>9.3991121316126295E-10</v>
      </c>
      <c r="F35" s="172">
        <v>529.51424329036104</v>
      </c>
      <c r="G35" s="172">
        <v>11066.4773864871</v>
      </c>
      <c r="H35" s="172">
        <v>91119.041615678201</v>
      </c>
      <c r="I35" s="172">
        <v>2172.2789666844401</v>
      </c>
      <c r="J35" s="172">
        <v>236.79644659526099</v>
      </c>
      <c r="L35" s="113" t="s">
        <v>187</v>
      </c>
      <c r="M35" s="13">
        <f>+F35-F34</f>
        <v>450.58209442566385</v>
      </c>
      <c r="N35" s="13">
        <f>+G35-G34</f>
        <v>10342.384397587277</v>
      </c>
      <c r="O35" s="18">
        <f t="shared" ref="O35:P44" si="5">+M35*$O$56</f>
        <v>521.83732541149334</v>
      </c>
      <c r="P35" s="19">
        <f t="shared" si="5"/>
        <v>11977.93316508474</v>
      </c>
    </row>
    <row r="36" spans="2:16" x14ac:dyDescent="0.3">
      <c r="B36" s="172" t="s">
        <v>185</v>
      </c>
      <c r="C36" s="172" t="s">
        <v>243</v>
      </c>
      <c r="D36" s="172" t="s">
        <v>72</v>
      </c>
      <c r="E36" s="172">
        <v>8.6223241294238795E-10</v>
      </c>
      <c r="F36" s="172">
        <v>1120.15691804223</v>
      </c>
      <c r="G36" s="172">
        <v>22524.356033558401</v>
      </c>
      <c r="H36" s="172">
        <v>177322.33512760399</v>
      </c>
      <c r="I36" s="172">
        <v>40614.649892038702</v>
      </c>
      <c r="J36" s="172">
        <v>1948.34099187122</v>
      </c>
      <c r="L36" s="113" t="s">
        <v>185</v>
      </c>
      <c r="M36" s="13">
        <f t="shared" ref="M36:M44" si="6">+F36-F35</f>
        <v>590.64267475186898</v>
      </c>
      <c r="N36" s="13">
        <f t="shared" ref="N36:N44" si="7">+G36-G35</f>
        <v>11457.8786470713</v>
      </c>
      <c r="O36" s="18">
        <f t="shared" si="5"/>
        <v>684.04714141887689</v>
      </c>
      <c r="P36" s="19">
        <f t="shared" si="5"/>
        <v>13269.832117271528</v>
      </c>
    </row>
    <row r="37" spans="2:16" x14ac:dyDescent="0.3">
      <c r="B37" s="172" t="s">
        <v>183</v>
      </c>
      <c r="C37" s="172" t="s">
        <v>243</v>
      </c>
      <c r="D37" s="172" t="s">
        <v>72</v>
      </c>
      <c r="E37" s="172">
        <v>4.7706679669129596E-10</v>
      </c>
      <c r="F37" s="172">
        <v>1641.7644286493201</v>
      </c>
      <c r="G37" s="172">
        <v>32018.796315326399</v>
      </c>
      <c r="H37" s="172">
        <v>250008.34429776101</v>
      </c>
      <c r="I37" s="172">
        <v>119241.967471007</v>
      </c>
      <c r="J37" s="172">
        <v>5839.0076975778602</v>
      </c>
      <c r="L37" s="113" t="s">
        <v>183</v>
      </c>
      <c r="M37" s="13">
        <f t="shared" si="6"/>
        <v>521.60751060709003</v>
      </c>
      <c r="N37" s="13">
        <f t="shared" si="7"/>
        <v>9494.4402817679984</v>
      </c>
      <c r="O37" s="18">
        <f t="shared" si="5"/>
        <v>604.09472905643179</v>
      </c>
      <c r="P37" s="19">
        <f t="shared" si="5"/>
        <v>10995.894830735111</v>
      </c>
    </row>
    <row r="38" spans="2:16" x14ac:dyDescent="0.3">
      <c r="B38" s="172" t="s">
        <v>181</v>
      </c>
      <c r="C38" s="172" t="s">
        <v>243</v>
      </c>
      <c r="D38" s="172" t="s">
        <v>72</v>
      </c>
      <c r="E38" s="172">
        <v>2.9096495188370498E-10</v>
      </c>
      <c r="F38" s="172">
        <v>2095.26038050844</v>
      </c>
      <c r="G38" s="172">
        <v>39911.707285002703</v>
      </c>
      <c r="H38" s="172">
        <v>311111.65873515198</v>
      </c>
      <c r="I38" s="172">
        <v>230327.36082048301</v>
      </c>
      <c r="J38" s="172">
        <v>11556.4330691461</v>
      </c>
      <c r="L38" s="113" t="s">
        <v>181</v>
      </c>
      <c r="M38" s="13">
        <f t="shared" si="6"/>
        <v>453.49595185911994</v>
      </c>
      <c r="N38" s="13">
        <f t="shared" si="7"/>
        <v>7892.9109696763044</v>
      </c>
      <c r="O38" s="18">
        <f t="shared" si="5"/>
        <v>525.21198141428738</v>
      </c>
      <c r="P38" s="19">
        <f t="shared" si="5"/>
        <v>9141.0990385159057</v>
      </c>
    </row>
    <row r="39" spans="2:16" s="100" customFormat="1" x14ac:dyDescent="0.3">
      <c r="B39" s="172" t="s">
        <v>179</v>
      </c>
      <c r="C39" s="172" t="s">
        <v>243</v>
      </c>
      <c r="D39" s="172" t="s">
        <v>72</v>
      </c>
      <c r="E39" s="172">
        <v>1.0555556368832699E-9</v>
      </c>
      <c r="F39" s="172">
        <v>2488.9109357480002</v>
      </c>
      <c r="G39" s="172">
        <v>46619.2460298769</v>
      </c>
      <c r="H39" s="172">
        <v>363422.141818206</v>
      </c>
      <c r="I39" s="172">
        <v>367605.84532729001</v>
      </c>
      <c r="J39" s="172">
        <v>18828.303626007499</v>
      </c>
      <c r="L39" s="113" t="s">
        <v>179</v>
      </c>
      <c r="M39" s="113">
        <f t="shared" si="6"/>
        <v>393.65055523956016</v>
      </c>
      <c r="N39" s="113">
        <f t="shared" si="7"/>
        <v>6707.5387448741967</v>
      </c>
      <c r="O39" s="18">
        <f t="shared" si="5"/>
        <v>455.90261005556096</v>
      </c>
      <c r="P39" s="19">
        <f t="shared" si="5"/>
        <v>7768.2715803003994</v>
      </c>
    </row>
    <row r="40" spans="2:16" s="100" customFormat="1" x14ac:dyDescent="0.3">
      <c r="B40" s="172" t="s">
        <v>39</v>
      </c>
      <c r="C40" s="172" t="s">
        <v>243</v>
      </c>
      <c r="D40" s="172" t="s">
        <v>72</v>
      </c>
      <c r="E40" s="172">
        <v>1.4131936466982601E-9</v>
      </c>
      <c r="F40" s="172">
        <v>2829.2198716224898</v>
      </c>
      <c r="G40" s="172">
        <v>52470.152076903003</v>
      </c>
      <c r="H40" s="172">
        <v>409109.572112592</v>
      </c>
      <c r="I40" s="172">
        <v>526346.69166555104</v>
      </c>
      <c r="J40" s="172">
        <v>27421.330020466099</v>
      </c>
      <c r="L40" s="13" t="s">
        <v>39</v>
      </c>
      <c r="M40" s="113">
        <f t="shared" si="6"/>
        <v>340.30893587448963</v>
      </c>
      <c r="N40" s="113">
        <f t="shared" si="7"/>
        <v>5850.9060470261029</v>
      </c>
      <c r="O40" s="18">
        <f t="shared" si="5"/>
        <v>394.12552586390632</v>
      </c>
      <c r="P40" s="19">
        <f t="shared" si="5"/>
        <v>6776.1706481164856</v>
      </c>
    </row>
    <row r="41" spans="2:16" s="100" customFormat="1" x14ac:dyDescent="0.3">
      <c r="B41" s="172" t="s">
        <v>26</v>
      </c>
      <c r="C41" s="172" t="s">
        <v>243</v>
      </c>
      <c r="D41" s="172" t="s">
        <v>72</v>
      </c>
      <c r="E41" s="172">
        <v>7.2737610904511404E-10</v>
      </c>
      <c r="F41" s="172">
        <v>3120.0462013292399</v>
      </c>
      <c r="G41" s="172">
        <v>57668.827182291599</v>
      </c>
      <c r="H41" s="172">
        <v>449755.03193177702</v>
      </c>
      <c r="I41" s="172">
        <v>703126.47271597595</v>
      </c>
      <c r="J41" s="172">
        <v>37134.072421885001</v>
      </c>
      <c r="L41" s="13" t="s">
        <v>26</v>
      </c>
      <c r="M41" s="113">
        <f t="shared" si="6"/>
        <v>290.82632970675013</v>
      </c>
      <c r="N41" s="113">
        <f t="shared" si="7"/>
        <v>5198.6751053885964</v>
      </c>
      <c r="O41" s="18">
        <f t="shared" si="5"/>
        <v>336.81772074600121</v>
      </c>
      <c r="P41" s="19">
        <f t="shared" si="5"/>
        <v>6020.7956468781977</v>
      </c>
    </row>
    <row r="42" spans="2:16" s="100" customFormat="1" x14ac:dyDescent="0.3">
      <c r="B42" s="172" t="s">
        <v>25</v>
      </c>
      <c r="C42" s="172" t="s">
        <v>243</v>
      </c>
      <c r="D42" s="172" t="s">
        <v>72</v>
      </c>
      <c r="E42" s="172">
        <v>1.57266279872005E-9</v>
      </c>
      <c r="F42" s="172">
        <v>3357.6666664078498</v>
      </c>
      <c r="G42" s="172">
        <v>62182.939060496203</v>
      </c>
      <c r="H42" s="172">
        <v>484663.06447402801</v>
      </c>
      <c r="I42" s="172">
        <v>895489.54191024101</v>
      </c>
      <c r="J42" s="172">
        <v>47788.551157082999</v>
      </c>
      <c r="L42" s="13" t="s">
        <v>25</v>
      </c>
      <c r="M42" s="113">
        <f t="shared" si="6"/>
        <v>237.62046507860987</v>
      </c>
      <c r="N42" s="113">
        <f t="shared" si="7"/>
        <v>4514.1118782046033</v>
      </c>
      <c r="O42" s="18">
        <f t="shared" si="5"/>
        <v>275.19785959917692</v>
      </c>
      <c r="P42" s="19">
        <f t="shared" si="5"/>
        <v>5227.9753196432666</v>
      </c>
    </row>
    <row r="43" spans="2:16" s="100" customFormat="1" x14ac:dyDescent="0.3">
      <c r="B43" s="172" t="s">
        <v>24</v>
      </c>
      <c r="C43" s="172" t="s">
        <v>243</v>
      </c>
      <c r="D43" s="172" t="s">
        <v>72</v>
      </c>
      <c r="E43" s="172">
        <v>2.0312225208005202E-9</v>
      </c>
      <c r="F43" s="172">
        <v>3531.6092132940598</v>
      </c>
      <c r="G43" s="172">
        <v>65772.772004083497</v>
      </c>
      <c r="H43" s="172">
        <v>512134.76400880603</v>
      </c>
      <c r="I43" s="172">
        <v>1101334.7828579</v>
      </c>
      <c r="J43" s="172">
        <v>59208.588271834597</v>
      </c>
      <c r="L43" s="13" t="s">
        <v>24</v>
      </c>
      <c r="M43" s="113">
        <f t="shared" si="6"/>
        <v>173.94254688621004</v>
      </c>
      <c r="N43" s="113">
        <f t="shared" si="7"/>
        <v>3589.8329435872947</v>
      </c>
      <c r="O43" s="18">
        <f t="shared" si="5"/>
        <v>201.44989018718792</v>
      </c>
      <c r="P43" s="19">
        <f t="shared" si="5"/>
        <v>4157.5305479980998</v>
      </c>
    </row>
    <row r="44" spans="2:16" s="100" customFormat="1" ht="15" thickBot="1" x14ac:dyDescent="0.35">
      <c r="B44" s="172" t="s">
        <v>22</v>
      </c>
      <c r="C44" s="172" t="s">
        <v>243</v>
      </c>
      <c r="D44" s="172" t="s">
        <v>72</v>
      </c>
      <c r="E44" s="172">
        <v>2.23861576014385E-9</v>
      </c>
      <c r="F44" s="172">
        <v>3625.29606553854</v>
      </c>
      <c r="G44" s="172">
        <v>67924.953457867305</v>
      </c>
      <c r="H44" s="172">
        <v>528763.87742634804</v>
      </c>
      <c r="I44" s="172">
        <v>1318348.3173811301</v>
      </c>
      <c r="J44" s="172">
        <v>71202.910381299298</v>
      </c>
      <c r="L44" s="13" t="s">
        <v>22</v>
      </c>
      <c r="M44" s="113">
        <f t="shared" si="6"/>
        <v>93.686852244480178</v>
      </c>
      <c r="N44" s="113">
        <f t="shared" si="7"/>
        <v>2152.1814537838072</v>
      </c>
      <c r="O44" s="30">
        <f t="shared" si="5"/>
        <v>108.50252818811678</v>
      </c>
      <c r="P44" s="24">
        <f t="shared" si="5"/>
        <v>2492.5282818313285</v>
      </c>
    </row>
    <row r="45" spans="2:16" s="100" customFormat="1" x14ac:dyDescent="0.3">
      <c r="B45" s="53"/>
      <c r="C45" s="53"/>
      <c r="D45" s="53"/>
      <c r="E45" s="53"/>
      <c r="F45" s="53"/>
      <c r="G45" s="78"/>
      <c r="H45" s="53"/>
      <c r="I45" s="53"/>
      <c r="J45" s="53"/>
      <c r="O45" s="14"/>
      <c r="P45" s="14"/>
    </row>
    <row r="46" spans="2:16" s="100" customFormat="1" x14ac:dyDescent="0.3">
      <c r="B46" s="53"/>
      <c r="C46" s="53"/>
      <c r="D46" s="53"/>
      <c r="E46" s="53"/>
      <c r="F46" s="53"/>
      <c r="G46" s="78"/>
      <c r="H46" s="53"/>
      <c r="I46" s="53"/>
      <c r="J46" s="53"/>
      <c r="O46" s="14"/>
      <c r="P46" s="14"/>
    </row>
    <row r="48" spans="2:16" ht="15" thickBot="1" x14ac:dyDescent="0.35"/>
    <row r="49" spans="2:16" x14ac:dyDescent="0.3">
      <c r="B49" s="97"/>
      <c r="C49" s="75"/>
      <c r="D49" s="75"/>
      <c r="E49" s="75"/>
      <c r="F49" s="75"/>
      <c r="G49" s="75"/>
      <c r="L49" s="200" t="s">
        <v>57</v>
      </c>
      <c r="M49" s="201"/>
      <c r="N49" s="201"/>
      <c r="O49" s="201"/>
      <c r="P49" s="105"/>
    </row>
    <row r="50" spans="2:16" x14ac:dyDescent="0.3">
      <c r="B50" s="98"/>
      <c r="C50" s="98"/>
      <c r="D50" s="98"/>
      <c r="E50" s="98"/>
      <c r="F50" s="98"/>
      <c r="G50" s="76"/>
      <c r="L50" s="18"/>
      <c r="M50" s="14" t="s">
        <v>128</v>
      </c>
      <c r="N50" s="15" t="s">
        <v>41</v>
      </c>
      <c r="O50" s="14"/>
      <c r="P50" s="106" t="s">
        <v>41</v>
      </c>
    </row>
    <row r="51" spans="2:16" x14ac:dyDescent="0.3">
      <c r="B51" s="99"/>
      <c r="C51" s="99"/>
      <c r="D51" s="99"/>
      <c r="E51" s="99"/>
      <c r="F51" s="99"/>
      <c r="G51" s="77"/>
      <c r="L51" s="20" t="s">
        <v>49</v>
      </c>
      <c r="M51" s="104" t="s">
        <v>58</v>
      </c>
      <c r="N51" s="14">
        <f>+P5*0.9</f>
        <v>78359.942208333334</v>
      </c>
      <c r="O51" s="14" t="str">
        <f>+K10</f>
        <v>USAR TA</v>
      </c>
      <c r="P51" s="107">
        <f>+IF(O51="USAR TA",(I10),N51)</f>
        <v>78666.632517509875</v>
      </c>
    </row>
    <row r="52" spans="2:16" x14ac:dyDescent="0.3">
      <c r="B52" s="75"/>
      <c r="C52" s="75"/>
      <c r="D52" s="75"/>
      <c r="E52" s="75"/>
      <c r="F52" s="75"/>
      <c r="G52" s="75"/>
      <c r="L52" s="20" t="s">
        <v>50</v>
      </c>
      <c r="M52" s="104" t="s">
        <v>59</v>
      </c>
      <c r="N52" s="14">
        <f>+P6*0.9</f>
        <v>72869.203981391212</v>
      </c>
      <c r="O52" s="14" t="str">
        <f>+K11</f>
        <v>USAR TA</v>
      </c>
      <c r="P52" s="107">
        <f>+IF(O52="USAR TB",(N52),I11)</f>
        <v>78666.632517509875</v>
      </c>
    </row>
    <row r="53" spans="2:16" x14ac:dyDescent="0.3">
      <c r="B53" s="75"/>
      <c r="C53" s="75"/>
      <c r="D53" s="75"/>
      <c r="E53" s="75"/>
      <c r="F53" s="75"/>
      <c r="G53" s="75"/>
      <c r="L53" s="18"/>
      <c r="M53" s="14"/>
      <c r="N53" s="14"/>
      <c r="O53" s="14"/>
      <c r="P53" s="19"/>
    </row>
    <row r="54" spans="2:16" x14ac:dyDescent="0.3">
      <c r="B54" s="75"/>
      <c r="C54" s="75"/>
      <c r="D54" s="75"/>
      <c r="E54" s="75"/>
      <c r="F54" s="75"/>
      <c r="G54" s="75"/>
      <c r="L54" s="25" t="s">
        <v>60</v>
      </c>
      <c r="M54" s="15" t="s">
        <v>41</v>
      </c>
      <c r="N54" s="14"/>
      <c r="O54" s="14"/>
      <c r="P54" s="19"/>
    </row>
    <row r="55" spans="2:16" x14ac:dyDescent="0.3">
      <c r="B55" s="75"/>
      <c r="C55" s="75"/>
      <c r="D55" s="75"/>
      <c r="E55" s="75"/>
      <c r="F55" s="75"/>
      <c r="G55" s="75"/>
      <c r="L55" s="21" t="s">
        <v>49</v>
      </c>
      <c r="M55" s="15">
        <f>+F25</f>
        <v>80324.524779868807</v>
      </c>
      <c r="N55" s="16">
        <f>+IF(M55&lt;P51,"ESCALAR",N51)</f>
        <v>78359.942208333334</v>
      </c>
      <c r="O55" s="14" t="b">
        <f>+IF(N55="ESCALAR",(P51/M55))</f>
        <v>0</v>
      </c>
      <c r="P55" s="19">
        <f>+M55*O55</f>
        <v>0</v>
      </c>
    </row>
    <row r="56" spans="2:16" ht="15" thickBot="1" x14ac:dyDescent="0.35">
      <c r="B56" s="75"/>
      <c r="C56" s="75"/>
      <c r="D56" s="75"/>
      <c r="E56" s="75"/>
      <c r="F56" s="75"/>
      <c r="G56" s="75"/>
      <c r="L56" s="22" t="s">
        <v>50</v>
      </c>
      <c r="M56" s="26">
        <f>+G44</f>
        <v>67924.953457867305</v>
      </c>
      <c r="N56" s="112" t="str">
        <f>+IF(M56&lt;P52,"ESCALAR",M56)</f>
        <v>ESCALAR</v>
      </c>
      <c r="O56" s="23">
        <f>+IF(N56="ESCALAR",(P52/M56))</f>
        <v>1.1581403963170245</v>
      </c>
      <c r="P56" s="24">
        <f>+M56*O56</f>
        <v>78666.632517509875</v>
      </c>
    </row>
    <row r="57" spans="2:16" x14ac:dyDescent="0.3">
      <c r="B57" s="75"/>
      <c r="C57" s="75"/>
      <c r="D57" s="75"/>
      <c r="E57" s="75"/>
      <c r="F57" s="75"/>
      <c r="G57" s="75"/>
    </row>
    <row r="58" spans="2:16" x14ac:dyDescent="0.3">
      <c r="B58" s="75"/>
      <c r="C58" s="75"/>
      <c r="D58" s="75"/>
      <c r="E58" s="75"/>
      <c r="F58" s="75"/>
      <c r="G58" s="75"/>
    </row>
    <row r="59" spans="2:16" x14ac:dyDescent="0.3">
      <c r="B59" s="167" t="s">
        <v>222</v>
      </c>
      <c r="C59" s="168"/>
      <c r="D59" s="168"/>
      <c r="E59" s="168"/>
      <c r="F59" s="168"/>
      <c r="G59" s="168"/>
      <c r="H59" s="168"/>
      <c r="I59" s="168"/>
      <c r="J59" s="168"/>
      <c r="K59" s="168"/>
      <c r="L59" s="168"/>
      <c r="M59" s="168"/>
      <c r="N59" s="168"/>
      <c r="O59" s="168"/>
      <c r="P59" s="168"/>
    </row>
    <row r="60" spans="2:16" x14ac:dyDescent="0.3">
      <c r="B60" s="169" t="s">
        <v>223</v>
      </c>
      <c r="C60" s="169" t="s">
        <v>224</v>
      </c>
      <c r="D60" s="169" t="s">
        <v>225</v>
      </c>
      <c r="E60" s="169" t="s">
        <v>226</v>
      </c>
      <c r="F60" s="169" t="s">
        <v>227</v>
      </c>
      <c r="G60" s="169" t="s">
        <v>228</v>
      </c>
      <c r="H60" s="169" t="s">
        <v>229</v>
      </c>
      <c r="I60" s="169" t="s">
        <v>230</v>
      </c>
      <c r="J60" s="169" t="s">
        <v>231</v>
      </c>
      <c r="K60" s="169" t="s">
        <v>232</v>
      </c>
      <c r="L60" s="169" t="s">
        <v>233</v>
      </c>
      <c r="M60" s="169" t="s">
        <v>234</v>
      </c>
      <c r="N60" s="169" t="s">
        <v>235</v>
      </c>
      <c r="O60" s="169" t="s">
        <v>236</v>
      </c>
      <c r="P60" s="170" t="s">
        <v>237</v>
      </c>
    </row>
    <row r="61" spans="2:16" x14ac:dyDescent="0.3">
      <c r="B61" s="173"/>
      <c r="C61" s="173"/>
      <c r="D61" s="173" t="s">
        <v>215</v>
      </c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4"/>
    </row>
    <row r="62" spans="2:16" x14ac:dyDescent="0.3">
      <c r="B62" s="172" t="s">
        <v>238</v>
      </c>
      <c r="C62" s="172">
        <v>1</v>
      </c>
      <c r="D62" s="172">
        <v>1.5125884153012901</v>
      </c>
      <c r="E62" s="172">
        <v>1.7123797038195499E-3</v>
      </c>
      <c r="F62" s="172">
        <v>0.75969771205386905</v>
      </c>
      <c r="G62" s="172">
        <v>0</v>
      </c>
      <c r="H62" s="172">
        <v>1.7123797038195499E-3</v>
      </c>
      <c r="I62" s="172">
        <v>0.75969771205386905</v>
      </c>
      <c r="J62" s="172">
        <v>0</v>
      </c>
      <c r="K62" s="172">
        <v>0.17031648887999701</v>
      </c>
      <c r="L62" s="172">
        <v>3.68574854275005E-4</v>
      </c>
      <c r="M62" s="172">
        <v>6.1961861607885999E-2</v>
      </c>
      <c r="N62" s="172">
        <v>0.17031648887999701</v>
      </c>
      <c r="O62" s="172">
        <v>3.68574854275005E-4</v>
      </c>
      <c r="P62" s="172">
        <v>6.1961861607885999E-2</v>
      </c>
    </row>
    <row r="63" spans="2:16" x14ac:dyDescent="0.3">
      <c r="B63" s="172" t="s">
        <v>238</v>
      </c>
      <c r="C63" s="172">
        <v>2</v>
      </c>
      <c r="D63" s="172">
        <v>1.3564245682992899</v>
      </c>
      <c r="E63" s="172">
        <v>0.82709225669847997</v>
      </c>
      <c r="F63" s="172">
        <v>1.9246828896287899E-3</v>
      </c>
      <c r="G63" s="172">
        <v>0</v>
      </c>
      <c r="H63" s="172">
        <v>0.82880463640229896</v>
      </c>
      <c r="I63" s="172">
        <v>0.76162239494349704</v>
      </c>
      <c r="J63" s="172">
        <v>0</v>
      </c>
      <c r="K63" s="172">
        <v>3.9860029038682698E-4</v>
      </c>
      <c r="L63" s="172">
        <v>0.17968290957538499</v>
      </c>
      <c r="M63" s="172">
        <v>4.0487744802963699E-6</v>
      </c>
      <c r="N63" s="172">
        <v>0.170715089170384</v>
      </c>
      <c r="O63" s="172">
        <v>0.18005148442966001</v>
      </c>
      <c r="P63" s="172">
        <v>6.1965910382366297E-2</v>
      </c>
    </row>
    <row r="64" spans="2:16" x14ac:dyDescent="0.3">
      <c r="B64" s="172" t="s">
        <v>238</v>
      </c>
      <c r="C64" s="172">
        <v>3</v>
      </c>
      <c r="D64" s="172">
        <v>1.1487504647457101</v>
      </c>
      <c r="E64" s="172">
        <v>1.5810123054383799E-4</v>
      </c>
      <c r="F64" s="172">
        <v>5.8113710280383701E-2</v>
      </c>
      <c r="G64" s="172">
        <v>0</v>
      </c>
      <c r="H64" s="172">
        <v>0.82896273763284301</v>
      </c>
      <c r="I64" s="172">
        <v>0.81973610522388096</v>
      </c>
      <c r="J64" s="172">
        <v>0</v>
      </c>
      <c r="K64" s="172">
        <v>2.0385612778594901E-2</v>
      </c>
      <c r="L64" s="172">
        <v>1.18369340636639E-4</v>
      </c>
      <c r="M64" s="172">
        <v>0.76657391991619395</v>
      </c>
      <c r="N64" s="172">
        <v>0.19110070194897899</v>
      </c>
      <c r="O64" s="172">
        <v>0.18016985377029601</v>
      </c>
      <c r="P64" s="172">
        <v>0.82853983029856004</v>
      </c>
    </row>
    <row r="65" spans="2:16" x14ac:dyDescent="0.3">
      <c r="B65" s="172" t="s">
        <v>238</v>
      </c>
      <c r="C65" s="172">
        <v>4</v>
      </c>
      <c r="D65" s="172">
        <v>0.49302276168729597</v>
      </c>
      <c r="E65" s="172">
        <v>1.83363580046207E-4</v>
      </c>
      <c r="F65" s="172">
        <v>0.102796531438117</v>
      </c>
      <c r="G65" s="172">
        <v>0</v>
      </c>
      <c r="H65" s="172">
        <v>0.82914610121288901</v>
      </c>
      <c r="I65" s="172">
        <v>0.92253263666199803</v>
      </c>
      <c r="J65" s="172">
        <v>0</v>
      </c>
      <c r="K65" s="172">
        <v>0.55829823217548402</v>
      </c>
      <c r="L65" s="172">
        <v>9.3591186208031999E-4</v>
      </c>
      <c r="M65" s="172">
        <v>6.3444585849889096E-3</v>
      </c>
      <c r="N65" s="172">
        <v>0.74939893412446301</v>
      </c>
      <c r="O65" s="172">
        <v>0.18110576563237701</v>
      </c>
      <c r="P65" s="172">
        <v>0.83488428888354904</v>
      </c>
    </row>
    <row r="66" spans="2:16" x14ac:dyDescent="0.3">
      <c r="B66" s="172" t="s">
        <v>238</v>
      </c>
      <c r="C66" s="172">
        <v>5</v>
      </c>
      <c r="D66" s="172">
        <v>0.44960419687903602</v>
      </c>
      <c r="E66" s="172">
        <v>0.105176884204951</v>
      </c>
      <c r="F66" s="172">
        <v>1.6584363337365901E-4</v>
      </c>
      <c r="G66" s="172">
        <v>0</v>
      </c>
      <c r="H66" s="172">
        <v>0.93432298541783998</v>
      </c>
      <c r="I66" s="172">
        <v>0.92269848029537205</v>
      </c>
      <c r="J66" s="172">
        <v>0</v>
      </c>
      <c r="K66" s="172">
        <v>1.1054059592931001E-3</v>
      </c>
      <c r="L66" s="172">
        <v>0.62168829468714104</v>
      </c>
      <c r="M66" s="172">
        <v>1.85712205532106E-6</v>
      </c>
      <c r="N66" s="172">
        <v>0.75050434008375599</v>
      </c>
      <c r="O66" s="172">
        <v>0.80279406031951805</v>
      </c>
      <c r="P66" s="172">
        <v>0.83488614600560496</v>
      </c>
    </row>
    <row r="67" spans="2:16" x14ac:dyDescent="0.3">
      <c r="B67" s="172" t="s">
        <v>238</v>
      </c>
      <c r="C67" s="172">
        <v>6</v>
      </c>
      <c r="D67" s="172">
        <v>0.37929295270218299</v>
      </c>
      <c r="E67" s="172">
        <v>2.4337136583711501E-5</v>
      </c>
      <c r="F67" s="172">
        <v>8.4716430844736599E-3</v>
      </c>
      <c r="G67" s="172">
        <v>0</v>
      </c>
      <c r="H67" s="172">
        <v>0.93434732255442399</v>
      </c>
      <c r="I67" s="172">
        <v>0.93117012337984495</v>
      </c>
      <c r="J67" s="172">
        <v>0</v>
      </c>
      <c r="K67" s="172">
        <v>4.61154894383329E-2</v>
      </c>
      <c r="L67" s="172">
        <v>8.1741394335248796E-5</v>
      </c>
      <c r="M67" s="172">
        <v>9.73244161524148E-2</v>
      </c>
      <c r="N67" s="172">
        <v>0.79661982952208898</v>
      </c>
      <c r="O67" s="172">
        <v>0.80287580171385298</v>
      </c>
      <c r="P67" s="172">
        <v>0.93221056215801901</v>
      </c>
    </row>
    <row r="68" spans="2:16" x14ac:dyDescent="0.3">
      <c r="B68" s="172" t="s">
        <v>238</v>
      </c>
      <c r="C68" s="172">
        <v>7</v>
      </c>
      <c r="D68" s="172">
        <v>0.28005585818762002</v>
      </c>
      <c r="E68" s="172">
        <v>4.3294652516291097E-5</v>
      </c>
      <c r="F68" s="172">
        <v>3.1358736721332998E-2</v>
      </c>
      <c r="G68" s="172">
        <v>0</v>
      </c>
      <c r="H68" s="172">
        <v>0.93439061720694006</v>
      </c>
      <c r="I68" s="172">
        <v>0.962528860101178</v>
      </c>
      <c r="J68" s="172">
        <v>0</v>
      </c>
      <c r="K68" s="172">
        <v>6.8079918609683598E-2</v>
      </c>
      <c r="L68" s="172">
        <v>9.4913533010163801E-5</v>
      </c>
      <c r="M68" s="172">
        <v>2.4951768942959298E-3</v>
      </c>
      <c r="N68" s="172">
        <v>0.86469974813177297</v>
      </c>
      <c r="O68" s="172">
        <v>0.80297071524686303</v>
      </c>
      <c r="P68" s="172">
        <v>0.93470573905231502</v>
      </c>
    </row>
    <row r="69" spans="2:16" x14ac:dyDescent="0.3">
      <c r="B69" s="172" t="s">
        <v>238</v>
      </c>
      <c r="C69" s="172">
        <v>8</v>
      </c>
      <c r="D69" s="172">
        <v>0.25985692089089002</v>
      </c>
      <c r="E69" s="172">
        <v>3.2549283536382798E-2</v>
      </c>
      <c r="F69" s="172">
        <v>4.4137400207544101E-5</v>
      </c>
      <c r="G69" s="172">
        <v>0</v>
      </c>
      <c r="H69" s="172">
        <v>0.96693990074332303</v>
      </c>
      <c r="I69" s="172">
        <v>0.96257299750138603</v>
      </c>
      <c r="J69" s="172">
        <v>0</v>
      </c>
      <c r="K69" s="172">
        <v>8.2749570336478406E-5</v>
      </c>
      <c r="L69" s="172">
        <v>6.7210426851285393E-2</v>
      </c>
      <c r="M69" s="172">
        <v>4.6030602737377702E-7</v>
      </c>
      <c r="N69" s="172">
        <v>0.86478249770210902</v>
      </c>
      <c r="O69" s="172">
        <v>0.87018114209814901</v>
      </c>
      <c r="P69" s="172">
        <v>0.93470619935834298</v>
      </c>
    </row>
    <row r="70" spans="2:16" x14ac:dyDescent="0.3">
      <c r="B70" s="172" t="s">
        <v>238</v>
      </c>
      <c r="C70" s="172">
        <v>9</v>
      </c>
      <c r="D70" s="172">
        <v>0.21892774116416</v>
      </c>
      <c r="E70" s="172">
        <v>6.2133362529553499E-6</v>
      </c>
      <c r="F70" s="172">
        <v>2.49381872448338E-3</v>
      </c>
      <c r="G70" s="172">
        <v>0</v>
      </c>
      <c r="H70" s="172">
        <v>0.96694611407957598</v>
      </c>
      <c r="I70" s="172">
        <v>0.96506681622586898</v>
      </c>
      <c r="J70" s="172">
        <v>0</v>
      </c>
      <c r="K70" s="172">
        <v>4.5353648715604098E-3</v>
      </c>
      <c r="L70" s="172">
        <v>8.3297932469512804E-6</v>
      </c>
      <c r="M70" s="172">
        <v>3.1025403338571601E-2</v>
      </c>
      <c r="N70" s="172">
        <v>0.86931786257367005</v>
      </c>
      <c r="O70" s="172">
        <v>0.87018947189139595</v>
      </c>
      <c r="P70" s="172">
        <v>0.96573160269691405</v>
      </c>
    </row>
    <row r="71" spans="2:16" x14ac:dyDescent="0.3">
      <c r="B71" s="172" t="s">
        <v>238</v>
      </c>
      <c r="C71" s="172">
        <v>10</v>
      </c>
      <c r="D71" s="172">
        <v>0.194033283816401</v>
      </c>
      <c r="E71" s="172">
        <v>1.3348835672027999E-5</v>
      </c>
      <c r="F71" s="172">
        <v>1.53325146604149E-2</v>
      </c>
      <c r="G71" s="172">
        <v>0</v>
      </c>
      <c r="H71" s="172">
        <v>0.96695946291524804</v>
      </c>
      <c r="I71" s="172">
        <v>0.98039933088628395</v>
      </c>
      <c r="J71" s="172">
        <v>0</v>
      </c>
      <c r="K71" s="172">
        <v>6.58678920437165E-2</v>
      </c>
      <c r="L71" s="172">
        <v>5.3938754599103598E-5</v>
      </c>
      <c r="M71" s="172">
        <v>8.0082272864242501E-4</v>
      </c>
      <c r="N71" s="172">
        <v>0.93518575461738596</v>
      </c>
      <c r="O71" s="172">
        <v>0.87024341064599497</v>
      </c>
      <c r="P71" s="172">
        <v>0.96653242542555695</v>
      </c>
    </row>
    <row r="72" spans="2:16" x14ac:dyDescent="0.3">
      <c r="B72" s="53"/>
      <c r="C72" s="53"/>
      <c r="D72" s="53"/>
      <c r="E72" s="108"/>
      <c r="F72" s="53"/>
      <c r="G72" s="53"/>
      <c r="H72" s="53"/>
      <c r="I72" s="53"/>
      <c r="J72" s="53"/>
      <c r="K72" s="53"/>
      <c r="L72" s="108"/>
      <c r="M72" s="108"/>
      <c r="N72" s="53"/>
      <c r="O72" s="53"/>
      <c r="P72" s="53"/>
    </row>
    <row r="73" spans="2:16" x14ac:dyDescent="0.3">
      <c r="B73" s="53"/>
      <c r="C73" s="53"/>
      <c r="D73" s="53"/>
      <c r="E73" s="53"/>
      <c r="F73" s="108"/>
      <c r="G73" s="53"/>
      <c r="H73" s="53"/>
      <c r="I73" s="53"/>
      <c r="J73" s="53"/>
      <c r="K73" s="108"/>
      <c r="L73" s="53"/>
      <c r="M73" s="53"/>
      <c r="N73" s="53"/>
      <c r="O73" s="53"/>
      <c r="P73" s="53"/>
    </row>
    <row r="74" spans="2:16" x14ac:dyDescent="0.3"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</row>
    <row r="75" spans="2:16" x14ac:dyDescent="0.3">
      <c r="B75" s="53"/>
      <c r="C75" s="53"/>
      <c r="D75" s="53"/>
      <c r="E75" s="108"/>
      <c r="F75" s="53"/>
      <c r="G75" s="53"/>
      <c r="H75" s="53"/>
      <c r="I75" s="53"/>
      <c r="J75" s="53"/>
      <c r="K75" s="53"/>
      <c r="L75" s="108"/>
      <c r="M75" s="53"/>
      <c r="N75" s="53"/>
      <c r="O75" s="53"/>
      <c r="P75" s="53"/>
    </row>
    <row r="76" spans="2:16" x14ac:dyDescent="0.3">
      <c r="B76" s="53"/>
      <c r="C76" s="53"/>
      <c r="D76" s="53"/>
      <c r="E76" s="53"/>
      <c r="F76" s="108"/>
      <c r="G76" s="53"/>
      <c r="H76" s="53"/>
      <c r="I76" s="53"/>
      <c r="J76" s="53"/>
      <c r="K76" s="108"/>
      <c r="L76" s="53"/>
      <c r="M76" s="53"/>
      <c r="N76" s="53"/>
      <c r="O76" s="53"/>
      <c r="P76" s="53"/>
    </row>
  </sheetData>
  <mergeCells count="10">
    <mergeCell ref="B7:C7"/>
    <mergeCell ref="C10:D10"/>
    <mergeCell ref="E10:G10"/>
    <mergeCell ref="L12:N12"/>
    <mergeCell ref="L49:O49"/>
    <mergeCell ref="L13:L14"/>
    <mergeCell ref="L32:L33"/>
    <mergeCell ref="L31:N31"/>
    <mergeCell ref="C11:D11"/>
    <mergeCell ref="E11:G11"/>
  </mergeCell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filterMode="1"/>
  <dimension ref="B2:I53"/>
  <sheetViews>
    <sheetView workbookViewId="0">
      <selection activeCell="I39" sqref="I39:I49"/>
    </sheetView>
  </sheetViews>
  <sheetFormatPr baseColWidth="10" defaultRowHeight="14.4" x14ac:dyDescent="0.3"/>
  <sheetData>
    <row r="2" spans="2:9" x14ac:dyDescent="0.3">
      <c r="B2" s="167" t="s">
        <v>93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94</v>
      </c>
      <c r="D3" s="169" t="s">
        <v>247</v>
      </c>
      <c r="E3" s="169" t="s">
        <v>248</v>
      </c>
      <c r="F3" s="169" t="s">
        <v>95</v>
      </c>
      <c r="G3" s="169" t="s">
        <v>249</v>
      </c>
      <c r="H3" s="169" t="s">
        <v>250</v>
      </c>
      <c r="I3" s="170" t="s">
        <v>96</v>
      </c>
    </row>
    <row r="4" spans="2:9" x14ac:dyDescent="0.3">
      <c r="B4" s="173"/>
      <c r="C4" s="173"/>
      <c r="D4" s="173" t="s">
        <v>43</v>
      </c>
      <c r="E4" s="173" t="s">
        <v>7</v>
      </c>
      <c r="F4" s="173" t="s">
        <v>97</v>
      </c>
      <c r="G4" s="173" t="s">
        <v>43</v>
      </c>
      <c r="H4" s="173" t="s">
        <v>7</v>
      </c>
      <c r="I4" s="174" t="s">
        <v>97</v>
      </c>
    </row>
    <row r="5" spans="2:9" s="172" customFormat="1" x14ac:dyDescent="0.3">
      <c r="B5" s="27"/>
      <c r="C5" s="27"/>
      <c r="D5" s="27"/>
      <c r="E5" s="27"/>
      <c r="F5" s="27"/>
      <c r="G5" s="27"/>
      <c r="H5" s="27"/>
      <c r="I5" s="27"/>
    </row>
    <row r="6" spans="2:9" hidden="1" x14ac:dyDescent="0.3">
      <c r="B6" s="172" t="s">
        <v>189</v>
      </c>
      <c r="C6" s="172" t="s">
        <v>79</v>
      </c>
      <c r="D6" s="172">
        <v>1035.53197902276</v>
      </c>
      <c r="E6" s="172">
        <v>7.1948511446507702E-4</v>
      </c>
      <c r="F6" s="172">
        <v>1439268.10743354</v>
      </c>
      <c r="G6" s="172">
        <v>55.183219194735997</v>
      </c>
      <c r="H6" s="172">
        <v>1.08725690657375E-5</v>
      </c>
      <c r="I6" s="172">
        <v>0</v>
      </c>
    </row>
    <row r="7" spans="2:9" hidden="1" x14ac:dyDescent="0.3">
      <c r="B7" s="172" t="s">
        <v>187</v>
      </c>
      <c r="C7" s="172" t="s">
        <v>79</v>
      </c>
      <c r="D7" s="172">
        <v>12752.744336563601</v>
      </c>
      <c r="E7" s="172">
        <v>9.8820098701983506E-4</v>
      </c>
      <c r="F7" s="172">
        <v>12905010.725624399</v>
      </c>
      <c r="G7" s="172">
        <v>545.73099157858599</v>
      </c>
      <c r="H7" s="172">
        <v>6.9812468807468501E-5</v>
      </c>
      <c r="I7" s="172">
        <v>0</v>
      </c>
    </row>
    <row r="8" spans="2:9" hidden="1" x14ac:dyDescent="0.3">
      <c r="B8" s="172" t="s">
        <v>185</v>
      </c>
      <c r="C8" s="172" t="s">
        <v>79</v>
      </c>
      <c r="D8" s="172">
        <v>25901.1668754657</v>
      </c>
      <c r="E8" s="172">
        <v>1.47484154116967E-3</v>
      </c>
      <c r="F8" s="172">
        <v>17561999.816552501</v>
      </c>
      <c r="G8" s="172">
        <v>1131.9068809068399</v>
      </c>
      <c r="H8" s="172">
        <v>1.03689197284189E-4</v>
      </c>
      <c r="I8" s="172">
        <v>0</v>
      </c>
    </row>
    <row r="9" spans="2:9" hidden="1" x14ac:dyDescent="0.3">
      <c r="B9" s="172" t="s">
        <v>183</v>
      </c>
      <c r="C9" s="172" t="s">
        <v>79</v>
      </c>
      <c r="D9" s="172">
        <v>37141.406873730302</v>
      </c>
      <c r="E9" s="172">
        <v>1.8994654351455801E-3</v>
      </c>
      <c r="F9" s="172">
        <v>19553610.287666898</v>
      </c>
      <c r="G9" s="172">
        <v>1647.75528828954</v>
      </c>
      <c r="H9" s="172">
        <v>1.42722987398309E-4</v>
      </c>
      <c r="I9" s="172">
        <v>0</v>
      </c>
    </row>
    <row r="10" spans="2:9" hidden="1" x14ac:dyDescent="0.3">
      <c r="B10" s="172" t="s">
        <v>181</v>
      </c>
      <c r="C10" s="172" t="s">
        <v>79</v>
      </c>
      <c r="D10" s="172">
        <v>46746.6268728953</v>
      </c>
      <c r="E10" s="172">
        <v>2.2546411825135702E-3</v>
      </c>
      <c r="F10" s="172">
        <v>20733510.607120302</v>
      </c>
      <c r="G10" s="172">
        <v>2095.8378544765801</v>
      </c>
      <c r="H10" s="172">
        <v>1.7958886852631101E-4</v>
      </c>
      <c r="I10" s="172">
        <v>0</v>
      </c>
    </row>
    <row r="11" spans="2:9" hidden="1" x14ac:dyDescent="0.3">
      <c r="B11" s="172" t="s">
        <v>179</v>
      </c>
      <c r="C11" s="172" t="s">
        <v>79</v>
      </c>
      <c r="D11" s="172">
        <v>55032.526872615003</v>
      </c>
      <c r="E11" s="172">
        <v>2.5767771603317701E-3</v>
      </c>
      <c r="F11" s="172">
        <v>21357115.283313502</v>
      </c>
      <c r="G11" s="172">
        <v>2484.9478541980302</v>
      </c>
      <c r="H11" s="172">
        <v>2.0231421679138401E-4</v>
      </c>
      <c r="I11" s="172">
        <v>0</v>
      </c>
    </row>
    <row r="12" spans="2:9" hidden="1" x14ac:dyDescent="0.3">
      <c r="B12" s="172" t="s">
        <v>39</v>
      </c>
      <c r="C12" s="172" t="s">
        <v>79</v>
      </c>
      <c r="D12" s="172">
        <v>62223.831277206598</v>
      </c>
      <c r="E12" s="172">
        <v>2.7717501175132898E-3</v>
      </c>
      <c r="F12" s="172">
        <v>22449293.276491899</v>
      </c>
      <c r="G12" s="172">
        <v>2822.46785397946</v>
      </c>
      <c r="H12" s="172">
        <v>2.2704116997821001E-4</v>
      </c>
      <c r="I12" s="172">
        <v>0</v>
      </c>
    </row>
    <row r="13" spans="2:9" hidden="1" x14ac:dyDescent="0.3">
      <c r="B13" s="172" t="s">
        <v>26</v>
      </c>
      <c r="C13" s="172" t="s">
        <v>79</v>
      </c>
      <c r="D13" s="172">
        <v>68496.462079386096</v>
      </c>
      <c r="E13" s="172">
        <v>2.9342121367649599E-3</v>
      </c>
      <c r="F13" s="172">
        <v>23344072.918635398</v>
      </c>
      <c r="G13" s="172">
        <v>3113.4278537935802</v>
      </c>
      <c r="H13" s="172">
        <v>2.51916198454683E-4</v>
      </c>
      <c r="I13" s="172">
        <v>0</v>
      </c>
    </row>
    <row r="14" spans="2:9" hidden="1" x14ac:dyDescent="0.3">
      <c r="B14" s="172" t="s">
        <v>25</v>
      </c>
      <c r="C14" s="172" t="s">
        <v>79</v>
      </c>
      <c r="D14" s="172">
        <v>73804.173283214797</v>
      </c>
      <c r="E14" s="172">
        <v>3.08802433354114E-3</v>
      </c>
      <c r="F14" s="172">
        <v>23900126.8486058</v>
      </c>
      <c r="G14" s="172">
        <v>3353.1178536615998</v>
      </c>
      <c r="H14" s="172">
        <v>2.6036190757323398E-4</v>
      </c>
      <c r="I14" s="172">
        <v>0</v>
      </c>
    </row>
    <row r="15" spans="2:9" hidden="1" x14ac:dyDescent="0.3">
      <c r="B15" s="172" t="s">
        <v>24</v>
      </c>
      <c r="C15" s="172" t="s">
        <v>79</v>
      </c>
      <c r="D15" s="172">
        <v>77907.988713016995</v>
      </c>
      <c r="E15" s="172">
        <v>3.1704204776894498E-3</v>
      </c>
      <c r="F15" s="172">
        <v>24573393.1070856</v>
      </c>
      <c r="G15" s="172">
        <v>3529.8442931757399</v>
      </c>
      <c r="H15" s="172">
        <v>2.6403011997284102E-4</v>
      </c>
      <c r="I15" s="172">
        <v>0</v>
      </c>
    </row>
    <row r="16" spans="2:9" hidden="1" x14ac:dyDescent="0.3">
      <c r="B16" s="172" t="s">
        <v>22</v>
      </c>
      <c r="C16" s="172" t="s">
        <v>79</v>
      </c>
      <c r="D16" s="172">
        <v>80324.5305470936</v>
      </c>
      <c r="E16" s="172">
        <v>3.0837610967489101E-3</v>
      </c>
      <c r="F16" s="172">
        <v>26047585.408537898</v>
      </c>
      <c r="G16" s="172">
        <v>3625.2569058080298</v>
      </c>
      <c r="H16" s="172">
        <v>2.3921276834019801E-4</v>
      </c>
      <c r="I16" s="172">
        <v>0</v>
      </c>
    </row>
    <row r="17" spans="2:9" hidden="1" x14ac:dyDescent="0.3">
      <c r="B17" s="172" t="s">
        <v>189</v>
      </c>
      <c r="C17" s="172" t="s">
        <v>80</v>
      </c>
      <c r="D17" s="172">
        <v>1035.5300000244299</v>
      </c>
      <c r="E17" s="172">
        <v>7.3391246987156795E-4</v>
      </c>
      <c r="F17" s="172">
        <v>1410972.0743750799</v>
      </c>
      <c r="G17" s="172">
        <v>55.1800000098266</v>
      </c>
      <c r="H17" s="172">
        <v>9.6904040603156097E-5</v>
      </c>
      <c r="I17" s="172">
        <v>0</v>
      </c>
    </row>
    <row r="18" spans="2:9" hidden="1" x14ac:dyDescent="0.3">
      <c r="B18" s="172" t="s">
        <v>187</v>
      </c>
      <c r="C18" s="172" t="s">
        <v>80</v>
      </c>
      <c r="D18" s="172">
        <v>12752.7399976011</v>
      </c>
      <c r="E18" s="172">
        <v>9.8332655517307903E-4</v>
      </c>
      <c r="F18" s="172">
        <v>12968977.5288906</v>
      </c>
      <c r="G18" s="172">
        <v>545.729999758909</v>
      </c>
      <c r="H18" s="172">
        <v>1.2902709970630499E-4</v>
      </c>
      <c r="I18" s="172">
        <v>0</v>
      </c>
    </row>
    <row r="19" spans="2:9" hidden="1" x14ac:dyDescent="0.3">
      <c r="B19" s="172" t="s">
        <v>185</v>
      </c>
      <c r="C19" s="172" t="s">
        <v>80</v>
      </c>
      <c r="D19" s="172">
        <v>25901.1599965327</v>
      </c>
      <c r="E19" s="172">
        <v>1.4747788969075E-3</v>
      </c>
      <c r="F19" s="172">
        <v>17562741.1341764</v>
      </c>
      <c r="G19" s="172">
        <v>1131.90999954072</v>
      </c>
      <c r="H19" s="172">
        <v>1.6432952421668501E-4</v>
      </c>
      <c r="I19" s="172">
        <v>0</v>
      </c>
    </row>
    <row r="20" spans="2:9" hidden="1" x14ac:dyDescent="0.3">
      <c r="B20" s="172" t="s">
        <v>183</v>
      </c>
      <c r="C20" s="172" t="s">
        <v>80</v>
      </c>
      <c r="D20" s="172">
        <v>37141.399994832602</v>
      </c>
      <c r="E20" s="172">
        <v>1.9057811674943199E-3</v>
      </c>
      <c r="F20" s="172">
        <v>19488806.284965701</v>
      </c>
      <c r="G20" s="172">
        <v>1647.7599993210199</v>
      </c>
      <c r="H20" s="172">
        <v>1.9381203182714901E-4</v>
      </c>
      <c r="I20" s="172">
        <v>0</v>
      </c>
    </row>
    <row r="21" spans="2:9" hidden="1" x14ac:dyDescent="0.3">
      <c r="B21" s="172" t="s">
        <v>181</v>
      </c>
      <c r="C21" s="172" t="s">
        <v>80</v>
      </c>
      <c r="D21" s="172">
        <v>46746.6199940027</v>
      </c>
      <c r="E21" s="172">
        <v>2.2668890837328698E-3</v>
      </c>
      <c r="F21" s="172">
        <v>20621485.3340002</v>
      </c>
      <c r="G21" s="172">
        <v>2095.8399990930802</v>
      </c>
      <c r="H21" s="172">
        <v>2.1834488192681701E-4</v>
      </c>
      <c r="I21" s="172">
        <v>0</v>
      </c>
    </row>
    <row r="22" spans="2:9" hidden="1" x14ac:dyDescent="0.3">
      <c r="B22" s="172" t="s">
        <v>179</v>
      </c>
      <c r="C22" s="172" t="s">
        <v>80</v>
      </c>
      <c r="D22" s="172">
        <v>55032.519993747002</v>
      </c>
      <c r="E22" s="172">
        <v>2.5921152379416398E-3</v>
      </c>
      <c r="F22" s="172">
        <v>21230738.197213601</v>
      </c>
      <c r="G22" s="172">
        <v>2484.9499988365001</v>
      </c>
      <c r="H22" s="172">
        <v>2.3466396304626201E-4</v>
      </c>
      <c r="I22" s="172">
        <v>0</v>
      </c>
    </row>
    <row r="23" spans="2:9" hidden="1" x14ac:dyDescent="0.3">
      <c r="B23" s="172" t="s">
        <v>39</v>
      </c>
      <c r="C23" s="172" t="s">
        <v>80</v>
      </c>
      <c r="D23" s="172">
        <v>62223.819993349898</v>
      </c>
      <c r="E23" s="172">
        <v>2.7627043316339299E-3</v>
      </c>
      <c r="F23" s="172">
        <v>22522793.800576299</v>
      </c>
      <c r="G23" s="172">
        <v>2822.4699986805299</v>
      </c>
      <c r="H23" s="172">
        <v>2.43355907523431E-4</v>
      </c>
      <c r="I23" s="172">
        <v>0</v>
      </c>
    </row>
    <row r="24" spans="2:9" hidden="1" x14ac:dyDescent="0.3">
      <c r="B24" s="172" t="s">
        <v>26</v>
      </c>
      <c r="C24" s="172" t="s">
        <v>80</v>
      </c>
      <c r="D24" s="172">
        <v>68496.449993550894</v>
      </c>
      <c r="E24" s="172">
        <v>2.9230827205355501E-3</v>
      </c>
      <c r="F24" s="172">
        <v>23432949.574893098</v>
      </c>
      <c r="G24" s="172">
        <v>3113.4299985498901</v>
      </c>
      <c r="H24" s="172">
        <v>2.5146985775583401E-4</v>
      </c>
      <c r="I24" s="172">
        <v>0</v>
      </c>
    </row>
    <row r="25" spans="2:9" hidden="1" x14ac:dyDescent="0.3">
      <c r="B25" s="172" t="s">
        <v>25</v>
      </c>
      <c r="C25" s="172" t="s">
        <v>80</v>
      </c>
      <c r="D25" s="172">
        <v>73804.159993396403</v>
      </c>
      <c r="E25" s="172">
        <v>3.0755953044792101E-3</v>
      </c>
      <c r="F25" s="172">
        <v>23996707.2019879</v>
      </c>
      <c r="G25" s="172">
        <v>3353.1199984582699</v>
      </c>
      <c r="H25" s="172">
        <v>2.5084870349859398E-4</v>
      </c>
      <c r="I25" s="172">
        <v>0</v>
      </c>
    </row>
    <row r="26" spans="2:9" hidden="1" x14ac:dyDescent="0.3">
      <c r="B26" s="172" t="s">
        <v>24</v>
      </c>
      <c r="C26" s="172" t="s">
        <v>80</v>
      </c>
      <c r="D26" s="172">
        <v>77907.979993199595</v>
      </c>
      <c r="E26" s="172">
        <v>3.1571238334290302E-3</v>
      </c>
      <c r="F26" s="172">
        <v>24676884.437751599</v>
      </c>
      <c r="G26" s="172">
        <v>3529.8499983882898</v>
      </c>
      <c r="H26" s="172">
        <v>2.4948296352410098E-4</v>
      </c>
      <c r="I26" s="172">
        <v>0</v>
      </c>
    </row>
    <row r="27" spans="2:9" hidden="1" x14ac:dyDescent="0.3">
      <c r="B27" s="172" t="s">
        <v>22</v>
      </c>
      <c r="C27" s="172" t="s">
        <v>80</v>
      </c>
      <c r="D27" s="172">
        <v>80324.519993274997</v>
      </c>
      <c r="E27" s="172">
        <v>3.0721735493259802E-3</v>
      </c>
      <c r="F27" s="172">
        <v>26145827.604986001</v>
      </c>
      <c r="G27" s="172">
        <v>3625.2599983657801</v>
      </c>
      <c r="H27" s="172">
        <v>2.40737122955966E-4</v>
      </c>
      <c r="I27" s="172">
        <v>0</v>
      </c>
    </row>
    <row r="28" spans="2:9" hidden="1" x14ac:dyDescent="0.3">
      <c r="B28" s="172" t="s">
        <v>189</v>
      </c>
      <c r="C28" s="172" t="s">
        <v>81</v>
      </c>
      <c r="D28" s="172">
        <v>91.414510188060007</v>
      </c>
      <c r="E28" s="172">
        <v>7.84753827630328E-5</v>
      </c>
      <c r="F28" s="172">
        <v>1164881.3547568</v>
      </c>
      <c r="G28" s="172">
        <v>838.601341076023</v>
      </c>
      <c r="H28" s="172">
        <v>9.5274923219825999E-4</v>
      </c>
      <c r="I28" s="172">
        <v>880191.04370321403</v>
      </c>
    </row>
    <row r="29" spans="2:9" hidden="1" x14ac:dyDescent="0.3">
      <c r="B29" s="172" t="s">
        <v>187</v>
      </c>
      <c r="C29" s="172" t="s">
        <v>81</v>
      </c>
      <c r="D29" s="172">
        <v>613.25183522643204</v>
      </c>
      <c r="E29" s="172">
        <v>9.5813831058212995E-5</v>
      </c>
      <c r="F29" s="172">
        <v>0</v>
      </c>
      <c r="G29" s="172">
        <v>12816.534508481</v>
      </c>
      <c r="H29" s="172">
        <v>1.40689041485097E-3</v>
      </c>
      <c r="I29" s="172">
        <v>9109831.4219722897</v>
      </c>
    </row>
    <row r="30" spans="2:9" hidden="1" x14ac:dyDescent="0.3">
      <c r="B30" s="172" t="s">
        <v>185</v>
      </c>
      <c r="C30" s="172" t="s">
        <v>81</v>
      </c>
      <c r="D30" s="172">
        <v>1297.29897632606</v>
      </c>
      <c r="E30" s="172">
        <v>1.3014064806796401E-4</v>
      </c>
      <c r="F30" s="172">
        <v>0</v>
      </c>
      <c r="G30" s="172">
        <v>26086.366628800999</v>
      </c>
      <c r="H30" s="172">
        <v>1.9423369931813701E-3</v>
      </c>
      <c r="I30" s="172">
        <v>13430401.9953169</v>
      </c>
    </row>
    <row r="31" spans="2:9" hidden="1" x14ac:dyDescent="0.3">
      <c r="B31" s="172" t="s">
        <v>183</v>
      </c>
      <c r="C31" s="172" t="s">
        <v>81</v>
      </c>
      <c r="D31" s="172">
        <v>1901.3937051054299</v>
      </c>
      <c r="E31" s="172">
        <v>1.50517570739958E-4</v>
      </c>
      <c r="F31" s="172">
        <v>0</v>
      </c>
      <c r="G31" s="172">
        <v>37082.2614575154</v>
      </c>
      <c r="H31" s="172">
        <v>2.3982617565863002E-3</v>
      </c>
      <c r="I31" s="172">
        <v>15462141.009285999</v>
      </c>
    </row>
    <row r="32" spans="2:9" hidden="1" x14ac:dyDescent="0.3">
      <c r="B32" s="172" t="s">
        <v>181</v>
      </c>
      <c r="C32" s="172" t="s">
        <v>81</v>
      </c>
      <c r="D32" s="172">
        <v>2426.6056862345099</v>
      </c>
      <c r="E32" s="172">
        <v>1.6117600973825899E-4</v>
      </c>
      <c r="F32" s="172">
        <v>0</v>
      </c>
      <c r="G32" s="172">
        <v>46223.360495078603</v>
      </c>
      <c r="H32" s="172">
        <v>2.7703479959811901E-3</v>
      </c>
      <c r="I32" s="172">
        <v>16685037.606153701</v>
      </c>
    </row>
    <row r="33" spans="2:9" hidden="1" x14ac:dyDescent="0.3">
      <c r="B33" s="172" t="s">
        <v>179</v>
      </c>
      <c r="C33" s="172" t="s">
        <v>81</v>
      </c>
      <c r="D33" s="172">
        <v>2882.5082961263101</v>
      </c>
      <c r="E33" s="172">
        <v>1.6804325141722199E-4</v>
      </c>
      <c r="F33" s="172">
        <v>0</v>
      </c>
      <c r="G33" s="172">
        <v>53991.632073363297</v>
      </c>
      <c r="H33" s="172">
        <v>3.0697051253554702E-3</v>
      </c>
      <c r="I33" s="172">
        <v>17588540.2240748</v>
      </c>
    </row>
    <row r="34" spans="2:9" hidden="1" x14ac:dyDescent="0.3">
      <c r="B34" s="172" t="s">
        <v>39</v>
      </c>
      <c r="C34" s="172" t="s">
        <v>81</v>
      </c>
      <c r="D34" s="172">
        <v>3276.6338218502301</v>
      </c>
      <c r="E34" s="172">
        <v>1.6882557549164801E-4</v>
      </c>
      <c r="F34" s="172">
        <v>0</v>
      </c>
      <c r="G34" s="172">
        <v>60767.802720428102</v>
      </c>
      <c r="H34" s="172">
        <v>3.29599311244091E-3</v>
      </c>
      <c r="I34" s="172">
        <v>18436871.876660299</v>
      </c>
    </row>
    <row r="35" spans="2:9" hidden="1" x14ac:dyDescent="0.3">
      <c r="B35" s="172" t="s">
        <v>26</v>
      </c>
      <c r="C35" s="172" t="s">
        <v>81</v>
      </c>
      <c r="D35" s="172">
        <v>3613.4515424435599</v>
      </c>
      <c r="E35" s="172">
        <v>1.7657451955558099E-4</v>
      </c>
      <c r="F35" s="172">
        <v>0</v>
      </c>
      <c r="G35" s="172">
        <v>66788.598366542996</v>
      </c>
      <c r="H35" s="172">
        <v>3.47560303249569E-3</v>
      </c>
      <c r="I35" s="172">
        <v>19216405.827159401</v>
      </c>
    </row>
    <row r="36" spans="2:9" hidden="1" x14ac:dyDescent="0.3">
      <c r="B36" s="172" t="s">
        <v>25</v>
      </c>
      <c r="C36" s="172" t="s">
        <v>81</v>
      </c>
      <c r="D36" s="172">
        <v>3888.6494019403499</v>
      </c>
      <c r="E36" s="172">
        <v>1.8030410021140799E-4</v>
      </c>
      <c r="F36" s="172">
        <v>0</v>
      </c>
      <c r="G36" s="172">
        <v>72016.573686115706</v>
      </c>
      <c r="H36" s="172">
        <v>3.5741024821135002E-3</v>
      </c>
      <c r="I36" s="172">
        <v>20149554.761376001</v>
      </c>
    </row>
    <row r="37" spans="2:9" hidden="1" x14ac:dyDescent="0.3">
      <c r="B37" s="172" t="s">
        <v>24</v>
      </c>
      <c r="C37" s="172" t="s">
        <v>81</v>
      </c>
      <c r="D37" s="172">
        <v>4090.0992920645599</v>
      </c>
      <c r="E37" s="172">
        <v>1.78042757583556E-4</v>
      </c>
      <c r="F37" s="172">
        <v>0</v>
      </c>
      <c r="G37" s="172">
        <v>76174.104233745398</v>
      </c>
      <c r="H37" s="172">
        <v>3.5863587836797001E-3</v>
      </c>
      <c r="I37" s="172">
        <v>21239956.409377601</v>
      </c>
    </row>
    <row r="38" spans="2:9" hidden="1" x14ac:dyDescent="0.3">
      <c r="B38" s="172" t="s">
        <v>22</v>
      </c>
      <c r="C38" s="172" t="s">
        <v>81</v>
      </c>
      <c r="D38" s="172">
        <v>4198.6018202363102</v>
      </c>
      <c r="E38" s="172">
        <v>1.6486678211305301E-4</v>
      </c>
      <c r="F38" s="172">
        <v>0</v>
      </c>
      <c r="G38" s="172">
        <v>78666.632515751204</v>
      </c>
      <c r="H38" s="172">
        <v>3.29729405140695E-3</v>
      </c>
      <c r="I38" s="172">
        <v>23857936.625999201</v>
      </c>
    </row>
    <row r="39" spans="2:9" x14ac:dyDescent="0.3">
      <c r="B39" s="172" t="s">
        <v>189</v>
      </c>
      <c r="C39" s="172" t="s">
        <v>82</v>
      </c>
      <c r="D39" s="172">
        <v>91.414510185654393</v>
      </c>
      <c r="E39" s="172">
        <v>5.7125688457612099E-5</v>
      </c>
      <c r="F39" s="172">
        <v>1600234.7219584901</v>
      </c>
      <c r="G39" s="172">
        <v>838.60134108319096</v>
      </c>
      <c r="H39" s="172">
        <v>8.1644107168684201E-4</v>
      </c>
      <c r="I39" s="172">
        <v>1027142.5215668801</v>
      </c>
    </row>
    <row r="40" spans="2:9" x14ac:dyDescent="0.3">
      <c r="B40" s="172" t="s">
        <v>187</v>
      </c>
      <c r="C40" s="172" t="s">
        <v>82</v>
      </c>
      <c r="D40" s="172">
        <v>613.25183517490302</v>
      </c>
      <c r="E40" s="172">
        <v>6.5866115519812394E-5</v>
      </c>
      <c r="F40" s="172">
        <v>0</v>
      </c>
      <c r="G40" s="172">
        <v>12816.534508255399</v>
      </c>
      <c r="H40" s="172">
        <v>1.3184286275136001E-3</v>
      </c>
      <c r="I40" s="172">
        <v>9721068.1267031394</v>
      </c>
    </row>
    <row r="41" spans="2:9" x14ac:dyDescent="0.3">
      <c r="B41" s="172" t="s">
        <v>185</v>
      </c>
      <c r="C41" s="172" t="s">
        <v>82</v>
      </c>
      <c r="D41" s="172">
        <v>1297.29897622978</v>
      </c>
      <c r="E41" s="172">
        <v>1.3269516058539999E-4</v>
      </c>
      <c r="F41" s="172">
        <v>0</v>
      </c>
      <c r="G41" s="172">
        <v>26086.366628639102</v>
      </c>
      <c r="H41" s="172">
        <v>1.77111004908414E-3</v>
      </c>
      <c r="I41" s="172">
        <v>14728823.114141701</v>
      </c>
    </row>
    <row r="42" spans="2:9" x14ac:dyDescent="0.3">
      <c r="B42" s="172" t="s">
        <v>183</v>
      </c>
      <c r="C42" s="172" t="s">
        <v>82</v>
      </c>
      <c r="D42" s="172">
        <v>1901.39370495864</v>
      </c>
      <c r="E42" s="172">
        <v>1.8240355556389901E-4</v>
      </c>
      <c r="F42" s="172">
        <v>0</v>
      </c>
      <c r="G42" s="172">
        <v>37082.261457216897</v>
      </c>
      <c r="H42" s="172">
        <v>2.2570124649206099E-3</v>
      </c>
      <c r="I42" s="172">
        <v>16429799.1409282</v>
      </c>
    </row>
    <row r="43" spans="2:9" x14ac:dyDescent="0.3">
      <c r="B43" s="172" t="s">
        <v>181</v>
      </c>
      <c r="C43" s="172" t="s">
        <v>82</v>
      </c>
      <c r="D43" s="172">
        <v>2426.6056860846402</v>
      </c>
      <c r="E43" s="172">
        <v>2.24189697821955E-4</v>
      </c>
      <c r="F43" s="172">
        <v>0</v>
      </c>
      <c r="G43" s="172">
        <v>46223.360494660301</v>
      </c>
      <c r="H43" s="172">
        <v>2.6546437308542599E-3</v>
      </c>
      <c r="I43" s="172">
        <v>17412265.1402965</v>
      </c>
    </row>
    <row r="44" spans="2:9" x14ac:dyDescent="0.3">
      <c r="B44" s="172" t="s">
        <v>179</v>
      </c>
      <c r="C44" s="172" t="s">
        <v>82</v>
      </c>
      <c r="D44" s="172">
        <v>2882.5082959391798</v>
      </c>
      <c r="E44" s="172">
        <v>2.6414859831045898E-4</v>
      </c>
      <c r="F44" s="172">
        <v>0</v>
      </c>
      <c r="G44" s="172">
        <v>53991.632072913802</v>
      </c>
      <c r="H44" s="172">
        <v>2.97630901365507E-3</v>
      </c>
      <c r="I44" s="172">
        <v>18140465.867355999</v>
      </c>
    </row>
    <row r="45" spans="2:9" x14ac:dyDescent="0.3">
      <c r="B45" s="172" t="s">
        <v>39</v>
      </c>
      <c r="C45" s="172" t="s">
        <v>82</v>
      </c>
      <c r="D45" s="172">
        <v>3276.63382164825</v>
      </c>
      <c r="E45" s="172">
        <v>2.9969184656904299E-4</v>
      </c>
      <c r="F45" s="172">
        <v>0</v>
      </c>
      <c r="G45" s="172">
        <v>60767.802719889703</v>
      </c>
      <c r="H45" s="172">
        <v>3.2303082837308399E-3</v>
      </c>
      <c r="I45" s="172">
        <v>18811765.745684799</v>
      </c>
    </row>
    <row r="46" spans="2:9" x14ac:dyDescent="0.3">
      <c r="B46" s="172" t="s">
        <v>26</v>
      </c>
      <c r="C46" s="172" t="s">
        <v>82</v>
      </c>
      <c r="D46" s="172">
        <v>3613.4515422107902</v>
      </c>
      <c r="E46" s="172">
        <v>3.3547223674528301E-4</v>
      </c>
      <c r="F46" s="172">
        <v>0</v>
      </c>
      <c r="G46" s="172">
        <v>66788.598365927799</v>
      </c>
      <c r="H46" s="172">
        <v>3.4257824123558301E-3</v>
      </c>
      <c r="I46" s="172">
        <v>19495867.024432201</v>
      </c>
    </row>
    <row r="47" spans="2:9" x14ac:dyDescent="0.3">
      <c r="B47" s="172" t="s">
        <v>25</v>
      </c>
      <c r="C47" s="172" t="s">
        <v>82</v>
      </c>
      <c r="D47" s="172">
        <v>3888.6494016842298</v>
      </c>
      <c r="E47" s="172">
        <v>3.6276308619265501E-4</v>
      </c>
      <c r="F47" s="172">
        <v>0</v>
      </c>
      <c r="G47" s="172">
        <v>72016.573685443305</v>
      </c>
      <c r="H47" s="172">
        <v>3.5583049536439802E-3</v>
      </c>
      <c r="I47" s="172">
        <v>20239011.165047199</v>
      </c>
    </row>
    <row r="48" spans="2:9" x14ac:dyDescent="0.3">
      <c r="B48" s="172" t="s">
        <v>24</v>
      </c>
      <c r="C48" s="172" t="s">
        <v>82</v>
      </c>
      <c r="D48" s="172">
        <v>4090.0992918070201</v>
      </c>
      <c r="E48" s="172">
        <v>3.7829130090445099E-4</v>
      </c>
      <c r="F48" s="172">
        <v>0</v>
      </c>
      <c r="G48" s="172">
        <v>76174.104233050501</v>
      </c>
      <c r="H48" s="172">
        <v>3.5455612867189099E-3</v>
      </c>
      <c r="I48" s="172">
        <v>21484356.939022899</v>
      </c>
    </row>
    <row r="49" spans="2:9" x14ac:dyDescent="0.3">
      <c r="B49" s="172" t="s">
        <v>22</v>
      </c>
      <c r="C49" s="172" t="s">
        <v>82</v>
      </c>
      <c r="D49" s="172">
        <v>4198.6018199803402</v>
      </c>
      <c r="E49" s="172">
        <v>3.4228358105666099E-4</v>
      </c>
      <c r="F49" s="172">
        <v>0</v>
      </c>
      <c r="G49" s="172">
        <v>78666.632515035002</v>
      </c>
      <c r="H49" s="172">
        <v>3.28244932555681E-3</v>
      </c>
      <c r="I49" s="172">
        <v>23965833.045020599</v>
      </c>
    </row>
    <row r="50" spans="2:9" x14ac:dyDescent="0.3">
      <c r="B50" s="75"/>
      <c r="C50" s="75"/>
      <c r="D50" s="75"/>
      <c r="E50" s="75"/>
      <c r="F50" s="75"/>
      <c r="G50" s="75"/>
      <c r="H50" s="75"/>
      <c r="I50" s="75"/>
    </row>
    <row r="51" spans="2:9" x14ac:dyDescent="0.3">
      <c r="B51" s="75"/>
      <c r="C51" s="75"/>
      <c r="D51" s="75"/>
      <c r="E51" s="75"/>
      <c r="F51" s="75"/>
      <c r="G51" s="75"/>
      <c r="H51" s="75"/>
      <c r="I51" s="75"/>
    </row>
    <row r="52" spans="2:9" x14ac:dyDescent="0.3">
      <c r="B52" s="75"/>
      <c r="C52" s="75"/>
      <c r="D52" s="75"/>
      <c r="E52" s="75"/>
      <c r="F52" s="75"/>
      <c r="G52" s="75"/>
      <c r="H52" s="75"/>
      <c r="I52" s="75"/>
    </row>
    <row r="53" spans="2:9" x14ac:dyDescent="0.3">
      <c r="B53" s="75"/>
      <c r="C53" s="75"/>
      <c r="D53" s="75"/>
      <c r="E53" s="75"/>
      <c r="F53" s="75"/>
      <c r="G53" s="75"/>
      <c r="H53" s="75"/>
      <c r="I53" s="75"/>
    </row>
  </sheetData>
  <autoFilter ref="B5:I49">
    <filterColumn colId="1">
      <filters>
        <filter val="EQYEN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TIFFNESS">
                <anchor moveWithCells="1" sizeWithCells="1">
                  <from>
                    <xdr:col>9</xdr:col>
                    <xdr:colOff>556260</xdr:colOff>
                    <xdr:row>3</xdr:row>
                    <xdr:rowOff>83820</xdr:rowOff>
                  </from>
                  <to>
                    <xdr:col>12</xdr:col>
                    <xdr:colOff>152400</xdr:colOff>
                    <xdr:row>39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filterMode="1"/>
  <dimension ref="A2:M115"/>
  <sheetViews>
    <sheetView workbookViewId="0">
      <selection activeCell="B15" sqref="B15:L115"/>
    </sheetView>
  </sheetViews>
  <sheetFormatPr baseColWidth="10" defaultRowHeight="14.4" x14ac:dyDescent="0.3"/>
  <cols>
    <col min="1" max="3" width="11.5546875" style="91"/>
    <col min="4" max="5" width="0" style="91" hidden="1" customWidth="1"/>
    <col min="6" max="13" width="11.5546875" style="91"/>
  </cols>
  <sheetData>
    <row r="2" spans="1:13" x14ac:dyDescent="0.3">
      <c r="B2" s="167" t="s">
        <v>45</v>
      </c>
      <c r="C2" s="168"/>
      <c r="D2" s="168"/>
      <c r="E2" s="168"/>
      <c r="F2" s="168"/>
      <c r="G2" s="168"/>
      <c r="H2" s="168"/>
      <c r="I2" s="168"/>
      <c r="J2" s="168"/>
      <c r="K2" s="168"/>
      <c r="L2" s="168"/>
    </row>
    <row r="3" spans="1:13" x14ac:dyDescent="0.3">
      <c r="B3" s="169" t="s">
        <v>9</v>
      </c>
      <c r="C3" s="169" t="s">
        <v>46</v>
      </c>
      <c r="D3" s="169" t="s">
        <v>239</v>
      </c>
      <c r="E3" s="169" t="s">
        <v>244</v>
      </c>
      <c r="F3" s="169" t="s">
        <v>47</v>
      </c>
      <c r="G3" s="169" t="s">
        <v>48</v>
      </c>
      <c r="H3" s="169" t="s">
        <v>49</v>
      </c>
      <c r="I3" s="169" t="s">
        <v>50</v>
      </c>
      <c r="J3" s="169" t="s">
        <v>51</v>
      </c>
      <c r="K3" s="169" t="s">
        <v>52</v>
      </c>
      <c r="L3" s="170" t="s">
        <v>53</v>
      </c>
    </row>
    <row r="4" spans="1:13" x14ac:dyDescent="0.3">
      <c r="B4" s="173"/>
      <c r="C4" s="173"/>
      <c r="D4" s="173"/>
      <c r="E4" s="173"/>
      <c r="F4" s="173"/>
      <c r="G4" s="173" t="s">
        <v>43</v>
      </c>
      <c r="H4" s="173" t="s">
        <v>43</v>
      </c>
      <c r="I4" s="173" t="s">
        <v>43</v>
      </c>
      <c r="J4" s="173" t="s">
        <v>54</v>
      </c>
      <c r="K4" s="173" t="s">
        <v>54</v>
      </c>
      <c r="L4" s="174" t="s">
        <v>54</v>
      </c>
    </row>
    <row r="5" spans="1:13" s="172" customFormat="1" x14ac:dyDescent="0.3">
      <c r="A5" s="91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91"/>
    </row>
    <row r="6" spans="1:13" hidden="1" x14ac:dyDescent="0.3">
      <c r="B6" s="172" t="s">
        <v>189</v>
      </c>
      <c r="C6" s="172" t="s">
        <v>79</v>
      </c>
      <c r="D6" s="172" t="s">
        <v>245</v>
      </c>
      <c r="E6" s="172"/>
      <c r="F6" s="172" t="s">
        <v>72</v>
      </c>
      <c r="G6" s="172">
        <v>-4.7475623432546895E-10</v>
      </c>
      <c r="H6" s="172">
        <v>-1035.53197902179</v>
      </c>
      <c r="I6" s="172">
        <v>-55.183219194717502</v>
      </c>
      <c r="J6" s="172">
        <v>5385.6129099057898</v>
      </c>
      <c r="K6" s="172">
        <v>-2.8032900445396101E-9</v>
      </c>
      <c r="L6" s="172">
        <v>9.6370058599859493E-9</v>
      </c>
    </row>
    <row r="7" spans="1:13" hidden="1" x14ac:dyDescent="0.3">
      <c r="B7" s="172" t="s">
        <v>189</v>
      </c>
      <c r="C7" s="172" t="s">
        <v>79</v>
      </c>
      <c r="D7" s="172" t="s">
        <v>245</v>
      </c>
      <c r="E7" s="172"/>
      <c r="F7" s="172" t="s">
        <v>242</v>
      </c>
      <c r="G7" s="172">
        <v>-5.0386006478220204E-10</v>
      </c>
      <c r="H7" s="172">
        <v>-1035.53197902276</v>
      </c>
      <c r="I7" s="172">
        <v>-55.183219194735997</v>
      </c>
      <c r="J7" s="172">
        <v>5385.6129099113004</v>
      </c>
      <c r="K7" s="172">
        <v>165.54965758101699</v>
      </c>
      <c r="L7" s="172">
        <v>-3106.5959370559199</v>
      </c>
    </row>
    <row r="8" spans="1:13" hidden="1" x14ac:dyDescent="0.3">
      <c r="B8" s="172" t="s">
        <v>189</v>
      </c>
      <c r="C8" s="172" t="s">
        <v>80</v>
      </c>
      <c r="D8" s="172" t="s">
        <v>245</v>
      </c>
      <c r="E8" s="172"/>
      <c r="F8" s="172" t="s">
        <v>72</v>
      </c>
      <c r="G8" s="172">
        <v>-5.5916871133376803E-10</v>
      </c>
      <c r="H8" s="172">
        <v>-1035.53000002363</v>
      </c>
      <c r="I8" s="172">
        <v>-55.180000009929103</v>
      </c>
      <c r="J8" s="172">
        <v>4999.0389998452201</v>
      </c>
      <c r="K8" s="172">
        <v>-3.4590357245178901E-9</v>
      </c>
      <c r="L8" s="172">
        <v>1.13986970973201E-8</v>
      </c>
    </row>
    <row r="9" spans="1:13" hidden="1" x14ac:dyDescent="0.3">
      <c r="B9" s="172" t="s">
        <v>189</v>
      </c>
      <c r="C9" s="172" t="s">
        <v>80</v>
      </c>
      <c r="D9" s="172" t="s">
        <v>245</v>
      </c>
      <c r="E9" s="172"/>
      <c r="F9" s="172" t="s">
        <v>242</v>
      </c>
      <c r="G9" s="172">
        <v>-7.0468786361743696E-10</v>
      </c>
      <c r="H9" s="172">
        <v>-1035.5300000244299</v>
      </c>
      <c r="I9" s="172">
        <v>-55.1800000098266</v>
      </c>
      <c r="J9" s="172">
        <v>4999.0389998497303</v>
      </c>
      <c r="K9" s="172">
        <v>165.540000024905</v>
      </c>
      <c r="L9" s="172">
        <v>-3106.5900000567499</v>
      </c>
    </row>
    <row r="10" spans="1:13" hidden="1" x14ac:dyDescent="0.3">
      <c r="B10" s="172" t="s">
        <v>189</v>
      </c>
      <c r="C10" s="172" t="s">
        <v>81</v>
      </c>
      <c r="D10" s="172" t="s">
        <v>245</v>
      </c>
      <c r="E10" s="172"/>
      <c r="F10" s="172" t="s">
        <v>72</v>
      </c>
      <c r="G10" s="172">
        <v>4.9112713895738099E-11</v>
      </c>
      <c r="H10" s="172">
        <v>-91.414510187969896</v>
      </c>
      <c r="I10" s="172">
        <v>-838.60134107671797</v>
      </c>
      <c r="J10" s="172">
        <v>-15157.0051846325</v>
      </c>
      <c r="K10" s="172">
        <v>-1.57342583406717E-10</v>
      </c>
      <c r="L10" s="172">
        <v>-9.2040863819420296E-10</v>
      </c>
    </row>
    <row r="11" spans="1:13" hidden="1" x14ac:dyDescent="0.3">
      <c r="B11" s="172" t="s">
        <v>189</v>
      </c>
      <c r="C11" s="172" t="s">
        <v>81</v>
      </c>
      <c r="D11" s="172" t="s">
        <v>245</v>
      </c>
      <c r="E11" s="172"/>
      <c r="F11" s="172" t="s">
        <v>242</v>
      </c>
      <c r="G11" s="172">
        <v>4.9112713895738099E-11</v>
      </c>
      <c r="H11" s="172">
        <v>-91.414510188060007</v>
      </c>
      <c r="I11" s="172">
        <v>-838.601341076023</v>
      </c>
      <c r="J11" s="172">
        <v>-15157.005184617399</v>
      </c>
      <c r="K11" s="172">
        <v>2515.8040232301701</v>
      </c>
      <c r="L11" s="172">
        <v>-274.243530564867</v>
      </c>
    </row>
    <row r="12" spans="1:13" hidden="1" x14ac:dyDescent="0.3">
      <c r="B12" s="172" t="s">
        <v>189</v>
      </c>
      <c r="C12" s="172" t="s">
        <v>82</v>
      </c>
      <c r="D12" s="172" t="s">
        <v>245</v>
      </c>
      <c r="E12" s="172"/>
      <c r="F12" s="172" t="s">
        <v>72</v>
      </c>
      <c r="G12" s="172">
        <v>8.3673512563109398E-11</v>
      </c>
      <c r="H12" s="172">
        <v>-91.414510185619505</v>
      </c>
      <c r="I12" s="172">
        <v>-838.60134108373995</v>
      </c>
      <c r="J12" s="172">
        <v>-14774.270318315501</v>
      </c>
      <c r="K12" s="172">
        <v>1.1687006917782099E-10</v>
      </c>
      <c r="L12" s="172">
        <v>-1.60616764333099E-9</v>
      </c>
    </row>
    <row r="13" spans="1:13" hidden="1" x14ac:dyDescent="0.3">
      <c r="B13" s="172" t="s">
        <v>189</v>
      </c>
      <c r="C13" s="172" t="s">
        <v>82</v>
      </c>
      <c r="D13" s="172" t="s">
        <v>245</v>
      </c>
      <c r="E13" s="172"/>
      <c r="F13" s="172" t="s">
        <v>242</v>
      </c>
      <c r="G13" s="172">
        <v>5.4569682106375701E-11</v>
      </c>
      <c r="H13" s="172">
        <v>-91.414510185654393</v>
      </c>
      <c r="I13" s="172">
        <v>-838.60134108319096</v>
      </c>
      <c r="J13" s="172">
        <v>-14774.270318303699</v>
      </c>
      <c r="K13" s="172">
        <v>2515.8040232503499</v>
      </c>
      <c r="L13" s="172">
        <v>-274.24353055787498</v>
      </c>
    </row>
    <row r="14" spans="1:13" hidden="1" x14ac:dyDescent="0.3">
      <c r="B14" s="172" t="s">
        <v>189</v>
      </c>
      <c r="C14" s="172" t="s">
        <v>246</v>
      </c>
      <c r="D14" s="172" t="s">
        <v>245</v>
      </c>
      <c r="E14" s="172"/>
      <c r="F14" s="172" t="s">
        <v>72</v>
      </c>
      <c r="G14" s="172">
        <v>11865.5999999952</v>
      </c>
      <c r="H14" s="172">
        <v>3.7425706977955997E-9</v>
      </c>
      <c r="I14" s="172">
        <v>2.2584956127502702E-9</v>
      </c>
      <c r="J14" s="172">
        <v>1.0009443940362E-8</v>
      </c>
      <c r="K14" s="172">
        <v>71193.599999971397</v>
      </c>
      <c r="L14" s="172">
        <v>-219513.599999914</v>
      </c>
    </row>
    <row r="15" spans="1:13" x14ac:dyDescent="0.3">
      <c r="B15" s="172" t="s">
        <v>189</v>
      </c>
      <c r="C15" s="172" t="s">
        <v>246</v>
      </c>
      <c r="D15" s="172" t="s">
        <v>245</v>
      </c>
      <c r="E15" s="172"/>
      <c r="F15" s="172" t="s">
        <v>242</v>
      </c>
      <c r="G15" s="172">
        <v>17697.5999999952</v>
      </c>
      <c r="H15" s="172">
        <v>3.8435246096923898E-9</v>
      </c>
      <c r="I15" s="172">
        <v>2.2564847768080699E-9</v>
      </c>
      <c r="J15" s="172">
        <v>9.29117049963679E-9</v>
      </c>
      <c r="K15" s="172">
        <v>106185.59999996499</v>
      </c>
      <c r="L15" s="172">
        <v>-327405.59999990201</v>
      </c>
    </row>
    <row r="16" spans="1:13" hidden="1" x14ac:dyDescent="0.3">
      <c r="B16" s="172" t="s">
        <v>187</v>
      </c>
      <c r="C16" s="172" t="s">
        <v>79</v>
      </c>
      <c r="D16" s="172" t="s">
        <v>245</v>
      </c>
      <c r="E16" s="172"/>
      <c r="F16" s="172" t="s">
        <v>72</v>
      </c>
      <c r="G16" s="172">
        <v>6.1936589190736403E-10</v>
      </c>
      <c r="H16" s="172">
        <v>-12752.744336557</v>
      </c>
      <c r="I16" s="172">
        <v>-545.73099157858803</v>
      </c>
      <c r="J16" s="172">
        <v>94041.787286075894</v>
      </c>
      <c r="K16" s="172">
        <v>165.5496575864</v>
      </c>
      <c r="L16" s="172">
        <v>-3106.5959370515902</v>
      </c>
    </row>
    <row r="17" spans="2:12" hidden="1" x14ac:dyDescent="0.3">
      <c r="B17" s="172" t="s">
        <v>187</v>
      </c>
      <c r="C17" s="172" t="s">
        <v>79</v>
      </c>
      <c r="D17" s="172" t="s">
        <v>245</v>
      </c>
      <c r="E17" s="172"/>
      <c r="F17" s="172" t="s">
        <v>242</v>
      </c>
      <c r="G17" s="172">
        <v>1.11140252556652E-9</v>
      </c>
      <c r="H17" s="172">
        <v>-12752.744336563601</v>
      </c>
      <c r="I17" s="172">
        <v>-545.73099157858599</v>
      </c>
      <c r="J17" s="172">
        <v>94041.787286114195</v>
      </c>
      <c r="K17" s="172">
        <v>2075.6081281143702</v>
      </c>
      <c r="L17" s="172">
        <v>-47741.201115022697</v>
      </c>
    </row>
    <row r="18" spans="2:12" hidden="1" x14ac:dyDescent="0.3">
      <c r="B18" s="172" t="s">
        <v>187</v>
      </c>
      <c r="C18" s="172" t="s">
        <v>80</v>
      </c>
      <c r="D18" s="172" t="s">
        <v>245</v>
      </c>
      <c r="E18" s="172"/>
      <c r="F18" s="172" t="s">
        <v>72</v>
      </c>
      <c r="G18" s="172">
        <v>6.0822458181064597E-10</v>
      </c>
      <c r="H18" s="172">
        <v>-12752.739997595299</v>
      </c>
      <c r="I18" s="172">
        <v>-545.72999975853895</v>
      </c>
      <c r="J18" s="172">
        <v>77109.510178832497</v>
      </c>
      <c r="K18" s="172">
        <v>165.540000031673</v>
      </c>
      <c r="L18" s="172">
        <v>-3106.5900000539</v>
      </c>
    </row>
    <row r="19" spans="2:12" hidden="1" x14ac:dyDescent="0.3">
      <c r="B19" s="172" t="s">
        <v>187</v>
      </c>
      <c r="C19" s="172" t="s">
        <v>80</v>
      </c>
      <c r="D19" s="172" t="s">
        <v>245</v>
      </c>
      <c r="E19" s="172"/>
      <c r="F19" s="172" t="s">
        <v>242</v>
      </c>
      <c r="G19" s="172">
        <v>1.0377334547229101E-9</v>
      </c>
      <c r="H19" s="172">
        <v>-12752.7399976011</v>
      </c>
      <c r="I19" s="172">
        <v>-545.729999758909</v>
      </c>
      <c r="J19" s="172">
        <v>77109.510178857599</v>
      </c>
      <c r="K19" s="172">
        <v>2075.5949991901498</v>
      </c>
      <c r="L19" s="172">
        <v>-47741.179991656798</v>
      </c>
    </row>
    <row r="20" spans="2:12" hidden="1" x14ac:dyDescent="0.3">
      <c r="B20" s="172" t="s">
        <v>187</v>
      </c>
      <c r="C20" s="172" t="s">
        <v>81</v>
      </c>
      <c r="D20" s="172" t="s">
        <v>245</v>
      </c>
      <c r="E20" s="172"/>
      <c r="F20" s="172" t="s">
        <v>72</v>
      </c>
      <c r="G20" s="172">
        <v>-1.0986695997417E-9</v>
      </c>
      <c r="H20" s="172">
        <v>-613.251835225994</v>
      </c>
      <c r="I20" s="172">
        <v>-12816.5345084772</v>
      </c>
      <c r="J20" s="172">
        <v>-141454.56519633101</v>
      </c>
      <c r="K20" s="172">
        <v>2515.8040232091598</v>
      </c>
      <c r="L20" s="172">
        <v>-274.24353054980401</v>
      </c>
    </row>
    <row r="21" spans="2:12" hidden="1" x14ac:dyDescent="0.3">
      <c r="B21" s="172" t="s">
        <v>187</v>
      </c>
      <c r="C21" s="172" t="s">
        <v>81</v>
      </c>
      <c r="D21" s="172" t="s">
        <v>245</v>
      </c>
      <c r="E21" s="172"/>
      <c r="F21" s="172" t="s">
        <v>242</v>
      </c>
      <c r="G21" s="172">
        <v>-1.2078089639544499E-9</v>
      </c>
      <c r="H21" s="172">
        <v>-613.25183522643204</v>
      </c>
      <c r="I21" s="172">
        <v>-12816.534508481</v>
      </c>
      <c r="J21" s="172">
        <v>-141454.56519640499</v>
      </c>
      <c r="K21" s="172">
        <v>47373.674802885798</v>
      </c>
      <c r="L21" s="172">
        <v>-2420.6249538392499</v>
      </c>
    </row>
    <row r="22" spans="2:12" hidden="1" x14ac:dyDescent="0.3">
      <c r="B22" s="172" t="s">
        <v>187</v>
      </c>
      <c r="C22" s="172" t="s">
        <v>82</v>
      </c>
      <c r="D22" s="172" t="s">
        <v>245</v>
      </c>
      <c r="E22" s="172"/>
      <c r="F22" s="172" t="s">
        <v>72</v>
      </c>
      <c r="G22" s="172">
        <v>-1.0222720447927701E-9</v>
      </c>
      <c r="H22" s="172">
        <v>-613.25183517467201</v>
      </c>
      <c r="I22" s="172">
        <v>-12816.5345082522</v>
      </c>
      <c r="J22" s="172">
        <v>-116700.92665841601</v>
      </c>
      <c r="K22" s="172">
        <v>2515.80402322892</v>
      </c>
      <c r="L22" s="172">
        <v>-274.24353054592802</v>
      </c>
    </row>
    <row r="23" spans="2:12" hidden="1" x14ac:dyDescent="0.3">
      <c r="B23" s="172" t="s">
        <v>187</v>
      </c>
      <c r="C23" s="172" t="s">
        <v>82</v>
      </c>
      <c r="D23" s="172" t="s">
        <v>245</v>
      </c>
      <c r="E23" s="172"/>
      <c r="F23" s="172" t="s">
        <v>242</v>
      </c>
      <c r="G23" s="172">
        <v>-1.19325704872608E-9</v>
      </c>
      <c r="H23" s="172">
        <v>-613.25183517490302</v>
      </c>
      <c r="I23" s="172">
        <v>-12816.534508255399</v>
      </c>
      <c r="J23" s="172">
        <v>-116700.92665848001</v>
      </c>
      <c r="K23" s="172">
        <v>47373.674802116897</v>
      </c>
      <c r="L23" s="172">
        <v>-2420.62495365419</v>
      </c>
    </row>
    <row r="24" spans="2:12" hidden="1" x14ac:dyDescent="0.3">
      <c r="B24" s="172" t="s">
        <v>187</v>
      </c>
      <c r="C24" s="172" t="s">
        <v>246</v>
      </c>
      <c r="D24" s="172" t="s">
        <v>245</v>
      </c>
      <c r="E24" s="172"/>
      <c r="F24" s="172" t="s">
        <v>72</v>
      </c>
      <c r="G24" s="172">
        <v>280823.75624991598</v>
      </c>
      <c r="H24" s="172">
        <v>-2.97710585073219E-7</v>
      </c>
      <c r="I24" s="172">
        <v>-2.55363943324483E-8</v>
      </c>
      <c r="J24" s="172">
        <v>2.1765563360531802E-6</v>
      </c>
      <c r="K24" s="172">
        <v>2061818.2335930399</v>
      </c>
      <c r="L24" s="172">
        <v>-2540981.87695246</v>
      </c>
    </row>
    <row r="25" spans="2:12" x14ac:dyDescent="0.3">
      <c r="B25" s="172" t="s">
        <v>187</v>
      </c>
      <c r="C25" s="172" t="s">
        <v>246</v>
      </c>
      <c r="D25" s="172" t="s">
        <v>245</v>
      </c>
      <c r="E25" s="172"/>
      <c r="F25" s="172" t="s">
        <v>242</v>
      </c>
      <c r="G25" s="172">
        <v>323681.75624991802</v>
      </c>
      <c r="H25" s="172">
        <v>-2.97056999443157E-7</v>
      </c>
      <c r="I25" s="172">
        <v>-2.5530624725433901E-8</v>
      </c>
      <c r="J25" s="172">
        <v>2.1729319996666201E-6</v>
      </c>
      <c r="K25" s="172">
        <v>2375036.2335931398</v>
      </c>
      <c r="L25" s="172">
        <v>-2984092.3769535301</v>
      </c>
    </row>
    <row r="26" spans="2:12" hidden="1" x14ac:dyDescent="0.3">
      <c r="B26" s="172" t="s">
        <v>185</v>
      </c>
      <c r="C26" s="172" t="s">
        <v>79</v>
      </c>
      <c r="D26" s="172" t="s">
        <v>245</v>
      </c>
      <c r="E26" s="172"/>
      <c r="F26" s="172" t="s">
        <v>72</v>
      </c>
      <c r="G26" s="172">
        <v>1.79625203600153E-9</v>
      </c>
      <c r="H26" s="172">
        <v>-25901.166875463099</v>
      </c>
      <c r="I26" s="172">
        <v>-1131.9068809068201</v>
      </c>
      <c r="J26" s="172">
        <v>193957.370620578</v>
      </c>
      <c r="K26" s="172">
        <v>2075.60812811816</v>
      </c>
      <c r="L26" s="172">
        <v>-47741.201115016702</v>
      </c>
    </row>
    <row r="27" spans="2:12" hidden="1" x14ac:dyDescent="0.3">
      <c r="B27" s="172" t="s">
        <v>185</v>
      </c>
      <c r="C27" s="172" t="s">
        <v>79</v>
      </c>
      <c r="D27" s="172" t="s">
        <v>245</v>
      </c>
      <c r="E27" s="172"/>
      <c r="F27" s="172" t="s">
        <v>242</v>
      </c>
      <c r="G27" s="172">
        <v>2.5474946596659699E-9</v>
      </c>
      <c r="H27" s="172">
        <v>-25901.1668754657</v>
      </c>
      <c r="I27" s="172">
        <v>-1131.9068809068399</v>
      </c>
      <c r="J27" s="172">
        <v>193957.37062059599</v>
      </c>
      <c r="K27" s="172">
        <v>6037.2822112969898</v>
      </c>
      <c r="L27" s="172">
        <v>-138395.28517915899</v>
      </c>
    </row>
    <row r="28" spans="2:12" hidden="1" x14ac:dyDescent="0.3">
      <c r="B28" s="172" t="s">
        <v>185</v>
      </c>
      <c r="C28" s="172" t="s">
        <v>80</v>
      </c>
      <c r="D28" s="172" t="s">
        <v>245</v>
      </c>
      <c r="E28" s="172"/>
      <c r="F28" s="172" t="s">
        <v>72</v>
      </c>
      <c r="G28" s="172">
        <v>1.90834725799505E-9</v>
      </c>
      <c r="H28" s="172">
        <v>-25901.159996529801</v>
      </c>
      <c r="I28" s="172">
        <v>-1131.9099995408501</v>
      </c>
      <c r="J28" s="172">
        <v>158533.37702127799</v>
      </c>
      <c r="K28" s="172">
        <v>2075.5949991949201</v>
      </c>
      <c r="L28" s="172">
        <v>-47741.179991652498</v>
      </c>
    </row>
    <row r="29" spans="2:12" hidden="1" x14ac:dyDescent="0.3">
      <c r="B29" s="172" t="s">
        <v>185</v>
      </c>
      <c r="C29" s="172" t="s">
        <v>80</v>
      </c>
      <c r="D29" s="172" t="s">
        <v>245</v>
      </c>
      <c r="E29" s="172"/>
      <c r="F29" s="172" t="s">
        <v>242</v>
      </c>
      <c r="G29" s="172">
        <v>2.56704879575409E-9</v>
      </c>
      <c r="H29" s="172">
        <v>-25901.1599965327</v>
      </c>
      <c r="I29" s="172">
        <v>-1131.90999954072</v>
      </c>
      <c r="J29" s="172">
        <v>158533.37702130101</v>
      </c>
      <c r="K29" s="172">
        <v>6037.2799975922098</v>
      </c>
      <c r="L29" s="172">
        <v>-138395.239979526</v>
      </c>
    </row>
    <row r="30" spans="2:12" hidden="1" x14ac:dyDescent="0.3">
      <c r="B30" s="172" t="s">
        <v>185</v>
      </c>
      <c r="C30" s="172" t="s">
        <v>81</v>
      </c>
      <c r="D30" s="172" t="s">
        <v>245</v>
      </c>
      <c r="E30" s="172"/>
      <c r="F30" s="172" t="s">
        <v>72</v>
      </c>
      <c r="G30" s="172">
        <v>-1.0368239600211401E-9</v>
      </c>
      <c r="H30" s="172">
        <v>-1297.29897632589</v>
      </c>
      <c r="I30" s="172">
        <v>-26086.366628800901</v>
      </c>
      <c r="J30" s="172">
        <v>-277902.58429512801</v>
      </c>
      <c r="K30" s="172">
        <v>47373.674802875401</v>
      </c>
      <c r="L30" s="172">
        <v>-2420.62495384153</v>
      </c>
    </row>
    <row r="31" spans="2:12" hidden="1" x14ac:dyDescent="0.3">
      <c r="B31" s="172" t="s">
        <v>185</v>
      </c>
      <c r="C31" s="172" t="s">
        <v>81</v>
      </c>
      <c r="D31" s="172" t="s">
        <v>245</v>
      </c>
      <c r="E31" s="172"/>
      <c r="F31" s="172" t="s">
        <v>242</v>
      </c>
      <c r="G31" s="172">
        <v>-7.5306161306798499E-10</v>
      </c>
      <c r="H31" s="172">
        <v>-1297.29897632606</v>
      </c>
      <c r="I31" s="172">
        <v>-26086.366628800999</v>
      </c>
      <c r="J31" s="172">
        <v>-277902.58429512801</v>
      </c>
      <c r="K31" s="172">
        <v>138675.958003682</v>
      </c>
      <c r="L31" s="172">
        <v>-6961.1713709884898</v>
      </c>
    </row>
    <row r="32" spans="2:12" hidden="1" x14ac:dyDescent="0.3">
      <c r="B32" s="172" t="s">
        <v>185</v>
      </c>
      <c r="C32" s="172" t="s">
        <v>82</v>
      </c>
      <c r="D32" s="172" t="s">
        <v>245</v>
      </c>
      <c r="E32" s="172"/>
      <c r="F32" s="172" t="s">
        <v>72</v>
      </c>
      <c r="G32" s="172">
        <v>-9.5678842626512092E-10</v>
      </c>
      <c r="H32" s="172">
        <v>-1297.2989762296399</v>
      </c>
      <c r="I32" s="172">
        <v>-26086.3666286386</v>
      </c>
      <c r="J32" s="172">
        <v>-226308.36901563901</v>
      </c>
      <c r="K32" s="172">
        <v>47373.674802106601</v>
      </c>
      <c r="L32" s="172">
        <v>-2420.6249536566102</v>
      </c>
    </row>
    <row r="33" spans="2:12" hidden="1" x14ac:dyDescent="0.3">
      <c r="B33" s="172" t="s">
        <v>185</v>
      </c>
      <c r="C33" s="172" t="s">
        <v>82</v>
      </c>
      <c r="D33" s="172" t="s">
        <v>245</v>
      </c>
      <c r="E33" s="172"/>
      <c r="F33" s="172" t="s">
        <v>242</v>
      </c>
      <c r="G33" s="172">
        <v>-9.1495166998356601E-10</v>
      </c>
      <c r="H33" s="172">
        <v>-1297.29897622978</v>
      </c>
      <c r="I33" s="172">
        <v>-26086.366628639102</v>
      </c>
      <c r="J33" s="172">
        <v>-226308.369015645</v>
      </c>
      <c r="K33" s="172">
        <v>138675.95800234299</v>
      </c>
      <c r="L33" s="172">
        <v>-6961.1713704614804</v>
      </c>
    </row>
    <row r="34" spans="2:12" hidden="1" x14ac:dyDescent="0.3">
      <c r="B34" s="172" t="s">
        <v>185</v>
      </c>
      <c r="C34" s="172" t="s">
        <v>246</v>
      </c>
      <c r="D34" s="172" t="s">
        <v>245</v>
      </c>
      <c r="E34" s="172"/>
      <c r="F34" s="172" t="s">
        <v>72</v>
      </c>
      <c r="G34" s="172">
        <v>581644.31249986403</v>
      </c>
      <c r="H34" s="172">
        <v>-4.1542784856574102E-7</v>
      </c>
      <c r="I34" s="172">
        <v>-4.8574349875707399E-8</v>
      </c>
      <c r="J34" s="172">
        <v>2.9835796340194099E-6</v>
      </c>
      <c r="K34" s="172">
        <v>4291941.8671864904</v>
      </c>
      <c r="L34" s="172">
        <v>-5156488.9439062299</v>
      </c>
    </row>
    <row r="35" spans="2:12" x14ac:dyDescent="0.3">
      <c r="B35" s="172" t="s">
        <v>185</v>
      </c>
      <c r="C35" s="172" t="s">
        <v>246</v>
      </c>
      <c r="D35" s="172" t="s">
        <v>245</v>
      </c>
      <c r="E35" s="172"/>
      <c r="F35" s="172" t="s">
        <v>242</v>
      </c>
      <c r="G35" s="172">
        <v>624502.31249986705</v>
      </c>
      <c r="H35" s="172">
        <v>-4.1517830595694202E-7</v>
      </c>
      <c r="I35" s="172">
        <v>-4.8571308752798399E-8</v>
      </c>
      <c r="J35" s="172">
        <v>2.9819352675986002E-6</v>
      </c>
      <c r="K35" s="172">
        <v>4605159.8671866897</v>
      </c>
      <c r="L35" s="172">
        <v>-5599599.4439077498</v>
      </c>
    </row>
    <row r="36" spans="2:12" hidden="1" x14ac:dyDescent="0.3">
      <c r="B36" s="172" t="s">
        <v>183</v>
      </c>
      <c r="C36" s="172" t="s">
        <v>79</v>
      </c>
      <c r="D36" s="172" t="s">
        <v>245</v>
      </c>
      <c r="E36" s="172"/>
      <c r="F36" s="172" t="s">
        <v>72</v>
      </c>
      <c r="G36" s="172">
        <v>4.2057308746734601E-9</v>
      </c>
      <c r="H36" s="172">
        <v>-37141.406873730797</v>
      </c>
      <c r="I36" s="172">
        <v>-1647.7552882894499</v>
      </c>
      <c r="J36" s="172">
        <v>279214.84641612897</v>
      </c>
      <c r="K36" s="172">
        <v>6037.2822113124903</v>
      </c>
      <c r="L36" s="172">
        <v>-138395.28517915501</v>
      </c>
    </row>
    <row r="37" spans="2:12" hidden="1" x14ac:dyDescent="0.3">
      <c r="B37" s="172" t="s">
        <v>183</v>
      </c>
      <c r="C37" s="172" t="s">
        <v>79</v>
      </c>
      <c r="D37" s="172" t="s">
        <v>245</v>
      </c>
      <c r="E37" s="172"/>
      <c r="F37" s="172" t="s">
        <v>242</v>
      </c>
      <c r="G37" s="172">
        <v>4.5145043259253701E-9</v>
      </c>
      <c r="H37" s="172">
        <v>-37141.406873730302</v>
      </c>
      <c r="I37" s="172">
        <v>-1647.75528828954</v>
      </c>
      <c r="J37" s="172">
        <v>279214.84641611698</v>
      </c>
      <c r="K37" s="172">
        <v>11804.425720327999</v>
      </c>
      <c r="L37" s="172">
        <v>-268390.20923721901</v>
      </c>
    </row>
    <row r="38" spans="2:12" hidden="1" x14ac:dyDescent="0.3">
      <c r="B38" s="172" t="s">
        <v>183</v>
      </c>
      <c r="C38" s="172" t="s">
        <v>80</v>
      </c>
      <c r="D38" s="172" t="s">
        <v>245</v>
      </c>
      <c r="E38" s="172"/>
      <c r="F38" s="172" t="s">
        <v>72</v>
      </c>
      <c r="G38" s="172">
        <v>4.1382008930668202E-9</v>
      </c>
      <c r="H38" s="172">
        <v>-37141.399994833198</v>
      </c>
      <c r="I38" s="172">
        <v>-1647.75999932116</v>
      </c>
      <c r="J38" s="172">
        <v>228013.760778197</v>
      </c>
      <c r="K38" s="172">
        <v>6037.2799976076503</v>
      </c>
      <c r="L38" s="172">
        <v>-138395.23997952501</v>
      </c>
    </row>
    <row r="39" spans="2:12" hidden="1" x14ac:dyDescent="0.3">
      <c r="B39" s="172" t="s">
        <v>183</v>
      </c>
      <c r="C39" s="172" t="s">
        <v>80</v>
      </c>
      <c r="D39" s="172" t="s">
        <v>245</v>
      </c>
      <c r="E39" s="172"/>
      <c r="F39" s="172" t="s">
        <v>242</v>
      </c>
      <c r="G39" s="172">
        <v>4.5511114876717296E-9</v>
      </c>
      <c r="H39" s="172">
        <v>-37141.399994832602</v>
      </c>
      <c r="I39" s="172">
        <v>-1647.7599993210199</v>
      </c>
      <c r="J39" s="172">
        <v>228013.76077818999</v>
      </c>
      <c r="K39" s="172">
        <v>11804.439995234699</v>
      </c>
      <c r="L39" s="172">
        <v>-268390.139961451</v>
      </c>
    </row>
    <row r="40" spans="2:12" hidden="1" x14ac:dyDescent="0.3">
      <c r="B40" s="172" t="s">
        <v>183</v>
      </c>
      <c r="C40" s="172" t="s">
        <v>81</v>
      </c>
      <c r="D40" s="172" t="s">
        <v>245</v>
      </c>
      <c r="E40" s="172"/>
      <c r="F40" s="172" t="s">
        <v>72</v>
      </c>
      <c r="G40" s="172">
        <v>-3.6015990190208E-10</v>
      </c>
      <c r="H40" s="172">
        <v>-1901.3937051054399</v>
      </c>
      <c r="I40" s="172">
        <v>-37082.261457516797</v>
      </c>
      <c r="J40" s="172">
        <v>-390667.70862476202</v>
      </c>
      <c r="K40" s="172">
        <v>138675.95800367399</v>
      </c>
      <c r="L40" s="172">
        <v>-6961.1713709934602</v>
      </c>
    </row>
    <row r="41" spans="2:12" hidden="1" x14ac:dyDescent="0.3">
      <c r="B41" s="172" t="s">
        <v>183</v>
      </c>
      <c r="C41" s="172" t="s">
        <v>81</v>
      </c>
      <c r="D41" s="172" t="s">
        <v>245</v>
      </c>
      <c r="E41" s="172"/>
      <c r="F41" s="172" t="s">
        <v>242</v>
      </c>
      <c r="G41" s="172">
        <v>-1.8189894035458601E-10</v>
      </c>
      <c r="H41" s="172">
        <v>-1901.3937051054299</v>
      </c>
      <c r="I41" s="172">
        <v>-37082.2614575154</v>
      </c>
      <c r="J41" s="172">
        <v>-390667.70862473</v>
      </c>
      <c r="K41" s="172">
        <v>268463.87310498202</v>
      </c>
      <c r="L41" s="172">
        <v>-13616.0493388662</v>
      </c>
    </row>
    <row r="42" spans="2:12" hidden="1" x14ac:dyDescent="0.3">
      <c r="B42" s="172" t="s">
        <v>183</v>
      </c>
      <c r="C42" s="172" t="s">
        <v>82</v>
      </c>
      <c r="D42" s="172" t="s">
        <v>245</v>
      </c>
      <c r="E42" s="172"/>
      <c r="F42" s="172" t="s">
        <v>72</v>
      </c>
      <c r="G42" s="172">
        <v>-2.9649527277797502E-10</v>
      </c>
      <c r="H42" s="172">
        <v>-1901.3937049587801</v>
      </c>
      <c r="I42" s="172">
        <v>-37082.261457217799</v>
      </c>
      <c r="J42" s="172">
        <v>-316888.25629198598</v>
      </c>
      <c r="K42" s="172">
        <v>138675.95800233399</v>
      </c>
      <c r="L42" s="172">
        <v>-6961.1713704703398</v>
      </c>
    </row>
    <row r="43" spans="2:12" hidden="1" x14ac:dyDescent="0.3">
      <c r="B43" s="172" t="s">
        <v>183</v>
      </c>
      <c r="C43" s="172" t="s">
        <v>82</v>
      </c>
      <c r="D43" s="172" t="s">
        <v>245</v>
      </c>
      <c r="E43" s="172"/>
      <c r="F43" s="172" t="s">
        <v>242</v>
      </c>
      <c r="G43" s="172">
        <v>-4.9112713895738099E-11</v>
      </c>
      <c r="H43" s="172">
        <v>-1901.39370495864</v>
      </c>
      <c r="I43" s="172">
        <v>-37082.261457216897</v>
      </c>
      <c r="J43" s="172">
        <v>-316888.25629196397</v>
      </c>
      <c r="K43" s="172">
        <v>268463.87310259801</v>
      </c>
      <c r="L43" s="172">
        <v>-13616.0493378311</v>
      </c>
    </row>
    <row r="44" spans="2:12" hidden="1" x14ac:dyDescent="0.3">
      <c r="B44" s="172" t="s">
        <v>183</v>
      </c>
      <c r="C44" s="172" t="s">
        <v>246</v>
      </c>
      <c r="D44" s="172" t="s">
        <v>245</v>
      </c>
      <c r="E44" s="172"/>
      <c r="F44" s="172" t="s">
        <v>72</v>
      </c>
      <c r="G44" s="172">
        <v>882464.86874981795</v>
      </c>
      <c r="H44" s="172">
        <v>-5.8241312217432995E-7</v>
      </c>
      <c r="I44" s="172">
        <v>-6.9554857873299598E-8</v>
      </c>
      <c r="J44" s="172">
        <v>4.1840989979391503E-6</v>
      </c>
      <c r="K44" s="172">
        <v>6522065.5007800302</v>
      </c>
      <c r="L44" s="172">
        <v>-7771996.0108605698</v>
      </c>
    </row>
    <row r="45" spans="2:12" x14ac:dyDescent="0.3">
      <c r="B45" s="172" t="s">
        <v>183</v>
      </c>
      <c r="C45" s="172" t="s">
        <v>246</v>
      </c>
      <c r="D45" s="172" t="s">
        <v>245</v>
      </c>
      <c r="E45" s="172"/>
      <c r="F45" s="172" t="s">
        <v>242</v>
      </c>
      <c r="G45" s="172">
        <v>925322.868749819</v>
      </c>
      <c r="H45" s="172">
        <v>-5.8245291256753304E-7</v>
      </c>
      <c r="I45" s="172">
        <v>-6.9554999981846803E-8</v>
      </c>
      <c r="J45" s="172">
        <v>4.18484705733135E-6</v>
      </c>
      <c r="K45" s="172">
        <v>6835283.5007802704</v>
      </c>
      <c r="L45" s="172">
        <v>-8215106.5108626299</v>
      </c>
    </row>
    <row r="46" spans="2:12" hidden="1" x14ac:dyDescent="0.3">
      <c r="B46" s="172" t="s">
        <v>181</v>
      </c>
      <c r="C46" s="172" t="s">
        <v>79</v>
      </c>
      <c r="D46" s="172" t="s">
        <v>245</v>
      </c>
      <c r="E46" s="172"/>
      <c r="F46" s="172" t="s">
        <v>72</v>
      </c>
      <c r="G46" s="172">
        <v>5.48925527255051E-9</v>
      </c>
      <c r="H46" s="172">
        <v>-46746.626872891997</v>
      </c>
      <c r="I46" s="172">
        <v>-2095.8378544765401</v>
      </c>
      <c r="J46" s="172">
        <v>351992.87595444301</v>
      </c>
      <c r="K46" s="172">
        <v>11804.425720331301</v>
      </c>
      <c r="L46" s="172">
        <v>-268390.209237214</v>
      </c>
    </row>
    <row r="47" spans="2:12" hidden="1" x14ac:dyDescent="0.3">
      <c r="B47" s="172" t="s">
        <v>181</v>
      </c>
      <c r="C47" s="172" t="s">
        <v>79</v>
      </c>
      <c r="D47" s="172" t="s">
        <v>245</v>
      </c>
      <c r="E47" s="172"/>
      <c r="F47" s="172" t="s">
        <v>242</v>
      </c>
      <c r="G47" s="172">
        <v>6.2623257690574999E-9</v>
      </c>
      <c r="H47" s="172">
        <v>-46746.6268728953</v>
      </c>
      <c r="I47" s="172">
        <v>-2095.8378544765801</v>
      </c>
      <c r="J47" s="172">
        <v>351992.87595446402</v>
      </c>
      <c r="K47" s="172">
        <v>19139.858211004499</v>
      </c>
      <c r="L47" s="172">
        <v>-432003.40329235903</v>
      </c>
    </row>
    <row r="48" spans="2:12" hidden="1" x14ac:dyDescent="0.3">
      <c r="B48" s="172" t="s">
        <v>181</v>
      </c>
      <c r="C48" s="172" t="s">
        <v>80</v>
      </c>
      <c r="D48" s="172" t="s">
        <v>245</v>
      </c>
      <c r="E48" s="172"/>
      <c r="F48" s="172" t="s">
        <v>72</v>
      </c>
      <c r="G48" s="172">
        <v>5.6397766456939297E-9</v>
      </c>
      <c r="H48" s="172">
        <v>-46746.619993999397</v>
      </c>
      <c r="I48" s="172">
        <v>-2095.8399990931598</v>
      </c>
      <c r="J48" s="172">
        <v>287324.95577273599</v>
      </c>
      <c r="K48" s="172">
        <v>11804.439995238599</v>
      </c>
      <c r="L48" s="172">
        <v>-268390.13996144698</v>
      </c>
    </row>
    <row r="49" spans="2:12" hidden="1" x14ac:dyDescent="0.3">
      <c r="B49" s="172" t="s">
        <v>181</v>
      </c>
      <c r="C49" s="172" t="s">
        <v>80</v>
      </c>
      <c r="D49" s="172" t="s">
        <v>245</v>
      </c>
      <c r="E49" s="172"/>
      <c r="F49" s="172" t="s">
        <v>242</v>
      </c>
      <c r="G49" s="172">
        <v>6.32189767202362E-9</v>
      </c>
      <c r="H49" s="172">
        <v>-46746.6199940027</v>
      </c>
      <c r="I49" s="172">
        <v>-2095.8399990930802</v>
      </c>
      <c r="J49" s="172">
        <v>287324.95577275899</v>
      </c>
      <c r="K49" s="172">
        <v>19139.879992069102</v>
      </c>
      <c r="L49" s="172">
        <v>-432003.30994046503</v>
      </c>
    </row>
    <row r="50" spans="2:12" hidden="1" x14ac:dyDescent="0.3">
      <c r="B50" s="172" t="s">
        <v>181</v>
      </c>
      <c r="C50" s="172" t="s">
        <v>81</v>
      </c>
      <c r="D50" s="172" t="s">
        <v>245</v>
      </c>
      <c r="E50" s="172"/>
      <c r="F50" s="172" t="s">
        <v>72</v>
      </c>
      <c r="G50" s="172">
        <v>5.4751581046730301E-10</v>
      </c>
      <c r="H50" s="172">
        <v>-2426.6056862343298</v>
      </c>
      <c r="I50" s="172">
        <v>-46223.360495078101</v>
      </c>
      <c r="J50" s="172">
        <v>-484225.64606491203</v>
      </c>
      <c r="K50" s="172">
        <v>268463.87310498097</v>
      </c>
      <c r="L50" s="172">
        <v>-13616.049338868201</v>
      </c>
    </row>
    <row r="51" spans="2:12" hidden="1" x14ac:dyDescent="0.3">
      <c r="B51" s="172" t="s">
        <v>181</v>
      </c>
      <c r="C51" s="172" t="s">
        <v>81</v>
      </c>
      <c r="D51" s="172" t="s">
        <v>245</v>
      </c>
      <c r="E51" s="172"/>
      <c r="F51" s="172" t="s">
        <v>242</v>
      </c>
      <c r="G51" s="172">
        <v>7.2577677201479704E-10</v>
      </c>
      <c r="H51" s="172">
        <v>-2426.6056862345099</v>
      </c>
      <c r="I51" s="172">
        <v>-46223.360495078603</v>
      </c>
      <c r="J51" s="172">
        <v>-484225.64606491697</v>
      </c>
      <c r="K51" s="172">
        <v>430245.63483775803</v>
      </c>
      <c r="L51" s="172">
        <v>-22109.169240692299</v>
      </c>
    </row>
    <row r="52" spans="2:12" hidden="1" x14ac:dyDescent="0.3">
      <c r="B52" s="172" t="s">
        <v>181</v>
      </c>
      <c r="C52" s="172" t="s">
        <v>82</v>
      </c>
      <c r="D52" s="172" t="s">
        <v>245</v>
      </c>
      <c r="E52" s="172"/>
      <c r="F52" s="172" t="s">
        <v>72</v>
      </c>
      <c r="G52" s="172">
        <v>2.0190782379358999E-10</v>
      </c>
      <c r="H52" s="172">
        <v>-2426.6056860845201</v>
      </c>
      <c r="I52" s="172">
        <v>-46223.3604946591</v>
      </c>
      <c r="J52" s="172">
        <v>-392037.70371883397</v>
      </c>
      <c r="K52" s="172">
        <v>268463.87310259498</v>
      </c>
      <c r="L52" s="172">
        <v>-13616.0493378275</v>
      </c>
    </row>
    <row r="53" spans="2:12" hidden="1" x14ac:dyDescent="0.3">
      <c r="B53" s="172" t="s">
        <v>181</v>
      </c>
      <c r="C53" s="172" t="s">
        <v>82</v>
      </c>
      <c r="D53" s="172" t="s">
        <v>245</v>
      </c>
      <c r="E53" s="172"/>
      <c r="F53" s="172" t="s">
        <v>242</v>
      </c>
      <c r="G53" s="172">
        <v>4.4565240386873499E-10</v>
      </c>
      <c r="H53" s="172">
        <v>-2426.6056860846402</v>
      </c>
      <c r="I53" s="172">
        <v>-46223.360494660301</v>
      </c>
      <c r="J53" s="172">
        <v>-392037.703718854</v>
      </c>
      <c r="K53" s="172">
        <v>430245.63483390602</v>
      </c>
      <c r="L53" s="172">
        <v>-22109.1692391287</v>
      </c>
    </row>
    <row r="54" spans="2:12" hidden="1" x14ac:dyDescent="0.3">
      <c r="B54" s="172" t="s">
        <v>181</v>
      </c>
      <c r="C54" s="172" t="s">
        <v>246</v>
      </c>
      <c r="D54" s="172" t="s">
        <v>245</v>
      </c>
      <c r="E54" s="172"/>
      <c r="F54" s="172" t="s">
        <v>72</v>
      </c>
      <c r="G54" s="172">
        <v>1183285.42499973</v>
      </c>
      <c r="H54" s="172">
        <v>-6.5446579355921099E-7</v>
      </c>
      <c r="I54" s="172">
        <v>-8.7818392557892406E-8</v>
      </c>
      <c r="J54" s="172">
        <v>4.54111523140455E-6</v>
      </c>
      <c r="K54" s="172">
        <v>8752189.1343733594</v>
      </c>
      <c r="L54" s="172">
        <v>-10387503.077815101</v>
      </c>
    </row>
    <row r="55" spans="2:12" x14ac:dyDescent="0.3">
      <c r="B55" s="172" t="s">
        <v>181</v>
      </c>
      <c r="C55" s="172" t="s">
        <v>246</v>
      </c>
      <c r="D55" s="172" t="s">
        <v>245</v>
      </c>
      <c r="E55" s="172"/>
      <c r="F55" s="172" t="s">
        <v>242</v>
      </c>
      <c r="G55" s="172">
        <v>1226143.42499973</v>
      </c>
      <c r="H55" s="172">
        <v>-6.5421590988989898E-7</v>
      </c>
      <c r="I55" s="172">
        <v>-8.7812111360108194E-8</v>
      </c>
      <c r="J55" s="172">
        <v>4.5396618588711101E-6</v>
      </c>
      <c r="K55" s="172">
        <v>9065407.1343736891</v>
      </c>
      <c r="L55" s="172">
        <v>-10830613.577817401</v>
      </c>
    </row>
    <row r="56" spans="2:12" hidden="1" x14ac:dyDescent="0.3">
      <c r="B56" s="172" t="s">
        <v>179</v>
      </c>
      <c r="C56" s="172" t="s">
        <v>79</v>
      </c>
      <c r="D56" s="172" t="s">
        <v>245</v>
      </c>
      <c r="E56" s="172"/>
      <c r="F56" s="172" t="s">
        <v>72</v>
      </c>
      <c r="G56" s="172">
        <v>7.4551280704326895E-9</v>
      </c>
      <c r="H56" s="172">
        <v>-55032.5268726141</v>
      </c>
      <c r="I56" s="172">
        <v>-2484.9478541979802</v>
      </c>
      <c r="J56" s="172">
        <v>414746.98262901203</v>
      </c>
      <c r="K56" s="172">
        <v>19139.858211012299</v>
      </c>
      <c r="L56" s="172">
        <v>-432003.40329235501</v>
      </c>
    </row>
    <row r="57" spans="2:12" hidden="1" x14ac:dyDescent="0.3">
      <c r="B57" s="172" t="s">
        <v>179</v>
      </c>
      <c r="C57" s="172" t="s">
        <v>79</v>
      </c>
      <c r="D57" s="172" t="s">
        <v>245</v>
      </c>
      <c r="E57" s="172"/>
      <c r="F57" s="172" t="s">
        <v>242</v>
      </c>
      <c r="G57" s="172">
        <v>7.4705894803628292E-9</v>
      </c>
      <c r="H57" s="172">
        <v>-55032.526872615003</v>
      </c>
      <c r="I57" s="172">
        <v>-2484.9478541980302</v>
      </c>
      <c r="J57" s="172">
        <v>414746.982629014</v>
      </c>
      <c r="K57" s="172">
        <v>27837.1757007052</v>
      </c>
      <c r="L57" s="172">
        <v>-624617.24734650599</v>
      </c>
    </row>
    <row r="58" spans="2:12" hidden="1" x14ac:dyDescent="0.3">
      <c r="B58" s="172" t="s">
        <v>179</v>
      </c>
      <c r="C58" s="172" t="s">
        <v>80</v>
      </c>
      <c r="D58" s="172" t="s">
        <v>245</v>
      </c>
      <c r="E58" s="172"/>
      <c r="F58" s="172" t="s">
        <v>72</v>
      </c>
      <c r="G58" s="172">
        <v>7.6397554948926005E-9</v>
      </c>
      <c r="H58" s="172">
        <v>-55032.519993746202</v>
      </c>
      <c r="I58" s="172">
        <v>-2484.9499988365901</v>
      </c>
      <c r="J58" s="172">
        <v>338467.34344545502</v>
      </c>
      <c r="K58" s="172">
        <v>19139.8799920776</v>
      </c>
      <c r="L58" s="172">
        <v>-432003.30994046398</v>
      </c>
    </row>
    <row r="59" spans="2:12" hidden="1" x14ac:dyDescent="0.3">
      <c r="B59" s="172" t="s">
        <v>179</v>
      </c>
      <c r="C59" s="172" t="s">
        <v>80</v>
      </c>
      <c r="D59" s="172" t="s">
        <v>245</v>
      </c>
      <c r="E59" s="172"/>
      <c r="F59" s="172" t="s">
        <v>242</v>
      </c>
      <c r="G59" s="172">
        <v>7.4378476710990096E-9</v>
      </c>
      <c r="H59" s="172">
        <v>-55032.519993747002</v>
      </c>
      <c r="I59" s="172">
        <v>-2484.9499988365001</v>
      </c>
      <c r="J59" s="172">
        <v>338467.34344545897</v>
      </c>
      <c r="K59" s="172">
        <v>27837.204988004702</v>
      </c>
      <c r="L59" s="172">
        <v>-624617.12991857401</v>
      </c>
    </row>
    <row r="60" spans="2:12" hidden="1" x14ac:dyDescent="0.3">
      <c r="B60" s="172" t="s">
        <v>179</v>
      </c>
      <c r="C60" s="172" t="s">
        <v>81</v>
      </c>
      <c r="D60" s="172" t="s">
        <v>245</v>
      </c>
      <c r="E60" s="172"/>
      <c r="F60" s="172" t="s">
        <v>72</v>
      </c>
      <c r="G60" s="172">
        <v>1.68438418768346E-9</v>
      </c>
      <c r="H60" s="172">
        <v>-2882.5082961262601</v>
      </c>
      <c r="I60" s="172">
        <v>-53991.6320733635</v>
      </c>
      <c r="J60" s="172">
        <v>-563655.60531723604</v>
      </c>
      <c r="K60" s="172">
        <v>430245.63483775302</v>
      </c>
      <c r="L60" s="172">
        <v>-22109.169240699099</v>
      </c>
    </row>
    <row r="61" spans="2:12" hidden="1" x14ac:dyDescent="0.3">
      <c r="B61" s="172" t="s">
        <v>179</v>
      </c>
      <c r="C61" s="172" t="s">
        <v>81</v>
      </c>
      <c r="D61" s="172" t="s">
        <v>245</v>
      </c>
      <c r="E61" s="172"/>
      <c r="F61" s="172" t="s">
        <v>242</v>
      </c>
      <c r="G61" s="172">
        <v>1.5261321095749701E-9</v>
      </c>
      <c r="H61" s="172">
        <v>-2882.5082961263101</v>
      </c>
      <c r="I61" s="172">
        <v>-53991.632073363297</v>
      </c>
      <c r="J61" s="172">
        <v>-563655.60531722999</v>
      </c>
      <c r="K61" s="172">
        <v>619216.34709452302</v>
      </c>
      <c r="L61" s="172">
        <v>-32197.948277137799</v>
      </c>
    </row>
    <row r="62" spans="2:12" hidden="1" x14ac:dyDescent="0.3">
      <c r="B62" s="172" t="s">
        <v>179</v>
      </c>
      <c r="C62" s="172" t="s">
        <v>82</v>
      </c>
      <c r="D62" s="172" t="s">
        <v>245</v>
      </c>
      <c r="E62" s="172"/>
      <c r="F62" s="172" t="s">
        <v>72</v>
      </c>
      <c r="G62" s="172">
        <v>1.55614543473348E-9</v>
      </c>
      <c r="H62" s="172">
        <v>-2882.5082959392198</v>
      </c>
      <c r="I62" s="172">
        <v>-53991.632072913897</v>
      </c>
      <c r="J62" s="172">
        <v>-455838.146565723</v>
      </c>
      <c r="K62" s="172">
        <v>430245.63483389799</v>
      </c>
      <c r="L62" s="172">
        <v>-22109.169239136801</v>
      </c>
    </row>
    <row r="63" spans="2:12" hidden="1" x14ac:dyDescent="0.3">
      <c r="B63" s="172" t="s">
        <v>179</v>
      </c>
      <c r="C63" s="172" t="s">
        <v>82</v>
      </c>
      <c r="D63" s="172" t="s">
        <v>245</v>
      </c>
      <c r="E63" s="172"/>
      <c r="F63" s="172" t="s">
        <v>242</v>
      </c>
      <c r="G63" s="172">
        <v>1.5816112863831199E-9</v>
      </c>
      <c r="H63" s="172">
        <v>-2882.5082959391798</v>
      </c>
      <c r="I63" s="172">
        <v>-53991.632072913802</v>
      </c>
      <c r="J63" s="172">
        <v>-455838.146565717</v>
      </c>
      <c r="K63" s="172">
        <v>619216.34708909702</v>
      </c>
      <c r="L63" s="172">
        <v>-32197.948274924602</v>
      </c>
    </row>
    <row r="64" spans="2:12" hidden="1" x14ac:dyDescent="0.3">
      <c r="B64" s="172" t="s">
        <v>179</v>
      </c>
      <c r="C64" s="172" t="s">
        <v>246</v>
      </c>
      <c r="D64" s="172" t="s">
        <v>245</v>
      </c>
      <c r="E64" s="172"/>
      <c r="F64" s="172" t="s">
        <v>72</v>
      </c>
      <c r="G64" s="172">
        <v>1484105.98124968</v>
      </c>
      <c r="H64" s="172">
        <v>-6.7422024585539496E-7</v>
      </c>
      <c r="I64" s="172">
        <v>-1.0298347774551101E-7</v>
      </c>
      <c r="J64" s="172">
        <v>4.6378518163692198E-6</v>
      </c>
      <c r="K64" s="172">
        <v>10982312.767967099</v>
      </c>
      <c r="L64" s="172">
        <v>-13003010.144770101</v>
      </c>
    </row>
    <row r="65" spans="2:12" x14ac:dyDescent="0.3">
      <c r="B65" s="172" t="s">
        <v>179</v>
      </c>
      <c r="C65" s="172" t="s">
        <v>246</v>
      </c>
      <c r="D65" s="172" t="s">
        <v>245</v>
      </c>
      <c r="E65" s="172"/>
      <c r="F65" s="172" t="s">
        <v>242</v>
      </c>
      <c r="G65" s="172">
        <v>1526963.98124968</v>
      </c>
      <c r="H65" s="172">
        <v>-6.7419250626699099E-7</v>
      </c>
      <c r="I65" s="172">
        <v>-1.02984131444828E-7</v>
      </c>
      <c r="J65" s="172">
        <v>4.6378563638427303E-6</v>
      </c>
      <c r="K65" s="172">
        <v>11295530.767967399</v>
      </c>
      <c r="L65" s="172">
        <v>-13446120.6447725</v>
      </c>
    </row>
    <row r="66" spans="2:12" hidden="1" x14ac:dyDescent="0.3">
      <c r="B66" s="172" t="s">
        <v>39</v>
      </c>
      <c r="C66" s="172" t="s">
        <v>79</v>
      </c>
      <c r="D66" s="172" t="s">
        <v>245</v>
      </c>
      <c r="E66" s="172"/>
      <c r="F66" s="172" t="s">
        <v>72</v>
      </c>
      <c r="G66" s="172">
        <v>7.8589437180198696E-9</v>
      </c>
      <c r="H66" s="172">
        <v>-62223.831277206002</v>
      </c>
      <c r="I66" s="172">
        <v>-2822.46785397949</v>
      </c>
      <c r="J66" s="172">
        <v>469213.06150452601</v>
      </c>
      <c r="K66" s="172">
        <v>27837.175700705</v>
      </c>
      <c r="L66" s="172">
        <v>-624617.24734650098</v>
      </c>
    </row>
    <row r="67" spans="2:12" hidden="1" x14ac:dyDescent="0.3">
      <c r="B67" s="172" t="s">
        <v>39</v>
      </c>
      <c r="C67" s="172" t="s">
        <v>79</v>
      </c>
      <c r="D67" s="172" t="s">
        <v>245</v>
      </c>
      <c r="E67" s="172"/>
      <c r="F67" s="172" t="s">
        <v>242</v>
      </c>
      <c r="G67" s="172">
        <v>7.8016455518081801E-9</v>
      </c>
      <c r="H67" s="172">
        <v>-62223.831277206598</v>
      </c>
      <c r="I67" s="172">
        <v>-2822.46785397946</v>
      </c>
      <c r="J67" s="172">
        <v>469213.061504527</v>
      </c>
      <c r="K67" s="172">
        <v>37715.813189632703</v>
      </c>
      <c r="L67" s="172">
        <v>-842400.65681672201</v>
      </c>
    </row>
    <row r="68" spans="2:12" hidden="1" x14ac:dyDescent="0.3">
      <c r="B68" s="172" t="s">
        <v>39</v>
      </c>
      <c r="C68" s="172" t="s">
        <v>80</v>
      </c>
      <c r="D68" s="172" t="s">
        <v>245</v>
      </c>
      <c r="E68" s="172"/>
      <c r="F68" s="172" t="s">
        <v>72</v>
      </c>
      <c r="G68" s="172">
        <v>7.9380697570741193E-9</v>
      </c>
      <c r="H68" s="172">
        <v>-62223.819993349003</v>
      </c>
      <c r="I68" s="172">
        <v>-2822.4699986802598</v>
      </c>
      <c r="J68" s="172">
        <v>382855.228744013</v>
      </c>
      <c r="K68" s="172">
        <v>27837.2049880054</v>
      </c>
      <c r="L68" s="172">
        <v>-624617.12991856597</v>
      </c>
    </row>
    <row r="69" spans="2:12" hidden="1" x14ac:dyDescent="0.3">
      <c r="B69" s="172" t="s">
        <v>39</v>
      </c>
      <c r="C69" s="172" t="s">
        <v>80</v>
      </c>
      <c r="D69" s="172" t="s">
        <v>245</v>
      </c>
      <c r="E69" s="172"/>
      <c r="F69" s="172" t="s">
        <v>242</v>
      </c>
      <c r="G69" s="172">
        <v>7.9580786405131204E-9</v>
      </c>
      <c r="H69" s="172">
        <v>-62223.819993349898</v>
      </c>
      <c r="I69" s="172">
        <v>-2822.4699986805299</v>
      </c>
      <c r="J69" s="172">
        <v>382855.22874400899</v>
      </c>
      <c r="K69" s="172">
        <v>37715.849983386899</v>
      </c>
      <c r="L69" s="172">
        <v>-842400.49989529105</v>
      </c>
    </row>
    <row r="70" spans="2:12" hidden="1" x14ac:dyDescent="0.3">
      <c r="B70" s="172" t="s">
        <v>39</v>
      </c>
      <c r="C70" s="172" t="s">
        <v>81</v>
      </c>
      <c r="D70" s="172" t="s">
        <v>245</v>
      </c>
      <c r="E70" s="172"/>
      <c r="F70" s="172" t="s">
        <v>72</v>
      </c>
      <c r="G70" s="172">
        <v>1.8890204955823699E-9</v>
      </c>
      <c r="H70" s="172">
        <v>-3276.6338218501601</v>
      </c>
      <c r="I70" s="172">
        <v>-60767.802720425898</v>
      </c>
      <c r="J70" s="172">
        <v>-632970.10461082798</v>
      </c>
      <c r="K70" s="172">
        <v>619216.34709451604</v>
      </c>
      <c r="L70" s="172">
        <v>-32197.948277142099</v>
      </c>
    </row>
    <row r="71" spans="2:12" hidden="1" x14ac:dyDescent="0.3">
      <c r="B71" s="172" t="s">
        <v>39</v>
      </c>
      <c r="C71" s="172" t="s">
        <v>81</v>
      </c>
      <c r="D71" s="172" t="s">
        <v>245</v>
      </c>
      <c r="E71" s="172"/>
      <c r="F71" s="172" t="s">
        <v>242</v>
      </c>
      <c r="G71" s="172">
        <v>1.8471837393008199E-9</v>
      </c>
      <c r="H71" s="172">
        <v>-3276.6338218502301</v>
      </c>
      <c r="I71" s="172">
        <v>-60767.802720428102</v>
      </c>
      <c r="J71" s="172">
        <v>-632970.10461086803</v>
      </c>
      <c r="K71" s="172">
        <v>831903.65661601105</v>
      </c>
      <c r="L71" s="172">
        <v>-43666.166653617103</v>
      </c>
    </row>
    <row r="72" spans="2:12" hidden="1" x14ac:dyDescent="0.3">
      <c r="B72" s="172" t="s">
        <v>39</v>
      </c>
      <c r="C72" s="172" t="s">
        <v>82</v>
      </c>
      <c r="D72" s="172" t="s">
        <v>245</v>
      </c>
      <c r="E72" s="172"/>
      <c r="F72" s="172" t="s">
        <v>72</v>
      </c>
      <c r="G72" s="172">
        <v>1.8649188859853902E-9</v>
      </c>
      <c r="H72" s="172">
        <v>-3276.63382164828</v>
      </c>
      <c r="I72" s="172">
        <v>-60767.802719887499</v>
      </c>
      <c r="J72" s="172">
        <v>-511513.87578444701</v>
      </c>
      <c r="K72" s="172">
        <v>619216.34708908899</v>
      </c>
      <c r="L72" s="172">
        <v>-32197.948274927901</v>
      </c>
    </row>
    <row r="73" spans="2:12" hidden="1" x14ac:dyDescent="0.3">
      <c r="B73" s="172" t="s">
        <v>39</v>
      </c>
      <c r="C73" s="172" t="s">
        <v>82</v>
      </c>
      <c r="D73" s="172" t="s">
        <v>245</v>
      </c>
      <c r="E73" s="172"/>
      <c r="F73" s="172" t="s">
        <v>242</v>
      </c>
      <c r="G73" s="172">
        <v>1.70575731317513E-9</v>
      </c>
      <c r="H73" s="172">
        <v>-3276.63382164825</v>
      </c>
      <c r="I73" s="172">
        <v>-60767.802719889703</v>
      </c>
      <c r="J73" s="172">
        <v>-511513.87578449002</v>
      </c>
      <c r="K73" s="172">
        <v>831903.65660869796</v>
      </c>
      <c r="L73" s="172">
        <v>-43666.166650693602</v>
      </c>
    </row>
    <row r="74" spans="2:12" hidden="1" x14ac:dyDescent="0.3">
      <c r="B74" s="172" t="s">
        <v>39</v>
      </c>
      <c r="C74" s="172" t="s">
        <v>246</v>
      </c>
      <c r="D74" s="172" t="s">
        <v>245</v>
      </c>
      <c r="E74" s="172"/>
      <c r="F74" s="172" t="s">
        <v>72</v>
      </c>
      <c r="G74" s="172">
        <v>1784926.5374996399</v>
      </c>
      <c r="H74" s="172">
        <v>-7.0105033955769603E-7</v>
      </c>
      <c r="I74" s="172">
        <v>-1.12961799914046E-7</v>
      </c>
      <c r="J74" s="172">
        <v>4.77198818771285E-6</v>
      </c>
      <c r="K74" s="172">
        <v>13212436.401560999</v>
      </c>
      <c r="L74" s="172">
        <v>-15618517.211725401</v>
      </c>
    </row>
    <row r="75" spans="2:12" x14ac:dyDescent="0.3">
      <c r="B75" s="172" t="s">
        <v>39</v>
      </c>
      <c r="C75" s="172" t="s">
        <v>246</v>
      </c>
      <c r="D75" s="172" t="s">
        <v>245</v>
      </c>
      <c r="E75" s="172"/>
      <c r="F75" s="172" t="s">
        <v>242</v>
      </c>
      <c r="G75" s="172">
        <v>1827784.5374996399</v>
      </c>
      <c r="H75" s="172">
        <v>-7.0099667937029195E-7</v>
      </c>
      <c r="I75" s="172">
        <v>-1.1296185675746501E-7</v>
      </c>
      <c r="J75" s="172">
        <v>4.7718444875499699E-6</v>
      </c>
      <c r="K75" s="172">
        <v>13525654.401561299</v>
      </c>
      <c r="L75" s="172">
        <v>-16061627.7117278</v>
      </c>
    </row>
    <row r="76" spans="2:12" hidden="1" x14ac:dyDescent="0.3">
      <c r="B76" s="172" t="s">
        <v>26</v>
      </c>
      <c r="C76" s="172" t="s">
        <v>79</v>
      </c>
      <c r="D76" s="172" t="s">
        <v>245</v>
      </c>
      <c r="E76" s="172"/>
      <c r="F76" s="172" t="s">
        <v>72</v>
      </c>
      <c r="G76" s="172">
        <v>8.4837665781378696E-9</v>
      </c>
      <c r="H76" s="172">
        <v>-68496.462079384495</v>
      </c>
      <c r="I76" s="172">
        <v>-3113.4278537936002</v>
      </c>
      <c r="J76" s="172">
        <v>516611.06349129899</v>
      </c>
      <c r="K76" s="172">
        <v>37715.813189631997</v>
      </c>
      <c r="L76" s="172">
        <v>-842400.65681672096</v>
      </c>
    </row>
    <row r="77" spans="2:12" hidden="1" x14ac:dyDescent="0.3">
      <c r="B77" s="172" t="s">
        <v>26</v>
      </c>
      <c r="C77" s="172" t="s">
        <v>79</v>
      </c>
      <c r="D77" s="172" t="s">
        <v>245</v>
      </c>
      <c r="E77" s="172"/>
      <c r="F77" s="172" t="s">
        <v>242</v>
      </c>
      <c r="G77" s="172">
        <v>8.57653503771871E-9</v>
      </c>
      <c r="H77" s="172">
        <v>-68496.462079386096</v>
      </c>
      <c r="I77" s="172">
        <v>-3113.4278537935802</v>
      </c>
      <c r="J77" s="172">
        <v>516611.06349131302</v>
      </c>
      <c r="K77" s="172">
        <v>48612.810677909503</v>
      </c>
      <c r="L77" s="172">
        <v>-1082138.27409457</v>
      </c>
    </row>
    <row r="78" spans="2:12" hidden="1" x14ac:dyDescent="0.3">
      <c r="B78" s="172" t="s">
        <v>26</v>
      </c>
      <c r="C78" s="172" t="s">
        <v>80</v>
      </c>
      <c r="D78" s="172" t="s">
        <v>245</v>
      </c>
      <c r="E78" s="172"/>
      <c r="F78" s="172" t="s">
        <v>72</v>
      </c>
      <c r="G78" s="172">
        <v>8.5456122178584304E-9</v>
      </c>
      <c r="H78" s="172">
        <v>-68496.449993549395</v>
      </c>
      <c r="I78" s="172">
        <v>-3113.42999854965</v>
      </c>
      <c r="J78" s="172">
        <v>421455.29526676802</v>
      </c>
      <c r="K78" s="172">
        <v>37715.849983385298</v>
      </c>
      <c r="L78" s="172">
        <v>-842400.49989528803</v>
      </c>
    </row>
    <row r="79" spans="2:12" hidden="1" x14ac:dyDescent="0.3">
      <c r="B79" s="172" t="s">
        <v>26</v>
      </c>
      <c r="C79" s="172" t="s">
        <v>80</v>
      </c>
      <c r="D79" s="172" t="s">
        <v>245</v>
      </c>
      <c r="E79" s="172"/>
      <c r="F79" s="172" t="s">
        <v>242</v>
      </c>
      <c r="G79" s="172">
        <v>8.6147338151931796E-9</v>
      </c>
      <c r="H79" s="172">
        <v>-68496.449993550894</v>
      </c>
      <c r="I79" s="172">
        <v>-3113.4299985498901</v>
      </c>
      <c r="J79" s="172">
        <v>421455.29526677699</v>
      </c>
      <c r="K79" s="172">
        <v>48612.8549783095</v>
      </c>
      <c r="L79" s="172">
        <v>-1082138.0748727201</v>
      </c>
    </row>
    <row r="80" spans="2:12" hidden="1" x14ac:dyDescent="0.3">
      <c r="B80" s="172" t="s">
        <v>26</v>
      </c>
      <c r="C80" s="172" t="s">
        <v>81</v>
      </c>
      <c r="D80" s="172" t="s">
        <v>245</v>
      </c>
      <c r="E80" s="172"/>
      <c r="F80" s="172" t="s">
        <v>72</v>
      </c>
      <c r="G80" s="172">
        <v>1.0350049706175901E-9</v>
      </c>
      <c r="H80" s="172">
        <v>-3613.4515424434899</v>
      </c>
      <c r="I80" s="172">
        <v>-66788.5983665409</v>
      </c>
      <c r="J80" s="172">
        <v>-695391.08702908002</v>
      </c>
      <c r="K80" s="172">
        <v>831903.65661599406</v>
      </c>
      <c r="L80" s="172">
        <v>-43666.166653602297</v>
      </c>
    </row>
    <row r="81" spans="2:12" hidden="1" x14ac:dyDescent="0.3">
      <c r="B81" s="172" t="s">
        <v>26</v>
      </c>
      <c r="C81" s="172" t="s">
        <v>81</v>
      </c>
      <c r="D81" s="172" t="s">
        <v>245</v>
      </c>
      <c r="E81" s="172"/>
      <c r="F81" s="172" t="s">
        <v>242</v>
      </c>
      <c r="G81" s="172">
        <v>8.2764017861336501E-10</v>
      </c>
      <c r="H81" s="172">
        <v>-3613.4515424435599</v>
      </c>
      <c r="I81" s="172">
        <v>-66788.598366542996</v>
      </c>
      <c r="J81" s="172">
        <v>-695391.08702911797</v>
      </c>
      <c r="K81" s="172">
        <v>1065663.75089889</v>
      </c>
      <c r="L81" s="172">
        <v>-56313.2470521504</v>
      </c>
    </row>
    <row r="82" spans="2:12" hidden="1" x14ac:dyDescent="0.3">
      <c r="B82" s="172" t="s">
        <v>26</v>
      </c>
      <c r="C82" s="172" t="s">
        <v>82</v>
      </c>
      <c r="D82" s="172" t="s">
        <v>245</v>
      </c>
      <c r="E82" s="172"/>
      <c r="F82" s="172" t="s">
        <v>72</v>
      </c>
      <c r="G82" s="172">
        <v>1.1032170732505601E-9</v>
      </c>
      <c r="H82" s="172">
        <v>-3613.4515422106701</v>
      </c>
      <c r="I82" s="172">
        <v>-66788.598365925907</v>
      </c>
      <c r="J82" s="172">
        <v>-561796.41392310895</v>
      </c>
      <c r="K82" s="172">
        <v>831903.65660868504</v>
      </c>
      <c r="L82" s="172">
        <v>-43666.166650683197</v>
      </c>
    </row>
    <row r="83" spans="2:12" hidden="1" x14ac:dyDescent="0.3">
      <c r="B83" s="172" t="s">
        <v>26</v>
      </c>
      <c r="C83" s="172" t="s">
        <v>82</v>
      </c>
      <c r="D83" s="172" t="s">
        <v>245</v>
      </c>
      <c r="E83" s="172"/>
      <c r="F83" s="172" t="s">
        <v>242</v>
      </c>
      <c r="G83" s="172">
        <v>8.0171957961283603E-10</v>
      </c>
      <c r="H83" s="172">
        <v>-3613.4515422107902</v>
      </c>
      <c r="I83" s="172">
        <v>-66788.598365927799</v>
      </c>
      <c r="J83" s="172">
        <v>-561796.41392314504</v>
      </c>
      <c r="K83" s="172">
        <v>1065663.7508894301</v>
      </c>
      <c r="L83" s="172">
        <v>-56313.2470484144</v>
      </c>
    </row>
    <row r="84" spans="2:12" hidden="1" x14ac:dyDescent="0.3">
      <c r="B84" s="172" t="s">
        <v>26</v>
      </c>
      <c r="C84" s="172" t="s">
        <v>246</v>
      </c>
      <c r="D84" s="172" t="s">
        <v>245</v>
      </c>
      <c r="E84" s="172"/>
      <c r="F84" s="172" t="s">
        <v>72</v>
      </c>
      <c r="G84" s="172">
        <v>2087057.4937496099</v>
      </c>
      <c r="H84" s="172">
        <v>-6.8984604695287999E-7</v>
      </c>
      <c r="I84" s="172">
        <v>-1.1987788184342199E-7</v>
      </c>
      <c r="J84" s="172">
        <v>4.6871764425304701E-6</v>
      </c>
      <c r="K84" s="172">
        <v>15450422.435154799</v>
      </c>
      <c r="L84" s="172">
        <v>-18258266.6786808</v>
      </c>
    </row>
    <row r="85" spans="2:12" x14ac:dyDescent="0.3">
      <c r="B85" s="172" t="s">
        <v>26</v>
      </c>
      <c r="C85" s="172" t="s">
        <v>246</v>
      </c>
      <c r="D85" s="172" t="s">
        <v>245</v>
      </c>
      <c r="E85" s="172"/>
      <c r="F85" s="172" t="s">
        <v>242</v>
      </c>
      <c r="G85" s="172">
        <v>2129915.4937496101</v>
      </c>
      <c r="H85" s="172">
        <v>-6.89779710683069E-7</v>
      </c>
      <c r="I85" s="172">
        <v>-1.1987779657829399E-7</v>
      </c>
      <c r="J85" s="172">
        <v>4.6865616241120699E-6</v>
      </c>
      <c r="K85" s="172">
        <v>15763640.4351553</v>
      </c>
      <c r="L85" s="172">
        <v>-18701377.178683199</v>
      </c>
    </row>
    <row r="86" spans="2:12" hidden="1" x14ac:dyDescent="0.3">
      <c r="B86" s="172" t="s">
        <v>25</v>
      </c>
      <c r="C86" s="172" t="s">
        <v>79</v>
      </c>
      <c r="D86" s="172" t="s">
        <v>245</v>
      </c>
      <c r="E86" s="172"/>
      <c r="F86" s="172" t="s">
        <v>72</v>
      </c>
      <c r="G86" s="172">
        <v>9.1986294137313995E-9</v>
      </c>
      <c r="H86" s="172">
        <v>-73804.173283214303</v>
      </c>
      <c r="I86" s="172">
        <v>-3353.1178536615798</v>
      </c>
      <c r="J86" s="172">
        <v>556788.26942196698</v>
      </c>
      <c r="K86" s="172">
        <v>48612.810677912799</v>
      </c>
      <c r="L86" s="172">
        <v>-1082138.27409456</v>
      </c>
    </row>
    <row r="87" spans="2:12" hidden="1" x14ac:dyDescent="0.3">
      <c r="B87" s="172" t="s">
        <v>25</v>
      </c>
      <c r="C87" s="172" t="s">
        <v>79</v>
      </c>
      <c r="D87" s="172" t="s">
        <v>245</v>
      </c>
      <c r="E87" s="172"/>
      <c r="F87" s="172" t="s">
        <v>242</v>
      </c>
      <c r="G87" s="172">
        <v>9.3841663328930703E-9</v>
      </c>
      <c r="H87" s="172">
        <v>-73804.173283214797</v>
      </c>
      <c r="I87" s="172">
        <v>-3353.1178536615998</v>
      </c>
      <c r="J87" s="172">
        <v>556788.26942197199</v>
      </c>
      <c r="K87" s="172">
        <v>60348.723165729702</v>
      </c>
      <c r="L87" s="172">
        <v>-1340452.8805858199</v>
      </c>
    </row>
    <row r="88" spans="2:12" hidden="1" x14ac:dyDescent="0.3">
      <c r="B88" s="172" t="s">
        <v>25</v>
      </c>
      <c r="C88" s="172" t="s">
        <v>80</v>
      </c>
      <c r="D88" s="172" t="s">
        <v>245</v>
      </c>
      <c r="E88" s="172"/>
      <c r="F88" s="172" t="s">
        <v>72</v>
      </c>
      <c r="G88" s="172">
        <v>9.2659320216625896E-9</v>
      </c>
      <c r="H88" s="172">
        <v>-73804.159993395893</v>
      </c>
      <c r="I88" s="172">
        <v>-3353.1199984582299</v>
      </c>
      <c r="J88" s="172">
        <v>454174.27549371897</v>
      </c>
      <c r="K88" s="172">
        <v>48612.854978313</v>
      </c>
      <c r="L88" s="172">
        <v>-1082138.07487271</v>
      </c>
    </row>
    <row r="89" spans="2:12" hidden="1" x14ac:dyDescent="0.3">
      <c r="B89" s="172" t="s">
        <v>25</v>
      </c>
      <c r="C89" s="172" t="s">
        <v>80</v>
      </c>
      <c r="D89" s="172" t="s">
        <v>245</v>
      </c>
      <c r="E89" s="172"/>
      <c r="F89" s="172" t="s">
        <v>242</v>
      </c>
      <c r="G89" s="172">
        <v>9.3732523964718001E-9</v>
      </c>
      <c r="H89" s="172">
        <v>-73804.159993396403</v>
      </c>
      <c r="I89" s="172">
        <v>-3353.1199984582699</v>
      </c>
      <c r="J89" s="172">
        <v>454174.275493722</v>
      </c>
      <c r="K89" s="172">
        <v>60348.774972917199</v>
      </c>
      <c r="L89" s="172">
        <v>-1340452.6348496</v>
      </c>
    </row>
    <row r="90" spans="2:12" hidden="1" x14ac:dyDescent="0.3">
      <c r="B90" s="172" t="s">
        <v>25</v>
      </c>
      <c r="C90" s="172" t="s">
        <v>81</v>
      </c>
      <c r="D90" s="172" t="s">
        <v>245</v>
      </c>
      <c r="E90" s="172"/>
      <c r="F90" s="172" t="s">
        <v>72</v>
      </c>
      <c r="G90" s="172">
        <v>2.1345840650610601E-9</v>
      </c>
      <c r="H90" s="172">
        <v>-3888.6494019403099</v>
      </c>
      <c r="I90" s="172">
        <v>-72016.573686114905</v>
      </c>
      <c r="J90" s="172">
        <v>-749731.59882313502</v>
      </c>
      <c r="K90" s="172">
        <v>1065663.75089889</v>
      </c>
      <c r="L90" s="172">
        <v>-56313.247052162304</v>
      </c>
    </row>
    <row r="91" spans="2:12" hidden="1" x14ac:dyDescent="0.3">
      <c r="B91" s="172" t="s">
        <v>25</v>
      </c>
      <c r="C91" s="172" t="s">
        <v>81</v>
      </c>
      <c r="D91" s="172" t="s">
        <v>245</v>
      </c>
      <c r="E91" s="172"/>
      <c r="F91" s="172" t="s">
        <v>242</v>
      </c>
      <c r="G91" s="172">
        <v>1.9863364286720798E-9</v>
      </c>
      <c r="H91" s="172">
        <v>-3888.6494019403499</v>
      </c>
      <c r="I91" s="172">
        <v>-72016.573686115706</v>
      </c>
      <c r="J91" s="172">
        <v>-749731.59882314899</v>
      </c>
      <c r="K91" s="172">
        <v>1317721.7588003001</v>
      </c>
      <c r="L91" s="172">
        <v>-69923.519958950506</v>
      </c>
    </row>
    <row r="92" spans="2:12" hidden="1" x14ac:dyDescent="0.3">
      <c r="B92" s="172" t="s">
        <v>25</v>
      </c>
      <c r="C92" s="172" t="s">
        <v>82</v>
      </c>
      <c r="D92" s="172" t="s">
        <v>245</v>
      </c>
      <c r="E92" s="172"/>
      <c r="F92" s="172" t="s">
        <v>72</v>
      </c>
      <c r="G92" s="172">
        <v>2.1382220438681502E-9</v>
      </c>
      <c r="H92" s="172">
        <v>-3888.6494016841998</v>
      </c>
      <c r="I92" s="172">
        <v>-72016.573685442694</v>
      </c>
      <c r="J92" s="172">
        <v>-605570.97433213599</v>
      </c>
      <c r="K92" s="172">
        <v>1065663.7508894301</v>
      </c>
      <c r="L92" s="172">
        <v>-56313.247048427998</v>
      </c>
    </row>
    <row r="93" spans="2:12" hidden="1" x14ac:dyDescent="0.3">
      <c r="B93" s="172" t="s">
        <v>25</v>
      </c>
      <c r="C93" s="172" t="s">
        <v>82</v>
      </c>
      <c r="D93" s="172" t="s">
        <v>245</v>
      </c>
      <c r="E93" s="172"/>
      <c r="F93" s="172" t="s">
        <v>242</v>
      </c>
      <c r="G93" s="172">
        <v>2.0536390366032699E-9</v>
      </c>
      <c r="H93" s="172">
        <v>-3888.6494016842298</v>
      </c>
      <c r="I93" s="172">
        <v>-72016.573685443305</v>
      </c>
      <c r="J93" s="172">
        <v>-605570.97433214402</v>
      </c>
      <c r="K93" s="172">
        <v>1317721.75878848</v>
      </c>
      <c r="L93" s="172">
        <v>-69923.519954321106</v>
      </c>
    </row>
    <row r="94" spans="2:12" hidden="1" x14ac:dyDescent="0.3">
      <c r="B94" s="172" t="s">
        <v>25</v>
      </c>
      <c r="C94" s="172" t="s">
        <v>246</v>
      </c>
      <c r="D94" s="172" t="s">
        <v>245</v>
      </c>
      <c r="E94" s="172"/>
      <c r="F94" s="172" t="s">
        <v>72</v>
      </c>
      <c r="G94" s="172">
        <v>2389188.4499995601</v>
      </c>
      <c r="H94" s="172">
        <v>-6.9701661686849505E-7</v>
      </c>
      <c r="I94" s="172">
        <v>-1.2419101835803301E-7</v>
      </c>
      <c r="J94" s="172">
        <v>4.7310841182479601E-6</v>
      </c>
      <c r="K94" s="172">
        <v>17688408.468748599</v>
      </c>
      <c r="L94" s="172">
        <v>-20898016.145635899</v>
      </c>
    </row>
    <row r="95" spans="2:12" x14ac:dyDescent="0.3">
      <c r="B95" s="172" t="s">
        <v>25</v>
      </c>
      <c r="C95" s="172" t="s">
        <v>246</v>
      </c>
      <c r="D95" s="172" t="s">
        <v>245</v>
      </c>
      <c r="E95" s="172"/>
      <c r="F95" s="172" t="s">
        <v>242</v>
      </c>
      <c r="G95" s="172">
        <v>2432046.4499995601</v>
      </c>
      <c r="H95" s="172">
        <v>-6.9699405003120805E-7</v>
      </c>
      <c r="I95" s="172">
        <v>-1.2419152994880299E-7</v>
      </c>
      <c r="J95" s="172">
        <v>4.7308967623394E-6</v>
      </c>
      <c r="K95" s="172">
        <v>18001626.468749098</v>
      </c>
      <c r="L95" s="172">
        <v>-21341126.645638399</v>
      </c>
    </row>
    <row r="96" spans="2:12" hidden="1" x14ac:dyDescent="0.3">
      <c r="B96" s="172" t="s">
        <v>24</v>
      </c>
      <c r="C96" s="172" t="s">
        <v>79</v>
      </c>
      <c r="D96" s="172" t="s">
        <v>245</v>
      </c>
      <c r="E96" s="172"/>
      <c r="F96" s="172" t="s">
        <v>72</v>
      </c>
      <c r="G96" s="172">
        <v>1.0204530553892299E-8</v>
      </c>
      <c r="H96" s="172">
        <v>-77907.988713016995</v>
      </c>
      <c r="I96" s="172">
        <v>-3529.8442931757199</v>
      </c>
      <c r="J96" s="172">
        <v>587945.48191756301</v>
      </c>
      <c r="K96" s="172">
        <v>60348.723165734496</v>
      </c>
      <c r="L96" s="172">
        <v>-1340452.8805858199</v>
      </c>
    </row>
    <row r="97" spans="2:12" hidden="1" x14ac:dyDescent="0.3">
      <c r="B97" s="172" t="s">
        <v>24</v>
      </c>
      <c r="C97" s="172" t="s">
        <v>79</v>
      </c>
      <c r="D97" s="172" t="s">
        <v>245</v>
      </c>
      <c r="E97" s="172"/>
      <c r="F97" s="172" t="s">
        <v>242</v>
      </c>
      <c r="G97" s="172">
        <v>1.00026227300987E-8</v>
      </c>
      <c r="H97" s="172">
        <v>-77907.988713016995</v>
      </c>
      <c r="I97" s="172">
        <v>-3529.8442931757399</v>
      </c>
      <c r="J97" s="172">
        <v>587945.48191756196</v>
      </c>
      <c r="K97" s="172">
        <v>72703.178191848099</v>
      </c>
      <c r="L97" s="172">
        <v>-1613130.8410813799</v>
      </c>
    </row>
    <row r="98" spans="2:12" hidden="1" x14ac:dyDescent="0.3">
      <c r="B98" s="172" t="s">
        <v>24</v>
      </c>
      <c r="C98" s="172" t="s">
        <v>80</v>
      </c>
      <c r="D98" s="172" t="s">
        <v>245</v>
      </c>
      <c r="E98" s="172"/>
      <c r="F98" s="172" t="s">
        <v>72</v>
      </c>
      <c r="G98" s="172">
        <v>1.0291842045262501E-8</v>
      </c>
      <c r="H98" s="172">
        <v>-77907.979993199493</v>
      </c>
      <c r="I98" s="172">
        <v>-3529.8499983883698</v>
      </c>
      <c r="J98" s="172">
        <v>479546.88929672702</v>
      </c>
      <c r="K98" s="172">
        <v>60348.774972922998</v>
      </c>
      <c r="L98" s="172">
        <v>-1340452.6348496</v>
      </c>
    </row>
    <row r="99" spans="2:12" hidden="1" x14ac:dyDescent="0.3">
      <c r="B99" s="172" t="s">
        <v>24</v>
      </c>
      <c r="C99" s="172" t="s">
        <v>80</v>
      </c>
      <c r="D99" s="172" t="s">
        <v>245</v>
      </c>
      <c r="E99" s="172"/>
      <c r="F99" s="172" t="s">
        <v>242</v>
      </c>
      <c r="G99" s="172">
        <v>1.00408215075731E-8</v>
      </c>
      <c r="H99" s="172">
        <v>-77907.979993199595</v>
      </c>
      <c r="I99" s="172">
        <v>-3529.8499983882898</v>
      </c>
      <c r="J99" s="172">
        <v>479546.889296729</v>
      </c>
      <c r="K99" s="172">
        <v>72703.249967280295</v>
      </c>
      <c r="L99" s="172">
        <v>-1613130.5648258</v>
      </c>
    </row>
    <row r="100" spans="2:12" hidden="1" x14ac:dyDescent="0.3">
      <c r="B100" s="172" t="s">
        <v>24</v>
      </c>
      <c r="C100" s="172" t="s">
        <v>81</v>
      </c>
      <c r="D100" s="172" t="s">
        <v>245</v>
      </c>
      <c r="E100" s="172"/>
      <c r="F100" s="172" t="s">
        <v>72</v>
      </c>
      <c r="G100" s="172">
        <v>2.9019702196819699E-9</v>
      </c>
      <c r="H100" s="172">
        <v>-4090.0992920645499</v>
      </c>
      <c r="I100" s="172">
        <v>-76174.104233745995</v>
      </c>
      <c r="J100" s="172">
        <v>-793085.93009811197</v>
      </c>
      <c r="K100" s="172">
        <v>1317721.7588003001</v>
      </c>
      <c r="L100" s="172">
        <v>-69923.519958960504</v>
      </c>
    </row>
    <row r="101" spans="2:12" hidden="1" x14ac:dyDescent="0.3">
      <c r="B101" s="172" t="s">
        <v>24</v>
      </c>
      <c r="C101" s="172" t="s">
        <v>81</v>
      </c>
      <c r="D101" s="172" t="s">
        <v>245</v>
      </c>
      <c r="E101" s="172"/>
      <c r="F101" s="172" t="s">
        <v>242</v>
      </c>
      <c r="G101" s="172">
        <v>2.76895661954768E-9</v>
      </c>
      <c r="H101" s="172">
        <v>-4090.0992920645599</v>
      </c>
      <c r="I101" s="172">
        <v>-76174.104233745398</v>
      </c>
      <c r="J101" s="172">
        <v>-793085.930098098</v>
      </c>
      <c r="K101" s="172">
        <v>1584331.12361841</v>
      </c>
      <c r="L101" s="172">
        <v>-84238.867481183406</v>
      </c>
    </row>
    <row r="102" spans="2:12" hidden="1" x14ac:dyDescent="0.3">
      <c r="B102" s="172" t="s">
        <v>24</v>
      </c>
      <c r="C102" s="172" t="s">
        <v>82</v>
      </c>
      <c r="D102" s="172" t="s">
        <v>245</v>
      </c>
      <c r="E102" s="172"/>
      <c r="F102" s="172" t="s">
        <v>72</v>
      </c>
      <c r="G102" s="172">
        <v>2.8630893211811802E-9</v>
      </c>
      <c r="H102" s="172">
        <v>-4090.0992918070201</v>
      </c>
      <c r="I102" s="172">
        <v>-76174.104233050894</v>
      </c>
      <c r="J102" s="172">
        <v>-640496.66629076703</v>
      </c>
      <c r="K102" s="172">
        <v>1317721.75878848</v>
      </c>
      <c r="L102" s="172">
        <v>-69923.519954330201</v>
      </c>
    </row>
    <row r="103" spans="2:12" hidden="1" x14ac:dyDescent="0.3">
      <c r="B103" s="172" t="s">
        <v>24</v>
      </c>
      <c r="C103" s="172" t="s">
        <v>82</v>
      </c>
      <c r="D103" s="172" t="s">
        <v>245</v>
      </c>
      <c r="E103" s="172"/>
      <c r="F103" s="172" t="s">
        <v>242</v>
      </c>
      <c r="G103" s="172">
        <v>2.7011992642656002E-9</v>
      </c>
      <c r="H103" s="172">
        <v>-4090.0992918070201</v>
      </c>
      <c r="I103" s="172">
        <v>-76174.104233050501</v>
      </c>
      <c r="J103" s="172">
        <v>-640496.66629075701</v>
      </c>
      <c r="K103" s="172">
        <v>1584331.12360416</v>
      </c>
      <c r="L103" s="172">
        <v>-84238.867475651205</v>
      </c>
    </row>
    <row r="104" spans="2:12" hidden="1" x14ac:dyDescent="0.3">
      <c r="B104" s="172" t="s">
        <v>24</v>
      </c>
      <c r="C104" s="172" t="s">
        <v>246</v>
      </c>
      <c r="D104" s="172" t="s">
        <v>245</v>
      </c>
      <c r="E104" s="172"/>
      <c r="F104" s="172" t="s">
        <v>72</v>
      </c>
      <c r="G104" s="172">
        <v>2691319.4062495301</v>
      </c>
      <c r="H104" s="172">
        <v>-7.0328178480849601E-7</v>
      </c>
      <c r="I104" s="172">
        <v>-1.2633444157472701E-7</v>
      </c>
      <c r="J104" s="172">
        <v>4.7547296162520104E-6</v>
      </c>
      <c r="K104" s="172">
        <v>19926394.5023426</v>
      </c>
      <c r="L104" s="172">
        <v>-23537765.6125913</v>
      </c>
    </row>
    <row r="105" spans="2:12" x14ac:dyDescent="0.3">
      <c r="B105" s="172" t="s">
        <v>24</v>
      </c>
      <c r="C105" s="172" t="s">
        <v>246</v>
      </c>
      <c r="D105" s="172" t="s">
        <v>245</v>
      </c>
      <c r="E105" s="172"/>
      <c r="F105" s="172" t="s">
        <v>242</v>
      </c>
      <c r="G105" s="172">
        <v>2734177.4062495301</v>
      </c>
      <c r="H105" s="172">
        <v>-7.0327777734746601E-7</v>
      </c>
      <c r="I105" s="172">
        <v>-1.2633404367079501E-7</v>
      </c>
      <c r="J105" s="172">
        <v>4.7547193844366103E-6</v>
      </c>
      <c r="K105" s="172">
        <v>20239612.5023431</v>
      </c>
      <c r="L105" s="172">
        <v>-23980876.1125938</v>
      </c>
    </row>
    <row r="106" spans="2:12" hidden="1" x14ac:dyDescent="0.3">
      <c r="B106" s="172" t="s">
        <v>22</v>
      </c>
      <c r="C106" s="172" t="s">
        <v>79</v>
      </c>
      <c r="D106" s="172" t="s">
        <v>245</v>
      </c>
      <c r="E106" s="172"/>
      <c r="F106" s="172" t="s">
        <v>72</v>
      </c>
      <c r="G106" s="172">
        <v>1.0400981409475201E-8</v>
      </c>
      <c r="H106" s="172">
        <v>-80324.530547093396</v>
      </c>
      <c r="I106" s="172">
        <v>-3625.2569058080298</v>
      </c>
      <c r="J106" s="172">
        <v>606378.15000664606</v>
      </c>
      <c r="K106" s="172">
        <v>72703.178191852596</v>
      </c>
      <c r="L106" s="172">
        <v>-1613130.8410813799</v>
      </c>
    </row>
    <row r="107" spans="2:12" hidden="1" x14ac:dyDescent="0.3">
      <c r="B107" s="172" t="s">
        <v>22</v>
      </c>
      <c r="C107" s="172" t="s">
        <v>79</v>
      </c>
      <c r="D107" s="172" t="s">
        <v>245</v>
      </c>
      <c r="E107" s="172"/>
      <c r="F107" s="172" t="s">
        <v>242</v>
      </c>
      <c r="G107" s="172">
        <v>1.04810169432312E-8</v>
      </c>
      <c r="H107" s="172">
        <v>-80324.5305470936</v>
      </c>
      <c r="I107" s="172">
        <v>-3625.2569058080298</v>
      </c>
      <c r="J107" s="172">
        <v>606378.15000664804</v>
      </c>
      <c r="K107" s="172">
        <v>87204.205815085297</v>
      </c>
      <c r="L107" s="172">
        <v>-1934428.9632697499</v>
      </c>
    </row>
    <row r="108" spans="2:12" hidden="1" x14ac:dyDescent="0.3">
      <c r="B108" s="172" t="s">
        <v>22</v>
      </c>
      <c r="C108" s="172" t="s">
        <v>80</v>
      </c>
      <c r="D108" s="172" t="s">
        <v>245</v>
      </c>
      <c r="E108" s="172"/>
      <c r="F108" s="172" t="s">
        <v>72</v>
      </c>
      <c r="G108" s="172">
        <v>1.0348230716772401E-8</v>
      </c>
      <c r="H108" s="172">
        <v>-80324.519993274793</v>
      </c>
      <c r="I108" s="172">
        <v>-3625.2599983657801</v>
      </c>
      <c r="J108" s="172">
        <v>494555.12202660198</v>
      </c>
      <c r="K108" s="172">
        <v>72703.249967283293</v>
      </c>
      <c r="L108" s="172">
        <v>-1613130.56482579</v>
      </c>
    </row>
    <row r="109" spans="2:12" hidden="1" x14ac:dyDescent="0.3">
      <c r="B109" s="172" t="s">
        <v>22</v>
      </c>
      <c r="C109" s="172" t="s">
        <v>80</v>
      </c>
      <c r="D109" s="172" t="s">
        <v>245</v>
      </c>
      <c r="E109" s="172"/>
      <c r="F109" s="172" t="s">
        <v>242</v>
      </c>
      <c r="G109" s="172">
        <v>1.0404619388282301E-8</v>
      </c>
      <c r="H109" s="172">
        <v>-80324.519993274997</v>
      </c>
      <c r="I109" s="172">
        <v>-3625.2599983657801</v>
      </c>
      <c r="J109" s="172">
        <v>494555.12202660402</v>
      </c>
      <c r="K109" s="172">
        <v>87204.289960747003</v>
      </c>
      <c r="L109" s="172">
        <v>-1934428.64479889</v>
      </c>
    </row>
    <row r="110" spans="2:12" hidden="1" x14ac:dyDescent="0.3">
      <c r="B110" s="172" t="s">
        <v>22</v>
      </c>
      <c r="C110" s="172" t="s">
        <v>81</v>
      </c>
      <c r="D110" s="172" t="s">
        <v>245</v>
      </c>
      <c r="E110" s="172"/>
      <c r="F110" s="172" t="s">
        <v>72</v>
      </c>
      <c r="G110" s="172">
        <v>2.8801423468394201E-9</v>
      </c>
      <c r="H110" s="172">
        <v>-4198.6018202363102</v>
      </c>
      <c r="I110" s="172">
        <v>-78666.632515751102</v>
      </c>
      <c r="J110" s="172">
        <v>-819323.38422146905</v>
      </c>
      <c r="K110" s="172">
        <v>1584331.12361841</v>
      </c>
      <c r="L110" s="172">
        <v>-84238.867481183494</v>
      </c>
    </row>
    <row r="111" spans="2:12" hidden="1" x14ac:dyDescent="0.3">
      <c r="B111" s="172" t="s">
        <v>22</v>
      </c>
      <c r="C111" s="172" t="s">
        <v>81</v>
      </c>
      <c r="D111" s="172" t="s">
        <v>245</v>
      </c>
      <c r="E111" s="172"/>
      <c r="F111" s="172" t="s">
        <v>242</v>
      </c>
      <c r="G111" s="172">
        <v>2.92251911560015E-9</v>
      </c>
      <c r="H111" s="172">
        <v>-4198.6018202363102</v>
      </c>
      <c r="I111" s="172">
        <v>-78666.632515751204</v>
      </c>
      <c r="J111" s="172">
        <v>-819323.38422146998</v>
      </c>
      <c r="K111" s="172">
        <v>1898997.65368141</v>
      </c>
      <c r="L111" s="172">
        <v>-101033.274762129</v>
      </c>
    </row>
    <row r="112" spans="2:12" hidden="1" x14ac:dyDescent="0.3">
      <c r="B112" s="172" t="s">
        <v>22</v>
      </c>
      <c r="C112" s="172" t="s">
        <v>82</v>
      </c>
      <c r="D112" s="172" t="s">
        <v>245</v>
      </c>
      <c r="E112" s="172"/>
      <c r="F112" s="172" t="s">
        <v>72</v>
      </c>
      <c r="G112" s="172">
        <v>2.9322109185159198E-9</v>
      </c>
      <c r="H112" s="172">
        <v>-4198.6018199803202</v>
      </c>
      <c r="I112" s="172">
        <v>-78666.6325150349</v>
      </c>
      <c r="J112" s="172">
        <v>-661662.56481304602</v>
      </c>
      <c r="K112" s="172">
        <v>1584331.12360416</v>
      </c>
      <c r="L112" s="172">
        <v>-84238.867475652805</v>
      </c>
    </row>
    <row r="113" spans="2:12" hidden="1" x14ac:dyDescent="0.3">
      <c r="B113" s="172" t="s">
        <v>22</v>
      </c>
      <c r="C113" s="172" t="s">
        <v>82</v>
      </c>
      <c r="D113" s="172" t="s">
        <v>245</v>
      </c>
      <c r="E113" s="172"/>
      <c r="F113" s="172" t="s">
        <v>242</v>
      </c>
      <c r="G113" s="172">
        <v>2.9816646929248199E-9</v>
      </c>
      <c r="H113" s="172">
        <v>-4198.6018199803402</v>
      </c>
      <c r="I113" s="172">
        <v>-78666.632515035002</v>
      </c>
      <c r="J113" s="172">
        <v>-661662.56481304602</v>
      </c>
      <c r="K113" s="172">
        <v>1898997.6536643</v>
      </c>
      <c r="L113" s="172">
        <v>-101033.274755575</v>
      </c>
    </row>
    <row r="114" spans="2:12" hidden="1" x14ac:dyDescent="0.3">
      <c r="B114" s="172" t="s">
        <v>22</v>
      </c>
      <c r="C114" s="172" t="s">
        <v>246</v>
      </c>
      <c r="D114" s="172" t="s">
        <v>245</v>
      </c>
      <c r="E114" s="172"/>
      <c r="F114" s="172" t="s">
        <v>72</v>
      </c>
      <c r="G114" s="172">
        <v>3070904.3624995002</v>
      </c>
      <c r="H114" s="172">
        <v>-7.0179737576836498E-7</v>
      </c>
      <c r="I114" s="172">
        <v>-1.2698977513991799E-7</v>
      </c>
      <c r="J114" s="172">
        <v>4.7328042001026898E-6</v>
      </c>
      <c r="K114" s="172">
        <v>22745285.535936601</v>
      </c>
      <c r="L114" s="172">
        <v>-26795210.7295467</v>
      </c>
    </row>
    <row r="115" spans="2:12" x14ac:dyDescent="0.3">
      <c r="B115" s="172" t="s">
        <v>22</v>
      </c>
      <c r="C115" s="172" t="s">
        <v>246</v>
      </c>
      <c r="D115" s="172" t="s">
        <v>245</v>
      </c>
      <c r="E115" s="172"/>
      <c r="F115" s="172" t="s">
        <v>242</v>
      </c>
      <c r="G115" s="172">
        <v>3119351.3624995002</v>
      </c>
      <c r="H115" s="172">
        <v>-7.0179876132670003E-7</v>
      </c>
      <c r="I115" s="172">
        <v>-1.2699002382987601E-7</v>
      </c>
      <c r="J115" s="172">
        <v>4.7328225036835596E-6</v>
      </c>
      <c r="K115" s="172">
        <v>23099813.535937101</v>
      </c>
      <c r="L115" s="172">
        <v>-27291295.229549501</v>
      </c>
    </row>
  </sheetData>
  <autoFilter ref="B5:L115">
    <filterColumn colId="1">
      <filters>
        <filter val="S D+L"/>
      </filters>
    </filterColumn>
    <filterColumn colId="4">
      <filters>
        <filter val="Bottom"/>
      </filters>
    </filterColumn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P_DELTA">
                <anchor moveWithCells="1" sizeWithCells="1">
                  <from>
                    <xdr:col>12</xdr:col>
                    <xdr:colOff>640080</xdr:colOff>
                    <xdr:row>9</xdr:row>
                    <xdr:rowOff>0</xdr:rowOff>
                  </from>
                  <to>
                    <xdr:col>15</xdr:col>
                    <xdr:colOff>510540</xdr:colOff>
                    <xdr:row>49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G528"/>
  <sheetViews>
    <sheetView topLeftCell="A293" workbookViewId="0">
      <selection activeCell="B436" sqref="B436:G446"/>
    </sheetView>
  </sheetViews>
  <sheetFormatPr baseColWidth="10" defaultRowHeight="14.4" x14ac:dyDescent="0.3"/>
  <cols>
    <col min="2" max="5" width="11.5546875" style="75"/>
  </cols>
  <sheetData>
    <row r="2" spans="2:7" x14ac:dyDescent="0.3">
      <c r="B2" s="167" t="s">
        <v>83</v>
      </c>
      <c r="C2" s="168"/>
      <c r="D2" s="168"/>
      <c r="E2" s="168"/>
      <c r="F2" s="168"/>
      <c r="G2" s="168"/>
    </row>
    <row r="3" spans="2:7" x14ac:dyDescent="0.3">
      <c r="B3" s="169" t="s">
        <v>9</v>
      </c>
      <c r="C3" s="169" t="s">
        <v>46</v>
      </c>
      <c r="D3" s="169" t="s">
        <v>42</v>
      </c>
      <c r="E3" s="169" t="s">
        <v>84</v>
      </c>
      <c r="F3" s="169" t="s">
        <v>85</v>
      </c>
      <c r="G3" s="170" t="s">
        <v>86</v>
      </c>
    </row>
    <row r="4" spans="2:7" x14ac:dyDescent="0.3">
      <c r="B4" s="205"/>
      <c r="C4" s="205"/>
      <c r="D4" s="205"/>
      <c r="E4" s="205" t="s">
        <v>7</v>
      </c>
      <c r="F4" s="205" t="s">
        <v>7</v>
      </c>
      <c r="G4" s="206"/>
    </row>
    <row r="5" spans="2:7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</row>
    <row r="6" spans="2:7" s="172" customFormat="1" x14ac:dyDescent="0.3">
      <c r="B6" s="172" t="s">
        <v>189</v>
      </c>
      <c r="C6" s="172" t="s">
        <v>79</v>
      </c>
      <c r="D6" s="172" t="s">
        <v>218</v>
      </c>
      <c r="E6" s="172">
        <v>2.4726134099959399E-2</v>
      </c>
      <c r="F6" s="172">
        <v>2.4283218825209299E-2</v>
      </c>
      <c r="G6" s="172">
        <v>1.0182395619764499</v>
      </c>
    </row>
    <row r="7" spans="2:7" s="172" customFormat="1" x14ac:dyDescent="0.3">
      <c r="B7" s="172" t="s">
        <v>187</v>
      </c>
      <c r="C7" s="172" t="s">
        <v>79</v>
      </c>
      <c r="D7" s="172" t="s">
        <v>218</v>
      </c>
      <c r="E7" s="172">
        <v>2.5507036800150699E-2</v>
      </c>
      <c r="F7" s="172">
        <v>2.38730529933848E-2</v>
      </c>
      <c r="G7" s="172">
        <v>1.0684446939911201</v>
      </c>
    </row>
    <row r="8" spans="2:7" s="172" customFormat="1" x14ac:dyDescent="0.3">
      <c r="B8" s="172" t="s">
        <v>185</v>
      </c>
      <c r="C8" s="172" t="s">
        <v>79</v>
      </c>
      <c r="D8" s="172" t="s">
        <v>218</v>
      </c>
      <c r="E8" s="172">
        <v>2.4606899069348299E-2</v>
      </c>
      <c r="F8" s="172">
        <v>2.30101833108191E-2</v>
      </c>
      <c r="G8" s="172">
        <v>1.0693917009248</v>
      </c>
    </row>
    <row r="9" spans="2:7" s="172" customFormat="1" x14ac:dyDescent="0.3">
      <c r="B9" s="172" t="s">
        <v>183</v>
      </c>
      <c r="C9" s="172" t="s">
        <v>79</v>
      </c>
      <c r="D9" s="172" t="s">
        <v>218</v>
      </c>
      <c r="E9" s="172">
        <v>2.3170511693399998E-2</v>
      </c>
      <c r="F9" s="172">
        <v>2.1647063422424201E-2</v>
      </c>
      <c r="G9" s="172">
        <v>1.07037667147949</v>
      </c>
    </row>
    <row r="10" spans="2:7" s="172" customFormat="1" x14ac:dyDescent="0.3">
      <c r="B10" s="172" t="s">
        <v>181</v>
      </c>
      <c r="C10" s="172" t="s">
        <v>79</v>
      </c>
      <c r="D10" s="172" t="s">
        <v>218</v>
      </c>
      <c r="E10" s="172">
        <v>2.1235063641486099E-2</v>
      </c>
      <c r="F10" s="172">
        <v>1.9819875537942701E-2</v>
      </c>
      <c r="G10" s="172">
        <v>1.07140247176801</v>
      </c>
    </row>
    <row r="11" spans="2:7" s="172" customFormat="1" x14ac:dyDescent="0.3">
      <c r="B11" s="172" t="s">
        <v>179</v>
      </c>
      <c r="C11" s="172" t="s">
        <v>79</v>
      </c>
      <c r="D11" s="172" t="s">
        <v>218</v>
      </c>
      <c r="E11" s="172">
        <v>1.8875584844777499E-2</v>
      </c>
      <c r="F11" s="172">
        <v>1.7598708691414298E-2</v>
      </c>
      <c r="G11" s="172">
        <v>1.0725551047950601</v>
      </c>
    </row>
    <row r="12" spans="2:7" s="172" customFormat="1" x14ac:dyDescent="0.3">
      <c r="B12" s="172" t="s">
        <v>39</v>
      </c>
      <c r="C12" s="172" t="s">
        <v>79</v>
      </c>
      <c r="D12" s="172" t="s">
        <v>218</v>
      </c>
      <c r="E12" s="172">
        <v>1.61605459496941E-2</v>
      </c>
      <c r="F12" s="172">
        <v>1.50481681622578E-2</v>
      </c>
      <c r="G12" s="172">
        <v>1.07392114278908</v>
      </c>
    </row>
    <row r="13" spans="2:7" s="172" customFormat="1" x14ac:dyDescent="0.3">
      <c r="B13" s="172" t="s">
        <v>26</v>
      </c>
      <c r="C13" s="172" t="s">
        <v>79</v>
      </c>
      <c r="D13" s="172" t="s">
        <v>218</v>
      </c>
      <c r="E13" s="172">
        <v>1.31961159142361E-2</v>
      </c>
      <c r="F13" s="172">
        <v>1.2276418044744501E-2</v>
      </c>
      <c r="G13" s="172">
        <v>1.0749158155204199</v>
      </c>
    </row>
    <row r="14" spans="2:7" s="172" customFormat="1" x14ac:dyDescent="0.3">
      <c r="B14" s="172" t="s">
        <v>25</v>
      </c>
      <c r="C14" s="172" t="s">
        <v>79</v>
      </c>
      <c r="D14" s="172" t="s">
        <v>218</v>
      </c>
      <c r="E14" s="172">
        <v>1.0044246107234501E-2</v>
      </c>
      <c r="F14" s="172">
        <v>9.3422059079794999E-3</v>
      </c>
      <c r="G14" s="172">
        <v>1.0751471554117</v>
      </c>
    </row>
    <row r="15" spans="2:7" x14ac:dyDescent="0.3">
      <c r="B15" s="172" t="s">
        <v>24</v>
      </c>
      <c r="C15" s="172" t="s">
        <v>79</v>
      </c>
      <c r="D15" s="172" t="s">
        <v>218</v>
      </c>
      <c r="E15" s="172">
        <v>6.7220801362882603E-3</v>
      </c>
      <c r="F15" s="172">
        <v>6.2541815744383599E-3</v>
      </c>
      <c r="G15" s="172">
        <v>1.07481371563663</v>
      </c>
    </row>
    <row r="16" spans="2:7" x14ac:dyDescent="0.3">
      <c r="B16" s="172" t="s">
        <v>22</v>
      </c>
      <c r="C16" s="172" t="s">
        <v>79</v>
      </c>
      <c r="D16" s="172" t="s">
        <v>218</v>
      </c>
      <c r="E16" s="172">
        <v>3.3080230670678402E-3</v>
      </c>
      <c r="F16" s="172">
        <v>3.0837610967489101E-3</v>
      </c>
      <c r="G16" s="172">
        <v>1.07272352276425</v>
      </c>
    </row>
    <row r="17" spans="2:7" hidden="1" x14ac:dyDescent="0.3">
      <c r="B17" s="172" t="s">
        <v>189</v>
      </c>
      <c r="C17" s="172" t="s">
        <v>80</v>
      </c>
      <c r="D17" s="172" t="s">
        <v>218</v>
      </c>
      <c r="E17" s="172">
        <v>2.53896948967803E-2</v>
      </c>
      <c r="F17" s="172">
        <v>2.4894655831537701E-2</v>
      </c>
      <c r="G17" s="172">
        <v>1.0198853548565801</v>
      </c>
    </row>
    <row r="18" spans="2:7" hidden="1" x14ac:dyDescent="0.3">
      <c r="B18" s="172" t="s">
        <v>189</v>
      </c>
      <c r="C18" s="172" t="s">
        <v>80</v>
      </c>
      <c r="D18" s="172" t="s">
        <v>221</v>
      </c>
      <c r="E18" s="172">
        <v>4.1685172212647999E-3</v>
      </c>
      <c r="F18" s="172">
        <v>3.5497183897115299E-3</v>
      </c>
      <c r="G18" s="172">
        <v>1.1743233585364901</v>
      </c>
    </row>
    <row r="19" spans="2:7" hidden="1" x14ac:dyDescent="0.3">
      <c r="B19" s="172" t="s">
        <v>187</v>
      </c>
      <c r="C19" s="172" t="s">
        <v>80</v>
      </c>
      <c r="D19" s="172" t="s">
        <v>218</v>
      </c>
      <c r="E19" s="172">
        <v>2.5567246543683302E-2</v>
      </c>
      <c r="F19" s="172">
        <v>2.3794894713912499E-2</v>
      </c>
      <c r="G19" s="172">
        <v>1.07448454179268</v>
      </c>
    </row>
    <row r="20" spans="2:7" hidden="1" x14ac:dyDescent="0.3">
      <c r="B20" s="172" t="s">
        <v>185</v>
      </c>
      <c r="C20" s="172" t="s">
        <v>80</v>
      </c>
      <c r="D20" s="172" t="s">
        <v>218</v>
      </c>
      <c r="E20" s="172">
        <v>2.4627200944827499E-2</v>
      </c>
      <c r="F20" s="172">
        <v>2.2933396184918999E-2</v>
      </c>
      <c r="G20" s="172">
        <v>1.07385756327806</v>
      </c>
    </row>
    <row r="21" spans="2:7" hidden="1" x14ac:dyDescent="0.3">
      <c r="B21" s="172" t="s">
        <v>183</v>
      </c>
      <c r="C21" s="172" t="s">
        <v>80</v>
      </c>
      <c r="D21" s="172" t="s">
        <v>218</v>
      </c>
      <c r="E21" s="172">
        <v>2.3151956178712501E-2</v>
      </c>
      <c r="F21" s="172">
        <v>2.15729112841745E-2</v>
      </c>
      <c r="G21" s="172">
        <v>1.0731957255901901</v>
      </c>
    </row>
    <row r="22" spans="2:7" hidden="1" x14ac:dyDescent="0.3">
      <c r="B22" s="172" t="s">
        <v>181</v>
      </c>
      <c r="C22" s="172" t="s">
        <v>80</v>
      </c>
      <c r="D22" s="172" t="s">
        <v>218</v>
      </c>
      <c r="E22" s="172">
        <v>2.1182635541847301E-2</v>
      </c>
      <c r="F22" s="172">
        <v>1.9749917550790801E-2</v>
      </c>
      <c r="G22" s="172">
        <v>1.0725429859325699</v>
      </c>
    </row>
    <row r="23" spans="2:7" hidden="1" x14ac:dyDescent="0.3">
      <c r="B23" s="172" t="s">
        <v>179</v>
      </c>
      <c r="C23" s="172" t="s">
        <v>80</v>
      </c>
      <c r="D23" s="172" t="s">
        <v>218</v>
      </c>
      <c r="E23" s="172">
        <v>1.87940837964088E-2</v>
      </c>
      <c r="F23" s="172">
        <v>1.75343255481532E-2</v>
      </c>
      <c r="G23" s="172">
        <v>1.07184526401064</v>
      </c>
    </row>
    <row r="24" spans="2:7" hidden="1" x14ac:dyDescent="0.3">
      <c r="B24" s="172" t="s">
        <v>39</v>
      </c>
      <c r="C24" s="172" t="s">
        <v>80</v>
      </c>
      <c r="D24" s="172" t="s">
        <v>218</v>
      </c>
      <c r="E24" s="172">
        <v>1.6055915798080599E-2</v>
      </c>
      <c r="F24" s="172">
        <v>1.49906797394037E-2</v>
      </c>
      <c r="G24" s="172">
        <v>1.0710598903582</v>
      </c>
    </row>
    <row r="25" spans="2:7" hidden="1" x14ac:dyDescent="0.3">
      <c r="B25" s="172" t="s">
        <v>26</v>
      </c>
      <c r="C25" s="172" t="s">
        <v>80</v>
      </c>
      <c r="D25" s="172" t="s">
        <v>218</v>
      </c>
      <c r="E25" s="172">
        <v>1.3088664837957099E-2</v>
      </c>
      <c r="F25" s="172">
        <v>1.2227975407769801E-2</v>
      </c>
      <c r="G25" s="172">
        <v>1.0703869120999701</v>
      </c>
    </row>
    <row r="26" spans="2:7" hidden="1" x14ac:dyDescent="0.3">
      <c r="B26" s="172" t="s">
        <v>25</v>
      </c>
      <c r="C26" s="172" t="s">
        <v>80</v>
      </c>
      <c r="D26" s="172" t="s">
        <v>218</v>
      </c>
      <c r="E26" s="172">
        <v>9.9552806190244397E-3</v>
      </c>
      <c r="F26" s="172">
        <v>9.3048926872342196E-3</v>
      </c>
      <c r="G26" s="172">
        <v>1.0698974135061801</v>
      </c>
    </row>
    <row r="27" spans="2:7" hidden="1" x14ac:dyDescent="0.3">
      <c r="B27" s="172" t="s">
        <v>24</v>
      </c>
      <c r="C27" s="172" t="s">
        <v>80</v>
      </c>
      <c r="D27" s="172" t="s">
        <v>218</v>
      </c>
      <c r="E27" s="172">
        <v>6.6618445178844802E-3</v>
      </c>
      <c r="F27" s="172">
        <v>6.2292973827550099E-3</v>
      </c>
      <c r="G27" s="172">
        <v>1.0694375478568301</v>
      </c>
    </row>
    <row r="28" spans="2:7" hidden="1" x14ac:dyDescent="0.3">
      <c r="B28" s="172" t="s">
        <v>22</v>
      </c>
      <c r="C28" s="172" t="s">
        <v>80</v>
      </c>
      <c r="D28" s="172" t="s">
        <v>218</v>
      </c>
      <c r="E28" s="172">
        <v>3.2845886578165302E-3</v>
      </c>
      <c r="F28" s="172">
        <v>3.0721735493259802E-3</v>
      </c>
      <c r="G28" s="172">
        <v>1.0691416370462401</v>
      </c>
    </row>
    <row r="29" spans="2:7" hidden="1" x14ac:dyDescent="0.3">
      <c r="B29" s="172" t="s">
        <v>189</v>
      </c>
      <c r="C29" s="172" t="s">
        <v>81</v>
      </c>
      <c r="D29" s="172" t="s">
        <v>221</v>
      </c>
      <c r="E29" s="172">
        <v>3.11993682007203E-2</v>
      </c>
      <c r="F29" s="172">
        <v>3.0579402487312699E-2</v>
      </c>
      <c r="G29" s="172">
        <v>1.0202739642694101</v>
      </c>
    </row>
    <row r="30" spans="2:7" hidden="1" x14ac:dyDescent="0.3">
      <c r="B30" s="172" t="s">
        <v>187</v>
      </c>
      <c r="C30" s="172" t="s">
        <v>81</v>
      </c>
      <c r="D30" s="172" t="s">
        <v>221</v>
      </c>
      <c r="E30" s="172">
        <v>3.0160607047918099E-2</v>
      </c>
      <c r="F30" s="172">
        <v>2.8080102847465201E-2</v>
      </c>
      <c r="G30" s="172">
        <v>1.07409175855781</v>
      </c>
    </row>
    <row r="31" spans="2:7" hidden="1" x14ac:dyDescent="0.3">
      <c r="B31" s="172" t="s">
        <v>185</v>
      </c>
      <c r="C31" s="172" t="s">
        <v>81</v>
      </c>
      <c r="D31" s="172" t="s">
        <v>221</v>
      </c>
      <c r="E31" s="172">
        <v>2.8764631265524601E-2</v>
      </c>
      <c r="F31" s="172">
        <v>2.68400918485187E-2</v>
      </c>
      <c r="G31" s="172">
        <v>1.0717039057790001</v>
      </c>
    </row>
    <row r="32" spans="2:7" hidden="1" x14ac:dyDescent="0.3">
      <c r="B32" s="172" t="s">
        <v>183</v>
      </c>
      <c r="C32" s="172" t="s">
        <v>81</v>
      </c>
      <c r="D32" s="172" t="s">
        <v>221</v>
      </c>
      <c r="E32" s="172">
        <v>2.6793241884824098E-2</v>
      </c>
      <c r="F32" s="172">
        <v>2.50553793601783E-2</v>
      </c>
      <c r="G32" s="172">
        <v>1.0693608545958699</v>
      </c>
    </row>
    <row r="33" spans="2:7" hidden="1" x14ac:dyDescent="0.3">
      <c r="B33" s="172" t="s">
        <v>181</v>
      </c>
      <c r="C33" s="172" t="s">
        <v>81</v>
      </c>
      <c r="D33" s="172" t="s">
        <v>221</v>
      </c>
      <c r="E33" s="172">
        <v>2.4315720517282799E-2</v>
      </c>
      <c r="F33" s="172">
        <v>2.2784450736789901E-2</v>
      </c>
      <c r="G33" s="172">
        <v>1.06720678932235</v>
      </c>
    </row>
    <row r="34" spans="2:7" hidden="1" x14ac:dyDescent="0.3">
      <c r="B34" s="172" t="s">
        <v>179</v>
      </c>
      <c r="C34" s="172" t="s">
        <v>81</v>
      </c>
      <c r="D34" s="172" t="s">
        <v>221</v>
      </c>
      <c r="E34" s="172">
        <v>2.1426010166564001E-2</v>
      </c>
      <c r="F34" s="172">
        <v>2.0115962360221701E-2</v>
      </c>
      <c r="G34" s="172">
        <v>1.06512478910444</v>
      </c>
    </row>
    <row r="35" spans="2:7" hidden="1" x14ac:dyDescent="0.3">
      <c r="B35" s="172" t="s">
        <v>39</v>
      </c>
      <c r="C35" s="172" t="s">
        <v>81</v>
      </c>
      <c r="D35" s="172" t="s">
        <v>221</v>
      </c>
      <c r="E35" s="172">
        <v>1.8205721056274299E-2</v>
      </c>
      <c r="F35" s="172">
        <v>1.7126320849916402E-2</v>
      </c>
      <c r="G35" s="172">
        <v>1.06302580780875</v>
      </c>
    </row>
    <row r="36" spans="2:7" hidden="1" x14ac:dyDescent="0.3">
      <c r="B36" s="172" t="s">
        <v>26</v>
      </c>
      <c r="C36" s="172" t="s">
        <v>81</v>
      </c>
      <c r="D36" s="172" t="s">
        <v>221</v>
      </c>
      <c r="E36" s="172">
        <v>1.4738149174598199E-2</v>
      </c>
      <c r="F36" s="172">
        <v>1.38848323174195E-2</v>
      </c>
      <c r="G36" s="172">
        <v>1.0614567635871399</v>
      </c>
    </row>
    <row r="37" spans="2:7" hidden="1" x14ac:dyDescent="0.3">
      <c r="B37" s="172" t="s">
        <v>25</v>
      </c>
      <c r="C37" s="172" t="s">
        <v>81</v>
      </c>
      <c r="D37" s="172" t="s">
        <v>221</v>
      </c>
      <c r="E37" s="172">
        <v>1.10854859371183E-2</v>
      </c>
      <c r="F37" s="172">
        <v>1.04507728721076E-2</v>
      </c>
      <c r="G37" s="172">
        <v>1.06073360054592</v>
      </c>
    </row>
    <row r="38" spans="2:7" hidden="1" x14ac:dyDescent="0.3">
      <c r="B38" s="172" t="s">
        <v>24</v>
      </c>
      <c r="C38" s="172" t="s">
        <v>81</v>
      </c>
      <c r="D38" s="172" t="s">
        <v>221</v>
      </c>
      <c r="E38" s="172">
        <v>7.3059861391689502E-3</v>
      </c>
      <c r="F38" s="172">
        <v>6.8866677373232797E-3</v>
      </c>
      <c r="G38" s="172">
        <v>1.06088843223452</v>
      </c>
    </row>
    <row r="39" spans="2:7" hidden="1" x14ac:dyDescent="0.3">
      <c r="B39" s="172" t="s">
        <v>22</v>
      </c>
      <c r="C39" s="172" t="s">
        <v>81</v>
      </c>
      <c r="D39" s="172" t="s">
        <v>221</v>
      </c>
      <c r="E39" s="172">
        <v>3.5055692966893099E-3</v>
      </c>
      <c r="F39" s="172">
        <v>3.29729405140695E-3</v>
      </c>
      <c r="G39" s="172">
        <v>1.0631655054220901</v>
      </c>
    </row>
    <row r="40" spans="2:7" hidden="1" x14ac:dyDescent="0.3">
      <c r="B40" s="172" t="s">
        <v>189</v>
      </c>
      <c r="C40" s="172" t="s">
        <v>82</v>
      </c>
      <c r="D40" s="172" t="s">
        <v>221</v>
      </c>
      <c r="E40" s="172">
        <v>2.61759141617505E-2</v>
      </c>
      <c r="F40" s="172">
        <v>2.5141911631261501E-2</v>
      </c>
      <c r="G40" s="172">
        <v>1.04112664723566</v>
      </c>
    </row>
    <row r="41" spans="2:7" hidden="1" x14ac:dyDescent="0.3">
      <c r="B41" s="172" t="s">
        <v>187</v>
      </c>
      <c r="C41" s="172" t="s">
        <v>82</v>
      </c>
      <c r="D41" s="172" t="s">
        <v>221</v>
      </c>
      <c r="E41" s="172">
        <v>3.2581019040623702E-2</v>
      </c>
      <c r="F41" s="172">
        <v>2.7912516711907601E-2</v>
      </c>
      <c r="G41" s="172">
        <v>1.16725479744091</v>
      </c>
    </row>
    <row r="42" spans="2:7" hidden="1" x14ac:dyDescent="0.3">
      <c r="B42" s="172" t="s">
        <v>185</v>
      </c>
      <c r="C42" s="172" t="s">
        <v>82</v>
      </c>
      <c r="D42" s="172" t="s">
        <v>221</v>
      </c>
      <c r="E42" s="172">
        <v>3.1275308843906301E-2</v>
      </c>
      <c r="F42" s="172">
        <v>2.6685133982294901E-2</v>
      </c>
      <c r="G42" s="172">
        <v>1.17201243451342</v>
      </c>
    </row>
    <row r="43" spans="2:7" hidden="1" x14ac:dyDescent="0.3">
      <c r="B43" s="172" t="s">
        <v>183</v>
      </c>
      <c r="C43" s="172" t="s">
        <v>82</v>
      </c>
      <c r="D43" s="172" t="s">
        <v>221</v>
      </c>
      <c r="E43" s="172">
        <v>2.9312968655579599E-2</v>
      </c>
      <c r="F43" s="172">
        <v>2.4916795384504201E-2</v>
      </c>
      <c r="G43" s="172">
        <v>1.1764341362216</v>
      </c>
    </row>
    <row r="44" spans="2:7" hidden="1" x14ac:dyDescent="0.3">
      <c r="B44" s="172" t="s">
        <v>181</v>
      </c>
      <c r="C44" s="172" t="s">
        <v>82</v>
      </c>
      <c r="D44" s="172" t="s">
        <v>221</v>
      </c>
      <c r="E44" s="172">
        <v>2.67549720317217E-2</v>
      </c>
      <c r="F44" s="172">
        <v>2.2664145008843499E-2</v>
      </c>
      <c r="G44" s="172">
        <v>1.1804977430775301</v>
      </c>
    </row>
    <row r="45" spans="2:7" hidden="1" x14ac:dyDescent="0.3">
      <c r="B45" s="172" t="s">
        <v>179</v>
      </c>
      <c r="C45" s="172" t="s">
        <v>82</v>
      </c>
      <c r="D45" s="172" t="s">
        <v>221</v>
      </c>
      <c r="E45" s="172">
        <v>2.3706503681394899E-2</v>
      </c>
      <c r="F45" s="172">
        <v>2.0015208881170001E-2</v>
      </c>
      <c r="G45" s="172">
        <v>1.1844244954994001</v>
      </c>
    </row>
    <row r="46" spans="2:7" hidden="1" x14ac:dyDescent="0.3">
      <c r="B46" s="172" t="s">
        <v>39</v>
      </c>
      <c r="C46" s="172" t="s">
        <v>82</v>
      </c>
      <c r="D46" s="172" t="s">
        <v>221</v>
      </c>
      <c r="E46" s="172">
        <v>2.0256785491547101E-2</v>
      </c>
      <c r="F46" s="172">
        <v>1.70457608700685E-2</v>
      </c>
      <c r="G46" s="172">
        <v>1.18837672580031</v>
      </c>
    </row>
    <row r="47" spans="2:7" hidden="1" x14ac:dyDescent="0.3">
      <c r="B47" s="172" t="s">
        <v>26</v>
      </c>
      <c r="C47" s="172" t="s">
        <v>82</v>
      </c>
      <c r="D47" s="172" t="s">
        <v>221</v>
      </c>
      <c r="E47" s="172">
        <v>1.6477484179145501E-2</v>
      </c>
      <c r="F47" s="172">
        <v>1.3823409007043E-2</v>
      </c>
      <c r="G47" s="172">
        <v>1.19199859967612</v>
      </c>
    </row>
    <row r="48" spans="2:7" hidden="1" x14ac:dyDescent="0.3">
      <c r="B48" s="172" t="s">
        <v>25</v>
      </c>
      <c r="C48" s="172" t="s">
        <v>82</v>
      </c>
      <c r="D48" s="172" t="s">
        <v>221</v>
      </c>
      <c r="E48" s="172">
        <v>1.2437164129566001E-2</v>
      </c>
      <c r="F48" s="172">
        <v>1.04065329372557E-2</v>
      </c>
      <c r="G48" s="172">
        <v>1.1951304247585299</v>
      </c>
    </row>
    <row r="49" spans="2:7" hidden="1" x14ac:dyDescent="0.3">
      <c r="B49" s="172" t="s">
        <v>24</v>
      </c>
      <c r="C49" s="172" t="s">
        <v>82</v>
      </c>
      <c r="D49" s="172" t="s">
        <v>221</v>
      </c>
      <c r="E49" s="172">
        <v>8.2143285667018694E-3</v>
      </c>
      <c r="F49" s="172">
        <v>6.8578588620061796E-3</v>
      </c>
      <c r="G49" s="172">
        <v>1.1977978450695099</v>
      </c>
    </row>
    <row r="50" spans="2:7" hidden="1" x14ac:dyDescent="0.3">
      <c r="B50" s="172" t="s">
        <v>22</v>
      </c>
      <c r="C50" s="172" t="s">
        <v>82</v>
      </c>
      <c r="D50" s="172" t="s">
        <v>221</v>
      </c>
      <c r="E50" s="172">
        <v>3.9358997984831603E-3</v>
      </c>
      <c r="F50" s="172">
        <v>3.28244932555681E-3</v>
      </c>
      <c r="G50" s="172">
        <v>1.19907404749211</v>
      </c>
    </row>
    <row r="51" spans="2:7" hidden="1" x14ac:dyDescent="0.3">
      <c r="B51" s="172" t="s">
        <v>189</v>
      </c>
      <c r="C51" s="172" t="s">
        <v>246</v>
      </c>
      <c r="D51" s="172" t="s">
        <v>218</v>
      </c>
      <c r="E51" s="172">
        <v>4.2104225934719002E-3</v>
      </c>
      <c r="F51" s="172">
        <v>4.2027492716322596E-3</v>
      </c>
      <c r="G51" s="172">
        <v>1.0018257862517399</v>
      </c>
    </row>
    <row r="52" spans="2:7" hidden="1" x14ac:dyDescent="0.3">
      <c r="B52" s="172" t="s">
        <v>187</v>
      </c>
      <c r="C52" s="172" t="s">
        <v>246</v>
      </c>
      <c r="D52" s="172" t="s">
        <v>218</v>
      </c>
      <c r="E52" s="172">
        <v>2.9546695266354601E-3</v>
      </c>
      <c r="F52" s="172">
        <v>2.9491154605972799E-3</v>
      </c>
      <c r="G52" s="172">
        <v>1.0018832989458699</v>
      </c>
    </row>
    <row r="53" spans="2:7" hidden="1" x14ac:dyDescent="0.3">
      <c r="B53" s="172" t="s">
        <v>185</v>
      </c>
      <c r="C53" s="172" t="s">
        <v>246</v>
      </c>
      <c r="D53" s="172" t="s">
        <v>218</v>
      </c>
      <c r="E53" s="172">
        <v>2.53302739389935E-3</v>
      </c>
      <c r="F53" s="172">
        <v>2.5274835863265299E-3</v>
      </c>
      <c r="G53" s="172">
        <v>1.0021934099207701</v>
      </c>
    </row>
    <row r="54" spans="2:7" hidden="1" x14ac:dyDescent="0.3">
      <c r="B54" s="172" t="s">
        <v>183</v>
      </c>
      <c r="C54" s="172" t="s">
        <v>246</v>
      </c>
      <c r="D54" s="172" t="s">
        <v>218</v>
      </c>
      <c r="E54" s="172">
        <v>2.12089048449156E-3</v>
      </c>
      <c r="F54" s="172">
        <v>2.1169958557060299E-3</v>
      </c>
      <c r="G54" s="172">
        <v>1.0018396959895</v>
      </c>
    </row>
    <row r="55" spans="2:7" hidden="1" x14ac:dyDescent="0.3">
      <c r="B55" s="172" t="s">
        <v>181</v>
      </c>
      <c r="C55" s="172" t="s">
        <v>246</v>
      </c>
      <c r="D55" s="172" t="s">
        <v>218</v>
      </c>
      <c r="E55" s="172">
        <v>1.7257832425074499E-3</v>
      </c>
      <c r="F55" s="172">
        <v>1.72293567170853E-3</v>
      </c>
      <c r="G55" s="172">
        <v>1.00165274353865</v>
      </c>
    </row>
    <row r="56" spans="2:7" hidden="1" x14ac:dyDescent="0.3">
      <c r="B56" s="172" t="s">
        <v>179</v>
      </c>
      <c r="C56" s="172" t="s">
        <v>246</v>
      </c>
      <c r="D56" s="172" t="s">
        <v>218</v>
      </c>
      <c r="E56" s="172">
        <v>1.35630056625409E-3</v>
      </c>
      <c r="F56" s="172">
        <v>1.3540119613328801E-3</v>
      </c>
      <c r="G56" s="172">
        <v>1.0016902398106999</v>
      </c>
    </row>
    <row r="57" spans="2:7" hidden="1" x14ac:dyDescent="0.3">
      <c r="B57" s="172" t="s">
        <v>39</v>
      </c>
      <c r="C57" s="172" t="s">
        <v>246</v>
      </c>
      <c r="D57" s="172" t="s">
        <v>218</v>
      </c>
      <c r="E57" s="172">
        <v>1.0188192500593799E-3</v>
      </c>
      <c r="F57" s="172">
        <v>1.01667240972909E-3</v>
      </c>
      <c r="G57" s="172">
        <v>1.00211163429808</v>
      </c>
    </row>
    <row r="58" spans="2:7" hidden="1" x14ac:dyDescent="0.3">
      <c r="B58" s="172" t="s">
        <v>26</v>
      </c>
      <c r="C58" s="172" t="s">
        <v>246</v>
      </c>
      <c r="D58" s="172" t="s">
        <v>218</v>
      </c>
      <c r="E58" s="172">
        <v>7.0168960506130501E-4</v>
      </c>
      <c r="F58" s="172">
        <v>7.0144345836218702E-4</v>
      </c>
      <c r="G58" s="172">
        <v>1.0003509145265901</v>
      </c>
    </row>
    <row r="59" spans="2:7" hidden="1" x14ac:dyDescent="0.3">
      <c r="B59" s="172" t="s">
        <v>25</v>
      </c>
      <c r="C59" s="172" t="s">
        <v>246</v>
      </c>
      <c r="D59" s="172" t="s">
        <v>218</v>
      </c>
      <c r="E59" s="172">
        <v>4.22535417569856E-4</v>
      </c>
      <c r="F59" s="172">
        <v>4.1979790317765199E-4</v>
      </c>
      <c r="G59" s="172">
        <v>1.0065210292178299</v>
      </c>
    </row>
    <row r="60" spans="2:7" hidden="1" x14ac:dyDescent="0.3">
      <c r="B60" s="172" t="s">
        <v>24</v>
      </c>
      <c r="C60" s="172" t="s">
        <v>246</v>
      </c>
      <c r="D60" s="172" t="s">
        <v>218</v>
      </c>
      <c r="E60" s="172">
        <v>2.0576433669061901E-4</v>
      </c>
      <c r="F60" s="172">
        <v>2.0178268501445801E-4</v>
      </c>
      <c r="G60" s="172">
        <v>1.01973237533178</v>
      </c>
    </row>
    <row r="61" spans="2:7" hidden="1" x14ac:dyDescent="0.3">
      <c r="B61" s="172" t="s">
        <v>22</v>
      </c>
      <c r="C61" s="172" t="s">
        <v>246</v>
      </c>
      <c r="D61" s="172" t="s">
        <v>218</v>
      </c>
      <c r="E61" s="172">
        <v>6.1559708952960002E-5</v>
      </c>
      <c r="F61" s="172">
        <v>5.9319357530346602E-5</v>
      </c>
      <c r="G61" s="172">
        <v>1.03776762790236</v>
      </c>
    </row>
    <row r="62" spans="2:7" hidden="1" x14ac:dyDescent="0.3">
      <c r="B62" s="172"/>
      <c r="C62" s="172"/>
      <c r="D62" s="172"/>
      <c r="E62" s="172"/>
      <c r="F62" s="172"/>
      <c r="G62" s="172"/>
    </row>
    <row r="63" spans="2:7" hidden="1" x14ac:dyDescent="0.3">
      <c r="B63" s="172"/>
      <c r="C63" s="172"/>
      <c r="D63" s="172"/>
      <c r="E63" s="172"/>
      <c r="F63" s="172"/>
      <c r="G63" s="172"/>
    </row>
    <row r="64" spans="2:7" hidden="1" x14ac:dyDescent="0.3">
      <c r="B64" s="172"/>
      <c r="C64" s="172"/>
      <c r="D64" s="172"/>
      <c r="E64" s="172"/>
      <c r="F64" s="172"/>
      <c r="G64" s="172"/>
    </row>
    <row r="65" spans="2:7" hidden="1" x14ac:dyDescent="0.3">
      <c r="B65" s="172"/>
      <c r="C65" s="172"/>
      <c r="D65" s="172"/>
      <c r="E65" s="172"/>
      <c r="F65" s="172"/>
      <c r="G65" s="172"/>
    </row>
    <row r="66" spans="2:7" hidden="1" x14ac:dyDescent="0.3">
      <c r="B66" s="172"/>
      <c r="C66" s="172"/>
      <c r="D66" s="172"/>
      <c r="E66" s="172"/>
      <c r="F66" s="172"/>
      <c r="G66" s="172"/>
    </row>
    <row r="67" spans="2:7" hidden="1" x14ac:dyDescent="0.3">
      <c r="B67" s="172"/>
      <c r="C67" s="172"/>
      <c r="D67" s="172"/>
      <c r="E67" s="172"/>
      <c r="F67" s="172"/>
      <c r="G67" s="172"/>
    </row>
    <row r="68" spans="2:7" hidden="1" x14ac:dyDescent="0.3">
      <c r="B68" s="172"/>
      <c r="C68" s="172"/>
      <c r="D68" s="172"/>
      <c r="E68" s="172"/>
      <c r="F68" s="172"/>
      <c r="G68" s="172"/>
    </row>
    <row r="69" spans="2:7" hidden="1" x14ac:dyDescent="0.3">
      <c r="B69" s="172"/>
      <c r="C69" s="172"/>
      <c r="D69" s="172"/>
      <c r="E69" s="172"/>
      <c r="F69" s="172"/>
      <c r="G69" s="172"/>
    </row>
    <row r="70" spans="2:7" hidden="1" x14ac:dyDescent="0.3">
      <c r="B70" s="172"/>
      <c r="C70" s="172"/>
      <c r="D70" s="172"/>
      <c r="E70" s="172"/>
      <c r="F70" s="172"/>
      <c r="G70" s="172"/>
    </row>
    <row r="71" spans="2:7" hidden="1" x14ac:dyDescent="0.3">
      <c r="B71" s="172"/>
      <c r="C71" s="172"/>
      <c r="D71" s="172"/>
      <c r="E71" s="172"/>
      <c r="F71" s="172"/>
      <c r="G71" s="172"/>
    </row>
    <row r="72" spans="2:7" hidden="1" x14ac:dyDescent="0.3">
      <c r="B72" s="172"/>
      <c r="C72" s="172"/>
      <c r="D72" s="172"/>
      <c r="E72" s="172"/>
      <c r="F72" s="172"/>
      <c r="G72" s="172"/>
    </row>
    <row r="73" spans="2:7" hidden="1" x14ac:dyDescent="0.3">
      <c r="B73" s="172"/>
      <c r="C73" s="172"/>
      <c r="D73" s="172"/>
      <c r="E73" s="172"/>
      <c r="F73" s="172"/>
      <c r="G73" s="172"/>
    </row>
    <row r="74" spans="2:7" hidden="1" x14ac:dyDescent="0.3">
      <c r="B74" s="172"/>
      <c r="C74" s="172"/>
      <c r="D74" s="172"/>
      <c r="E74" s="172"/>
      <c r="F74" s="172"/>
      <c r="G74" s="172"/>
    </row>
    <row r="75" spans="2:7" hidden="1" x14ac:dyDescent="0.3">
      <c r="B75" s="172"/>
      <c r="C75" s="172"/>
      <c r="D75" s="172"/>
      <c r="E75" s="172"/>
      <c r="F75" s="172"/>
      <c r="G75" s="172"/>
    </row>
    <row r="76" spans="2:7" hidden="1" x14ac:dyDescent="0.3">
      <c r="B76" s="172"/>
      <c r="C76" s="172"/>
      <c r="D76" s="172"/>
      <c r="E76" s="172"/>
      <c r="F76" s="172"/>
      <c r="G76" s="172"/>
    </row>
    <row r="77" spans="2:7" hidden="1" x14ac:dyDescent="0.3">
      <c r="B77" s="172"/>
      <c r="C77" s="172"/>
      <c r="D77" s="172"/>
      <c r="E77" s="172"/>
      <c r="F77" s="172"/>
      <c r="G77" s="172"/>
    </row>
    <row r="78" spans="2:7" hidden="1" x14ac:dyDescent="0.3">
      <c r="B78" s="172"/>
      <c r="C78" s="172"/>
      <c r="D78" s="172"/>
      <c r="E78" s="172"/>
      <c r="F78" s="172"/>
      <c r="G78" s="172"/>
    </row>
    <row r="79" spans="2:7" hidden="1" x14ac:dyDescent="0.3">
      <c r="B79" s="172"/>
      <c r="C79" s="172"/>
      <c r="D79" s="172"/>
      <c r="E79" s="172"/>
      <c r="F79" s="172"/>
      <c r="G79" s="172"/>
    </row>
    <row r="80" spans="2:7" hidden="1" x14ac:dyDescent="0.3">
      <c r="B80" s="172"/>
      <c r="C80" s="172"/>
      <c r="D80" s="172"/>
      <c r="E80" s="172"/>
      <c r="F80" s="172"/>
      <c r="G80" s="172"/>
    </row>
    <row r="81" spans="2:7" hidden="1" x14ac:dyDescent="0.3">
      <c r="B81" s="172"/>
      <c r="C81" s="172"/>
      <c r="D81" s="172"/>
      <c r="E81" s="172"/>
      <c r="F81" s="172"/>
      <c r="G81" s="172"/>
    </row>
    <row r="82" spans="2:7" hidden="1" x14ac:dyDescent="0.3">
      <c r="B82" s="172"/>
      <c r="C82" s="172"/>
      <c r="D82" s="172"/>
      <c r="E82" s="172"/>
      <c r="F82" s="172"/>
      <c r="G82" s="172"/>
    </row>
    <row r="83" spans="2:7" hidden="1" x14ac:dyDescent="0.3">
      <c r="B83" s="172"/>
      <c r="C83" s="172"/>
      <c r="D83" s="172"/>
      <c r="E83" s="172"/>
      <c r="F83" s="172"/>
      <c r="G83" s="172"/>
    </row>
    <row r="84" spans="2:7" hidden="1" x14ac:dyDescent="0.3">
      <c r="B84" s="172"/>
      <c r="C84" s="172"/>
      <c r="D84" s="172"/>
      <c r="E84" s="172"/>
      <c r="F84" s="172"/>
      <c r="G84" s="172"/>
    </row>
    <row r="85" spans="2:7" hidden="1" x14ac:dyDescent="0.3">
      <c r="B85" s="172"/>
      <c r="C85" s="172"/>
      <c r="D85" s="172"/>
      <c r="E85" s="172"/>
      <c r="F85" s="172"/>
      <c r="G85" s="172"/>
    </row>
    <row r="86" spans="2:7" hidden="1" x14ac:dyDescent="0.3">
      <c r="B86" s="172"/>
      <c r="C86" s="172"/>
      <c r="D86" s="172"/>
      <c r="E86" s="172"/>
      <c r="F86" s="172"/>
      <c r="G86" s="172"/>
    </row>
    <row r="87" spans="2:7" hidden="1" x14ac:dyDescent="0.3">
      <c r="B87" s="172"/>
      <c r="C87" s="172"/>
      <c r="D87" s="172"/>
      <c r="E87" s="172"/>
      <c r="F87" s="172"/>
      <c r="G87" s="172"/>
    </row>
    <row r="88" spans="2:7" hidden="1" x14ac:dyDescent="0.3">
      <c r="B88" s="172"/>
      <c r="C88" s="172"/>
      <c r="D88" s="172"/>
      <c r="E88" s="172"/>
      <c r="F88" s="172"/>
      <c r="G88" s="172"/>
    </row>
    <row r="89" spans="2:7" hidden="1" x14ac:dyDescent="0.3">
      <c r="B89" s="172"/>
      <c r="C89" s="172"/>
      <c r="D89" s="172"/>
      <c r="E89" s="172"/>
      <c r="F89" s="172"/>
      <c r="G89" s="172"/>
    </row>
    <row r="90" spans="2:7" hidden="1" x14ac:dyDescent="0.3">
      <c r="B90" s="172"/>
      <c r="C90" s="172"/>
      <c r="D90" s="172"/>
      <c r="E90" s="172"/>
      <c r="F90" s="172"/>
      <c r="G90" s="172"/>
    </row>
    <row r="91" spans="2:7" hidden="1" x14ac:dyDescent="0.3">
      <c r="B91" s="172"/>
      <c r="C91" s="172"/>
      <c r="D91" s="172"/>
      <c r="E91" s="172"/>
      <c r="F91" s="172"/>
      <c r="G91" s="172"/>
    </row>
    <row r="92" spans="2:7" hidden="1" x14ac:dyDescent="0.3">
      <c r="B92" s="172"/>
      <c r="C92" s="172"/>
      <c r="D92" s="172"/>
      <c r="E92" s="172"/>
      <c r="F92" s="172"/>
      <c r="G92" s="172"/>
    </row>
    <row r="93" spans="2:7" hidden="1" x14ac:dyDescent="0.3">
      <c r="B93" s="172"/>
      <c r="C93" s="172"/>
      <c r="D93" s="172"/>
      <c r="E93" s="172"/>
      <c r="F93" s="172"/>
      <c r="G93" s="172"/>
    </row>
    <row r="94" spans="2:7" hidden="1" x14ac:dyDescent="0.3">
      <c r="B94" s="172"/>
      <c r="C94" s="172"/>
      <c r="D94" s="172"/>
      <c r="E94" s="172"/>
      <c r="F94" s="172"/>
      <c r="G94" s="172"/>
    </row>
    <row r="95" spans="2:7" hidden="1" x14ac:dyDescent="0.3">
      <c r="B95" s="172"/>
      <c r="C95" s="172"/>
      <c r="D95" s="172"/>
      <c r="E95" s="172"/>
      <c r="F95" s="172"/>
      <c r="G95" s="172"/>
    </row>
    <row r="96" spans="2:7" hidden="1" x14ac:dyDescent="0.3">
      <c r="B96" s="172"/>
      <c r="C96" s="172"/>
      <c r="D96" s="172"/>
      <c r="E96" s="172"/>
      <c r="F96" s="172"/>
      <c r="G96" s="172"/>
    </row>
    <row r="97" spans="2:7" hidden="1" x14ac:dyDescent="0.3">
      <c r="B97" s="172"/>
      <c r="C97" s="172"/>
      <c r="D97" s="172"/>
      <c r="E97" s="172"/>
      <c r="F97" s="172"/>
      <c r="G97" s="172"/>
    </row>
    <row r="98" spans="2:7" hidden="1" x14ac:dyDescent="0.3">
      <c r="B98" s="172"/>
      <c r="C98" s="172"/>
      <c r="D98" s="172"/>
      <c r="E98" s="172"/>
      <c r="F98" s="172"/>
      <c r="G98" s="172"/>
    </row>
    <row r="99" spans="2:7" hidden="1" x14ac:dyDescent="0.3">
      <c r="B99" s="172"/>
      <c r="C99" s="172"/>
      <c r="D99" s="172"/>
      <c r="E99" s="172"/>
      <c r="F99" s="172"/>
      <c r="G99" s="172"/>
    </row>
    <row r="100" spans="2:7" hidden="1" x14ac:dyDescent="0.3">
      <c r="B100" s="172"/>
      <c r="C100" s="172"/>
      <c r="D100" s="172"/>
      <c r="E100" s="172"/>
      <c r="F100" s="172"/>
      <c r="G100" s="172"/>
    </row>
    <row r="101" spans="2:7" hidden="1" x14ac:dyDescent="0.3">
      <c r="B101" s="172"/>
      <c r="C101" s="172"/>
      <c r="D101" s="172"/>
      <c r="E101" s="172"/>
      <c r="F101" s="172"/>
      <c r="G101" s="172"/>
    </row>
    <row r="102" spans="2:7" hidden="1" x14ac:dyDescent="0.3">
      <c r="B102" s="172"/>
      <c r="C102" s="172"/>
      <c r="D102" s="172"/>
      <c r="E102" s="172"/>
      <c r="F102" s="172"/>
      <c r="G102" s="172"/>
    </row>
    <row r="103" spans="2:7" hidden="1" x14ac:dyDescent="0.3">
      <c r="B103" s="172"/>
      <c r="C103" s="172"/>
      <c r="D103" s="172"/>
      <c r="E103" s="172"/>
      <c r="F103" s="172"/>
      <c r="G103" s="172"/>
    </row>
    <row r="104" spans="2:7" hidden="1" x14ac:dyDescent="0.3">
      <c r="B104" s="172"/>
      <c r="C104" s="172"/>
      <c r="D104" s="172"/>
      <c r="E104" s="172"/>
      <c r="F104" s="172"/>
      <c r="G104" s="172"/>
    </row>
    <row r="105" spans="2:7" hidden="1" x14ac:dyDescent="0.3">
      <c r="B105" s="172"/>
      <c r="C105" s="172"/>
      <c r="D105" s="172"/>
      <c r="E105" s="172"/>
      <c r="F105" s="172"/>
      <c r="G105" s="172"/>
    </row>
    <row r="106" spans="2:7" hidden="1" x14ac:dyDescent="0.3">
      <c r="B106" s="172"/>
      <c r="C106" s="172"/>
      <c r="D106" s="172"/>
      <c r="E106" s="172"/>
      <c r="F106" s="172"/>
      <c r="G106" s="172"/>
    </row>
    <row r="107" spans="2:7" hidden="1" x14ac:dyDescent="0.3">
      <c r="B107" s="172"/>
      <c r="C107" s="172"/>
      <c r="D107" s="172"/>
      <c r="E107" s="172"/>
      <c r="F107" s="172"/>
      <c r="G107" s="172"/>
    </row>
    <row r="108" spans="2:7" hidden="1" x14ac:dyDescent="0.3">
      <c r="B108" s="172"/>
      <c r="C108" s="172"/>
      <c r="D108" s="172"/>
      <c r="E108" s="172"/>
      <c r="F108" s="172"/>
      <c r="G108" s="172"/>
    </row>
    <row r="109" spans="2:7" hidden="1" x14ac:dyDescent="0.3">
      <c r="B109" s="172"/>
      <c r="C109" s="172"/>
      <c r="D109" s="172"/>
      <c r="E109" s="172"/>
      <c r="F109" s="172"/>
      <c r="G109" s="172"/>
    </row>
    <row r="110" spans="2:7" hidden="1" x14ac:dyDescent="0.3">
      <c r="B110" s="172"/>
      <c r="C110" s="172"/>
      <c r="D110" s="172"/>
      <c r="E110" s="172"/>
      <c r="F110" s="172"/>
      <c r="G110" s="172"/>
    </row>
    <row r="111" spans="2:7" hidden="1" x14ac:dyDescent="0.3">
      <c r="B111" s="172"/>
      <c r="C111" s="172"/>
      <c r="D111" s="172"/>
      <c r="E111" s="172"/>
      <c r="F111" s="172"/>
      <c r="G111" s="172"/>
    </row>
    <row r="112" spans="2:7" hidden="1" x14ac:dyDescent="0.3">
      <c r="B112" s="172"/>
      <c r="C112" s="172"/>
      <c r="D112" s="172"/>
      <c r="E112" s="172"/>
      <c r="F112" s="172"/>
      <c r="G112" s="172"/>
    </row>
    <row r="113" spans="2:7" hidden="1" x14ac:dyDescent="0.3">
      <c r="B113" s="172"/>
      <c r="C113" s="172"/>
      <c r="D113" s="172"/>
      <c r="E113" s="172"/>
      <c r="F113" s="172"/>
      <c r="G113" s="172"/>
    </row>
    <row r="114" spans="2:7" hidden="1" x14ac:dyDescent="0.3">
      <c r="B114" s="172"/>
      <c r="C114" s="172"/>
      <c r="D114" s="172"/>
      <c r="E114" s="172"/>
      <c r="F114" s="172"/>
      <c r="G114" s="172"/>
    </row>
    <row r="115" spans="2:7" s="172" customFormat="1" hidden="1" x14ac:dyDescent="0.3"/>
    <row r="116" spans="2:7" hidden="1" x14ac:dyDescent="0.3">
      <c r="B116" s="172"/>
      <c r="C116" s="172"/>
      <c r="D116" s="172"/>
      <c r="E116" s="172"/>
      <c r="F116" s="172"/>
      <c r="G116" s="172"/>
    </row>
    <row r="117" spans="2:7" s="172" customFormat="1" hidden="1" x14ac:dyDescent="0.3"/>
    <row r="118" spans="2:7" hidden="1" x14ac:dyDescent="0.3">
      <c r="B118" s="172"/>
      <c r="C118" s="172"/>
      <c r="D118" s="172"/>
      <c r="E118" s="172"/>
      <c r="F118" s="172"/>
      <c r="G118" s="172"/>
    </row>
    <row r="119" spans="2:7" s="172" customFormat="1" hidden="1" x14ac:dyDescent="0.3"/>
    <row r="120" spans="2:7" hidden="1" x14ac:dyDescent="0.3">
      <c r="B120" s="172"/>
      <c r="C120" s="172"/>
      <c r="D120" s="172"/>
      <c r="E120" s="172"/>
      <c r="F120" s="172"/>
      <c r="G120" s="172"/>
    </row>
    <row r="121" spans="2:7" s="172" customFormat="1" hidden="1" x14ac:dyDescent="0.3"/>
    <row r="122" spans="2:7" hidden="1" x14ac:dyDescent="0.3">
      <c r="B122" s="172"/>
      <c r="C122" s="172"/>
      <c r="D122" s="172"/>
      <c r="E122" s="172"/>
      <c r="F122" s="172"/>
      <c r="G122" s="172"/>
    </row>
    <row r="123" spans="2:7" s="172" customFormat="1" hidden="1" x14ac:dyDescent="0.3"/>
    <row r="124" spans="2:7" hidden="1" x14ac:dyDescent="0.3">
      <c r="B124" s="172"/>
      <c r="C124" s="172"/>
      <c r="D124" s="172"/>
      <c r="E124" s="172"/>
      <c r="F124" s="172"/>
      <c r="G124" s="172"/>
    </row>
    <row r="125" spans="2:7" s="172" customFormat="1" hidden="1" x14ac:dyDescent="0.3"/>
    <row r="126" spans="2:7" hidden="1" x14ac:dyDescent="0.3">
      <c r="B126" s="172"/>
      <c r="C126" s="172"/>
      <c r="D126" s="172"/>
      <c r="E126" s="172"/>
      <c r="F126" s="172"/>
      <c r="G126" s="172"/>
    </row>
    <row r="127" spans="2:7" hidden="1" x14ac:dyDescent="0.3">
      <c r="B127" s="172"/>
      <c r="C127" s="172"/>
      <c r="D127" s="172"/>
      <c r="E127" s="172"/>
      <c r="F127" s="172"/>
      <c r="G127" s="172"/>
    </row>
    <row r="128" spans="2:7" hidden="1" x14ac:dyDescent="0.3">
      <c r="B128" s="172"/>
      <c r="C128" s="172"/>
      <c r="D128" s="172"/>
      <c r="E128" s="172"/>
      <c r="F128" s="172"/>
      <c r="G128" s="172"/>
    </row>
    <row r="129" spans="2:7" hidden="1" x14ac:dyDescent="0.3">
      <c r="B129" s="172"/>
      <c r="C129" s="172"/>
      <c r="D129" s="172"/>
      <c r="E129" s="172"/>
      <c r="F129" s="172"/>
      <c r="G129" s="172"/>
    </row>
    <row r="130" spans="2:7" hidden="1" x14ac:dyDescent="0.3">
      <c r="B130" s="172"/>
      <c r="C130" s="172"/>
      <c r="D130" s="172"/>
      <c r="E130" s="172"/>
      <c r="F130" s="172"/>
      <c r="G130" s="172"/>
    </row>
    <row r="131" spans="2:7" hidden="1" x14ac:dyDescent="0.3">
      <c r="B131" s="172"/>
      <c r="C131" s="172"/>
      <c r="D131" s="172"/>
      <c r="E131" s="172"/>
      <c r="F131" s="172"/>
      <c r="G131" s="172"/>
    </row>
    <row r="132" spans="2:7" hidden="1" x14ac:dyDescent="0.3">
      <c r="B132" s="172"/>
      <c r="C132" s="172"/>
      <c r="D132" s="172"/>
      <c r="E132" s="172"/>
      <c r="F132" s="172"/>
      <c r="G132" s="172"/>
    </row>
    <row r="134" spans="2:7" x14ac:dyDescent="0.3">
      <c r="B134" s="167" t="s">
        <v>83</v>
      </c>
      <c r="C134" s="168"/>
      <c r="D134" s="168"/>
      <c r="E134" s="168"/>
      <c r="F134" s="168"/>
      <c r="G134" s="168"/>
    </row>
    <row r="135" spans="2:7" x14ac:dyDescent="0.3">
      <c r="B135" s="169" t="s">
        <v>9</v>
      </c>
      <c r="C135" s="169" t="s">
        <v>46</v>
      </c>
      <c r="D135" s="169" t="s">
        <v>42</v>
      </c>
      <c r="E135" s="169" t="s">
        <v>84</v>
      </c>
      <c r="F135" s="169" t="s">
        <v>85</v>
      </c>
      <c r="G135" s="170" t="s">
        <v>86</v>
      </c>
    </row>
    <row r="136" spans="2:7" x14ac:dyDescent="0.3">
      <c r="B136" s="205"/>
      <c r="C136" s="205"/>
      <c r="D136" s="205"/>
      <c r="E136" s="205" t="s">
        <v>7</v>
      </c>
      <c r="F136" s="205" t="s">
        <v>7</v>
      </c>
      <c r="G136" s="206"/>
    </row>
    <row r="137" spans="2:7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</row>
    <row r="138" spans="2:7" hidden="1" x14ac:dyDescent="0.3">
      <c r="B138" s="172" t="s">
        <v>189</v>
      </c>
      <c r="C138" s="172" t="s">
        <v>79</v>
      </c>
      <c r="D138" s="172" t="s">
        <v>218</v>
      </c>
      <c r="E138" s="172">
        <v>2.4726134099959399E-2</v>
      </c>
      <c r="F138" s="172">
        <v>2.4283218825209299E-2</v>
      </c>
      <c r="G138" s="172">
        <v>1.0182395619764499</v>
      </c>
    </row>
    <row r="139" spans="2:7" hidden="1" x14ac:dyDescent="0.3">
      <c r="B139" s="172" t="s">
        <v>187</v>
      </c>
      <c r="C139" s="172" t="s">
        <v>79</v>
      </c>
      <c r="D139" s="172" t="s">
        <v>218</v>
      </c>
      <c r="E139" s="172">
        <v>2.5507036800150699E-2</v>
      </c>
      <c r="F139" s="172">
        <v>2.38730529933848E-2</v>
      </c>
      <c r="G139" s="172">
        <v>1.0684446939911201</v>
      </c>
    </row>
    <row r="140" spans="2:7" hidden="1" x14ac:dyDescent="0.3">
      <c r="B140" s="172" t="s">
        <v>185</v>
      </c>
      <c r="C140" s="172" t="s">
        <v>79</v>
      </c>
      <c r="D140" s="172" t="s">
        <v>218</v>
      </c>
      <c r="E140" s="172">
        <v>2.4606899069348299E-2</v>
      </c>
      <c r="F140" s="172">
        <v>2.30101833108191E-2</v>
      </c>
      <c r="G140" s="172">
        <v>1.0693917009248</v>
      </c>
    </row>
    <row r="141" spans="2:7" hidden="1" x14ac:dyDescent="0.3">
      <c r="B141" s="172" t="s">
        <v>183</v>
      </c>
      <c r="C141" s="172" t="s">
        <v>79</v>
      </c>
      <c r="D141" s="172" t="s">
        <v>218</v>
      </c>
      <c r="E141" s="172">
        <v>2.3170511693399998E-2</v>
      </c>
      <c r="F141" s="172">
        <v>2.1647063422424201E-2</v>
      </c>
      <c r="G141" s="172">
        <v>1.07037667147949</v>
      </c>
    </row>
    <row r="142" spans="2:7" hidden="1" x14ac:dyDescent="0.3">
      <c r="B142" s="172" t="s">
        <v>181</v>
      </c>
      <c r="C142" s="172" t="s">
        <v>79</v>
      </c>
      <c r="D142" s="172" t="s">
        <v>218</v>
      </c>
      <c r="E142" s="172">
        <v>2.1235063641486099E-2</v>
      </c>
      <c r="F142" s="172">
        <v>1.9819875537942701E-2</v>
      </c>
      <c r="G142" s="172">
        <v>1.07140247176801</v>
      </c>
    </row>
    <row r="143" spans="2:7" hidden="1" x14ac:dyDescent="0.3">
      <c r="B143" s="172" t="s">
        <v>179</v>
      </c>
      <c r="C143" s="172" t="s">
        <v>79</v>
      </c>
      <c r="D143" s="172" t="s">
        <v>218</v>
      </c>
      <c r="E143" s="172">
        <v>1.8875584844777499E-2</v>
      </c>
      <c r="F143" s="172">
        <v>1.7598708691414298E-2</v>
      </c>
      <c r="G143" s="172">
        <v>1.0725551047950601</v>
      </c>
    </row>
    <row r="144" spans="2:7" hidden="1" x14ac:dyDescent="0.3">
      <c r="B144" s="172" t="s">
        <v>39</v>
      </c>
      <c r="C144" s="172" t="s">
        <v>79</v>
      </c>
      <c r="D144" s="172" t="s">
        <v>218</v>
      </c>
      <c r="E144" s="172">
        <v>1.61605459496941E-2</v>
      </c>
      <c r="F144" s="172">
        <v>1.50481681622578E-2</v>
      </c>
      <c r="G144" s="172">
        <v>1.07392114278908</v>
      </c>
    </row>
    <row r="145" spans="2:7" hidden="1" x14ac:dyDescent="0.3">
      <c r="B145" s="172" t="s">
        <v>26</v>
      </c>
      <c r="C145" s="172" t="s">
        <v>79</v>
      </c>
      <c r="D145" s="172" t="s">
        <v>218</v>
      </c>
      <c r="E145" s="172">
        <v>1.31961159142361E-2</v>
      </c>
      <c r="F145" s="172">
        <v>1.2276418044744501E-2</v>
      </c>
      <c r="G145" s="172">
        <v>1.0749158155204199</v>
      </c>
    </row>
    <row r="146" spans="2:7" hidden="1" x14ac:dyDescent="0.3">
      <c r="B146" s="172" t="s">
        <v>25</v>
      </c>
      <c r="C146" s="172" t="s">
        <v>79</v>
      </c>
      <c r="D146" s="172" t="s">
        <v>218</v>
      </c>
      <c r="E146" s="172">
        <v>1.0044246107234501E-2</v>
      </c>
      <c r="F146" s="172">
        <v>9.3422059079794999E-3</v>
      </c>
      <c r="G146" s="172">
        <v>1.0751471554117</v>
      </c>
    </row>
    <row r="147" spans="2:7" hidden="1" x14ac:dyDescent="0.3">
      <c r="B147" s="172" t="s">
        <v>24</v>
      </c>
      <c r="C147" s="172" t="s">
        <v>79</v>
      </c>
      <c r="D147" s="172" t="s">
        <v>218</v>
      </c>
      <c r="E147" s="172">
        <v>6.7220801362882603E-3</v>
      </c>
      <c r="F147" s="172">
        <v>6.2541815744383599E-3</v>
      </c>
      <c r="G147" s="172">
        <v>1.07481371563663</v>
      </c>
    </row>
    <row r="148" spans="2:7" hidden="1" x14ac:dyDescent="0.3">
      <c r="B148" s="172" t="s">
        <v>22</v>
      </c>
      <c r="C148" s="172" t="s">
        <v>79</v>
      </c>
      <c r="D148" s="172" t="s">
        <v>218</v>
      </c>
      <c r="E148" s="172">
        <v>3.3080230670678402E-3</v>
      </c>
      <c r="F148" s="172">
        <v>3.0837610967489101E-3</v>
      </c>
      <c r="G148" s="172">
        <v>1.07272352276425</v>
      </c>
    </row>
    <row r="149" spans="2:7" x14ac:dyDescent="0.3">
      <c r="B149" s="172" t="s">
        <v>189</v>
      </c>
      <c r="C149" s="172" t="s">
        <v>80</v>
      </c>
      <c r="D149" s="172" t="s">
        <v>218</v>
      </c>
      <c r="E149" s="172">
        <v>2.53896948967803E-2</v>
      </c>
      <c r="F149" s="172">
        <v>2.4894655831537701E-2</v>
      </c>
      <c r="G149" s="172">
        <v>1.0198853548565801</v>
      </c>
    </row>
    <row r="150" spans="2:7" hidden="1" x14ac:dyDescent="0.3">
      <c r="B150" s="172" t="s">
        <v>189</v>
      </c>
      <c r="C150" s="172" t="s">
        <v>80</v>
      </c>
      <c r="D150" s="172" t="s">
        <v>221</v>
      </c>
      <c r="E150" s="172">
        <v>4.1685172212647999E-3</v>
      </c>
      <c r="F150" s="172">
        <v>3.5497183897115299E-3</v>
      </c>
      <c r="G150" s="172">
        <v>1.1743233585364901</v>
      </c>
    </row>
    <row r="151" spans="2:7" x14ac:dyDescent="0.3">
      <c r="B151" s="172" t="s">
        <v>187</v>
      </c>
      <c r="C151" s="172" t="s">
        <v>80</v>
      </c>
      <c r="D151" s="172" t="s">
        <v>218</v>
      </c>
      <c r="E151" s="172">
        <v>2.5567246543683302E-2</v>
      </c>
      <c r="F151" s="172">
        <v>2.3794894713912499E-2</v>
      </c>
      <c r="G151" s="172">
        <v>1.07448454179268</v>
      </c>
    </row>
    <row r="152" spans="2:7" x14ac:dyDescent="0.3">
      <c r="B152" s="172" t="s">
        <v>185</v>
      </c>
      <c r="C152" s="172" t="s">
        <v>80</v>
      </c>
      <c r="D152" s="172" t="s">
        <v>218</v>
      </c>
      <c r="E152" s="172">
        <v>2.4627200944827499E-2</v>
      </c>
      <c r="F152" s="172">
        <v>2.2933396184918999E-2</v>
      </c>
      <c r="G152" s="172">
        <v>1.07385756327806</v>
      </c>
    </row>
    <row r="153" spans="2:7" x14ac:dyDescent="0.3">
      <c r="B153" s="172" t="s">
        <v>183</v>
      </c>
      <c r="C153" s="172" t="s">
        <v>80</v>
      </c>
      <c r="D153" s="172" t="s">
        <v>218</v>
      </c>
      <c r="E153" s="172">
        <v>2.3151956178712501E-2</v>
      </c>
      <c r="F153" s="172">
        <v>2.15729112841745E-2</v>
      </c>
      <c r="G153" s="172">
        <v>1.0731957255901901</v>
      </c>
    </row>
    <row r="154" spans="2:7" x14ac:dyDescent="0.3">
      <c r="B154" s="172" t="s">
        <v>181</v>
      </c>
      <c r="C154" s="172" t="s">
        <v>80</v>
      </c>
      <c r="D154" s="172" t="s">
        <v>218</v>
      </c>
      <c r="E154" s="172">
        <v>2.1182635541847301E-2</v>
      </c>
      <c r="F154" s="172">
        <v>1.9749917550790801E-2</v>
      </c>
      <c r="G154" s="172">
        <v>1.0725429859325699</v>
      </c>
    </row>
    <row r="155" spans="2:7" x14ac:dyDescent="0.3">
      <c r="B155" s="172" t="s">
        <v>179</v>
      </c>
      <c r="C155" s="172" t="s">
        <v>80</v>
      </c>
      <c r="D155" s="172" t="s">
        <v>218</v>
      </c>
      <c r="E155" s="172">
        <v>1.87940837964088E-2</v>
      </c>
      <c r="F155" s="172">
        <v>1.75343255481532E-2</v>
      </c>
      <c r="G155" s="172">
        <v>1.07184526401064</v>
      </c>
    </row>
    <row r="156" spans="2:7" x14ac:dyDescent="0.3">
      <c r="B156" s="172" t="s">
        <v>39</v>
      </c>
      <c r="C156" s="172" t="s">
        <v>80</v>
      </c>
      <c r="D156" s="172" t="s">
        <v>218</v>
      </c>
      <c r="E156" s="172">
        <v>1.6055915798080599E-2</v>
      </c>
      <c r="F156" s="172">
        <v>1.49906797394037E-2</v>
      </c>
      <c r="G156" s="172">
        <v>1.0710598903582</v>
      </c>
    </row>
    <row r="157" spans="2:7" x14ac:dyDescent="0.3">
      <c r="B157" s="172" t="s">
        <v>26</v>
      </c>
      <c r="C157" s="172" t="s">
        <v>80</v>
      </c>
      <c r="D157" s="172" t="s">
        <v>218</v>
      </c>
      <c r="E157" s="172">
        <v>1.3088664837957099E-2</v>
      </c>
      <c r="F157" s="172">
        <v>1.2227975407769801E-2</v>
      </c>
      <c r="G157" s="172">
        <v>1.0703869120999701</v>
      </c>
    </row>
    <row r="158" spans="2:7" x14ac:dyDescent="0.3">
      <c r="B158" s="172" t="s">
        <v>25</v>
      </c>
      <c r="C158" s="172" t="s">
        <v>80</v>
      </c>
      <c r="D158" s="172" t="s">
        <v>218</v>
      </c>
      <c r="E158" s="172">
        <v>9.9552806190244397E-3</v>
      </c>
      <c r="F158" s="172">
        <v>9.3048926872342196E-3</v>
      </c>
      <c r="G158" s="172">
        <v>1.0698974135061801</v>
      </c>
    </row>
    <row r="159" spans="2:7" x14ac:dyDescent="0.3">
      <c r="B159" s="172" t="s">
        <v>24</v>
      </c>
      <c r="C159" s="172" t="s">
        <v>80</v>
      </c>
      <c r="D159" s="172" t="s">
        <v>218</v>
      </c>
      <c r="E159" s="172">
        <v>6.6618445178844802E-3</v>
      </c>
      <c r="F159" s="172">
        <v>6.2292973827550099E-3</v>
      </c>
      <c r="G159" s="172">
        <v>1.0694375478568301</v>
      </c>
    </row>
    <row r="160" spans="2:7" x14ac:dyDescent="0.3">
      <c r="B160" s="172" t="s">
        <v>22</v>
      </c>
      <c r="C160" s="172" t="s">
        <v>80</v>
      </c>
      <c r="D160" s="172" t="s">
        <v>218</v>
      </c>
      <c r="E160" s="172">
        <v>3.2845886578165302E-3</v>
      </c>
      <c r="F160" s="172">
        <v>3.0721735493259802E-3</v>
      </c>
      <c r="G160" s="172">
        <v>1.0691416370462401</v>
      </c>
    </row>
    <row r="161" spans="2:7" hidden="1" x14ac:dyDescent="0.3">
      <c r="B161" s="172" t="s">
        <v>189</v>
      </c>
      <c r="C161" s="172" t="s">
        <v>81</v>
      </c>
      <c r="D161" s="172" t="s">
        <v>221</v>
      </c>
      <c r="E161" s="172">
        <v>3.11993682007203E-2</v>
      </c>
      <c r="F161" s="172">
        <v>3.0579402487312699E-2</v>
      </c>
      <c r="G161" s="172">
        <v>1.0202739642694101</v>
      </c>
    </row>
    <row r="162" spans="2:7" hidden="1" x14ac:dyDescent="0.3">
      <c r="B162" s="172" t="s">
        <v>187</v>
      </c>
      <c r="C162" s="172" t="s">
        <v>81</v>
      </c>
      <c r="D162" s="172" t="s">
        <v>221</v>
      </c>
      <c r="E162" s="172">
        <v>3.0160607047918099E-2</v>
      </c>
      <c r="F162" s="172">
        <v>2.8080102847465201E-2</v>
      </c>
      <c r="G162" s="172">
        <v>1.07409175855781</v>
      </c>
    </row>
    <row r="163" spans="2:7" hidden="1" x14ac:dyDescent="0.3">
      <c r="B163" s="172" t="s">
        <v>185</v>
      </c>
      <c r="C163" s="172" t="s">
        <v>81</v>
      </c>
      <c r="D163" s="172" t="s">
        <v>221</v>
      </c>
      <c r="E163" s="172">
        <v>2.8764631265524601E-2</v>
      </c>
      <c r="F163" s="172">
        <v>2.68400918485187E-2</v>
      </c>
      <c r="G163" s="172">
        <v>1.0717039057790001</v>
      </c>
    </row>
    <row r="164" spans="2:7" hidden="1" x14ac:dyDescent="0.3">
      <c r="B164" s="172" t="s">
        <v>183</v>
      </c>
      <c r="C164" s="172" t="s">
        <v>81</v>
      </c>
      <c r="D164" s="172" t="s">
        <v>221</v>
      </c>
      <c r="E164" s="172">
        <v>2.6793241884824098E-2</v>
      </c>
      <c r="F164" s="172">
        <v>2.50553793601783E-2</v>
      </c>
      <c r="G164" s="172">
        <v>1.0693608545958699</v>
      </c>
    </row>
    <row r="165" spans="2:7" hidden="1" x14ac:dyDescent="0.3">
      <c r="B165" s="172" t="s">
        <v>181</v>
      </c>
      <c r="C165" s="172" t="s">
        <v>81</v>
      </c>
      <c r="D165" s="172" t="s">
        <v>221</v>
      </c>
      <c r="E165" s="172">
        <v>2.4315720517282799E-2</v>
      </c>
      <c r="F165" s="172">
        <v>2.2784450736789901E-2</v>
      </c>
      <c r="G165" s="172">
        <v>1.06720678932235</v>
      </c>
    </row>
    <row r="166" spans="2:7" hidden="1" x14ac:dyDescent="0.3">
      <c r="B166" s="172" t="s">
        <v>179</v>
      </c>
      <c r="C166" s="172" t="s">
        <v>81</v>
      </c>
      <c r="D166" s="172" t="s">
        <v>221</v>
      </c>
      <c r="E166" s="172">
        <v>2.1426010166564001E-2</v>
      </c>
      <c r="F166" s="172">
        <v>2.0115962360221701E-2</v>
      </c>
      <c r="G166" s="172">
        <v>1.06512478910444</v>
      </c>
    </row>
    <row r="167" spans="2:7" hidden="1" x14ac:dyDescent="0.3">
      <c r="B167" s="172" t="s">
        <v>39</v>
      </c>
      <c r="C167" s="172" t="s">
        <v>81</v>
      </c>
      <c r="D167" s="172" t="s">
        <v>221</v>
      </c>
      <c r="E167" s="172">
        <v>1.8205721056274299E-2</v>
      </c>
      <c r="F167" s="172">
        <v>1.7126320849916402E-2</v>
      </c>
      <c r="G167" s="172">
        <v>1.06302580780875</v>
      </c>
    </row>
    <row r="168" spans="2:7" hidden="1" x14ac:dyDescent="0.3">
      <c r="B168" s="172" t="s">
        <v>26</v>
      </c>
      <c r="C168" s="172" t="s">
        <v>81</v>
      </c>
      <c r="D168" s="172" t="s">
        <v>221</v>
      </c>
      <c r="E168" s="172">
        <v>1.4738149174598199E-2</v>
      </c>
      <c r="F168" s="172">
        <v>1.38848323174195E-2</v>
      </c>
      <c r="G168" s="172">
        <v>1.0614567635871399</v>
      </c>
    </row>
    <row r="169" spans="2:7" hidden="1" x14ac:dyDescent="0.3">
      <c r="B169" s="172" t="s">
        <v>25</v>
      </c>
      <c r="C169" s="172" t="s">
        <v>81</v>
      </c>
      <c r="D169" s="172" t="s">
        <v>221</v>
      </c>
      <c r="E169" s="172">
        <v>1.10854859371183E-2</v>
      </c>
      <c r="F169" s="172">
        <v>1.04507728721076E-2</v>
      </c>
      <c r="G169" s="172">
        <v>1.06073360054592</v>
      </c>
    </row>
    <row r="170" spans="2:7" hidden="1" x14ac:dyDescent="0.3">
      <c r="B170" s="172" t="s">
        <v>24</v>
      </c>
      <c r="C170" s="172" t="s">
        <v>81</v>
      </c>
      <c r="D170" s="172" t="s">
        <v>221</v>
      </c>
      <c r="E170" s="172">
        <v>7.3059861391689502E-3</v>
      </c>
      <c r="F170" s="172">
        <v>6.8866677373232797E-3</v>
      </c>
      <c r="G170" s="172">
        <v>1.06088843223452</v>
      </c>
    </row>
    <row r="171" spans="2:7" hidden="1" x14ac:dyDescent="0.3">
      <c r="B171" s="172" t="s">
        <v>22</v>
      </c>
      <c r="C171" s="172" t="s">
        <v>81</v>
      </c>
      <c r="D171" s="172" t="s">
        <v>221</v>
      </c>
      <c r="E171" s="172">
        <v>3.5055692966893099E-3</v>
      </c>
      <c r="F171" s="172">
        <v>3.29729405140695E-3</v>
      </c>
      <c r="G171" s="172">
        <v>1.0631655054220901</v>
      </c>
    </row>
    <row r="172" spans="2:7" hidden="1" x14ac:dyDescent="0.3">
      <c r="B172" s="172" t="s">
        <v>189</v>
      </c>
      <c r="C172" s="172" t="s">
        <v>82</v>
      </c>
      <c r="D172" s="172" t="s">
        <v>221</v>
      </c>
      <c r="E172" s="172">
        <v>2.61759141617505E-2</v>
      </c>
      <c r="F172" s="172">
        <v>2.5141911631261501E-2</v>
      </c>
      <c r="G172" s="172">
        <v>1.04112664723566</v>
      </c>
    </row>
    <row r="173" spans="2:7" hidden="1" x14ac:dyDescent="0.3">
      <c r="B173" s="172" t="s">
        <v>187</v>
      </c>
      <c r="C173" s="172" t="s">
        <v>82</v>
      </c>
      <c r="D173" s="172" t="s">
        <v>221</v>
      </c>
      <c r="E173" s="172">
        <v>3.2581019040623702E-2</v>
      </c>
      <c r="F173" s="172">
        <v>2.7912516711907601E-2</v>
      </c>
      <c r="G173" s="172">
        <v>1.16725479744091</v>
      </c>
    </row>
    <row r="174" spans="2:7" hidden="1" x14ac:dyDescent="0.3">
      <c r="B174" s="172" t="s">
        <v>185</v>
      </c>
      <c r="C174" s="172" t="s">
        <v>82</v>
      </c>
      <c r="D174" s="172" t="s">
        <v>221</v>
      </c>
      <c r="E174" s="172">
        <v>3.1275308843906301E-2</v>
      </c>
      <c r="F174" s="172">
        <v>2.6685133982294901E-2</v>
      </c>
      <c r="G174" s="172">
        <v>1.17201243451342</v>
      </c>
    </row>
    <row r="175" spans="2:7" hidden="1" x14ac:dyDescent="0.3">
      <c r="B175" s="172" t="s">
        <v>183</v>
      </c>
      <c r="C175" s="172" t="s">
        <v>82</v>
      </c>
      <c r="D175" s="172" t="s">
        <v>221</v>
      </c>
      <c r="E175" s="172">
        <v>2.9312968655579599E-2</v>
      </c>
      <c r="F175" s="172">
        <v>2.4916795384504201E-2</v>
      </c>
      <c r="G175" s="172">
        <v>1.1764341362216</v>
      </c>
    </row>
    <row r="176" spans="2:7" hidden="1" x14ac:dyDescent="0.3">
      <c r="B176" s="172" t="s">
        <v>181</v>
      </c>
      <c r="C176" s="172" t="s">
        <v>82</v>
      </c>
      <c r="D176" s="172" t="s">
        <v>221</v>
      </c>
      <c r="E176" s="172">
        <v>2.67549720317217E-2</v>
      </c>
      <c r="F176" s="172">
        <v>2.2664145008843499E-2</v>
      </c>
      <c r="G176" s="172">
        <v>1.1804977430775301</v>
      </c>
    </row>
    <row r="177" spans="2:7" hidden="1" x14ac:dyDescent="0.3">
      <c r="B177" s="172" t="s">
        <v>179</v>
      </c>
      <c r="C177" s="172" t="s">
        <v>82</v>
      </c>
      <c r="D177" s="172" t="s">
        <v>221</v>
      </c>
      <c r="E177" s="172">
        <v>2.3706503681394899E-2</v>
      </c>
      <c r="F177" s="172">
        <v>2.0015208881170001E-2</v>
      </c>
      <c r="G177" s="172">
        <v>1.1844244954994001</v>
      </c>
    </row>
    <row r="178" spans="2:7" hidden="1" x14ac:dyDescent="0.3">
      <c r="B178" s="172" t="s">
        <v>39</v>
      </c>
      <c r="C178" s="172" t="s">
        <v>82</v>
      </c>
      <c r="D178" s="172" t="s">
        <v>221</v>
      </c>
      <c r="E178" s="172">
        <v>2.0256785491547101E-2</v>
      </c>
      <c r="F178" s="172">
        <v>1.70457608700685E-2</v>
      </c>
      <c r="G178" s="172">
        <v>1.18837672580031</v>
      </c>
    </row>
    <row r="179" spans="2:7" hidden="1" x14ac:dyDescent="0.3">
      <c r="B179" s="172" t="s">
        <v>26</v>
      </c>
      <c r="C179" s="172" t="s">
        <v>82</v>
      </c>
      <c r="D179" s="172" t="s">
        <v>221</v>
      </c>
      <c r="E179" s="172">
        <v>1.6477484179145501E-2</v>
      </c>
      <c r="F179" s="172">
        <v>1.3823409007043E-2</v>
      </c>
      <c r="G179" s="172">
        <v>1.19199859967612</v>
      </c>
    </row>
    <row r="180" spans="2:7" hidden="1" x14ac:dyDescent="0.3">
      <c r="B180" s="172" t="s">
        <v>25</v>
      </c>
      <c r="C180" s="172" t="s">
        <v>82</v>
      </c>
      <c r="D180" s="172" t="s">
        <v>221</v>
      </c>
      <c r="E180" s="172">
        <v>1.2437164129566001E-2</v>
      </c>
      <c r="F180" s="172">
        <v>1.04065329372557E-2</v>
      </c>
      <c r="G180" s="172">
        <v>1.1951304247585299</v>
      </c>
    </row>
    <row r="181" spans="2:7" hidden="1" x14ac:dyDescent="0.3">
      <c r="B181" s="172" t="s">
        <v>24</v>
      </c>
      <c r="C181" s="172" t="s">
        <v>82</v>
      </c>
      <c r="D181" s="172" t="s">
        <v>221</v>
      </c>
      <c r="E181" s="172">
        <v>8.2143285667018694E-3</v>
      </c>
      <c r="F181" s="172">
        <v>6.8578588620061796E-3</v>
      </c>
      <c r="G181" s="172">
        <v>1.1977978450695099</v>
      </c>
    </row>
    <row r="182" spans="2:7" hidden="1" x14ac:dyDescent="0.3">
      <c r="B182" s="172" t="s">
        <v>22</v>
      </c>
      <c r="C182" s="172" t="s">
        <v>82</v>
      </c>
      <c r="D182" s="172" t="s">
        <v>221</v>
      </c>
      <c r="E182" s="172">
        <v>3.9358997984831603E-3</v>
      </c>
      <c r="F182" s="172">
        <v>3.28244932555681E-3</v>
      </c>
      <c r="G182" s="172">
        <v>1.19907404749211</v>
      </c>
    </row>
    <row r="183" spans="2:7" hidden="1" x14ac:dyDescent="0.3">
      <c r="B183" s="172" t="s">
        <v>189</v>
      </c>
      <c r="C183" s="172" t="s">
        <v>246</v>
      </c>
      <c r="D183" s="172" t="s">
        <v>218</v>
      </c>
      <c r="E183" s="172">
        <v>4.2104225934719002E-3</v>
      </c>
      <c r="F183" s="172">
        <v>4.2027492716322596E-3</v>
      </c>
      <c r="G183" s="172">
        <v>1.0018257862517399</v>
      </c>
    </row>
    <row r="184" spans="2:7" hidden="1" x14ac:dyDescent="0.3">
      <c r="B184" s="172" t="s">
        <v>187</v>
      </c>
      <c r="C184" s="172" t="s">
        <v>246</v>
      </c>
      <c r="D184" s="172" t="s">
        <v>218</v>
      </c>
      <c r="E184" s="172">
        <v>2.9546695266354601E-3</v>
      </c>
      <c r="F184" s="172">
        <v>2.9491154605972799E-3</v>
      </c>
      <c r="G184" s="172">
        <v>1.0018832989458699</v>
      </c>
    </row>
    <row r="185" spans="2:7" hidden="1" x14ac:dyDescent="0.3">
      <c r="B185" s="172" t="s">
        <v>185</v>
      </c>
      <c r="C185" s="172" t="s">
        <v>246</v>
      </c>
      <c r="D185" s="172" t="s">
        <v>218</v>
      </c>
      <c r="E185" s="172">
        <v>2.53302739389935E-3</v>
      </c>
      <c r="F185" s="172">
        <v>2.5274835863265299E-3</v>
      </c>
      <c r="G185" s="172">
        <v>1.0021934099207701</v>
      </c>
    </row>
    <row r="186" spans="2:7" hidden="1" x14ac:dyDescent="0.3">
      <c r="B186" s="172" t="s">
        <v>183</v>
      </c>
      <c r="C186" s="172" t="s">
        <v>246</v>
      </c>
      <c r="D186" s="172" t="s">
        <v>218</v>
      </c>
      <c r="E186" s="172">
        <v>2.12089048449156E-3</v>
      </c>
      <c r="F186" s="172">
        <v>2.1169958557060299E-3</v>
      </c>
      <c r="G186" s="172">
        <v>1.0018396959895</v>
      </c>
    </row>
    <row r="187" spans="2:7" hidden="1" x14ac:dyDescent="0.3">
      <c r="B187" s="172" t="s">
        <v>181</v>
      </c>
      <c r="C187" s="172" t="s">
        <v>246</v>
      </c>
      <c r="D187" s="172" t="s">
        <v>218</v>
      </c>
      <c r="E187" s="172">
        <v>1.7257832425074499E-3</v>
      </c>
      <c r="F187" s="172">
        <v>1.72293567170853E-3</v>
      </c>
      <c r="G187" s="172">
        <v>1.00165274353865</v>
      </c>
    </row>
    <row r="188" spans="2:7" hidden="1" x14ac:dyDescent="0.3">
      <c r="B188" s="172" t="s">
        <v>179</v>
      </c>
      <c r="C188" s="172" t="s">
        <v>246</v>
      </c>
      <c r="D188" s="172" t="s">
        <v>218</v>
      </c>
      <c r="E188" s="172">
        <v>1.35630056625409E-3</v>
      </c>
      <c r="F188" s="172">
        <v>1.3540119613328801E-3</v>
      </c>
      <c r="G188" s="172">
        <v>1.0016902398106999</v>
      </c>
    </row>
    <row r="189" spans="2:7" hidden="1" x14ac:dyDescent="0.3">
      <c r="B189" s="172" t="s">
        <v>39</v>
      </c>
      <c r="C189" s="172" t="s">
        <v>246</v>
      </c>
      <c r="D189" s="172" t="s">
        <v>218</v>
      </c>
      <c r="E189" s="172">
        <v>1.0188192500593799E-3</v>
      </c>
      <c r="F189" s="172">
        <v>1.01667240972909E-3</v>
      </c>
      <c r="G189" s="172">
        <v>1.00211163429808</v>
      </c>
    </row>
    <row r="190" spans="2:7" hidden="1" x14ac:dyDescent="0.3">
      <c r="B190" s="172" t="s">
        <v>26</v>
      </c>
      <c r="C190" s="172" t="s">
        <v>246</v>
      </c>
      <c r="D190" s="172" t="s">
        <v>218</v>
      </c>
      <c r="E190" s="172">
        <v>7.0168960506130501E-4</v>
      </c>
      <c r="F190" s="172">
        <v>7.0144345836218702E-4</v>
      </c>
      <c r="G190" s="172">
        <v>1.0003509145265901</v>
      </c>
    </row>
    <row r="191" spans="2:7" hidden="1" x14ac:dyDescent="0.3">
      <c r="B191" s="172" t="s">
        <v>25</v>
      </c>
      <c r="C191" s="172" t="s">
        <v>246</v>
      </c>
      <c r="D191" s="172" t="s">
        <v>218</v>
      </c>
      <c r="E191" s="172">
        <v>4.22535417569856E-4</v>
      </c>
      <c r="F191" s="172">
        <v>4.1979790317765199E-4</v>
      </c>
      <c r="G191" s="172">
        <v>1.0065210292178299</v>
      </c>
    </row>
    <row r="192" spans="2:7" hidden="1" x14ac:dyDescent="0.3">
      <c r="B192" s="172" t="s">
        <v>24</v>
      </c>
      <c r="C192" s="172" t="s">
        <v>246</v>
      </c>
      <c r="D192" s="172" t="s">
        <v>218</v>
      </c>
      <c r="E192" s="172">
        <v>2.0576433669061901E-4</v>
      </c>
      <c r="F192" s="172">
        <v>2.0178268501445801E-4</v>
      </c>
      <c r="G192" s="172">
        <v>1.01973237533178</v>
      </c>
    </row>
    <row r="193" spans="2:7" hidden="1" x14ac:dyDescent="0.3">
      <c r="B193" s="172" t="s">
        <v>22</v>
      </c>
      <c r="C193" s="172" t="s">
        <v>246</v>
      </c>
      <c r="D193" s="172" t="s">
        <v>218</v>
      </c>
      <c r="E193" s="172">
        <v>6.1559708952960002E-5</v>
      </c>
      <c r="F193" s="172">
        <v>5.9319357530346602E-5</v>
      </c>
      <c r="G193" s="172">
        <v>1.03776762790236</v>
      </c>
    </row>
    <row r="194" spans="2:7" hidden="1" x14ac:dyDescent="0.3">
      <c r="B194" s="172"/>
      <c r="C194" s="172"/>
      <c r="D194" s="172"/>
      <c r="E194" s="172"/>
      <c r="F194" s="172"/>
      <c r="G194" s="172"/>
    </row>
    <row r="195" spans="2:7" hidden="1" x14ac:dyDescent="0.3">
      <c r="B195" s="172"/>
      <c r="C195" s="172"/>
      <c r="D195" s="172"/>
      <c r="E195" s="172"/>
      <c r="F195" s="172"/>
      <c r="G195" s="172"/>
    </row>
    <row r="196" spans="2:7" hidden="1" x14ac:dyDescent="0.3">
      <c r="B196" s="172"/>
      <c r="C196" s="172"/>
      <c r="D196" s="172"/>
      <c r="E196" s="172"/>
      <c r="F196" s="172"/>
      <c r="G196" s="172"/>
    </row>
    <row r="197" spans="2:7" hidden="1" x14ac:dyDescent="0.3">
      <c r="B197" s="172"/>
      <c r="C197" s="172"/>
      <c r="D197" s="172"/>
      <c r="E197" s="172"/>
      <c r="F197" s="172"/>
      <c r="G197" s="172"/>
    </row>
    <row r="198" spans="2:7" hidden="1" x14ac:dyDescent="0.3">
      <c r="B198" s="172"/>
      <c r="C198" s="172"/>
      <c r="D198" s="172"/>
      <c r="E198" s="172"/>
      <c r="F198" s="172"/>
      <c r="G198" s="172"/>
    </row>
    <row r="199" spans="2:7" hidden="1" x14ac:dyDescent="0.3">
      <c r="B199" s="172"/>
      <c r="C199" s="172"/>
      <c r="D199" s="172"/>
      <c r="E199" s="172"/>
      <c r="F199" s="172"/>
      <c r="G199" s="172"/>
    </row>
    <row r="200" spans="2:7" hidden="1" x14ac:dyDescent="0.3">
      <c r="B200" s="172"/>
      <c r="C200" s="172"/>
      <c r="D200" s="172"/>
      <c r="E200" s="172"/>
      <c r="F200" s="172"/>
      <c r="G200" s="172"/>
    </row>
    <row r="201" spans="2:7" hidden="1" x14ac:dyDescent="0.3">
      <c r="B201" s="172"/>
      <c r="C201" s="172"/>
      <c r="D201" s="172"/>
      <c r="E201" s="172"/>
      <c r="F201" s="172"/>
      <c r="G201" s="172"/>
    </row>
    <row r="202" spans="2:7" hidden="1" x14ac:dyDescent="0.3">
      <c r="B202" s="172"/>
      <c r="C202" s="172"/>
      <c r="D202" s="172"/>
      <c r="E202" s="172"/>
      <c r="F202" s="172"/>
      <c r="G202" s="172"/>
    </row>
    <row r="203" spans="2:7" hidden="1" x14ac:dyDescent="0.3">
      <c r="B203" s="172"/>
      <c r="C203" s="172"/>
      <c r="D203" s="172"/>
      <c r="E203" s="172"/>
      <c r="F203" s="172"/>
      <c r="G203" s="172"/>
    </row>
    <row r="204" spans="2:7" hidden="1" x14ac:dyDescent="0.3">
      <c r="B204" s="172"/>
      <c r="C204" s="172"/>
      <c r="D204" s="172"/>
      <c r="E204" s="172"/>
      <c r="F204" s="172"/>
      <c r="G204" s="172"/>
    </row>
    <row r="205" spans="2:7" hidden="1" x14ac:dyDescent="0.3">
      <c r="B205" s="172"/>
      <c r="C205" s="172"/>
      <c r="D205" s="172"/>
      <c r="E205" s="172"/>
      <c r="F205" s="172"/>
      <c r="G205" s="172"/>
    </row>
    <row r="206" spans="2:7" hidden="1" x14ac:dyDescent="0.3">
      <c r="B206" s="172"/>
      <c r="C206" s="172"/>
      <c r="D206" s="172"/>
      <c r="E206" s="172"/>
      <c r="F206" s="172"/>
      <c r="G206" s="172"/>
    </row>
    <row r="207" spans="2:7" hidden="1" x14ac:dyDescent="0.3">
      <c r="B207" s="172"/>
      <c r="C207" s="172"/>
      <c r="D207" s="172"/>
      <c r="E207" s="172"/>
      <c r="F207" s="172"/>
      <c r="G207" s="172"/>
    </row>
    <row r="208" spans="2:7" hidden="1" x14ac:dyDescent="0.3">
      <c r="B208" s="172"/>
      <c r="C208" s="172"/>
      <c r="D208" s="172"/>
      <c r="E208" s="172"/>
      <c r="F208" s="172"/>
      <c r="G208" s="172"/>
    </row>
    <row r="209" spans="2:7" hidden="1" x14ac:dyDescent="0.3">
      <c r="B209" s="172"/>
      <c r="C209" s="172"/>
      <c r="D209" s="172"/>
      <c r="E209" s="172"/>
      <c r="F209" s="172"/>
      <c r="G209" s="172"/>
    </row>
    <row r="210" spans="2:7" hidden="1" x14ac:dyDescent="0.3">
      <c r="B210" s="172"/>
      <c r="C210" s="172"/>
      <c r="D210" s="172"/>
      <c r="E210" s="172"/>
      <c r="F210" s="172"/>
      <c r="G210" s="172"/>
    </row>
    <row r="211" spans="2:7" hidden="1" x14ac:dyDescent="0.3">
      <c r="B211" s="172"/>
      <c r="C211" s="172"/>
      <c r="D211" s="172"/>
      <c r="E211" s="172"/>
      <c r="F211" s="172"/>
      <c r="G211" s="172"/>
    </row>
    <row r="212" spans="2:7" hidden="1" x14ac:dyDescent="0.3">
      <c r="B212" s="172"/>
      <c r="C212" s="172"/>
      <c r="D212" s="172"/>
      <c r="E212" s="172"/>
      <c r="F212" s="172"/>
      <c r="G212" s="172"/>
    </row>
    <row r="213" spans="2:7" hidden="1" x14ac:dyDescent="0.3">
      <c r="B213" s="172"/>
      <c r="C213" s="172"/>
      <c r="D213" s="172"/>
      <c r="E213" s="172"/>
      <c r="F213" s="172"/>
      <c r="G213" s="172"/>
    </row>
    <row r="214" spans="2:7" hidden="1" x14ac:dyDescent="0.3">
      <c r="B214" s="172"/>
      <c r="C214" s="172"/>
      <c r="D214" s="172"/>
      <c r="E214" s="172"/>
      <c r="F214" s="172"/>
      <c r="G214" s="172"/>
    </row>
    <row r="215" spans="2:7" hidden="1" x14ac:dyDescent="0.3">
      <c r="B215" s="172"/>
      <c r="C215" s="172"/>
      <c r="D215" s="172"/>
      <c r="E215" s="172"/>
      <c r="F215" s="172"/>
      <c r="G215" s="172"/>
    </row>
    <row r="216" spans="2:7" hidden="1" x14ac:dyDescent="0.3">
      <c r="B216" s="172"/>
      <c r="C216" s="172"/>
      <c r="D216" s="172"/>
      <c r="E216" s="172"/>
      <c r="F216" s="172"/>
      <c r="G216" s="172"/>
    </row>
    <row r="217" spans="2:7" hidden="1" x14ac:dyDescent="0.3">
      <c r="B217" s="172"/>
      <c r="C217" s="172"/>
      <c r="D217" s="172"/>
      <c r="E217" s="172"/>
      <c r="F217" s="172"/>
      <c r="G217" s="172"/>
    </row>
    <row r="218" spans="2:7" hidden="1" x14ac:dyDescent="0.3">
      <c r="B218" s="172"/>
      <c r="C218" s="172"/>
      <c r="D218" s="172"/>
      <c r="E218" s="172"/>
      <c r="F218" s="172"/>
      <c r="G218" s="172"/>
    </row>
    <row r="219" spans="2:7" hidden="1" x14ac:dyDescent="0.3">
      <c r="B219" s="172"/>
      <c r="C219" s="172"/>
      <c r="D219" s="172"/>
      <c r="E219" s="172"/>
      <c r="F219" s="172"/>
      <c r="G219" s="172"/>
    </row>
    <row r="220" spans="2:7" hidden="1" x14ac:dyDescent="0.3">
      <c r="B220" s="172"/>
      <c r="C220" s="172"/>
      <c r="D220" s="172"/>
      <c r="E220" s="172"/>
      <c r="F220" s="172"/>
      <c r="G220" s="172"/>
    </row>
    <row r="221" spans="2:7" hidden="1" x14ac:dyDescent="0.3">
      <c r="B221" s="172"/>
      <c r="C221" s="172"/>
      <c r="D221" s="172"/>
      <c r="E221" s="172"/>
      <c r="F221" s="172"/>
      <c r="G221" s="172"/>
    </row>
    <row r="222" spans="2:7" hidden="1" x14ac:dyDescent="0.3">
      <c r="B222" s="172"/>
      <c r="C222" s="172"/>
      <c r="D222" s="172"/>
      <c r="E222" s="172"/>
      <c r="F222" s="172"/>
      <c r="G222" s="172"/>
    </row>
    <row r="223" spans="2:7" hidden="1" x14ac:dyDescent="0.3">
      <c r="B223" s="172"/>
      <c r="C223" s="172"/>
      <c r="D223" s="172"/>
      <c r="E223" s="172"/>
      <c r="F223" s="172"/>
      <c r="G223" s="172"/>
    </row>
    <row r="224" spans="2:7" hidden="1" x14ac:dyDescent="0.3">
      <c r="B224" s="172"/>
      <c r="C224" s="172"/>
      <c r="D224" s="172"/>
      <c r="E224" s="172"/>
      <c r="F224" s="172"/>
      <c r="G224" s="172"/>
    </row>
    <row r="225" spans="2:7" hidden="1" x14ac:dyDescent="0.3">
      <c r="B225" s="172"/>
      <c r="C225" s="172"/>
      <c r="D225" s="172"/>
      <c r="E225" s="172"/>
      <c r="F225" s="172"/>
      <c r="G225" s="172"/>
    </row>
    <row r="226" spans="2:7" hidden="1" x14ac:dyDescent="0.3">
      <c r="B226" s="172"/>
      <c r="C226" s="172"/>
      <c r="D226" s="172"/>
      <c r="E226" s="172"/>
      <c r="F226" s="172"/>
      <c r="G226" s="172"/>
    </row>
    <row r="227" spans="2:7" s="172" customFormat="1" hidden="1" x14ac:dyDescent="0.3"/>
    <row r="228" spans="2:7" hidden="1" x14ac:dyDescent="0.3">
      <c r="B228" s="172"/>
      <c r="C228" s="172"/>
      <c r="D228" s="172"/>
      <c r="E228" s="172"/>
      <c r="F228" s="172"/>
      <c r="G228" s="172"/>
    </row>
    <row r="229" spans="2:7" hidden="1" x14ac:dyDescent="0.3">
      <c r="B229" s="172"/>
      <c r="C229" s="172"/>
      <c r="D229" s="172"/>
      <c r="E229" s="172"/>
      <c r="F229" s="172"/>
      <c r="G229" s="172"/>
    </row>
    <row r="230" spans="2:7" s="172" customFormat="1" hidden="1" x14ac:dyDescent="0.3"/>
    <row r="231" spans="2:7" hidden="1" x14ac:dyDescent="0.3">
      <c r="B231" s="172"/>
      <c r="C231" s="172"/>
      <c r="D231" s="172"/>
      <c r="E231" s="172"/>
      <c r="F231" s="172"/>
      <c r="G231" s="172"/>
    </row>
    <row r="232" spans="2:7" hidden="1" x14ac:dyDescent="0.3">
      <c r="B232" s="172"/>
      <c r="C232" s="172"/>
      <c r="D232" s="172"/>
      <c r="E232" s="172"/>
      <c r="F232" s="172"/>
      <c r="G232" s="172"/>
    </row>
    <row r="233" spans="2:7" s="172" customFormat="1" hidden="1" x14ac:dyDescent="0.3"/>
    <row r="234" spans="2:7" hidden="1" x14ac:dyDescent="0.3">
      <c r="B234" s="172"/>
      <c r="C234" s="172"/>
      <c r="D234" s="172"/>
      <c r="E234" s="172"/>
      <c r="F234" s="172"/>
      <c r="G234" s="172"/>
    </row>
    <row r="235" spans="2:7" hidden="1" x14ac:dyDescent="0.3">
      <c r="B235" s="172"/>
      <c r="C235" s="172"/>
      <c r="D235" s="172"/>
      <c r="E235" s="172"/>
      <c r="F235" s="172"/>
      <c r="G235" s="172"/>
    </row>
    <row r="236" spans="2:7" s="172" customFormat="1" hidden="1" x14ac:dyDescent="0.3"/>
    <row r="237" spans="2:7" hidden="1" x14ac:dyDescent="0.3">
      <c r="B237" s="172"/>
      <c r="C237" s="172"/>
      <c r="D237" s="172"/>
      <c r="E237" s="172"/>
      <c r="F237" s="172"/>
      <c r="G237" s="172"/>
    </row>
    <row r="238" spans="2:7" hidden="1" x14ac:dyDescent="0.3">
      <c r="B238" s="172"/>
      <c r="C238" s="172"/>
      <c r="D238" s="172"/>
      <c r="E238" s="172"/>
      <c r="F238" s="172"/>
      <c r="G238" s="172"/>
    </row>
    <row r="239" spans="2:7" s="172" customFormat="1" hidden="1" x14ac:dyDescent="0.3"/>
    <row r="240" spans="2:7" hidden="1" x14ac:dyDescent="0.3">
      <c r="B240" s="172"/>
      <c r="C240" s="172"/>
      <c r="D240" s="172"/>
      <c r="E240" s="172"/>
      <c r="F240" s="172"/>
      <c r="G240" s="172"/>
    </row>
    <row r="241" spans="2:7" hidden="1" x14ac:dyDescent="0.3">
      <c r="B241" s="172"/>
      <c r="C241" s="172"/>
      <c r="D241" s="172"/>
      <c r="E241" s="172"/>
      <c r="F241" s="172"/>
      <c r="G241" s="172"/>
    </row>
    <row r="242" spans="2:7" s="172" customFormat="1" hidden="1" x14ac:dyDescent="0.3"/>
    <row r="243" spans="2:7" hidden="1" x14ac:dyDescent="0.3">
      <c r="B243" s="172"/>
      <c r="C243" s="172"/>
      <c r="D243" s="172"/>
      <c r="E243" s="172"/>
      <c r="F243" s="172"/>
      <c r="G243" s="172"/>
    </row>
    <row r="244" spans="2:7" hidden="1" x14ac:dyDescent="0.3">
      <c r="B244" s="172"/>
      <c r="C244" s="172"/>
      <c r="D244" s="172"/>
      <c r="E244" s="172"/>
      <c r="F244" s="172"/>
      <c r="G244" s="172"/>
    </row>
    <row r="245" spans="2:7" hidden="1" x14ac:dyDescent="0.3">
      <c r="B245" s="172"/>
      <c r="C245" s="172"/>
      <c r="D245" s="172"/>
      <c r="E245" s="172"/>
      <c r="F245" s="172"/>
      <c r="G245" s="172"/>
    </row>
    <row r="246" spans="2:7" hidden="1" x14ac:dyDescent="0.3">
      <c r="B246" s="172"/>
      <c r="C246" s="172"/>
      <c r="D246" s="172"/>
      <c r="E246" s="172"/>
      <c r="F246" s="172"/>
      <c r="G246" s="172"/>
    </row>
    <row r="247" spans="2:7" hidden="1" x14ac:dyDescent="0.3">
      <c r="B247" s="172"/>
      <c r="C247" s="172"/>
      <c r="D247" s="172"/>
      <c r="E247" s="172"/>
      <c r="F247" s="172"/>
      <c r="G247" s="172"/>
    </row>
    <row r="248" spans="2:7" hidden="1" x14ac:dyDescent="0.3">
      <c r="B248" s="172"/>
      <c r="C248" s="172"/>
      <c r="D248" s="172"/>
      <c r="E248" s="172"/>
      <c r="F248" s="172"/>
      <c r="G248" s="172"/>
    </row>
    <row r="249" spans="2:7" hidden="1" x14ac:dyDescent="0.3">
      <c r="B249" s="172"/>
      <c r="C249" s="172"/>
      <c r="D249" s="172"/>
      <c r="E249" s="172"/>
      <c r="F249" s="172"/>
      <c r="G249" s="172"/>
    </row>
    <row r="250" spans="2:7" hidden="1" x14ac:dyDescent="0.3">
      <c r="B250" s="172"/>
      <c r="C250" s="172"/>
      <c r="D250" s="172"/>
      <c r="E250" s="172"/>
      <c r="F250" s="172"/>
      <c r="G250" s="172"/>
    </row>
    <row r="251" spans="2:7" hidden="1" x14ac:dyDescent="0.3">
      <c r="B251" s="172"/>
      <c r="C251" s="172"/>
      <c r="D251" s="172"/>
      <c r="E251" s="172"/>
      <c r="F251" s="172"/>
      <c r="G251" s="172"/>
    </row>
    <row r="252" spans="2:7" hidden="1" x14ac:dyDescent="0.3">
      <c r="B252" s="172"/>
      <c r="C252" s="172"/>
      <c r="D252" s="172"/>
      <c r="E252" s="172"/>
      <c r="F252" s="172"/>
      <c r="G252" s="172"/>
    </row>
    <row r="253" spans="2:7" hidden="1" x14ac:dyDescent="0.3">
      <c r="B253" s="172"/>
      <c r="C253" s="172"/>
      <c r="D253" s="172"/>
      <c r="E253" s="172"/>
      <c r="F253" s="172"/>
      <c r="G253" s="172"/>
    </row>
    <row r="254" spans="2:7" hidden="1" x14ac:dyDescent="0.3">
      <c r="B254" s="172"/>
      <c r="C254" s="172"/>
      <c r="D254" s="172"/>
      <c r="E254" s="172"/>
      <c r="F254" s="172"/>
      <c r="G254" s="172"/>
    </row>
    <row r="255" spans="2:7" hidden="1" x14ac:dyDescent="0.3">
      <c r="B255" s="172"/>
      <c r="C255" s="172"/>
      <c r="D255" s="172"/>
      <c r="E255" s="172"/>
      <c r="F255" s="172"/>
      <c r="G255" s="172"/>
    </row>
    <row r="256" spans="2:7" hidden="1" x14ac:dyDescent="0.3">
      <c r="B256" s="172"/>
      <c r="C256" s="172"/>
      <c r="D256" s="172"/>
      <c r="E256" s="172"/>
      <c r="F256" s="172"/>
      <c r="G256" s="172"/>
    </row>
    <row r="257" spans="2:7" hidden="1" x14ac:dyDescent="0.3">
      <c r="B257" s="172"/>
      <c r="C257" s="172"/>
      <c r="D257" s="172"/>
      <c r="E257" s="172"/>
      <c r="F257" s="172"/>
      <c r="G257" s="172"/>
    </row>
    <row r="258" spans="2:7" hidden="1" x14ac:dyDescent="0.3">
      <c r="B258" s="172"/>
      <c r="C258" s="172"/>
      <c r="D258" s="172"/>
      <c r="E258" s="172"/>
      <c r="F258" s="172"/>
      <c r="G258" s="172"/>
    </row>
    <row r="259" spans="2:7" hidden="1" x14ac:dyDescent="0.3">
      <c r="B259" s="172"/>
      <c r="C259" s="172"/>
      <c r="D259" s="172"/>
      <c r="E259" s="172"/>
      <c r="F259" s="172"/>
      <c r="G259" s="172"/>
    </row>
    <row r="260" spans="2:7" hidden="1" x14ac:dyDescent="0.3">
      <c r="B260" s="172"/>
      <c r="C260" s="172"/>
      <c r="D260" s="172"/>
      <c r="E260" s="172"/>
      <c r="F260" s="172"/>
      <c r="G260" s="172"/>
    </row>
    <row r="261" spans="2:7" hidden="1" x14ac:dyDescent="0.3">
      <c r="B261" s="172"/>
      <c r="C261" s="172"/>
      <c r="D261" s="172"/>
      <c r="E261" s="172"/>
      <c r="F261" s="172"/>
      <c r="G261" s="172"/>
    </row>
    <row r="262" spans="2:7" hidden="1" x14ac:dyDescent="0.3">
      <c r="B262" s="172"/>
      <c r="C262" s="172"/>
      <c r="D262" s="172"/>
      <c r="E262" s="172"/>
      <c r="F262" s="172"/>
      <c r="G262" s="172"/>
    </row>
    <row r="263" spans="2:7" hidden="1" x14ac:dyDescent="0.3">
      <c r="B263" s="172"/>
      <c r="C263" s="172"/>
      <c r="D263" s="172"/>
      <c r="E263" s="172"/>
      <c r="F263" s="172"/>
      <c r="G263" s="172"/>
    </row>
    <row r="264" spans="2:7" hidden="1" x14ac:dyDescent="0.3">
      <c r="B264" s="172"/>
      <c r="C264" s="172"/>
      <c r="D264" s="172"/>
      <c r="E264" s="172"/>
      <c r="F264" s="172"/>
      <c r="G264" s="172"/>
    </row>
    <row r="266" spans="2:7" x14ac:dyDescent="0.3">
      <c r="B266" s="167" t="s">
        <v>83</v>
      </c>
      <c r="C266" s="168"/>
      <c r="D266" s="168"/>
      <c r="E266" s="168"/>
      <c r="F266" s="168"/>
      <c r="G266" s="168"/>
    </row>
    <row r="267" spans="2:7" x14ac:dyDescent="0.3">
      <c r="B267" s="169" t="s">
        <v>9</v>
      </c>
      <c r="C267" s="169" t="s">
        <v>46</v>
      </c>
      <c r="D267" s="169" t="s">
        <v>42</v>
      </c>
      <c r="E267" s="169" t="s">
        <v>84</v>
      </c>
      <c r="F267" s="169" t="s">
        <v>85</v>
      </c>
      <c r="G267" s="170" t="s">
        <v>86</v>
      </c>
    </row>
    <row r="268" spans="2:7" x14ac:dyDescent="0.3">
      <c r="B268" s="205"/>
      <c r="C268" s="205"/>
      <c r="D268" s="205"/>
      <c r="E268" s="205" t="s">
        <v>7</v>
      </c>
      <c r="F268" s="205" t="s">
        <v>7</v>
      </c>
      <c r="G268" s="206"/>
    </row>
    <row r="269" spans="2:7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</row>
    <row r="270" spans="2:7" hidden="1" x14ac:dyDescent="0.3">
      <c r="B270" s="172" t="s">
        <v>189</v>
      </c>
      <c r="C270" s="172" t="s">
        <v>79</v>
      </c>
      <c r="D270" s="172" t="s">
        <v>218</v>
      </c>
      <c r="E270" s="172">
        <v>2.4726134099959399E-2</v>
      </c>
      <c r="F270" s="172">
        <v>2.4283218825209299E-2</v>
      </c>
      <c r="G270" s="172">
        <v>1.0182395619764499</v>
      </c>
    </row>
    <row r="271" spans="2:7" hidden="1" x14ac:dyDescent="0.3">
      <c r="B271" s="172" t="s">
        <v>187</v>
      </c>
      <c r="C271" s="172" t="s">
        <v>79</v>
      </c>
      <c r="D271" s="172" t="s">
        <v>218</v>
      </c>
      <c r="E271" s="172">
        <v>2.5507036800150699E-2</v>
      </c>
      <c r="F271" s="172">
        <v>2.38730529933848E-2</v>
      </c>
      <c r="G271" s="172">
        <v>1.0684446939911201</v>
      </c>
    </row>
    <row r="272" spans="2:7" hidden="1" x14ac:dyDescent="0.3">
      <c r="B272" s="172" t="s">
        <v>185</v>
      </c>
      <c r="C272" s="172" t="s">
        <v>79</v>
      </c>
      <c r="D272" s="172" t="s">
        <v>218</v>
      </c>
      <c r="E272" s="172">
        <v>2.4606899069348299E-2</v>
      </c>
      <c r="F272" s="172">
        <v>2.30101833108191E-2</v>
      </c>
      <c r="G272" s="172">
        <v>1.0693917009248</v>
      </c>
    </row>
    <row r="273" spans="2:7" hidden="1" x14ac:dyDescent="0.3">
      <c r="B273" s="172" t="s">
        <v>183</v>
      </c>
      <c r="C273" s="172" t="s">
        <v>79</v>
      </c>
      <c r="D273" s="172" t="s">
        <v>218</v>
      </c>
      <c r="E273" s="172">
        <v>2.3170511693399998E-2</v>
      </c>
      <c r="F273" s="172">
        <v>2.1647063422424201E-2</v>
      </c>
      <c r="G273" s="172">
        <v>1.07037667147949</v>
      </c>
    </row>
    <row r="274" spans="2:7" hidden="1" x14ac:dyDescent="0.3">
      <c r="B274" s="172" t="s">
        <v>181</v>
      </c>
      <c r="C274" s="172" t="s">
        <v>79</v>
      </c>
      <c r="D274" s="172" t="s">
        <v>218</v>
      </c>
      <c r="E274" s="172">
        <v>2.1235063641486099E-2</v>
      </c>
      <c r="F274" s="172">
        <v>1.9819875537942701E-2</v>
      </c>
      <c r="G274" s="172">
        <v>1.07140247176801</v>
      </c>
    </row>
    <row r="275" spans="2:7" hidden="1" x14ac:dyDescent="0.3">
      <c r="B275" s="172" t="s">
        <v>179</v>
      </c>
      <c r="C275" s="172" t="s">
        <v>79</v>
      </c>
      <c r="D275" s="172" t="s">
        <v>218</v>
      </c>
      <c r="E275" s="172">
        <v>1.8875584844777499E-2</v>
      </c>
      <c r="F275" s="172">
        <v>1.7598708691414298E-2</v>
      </c>
      <c r="G275" s="172">
        <v>1.0725551047950601</v>
      </c>
    </row>
    <row r="276" spans="2:7" hidden="1" x14ac:dyDescent="0.3">
      <c r="B276" s="172" t="s">
        <v>39</v>
      </c>
      <c r="C276" s="172" t="s">
        <v>79</v>
      </c>
      <c r="D276" s="172" t="s">
        <v>218</v>
      </c>
      <c r="E276" s="172">
        <v>1.61605459496941E-2</v>
      </c>
      <c r="F276" s="172">
        <v>1.50481681622578E-2</v>
      </c>
      <c r="G276" s="172">
        <v>1.07392114278908</v>
      </c>
    </row>
    <row r="277" spans="2:7" hidden="1" x14ac:dyDescent="0.3">
      <c r="B277" s="172" t="s">
        <v>26</v>
      </c>
      <c r="C277" s="172" t="s">
        <v>79</v>
      </c>
      <c r="D277" s="172" t="s">
        <v>218</v>
      </c>
      <c r="E277" s="172">
        <v>1.31961159142361E-2</v>
      </c>
      <c r="F277" s="172">
        <v>1.2276418044744501E-2</v>
      </c>
      <c r="G277" s="172">
        <v>1.0749158155204199</v>
      </c>
    </row>
    <row r="278" spans="2:7" hidden="1" x14ac:dyDescent="0.3">
      <c r="B278" s="172" t="s">
        <v>25</v>
      </c>
      <c r="C278" s="172" t="s">
        <v>79</v>
      </c>
      <c r="D278" s="172" t="s">
        <v>218</v>
      </c>
      <c r="E278" s="172">
        <v>1.0044246107234501E-2</v>
      </c>
      <c r="F278" s="172">
        <v>9.3422059079794999E-3</v>
      </c>
      <c r="G278" s="172">
        <v>1.0751471554117</v>
      </c>
    </row>
    <row r="279" spans="2:7" hidden="1" x14ac:dyDescent="0.3">
      <c r="B279" s="172" t="s">
        <v>24</v>
      </c>
      <c r="C279" s="172" t="s">
        <v>79</v>
      </c>
      <c r="D279" s="172" t="s">
        <v>218</v>
      </c>
      <c r="E279" s="172">
        <v>6.7220801362882603E-3</v>
      </c>
      <c r="F279" s="172">
        <v>6.2541815744383599E-3</v>
      </c>
      <c r="G279" s="172">
        <v>1.07481371563663</v>
      </c>
    </row>
    <row r="280" spans="2:7" hidden="1" x14ac:dyDescent="0.3">
      <c r="B280" s="172" t="s">
        <v>22</v>
      </c>
      <c r="C280" s="172" t="s">
        <v>79</v>
      </c>
      <c r="D280" s="172" t="s">
        <v>218</v>
      </c>
      <c r="E280" s="172">
        <v>3.3080230670678402E-3</v>
      </c>
      <c r="F280" s="172">
        <v>3.0837610967489101E-3</v>
      </c>
      <c r="G280" s="172">
        <v>1.07272352276425</v>
      </c>
    </row>
    <row r="281" spans="2:7" hidden="1" x14ac:dyDescent="0.3">
      <c r="B281" s="172" t="s">
        <v>189</v>
      </c>
      <c r="C281" s="172" t="s">
        <v>80</v>
      </c>
      <c r="D281" s="172" t="s">
        <v>218</v>
      </c>
      <c r="E281" s="172">
        <v>2.53896948967803E-2</v>
      </c>
      <c r="F281" s="172">
        <v>2.4894655831537701E-2</v>
      </c>
      <c r="G281" s="172">
        <v>1.0198853548565801</v>
      </c>
    </row>
    <row r="282" spans="2:7" hidden="1" x14ac:dyDescent="0.3">
      <c r="B282" s="172" t="s">
        <v>189</v>
      </c>
      <c r="C282" s="172" t="s">
        <v>80</v>
      </c>
      <c r="D282" s="172" t="s">
        <v>221</v>
      </c>
      <c r="E282" s="172">
        <v>4.1685172212647999E-3</v>
      </c>
      <c r="F282" s="172">
        <v>3.5497183897115299E-3</v>
      </c>
      <c r="G282" s="172">
        <v>1.1743233585364901</v>
      </c>
    </row>
    <row r="283" spans="2:7" hidden="1" x14ac:dyDescent="0.3">
      <c r="B283" s="172" t="s">
        <v>187</v>
      </c>
      <c r="C283" s="172" t="s">
        <v>80</v>
      </c>
      <c r="D283" s="172" t="s">
        <v>218</v>
      </c>
      <c r="E283" s="172">
        <v>2.5567246543683302E-2</v>
      </c>
      <c r="F283" s="172">
        <v>2.3794894713912499E-2</v>
      </c>
      <c r="G283" s="172">
        <v>1.07448454179268</v>
      </c>
    </row>
    <row r="284" spans="2:7" hidden="1" x14ac:dyDescent="0.3">
      <c r="B284" s="172" t="s">
        <v>185</v>
      </c>
      <c r="C284" s="172" t="s">
        <v>80</v>
      </c>
      <c r="D284" s="172" t="s">
        <v>218</v>
      </c>
      <c r="E284" s="172">
        <v>2.4627200944827499E-2</v>
      </c>
      <c r="F284" s="172">
        <v>2.2933396184918999E-2</v>
      </c>
      <c r="G284" s="172">
        <v>1.07385756327806</v>
      </c>
    </row>
    <row r="285" spans="2:7" hidden="1" x14ac:dyDescent="0.3">
      <c r="B285" s="172" t="s">
        <v>183</v>
      </c>
      <c r="C285" s="172" t="s">
        <v>80</v>
      </c>
      <c r="D285" s="172" t="s">
        <v>218</v>
      </c>
      <c r="E285" s="172">
        <v>2.3151956178712501E-2</v>
      </c>
      <c r="F285" s="172">
        <v>2.15729112841745E-2</v>
      </c>
      <c r="G285" s="172">
        <v>1.0731957255901901</v>
      </c>
    </row>
    <row r="286" spans="2:7" hidden="1" x14ac:dyDescent="0.3">
      <c r="B286" s="172" t="s">
        <v>181</v>
      </c>
      <c r="C286" s="172" t="s">
        <v>80</v>
      </c>
      <c r="D286" s="172" t="s">
        <v>218</v>
      </c>
      <c r="E286" s="172">
        <v>2.1182635541847301E-2</v>
      </c>
      <c r="F286" s="172">
        <v>1.9749917550790801E-2</v>
      </c>
      <c r="G286" s="172">
        <v>1.0725429859325699</v>
      </c>
    </row>
    <row r="287" spans="2:7" hidden="1" x14ac:dyDescent="0.3">
      <c r="B287" s="172" t="s">
        <v>179</v>
      </c>
      <c r="C287" s="172" t="s">
        <v>80</v>
      </c>
      <c r="D287" s="172" t="s">
        <v>218</v>
      </c>
      <c r="E287" s="172">
        <v>1.87940837964088E-2</v>
      </c>
      <c r="F287" s="172">
        <v>1.75343255481532E-2</v>
      </c>
      <c r="G287" s="172">
        <v>1.07184526401064</v>
      </c>
    </row>
    <row r="288" spans="2:7" hidden="1" x14ac:dyDescent="0.3">
      <c r="B288" s="172" t="s">
        <v>39</v>
      </c>
      <c r="C288" s="172" t="s">
        <v>80</v>
      </c>
      <c r="D288" s="172" t="s">
        <v>218</v>
      </c>
      <c r="E288" s="172">
        <v>1.6055915798080599E-2</v>
      </c>
      <c r="F288" s="172">
        <v>1.49906797394037E-2</v>
      </c>
      <c r="G288" s="172">
        <v>1.0710598903582</v>
      </c>
    </row>
    <row r="289" spans="2:7" hidden="1" x14ac:dyDescent="0.3">
      <c r="B289" s="172" t="s">
        <v>26</v>
      </c>
      <c r="C289" s="172" t="s">
        <v>80</v>
      </c>
      <c r="D289" s="172" t="s">
        <v>218</v>
      </c>
      <c r="E289" s="172">
        <v>1.3088664837957099E-2</v>
      </c>
      <c r="F289" s="172">
        <v>1.2227975407769801E-2</v>
      </c>
      <c r="G289" s="172">
        <v>1.0703869120999701</v>
      </c>
    </row>
    <row r="290" spans="2:7" hidden="1" x14ac:dyDescent="0.3">
      <c r="B290" s="172" t="s">
        <v>25</v>
      </c>
      <c r="C290" s="172" t="s">
        <v>80</v>
      </c>
      <c r="D290" s="172" t="s">
        <v>218</v>
      </c>
      <c r="E290" s="172">
        <v>9.9552806190244397E-3</v>
      </c>
      <c r="F290" s="172">
        <v>9.3048926872342196E-3</v>
      </c>
      <c r="G290" s="172">
        <v>1.0698974135061801</v>
      </c>
    </row>
    <row r="291" spans="2:7" hidden="1" x14ac:dyDescent="0.3">
      <c r="B291" s="172" t="s">
        <v>24</v>
      </c>
      <c r="C291" s="172" t="s">
        <v>80</v>
      </c>
      <c r="D291" s="172" t="s">
        <v>218</v>
      </c>
      <c r="E291" s="172">
        <v>6.6618445178844802E-3</v>
      </c>
      <c r="F291" s="172">
        <v>6.2292973827550099E-3</v>
      </c>
      <c r="G291" s="172">
        <v>1.0694375478568301</v>
      </c>
    </row>
    <row r="292" spans="2:7" hidden="1" x14ac:dyDescent="0.3">
      <c r="B292" s="172" t="s">
        <v>22</v>
      </c>
      <c r="C292" s="172" t="s">
        <v>80</v>
      </c>
      <c r="D292" s="172" t="s">
        <v>218</v>
      </c>
      <c r="E292" s="172">
        <v>3.2845886578165302E-3</v>
      </c>
      <c r="F292" s="172">
        <v>3.0721735493259802E-3</v>
      </c>
      <c r="G292" s="172">
        <v>1.0691416370462401</v>
      </c>
    </row>
    <row r="293" spans="2:7" x14ac:dyDescent="0.3">
      <c r="B293" s="172" t="s">
        <v>189</v>
      </c>
      <c r="C293" s="172" t="s">
        <v>81</v>
      </c>
      <c r="D293" s="172" t="s">
        <v>221</v>
      </c>
      <c r="E293" s="172">
        <v>3.11993682007203E-2</v>
      </c>
      <c r="F293" s="172">
        <v>3.0579402487312699E-2</v>
      </c>
      <c r="G293" s="172">
        <v>1.0202739642694101</v>
      </c>
    </row>
    <row r="294" spans="2:7" x14ac:dyDescent="0.3">
      <c r="B294" s="172" t="s">
        <v>187</v>
      </c>
      <c r="C294" s="172" t="s">
        <v>81</v>
      </c>
      <c r="D294" s="172" t="s">
        <v>221</v>
      </c>
      <c r="E294" s="172">
        <v>3.0160607047918099E-2</v>
      </c>
      <c r="F294" s="172">
        <v>2.8080102847465201E-2</v>
      </c>
      <c r="G294" s="172">
        <v>1.07409175855781</v>
      </c>
    </row>
    <row r="295" spans="2:7" x14ac:dyDescent="0.3">
      <c r="B295" s="172" t="s">
        <v>185</v>
      </c>
      <c r="C295" s="172" t="s">
        <v>81</v>
      </c>
      <c r="D295" s="172" t="s">
        <v>221</v>
      </c>
      <c r="E295" s="172">
        <v>2.8764631265524601E-2</v>
      </c>
      <c r="F295" s="172">
        <v>2.68400918485187E-2</v>
      </c>
      <c r="G295" s="172">
        <v>1.0717039057790001</v>
      </c>
    </row>
    <row r="296" spans="2:7" x14ac:dyDescent="0.3">
      <c r="B296" s="172" t="s">
        <v>183</v>
      </c>
      <c r="C296" s="172" t="s">
        <v>81</v>
      </c>
      <c r="D296" s="172" t="s">
        <v>221</v>
      </c>
      <c r="E296" s="172">
        <v>2.6793241884824098E-2</v>
      </c>
      <c r="F296" s="172">
        <v>2.50553793601783E-2</v>
      </c>
      <c r="G296" s="172">
        <v>1.0693608545958699</v>
      </c>
    </row>
    <row r="297" spans="2:7" x14ac:dyDescent="0.3">
      <c r="B297" s="172" t="s">
        <v>181</v>
      </c>
      <c r="C297" s="172" t="s">
        <v>81</v>
      </c>
      <c r="D297" s="172" t="s">
        <v>221</v>
      </c>
      <c r="E297" s="172">
        <v>2.4315720517282799E-2</v>
      </c>
      <c r="F297" s="172">
        <v>2.2784450736789901E-2</v>
      </c>
      <c r="G297" s="172">
        <v>1.06720678932235</v>
      </c>
    </row>
    <row r="298" spans="2:7" x14ac:dyDescent="0.3">
      <c r="B298" s="172" t="s">
        <v>179</v>
      </c>
      <c r="C298" s="172" t="s">
        <v>81</v>
      </c>
      <c r="D298" s="172" t="s">
        <v>221</v>
      </c>
      <c r="E298" s="172">
        <v>2.1426010166564001E-2</v>
      </c>
      <c r="F298" s="172">
        <v>2.0115962360221701E-2</v>
      </c>
      <c r="G298" s="172">
        <v>1.06512478910444</v>
      </c>
    </row>
    <row r="299" spans="2:7" x14ac:dyDescent="0.3">
      <c r="B299" s="172" t="s">
        <v>39</v>
      </c>
      <c r="C299" s="172" t="s">
        <v>81</v>
      </c>
      <c r="D299" s="172" t="s">
        <v>221</v>
      </c>
      <c r="E299" s="172">
        <v>1.8205721056274299E-2</v>
      </c>
      <c r="F299" s="172">
        <v>1.7126320849916402E-2</v>
      </c>
      <c r="G299" s="172">
        <v>1.06302580780875</v>
      </c>
    </row>
    <row r="300" spans="2:7" x14ac:dyDescent="0.3">
      <c r="B300" s="172" t="s">
        <v>26</v>
      </c>
      <c r="C300" s="172" t="s">
        <v>81</v>
      </c>
      <c r="D300" s="172" t="s">
        <v>221</v>
      </c>
      <c r="E300" s="172">
        <v>1.4738149174598199E-2</v>
      </c>
      <c r="F300" s="172">
        <v>1.38848323174195E-2</v>
      </c>
      <c r="G300" s="172">
        <v>1.0614567635871399</v>
      </c>
    </row>
    <row r="301" spans="2:7" x14ac:dyDescent="0.3">
      <c r="B301" s="172" t="s">
        <v>25</v>
      </c>
      <c r="C301" s="172" t="s">
        <v>81</v>
      </c>
      <c r="D301" s="172" t="s">
        <v>221</v>
      </c>
      <c r="E301" s="172">
        <v>1.10854859371183E-2</v>
      </c>
      <c r="F301" s="172">
        <v>1.04507728721076E-2</v>
      </c>
      <c r="G301" s="172">
        <v>1.06073360054592</v>
      </c>
    </row>
    <row r="302" spans="2:7" x14ac:dyDescent="0.3">
      <c r="B302" s="172" t="s">
        <v>24</v>
      </c>
      <c r="C302" s="172" t="s">
        <v>81</v>
      </c>
      <c r="D302" s="172" t="s">
        <v>221</v>
      </c>
      <c r="E302" s="172">
        <v>7.3059861391689502E-3</v>
      </c>
      <c r="F302" s="172">
        <v>6.8866677373232797E-3</v>
      </c>
      <c r="G302" s="172">
        <v>1.06088843223452</v>
      </c>
    </row>
    <row r="303" spans="2:7" x14ac:dyDescent="0.3">
      <c r="B303" s="172" t="s">
        <v>22</v>
      </c>
      <c r="C303" s="172" t="s">
        <v>81</v>
      </c>
      <c r="D303" s="172" t="s">
        <v>221</v>
      </c>
      <c r="E303" s="172">
        <v>3.5055692966893099E-3</v>
      </c>
      <c r="F303" s="172">
        <v>3.29729405140695E-3</v>
      </c>
      <c r="G303" s="172">
        <v>1.0631655054220901</v>
      </c>
    </row>
    <row r="304" spans="2:7" hidden="1" x14ac:dyDescent="0.3">
      <c r="B304" s="172" t="s">
        <v>189</v>
      </c>
      <c r="C304" s="172" t="s">
        <v>82</v>
      </c>
      <c r="D304" s="172" t="s">
        <v>221</v>
      </c>
      <c r="E304" s="172">
        <v>2.61759141617505E-2</v>
      </c>
      <c r="F304" s="172">
        <v>2.5141911631261501E-2</v>
      </c>
      <c r="G304" s="172">
        <v>1.04112664723566</v>
      </c>
    </row>
    <row r="305" spans="2:7" hidden="1" x14ac:dyDescent="0.3">
      <c r="B305" s="172" t="s">
        <v>187</v>
      </c>
      <c r="C305" s="172" t="s">
        <v>82</v>
      </c>
      <c r="D305" s="172" t="s">
        <v>221</v>
      </c>
      <c r="E305" s="172">
        <v>3.2581019040623702E-2</v>
      </c>
      <c r="F305" s="172">
        <v>2.7912516711907601E-2</v>
      </c>
      <c r="G305" s="172">
        <v>1.16725479744091</v>
      </c>
    </row>
    <row r="306" spans="2:7" hidden="1" x14ac:dyDescent="0.3">
      <c r="B306" s="172" t="s">
        <v>185</v>
      </c>
      <c r="C306" s="172" t="s">
        <v>82</v>
      </c>
      <c r="D306" s="172" t="s">
        <v>221</v>
      </c>
      <c r="E306" s="172">
        <v>3.1275308843906301E-2</v>
      </c>
      <c r="F306" s="172">
        <v>2.6685133982294901E-2</v>
      </c>
      <c r="G306" s="172">
        <v>1.17201243451342</v>
      </c>
    </row>
    <row r="307" spans="2:7" hidden="1" x14ac:dyDescent="0.3">
      <c r="B307" s="172" t="s">
        <v>183</v>
      </c>
      <c r="C307" s="172" t="s">
        <v>82</v>
      </c>
      <c r="D307" s="172" t="s">
        <v>221</v>
      </c>
      <c r="E307" s="172">
        <v>2.9312968655579599E-2</v>
      </c>
      <c r="F307" s="172">
        <v>2.4916795384504201E-2</v>
      </c>
      <c r="G307" s="172">
        <v>1.1764341362216</v>
      </c>
    </row>
    <row r="308" spans="2:7" hidden="1" x14ac:dyDescent="0.3">
      <c r="B308" s="172" t="s">
        <v>181</v>
      </c>
      <c r="C308" s="172" t="s">
        <v>82</v>
      </c>
      <c r="D308" s="172" t="s">
        <v>221</v>
      </c>
      <c r="E308" s="172">
        <v>2.67549720317217E-2</v>
      </c>
      <c r="F308" s="172">
        <v>2.2664145008843499E-2</v>
      </c>
      <c r="G308" s="172">
        <v>1.1804977430775301</v>
      </c>
    </row>
    <row r="309" spans="2:7" hidden="1" x14ac:dyDescent="0.3">
      <c r="B309" s="172" t="s">
        <v>179</v>
      </c>
      <c r="C309" s="172" t="s">
        <v>82</v>
      </c>
      <c r="D309" s="172" t="s">
        <v>221</v>
      </c>
      <c r="E309" s="172">
        <v>2.3706503681394899E-2</v>
      </c>
      <c r="F309" s="172">
        <v>2.0015208881170001E-2</v>
      </c>
      <c r="G309" s="172">
        <v>1.1844244954994001</v>
      </c>
    </row>
    <row r="310" spans="2:7" hidden="1" x14ac:dyDescent="0.3">
      <c r="B310" s="172" t="s">
        <v>39</v>
      </c>
      <c r="C310" s="172" t="s">
        <v>82</v>
      </c>
      <c r="D310" s="172" t="s">
        <v>221</v>
      </c>
      <c r="E310" s="172">
        <v>2.0256785491547101E-2</v>
      </c>
      <c r="F310" s="172">
        <v>1.70457608700685E-2</v>
      </c>
      <c r="G310" s="172">
        <v>1.18837672580031</v>
      </c>
    </row>
    <row r="311" spans="2:7" hidden="1" x14ac:dyDescent="0.3">
      <c r="B311" s="172" t="s">
        <v>26</v>
      </c>
      <c r="C311" s="172" t="s">
        <v>82</v>
      </c>
      <c r="D311" s="172" t="s">
        <v>221</v>
      </c>
      <c r="E311" s="172">
        <v>1.6477484179145501E-2</v>
      </c>
      <c r="F311" s="172">
        <v>1.3823409007043E-2</v>
      </c>
      <c r="G311" s="172">
        <v>1.19199859967612</v>
      </c>
    </row>
    <row r="312" spans="2:7" hidden="1" x14ac:dyDescent="0.3">
      <c r="B312" s="172" t="s">
        <v>25</v>
      </c>
      <c r="C312" s="172" t="s">
        <v>82</v>
      </c>
      <c r="D312" s="172" t="s">
        <v>221</v>
      </c>
      <c r="E312" s="172">
        <v>1.2437164129566001E-2</v>
      </c>
      <c r="F312" s="172">
        <v>1.04065329372557E-2</v>
      </c>
      <c r="G312" s="172">
        <v>1.1951304247585299</v>
      </c>
    </row>
    <row r="313" spans="2:7" hidden="1" x14ac:dyDescent="0.3">
      <c r="B313" s="172" t="s">
        <v>24</v>
      </c>
      <c r="C313" s="172" t="s">
        <v>82</v>
      </c>
      <c r="D313" s="172" t="s">
        <v>221</v>
      </c>
      <c r="E313" s="172">
        <v>8.2143285667018694E-3</v>
      </c>
      <c r="F313" s="172">
        <v>6.8578588620061796E-3</v>
      </c>
      <c r="G313" s="172">
        <v>1.1977978450695099</v>
      </c>
    </row>
    <row r="314" spans="2:7" hidden="1" x14ac:dyDescent="0.3">
      <c r="B314" s="172" t="s">
        <v>22</v>
      </c>
      <c r="C314" s="172" t="s">
        <v>82</v>
      </c>
      <c r="D314" s="172" t="s">
        <v>221</v>
      </c>
      <c r="E314" s="172">
        <v>3.9358997984831603E-3</v>
      </c>
      <c r="F314" s="172">
        <v>3.28244932555681E-3</v>
      </c>
      <c r="G314" s="172">
        <v>1.19907404749211</v>
      </c>
    </row>
    <row r="315" spans="2:7" hidden="1" x14ac:dyDescent="0.3">
      <c r="B315" s="172" t="s">
        <v>189</v>
      </c>
      <c r="C315" s="172" t="s">
        <v>246</v>
      </c>
      <c r="D315" s="172" t="s">
        <v>218</v>
      </c>
      <c r="E315" s="172">
        <v>4.2104225934719002E-3</v>
      </c>
      <c r="F315" s="172">
        <v>4.2027492716322596E-3</v>
      </c>
      <c r="G315" s="172">
        <v>1.0018257862517399</v>
      </c>
    </row>
    <row r="316" spans="2:7" hidden="1" x14ac:dyDescent="0.3">
      <c r="B316" s="172" t="s">
        <v>187</v>
      </c>
      <c r="C316" s="172" t="s">
        <v>246</v>
      </c>
      <c r="D316" s="172" t="s">
        <v>218</v>
      </c>
      <c r="E316" s="172">
        <v>2.9546695266354601E-3</v>
      </c>
      <c r="F316" s="172">
        <v>2.9491154605972799E-3</v>
      </c>
      <c r="G316" s="172">
        <v>1.0018832989458699</v>
      </c>
    </row>
    <row r="317" spans="2:7" hidden="1" x14ac:dyDescent="0.3">
      <c r="B317" s="172" t="s">
        <v>185</v>
      </c>
      <c r="C317" s="172" t="s">
        <v>246</v>
      </c>
      <c r="D317" s="172" t="s">
        <v>218</v>
      </c>
      <c r="E317" s="172">
        <v>2.53302739389935E-3</v>
      </c>
      <c r="F317" s="172">
        <v>2.5274835863265299E-3</v>
      </c>
      <c r="G317" s="172">
        <v>1.0021934099207701</v>
      </c>
    </row>
    <row r="318" spans="2:7" hidden="1" x14ac:dyDescent="0.3">
      <c r="B318" s="172" t="s">
        <v>183</v>
      </c>
      <c r="C318" s="172" t="s">
        <v>246</v>
      </c>
      <c r="D318" s="172" t="s">
        <v>218</v>
      </c>
      <c r="E318" s="172">
        <v>2.12089048449156E-3</v>
      </c>
      <c r="F318" s="172">
        <v>2.1169958557060299E-3</v>
      </c>
      <c r="G318" s="172">
        <v>1.0018396959895</v>
      </c>
    </row>
    <row r="319" spans="2:7" hidden="1" x14ac:dyDescent="0.3">
      <c r="B319" s="172" t="s">
        <v>181</v>
      </c>
      <c r="C319" s="172" t="s">
        <v>246</v>
      </c>
      <c r="D319" s="172" t="s">
        <v>218</v>
      </c>
      <c r="E319" s="172">
        <v>1.7257832425074499E-3</v>
      </c>
      <c r="F319" s="172">
        <v>1.72293567170853E-3</v>
      </c>
      <c r="G319" s="172">
        <v>1.00165274353865</v>
      </c>
    </row>
    <row r="320" spans="2:7" hidden="1" x14ac:dyDescent="0.3">
      <c r="B320" s="172" t="s">
        <v>179</v>
      </c>
      <c r="C320" s="172" t="s">
        <v>246</v>
      </c>
      <c r="D320" s="172" t="s">
        <v>218</v>
      </c>
      <c r="E320" s="172">
        <v>1.35630056625409E-3</v>
      </c>
      <c r="F320" s="172">
        <v>1.3540119613328801E-3</v>
      </c>
      <c r="G320" s="172">
        <v>1.0016902398106999</v>
      </c>
    </row>
    <row r="321" spans="2:7" hidden="1" x14ac:dyDescent="0.3">
      <c r="B321" s="172" t="s">
        <v>39</v>
      </c>
      <c r="C321" s="172" t="s">
        <v>246</v>
      </c>
      <c r="D321" s="172" t="s">
        <v>218</v>
      </c>
      <c r="E321" s="172">
        <v>1.0188192500593799E-3</v>
      </c>
      <c r="F321" s="172">
        <v>1.01667240972909E-3</v>
      </c>
      <c r="G321" s="172">
        <v>1.00211163429808</v>
      </c>
    </row>
    <row r="322" spans="2:7" hidden="1" x14ac:dyDescent="0.3">
      <c r="B322" s="172" t="s">
        <v>26</v>
      </c>
      <c r="C322" s="172" t="s">
        <v>246</v>
      </c>
      <c r="D322" s="172" t="s">
        <v>218</v>
      </c>
      <c r="E322" s="172">
        <v>7.0168960506130501E-4</v>
      </c>
      <c r="F322" s="172">
        <v>7.0144345836218702E-4</v>
      </c>
      <c r="G322" s="172">
        <v>1.0003509145265901</v>
      </c>
    </row>
    <row r="323" spans="2:7" hidden="1" x14ac:dyDescent="0.3">
      <c r="B323" s="172" t="s">
        <v>25</v>
      </c>
      <c r="C323" s="172" t="s">
        <v>246</v>
      </c>
      <c r="D323" s="172" t="s">
        <v>218</v>
      </c>
      <c r="E323" s="172">
        <v>4.22535417569856E-4</v>
      </c>
      <c r="F323" s="172">
        <v>4.1979790317765199E-4</v>
      </c>
      <c r="G323" s="172">
        <v>1.0065210292178299</v>
      </c>
    </row>
    <row r="324" spans="2:7" hidden="1" x14ac:dyDescent="0.3">
      <c r="B324" s="172" t="s">
        <v>24</v>
      </c>
      <c r="C324" s="172" t="s">
        <v>246</v>
      </c>
      <c r="D324" s="172" t="s">
        <v>218</v>
      </c>
      <c r="E324" s="172">
        <v>2.0576433669061901E-4</v>
      </c>
      <c r="F324" s="172">
        <v>2.0178268501445801E-4</v>
      </c>
      <c r="G324" s="172">
        <v>1.01973237533178</v>
      </c>
    </row>
    <row r="325" spans="2:7" hidden="1" x14ac:dyDescent="0.3">
      <c r="B325" s="172" t="s">
        <v>22</v>
      </c>
      <c r="C325" s="172" t="s">
        <v>246</v>
      </c>
      <c r="D325" s="172" t="s">
        <v>218</v>
      </c>
      <c r="E325" s="172">
        <v>6.1559708952960002E-5</v>
      </c>
      <c r="F325" s="172">
        <v>5.9319357530346602E-5</v>
      </c>
      <c r="G325" s="172">
        <v>1.03776762790236</v>
      </c>
    </row>
    <row r="326" spans="2:7" hidden="1" x14ac:dyDescent="0.3">
      <c r="B326" s="172"/>
      <c r="C326" s="172"/>
      <c r="D326" s="172"/>
      <c r="E326" s="172"/>
      <c r="F326" s="172"/>
      <c r="G326" s="172"/>
    </row>
    <row r="327" spans="2:7" hidden="1" x14ac:dyDescent="0.3">
      <c r="B327" s="172"/>
      <c r="C327" s="172"/>
      <c r="D327" s="172"/>
      <c r="E327" s="172"/>
      <c r="F327" s="172"/>
      <c r="G327" s="172"/>
    </row>
    <row r="328" spans="2:7" hidden="1" x14ac:dyDescent="0.3">
      <c r="B328" s="172"/>
      <c r="C328" s="172"/>
      <c r="D328" s="172"/>
      <c r="E328" s="172"/>
      <c r="F328" s="172"/>
      <c r="G328" s="172"/>
    </row>
    <row r="329" spans="2:7" hidden="1" x14ac:dyDescent="0.3">
      <c r="B329" s="172"/>
      <c r="C329" s="172"/>
      <c r="D329" s="172"/>
      <c r="E329" s="172"/>
      <c r="F329" s="172"/>
      <c r="G329" s="172"/>
    </row>
    <row r="330" spans="2:7" hidden="1" x14ac:dyDescent="0.3">
      <c r="B330" s="172"/>
      <c r="C330" s="172"/>
      <c r="D330" s="172"/>
      <c r="E330" s="172"/>
      <c r="F330" s="172"/>
      <c r="G330" s="172"/>
    </row>
    <row r="331" spans="2:7" hidden="1" x14ac:dyDescent="0.3">
      <c r="B331" s="172"/>
      <c r="C331" s="172"/>
      <c r="D331" s="172"/>
      <c r="E331" s="172"/>
      <c r="F331" s="172"/>
      <c r="G331" s="172"/>
    </row>
    <row r="332" spans="2:7" hidden="1" x14ac:dyDescent="0.3">
      <c r="B332" s="172"/>
      <c r="C332" s="172"/>
      <c r="D332" s="172"/>
      <c r="E332" s="172"/>
      <c r="F332" s="172"/>
      <c r="G332" s="172"/>
    </row>
    <row r="333" spans="2:7" hidden="1" x14ac:dyDescent="0.3">
      <c r="B333" s="172"/>
      <c r="C333" s="172"/>
      <c r="D333" s="172"/>
      <c r="E333" s="172"/>
      <c r="F333" s="172"/>
      <c r="G333" s="172"/>
    </row>
    <row r="334" spans="2:7" hidden="1" x14ac:dyDescent="0.3">
      <c r="B334" s="172"/>
      <c r="C334" s="172"/>
      <c r="D334" s="172"/>
      <c r="E334" s="172"/>
      <c r="F334" s="172"/>
      <c r="G334" s="172"/>
    </row>
    <row r="335" spans="2:7" hidden="1" x14ac:dyDescent="0.3">
      <c r="B335" s="172"/>
      <c r="C335" s="172"/>
      <c r="D335" s="172"/>
      <c r="E335" s="172"/>
      <c r="F335" s="172"/>
      <c r="G335" s="172"/>
    </row>
    <row r="336" spans="2:7" hidden="1" x14ac:dyDescent="0.3">
      <c r="B336" s="172"/>
      <c r="C336" s="172"/>
      <c r="D336" s="172"/>
      <c r="E336" s="172"/>
      <c r="F336" s="172"/>
      <c r="G336" s="172"/>
    </row>
    <row r="337" spans="2:7" hidden="1" x14ac:dyDescent="0.3">
      <c r="B337" s="172"/>
      <c r="C337" s="172"/>
      <c r="D337" s="172"/>
      <c r="E337" s="172"/>
      <c r="F337" s="172"/>
      <c r="G337" s="172"/>
    </row>
    <row r="338" spans="2:7" hidden="1" x14ac:dyDescent="0.3">
      <c r="B338" s="172"/>
      <c r="C338" s="172"/>
      <c r="D338" s="172"/>
      <c r="E338" s="172"/>
      <c r="F338" s="172"/>
      <c r="G338" s="172"/>
    </row>
    <row r="339" spans="2:7" s="172" customFormat="1" hidden="1" x14ac:dyDescent="0.3"/>
    <row r="340" spans="2:7" hidden="1" x14ac:dyDescent="0.3">
      <c r="B340" s="172"/>
      <c r="C340" s="172"/>
      <c r="D340" s="172"/>
      <c r="E340" s="172"/>
      <c r="F340" s="172"/>
      <c r="G340" s="172"/>
    </row>
    <row r="341" spans="2:7" hidden="1" x14ac:dyDescent="0.3">
      <c r="B341" s="172"/>
      <c r="C341" s="172"/>
      <c r="D341" s="172"/>
      <c r="E341" s="172"/>
      <c r="F341" s="172"/>
      <c r="G341" s="172"/>
    </row>
    <row r="342" spans="2:7" hidden="1" x14ac:dyDescent="0.3">
      <c r="B342" s="172"/>
      <c r="C342" s="172"/>
      <c r="D342" s="172"/>
      <c r="E342" s="172"/>
      <c r="F342" s="172"/>
      <c r="G342" s="172"/>
    </row>
    <row r="343" spans="2:7" s="172" customFormat="1" hidden="1" x14ac:dyDescent="0.3"/>
    <row r="344" spans="2:7" hidden="1" x14ac:dyDescent="0.3">
      <c r="B344" s="172"/>
      <c r="C344" s="172"/>
      <c r="D344" s="172"/>
      <c r="E344" s="172"/>
      <c r="F344" s="172"/>
      <c r="G344" s="172"/>
    </row>
    <row r="345" spans="2:7" hidden="1" x14ac:dyDescent="0.3">
      <c r="B345" s="172"/>
      <c r="C345" s="172"/>
      <c r="D345" s="172"/>
      <c r="E345" s="172"/>
      <c r="F345" s="172"/>
      <c r="G345" s="172"/>
    </row>
    <row r="346" spans="2:7" hidden="1" x14ac:dyDescent="0.3">
      <c r="B346" s="172"/>
      <c r="C346" s="172"/>
      <c r="D346" s="172"/>
      <c r="E346" s="172"/>
      <c r="F346" s="172"/>
      <c r="G346" s="172"/>
    </row>
    <row r="347" spans="2:7" s="172" customFormat="1" hidden="1" x14ac:dyDescent="0.3"/>
    <row r="348" spans="2:7" hidden="1" x14ac:dyDescent="0.3">
      <c r="B348" s="172"/>
      <c r="C348" s="172"/>
      <c r="D348" s="172"/>
      <c r="E348" s="172"/>
      <c r="F348" s="172"/>
      <c r="G348" s="172"/>
    </row>
    <row r="349" spans="2:7" hidden="1" x14ac:dyDescent="0.3">
      <c r="B349" s="172"/>
      <c r="C349" s="172"/>
      <c r="D349" s="172"/>
      <c r="E349" s="172"/>
      <c r="F349" s="172"/>
      <c r="G349" s="172"/>
    </row>
    <row r="350" spans="2:7" hidden="1" x14ac:dyDescent="0.3">
      <c r="B350" s="172"/>
      <c r="C350" s="172"/>
      <c r="D350" s="172"/>
      <c r="E350" s="172"/>
      <c r="F350" s="172"/>
      <c r="G350" s="172"/>
    </row>
    <row r="351" spans="2:7" s="172" customFormat="1" hidden="1" x14ac:dyDescent="0.3"/>
    <row r="352" spans="2:7" hidden="1" x14ac:dyDescent="0.3">
      <c r="B352" s="172"/>
      <c r="C352" s="172"/>
      <c r="D352" s="172"/>
      <c r="E352" s="172"/>
      <c r="F352" s="172"/>
      <c r="G352" s="172"/>
    </row>
    <row r="353" spans="2:7" hidden="1" x14ac:dyDescent="0.3">
      <c r="B353" s="172"/>
      <c r="C353" s="172"/>
      <c r="D353" s="172"/>
      <c r="E353" s="172"/>
      <c r="F353" s="172"/>
      <c r="G353" s="172"/>
    </row>
    <row r="354" spans="2:7" hidden="1" x14ac:dyDescent="0.3">
      <c r="B354" s="172"/>
      <c r="C354" s="172"/>
      <c r="D354" s="172"/>
      <c r="E354" s="172"/>
      <c r="F354" s="172"/>
      <c r="G354" s="172"/>
    </row>
    <row r="355" spans="2:7" s="172" customFormat="1" hidden="1" x14ac:dyDescent="0.3"/>
    <row r="356" spans="2:7" hidden="1" x14ac:dyDescent="0.3">
      <c r="B356" s="172"/>
      <c r="C356" s="172"/>
      <c r="D356" s="172"/>
      <c r="E356" s="172"/>
      <c r="F356" s="172"/>
      <c r="G356" s="172"/>
    </row>
    <row r="357" spans="2:7" hidden="1" x14ac:dyDescent="0.3">
      <c r="B357" s="172"/>
      <c r="C357" s="172"/>
      <c r="D357" s="172"/>
      <c r="E357" s="172"/>
      <c r="F357" s="172"/>
      <c r="G357" s="172"/>
    </row>
    <row r="358" spans="2:7" hidden="1" x14ac:dyDescent="0.3">
      <c r="B358" s="172"/>
      <c r="C358" s="172"/>
      <c r="D358" s="172"/>
      <c r="E358" s="172"/>
      <c r="F358" s="172"/>
      <c r="G358" s="172"/>
    </row>
    <row r="359" spans="2:7" s="172" customFormat="1" hidden="1" x14ac:dyDescent="0.3"/>
    <row r="360" spans="2:7" hidden="1" x14ac:dyDescent="0.3">
      <c r="B360" s="172"/>
      <c r="C360" s="172"/>
      <c r="D360" s="172"/>
      <c r="E360" s="172"/>
      <c r="F360" s="172"/>
      <c r="G360" s="172"/>
    </row>
    <row r="361" spans="2:7" hidden="1" x14ac:dyDescent="0.3">
      <c r="B361" s="172"/>
      <c r="C361" s="172"/>
      <c r="D361" s="172"/>
      <c r="E361" s="172"/>
      <c r="F361" s="172"/>
      <c r="G361" s="172"/>
    </row>
    <row r="362" spans="2:7" hidden="1" x14ac:dyDescent="0.3">
      <c r="B362" s="172"/>
      <c r="C362" s="172"/>
      <c r="D362" s="172"/>
      <c r="E362" s="172"/>
      <c r="F362" s="172"/>
      <c r="G362" s="172"/>
    </row>
    <row r="363" spans="2:7" hidden="1" x14ac:dyDescent="0.3">
      <c r="B363" s="172"/>
      <c r="C363" s="172"/>
      <c r="D363" s="172"/>
      <c r="E363" s="172"/>
      <c r="F363" s="172"/>
      <c r="G363" s="172"/>
    </row>
    <row r="364" spans="2:7" hidden="1" x14ac:dyDescent="0.3">
      <c r="B364" s="172"/>
      <c r="C364" s="172"/>
      <c r="D364" s="172"/>
      <c r="E364" s="172"/>
      <c r="F364" s="172"/>
      <c r="G364" s="172"/>
    </row>
    <row r="365" spans="2:7" hidden="1" x14ac:dyDescent="0.3">
      <c r="B365" s="172"/>
      <c r="C365" s="172"/>
      <c r="D365" s="172"/>
      <c r="E365" s="172"/>
      <c r="F365" s="172"/>
      <c r="G365" s="172"/>
    </row>
    <row r="366" spans="2:7" hidden="1" x14ac:dyDescent="0.3">
      <c r="B366" s="172"/>
      <c r="C366" s="172"/>
      <c r="D366" s="172"/>
      <c r="E366" s="172"/>
      <c r="F366" s="172"/>
      <c r="G366" s="172"/>
    </row>
    <row r="367" spans="2:7" hidden="1" x14ac:dyDescent="0.3">
      <c r="B367" s="172"/>
      <c r="C367" s="172"/>
      <c r="D367" s="172"/>
      <c r="E367" s="172"/>
      <c r="F367" s="172"/>
      <c r="G367" s="172"/>
    </row>
    <row r="368" spans="2:7" hidden="1" x14ac:dyDescent="0.3">
      <c r="B368" s="172"/>
      <c r="C368" s="172"/>
      <c r="D368" s="172"/>
      <c r="E368" s="172"/>
      <c r="F368" s="172"/>
      <c r="G368" s="172"/>
    </row>
    <row r="369" spans="2:7" hidden="1" x14ac:dyDescent="0.3">
      <c r="B369" s="172"/>
      <c r="C369" s="172"/>
      <c r="D369" s="172"/>
      <c r="E369" s="172"/>
      <c r="F369" s="172"/>
      <c r="G369" s="172"/>
    </row>
    <row r="370" spans="2:7" hidden="1" x14ac:dyDescent="0.3">
      <c r="B370" s="172"/>
      <c r="C370" s="172"/>
      <c r="D370" s="172"/>
      <c r="E370" s="172"/>
      <c r="F370" s="172"/>
      <c r="G370" s="172"/>
    </row>
    <row r="371" spans="2:7" hidden="1" x14ac:dyDescent="0.3">
      <c r="B371" s="172"/>
      <c r="C371" s="172"/>
      <c r="D371" s="172"/>
      <c r="E371" s="172"/>
      <c r="F371" s="172"/>
      <c r="G371" s="172"/>
    </row>
    <row r="372" spans="2:7" hidden="1" x14ac:dyDescent="0.3">
      <c r="B372" s="172"/>
      <c r="C372" s="172"/>
      <c r="D372" s="172"/>
      <c r="E372" s="172"/>
      <c r="F372" s="172"/>
      <c r="G372" s="172"/>
    </row>
    <row r="373" spans="2:7" hidden="1" x14ac:dyDescent="0.3">
      <c r="B373" s="172"/>
      <c r="C373" s="172"/>
      <c r="D373" s="172"/>
      <c r="E373" s="172"/>
      <c r="F373" s="172"/>
      <c r="G373" s="172"/>
    </row>
    <row r="374" spans="2:7" hidden="1" x14ac:dyDescent="0.3">
      <c r="B374" s="172"/>
      <c r="C374" s="172"/>
      <c r="D374" s="172"/>
      <c r="E374" s="172"/>
      <c r="F374" s="172"/>
      <c r="G374" s="172"/>
    </row>
    <row r="375" spans="2:7" hidden="1" x14ac:dyDescent="0.3">
      <c r="B375" s="172"/>
      <c r="C375" s="172"/>
      <c r="D375" s="172"/>
      <c r="E375" s="172"/>
      <c r="F375" s="172"/>
      <c r="G375" s="172"/>
    </row>
    <row r="376" spans="2:7" hidden="1" x14ac:dyDescent="0.3">
      <c r="B376" s="172"/>
      <c r="C376" s="172"/>
      <c r="D376" s="172"/>
      <c r="E376" s="172"/>
      <c r="F376" s="172"/>
      <c r="G376" s="172"/>
    </row>
    <row r="377" spans="2:7" hidden="1" x14ac:dyDescent="0.3">
      <c r="B377" s="172"/>
      <c r="C377" s="172"/>
      <c r="D377" s="172"/>
      <c r="E377" s="172"/>
      <c r="F377" s="172"/>
      <c r="G377" s="172"/>
    </row>
    <row r="378" spans="2:7" hidden="1" x14ac:dyDescent="0.3">
      <c r="B378" s="172"/>
      <c r="C378" s="172"/>
      <c r="D378" s="172"/>
      <c r="E378" s="172"/>
      <c r="F378" s="172"/>
      <c r="G378" s="172"/>
    </row>
    <row r="379" spans="2:7" hidden="1" x14ac:dyDescent="0.3">
      <c r="B379" s="172"/>
      <c r="C379" s="172"/>
      <c r="D379" s="172"/>
      <c r="E379" s="172"/>
      <c r="F379" s="172"/>
      <c r="G379" s="172"/>
    </row>
    <row r="380" spans="2:7" hidden="1" x14ac:dyDescent="0.3">
      <c r="B380" s="172"/>
      <c r="C380" s="172"/>
      <c r="D380" s="172"/>
      <c r="E380" s="172"/>
      <c r="F380" s="172"/>
      <c r="G380" s="172"/>
    </row>
    <row r="381" spans="2:7" hidden="1" x14ac:dyDescent="0.3">
      <c r="B381" s="172"/>
      <c r="C381" s="172"/>
      <c r="D381" s="172"/>
      <c r="E381" s="172"/>
      <c r="F381" s="172"/>
      <c r="G381" s="172"/>
    </row>
    <row r="382" spans="2:7" hidden="1" x14ac:dyDescent="0.3">
      <c r="B382" s="172"/>
      <c r="C382" s="172"/>
      <c r="D382" s="172"/>
      <c r="E382" s="172"/>
      <c r="F382" s="172"/>
      <c r="G382" s="172"/>
    </row>
    <row r="383" spans="2:7" hidden="1" x14ac:dyDescent="0.3">
      <c r="B383" s="172"/>
      <c r="C383" s="172"/>
      <c r="D383" s="172"/>
      <c r="E383" s="172"/>
      <c r="F383" s="172"/>
      <c r="G383" s="172"/>
    </row>
    <row r="384" spans="2:7" hidden="1" x14ac:dyDescent="0.3">
      <c r="B384" s="172"/>
      <c r="C384" s="172"/>
      <c r="D384" s="172"/>
      <c r="E384" s="172"/>
      <c r="F384" s="172"/>
      <c r="G384" s="172"/>
    </row>
    <row r="385" spans="2:7" hidden="1" x14ac:dyDescent="0.3">
      <c r="B385" s="172"/>
      <c r="C385" s="172"/>
      <c r="D385" s="172"/>
      <c r="E385" s="172"/>
      <c r="F385" s="172"/>
      <c r="G385" s="172"/>
    </row>
    <row r="386" spans="2:7" hidden="1" x14ac:dyDescent="0.3">
      <c r="B386" s="172"/>
      <c r="C386" s="172"/>
      <c r="D386" s="172"/>
      <c r="E386" s="172"/>
      <c r="F386" s="172"/>
      <c r="G386" s="172"/>
    </row>
    <row r="387" spans="2:7" hidden="1" x14ac:dyDescent="0.3">
      <c r="B387" s="172"/>
      <c r="C387" s="172"/>
      <c r="D387" s="172"/>
      <c r="E387" s="172"/>
      <c r="F387" s="172"/>
      <c r="G387" s="172"/>
    </row>
    <row r="388" spans="2:7" hidden="1" x14ac:dyDescent="0.3">
      <c r="B388" s="172"/>
      <c r="C388" s="172"/>
      <c r="D388" s="172"/>
      <c r="E388" s="172"/>
      <c r="F388" s="172"/>
      <c r="G388" s="172"/>
    </row>
    <row r="389" spans="2:7" hidden="1" x14ac:dyDescent="0.3">
      <c r="B389" s="172"/>
      <c r="C389" s="172"/>
      <c r="D389" s="172"/>
      <c r="E389" s="172"/>
      <c r="F389" s="172"/>
      <c r="G389" s="172"/>
    </row>
    <row r="390" spans="2:7" hidden="1" x14ac:dyDescent="0.3">
      <c r="B390" s="172"/>
      <c r="C390" s="172"/>
      <c r="D390" s="172"/>
      <c r="E390" s="172"/>
      <c r="F390" s="172"/>
      <c r="G390" s="172"/>
    </row>
    <row r="391" spans="2:7" hidden="1" x14ac:dyDescent="0.3">
      <c r="B391" s="172"/>
      <c r="C391" s="172"/>
      <c r="D391" s="172"/>
      <c r="E391" s="172"/>
      <c r="F391" s="172"/>
      <c r="G391" s="172"/>
    </row>
    <row r="392" spans="2:7" hidden="1" x14ac:dyDescent="0.3">
      <c r="B392" s="172"/>
      <c r="C392" s="172"/>
      <c r="D392" s="172"/>
      <c r="E392" s="172"/>
      <c r="F392" s="172"/>
      <c r="G392" s="172"/>
    </row>
    <row r="393" spans="2:7" hidden="1" x14ac:dyDescent="0.3">
      <c r="B393" s="172"/>
      <c r="C393" s="172"/>
      <c r="D393" s="172"/>
      <c r="E393" s="172"/>
      <c r="F393" s="172"/>
      <c r="G393" s="172"/>
    </row>
    <row r="394" spans="2:7" hidden="1" x14ac:dyDescent="0.3">
      <c r="B394" s="172"/>
      <c r="C394" s="172"/>
      <c r="D394" s="172"/>
      <c r="E394" s="172"/>
      <c r="F394" s="172"/>
      <c r="G394" s="172"/>
    </row>
    <row r="395" spans="2:7" hidden="1" x14ac:dyDescent="0.3">
      <c r="B395" s="172"/>
      <c r="C395" s="172"/>
      <c r="D395" s="172"/>
      <c r="E395" s="172"/>
      <c r="F395" s="172"/>
      <c r="G395" s="172"/>
    </row>
    <row r="396" spans="2:7" hidden="1" x14ac:dyDescent="0.3">
      <c r="B396" s="172"/>
      <c r="C396" s="172"/>
      <c r="D396" s="172"/>
      <c r="E396" s="172"/>
      <c r="F396" s="172"/>
      <c r="G396" s="172"/>
    </row>
    <row r="398" spans="2:7" x14ac:dyDescent="0.3">
      <c r="B398" s="167" t="s">
        <v>83</v>
      </c>
      <c r="C398" s="168"/>
      <c r="D398" s="168"/>
      <c r="E398" s="168"/>
      <c r="F398" s="168"/>
      <c r="G398" s="168"/>
    </row>
    <row r="399" spans="2:7" x14ac:dyDescent="0.3">
      <c r="B399" s="169" t="s">
        <v>9</v>
      </c>
      <c r="C399" s="169" t="s">
        <v>46</v>
      </c>
      <c r="D399" s="169" t="s">
        <v>42</v>
      </c>
      <c r="E399" s="169" t="s">
        <v>84</v>
      </c>
      <c r="F399" s="169" t="s">
        <v>85</v>
      </c>
      <c r="G399" s="170" t="s">
        <v>86</v>
      </c>
    </row>
    <row r="400" spans="2:7" x14ac:dyDescent="0.3">
      <c r="B400" s="205"/>
      <c r="C400" s="205"/>
      <c r="D400" s="205"/>
      <c r="E400" s="205" t="s">
        <v>7</v>
      </c>
      <c r="F400" s="205" t="s">
        <v>7</v>
      </c>
      <c r="G400" s="206"/>
    </row>
    <row r="401" spans="2:7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</row>
    <row r="402" spans="2:7" hidden="1" x14ac:dyDescent="0.3">
      <c r="B402" s="172" t="s">
        <v>189</v>
      </c>
      <c r="C402" s="172" t="s">
        <v>79</v>
      </c>
      <c r="D402" s="172" t="s">
        <v>218</v>
      </c>
      <c r="E402" s="172">
        <v>2.4726134099959399E-2</v>
      </c>
      <c r="F402" s="172">
        <v>2.4283218825209299E-2</v>
      </c>
      <c r="G402" s="172">
        <v>1.0182395619764499</v>
      </c>
    </row>
    <row r="403" spans="2:7" hidden="1" x14ac:dyDescent="0.3">
      <c r="B403" s="172" t="s">
        <v>187</v>
      </c>
      <c r="C403" s="172" t="s">
        <v>79</v>
      </c>
      <c r="D403" s="172" t="s">
        <v>218</v>
      </c>
      <c r="E403" s="172">
        <v>2.5507036800150699E-2</v>
      </c>
      <c r="F403" s="172">
        <v>2.38730529933848E-2</v>
      </c>
      <c r="G403" s="172">
        <v>1.0684446939911201</v>
      </c>
    </row>
    <row r="404" spans="2:7" hidden="1" x14ac:dyDescent="0.3">
      <c r="B404" s="172" t="s">
        <v>185</v>
      </c>
      <c r="C404" s="172" t="s">
        <v>79</v>
      </c>
      <c r="D404" s="172" t="s">
        <v>218</v>
      </c>
      <c r="E404" s="172">
        <v>2.4606899069348299E-2</v>
      </c>
      <c r="F404" s="172">
        <v>2.30101833108191E-2</v>
      </c>
      <c r="G404" s="172">
        <v>1.0693917009248</v>
      </c>
    </row>
    <row r="405" spans="2:7" hidden="1" x14ac:dyDescent="0.3">
      <c r="B405" s="172" t="s">
        <v>183</v>
      </c>
      <c r="C405" s="172" t="s">
        <v>79</v>
      </c>
      <c r="D405" s="172" t="s">
        <v>218</v>
      </c>
      <c r="E405" s="172">
        <v>2.3170511693399998E-2</v>
      </c>
      <c r="F405" s="172">
        <v>2.1647063422424201E-2</v>
      </c>
      <c r="G405" s="172">
        <v>1.07037667147949</v>
      </c>
    </row>
    <row r="406" spans="2:7" hidden="1" x14ac:dyDescent="0.3">
      <c r="B406" s="172" t="s">
        <v>181</v>
      </c>
      <c r="C406" s="172" t="s">
        <v>79</v>
      </c>
      <c r="D406" s="172" t="s">
        <v>218</v>
      </c>
      <c r="E406" s="172">
        <v>2.1235063641486099E-2</v>
      </c>
      <c r="F406" s="172">
        <v>1.9819875537942701E-2</v>
      </c>
      <c r="G406" s="172">
        <v>1.07140247176801</v>
      </c>
    </row>
    <row r="407" spans="2:7" hidden="1" x14ac:dyDescent="0.3">
      <c r="B407" s="172" t="s">
        <v>179</v>
      </c>
      <c r="C407" s="172" t="s">
        <v>79</v>
      </c>
      <c r="D407" s="172" t="s">
        <v>218</v>
      </c>
      <c r="E407" s="172">
        <v>1.8875584844777499E-2</v>
      </c>
      <c r="F407" s="172">
        <v>1.7598708691414298E-2</v>
      </c>
      <c r="G407" s="172">
        <v>1.0725551047950601</v>
      </c>
    </row>
    <row r="408" spans="2:7" hidden="1" x14ac:dyDescent="0.3">
      <c r="B408" s="172" t="s">
        <v>39</v>
      </c>
      <c r="C408" s="172" t="s">
        <v>79</v>
      </c>
      <c r="D408" s="172" t="s">
        <v>218</v>
      </c>
      <c r="E408" s="172">
        <v>1.61605459496941E-2</v>
      </c>
      <c r="F408" s="172">
        <v>1.50481681622578E-2</v>
      </c>
      <c r="G408" s="172">
        <v>1.07392114278908</v>
      </c>
    </row>
    <row r="409" spans="2:7" hidden="1" x14ac:dyDescent="0.3">
      <c r="B409" s="172" t="s">
        <v>26</v>
      </c>
      <c r="C409" s="172" t="s">
        <v>79</v>
      </c>
      <c r="D409" s="172" t="s">
        <v>218</v>
      </c>
      <c r="E409" s="172">
        <v>1.31961159142361E-2</v>
      </c>
      <c r="F409" s="172">
        <v>1.2276418044744501E-2</v>
      </c>
      <c r="G409" s="172">
        <v>1.0749158155204199</v>
      </c>
    </row>
    <row r="410" spans="2:7" hidden="1" x14ac:dyDescent="0.3">
      <c r="B410" s="172" t="s">
        <v>25</v>
      </c>
      <c r="C410" s="172" t="s">
        <v>79</v>
      </c>
      <c r="D410" s="172" t="s">
        <v>218</v>
      </c>
      <c r="E410" s="172">
        <v>1.0044246107234501E-2</v>
      </c>
      <c r="F410" s="172">
        <v>9.3422059079794999E-3</v>
      </c>
      <c r="G410" s="172">
        <v>1.0751471554117</v>
      </c>
    </row>
    <row r="411" spans="2:7" hidden="1" x14ac:dyDescent="0.3">
      <c r="B411" s="172" t="s">
        <v>24</v>
      </c>
      <c r="C411" s="172" t="s">
        <v>79</v>
      </c>
      <c r="D411" s="172" t="s">
        <v>218</v>
      </c>
      <c r="E411" s="172">
        <v>6.7220801362882603E-3</v>
      </c>
      <c r="F411" s="172">
        <v>6.2541815744383599E-3</v>
      </c>
      <c r="G411" s="172">
        <v>1.07481371563663</v>
      </c>
    </row>
    <row r="412" spans="2:7" hidden="1" x14ac:dyDescent="0.3">
      <c r="B412" s="172" t="s">
        <v>22</v>
      </c>
      <c r="C412" s="172" t="s">
        <v>79</v>
      </c>
      <c r="D412" s="172" t="s">
        <v>218</v>
      </c>
      <c r="E412" s="172">
        <v>3.3080230670678402E-3</v>
      </c>
      <c r="F412" s="172">
        <v>3.0837610967489101E-3</v>
      </c>
      <c r="G412" s="172">
        <v>1.07272352276425</v>
      </c>
    </row>
    <row r="413" spans="2:7" hidden="1" x14ac:dyDescent="0.3">
      <c r="B413" s="172" t="s">
        <v>189</v>
      </c>
      <c r="C413" s="172" t="s">
        <v>80</v>
      </c>
      <c r="D413" s="172" t="s">
        <v>218</v>
      </c>
      <c r="E413" s="172">
        <v>2.53896948967803E-2</v>
      </c>
      <c r="F413" s="172">
        <v>2.4894655831537701E-2</v>
      </c>
      <c r="G413" s="172">
        <v>1.0198853548565801</v>
      </c>
    </row>
    <row r="414" spans="2:7" hidden="1" x14ac:dyDescent="0.3">
      <c r="B414" s="172" t="s">
        <v>189</v>
      </c>
      <c r="C414" s="172" t="s">
        <v>80</v>
      </c>
      <c r="D414" s="172" t="s">
        <v>221</v>
      </c>
      <c r="E414" s="172">
        <v>4.1685172212647999E-3</v>
      </c>
      <c r="F414" s="172">
        <v>3.5497183897115299E-3</v>
      </c>
      <c r="G414" s="172">
        <v>1.1743233585364901</v>
      </c>
    </row>
    <row r="415" spans="2:7" hidden="1" x14ac:dyDescent="0.3">
      <c r="B415" s="172" t="s">
        <v>187</v>
      </c>
      <c r="C415" s="172" t="s">
        <v>80</v>
      </c>
      <c r="D415" s="172" t="s">
        <v>218</v>
      </c>
      <c r="E415" s="172">
        <v>2.5567246543683302E-2</v>
      </c>
      <c r="F415" s="172">
        <v>2.3794894713912499E-2</v>
      </c>
      <c r="G415" s="172">
        <v>1.07448454179268</v>
      </c>
    </row>
    <row r="416" spans="2:7" hidden="1" x14ac:dyDescent="0.3">
      <c r="B416" s="172" t="s">
        <v>185</v>
      </c>
      <c r="C416" s="172" t="s">
        <v>80</v>
      </c>
      <c r="D416" s="172" t="s">
        <v>218</v>
      </c>
      <c r="E416" s="172">
        <v>2.4627200944827499E-2</v>
      </c>
      <c r="F416" s="172">
        <v>2.2933396184918999E-2</v>
      </c>
      <c r="G416" s="172">
        <v>1.07385756327806</v>
      </c>
    </row>
    <row r="417" spans="2:7" hidden="1" x14ac:dyDescent="0.3">
      <c r="B417" s="172" t="s">
        <v>183</v>
      </c>
      <c r="C417" s="172" t="s">
        <v>80</v>
      </c>
      <c r="D417" s="172" t="s">
        <v>218</v>
      </c>
      <c r="E417" s="172">
        <v>2.3151956178712501E-2</v>
      </c>
      <c r="F417" s="172">
        <v>2.15729112841745E-2</v>
      </c>
      <c r="G417" s="172">
        <v>1.0731957255901901</v>
      </c>
    </row>
    <row r="418" spans="2:7" hidden="1" x14ac:dyDescent="0.3">
      <c r="B418" s="172" t="s">
        <v>181</v>
      </c>
      <c r="C418" s="172" t="s">
        <v>80</v>
      </c>
      <c r="D418" s="172" t="s">
        <v>218</v>
      </c>
      <c r="E418" s="172">
        <v>2.1182635541847301E-2</v>
      </c>
      <c r="F418" s="172">
        <v>1.9749917550790801E-2</v>
      </c>
      <c r="G418" s="172">
        <v>1.0725429859325699</v>
      </c>
    </row>
    <row r="419" spans="2:7" hidden="1" x14ac:dyDescent="0.3">
      <c r="B419" s="172" t="s">
        <v>179</v>
      </c>
      <c r="C419" s="172" t="s">
        <v>80</v>
      </c>
      <c r="D419" s="172" t="s">
        <v>218</v>
      </c>
      <c r="E419" s="172">
        <v>1.87940837964088E-2</v>
      </c>
      <c r="F419" s="172">
        <v>1.75343255481532E-2</v>
      </c>
      <c r="G419" s="172">
        <v>1.07184526401064</v>
      </c>
    </row>
    <row r="420" spans="2:7" hidden="1" x14ac:dyDescent="0.3">
      <c r="B420" s="172" t="s">
        <v>39</v>
      </c>
      <c r="C420" s="172" t="s">
        <v>80</v>
      </c>
      <c r="D420" s="172" t="s">
        <v>218</v>
      </c>
      <c r="E420" s="172">
        <v>1.6055915798080599E-2</v>
      </c>
      <c r="F420" s="172">
        <v>1.49906797394037E-2</v>
      </c>
      <c r="G420" s="172">
        <v>1.0710598903582</v>
      </c>
    </row>
    <row r="421" spans="2:7" hidden="1" x14ac:dyDescent="0.3">
      <c r="B421" s="172" t="s">
        <v>26</v>
      </c>
      <c r="C421" s="172" t="s">
        <v>80</v>
      </c>
      <c r="D421" s="172" t="s">
        <v>218</v>
      </c>
      <c r="E421" s="172">
        <v>1.3088664837957099E-2</v>
      </c>
      <c r="F421" s="172">
        <v>1.2227975407769801E-2</v>
      </c>
      <c r="G421" s="172">
        <v>1.0703869120999701</v>
      </c>
    </row>
    <row r="422" spans="2:7" hidden="1" x14ac:dyDescent="0.3">
      <c r="B422" s="172" t="s">
        <v>25</v>
      </c>
      <c r="C422" s="172" t="s">
        <v>80</v>
      </c>
      <c r="D422" s="172" t="s">
        <v>218</v>
      </c>
      <c r="E422" s="172">
        <v>9.9552806190244397E-3</v>
      </c>
      <c r="F422" s="172">
        <v>9.3048926872342196E-3</v>
      </c>
      <c r="G422" s="172">
        <v>1.0698974135061801</v>
      </c>
    </row>
    <row r="423" spans="2:7" hidden="1" x14ac:dyDescent="0.3">
      <c r="B423" s="172" t="s">
        <v>24</v>
      </c>
      <c r="C423" s="172" t="s">
        <v>80</v>
      </c>
      <c r="D423" s="172" t="s">
        <v>218</v>
      </c>
      <c r="E423" s="172">
        <v>6.6618445178844802E-3</v>
      </c>
      <c r="F423" s="172">
        <v>6.2292973827550099E-3</v>
      </c>
      <c r="G423" s="172">
        <v>1.0694375478568301</v>
      </c>
    </row>
    <row r="424" spans="2:7" hidden="1" x14ac:dyDescent="0.3">
      <c r="B424" s="172" t="s">
        <v>22</v>
      </c>
      <c r="C424" s="172" t="s">
        <v>80</v>
      </c>
      <c r="D424" s="172" t="s">
        <v>218</v>
      </c>
      <c r="E424" s="172">
        <v>3.2845886578165302E-3</v>
      </c>
      <c r="F424" s="172">
        <v>3.0721735493259802E-3</v>
      </c>
      <c r="G424" s="172">
        <v>1.0691416370462401</v>
      </c>
    </row>
    <row r="425" spans="2:7" hidden="1" x14ac:dyDescent="0.3">
      <c r="B425" s="172" t="s">
        <v>189</v>
      </c>
      <c r="C425" s="172" t="s">
        <v>81</v>
      </c>
      <c r="D425" s="172" t="s">
        <v>221</v>
      </c>
      <c r="E425" s="172">
        <v>3.11993682007203E-2</v>
      </c>
      <c r="F425" s="172">
        <v>3.0579402487312699E-2</v>
      </c>
      <c r="G425" s="172">
        <v>1.0202739642694101</v>
      </c>
    </row>
    <row r="426" spans="2:7" hidden="1" x14ac:dyDescent="0.3">
      <c r="B426" s="172" t="s">
        <v>187</v>
      </c>
      <c r="C426" s="172" t="s">
        <v>81</v>
      </c>
      <c r="D426" s="172" t="s">
        <v>221</v>
      </c>
      <c r="E426" s="172">
        <v>3.0160607047918099E-2</v>
      </c>
      <c r="F426" s="172">
        <v>2.8080102847465201E-2</v>
      </c>
      <c r="G426" s="172">
        <v>1.07409175855781</v>
      </c>
    </row>
    <row r="427" spans="2:7" hidden="1" x14ac:dyDescent="0.3">
      <c r="B427" s="172" t="s">
        <v>185</v>
      </c>
      <c r="C427" s="172" t="s">
        <v>81</v>
      </c>
      <c r="D427" s="172" t="s">
        <v>221</v>
      </c>
      <c r="E427" s="172">
        <v>2.8764631265524601E-2</v>
      </c>
      <c r="F427" s="172">
        <v>2.68400918485187E-2</v>
      </c>
      <c r="G427" s="172">
        <v>1.0717039057790001</v>
      </c>
    </row>
    <row r="428" spans="2:7" hidden="1" x14ac:dyDescent="0.3">
      <c r="B428" s="172" t="s">
        <v>183</v>
      </c>
      <c r="C428" s="172" t="s">
        <v>81</v>
      </c>
      <c r="D428" s="172" t="s">
        <v>221</v>
      </c>
      <c r="E428" s="172">
        <v>2.6793241884824098E-2</v>
      </c>
      <c r="F428" s="172">
        <v>2.50553793601783E-2</v>
      </c>
      <c r="G428" s="172">
        <v>1.0693608545958699</v>
      </c>
    </row>
    <row r="429" spans="2:7" hidden="1" x14ac:dyDescent="0.3">
      <c r="B429" s="172" t="s">
        <v>181</v>
      </c>
      <c r="C429" s="172" t="s">
        <v>81</v>
      </c>
      <c r="D429" s="172" t="s">
        <v>221</v>
      </c>
      <c r="E429" s="172">
        <v>2.4315720517282799E-2</v>
      </c>
      <c r="F429" s="172">
        <v>2.2784450736789901E-2</v>
      </c>
      <c r="G429" s="172">
        <v>1.06720678932235</v>
      </c>
    </row>
    <row r="430" spans="2:7" hidden="1" x14ac:dyDescent="0.3">
      <c r="B430" s="172" t="s">
        <v>179</v>
      </c>
      <c r="C430" s="172" t="s">
        <v>81</v>
      </c>
      <c r="D430" s="172" t="s">
        <v>221</v>
      </c>
      <c r="E430" s="172">
        <v>2.1426010166564001E-2</v>
      </c>
      <c r="F430" s="172">
        <v>2.0115962360221701E-2</v>
      </c>
      <c r="G430" s="172">
        <v>1.06512478910444</v>
      </c>
    </row>
    <row r="431" spans="2:7" hidden="1" x14ac:dyDescent="0.3">
      <c r="B431" s="172" t="s">
        <v>39</v>
      </c>
      <c r="C431" s="172" t="s">
        <v>81</v>
      </c>
      <c r="D431" s="172" t="s">
        <v>221</v>
      </c>
      <c r="E431" s="172">
        <v>1.8205721056274299E-2</v>
      </c>
      <c r="F431" s="172">
        <v>1.7126320849916402E-2</v>
      </c>
      <c r="G431" s="172">
        <v>1.06302580780875</v>
      </c>
    </row>
    <row r="432" spans="2:7" hidden="1" x14ac:dyDescent="0.3">
      <c r="B432" s="172" t="s">
        <v>26</v>
      </c>
      <c r="C432" s="172" t="s">
        <v>81</v>
      </c>
      <c r="D432" s="172" t="s">
        <v>221</v>
      </c>
      <c r="E432" s="172">
        <v>1.4738149174598199E-2</v>
      </c>
      <c r="F432" s="172">
        <v>1.38848323174195E-2</v>
      </c>
      <c r="G432" s="172">
        <v>1.0614567635871399</v>
      </c>
    </row>
    <row r="433" spans="2:7" hidden="1" x14ac:dyDescent="0.3">
      <c r="B433" s="172" t="s">
        <v>25</v>
      </c>
      <c r="C433" s="172" t="s">
        <v>81</v>
      </c>
      <c r="D433" s="172" t="s">
        <v>221</v>
      </c>
      <c r="E433" s="172">
        <v>1.10854859371183E-2</v>
      </c>
      <c r="F433" s="172">
        <v>1.04507728721076E-2</v>
      </c>
      <c r="G433" s="172">
        <v>1.06073360054592</v>
      </c>
    </row>
    <row r="434" spans="2:7" hidden="1" x14ac:dyDescent="0.3">
      <c r="B434" s="172" t="s">
        <v>24</v>
      </c>
      <c r="C434" s="172" t="s">
        <v>81</v>
      </c>
      <c r="D434" s="172" t="s">
        <v>221</v>
      </c>
      <c r="E434" s="172">
        <v>7.3059861391689502E-3</v>
      </c>
      <c r="F434" s="172">
        <v>6.8866677373232797E-3</v>
      </c>
      <c r="G434" s="172">
        <v>1.06088843223452</v>
      </c>
    </row>
    <row r="435" spans="2:7" hidden="1" x14ac:dyDescent="0.3">
      <c r="B435" s="172" t="s">
        <v>22</v>
      </c>
      <c r="C435" s="172" t="s">
        <v>81</v>
      </c>
      <c r="D435" s="172" t="s">
        <v>221</v>
      </c>
      <c r="E435" s="172">
        <v>3.5055692966893099E-3</v>
      </c>
      <c r="F435" s="172">
        <v>3.29729405140695E-3</v>
      </c>
      <c r="G435" s="172">
        <v>1.0631655054220901</v>
      </c>
    </row>
    <row r="436" spans="2:7" x14ac:dyDescent="0.3">
      <c r="B436" s="172" t="s">
        <v>189</v>
      </c>
      <c r="C436" s="172" t="s">
        <v>82</v>
      </c>
      <c r="D436" s="172" t="s">
        <v>221</v>
      </c>
      <c r="E436" s="172">
        <v>2.61759141617505E-2</v>
      </c>
      <c r="F436" s="172">
        <v>2.5141911631261501E-2</v>
      </c>
      <c r="G436" s="172">
        <v>1.04112664723566</v>
      </c>
    </row>
    <row r="437" spans="2:7" x14ac:dyDescent="0.3">
      <c r="B437" s="172" t="s">
        <v>187</v>
      </c>
      <c r="C437" s="172" t="s">
        <v>82</v>
      </c>
      <c r="D437" s="172" t="s">
        <v>221</v>
      </c>
      <c r="E437" s="172">
        <v>3.2581019040623702E-2</v>
      </c>
      <c r="F437" s="172">
        <v>2.7912516711907601E-2</v>
      </c>
      <c r="G437" s="172">
        <v>1.16725479744091</v>
      </c>
    </row>
    <row r="438" spans="2:7" x14ac:dyDescent="0.3">
      <c r="B438" s="172" t="s">
        <v>185</v>
      </c>
      <c r="C438" s="172" t="s">
        <v>82</v>
      </c>
      <c r="D438" s="172" t="s">
        <v>221</v>
      </c>
      <c r="E438" s="172">
        <v>3.1275308843906301E-2</v>
      </c>
      <c r="F438" s="172">
        <v>2.6685133982294901E-2</v>
      </c>
      <c r="G438" s="172">
        <v>1.17201243451342</v>
      </c>
    </row>
    <row r="439" spans="2:7" x14ac:dyDescent="0.3">
      <c r="B439" s="172" t="s">
        <v>183</v>
      </c>
      <c r="C439" s="172" t="s">
        <v>82</v>
      </c>
      <c r="D439" s="172" t="s">
        <v>221</v>
      </c>
      <c r="E439" s="172">
        <v>2.9312968655579599E-2</v>
      </c>
      <c r="F439" s="172">
        <v>2.4916795384504201E-2</v>
      </c>
      <c r="G439" s="172">
        <v>1.1764341362216</v>
      </c>
    </row>
    <row r="440" spans="2:7" x14ac:dyDescent="0.3">
      <c r="B440" s="172" t="s">
        <v>181</v>
      </c>
      <c r="C440" s="172" t="s">
        <v>82</v>
      </c>
      <c r="D440" s="172" t="s">
        <v>221</v>
      </c>
      <c r="E440" s="172">
        <v>2.67549720317217E-2</v>
      </c>
      <c r="F440" s="172">
        <v>2.2664145008843499E-2</v>
      </c>
      <c r="G440" s="172">
        <v>1.1804977430775301</v>
      </c>
    </row>
    <row r="441" spans="2:7" x14ac:dyDescent="0.3">
      <c r="B441" s="172" t="s">
        <v>179</v>
      </c>
      <c r="C441" s="172" t="s">
        <v>82</v>
      </c>
      <c r="D441" s="172" t="s">
        <v>221</v>
      </c>
      <c r="E441" s="172">
        <v>2.3706503681394899E-2</v>
      </c>
      <c r="F441" s="172">
        <v>2.0015208881170001E-2</v>
      </c>
      <c r="G441" s="172">
        <v>1.1844244954994001</v>
      </c>
    </row>
    <row r="442" spans="2:7" x14ac:dyDescent="0.3">
      <c r="B442" s="172" t="s">
        <v>39</v>
      </c>
      <c r="C442" s="172" t="s">
        <v>82</v>
      </c>
      <c r="D442" s="172" t="s">
        <v>221</v>
      </c>
      <c r="E442" s="172">
        <v>2.0256785491547101E-2</v>
      </c>
      <c r="F442" s="172">
        <v>1.70457608700685E-2</v>
      </c>
      <c r="G442" s="172">
        <v>1.18837672580031</v>
      </c>
    </row>
    <row r="443" spans="2:7" x14ac:dyDescent="0.3">
      <c r="B443" s="172" t="s">
        <v>26</v>
      </c>
      <c r="C443" s="172" t="s">
        <v>82</v>
      </c>
      <c r="D443" s="172" t="s">
        <v>221</v>
      </c>
      <c r="E443" s="172">
        <v>1.6477484179145501E-2</v>
      </c>
      <c r="F443" s="172">
        <v>1.3823409007043E-2</v>
      </c>
      <c r="G443" s="172">
        <v>1.19199859967612</v>
      </c>
    </row>
    <row r="444" spans="2:7" x14ac:dyDescent="0.3">
      <c r="B444" s="172" t="s">
        <v>25</v>
      </c>
      <c r="C444" s="172" t="s">
        <v>82</v>
      </c>
      <c r="D444" s="172" t="s">
        <v>221</v>
      </c>
      <c r="E444" s="172">
        <v>1.2437164129566001E-2</v>
      </c>
      <c r="F444" s="172">
        <v>1.04065329372557E-2</v>
      </c>
      <c r="G444" s="172">
        <v>1.1951304247585299</v>
      </c>
    </row>
    <row r="445" spans="2:7" x14ac:dyDescent="0.3">
      <c r="B445" s="172" t="s">
        <v>24</v>
      </c>
      <c r="C445" s="172" t="s">
        <v>82</v>
      </c>
      <c r="D445" s="172" t="s">
        <v>221</v>
      </c>
      <c r="E445" s="172">
        <v>8.2143285667018694E-3</v>
      </c>
      <c r="F445" s="172">
        <v>6.8578588620061796E-3</v>
      </c>
      <c r="G445" s="172">
        <v>1.1977978450695099</v>
      </c>
    </row>
    <row r="446" spans="2:7" x14ac:dyDescent="0.3">
      <c r="B446" s="172" t="s">
        <v>22</v>
      </c>
      <c r="C446" s="172" t="s">
        <v>82</v>
      </c>
      <c r="D446" s="172" t="s">
        <v>221</v>
      </c>
      <c r="E446" s="172">
        <v>3.9358997984831603E-3</v>
      </c>
      <c r="F446" s="172">
        <v>3.28244932555681E-3</v>
      </c>
      <c r="G446" s="172">
        <v>1.19907404749211</v>
      </c>
    </row>
    <row r="447" spans="2:7" hidden="1" x14ac:dyDescent="0.3">
      <c r="B447" s="172" t="s">
        <v>189</v>
      </c>
      <c r="C447" s="172" t="s">
        <v>246</v>
      </c>
      <c r="D447" s="172" t="s">
        <v>218</v>
      </c>
      <c r="E447" s="172">
        <v>4.2104225934719002E-3</v>
      </c>
      <c r="F447" s="172">
        <v>4.2027492716322596E-3</v>
      </c>
      <c r="G447" s="172">
        <v>1.0018257862517399</v>
      </c>
    </row>
    <row r="448" spans="2:7" hidden="1" x14ac:dyDescent="0.3">
      <c r="B448" s="172" t="s">
        <v>187</v>
      </c>
      <c r="C448" s="172" t="s">
        <v>246</v>
      </c>
      <c r="D448" s="172" t="s">
        <v>218</v>
      </c>
      <c r="E448" s="172">
        <v>2.9546695266354601E-3</v>
      </c>
      <c r="F448" s="172">
        <v>2.9491154605972799E-3</v>
      </c>
      <c r="G448" s="172">
        <v>1.0018832989458699</v>
      </c>
    </row>
    <row r="449" spans="2:7" hidden="1" x14ac:dyDescent="0.3">
      <c r="B449" s="172" t="s">
        <v>185</v>
      </c>
      <c r="C449" s="172" t="s">
        <v>246</v>
      </c>
      <c r="D449" s="172" t="s">
        <v>218</v>
      </c>
      <c r="E449" s="172">
        <v>2.53302739389935E-3</v>
      </c>
      <c r="F449" s="172">
        <v>2.5274835863265299E-3</v>
      </c>
      <c r="G449" s="172">
        <v>1.0021934099207701</v>
      </c>
    </row>
    <row r="450" spans="2:7" hidden="1" x14ac:dyDescent="0.3">
      <c r="B450" s="172" t="s">
        <v>183</v>
      </c>
      <c r="C450" s="172" t="s">
        <v>246</v>
      </c>
      <c r="D450" s="172" t="s">
        <v>218</v>
      </c>
      <c r="E450" s="172">
        <v>2.12089048449156E-3</v>
      </c>
      <c r="F450" s="172">
        <v>2.1169958557060299E-3</v>
      </c>
      <c r="G450" s="172">
        <v>1.0018396959895</v>
      </c>
    </row>
    <row r="451" spans="2:7" hidden="1" x14ac:dyDescent="0.3">
      <c r="B451" s="172" t="s">
        <v>181</v>
      </c>
      <c r="C451" s="172" t="s">
        <v>246</v>
      </c>
      <c r="D451" s="172" t="s">
        <v>218</v>
      </c>
      <c r="E451" s="172">
        <v>1.7257832425074499E-3</v>
      </c>
      <c r="F451" s="172">
        <v>1.72293567170853E-3</v>
      </c>
      <c r="G451" s="172">
        <v>1.00165274353865</v>
      </c>
    </row>
    <row r="452" spans="2:7" hidden="1" x14ac:dyDescent="0.3">
      <c r="B452" s="172" t="s">
        <v>179</v>
      </c>
      <c r="C452" s="172" t="s">
        <v>246</v>
      </c>
      <c r="D452" s="172" t="s">
        <v>218</v>
      </c>
      <c r="E452" s="172">
        <v>1.35630056625409E-3</v>
      </c>
      <c r="F452" s="172">
        <v>1.3540119613328801E-3</v>
      </c>
      <c r="G452" s="172">
        <v>1.0016902398106999</v>
      </c>
    </row>
    <row r="453" spans="2:7" hidden="1" x14ac:dyDescent="0.3">
      <c r="B453" s="172" t="s">
        <v>39</v>
      </c>
      <c r="C453" s="172" t="s">
        <v>246</v>
      </c>
      <c r="D453" s="172" t="s">
        <v>218</v>
      </c>
      <c r="E453" s="172">
        <v>1.0188192500593799E-3</v>
      </c>
      <c r="F453" s="172">
        <v>1.01667240972909E-3</v>
      </c>
      <c r="G453" s="172">
        <v>1.00211163429808</v>
      </c>
    </row>
    <row r="454" spans="2:7" hidden="1" x14ac:dyDescent="0.3">
      <c r="B454" s="172" t="s">
        <v>26</v>
      </c>
      <c r="C454" s="172" t="s">
        <v>246</v>
      </c>
      <c r="D454" s="172" t="s">
        <v>218</v>
      </c>
      <c r="E454" s="172">
        <v>7.0168960506130501E-4</v>
      </c>
      <c r="F454" s="172">
        <v>7.0144345836218702E-4</v>
      </c>
      <c r="G454" s="172">
        <v>1.0003509145265901</v>
      </c>
    </row>
    <row r="455" spans="2:7" hidden="1" x14ac:dyDescent="0.3">
      <c r="B455" s="172" t="s">
        <v>25</v>
      </c>
      <c r="C455" s="172" t="s">
        <v>246</v>
      </c>
      <c r="D455" s="172" t="s">
        <v>218</v>
      </c>
      <c r="E455" s="172">
        <v>4.22535417569856E-4</v>
      </c>
      <c r="F455" s="172">
        <v>4.1979790317765199E-4</v>
      </c>
      <c r="G455" s="172">
        <v>1.0065210292178299</v>
      </c>
    </row>
    <row r="456" spans="2:7" hidden="1" x14ac:dyDescent="0.3">
      <c r="B456" s="172" t="s">
        <v>24</v>
      </c>
      <c r="C456" s="172" t="s">
        <v>246</v>
      </c>
      <c r="D456" s="172" t="s">
        <v>218</v>
      </c>
      <c r="E456" s="172">
        <v>2.0576433669061901E-4</v>
      </c>
      <c r="F456" s="172">
        <v>2.0178268501445801E-4</v>
      </c>
      <c r="G456" s="172">
        <v>1.01973237533178</v>
      </c>
    </row>
    <row r="457" spans="2:7" hidden="1" x14ac:dyDescent="0.3">
      <c r="B457" s="172" t="s">
        <v>22</v>
      </c>
      <c r="C457" s="172" t="s">
        <v>246</v>
      </c>
      <c r="D457" s="172" t="s">
        <v>218</v>
      </c>
      <c r="E457" s="172">
        <v>6.1559708952960002E-5</v>
      </c>
      <c r="F457" s="172">
        <v>5.9319357530346602E-5</v>
      </c>
      <c r="G457" s="172">
        <v>1.03776762790236</v>
      </c>
    </row>
    <row r="458" spans="2:7" hidden="1" x14ac:dyDescent="0.3">
      <c r="B458" s="172"/>
      <c r="C458" s="172"/>
      <c r="D458" s="172"/>
      <c r="E458" s="172"/>
      <c r="F458" s="172"/>
      <c r="G458" s="172"/>
    </row>
    <row r="459" spans="2:7" hidden="1" x14ac:dyDescent="0.3">
      <c r="B459" s="172"/>
      <c r="C459" s="172"/>
      <c r="D459" s="172"/>
      <c r="E459" s="172"/>
      <c r="F459" s="172"/>
      <c r="G459" s="172"/>
    </row>
    <row r="460" spans="2:7" hidden="1" x14ac:dyDescent="0.3">
      <c r="B460" s="172"/>
      <c r="C460" s="172"/>
      <c r="D460" s="172"/>
      <c r="E460" s="172"/>
      <c r="F460" s="172"/>
      <c r="G460" s="172"/>
    </row>
    <row r="461" spans="2:7" hidden="1" x14ac:dyDescent="0.3">
      <c r="B461" s="172"/>
      <c r="C461" s="172"/>
      <c r="D461" s="172"/>
      <c r="E461" s="172"/>
      <c r="F461" s="172"/>
      <c r="G461" s="172"/>
    </row>
    <row r="462" spans="2:7" hidden="1" x14ac:dyDescent="0.3">
      <c r="B462" s="172"/>
      <c r="C462" s="172"/>
      <c r="D462" s="172"/>
      <c r="E462" s="172"/>
      <c r="F462" s="172"/>
      <c r="G462" s="172"/>
    </row>
    <row r="463" spans="2:7" hidden="1" x14ac:dyDescent="0.3">
      <c r="B463" s="172"/>
      <c r="C463" s="172"/>
      <c r="D463" s="172"/>
      <c r="E463" s="172"/>
      <c r="F463" s="172"/>
      <c r="G463" s="172"/>
    </row>
    <row r="464" spans="2:7" hidden="1" x14ac:dyDescent="0.3">
      <c r="B464" s="172"/>
      <c r="C464" s="172"/>
      <c r="D464" s="172"/>
      <c r="E464" s="172"/>
      <c r="F464" s="172"/>
      <c r="G464" s="172"/>
    </row>
    <row r="465" spans="2:7" hidden="1" x14ac:dyDescent="0.3">
      <c r="B465" s="172"/>
      <c r="C465" s="172"/>
      <c r="D465" s="172"/>
      <c r="E465" s="172"/>
      <c r="F465" s="172"/>
      <c r="G465" s="172"/>
    </row>
    <row r="466" spans="2:7" hidden="1" x14ac:dyDescent="0.3">
      <c r="B466" s="172"/>
      <c r="C466" s="172"/>
      <c r="D466" s="172"/>
      <c r="E466" s="172"/>
      <c r="F466" s="172"/>
      <c r="G466" s="172"/>
    </row>
    <row r="467" spans="2:7" hidden="1" x14ac:dyDescent="0.3">
      <c r="B467" s="172"/>
      <c r="C467" s="172"/>
      <c r="D467" s="172"/>
      <c r="E467" s="172"/>
      <c r="F467" s="172"/>
      <c r="G467" s="172"/>
    </row>
    <row r="468" spans="2:7" hidden="1" x14ac:dyDescent="0.3">
      <c r="B468" s="172"/>
      <c r="C468" s="172"/>
      <c r="D468" s="172"/>
      <c r="E468" s="172"/>
      <c r="F468" s="172"/>
      <c r="G468" s="172"/>
    </row>
    <row r="469" spans="2:7" hidden="1" x14ac:dyDescent="0.3">
      <c r="B469" s="172"/>
      <c r="C469" s="172"/>
      <c r="D469" s="172"/>
      <c r="E469" s="172"/>
      <c r="F469" s="172"/>
      <c r="G469" s="172"/>
    </row>
    <row r="470" spans="2:7" hidden="1" x14ac:dyDescent="0.3">
      <c r="B470" s="172"/>
      <c r="C470" s="172"/>
      <c r="D470" s="172"/>
      <c r="E470" s="172"/>
      <c r="F470" s="172"/>
      <c r="G470" s="172"/>
    </row>
    <row r="471" spans="2:7" hidden="1" x14ac:dyDescent="0.3">
      <c r="B471" s="172"/>
      <c r="C471" s="172"/>
      <c r="D471" s="172"/>
      <c r="E471" s="172"/>
      <c r="F471" s="172"/>
      <c r="G471" s="172"/>
    </row>
    <row r="472" spans="2:7" hidden="1" x14ac:dyDescent="0.3">
      <c r="B472" s="172"/>
      <c r="C472" s="172"/>
      <c r="D472" s="172"/>
      <c r="E472" s="172"/>
      <c r="F472" s="172"/>
      <c r="G472" s="172"/>
    </row>
    <row r="473" spans="2:7" hidden="1" x14ac:dyDescent="0.3">
      <c r="B473" s="172"/>
      <c r="C473" s="172"/>
      <c r="D473" s="172"/>
      <c r="E473" s="172"/>
      <c r="F473" s="172"/>
      <c r="G473" s="172"/>
    </row>
    <row r="474" spans="2:7" hidden="1" x14ac:dyDescent="0.3">
      <c r="B474" s="172"/>
      <c r="C474" s="172"/>
      <c r="D474" s="172"/>
      <c r="E474" s="172"/>
      <c r="F474" s="172"/>
      <c r="G474" s="172"/>
    </row>
    <row r="475" spans="2:7" hidden="1" x14ac:dyDescent="0.3">
      <c r="B475" s="172"/>
      <c r="C475" s="172"/>
      <c r="D475" s="172"/>
      <c r="E475" s="172"/>
      <c r="F475" s="172"/>
      <c r="G475" s="172"/>
    </row>
    <row r="476" spans="2:7" hidden="1" x14ac:dyDescent="0.3">
      <c r="B476" s="172"/>
      <c r="C476" s="172"/>
      <c r="D476" s="172"/>
      <c r="E476" s="172"/>
      <c r="F476" s="172"/>
      <c r="G476" s="172"/>
    </row>
    <row r="477" spans="2:7" hidden="1" x14ac:dyDescent="0.3">
      <c r="B477" s="172"/>
      <c r="C477" s="172"/>
      <c r="D477" s="172"/>
      <c r="E477" s="172"/>
      <c r="F477" s="172"/>
      <c r="G477" s="172"/>
    </row>
    <row r="478" spans="2:7" hidden="1" x14ac:dyDescent="0.3">
      <c r="B478" s="172"/>
      <c r="C478" s="172"/>
      <c r="D478" s="172"/>
      <c r="E478" s="172"/>
      <c r="F478" s="172"/>
      <c r="G478" s="172"/>
    </row>
    <row r="479" spans="2:7" hidden="1" x14ac:dyDescent="0.3">
      <c r="B479" s="172"/>
      <c r="C479" s="172"/>
      <c r="D479" s="172"/>
      <c r="E479" s="172"/>
      <c r="F479" s="172"/>
      <c r="G479" s="172"/>
    </row>
    <row r="480" spans="2:7" hidden="1" x14ac:dyDescent="0.3">
      <c r="B480" s="172"/>
      <c r="C480" s="172"/>
      <c r="D480" s="172"/>
      <c r="E480" s="172"/>
      <c r="F480" s="172"/>
      <c r="G480" s="172"/>
    </row>
    <row r="481" spans="2:7" hidden="1" x14ac:dyDescent="0.3">
      <c r="B481" s="172"/>
      <c r="C481" s="172"/>
      <c r="D481" s="172"/>
      <c r="E481" s="172"/>
      <c r="F481" s="172"/>
      <c r="G481" s="172"/>
    </row>
    <row r="482" spans="2:7" hidden="1" x14ac:dyDescent="0.3">
      <c r="B482" s="172"/>
      <c r="C482" s="172"/>
      <c r="D482" s="172"/>
      <c r="E482" s="172"/>
      <c r="F482" s="172"/>
      <c r="G482" s="172"/>
    </row>
    <row r="483" spans="2:7" hidden="1" x14ac:dyDescent="0.3">
      <c r="B483" s="172"/>
      <c r="C483" s="172"/>
      <c r="D483" s="172"/>
      <c r="E483" s="172"/>
      <c r="F483" s="172"/>
      <c r="G483" s="172"/>
    </row>
    <row r="484" spans="2:7" hidden="1" x14ac:dyDescent="0.3">
      <c r="B484" s="172"/>
      <c r="C484" s="172"/>
      <c r="D484" s="172"/>
      <c r="E484" s="172"/>
      <c r="F484" s="172"/>
      <c r="G484" s="172"/>
    </row>
    <row r="485" spans="2:7" hidden="1" x14ac:dyDescent="0.3">
      <c r="B485" s="172"/>
      <c r="C485" s="172"/>
      <c r="D485" s="172"/>
      <c r="E485" s="172"/>
      <c r="F485" s="172"/>
      <c r="G485" s="172"/>
    </row>
    <row r="486" spans="2:7" hidden="1" x14ac:dyDescent="0.3">
      <c r="B486" s="172"/>
      <c r="C486" s="172"/>
      <c r="D486" s="172"/>
      <c r="E486" s="172"/>
      <c r="F486" s="172"/>
      <c r="G486" s="172"/>
    </row>
    <row r="487" spans="2:7" hidden="1" x14ac:dyDescent="0.3">
      <c r="B487" s="172"/>
      <c r="C487" s="172"/>
      <c r="D487" s="172"/>
      <c r="E487" s="172"/>
      <c r="F487" s="172"/>
      <c r="G487" s="172"/>
    </row>
    <row r="488" spans="2:7" hidden="1" x14ac:dyDescent="0.3">
      <c r="B488" s="172"/>
      <c r="C488" s="172"/>
      <c r="D488" s="172"/>
      <c r="E488" s="172"/>
      <c r="F488" s="172"/>
      <c r="G488" s="172"/>
    </row>
    <row r="489" spans="2:7" hidden="1" x14ac:dyDescent="0.3">
      <c r="B489" s="172"/>
      <c r="C489" s="172"/>
      <c r="D489" s="172"/>
      <c r="E489" s="172"/>
      <c r="F489" s="172"/>
      <c r="G489" s="172"/>
    </row>
    <row r="490" spans="2:7" hidden="1" x14ac:dyDescent="0.3">
      <c r="B490" s="172"/>
      <c r="C490" s="172"/>
      <c r="D490" s="172"/>
      <c r="E490" s="172"/>
      <c r="F490" s="172"/>
      <c r="G490" s="172"/>
    </row>
    <row r="491" spans="2:7" hidden="1" x14ac:dyDescent="0.3">
      <c r="B491" s="172"/>
      <c r="C491" s="172"/>
      <c r="D491" s="172"/>
      <c r="E491" s="172"/>
      <c r="F491" s="172"/>
      <c r="G491" s="172"/>
    </row>
    <row r="492" spans="2:7" hidden="1" x14ac:dyDescent="0.3">
      <c r="B492" s="172"/>
      <c r="C492" s="172"/>
      <c r="D492" s="172"/>
      <c r="E492" s="172"/>
      <c r="F492" s="172"/>
      <c r="G492" s="172"/>
    </row>
    <row r="493" spans="2:7" hidden="1" x14ac:dyDescent="0.3">
      <c r="B493" s="172"/>
      <c r="C493" s="172"/>
      <c r="D493" s="172"/>
      <c r="E493" s="172"/>
      <c r="F493" s="172"/>
      <c r="G493" s="172"/>
    </row>
    <row r="494" spans="2:7" hidden="1" x14ac:dyDescent="0.3">
      <c r="B494" s="172"/>
      <c r="C494" s="172"/>
      <c r="D494" s="172"/>
      <c r="E494" s="172"/>
      <c r="F494" s="172"/>
      <c r="G494" s="172"/>
    </row>
    <row r="495" spans="2:7" hidden="1" x14ac:dyDescent="0.3">
      <c r="B495" s="172"/>
      <c r="C495" s="172"/>
      <c r="D495" s="172"/>
      <c r="E495" s="172"/>
      <c r="F495" s="172"/>
      <c r="G495" s="172"/>
    </row>
    <row r="496" spans="2:7" hidden="1" x14ac:dyDescent="0.3">
      <c r="B496" s="172"/>
      <c r="C496" s="172"/>
      <c r="D496" s="172"/>
      <c r="E496" s="172"/>
      <c r="F496" s="172"/>
      <c r="G496" s="172"/>
    </row>
    <row r="497" spans="2:7" hidden="1" x14ac:dyDescent="0.3">
      <c r="B497" s="172"/>
      <c r="C497" s="172"/>
      <c r="D497" s="172"/>
      <c r="E497" s="172"/>
      <c r="F497" s="172"/>
      <c r="G497" s="172"/>
    </row>
    <row r="498" spans="2:7" hidden="1" x14ac:dyDescent="0.3">
      <c r="B498" s="172"/>
      <c r="C498" s="172"/>
      <c r="D498" s="172"/>
      <c r="E498" s="172"/>
      <c r="F498" s="172"/>
      <c r="G498" s="172"/>
    </row>
    <row r="499" spans="2:7" hidden="1" x14ac:dyDescent="0.3">
      <c r="B499" s="172"/>
      <c r="C499" s="172"/>
      <c r="D499" s="172"/>
      <c r="E499" s="172"/>
      <c r="F499" s="172"/>
      <c r="G499" s="172"/>
    </row>
    <row r="500" spans="2:7" hidden="1" x14ac:dyDescent="0.3">
      <c r="B500" s="172"/>
      <c r="C500" s="172"/>
      <c r="D500" s="172"/>
      <c r="E500" s="172"/>
      <c r="F500" s="172"/>
      <c r="G500" s="172"/>
    </row>
    <row r="501" spans="2:7" hidden="1" x14ac:dyDescent="0.3">
      <c r="B501" s="172"/>
      <c r="C501" s="172"/>
      <c r="D501" s="172"/>
      <c r="E501" s="172"/>
      <c r="F501" s="172"/>
      <c r="G501" s="172"/>
    </row>
    <row r="502" spans="2:7" hidden="1" x14ac:dyDescent="0.3">
      <c r="B502" s="172"/>
      <c r="C502" s="172"/>
      <c r="D502" s="172"/>
      <c r="E502" s="172"/>
      <c r="F502" s="172"/>
      <c r="G502" s="172"/>
    </row>
    <row r="503" spans="2:7" hidden="1" x14ac:dyDescent="0.3">
      <c r="B503" s="172"/>
      <c r="C503" s="172"/>
      <c r="D503" s="172"/>
      <c r="E503" s="172"/>
      <c r="F503" s="172"/>
      <c r="G503" s="172"/>
    </row>
    <row r="504" spans="2:7" hidden="1" x14ac:dyDescent="0.3">
      <c r="B504" s="172"/>
      <c r="C504" s="172"/>
      <c r="D504" s="172"/>
      <c r="E504" s="172"/>
      <c r="F504" s="172"/>
      <c r="G504" s="172"/>
    </row>
    <row r="505" spans="2:7" hidden="1" x14ac:dyDescent="0.3">
      <c r="B505" s="172"/>
      <c r="C505" s="172"/>
      <c r="D505" s="172"/>
      <c r="E505" s="172"/>
      <c r="F505" s="172"/>
      <c r="G505" s="172"/>
    </row>
    <row r="506" spans="2:7" hidden="1" x14ac:dyDescent="0.3">
      <c r="B506" s="172"/>
      <c r="C506" s="172"/>
      <c r="D506" s="172"/>
      <c r="E506" s="172"/>
      <c r="F506" s="172"/>
      <c r="G506" s="172"/>
    </row>
    <row r="507" spans="2:7" hidden="1" x14ac:dyDescent="0.3">
      <c r="B507" s="172"/>
      <c r="C507" s="172"/>
      <c r="D507" s="172"/>
      <c r="E507" s="172"/>
      <c r="F507" s="172"/>
      <c r="G507" s="172"/>
    </row>
    <row r="508" spans="2:7" hidden="1" x14ac:dyDescent="0.3">
      <c r="B508" s="172"/>
      <c r="C508" s="172"/>
      <c r="D508" s="172"/>
      <c r="E508" s="172"/>
      <c r="F508" s="172"/>
      <c r="G508" s="172"/>
    </row>
    <row r="509" spans="2:7" hidden="1" x14ac:dyDescent="0.3">
      <c r="B509" s="172"/>
      <c r="C509" s="172"/>
      <c r="D509" s="172"/>
      <c r="E509" s="172"/>
      <c r="F509" s="172"/>
      <c r="G509" s="172"/>
    </row>
    <row r="510" spans="2:7" hidden="1" x14ac:dyDescent="0.3">
      <c r="B510" s="172"/>
      <c r="C510" s="172"/>
      <c r="D510" s="172"/>
      <c r="E510" s="172"/>
      <c r="F510" s="172"/>
      <c r="G510" s="172"/>
    </row>
    <row r="511" spans="2:7" hidden="1" x14ac:dyDescent="0.3">
      <c r="B511" s="172"/>
      <c r="C511" s="172"/>
      <c r="D511" s="172"/>
      <c r="E511" s="172"/>
      <c r="F511" s="172"/>
      <c r="G511" s="172"/>
    </row>
    <row r="512" spans="2:7" hidden="1" x14ac:dyDescent="0.3">
      <c r="B512" s="172"/>
      <c r="C512" s="172"/>
      <c r="D512" s="172"/>
      <c r="E512" s="172"/>
      <c r="F512" s="172"/>
      <c r="G512" s="172"/>
    </row>
    <row r="513" spans="2:7" hidden="1" x14ac:dyDescent="0.3">
      <c r="B513" s="172"/>
      <c r="C513" s="172"/>
      <c r="D513" s="172"/>
      <c r="E513" s="172"/>
      <c r="F513" s="172"/>
      <c r="G513" s="172"/>
    </row>
    <row r="514" spans="2:7" hidden="1" x14ac:dyDescent="0.3">
      <c r="B514" s="172"/>
      <c r="C514" s="172"/>
      <c r="D514" s="172"/>
      <c r="E514" s="172"/>
      <c r="F514" s="172"/>
      <c r="G514" s="172"/>
    </row>
    <row r="515" spans="2:7" hidden="1" x14ac:dyDescent="0.3">
      <c r="B515" s="172"/>
      <c r="C515" s="172"/>
      <c r="D515" s="172"/>
      <c r="E515" s="172"/>
      <c r="F515" s="172"/>
      <c r="G515" s="172"/>
    </row>
    <row r="516" spans="2:7" hidden="1" x14ac:dyDescent="0.3">
      <c r="B516" s="172"/>
      <c r="C516" s="172"/>
      <c r="D516" s="172"/>
      <c r="E516" s="172"/>
      <c r="F516" s="172"/>
      <c r="G516" s="172"/>
    </row>
    <row r="517" spans="2:7" hidden="1" x14ac:dyDescent="0.3">
      <c r="B517" s="172"/>
      <c r="C517" s="172"/>
      <c r="D517" s="172"/>
      <c r="E517" s="172"/>
      <c r="F517" s="172"/>
      <c r="G517" s="172"/>
    </row>
    <row r="518" spans="2:7" hidden="1" x14ac:dyDescent="0.3">
      <c r="B518" s="172"/>
      <c r="C518" s="172"/>
      <c r="D518" s="172"/>
      <c r="E518" s="172"/>
      <c r="F518" s="172"/>
      <c r="G518" s="172"/>
    </row>
    <row r="519" spans="2:7" hidden="1" x14ac:dyDescent="0.3">
      <c r="B519" s="172"/>
      <c r="C519" s="172"/>
      <c r="D519" s="172"/>
      <c r="E519" s="172"/>
      <c r="F519" s="172"/>
      <c r="G519" s="172"/>
    </row>
    <row r="520" spans="2:7" hidden="1" x14ac:dyDescent="0.3">
      <c r="B520" s="172"/>
      <c r="C520" s="172"/>
      <c r="D520" s="172"/>
      <c r="E520" s="172"/>
      <c r="F520" s="172"/>
      <c r="G520" s="172"/>
    </row>
    <row r="521" spans="2:7" hidden="1" x14ac:dyDescent="0.3">
      <c r="B521" s="172"/>
      <c r="C521" s="172"/>
      <c r="D521" s="172"/>
      <c r="E521" s="172"/>
      <c r="F521" s="172"/>
      <c r="G521" s="172"/>
    </row>
    <row r="522" spans="2:7" hidden="1" x14ac:dyDescent="0.3">
      <c r="B522" s="172"/>
      <c r="C522" s="172"/>
      <c r="D522" s="172"/>
      <c r="E522" s="172"/>
      <c r="F522" s="172"/>
      <c r="G522" s="172"/>
    </row>
    <row r="523" spans="2:7" hidden="1" x14ac:dyDescent="0.3">
      <c r="B523" s="172"/>
      <c r="C523" s="172"/>
      <c r="D523" s="172"/>
      <c r="E523" s="172"/>
      <c r="F523" s="172"/>
      <c r="G523" s="172"/>
    </row>
    <row r="524" spans="2:7" hidden="1" x14ac:dyDescent="0.3">
      <c r="B524" s="172"/>
      <c r="C524" s="172"/>
      <c r="D524" s="172"/>
      <c r="E524" s="172"/>
      <c r="F524" s="172"/>
      <c r="G524" s="172"/>
    </row>
    <row r="525" spans="2:7" hidden="1" x14ac:dyDescent="0.3">
      <c r="B525" s="172"/>
      <c r="C525" s="172"/>
      <c r="D525" s="172"/>
      <c r="E525" s="172"/>
      <c r="F525" s="172"/>
      <c r="G525" s="172"/>
    </row>
    <row r="526" spans="2:7" hidden="1" x14ac:dyDescent="0.3">
      <c r="B526" s="172"/>
      <c r="C526" s="172"/>
      <c r="D526" s="172"/>
      <c r="E526" s="172"/>
      <c r="F526" s="172"/>
      <c r="G526" s="172"/>
    </row>
    <row r="527" spans="2:7" hidden="1" x14ac:dyDescent="0.3">
      <c r="B527" s="172"/>
      <c r="C527" s="172"/>
      <c r="D527" s="172"/>
      <c r="E527" s="172"/>
      <c r="F527" s="172"/>
      <c r="G527" s="172"/>
    </row>
    <row r="528" spans="2:7" hidden="1" x14ac:dyDescent="0.3">
      <c r="B528" s="172"/>
      <c r="C528" s="172"/>
      <c r="D528" s="172"/>
      <c r="E528" s="172"/>
      <c r="F528" s="172"/>
      <c r="G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 macro="[0]!IRRE_TORSIONAL">
                <anchor moveWithCells="1" sizeWithCells="1">
                  <from>
                    <xdr:col>8</xdr:col>
                    <xdr:colOff>784860</xdr:colOff>
                    <xdr:row>0</xdr:row>
                    <xdr:rowOff>99060</xdr:rowOff>
                  </from>
                  <to>
                    <xdr:col>11</xdr:col>
                    <xdr:colOff>381000</xdr:colOff>
                    <xdr:row>10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B2:I528"/>
  <sheetViews>
    <sheetView topLeftCell="A278" workbookViewId="0">
      <selection activeCell="E406" sqref="E406:E456"/>
    </sheetView>
  </sheetViews>
  <sheetFormatPr baseColWidth="10" defaultRowHeight="14.4" x14ac:dyDescent="0.3"/>
  <cols>
    <col min="2" max="7" width="11.5546875" style="75"/>
  </cols>
  <sheetData>
    <row r="2" spans="2:9" x14ac:dyDescent="0.3">
      <c r="B2" s="167" t="s">
        <v>251</v>
      </c>
      <c r="C2" s="168"/>
      <c r="D2" s="168"/>
      <c r="E2" s="168"/>
      <c r="F2" s="168"/>
      <c r="G2" s="168"/>
      <c r="H2" s="168"/>
      <c r="I2" s="168"/>
    </row>
    <row r="3" spans="2:9" x14ac:dyDescent="0.3">
      <c r="B3" s="169" t="s">
        <v>9</v>
      </c>
      <c r="C3" s="169" t="s">
        <v>46</v>
      </c>
      <c r="D3" s="169" t="s">
        <v>42</v>
      </c>
      <c r="E3" s="169" t="s">
        <v>252</v>
      </c>
      <c r="F3" s="169" t="s">
        <v>253</v>
      </c>
      <c r="G3" s="169" t="s">
        <v>218</v>
      </c>
      <c r="H3" s="169" t="s">
        <v>221</v>
      </c>
      <c r="I3" s="170" t="s">
        <v>206</v>
      </c>
    </row>
    <row r="4" spans="2:9" x14ac:dyDescent="0.3">
      <c r="B4" s="205"/>
      <c r="C4" s="205"/>
      <c r="D4" s="205"/>
      <c r="E4" s="205"/>
      <c r="F4" s="205"/>
      <c r="G4" s="205" t="s">
        <v>7</v>
      </c>
      <c r="H4" s="205" t="s">
        <v>7</v>
      </c>
      <c r="I4" s="206" t="s">
        <v>7</v>
      </c>
    </row>
    <row r="5" spans="2:9" s="172" customFormat="1" x14ac:dyDescent="0.3">
      <c r="B5" s="27" t="s">
        <v>254</v>
      </c>
      <c r="C5" s="27" t="s">
        <v>255</v>
      </c>
      <c r="D5" s="27" t="s">
        <v>256</v>
      </c>
      <c r="E5" s="27" t="s">
        <v>257</v>
      </c>
      <c r="F5" s="27" t="s">
        <v>258</v>
      </c>
      <c r="G5" s="27" t="s">
        <v>259</v>
      </c>
      <c r="H5" s="27" t="s">
        <v>260</v>
      </c>
      <c r="I5" s="27" t="s">
        <v>261</v>
      </c>
    </row>
    <row r="6" spans="2:9" s="172" customFormat="1" x14ac:dyDescent="0.3">
      <c r="B6" s="172" t="s">
        <v>189</v>
      </c>
      <c r="C6" s="172" t="s">
        <v>79</v>
      </c>
      <c r="D6" s="172" t="s">
        <v>218</v>
      </c>
      <c r="E6" s="172">
        <v>2.48049617596731E-4</v>
      </c>
      <c r="F6" s="172">
        <v>64</v>
      </c>
      <c r="G6" s="172">
        <v>21</v>
      </c>
      <c r="H6" s="172">
        <v>8</v>
      </c>
      <c r="I6" s="172">
        <v>38.5</v>
      </c>
    </row>
    <row r="7" spans="2:9" s="172" customFormat="1" hidden="1" x14ac:dyDescent="0.3">
      <c r="B7" s="172" t="s">
        <v>189</v>
      </c>
      <c r="C7" s="172" t="s">
        <v>80</v>
      </c>
      <c r="D7" s="172" t="s">
        <v>218</v>
      </c>
      <c r="E7" s="172">
        <v>2.5590088743604797E-4</v>
      </c>
      <c r="F7" s="172">
        <v>103</v>
      </c>
      <c r="G7" s="172">
        <v>16</v>
      </c>
      <c r="H7" s="172">
        <v>4</v>
      </c>
      <c r="I7" s="172">
        <v>38.5</v>
      </c>
    </row>
    <row r="8" spans="2:9" s="172" customFormat="1" hidden="1" x14ac:dyDescent="0.3">
      <c r="B8" s="172" t="s">
        <v>189</v>
      </c>
      <c r="C8" s="172" t="s">
        <v>80</v>
      </c>
      <c r="D8" s="172" t="s">
        <v>221</v>
      </c>
      <c r="E8" s="172">
        <v>3.4996707889387301E-5</v>
      </c>
      <c r="F8" s="172">
        <v>79</v>
      </c>
      <c r="G8" s="172">
        <v>21</v>
      </c>
      <c r="H8" s="172">
        <v>4</v>
      </c>
      <c r="I8" s="172">
        <v>38.5</v>
      </c>
    </row>
    <row r="9" spans="2:9" s="172" customFormat="1" hidden="1" x14ac:dyDescent="0.3">
      <c r="B9" s="172" t="s">
        <v>189</v>
      </c>
      <c r="C9" s="172" t="s">
        <v>81</v>
      </c>
      <c r="D9" s="172" t="s">
        <v>221</v>
      </c>
      <c r="E9" s="172">
        <v>3.4625371760071901E-4</v>
      </c>
      <c r="F9" s="172">
        <v>79</v>
      </c>
      <c r="G9" s="172">
        <v>21</v>
      </c>
      <c r="H9" s="172">
        <v>4</v>
      </c>
      <c r="I9" s="172">
        <v>38.5</v>
      </c>
    </row>
    <row r="10" spans="2:9" s="172" customFormat="1" hidden="1" x14ac:dyDescent="0.3">
      <c r="B10" s="172" t="s">
        <v>189</v>
      </c>
      <c r="C10" s="172" t="s">
        <v>82</v>
      </c>
      <c r="D10" s="172" t="s">
        <v>221</v>
      </c>
      <c r="E10" s="172">
        <v>2.87964905860374E-4</v>
      </c>
      <c r="F10" s="172">
        <v>79</v>
      </c>
      <c r="G10" s="172">
        <v>21</v>
      </c>
      <c r="H10" s="172">
        <v>4</v>
      </c>
      <c r="I10" s="172">
        <v>38.5</v>
      </c>
    </row>
    <row r="11" spans="2:9" s="172" customFormat="1" hidden="1" x14ac:dyDescent="0.3">
      <c r="B11" s="172" t="s">
        <v>189</v>
      </c>
      <c r="C11" s="172" t="s">
        <v>246</v>
      </c>
      <c r="D11" s="172" t="s">
        <v>218</v>
      </c>
      <c r="E11" s="172">
        <v>4.1957174513004299E-4</v>
      </c>
      <c r="F11" s="172">
        <v>103</v>
      </c>
      <c r="G11" s="172">
        <v>16</v>
      </c>
      <c r="H11" s="172">
        <v>4</v>
      </c>
      <c r="I11" s="172">
        <v>38.5</v>
      </c>
    </row>
    <row r="12" spans="2:9" s="172" customFormat="1" x14ac:dyDescent="0.3">
      <c r="B12" s="172" t="s">
        <v>187</v>
      </c>
      <c r="C12" s="172" t="s">
        <v>79</v>
      </c>
      <c r="D12" s="172" t="s">
        <v>218</v>
      </c>
      <c r="E12" s="172">
        <v>2.5718220880069403E-4</v>
      </c>
      <c r="F12" s="172">
        <v>33</v>
      </c>
      <c r="G12" s="172">
        <v>16</v>
      </c>
      <c r="H12" s="172">
        <v>15</v>
      </c>
      <c r="I12" s="172">
        <v>35.5</v>
      </c>
    </row>
    <row r="13" spans="2:9" s="172" customFormat="1" hidden="1" x14ac:dyDescent="0.3">
      <c r="B13" s="172" t="s">
        <v>187</v>
      </c>
      <c r="C13" s="172" t="s">
        <v>80</v>
      </c>
      <c r="D13" s="172" t="s">
        <v>218</v>
      </c>
      <c r="E13" s="172">
        <v>2.6858445681592698E-4</v>
      </c>
      <c r="F13" s="172">
        <v>30</v>
      </c>
      <c r="G13" s="172">
        <v>16</v>
      </c>
      <c r="H13" s="172">
        <v>0</v>
      </c>
      <c r="I13" s="172">
        <v>35.5</v>
      </c>
    </row>
    <row r="14" spans="2:9" hidden="1" x14ac:dyDescent="0.3">
      <c r="B14" s="172" t="s">
        <v>187</v>
      </c>
      <c r="C14" s="172" t="s">
        <v>81</v>
      </c>
      <c r="D14" s="172" t="s">
        <v>221</v>
      </c>
      <c r="E14" s="172">
        <v>3.9885022354100398E-4</v>
      </c>
      <c r="F14" s="172">
        <v>79</v>
      </c>
      <c r="G14" s="172">
        <v>21</v>
      </c>
      <c r="H14" s="172">
        <v>4</v>
      </c>
      <c r="I14" s="172">
        <v>35.5</v>
      </c>
    </row>
    <row r="15" spans="2:9" hidden="1" x14ac:dyDescent="0.3">
      <c r="B15" s="172" t="s">
        <v>187</v>
      </c>
      <c r="C15" s="172" t="s">
        <v>82</v>
      </c>
      <c r="D15" s="172" t="s">
        <v>221</v>
      </c>
      <c r="E15" s="172">
        <v>3.7306005620499301E-4</v>
      </c>
      <c r="F15" s="172">
        <v>21</v>
      </c>
      <c r="G15" s="172">
        <v>0</v>
      </c>
      <c r="H15" s="172">
        <v>15</v>
      </c>
      <c r="I15" s="172">
        <v>35.5</v>
      </c>
    </row>
    <row r="16" spans="2:9" hidden="1" x14ac:dyDescent="0.3">
      <c r="B16" s="172" t="s">
        <v>187</v>
      </c>
      <c r="C16" s="172" t="s">
        <v>246</v>
      </c>
      <c r="D16" s="172" t="s">
        <v>218</v>
      </c>
      <c r="E16" s="172">
        <v>1.20469180781745E-4</v>
      </c>
      <c r="F16" s="172">
        <v>30</v>
      </c>
      <c r="G16" s="172">
        <v>16</v>
      </c>
      <c r="H16" s="172">
        <v>0</v>
      </c>
      <c r="I16" s="172">
        <v>35.5</v>
      </c>
    </row>
    <row r="17" spans="2:9" x14ac:dyDescent="0.3">
      <c r="B17" s="172" t="s">
        <v>185</v>
      </c>
      <c r="C17" s="172" t="s">
        <v>79</v>
      </c>
      <c r="D17" s="172" t="s">
        <v>218</v>
      </c>
      <c r="E17" s="172">
        <v>4.1039639312808298E-4</v>
      </c>
      <c r="F17" s="172">
        <v>33</v>
      </c>
      <c r="G17" s="172">
        <v>16</v>
      </c>
      <c r="H17" s="172">
        <v>15</v>
      </c>
      <c r="I17" s="172">
        <v>32</v>
      </c>
    </row>
    <row r="18" spans="2:9" hidden="1" x14ac:dyDescent="0.3">
      <c r="B18" s="172" t="s">
        <v>185</v>
      </c>
      <c r="C18" s="172" t="s">
        <v>80</v>
      </c>
      <c r="D18" s="172" t="s">
        <v>218</v>
      </c>
      <c r="E18" s="172">
        <v>4.2149850460428899E-4</v>
      </c>
      <c r="F18" s="172">
        <v>30</v>
      </c>
      <c r="G18" s="172">
        <v>16</v>
      </c>
      <c r="H18" s="172">
        <v>0</v>
      </c>
      <c r="I18" s="172">
        <v>32</v>
      </c>
    </row>
    <row r="19" spans="2:9" hidden="1" x14ac:dyDescent="0.3">
      <c r="B19" s="172" t="s">
        <v>185</v>
      </c>
      <c r="C19" s="172" t="s">
        <v>81</v>
      </c>
      <c r="D19" s="172" t="s">
        <v>221</v>
      </c>
      <c r="E19" s="172">
        <v>5.6325410877158799E-4</v>
      </c>
      <c r="F19" s="172">
        <v>79</v>
      </c>
      <c r="G19" s="172">
        <v>21</v>
      </c>
      <c r="H19" s="172">
        <v>4</v>
      </c>
      <c r="I19" s="172">
        <v>32</v>
      </c>
    </row>
    <row r="20" spans="2:9" hidden="1" x14ac:dyDescent="0.3">
      <c r="B20" s="172" t="s">
        <v>185</v>
      </c>
      <c r="C20" s="172" t="s">
        <v>82</v>
      </c>
      <c r="D20" s="172" t="s">
        <v>221</v>
      </c>
      <c r="E20" s="172">
        <v>5.6066862523618201E-4</v>
      </c>
      <c r="F20" s="172">
        <v>21</v>
      </c>
      <c r="G20" s="172">
        <v>0</v>
      </c>
      <c r="H20" s="172">
        <v>15</v>
      </c>
      <c r="I20" s="172">
        <v>32</v>
      </c>
    </row>
    <row r="21" spans="2:9" hidden="1" x14ac:dyDescent="0.3">
      <c r="B21" s="172" t="s">
        <v>185</v>
      </c>
      <c r="C21" s="172" t="s">
        <v>246</v>
      </c>
      <c r="D21" s="172" t="s">
        <v>218</v>
      </c>
      <c r="E21" s="172">
        <v>1.17753402687942E-4</v>
      </c>
      <c r="F21" s="172">
        <v>30</v>
      </c>
      <c r="G21" s="172">
        <v>16</v>
      </c>
      <c r="H21" s="172">
        <v>0</v>
      </c>
      <c r="I21" s="172">
        <v>32</v>
      </c>
    </row>
    <row r="22" spans="2:9" x14ac:dyDescent="0.3">
      <c r="B22" s="172" t="s">
        <v>183</v>
      </c>
      <c r="C22" s="172" t="s">
        <v>79</v>
      </c>
      <c r="D22" s="172" t="s">
        <v>218</v>
      </c>
      <c r="E22" s="172">
        <v>5.5298515768966805E-4</v>
      </c>
      <c r="F22" s="172">
        <v>33</v>
      </c>
      <c r="G22" s="172">
        <v>16</v>
      </c>
      <c r="H22" s="172">
        <v>15</v>
      </c>
      <c r="I22" s="172">
        <v>28.5</v>
      </c>
    </row>
    <row r="23" spans="2:9" hidden="1" x14ac:dyDescent="0.3">
      <c r="B23" s="172" t="s">
        <v>183</v>
      </c>
      <c r="C23" s="172" t="s">
        <v>80</v>
      </c>
      <c r="D23" s="172" t="s">
        <v>218</v>
      </c>
      <c r="E23" s="172">
        <v>5.6266303910433503E-4</v>
      </c>
      <c r="F23" s="172">
        <v>30</v>
      </c>
      <c r="G23" s="172">
        <v>16</v>
      </c>
      <c r="H23" s="172">
        <v>0</v>
      </c>
      <c r="I23" s="172">
        <v>28.5</v>
      </c>
    </row>
    <row r="24" spans="2:9" hidden="1" x14ac:dyDescent="0.3">
      <c r="B24" s="172" t="s">
        <v>183</v>
      </c>
      <c r="C24" s="172" t="s">
        <v>81</v>
      </c>
      <c r="D24" s="172" t="s">
        <v>221</v>
      </c>
      <c r="E24" s="172">
        <v>7.0786324786893196E-4</v>
      </c>
      <c r="F24" s="172">
        <v>79</v>
      </c>
      <c r="G24" s="172">
        <v>21</v>
      </c>
      <c r="H24" s="172">
        <v>4</v>
      </c>
      <c r="I24" s="172">
        <v>28.5</v>
      </c>
    </row>
    <row r="25" spans="2:9" hidden="1" x14ac:dyDescent="0.3">
      <c r="B25" s="172" t="s">
        <v>183</v>
      </c>
      <c r="C25" s="172" t="s">
        <v>82</v>
      </c>
      <c r="D25" s="172" t="s">
        <v>221</v>
      </c>
      <c r="E25" s="172">
        <v>7.3085617824510802E-4</v>
      </c>
      <c r="F25" s="172">
        <v>21</v>
      </c>
      <c r="G25" s="172">
        <v>0</v>
      </c>
      <c r="H25" s="172">
        <v>15</v>
      </c>
      <c r="I25" s="172">
        <v>28.5</v>
      </c>
    </row>
    <row r="26" spans="2:9" hidden="1" x14ac:dyDescent="0.3">
      <c r="B26" s="172" t="s">
        <v>183</v>
      </c>
      <c r="C26" s="172" t="s">
        <v>246</v>
      </c>
      <c r="D26" s="172" t="s">
        <v>218</v>
      </c>
      <c r="E26" s="172">
        <v>1.12887783424029E-4</v>
      </c>
      <c r="F26" s="172">
        <v>30</v>
      </c>
      <c r="G26" s="172">
        <v>16</v>
      </c>
      <c r="H26" s="172">
        <v>0</v>
      </c>
      <c r="I26" s="172">
        <v>28.5</v>
      </c>
    </row>
    <row r="27" spans="2:9" x14ac:dyDescent="0.3">
      <c r="B27" s="172" t="s">
        <v>181</v>
      </c>
      <c r="C27" s="172" t="s">
        <v>79</v>
      </c>
      <c r="D27" s="172" t="s">
        <v>218</v>
      </c>
      <c r="E27" s="172">
        <v>6.7413679905960503E-4</v>
      </c>
      <c r="F27" s="172">
        <v>33</v>
      </c>
      <c r="G27" s="172">
        <v>16</v>
      </c>
      <c r="H27" s="172">
        <v>15</v>
      </c>
      <c r="I27" s="172">
        <v>25</v>
      </c>
    </row>
    <row r="28" spans="2:9" hidden="1" x14ac:dyDescent="0.3">
      <c r="B28" s="172" t="s">
        <v>181</v>
      </c>
      <c r="C28" s="172" t="s">
        <v>80</v>
      </c>
      <c r="D28" s="172" t="s">
        <v>218</v>
      </c>
      <c r="E28" s="172">
        <v>6.8244335583959404E-4</v>
      </c>
      <c r="F28" s="172">
        <v>30</v>
      </c>
      <c r="G28" s="172">
        <v>16</v>
      </c>
      <c r="H28" s="172">
        <v>0</v>
      </c>
      <c r="I28" s="172">
        <v>25</v>
      </c>
    </row>
    <row r="29" spans="2:9" hidden="1" x14ac:dyDescent="0.3">
      <c r="B29" s="172" t="s">
        <v>181</v>
      </c>
      <c r="C29" s="172" t="s">
        <v>81</v>
      </c>
      <c r="D29" s="172" t="s">
        <v>221</v>
      </c>
      <c r="E29" s="172">
        <v>8.2563152877679498E-4</v>
      </c>
      <c r="F29" s="172">
        <v>79</v>
      </c>
      <c r="G29" s="172">
        <v>21</v>
      </c>
      <c r="H29" s="172">
        <v>4</v>
      </c>
      <c r="I29" s="172">
        <v>25</v>
      </c>
    </row>
    <row r="30" spans="2:9" hidden="1" x14ac:dyDescent="0.3">
      <c r="B30" s="172" t="s">
        <v>181</v>
      </c>
      <c r="C30" s="172" t="s">
        <v>82</v>
      </c>
      <c r="D30" s="172" t="s">
        <v>221</v>
      </c>
      <c r="E30" s="172">
        <v>8.7099095723625303E-4</v>
      </c>
      <c r="F30" s="172">
        <v>21</v>
      </c>
      <c r="G30" s="172">
        <v>0</v>
      </c>
      <c r="H30" s="172">
        <v>15</v>
      </c>
      <c r="I30" s="172">
        <v>25</v>
      </c>
    </row>
    <row r="31" spans="2:9" hidden="1" x14ac:dyDescent="0.3">
      <c r="B31" s="172" t="s">
        <v>181</v>
      </c>
      <c r="C31" s="172" t="s">
        <v>246</v>
      </c>
      <c r="D31" s="172" t="s">
        <v>218</v>
      </c>
      <c r="E31" s="172">
        <v>1.0556647892953299E-4</v>
      </c>
      <c r="F31" s="172">
        <v>30</v>
      </c>
      <c r="G31" s="172">
        <v>16</v>
      </c>
      <c r="H31" s="172">
        <v>0</v>
      </c>
      <c r="I31" s="172">
        <v>25</v>
      </c>
    </row>
    <row r="32" spans="2:9" x14ac:dyDescent="0.3">
      <c r="B32" s="172" t="s">
        <v>179</v>
      </c>
      <c r="C32" s="172" t="s">
        <v>79</v>
      </c>
      <c r="D32" s="172" t="s">
        <v>218</v>
      </c>
      <c r="E32" s="172">
        <v>7.7572539859524796E-4</v>
      </c>
      <c r="F32" s="172">
        <v>33</v>
      </c>
      <c r="G32" s="172">
        <v>16</v>
      </c>
      <c r="H32" s="172">
        <v>15</v>
      </c>
      <c r="I32" s="172">
        <v>21.5</v>
      </c>
    </row>
    <row r="33" spans="2:9" hidden="1" x14ac:dyDescent="0.3">
      <c r="B33" s="172" t="s">
        <v>179</v>
      </c>
      <c r="C33" s="172" t="s">
        <v>80</v>
      </c>
      <c r="D33" s="172" t="s">
        <v>218</v>
      </c>
      <c r="E33" s="172">
        <v>7.8233371380805202E-4</v>
      </c>
      <c r="F33" s="172">
        <v>30</v>
      </c>
      <c r="G33" s="172">
        <v>16</v>
      </c>
      <c r="H33" s="172">
        <v>0</v>
      </c>
      <c r="I33" s="172">
        <v>21.5</v>
      </c>
    </row>
    <row r="34" spans="2:9" hidden="1" x14ac:dyDescent="0.3">
      <c r="B34" s="172" t="s">
        <v>179</v>
      </c>
      <c r="C34" s="172" t="s">
        <v>81</v>
      </c>
      <c r="D34" s="172" t="s">
        <v>221</v>
      </c>
      <c r="E34" s="172">
        <v>9.2008260293993096E-4</v>
      </c>
      <c r="F34" s="172">
        <v>79</v>
      </c>
      <c r="G34" s="172">
        <v>21</v>
      </c>
      <c r="H34" s="172">
        <v>4</v>
      </c>
      <c r="I34" s="172">
        <v>21.5</v>
      </c>
    </row>
    <row r="35" spans="2:9" hidden="1" x14ac:dyDescent="0.3">
      <c r="B35" s="172" t="s">
        <v>179</v>
      </c>
      <c r="C35" s="172" t="s">
        <v>82</v>
      </c>
      <c r="D35" s="172" t="s">
        <v>221</v>
      </c>
      <c r="E35" s="172">
        <v>9.8563376852794492E-4</v>
      </c>
      <c r="F35" s="172">
        <v>21</v>
      </c>
      <c r="G35" s="172">
        <v>0</v>
      </c>
      <c r="H35" s="172">
        <v>15</v>
      </c>
      <c r="I35" s="172">
        <v>21.5</v>
      </c>
    </row>
    <row r="36" spans="2:9" hidden="1" x14ac:dyDescent="0.3">
      <c r="B36" s="172" t="s">
        <v>179</v>
      </c>
      <c r="C36" s="172" t="s">
        <v>246</v>
      </c>
      <c r="D36" s="172" t="s">
        <v>218</v>
      </c>
      <c r="E36" s="172">
        <v>9.6423233198488401E-5</v>
      </c>
      <c r="F36" s="172">
        <v>30</v>
      </c>
      <c r="G36" s="172">
        <v>16</v>
      </c>
      <c r="H36" s="172">
        <v>0</v>
      </c>
      <c r="I36" s="172">
        <v>21.5</v>
      </c>
    </row>
    <row r="37" spans="2:9" x14ac:dyDescent="0.3">
      <c r="B37" s="172" t="s">
        <v>39</v>
      </c>
      <c r="C37" s="172" t="s">
        <v>79</v>
      </c>
      <c r="D37" s="172" t="s">
        <v>218</v>
      </c>
      <c r="E37" s="172">
        <v>8.4698001013086598E-4</v>
      </c>
      <c r="F37" s="172">
        <v>33</v>
      </c>
      <c r="G37" s="172">
        <v>16</v>
      </c>
      <c r="H37" s="172">
        <v>15</v>
      </c>
      <c r="I37" s="172">
        <v>18</v>
      </c>
    </row>
    <row r="38" spans="2:9" hidden="1" x14ac:dyDescent="0.3">
      <c r="B38" s="172" t="s">
        <v>39</v>
      </c>
      <c r="C38" s="172" t="s">
        <v>80</v>
      </c>
      <c r="D38" s="172" t="s">
        <v>218</v>
      </c>
      <c r="E38" s="172">
        <v>8.4778598860670799E-4</v>
      </c>
      <c r="F38" s="172">
        <v>30</v>
      </c>
      <c r="G38" s="172">
        <v>16</v>
      </c>
      <c r="H38" s="172">
        <v>0</v>
      </c>
      <c r="I38" s="172">
        <v>18</v>
      </c>
    </row>
    <row r="39" spans="2:9" hidden="1" x14ac:dyDescent="0.3">
      <c r="B39" s="172" t="s">
        <v>39</v>
      </c>
      <c r="C39" s="172" t="s">
        <v>81</v>
      </c>
      <c r="D39" s="172" t="s">
        <v>221</v>
      </c>
      <c r="E39" s="172">
        <v>9.9073482333601206E-4</v>
      </c>
      <c r="F39" s="172">
        <v>79</v>
      </c>
      <c r="G39" s="172">
        <v>21</v>
      </c>
      <c r="H39" s="172">
        <v>4</v>
      </c>
      <c r="I39" s="172">
        <v>18</v>
      </c>
    </row>
    <row r="40" spans="2:9" hidden="1" x14ac:dyDescent="0.3">
      <c r="B40" s="172" t="s">
        <v>39</v>
      </c>
      <c r="C40" s="172" t="s">
        <v>82</v>
      </c>
      <c r="D40" s="172" t="s">
        <v>221</v>
      </c>
      <c r="E40" s="172">
        <v>1.0798003749718701E-3</v>
      </c>
      <c r="F40" s="172">
        <v>21</v>
      </c>
      <c r="G40" s="172">
        <v>0</v>
      </c>
      <c r="H40" s="172">
        <v>15</v>
      </c>
      <c r="I40" s="172">
        <v>18</v>
      </c>
    </row>
    <row r="41" spans="2:9" hidden="1" x14ac:dyDescent="0.3">
      <c r="B41" s="172" t="s">
        <v>39</v>
      </c>
      <c r="C41" s="172" t="s">
        <v>246</v>
      </c>
      <c r="D41" s="172" t="s">
        <v>218</v>
      </c>
      <c r="E41" s="172">
        <v>9.0608469999449594E-5</v>
      </c>
      <c r="F41" s="172">
        <v>30</v>
      </c>
      <c r="G41" s="172">
        <v>16</v>
      </c>
      <c r="H41" s="172">
        <v>0</v>
      </c>
      <c r="I41" s="172">
        <v>18</v>
      </c>
    </row>
    <row r="42" spans="2:9" x14ac:dyDescent="0.3">
      <c r="B42" s="172" t="s">
        <v>26</v>
      </c>
      <c r="C42" s="172" t="s">
        <v>79</v>
      </c>
      <c r="D42" s="172" t="s">
        <v>218</v>
      </c>
      <c r="E42" s="172">
        <v>9.0053423057188497E-4</v>
      </c>
      <c r="F42" s="172">
        <v>33</v>
      </c>
      <c r="G42" s="172">
        <v>16</v>
      </c>
      <c r="H42" s="172">
        <v>15</v>
      </c>
      <c r="I42" s="172">
        <v>14.5</v>
      </c>
    </row>
    <row r="43" spans="2:9" hidden="1" x14ac:dyDescent="0.3">
      <c r="B43" s="172" t="s">
        <v>26</v>
      </c>
      <c r="C43" s="172" t="s">
        <v>80</v>
      </c>
      <c r="D43" s="172" t="s">
        <v>218</v>
      </c>
      <c r="E43" s="172">
        <v>8.9525263398075995E-4</v>
      </c>
      <c r="F43" s="172">
        <v>30</v>
      </c>
      <c r="G43" s="172">
        <v>16</v>
      </c>
      <c r="H43" s="172">
        <v>0</v>
      </c>
      <c r="I43" s="172">
        <v>14.5</v>
      </c>
    </row>
    <row r="44" spans="2:9" hidden="1" x14ac:dyDescent="0.3">
      <c r="B44" s="172" t="s">
        <v>26</v>
      </c>
      <c r="C44" s="172" t="s">
        <v>81</v>
      </c>
      <c r="D44" s="172" t="s">
        <v>221</v>
      </c>
      <c r="E44" s="172">
        <v>1.0436180678514101E-3</v>
      </c>
      <c r="F44" s="172">
        <v>79</v>
      </c>
      <c r="G44" s="172">
        <v>21</v>
      </c>
      <c r="H44" s="172">
        <v>4</v>
      </c>
      <c r="I44" s="172">
        <v>14.5</v>
      </c>
    </row>
    <row r="45" spans="2:9" hidden="1" x14ac:dyDescent="0.3">
      <c r="B45" s="172" t="s">
        <v>26</v>
      </c>
      <c r="C45" s="172" t="s">
        <v>82</v>
      </c>
      <c r="D45" s="172" t="s">
        <v>221</v>
      </c>
      <c r="E45" s="172">
        <v>1.15437715702271E-3</v>
      </c>
      <c r="F45" s="172">
        <v>21</v>
      </c>
      <c r="G45" s="172">
        <v>0</v>
      </c>
      <c r="H45" s="172">
        <v>15</v>
      </c>
      <c r="I45" s="172">
        <v>14.5</v>
      </c>
    </row>
    <row r="46" spans="2:9" hidden="1" x14ac:dyDescent="0.3">
      <c r="B46" s="172" t="s">
        <v>26</v>
      </c>
      <c r="C46" s="172" t="s">
        <v>246</v>
      </c>
      <c r="D46" s="172" t="s">
        <v>218</v>
      </c>
      <c r="E46" s="172">
        <v>8.1322633221673696E-5</v>
      </c>
      <c r="F46" s="172">
        <v>30</v>
      </c>
      <c r="G46" s="172">
        <v>16</v>
      </c>
      <c r="H46" s="172">
        <v>0</v>
      </c>
      <c r="I46" s="172">
        <v>14.5</v>
      </c>
    </row>
    <row r="47" spans="2:9" x14ac:dyDescent="0.3">
      <c r="B47" s="172" t="s">
        <v>25</v>
      </c>
      <c r="C47" s="172" t="s">
        <v>79</v>
      </c>
      <c r="D47" s="172" t="s">
        <v>218</v>
      </c>
      <c r="E47" s="172">
        <v>9.4919027741321603E-4</v>
      </c>
      <c r="F47" s="172">
        <v>33</v>
      </c>
      <c r="G47" s="172">
        <v>16</v>
      </c>
      <c r="H47" s="172">
        <v>15</v>
      </c>
      <c r="I47" s="172">
        <v>11</v>
      </c>
    </row>
    <row r="48" spans="2:9" hidden="1" x14ac:dyDescent="0.3">
      <c r="B48" s="172" t="s">
        <v>25</v>
      </c>
      <c r="C48" s="172" t="s">
        <v>80</v>
      </c>
      <c r="D48" s="172" t="s">
        <v>218</v>
      </c>
      <c r="E48" s="172">
        <v>9.4098174318284602E-4</v>
      </c>
      <c r="F48" s="172">
        <v>30</v>
      </c>
      <c r="G48" s="172">
        <v>16</v>
      </c>
      <c r="H48" s="172">
        <v>0</v>
      </c>
      <c r="I48" s="172">
        <v>11</v>
      </c>
    </row>
    <row r="49" spans="2:9" hidden="1" x14ac:dyDescent="0.3">
      <c r="B49" s="172" t="s">
        <v>25</v>
      </c>
      <c r="C49" s="172" t="s">
        <v>81</v>
      </c>
      <c r="D49" s="172" t="s">
        <v>221</v>
      </c>
      <c r="E49" s="172">
        <v>1.0798570851283801E-3</v>
      </c>
      <c r="F49" s="172">
        <v>79</v>
      </c>
      <c r="G49" s="172">
        <v>21</v>
      </c>
      <c r="H49" s="172">
        <v>4</v>
      </c>
      <c r="I49" s="172">
        <v>11</v>
      </c>
    </row>
    <row r="50" spans="2:9" hidden="1" x14ac:dyDescent="0.3">
      <c r="B50" s="172" t="s">
        <v>25</v>
      </c>
      <c r="C50" s="172" t="s">
        <v>82</v>
      </c>
      <c r="D50" s="172" t="s">
        <v>221</v>
      </c>
      <c r="E50" s="172">
        <v>1.20652444653261E-3</v>
      </c>
      <c r="F50" s="172">
        <v>21</v>
      </c>
      <c r="G50" s="172">
        <v>0</v>
      </c>
      <c r="H50" s="172">
        <v>15</v>
      </c>
      <c r="I50" s="172">
        <v>11</v>
      </c>
    </row>
    <row r="51" spans="2:9" hidden="1" x14ac:dyDescent="0.3">
      <c r="B51" s="172" t="s">
        <v>25</v>
      </c>
      <c r="C51" s="172" t="s">
        <v>246</v>
      </c>
      <c r="D51" s="172" t="s">
        <v>218</v>
      </c>
      <c r="E51" s="172">
        <v>6.2645530127756899E-5</v>
      </c>
      <c r="F51" s="172">
        <v>30</v>
      </c>
      <c r="G51" s="172">
        <v>16</v>
      </c>
      <c r="H51" s="172">
        <v>0</v>
      </c>
      <c r="I51" s="172">
        <v>11</v>
      </c>
    </row>
    <row r="52" spans="2:9" x14ac:dyDescent="0.3">
      <c r="B52" s="172" t="s">
        <v>24</v>
      </c>
      <c r="C52" s="172" t="s">
        <v>79</v>
      </c>
      <c r="D52" s="172" t="s">
        <v>218</v>
      </c>
      <c r="E52" s="172">
        <v>9.7544487692011802E-4</v>
      </c>
      <c r="F52" s="172">
        <v>33</v>
      </c>
      <c r="G52" s="172">
        <v>16</v>
      </c>
      <c r="H52" s="172">
        <v>15</v>
      </c>
      <c r="I52" s="172">
        <v>7.5</v>
      </c>
    </row>
    <row r="53" spans="2:9" hidden="1" x14ac:dyDescent="0.3">
      <c r="B53" s="172" t="s">
        <v>24</v>
      </c>
      <c r="C53" s="172" t="s">
        <v>80</v>
      </c>
      <c r="D53" s="172" t="s">
        <v>218</v>
      </c>
      <c r="E53" s="172">
        <v>9.6493024573369795E-4</v>
      </c>
      <c r="F53" s="172">
        <v>30</v>
      </c>
      <c r="G53" s="172">
        <v>16</v>
      </c>
      <c r="H53" s="172">
        <v>0</v>
      </c>
      <c r="I53" s="172">
        <v>7.5</v>
      </c>
    </row>
    <row r="54" spans="2:9" hidden="1" x14ac:dyDescent="0.3">
      <c r="B54" s="172" t="s">
        <v>24</v>
      </c>
      <c r="C54" s="172" t="s">
        <v>81</v>
      </c>
      <c r="D54" s="172" t="s">
        <v>221</v>
      </c>
      <c r="E54" s="172">
        <v>1.0858333835656101E-3</v>
      </c>
      <c r="F54" s="172">
        <v>79</v>
      </c>
      <c r="G54" s="172">
        <v>21</v>
      </c>
      <c r="H54" s="172">
        <v>4</v>
      </c>
      <c r="I54" s="172">
        <v>7.5</v>
      </c>
    </row>
    <row r="55" spans="2:9" hidden="1" x14ac:dyDescent="0.3">
      <c r="B55" s="172" t="s">
        <v>24</v>
      </c>
      <c r="C55" s="172" t="s">
        <v>82</v>
      </c>
      <c r="D55" s="172" t="s">
        <v>221</v>
      </c>
      <c r="E55" s="172">
        <v>1.22240821949106E-3</v>
      </c>
      <c r="F55" s="172">
        <v>21</v>
      </c>
      <c r="G55" s="172">
        <v>0</v>
      </c>
      <c r="H55" s="172">
        <v>15</v>
      </c>
      <c r="I55" s="172">
        <v>7.5</v>
      </c>
    </row>
    <row r="56" spans="2:9" hidden="1" x14ac:dyDescent="0.3">
      <c r="B56" s="172" t="s">
        <v>24</v>
      </c>
      <c r="C56" s="172" t="s">
        <v>246</v>
      </c>
      <c r="D56" s="172" t="s">
        <v>218</v>
      </c>
      <c r="E56" s="172">
        <v>4.12013222107596E-5</v>
      </c>
      <c r="F56" s="172">
        <v>33</v>
      </c>
      <c r="G56" s="172">
        <v>16</v>
      </c>
      <c r="H56" s="172">
        <v>15</v>
      </c>
      <c r="I56" s="172">
        <v>7.5</v>
      </c>
    </row>
    <row r="57" spans="2:9" x14ac:dyDescent="0.3">
      <c r="B57" s="172" t="s">
        <v>22</v>
      </c>
      <c r="C57" s="172" t="s">
        <v>79</v>
      </c>
      <c r="D57" s="172" t="s">
        <v>218</v>
      </c>
      <c r="E57" s="172">
        <v>8.2700576676696103E-4</v>
      </c>
      <c r="F57" s="172">
        <v>33</v>
      </c>
      <c r="G57" s="172">
        <v>16</v>
      </c>
      <c r="H57" s="172">
        <v>15</v>
      </c>
      <c r="I57" s="172">
        <v>4</v>
      </c>
    </row>
    <row r="58" spans="2:9" hidden="1" x14ac:dyDescent="0.3">
      <c r="B58" s="172" t="s">
        <v>22</v>
      </c>
      <c r="C58" s="172" t="s">
        <v>80</v>
      </c>
      <c r="D58" s="172" t="s">
        <v>218</v>
      </c>
      <c r="E58" s="172">
        <v>8.2114716445413395E-4</v>
      </c>
      <c r="F58" s="172">
        <v>30</v>
      </c>
      <c r="G58" s="172">
        <v>16</v>
      </c>
      <c r="H58" s="172">
        <v>0</v>
      </c>
      <c r="I58" s="172">
        <v>4</v>
      </c>
    </row>
    <row r="59" spans="2:9" hidden="1" x14ac:dyDescent="0.3">
      <c r="B59" s="172" t="s">
        <v>22</v>
      </c>
      <c r="C59" s="172" t="s">
        <v>81</v>
      </c>
      <c r="D59" s="172" t="s">
        <v>221</v>
      </c>
      <c r="E59" s="172">
        <v>8.7639232417232801E-4</v>
      </c>
      <c r="F59" s="172">
        <v>79</v>
      </c>
      <c r="G59" s="172">
        <v>21</v>
      </c>
      <c r="H59" s="172">
        <v>4</v>
      </c>
      <c r="I59" s="172">
        <v>4</v>
      </c>
    </row>
    <row r="60" spans="2:9" hidden="1" x14ac:dyDescent="0.3">
      <c r="B60" s="172" t="s">
        <v>22</v>
      </c>
      <c r="C60" s="172" t="s">
        <v>82</v>
      </c>
      <c r="D60" s="172" t="s">
        <v>221</v>
      </c>
      <c r="E60" s="172">
        <v>9.8397494962079008E-4</v>
      </c>
      <c r="F60" s="172">
        <v>21</v>
      </c>
      <c r="G60" s="172">
        <v>0</v>
      </c>
      <c r="H60" s="172">
        <v>15</v>
      </c>
      <c r="I60" s="172">
        <v>4</v>
      </c>
    </row>
    <row r="61" spans="2:9" hidden="1" x14ac:dyDescent="0.3">
      <c r="B61" s="172" t="s">
        <v>22</v>
      </c>
      <c r="C61" s="172" t="s">
        <v>246</v>
      </c>
      <c r="D61" s="172" t="s">
        <v>218</v>
      </c>
      <c r="E61" s="172">
        <v>1.5389927238240001E-5</v>
      </c>
      <c r="F61" s="172">
        <v>33</v>
      </c>
      <c r="G61" s="172">
        <v>16</v>
      </c>
      <c r="H61" s="172">
        <v>15</v>
      </c>
      <c r="I61" s="172">
        <v>4</v>
      </c>
    </row>
    <row r="62" spans="2:9" hidden="1" x14ac:dyDescent="0.3">
      <c r="B62" s="172"/>
      <c r="C62" s="172"/>
      <c r="D62" s="172"/>
      <c r="E62" s="172"/>
      <c r="F62" s="172"/>
      <c r="G62" s="172"/>
      <c r="H62" s="172"/>
      <c r="I62" s="172"/>
    </row>
    <row r="63" spans="2:9" hidden="1" x14ac:dyDescent="0.3">
      <c r="B63" s="172"/>
      <c r="C63" s="172"/>
      <c r="D63" s="172"/>
      <c r="E63" s="172"/>
      <c r="F63" s="172"/>
      <c r="G63" s="172"/>
      <c r="H63" s="172"/>
      <c r="I63" s="172"/>
    </row>
    <row r="64" spans="2:9" hidden="1" x14ac:dyDescent="0.3">
      <c r="B64" s="172"/>
      <c r="C64" s="172"/>
      <c r="D64" s="172"/>
      <c r="E64" s="172"/>
      <c r="F64" s="172"/>
      <c r="G64" s="172"/>
      <c r="H64" s="172"/>
      <c r="I64" s="172"/>
    </row>
    <row r="65" spans="2:9" hidden="1" x14ac:dyDescent="0.3">
      <c r="B65" s="172"/>
      <c r="C65" s="172"/>
      <c r="D65" s="172"/>
      <c r="E65" s="172"/>
      <c r="F65" s="172"/>
      <c r="G65" s="172"/>
      <c r="H65" s="172"/>
      <c r="I65" s="172"/>
    </row>
    <row r="66" spans="2:9" hidden="1" x14ac:dyDescent="0.3">
      <c r="B66" s="172"/>
      <c r="C66" s="172"/>
      <c r="D66" s="172"/>
      <c r="E66" s="172"/>
      <c r="F66" s="172"/>
      <c r="G66" s="172"/>
      <c r="H66" s="172"/>
      <c r="I66" s="172"/>
    </row>
    <row r="67" spans="2:9" hidden="1" x14ac:dyDescent="0.3">
      <c r="B67" s="172"/>
      <c r="C67" s="172"/>
      <c r="D67" s="172"/>
      <c r="E67" s="172"/>
      <c r="F67" s="172"/>
      <c r="G67" s="172"/>
      <c r="H67" s="172"/>
      <c r="I67" s="172"/>
    </row>
    <row r="68" spans="2:9" hidden="1" x14ac:dyDescent="0.3">
      <c r="B68" s="172"/>
      <c r="C68" s="172"/>
      <c r="D68" s="172"/>
      <c r="E68" s="172"/>
      <c r="F68" s="172"/>
      <c r="G68" s="172"/>
      <c r="H68" s="172"/>
      <c r="I68" s="172"/>
    </row>
    <row r="69" spans="2:9" hidden="1" x14ac:dyDescent="0.3">
      <c r="B69" s="172"/>
      <c r="C69" s="172"/>
      <c r="D69" s="172"/>
      <c r="E69" s="172"/>
      <c r="F69" s="172"/>
      <c r="G69" s="172"/>
      <c r="H69" s="172"/>
      <c r="I69" s="172"/>
    </row>
    <row r="70" spans="2:9" hidden="1" x14ac:dyDescent="0.3">
      <c r="B70" s="172"/>
      <c r="C70" s="172"/>
      <c r="D70" s="172"/>
      <c r="E70" s="172"/>
      <c r="F70" s="172"/>
      <c r="G70" s="172"/>
      <c r="H70" s="172"/>
      <c r="I70" s="172"/>
    </row>
    <row r="71" spans="2:9" hidden="1" x14ac:dyDescent="0.3">
      <c r="B71" s="172"/>
      <c r="C71" s="172"/>
      <c r="D71" s="172"/>
      <c r="E71" s="172"/>
      <c r="F71" s="172"/>
      <c r="G71" s="172"/>
      <c r="H71" s="172"/>
      <c r="I71" s="172"/>
    </row>
    <row r="72" spans="2:9" hidden="1" x14ac:dyDescent="0.3">
      <c r="B72" s="172"/>
      <c r="C72" s="172"/>
      <c r="D72" s="172"/>
      <c r="E72" s="172"/>
      <c r="F72" s="172"/>
      <c r="G72" s="172"/>
      <c r="H72" s="172"/>
      <c r="I72" s="172"/>
    </row>
    <row r="73" spans="2:9" hidden="1" x14ac:dyDescent="0.3">
      <c r="B73" s="172"/>
      <c r="C73" s="172"/>
      <c r="D73" s="172"/>
      <c r="E73" s="172"/>
      <c r="F73" s="172"/>
      <c r="G73" s="172"/>
      <c r="H73" s="172"/>
      <c r="I73" s="172"/>
    </row>
    <row r="74" spans="2:9" hidden="1" x14ac:dyDescent="0.3">
      <c r="B74" s="172"/>
      <c r="C74" s="172"/>
      <c r="D74" s="172"/>
      <c r="E74" s="172"/>
      <c r="F74" s="172"/>
      <c r="G74" s="172"/>
      <c r="H74" s="172"/>
      <c r="I74" s="172"/>
    </row>
    <row r="75" spans="2:9" hidden="1" x14ac:dyDescent="0.3">
      <c r="B75" s="172"/>
      <c r="C75" s="172"/>
      <c r="D75" s="172"/>
      <c r="E75" s="172"/>
      <c r="F75" s="172"/>
      <c r="G75" s="172"/>
      <c r="H75" s="172"/>
      <c r="I75" s="172"/>
    </row>
    <row r="76" spans="2:9" hidden="1" x14ac:dyDescent="0.3">
      <c r="B76" s="172"/>
      <c r="C76" s="172"/>
      <c r="D76" s="172"/>
      <c r="E76" s="172"/>
      <c r="F76" s="172"/>
      <c r="G76" s="172"/>
      <c r="H76" s="172"/>
      <c r="I76" s="172"/>
    </row>
    <row r="77" spans="2:9" hidden="1" x14ac:dyDescent="0.3">
      <c r="B77" s="172"/>
      <c r="C77" s="172"/>
      <c r="D77" s="172"/>
      <c r="E77" s="172"/>
      <c r="F77" s="172"/>
      <c r="G77" s="172"/>
      <c r="H77" s="172"/>
      <c r="I77" s="172"/>
    </row>
    <row r="78" spans="2:9" hidden="1" x14ac:dyDescent="0.3">
      <c r="B78" s="172"/>
      <c r="C78" s="172"/>
      <c r="D78" s="172"/>
      <c r="E78" s="172"/>
      <c r="F78" s="172"/>
      <c r="G78" s="172"/>
      <c r="H78" s="172"/>
      <c r="I78" s="172"/>
    </row>
    <row r="79" spans="2:9" hidden="1" x14ac:dyDescent="0.3">
      <c r="B79" s="172"/>
      <c r="C79" s="172"/>
      <c r="D79" s="172"/>
      <c r="E79" s="172"/>
      <c r="F79" s="172"/>
      <c r="G79" s="172"/>
      <c r="H79" s="172"/>
      <c r="I79" s="172"/>
    </row>
    <row r="80" spans="2:9" hidden="1" x14ac:dyDescent="0.3">
      <c r="B80" s="172"/>
      <c r="C80" s="172"/>
      <c r="D80" s="172"/>
      <c r="E80" s="172"/>
      <c r="F80" s="172"/>
      <c r="G80" s="172"/>
      <c r="H80" s="172"/>
      <c r="I80" s="172"/>
    </row>
    <row r="81" spans="2:9" hidden="1" x14ac:dyDescent="0.3">
      <c r="B81" s="172"/>
      <c r="C81" s="172"/>
      <c r="D81" s="172"/>
      <c r="E81" s="172"/>
      <c r="F81" s="172"/>
      <c r="G81" s="172"/>
      <c r="H81" s="172"/>
      <c r="I81" s="172"/>
    </row>
    <row r="82" spans="2:9" hidden="1" x14ac:dyDescent="0.3">
      <c r="B82" s="172"/>
      <c r="C82" s="172"/>
      <c r="D82" s="172"/>
      <c r="E82" s="172"/>
      <c r="F82" s="172"/>
      <c r="G82" s="172"/>
      <c r="H82" s="172"/>
      <c r="I82" s="172"/>
    </row>
    <row r="83" spans="2:9" hidden="1" x14ac:dyDescent="0.3">
      <c r="B83" s="172"/>
      <c r="C83" s="172"/>
      <c r="D83" s="172"/>
      <c r="E83" s="172"/>
      <c r="F83" s="172"/>
      <c r="G83" s="172"/>
      <c r="H83" s="172"/>
      <c r="I83" s="172"/>
    </row>
    <row r="84" spans="2:9" hidden="1" x14ac:dyDescent="0.3">
      <c r="B84" s="172"/>
      <c r="C84" s="172"/>
      <c r="D84" s="172"/>
      <c r="E84" s="172"/>
      <c r="F84" s="172"/>
      <c r="G84" s="172"/>
      <c r="H84" s="172"/>
      <c r="I84" s="172"/>
    </row>
    <row r="85" spans="2:9" hidden="1" x14ac:dyDescent="0.3">
      <c r="B85" s="172"/>
      <c r="C85" s="172"/>
      <c r="D85" s="172"/>
      <c r="E85" s="172"/>
      <c r="F85" s="172"/>
      <c r="G85" s="172"/>
      <c r="H85" s="172"/>
      <c r="I85" s="172"/>
    </row>
    <row r="86" spans="2:9" hidden="1" x14ac:dyDescent="0.3">
      <c r="B86" s="172"/>
      <c r="C86" s="172"/>
      <c r="D86" s="172"/>
      <c r="E86" s="172"/>
      <c r="F86" s="172"/>
      <c r="G86" s="172"/>
      <c r="H86" s="172"/>
      <c r="I86" s="172"/>
    </row>
    <row r="87" spans="2:9" hidden="1" x14ac:dyDescent="0.3">
      <c r="B87" s="172"/>
      <c r="C87" s="172"/>
      <c r="D87" s="172"/>
      <c r="E87" s="172"/>
      <c r="F87" s="172"/>
      <c r="G87" s="172"/>
      <c r="H87" s="172"/>
      <c r="I87" s="172"/>
    </row>
    <row r="88" spans="2:9" hidden="1" x14ac:dyDescent="0.3">
      <c r="B88" s="172"/>
      <c r="C88" s="172"/>
      <c r="D88" s="172"/>
      <c r="E88" s="172"/>
      <c r="F88" s="172"/>
      <c r="G88" s="172"/>
      <c r="H88" s="172"/>
      <c r="I88" s="172"/>
    </row>
    <row r="89" spans="2:9" hidden="1" x14ac:dyDescent="0.3">
      <c r="B89" s="172"/>
      <c r="C89" s="172"/>
      <c r="D89" s="172"/>
      <c r="E89" s="172"/>
      <c r="F89" s="172"/>
      <c r="G89" s="172"/>
      <c r="H89" s="172"/>
      <c r="I89" s="172"/>
    </row>
    <row r="90" spans="2:9" hidden="1" x14ac:dyDescent="0.3">
      <c r="B90" s="172"/>
      <c r="C90" s="172"/>
      <c r="D90" s="172"/>
      <c r="E90" s="172"/>
      <c r="F90" s="172"/>
      <c r="G90" s="172"/>
      <c r="H90" s="172"/>
      <c r="I90" s="172"/>
    </row>
    <row r="91" spans="2:9" hidden="1" x14ac:dyDescent="0.3">
      <c r="B91" s="172"/>
      <c r="C91" s="172"/>
      <c r="D91" s="172"/>
      <c r="E91" s="172"/>
      <c r="F91" s="172"/>
      <c r="G91" s="172"/>
      <c r="H91" s="172"/>
      <c r="I91" s="172"/>
    </row>
    <row r="92" spans="2:9" hidden="1" x14ac:dyDescent="0.3">
      <c r="B92" s="172"/>
      <c r="C92" s="172"/>
      <c r="D92" s="172"/>
      <c r="E92" s="172"/>
      <c r="F92" s="172"/>
      <c r="G92" s="172"/>
      <c r="H92" s="172"/>
      <c r="I92" s="172"/>
    </row>
    <row r="93" spans="2:9" hidden="1" x14ac:dyDescent="0.3">
      <c r="B93" s="172"/>
      <c r="C93" s="172"/>
      <c r="D93" s="172"/>
      <c r="E93" s="172"/>
      <c r="F93" s="172"/>
      <c r="G93" s="172"/>
      <c r="H93" s="172"/>
      <c r="I93" s="172"/>
    </row>
    <row r="94" spans="2:9" hidden="1" x14ac:dyDescent="0.3">
      <c r="B94" s="172"/>
      <c r="C94" s="172"/>
      <c r="D94" s="172"/>
      <c r="E94" s="172"/>
      <c r="F94" s="172"/>
      <c r="G94" s="172"/>
      <c r="H94" s="172"/>
      <c r="I94" s="172"/>
    </row>
    <row r="95" spans="2:9" hidden="1" x14ac:dyDescent="0.3">
      <c r="B95" s="172"/>
      <c r="C95" s="172"/>
      <c r="D95" s="172"/>
      <c r="E95" s="172"/>
      <c r="F95" s="172"/>
      <c r="G95" s="172"/>
      <c r="H95" s="172"/>
      <c r="I95" s="172"/>
    </row>
    <row r="96" spans="2:9" hidden="1" x14ac:dyDescent="0.3">
      <c r="B96" s="172"/>
      <c r="C96" s="172"/>
      <c r="D96" s="172"/>
      <c r="E96" s="172"/>
      <c r="F96" s="172"/>
      <c r="G96" s="172"/>
      <c r="H96" s="172"/>
      <c r="I96" s="172"/>
    </row>
    <row r="97" spans="2:9" hidden="1" x14ac:dyDescent="0.3">
      <c r="B97" s="172"/>
      <c r="C97" s="172"/>
      <c r="D97" s="172"/>
      <c r="E97" s="172"/>
      <c r="F97" s="172"/>
      <c r="G97" s="172"/>
      <c r="H97" s="172"/>
      <c r="I97" s="172"/>
    </row>
    <row r="98" spans="2:9" hidden="1" x14ac:dyDescent="0.3">
      <c r="B98" s="172"/>
      <c r="C98" s="172"/>
      <c r="D98" s="172"/>
      <c r="E98" s="172"/>
      <c r="F98" s="172"/>
      <c r="G98" s="172"/>
      <c r="H98" s="172"/>
      <c r="I98" s="172"/>
    </row>
    <row r="99" spans="2:9" hidden="1" x14ac:dyDescent="0.3">
      <c r="B99" s="172"/>
      <c r="C99" s="172"/>
      <c r="D99" s="172"/>
      <c r="E99" s="172"/>
      <c r="F99" s="172"/>
      <c r="G99" s="172"/>
      <c r="H99" s="172"/>
      <c r="I99" s="172"/>
    </row>
    <row r="100" spans="2:9" hidden="1" x14ac:dyDescent="0.3">
      <c r="B100" s="172"/>
      <c r="C100" s="172"/>
      <c r="D100" s="172"/>
      <c r="E100" s="172"/>
      <c r="F100" s="172"/>
      <c r="G100" s="172"/>
      <c r="H100" s="172"/>
      <c r="I100" s="172"/>
    </row>
    <row r="101" spans="2:9" hidden="1" x14ac:dyDescent="0.3">
      <c r="B101" s="172"/>
      <c r="C101" s="172"/>
      <c r="D101" s="172"/>
      <c r="E101" s="172"/>
      <c r="F101" s="172"/>
      <c r="G101" s="172"/>
      <c r="H101" s="172"/>
      <c r="I101" s="172"/>
    </row>
    <row r="102" spans="2:9" hidden="1" x14ac:dyDescent="0.3">
      <c r="B102" s="172"/>
      <c r="C102" s="172"/>
      <c r="D102" s="172"/>
      <c r="E102" s="172"/>
      <c r="F102" s="172"/>
      <c r="G102" s="172"/>
      <c r="H102" s="172"/>
      <c r="I102" s="172"/>
    </row>
    <row r="103" spans="2:9" hidden="1" x14ac:dyDescent="0.3">
      <c r="B103" s="172"/>
      <c r="C103" s="172"/>
      <c r="D103" s="172"/>
      <c r="E103" s="172"/>
      <c r="F103" s="172"/>
      <c r="G103" s="172"/>
      <c r="H103" s="172"/>
      <c r="I103" s="172"/>
    </row>
    <row r="104" spans="2:9" hidden="1" x14ac:dyDescent="0.3">
      <c r="B104" s="172"/>
      <c r="C104" s="172"/>
      <c r="D104" s="172"/>
      <c r="E104" s="172"/>
      <c r="F104" s="172"/>
      <c r="G104" s="172"/>
      <c r="H104" s="172"/>
      <c r="I104" s="172"/>
    </row>
    <row r="105" spans="2:9" hidden="1" x14ac:dyDescent="0.3">
      <c r="B105" s="172"/>
      <c r="C105" s="172"/>
      <c r="D105" s="172"/>
      <c r="E105" s="172"/>
      <c r="F105" s="172"/>
      <c r="G105" s="172"/>
      <c r="H105" s="172"/>
      <c r="I105" s="172"/>
    </row>
    <row r="106" spans="2:9" hidden="1" x14ac:dyDescent="0.3">
      <c r="B106" s="172"/>
      <c r="C106" s="172"/>
      <c r="D106" s="172"/>
      <c r="E106" s="172"/>
      <c r="F106" s="172"/>
      <c r="G106" s="172"/>
      <c r="H106" s="172"/>
      <c r="I106" s="172"/>
    </row>
    <row r="107" spans="2:9" hidden="1" x14ac:dyDescent="0.3">
      <c r="B107" s="172"/>
      <c r="C107" s="172"/>
      <c r="D107" s="172"/>
      <c r="E107" s="172"/>
      <c r="F107" s="172"/>
      <c r="G107" s="172"/>
      <c r="H107" s="172"/>
      <c r="I107" s="172"/>
    </row>
    <row r="108" spans="2:9" hidden="1" x14ac:dyDescent="0.3">
      <c r="B108" s="172"/>
      <c r="C108" s="172"/>
      <c r="D108" s="172"/>
      <c r="E108" s="172"/>
      <c r="F108" s="172"/>
      <c r="G108" s="172"/>
      <c r="H108" s="172"/>
      <c r="I108" s="172"/>
    </row>
    <row r="109" spans="2:9" hidden="1" x14ac:dyDescent="0.3">
      <c r="B109" s="172"/>
      <c r="C109" s="172"/>
      <c r="D109" s="172"/>
      <c r="E109" s="172"/>
      <c r="F109" s="172"/>
      <c r="G109" s="172"/>
      <c r="H109" s="172"/>
      <c r="I109" s="172"/>
    </row>
    <row r="110" spans="2:9" hidden="1" x14ac:dyDescent="0.3">
      <c r="B110" s="172"/>
      <c r="C110" s="172"/>
      <c r="D110" s="172"/>
      <c r="E110" s="172"/>
      <c r="F110" s="172"/>
      <c r="G110" s="172"/>
      <c r="H110" s="172"/>
      <c r="I110" s="172"/>
    </row>
    <row r="111" spans="2:9" hidden="1" x14ac:dyDescent="0.3">
      <c r="B111" s="172"/>
      <c r="C111" s="172"/>
      <c r="D111" s="172"/>
      <c r="E111" s="172"/>
      <c r="F111" s="172"/>
      <c r="G111" s="172"/>
      <c r="H111" s="172"/>
      <c r="I111" s="172"/>
    </row>
    <row r="112" spans="2:9" hidden="1" x14ac:dyDescent="0.3">
      <c r="B112" s="172"/>
      <c r="C112" s="172"/>
      <c r="D112" s="172"/>
      <c r="E112" s="172"/>
      <c r="F112" s="172"/>
      <c r="G112" s="172"/>
      <c r="H112" s="172"/>
      <c r="I112" s="172"/>
    </row>
    <row r="113" spans="2:9" hidden="1" x14ac:dyDescent="0.3">
      <c r="B113" s="172"/>
      <c r="C113" s="172"/>
      <c r="D113" s="172"/>
      <c r="E113" s="172"/>
      <c r="F113" s="172"/>
      <c r="G113" s="172"/>
      <c r="H113" s="172"/>
      <c r="I113" s="172"/>
    </row>
    <row r="114" spans="2:9" hidden="1" x14ac:dyDescent="0.3">
      <c r="B114" s="172"/>
      <c r="C114" s="172"/>
      <c r="D114" s="172"/>
      <c r="E114" s="172"/>
      <c r="F114" s="172"/>
      <c r="G114" s="172"/>
      <c r="H114" s="172"/>
      <c r="I114" s="172"/>
    </row>
    <row r="115" spans="2:9" s="172" customFormat="1" hidden="1" x14ac:dyDescent="0.3"/>
    <row r="116" spans="2:9" hidden="1" x14ac:dyDescent="0.3">
      <c r="B116" s="172"/>
      <c r="C116" s="172"/>
      <c r="D116" s="172"/>
      <c r="E116" s="172"/>
      <c r="F116" s="172"/>
      <c r="G116" s="172"/>
      <c r="H116" s="172"/>
      <c r="I116" s="172"/>
    </row>
    <row r="117" spans="2:9" s="172" customFormat="1" hidden="1" x14ac:dyDescent="0.3"/>
    <row r="118" spans="2:9" hidden="1" x14ac:dyDescent="0.3">
      <c r="B118" s="172"/>
      <c r="C118" s="172"/>
      <c r="D118" s="172"/>
      <c r="E118" s="172"/>
      <c r="F118" s="172"/>
      <c r="G118" s="172"/>
      <c r="H118" s="172"/>
      <c r="I118" s="172"/>
    </row>
    <row r="119" spans="2:9" s="172" customFormat="1" hidden="1" x14ac:dyDescent="0.3"/>
    <row r="120" spans="2:9" hidden="1" x14ac:dyDescent="0.3">
      <c r="B120" s="172"/>
      <c r="C120" s="172"/>
      <c r="D120" s="172"/>
      <c r="E120" s="172"/>
      <c r="F120" s="172"/>
      <c r="G120" s="172"/>
      <c r="H120" s="172"/>
      <c r="I120" s="172"/>
    </row>
    <row r="121" spans="2:9" s="172" customFormat="1" hidden="1" x14ac:dyDescent="0.3"/>
    <row r="122" spans="2:9" hidden="1" x14ac:dyDescent="0.3">
      <c r="B122" s="172"/>
      <c r="C122" s="172"/>
      <c r="D122" s="172"/>
      <c r="E122" s="172"/>
      <c r="F122" s="172"/>
      <c r="G122" s="172"/>
      <c r="H122" s="172"/>
      <c r="I122" s="172"/>
    </row>
    <row r="123" spans="2:9" s="172" customFormat="1" hidden="1" x14ac:dyDescent="0.3"/>
    <row r="124" spans="2:9" hidden="1" x14ac:dyDescent="0.3">
      <c r="B124" s="172"/>
      <c r="C124" s="172"/>
      <c r="D124" s="172"/>
      <c r="E124" s="172"/>
      <c r="F124" s="172"/>
      <c r="G124" s="172"/>
      <c r="H124" s="172"/>
      <c r="I124" s="172"/>
    </row>
    <row r="125" spans="2:9" s="172" customFormat="1" hidden="1" x14ac:dyDescent="0.3"/>
    <row r="126" spans="2:9" hidden="1" x14ac:dyDescent="0.3">
      <c r="B126" s="172"/>
      <c r="C126" s="172"/>
      <c r="D126" s="172"/>
      <c r="E126" s="172"/>
      <c r="F126" s="172"/>
      <c r="G126" s="172"/>
      <c r="H126" s="172"/>
      <c r="I126" s="172"/>
    </row>
    <row r="127" spans="2:9" hidden="1" x14ac:dyDescent="0.3">
      <c r="B127" s="172"/>
      <c r="C127" s="172"/>
      <c r="D127" s="172"/>
      <c r="E127" s="172"/>
      <c r="F127" s="172"/>
      <c r="G127" s="172"/>
      <c r="H127" s="172"/>
      <c r="I127" s="172"/>
    </row>
    <row r="128" spans="2:9" hidden="1" x14ac:dyDescent="0.3">
      <c r="B128" s="172"/>
      <c r="C128" s="172"/>
      <c r="D128" s="172"/>
      <c r="E128" s="172"/>
      <c r="F128" s="172"/>
      <c r="G128" s="172"/>
      <c r="H128" s="172"/>
      <c r="I128" s="172"/>
    </row>
    <row r="129" spans="2:9" hidden="1" x14ac:dyDescent="0.3">
      <c r="B129" s="172"/>
      <c r="C129" s="172"/>
      <c r="D129" s="172"/>
      <c r="E129" s="172"/>
      <c r="F129" s="172"/>
      <c r="G129" s="172"/>
      <c r="H129" s="172"/>
      <c r="I129" s="172"/>
    </row>
    <row r="130" spans="2:9" hidden="1" x14ac:dyDescent="0.3">
      <c r="B130" s="172"/>
      <c r="C130" s="172"/>
      <c r="D130" s="172"/>
      <c r="E130" s="172"/>
      <c r="F130" s="172"/>
      <c r="G130" s="172"/>
      <c r="H130" s="172"/>
      <c r="I130" s="172"/>
    </row>
    <row r="131" spans="2:9" hidden="1" x14ac:dyDescent="0.3">
      <c r="B131" s="172"/>
      <c r="C131" s="172"/>
      <c r="D131" s="172"/>
      <c r="E131" s="172"/>
      <c r="F131" s="172"/>
      <c r="G131" s="172"/>
      <c r="H131" s="172"/>
      <c r="I131" s="172"/>
    </row>
    <row r="132" spans="2:9" hidden="1" x14ac:dyDescent="0.3">
      <c r="B132" s="172"/>
      <c r="C132" s="172"/>
      <c r="D132" s="172"/>
      <c r="E132" s="172"/>
      <c r="F132" s="172"/>
      <c r="G132" s="172"/>
      <c r="H132" s="172"/>
      <c r="I132" s="172"/>
    </row>
    <row r="134" spans="2:9" x14ac:dyDescent="0.3">
      <c r="B134" s="167" t="s">
        <v>251</v>
      </c>
      <c r="C134" s="168"/>
      <c r="D134" s="168"/>
      <c r="E134" s="168"/>
      <c r="F134" s="168"/>
      <c r="G134" s="168"/>
      <c r="H134" s="168"/>
      <c r="I134" s="168"/>
    </row>
    <row r="135" spans="2:9" x14ac:dyDescent="0.3">
      <c r="B135" s="169" t="s">
        <v>9</v>
      </c>
      <c r="C135" s="169" t="s">
        <v>46</v>
      </c>
      <c r="D135" s="169" t="s">
        <v>42</v>
      </c>
      <c r="E135" s="169" t="s">
        <v>252</v>
      </c>
      <c r="F135" s="169" t="s">
        <v>253</v>
      </c>
      <c r="G135" s="169" t="s">
        <v>218</v>
      </c>
      <c r="H135" s="169" t="s">
        <v>221</v>
      </c>
      <c r="I135" s="170" t="s">
        <v>206</v>
      </c>
    </row>
    <row r="136" spans="2:9" x14ac:dyDescent="0.3">
      <c r="B136" s="205"/>
      <c r="C136" s="205"/>
      <c r="D136" s="205"/>
      <c r="E136" s="205"/>
      <c r="F136" s="205"/>
      <c r="G136" s="205" t="s">
        <v>7</v>
      </c>
      <c r="H136" s="205" t="s">
        <v>7</v>
      </c>
      <c r="I136" s="206" t="s">
        <v>7</v>
      </c>
    </row>
    <row r="137" spans="2:9" s="172" customFormat="1" x14ac:dyDescent="0.3">
      <c r="B137" s="27" t="s">
        <v>254</v>
      </c>
      <c r="C137" s="27" t="s">
        <v>255</v>
      </c>
      <c r="D137" s="27" t="s">
        <v>256</v>
      </c>
      <c r="E137" s="27" t="s">
        <v>257</v>
      </c>
      <c r="F137" s="27" t="s">
        <v>258</v>
      </c>
      <c r="G137" s="27" t="s">
        <v>259</v>
      </c>
      <c r="H137" s="27" t="s">
        <v>260</v>
      </c>
      <c r="I137" s="27" t="s">
        <v>261</v>
      </c>
    </row>
    <row r="138" spans="2:9" hidden="1" x14ac:dyDescent="0.3">
      <c r="B138" s="172" t="s">
        <v>189</v>
      </c>
      <c r="C138" s="172" t="s">
        <v>79</v>
      </c>
      <c r="D138" s="172" t="s">
        <v>218</v>
      </c>
      <c r="E138" s="172">
        <v>2.48049617596731E-4</v>
      </c>
      <c r="F138" s="172">
        <v>64</v>
      </c>
      <c r="G138" s="172">
        <v>21</v>
      </c>
      <c r="H138" s="172">
        <v>8</v>
      </c>
      <c r="I138" s="172">
        <v>38.5</v>
      </c>
    </row>
    <row r="139" spans="2:9" x14ac:dyDescent="0.3">
      <c r="B139" s="172" t="s">
        <v>189</v>
      </c>
      <c r="C139" s="172" t="s">
        <v>80</v>
      </c>
      <c r="D139" s="172" t="s">
        <v>218</v>
      </c>
      <c r="E139" s="172">
        <v>2.5590088743604797E-4</v>
      </c>
      <c r="F139" s="172">
        <v>103</v>
      </c>
      <c r="G139" s="172">
        <v>16</v>
      </c>
      <c r="H139" s="172">
        <v>4</v>
      </c>
      <c r="I139" s="172">
        <v>38.5</v>
      </c>
    </row>
    <row r="140" spans="2:9" hidden="1" x14ac:dyDescent="0.3">
      <c r="B140" s="172" t="s">
        <v>189</v>
      </c>
      <c r="C140" s="172" t="s">
        <v>80</v>
      </c>
      <c r="D140" s="172" t="s">
        <v>221</v>
      </c>
      <c r="E140" s="172">
        <v>3.4996707889387301E-5</v>
      </c>
      <c r="F140" s="172">
        <v>79</v>
      </c>
      <c r="G140" s="172">
        <v>21</v>
      </c>
      <c r="H140" s="172">
        <v>4</v>
      </c>
      <c r="I140" s="172">
        <v>38.5</v>
      </c>
    </row>
    <row r="141" spans="2:9" hidden="1" x14ac:dyDescent="0.3">
      <c r="B141" s="172" t="s">
        <v>189</v>
      </c>
      <c r="C141" s="172" t="s">
        <v>81</v>
      </c>
      <c r="D141" s="172" t="s">
        <v>221</v>
      </c>
      <c r="E141" s="172">
        <v>3.4625371760071901E-4</v>
      </c>
      <c r="F141" s="172">
        <v>79</v>
      </c>
      <c r="G141" s="172">
        <v>21</v>
      </c>
      <c r="H141" s="172">
        <v>4</v>
      </c>
      <c r="I141" s="172">
        <v>38.5</v>
      </c>
    </row>
    <row r="142" spans="2:9" hidden="1" x14ac:dyDescent="0.3">
      <c r="B142" s="172" t="s">
        <v>189</v>
      </c>
      <c r="C142" s="172" t="s">
        <v>82</v>
      </c>
      <c r="D142" s="172" t="s">
        <v>221</v>
      </c>
      <c r="E142" s="172">
        <v>2.87964905860374E-4</v>
      </c>
      <c r="F142" s="172">
        <v>79</v>
      </c>
      <c r="G142" s="172">
        <v>21</v>
      </c>
      <c r="H142" s="172">
        <v>4</v>
      </c>
      <c r="I142" s="172">
        <v>38.5</v>
      </c>
    </row>
    <row r="143" spans="2:9" hidden="1" x14ac:dyDescent="0.3">
      <c r="B143" s="172" t="s">
        <v>189</v>
      </c>
      <c r="C143" s="172" t="s">
        <v>246</v>
      </c>
      <c r="D143" s="172" t="s">
        <v>218</v>
      </c>
      <c r="E143" s="172">
        <v>4.1957174513004299E-4</v>
      </c>
      <c r="F143" s="172">
        <v>103</v>
      </c>
      <c r="G143" s="172">
        <v>16</v>
      </c>
      <c r="H143" s="172">
        <v>4</v>
      </c>
      <c r="I143" s="172">
        <v>38.5</v>
      </c>
    </row>
    <row r="144" spans="2:9" hidden="1" x14ac:dyDescent="0.3">
      <c r="B144" s="172" t="s">
        <v>187</v>
      </c>
      <c r="C144" s="172" t="s">
        <v>79</v>
      </c>
      <c r="D144" s="172" t="s">
        <v>218</v>
      </c>
      <c r="E144" s="172">
        <v>2.5718220880069403E-4</v>
      </c>
      <c r="F144" s="172">
        <v>33</v>
      </c>
      <c r="G144" s="172">
        <v>16</v>
      </c>
      <c r="H144" s="172">
        <v>15</v>
      </c>
      <c r="I144" s="172">
        <v>35.5</v>
      </c>
    </row>
    <row r="145" spans="2:9" x14ac:dyDescent="0.3">
      <c r="B145" s="172" t="s">
        <v>187</v>
      </c>
      <c r="C145" s="172" t="s">
        <v>80</v>
      </c>
      <c r="D145" s="172" t="s">
        <v>218</v>
      </c>
      <c r="E145" s="172">
        <v>2.6858445681592698E-4</v>
      </c>
      <c r="F145" s="172">
        <v>30</v>
      </c>
      <c r="G145" s="172">
        <v>16</v>
      </c>
      <c r="H145" s="172">
        <v>0</v>
      </c>
      <c r="I145" s="172">
        <v>35.5</v>
      </c>
    </row>
    <row r="146" spans="2:9" hidden="1" x14ac:dyDescent="0.3">
      <c r="B146" s="172" t="s">
        <v>187</v>
      </c>
      <c r="C146" s="172" t="s">
        <v>81</v>
      </c>
      <c r="D146" s="172" t="s">
        <v>221</v>
      </c>
      <c r="E146" s="172">
        <v>3.9885022354100398E-4</v>
      </c>
      <c r="F146" s="172">
        <v>79</v>
      </c>
      <c r="G146" s="172">
        <v>21</v>
      </c>
      <c r="H146" s="172">
        <v>4</v>
      </c>
      <c r="I146" s="172">
        <v>35.5</v>
      </c>
    </row>
    <row r="147" spans="2:9" hidden="1" x14ac:dyDescent="0.3">
      <c r="B147" s="172" t="s">
        <v>187</v>
      </c>
      <c r="C147" s="172" t="s">
        <v>82</v>
      </c>
      <c r="D147" s="172" t="s">
        <v>221</v>
      </c>
      <c r="E147" s="172">
        <v>3.7306005620499301E-4</v>
      </c>
      <c r="F147" s="172">
        <v>21</v>
      </c>
      <c r="G147" s="172">
        <v>0</v>
      </c>
      <c r="H147" s="172">
        <v>15</v>
      </c>
      <c r="I147" s="172">
        <v>35.5</v>
      </c>
    </row>
    <row r="148" spans="2:9" hidden="1" x14ac:dyDescent="0.3">
      <c r="B148" s="172" t="s">
        <v>187</v>
      </c>
      <c r="C148" s="172" t="s">
        <v>246</v>
      </c>
      <c r="D148" s="172" t="s">
        <v>218</v>
      </c>
      <c r="E148" s="172">
        <v>1.20469180781745E-4</v>
      </c>
      <c r="F148" s="172">
        <v>30</v>
      </c>
      <c r="G148" s="172">
        <v>16</v>
      </c>
      <c r="H148" s="172">
        <v>0</v>
      </c>
      <c r="I148" s="172">
        <v>35.5</v>
      </c>
    </row>
    <row r="149" spans="2:9" hidden="1" x14ac:dyDescent="0.3">
      <c r="B149" s="172" t="s">
        <v>185</v>
      </c>
      <c r="C149" s="172" t="s">
        <v>79</v>
      </c>
      <c r="D149" s="172" t="s">
        <v>218</v>
      </c>
      <c r="E149" s="172">
        <v>4.1039639312808298E-4</v>
      </c>
      <c r="F149" s="172">
        <v>33</v>
      </c>
      <c r="G149" s="172">
        <v>16</v>
      </c>
      <c r="H149" s="172">
        <v>15</v>
      </c>
      <c r="I149" s="172">
        <v>32</v>
      </c>
    </row>
    <row r="150" spans="2:9" x14ac:dyDescent="0.3">
      <c r="B150" s="172" t="s">
        <v>185</v>
      </c>
      <c r="C150" s="172" t="s">
        <v>80</v>
      </c>
      <c r="D150" s="172" t="s">
        <v>218</v>
      </c>
      <c r="E150" s="172">
        <v>4.2149850460428899E-4</v>
      </c>
      <c r="F150" s="172">
        <v>30</v>
      </c>
      <c r="G150" s="172">
        <v>16</v>
      </c>
      <c r="H150" s="172">
        <v>0</v>
      </c>
      <c r="I150" s="172">
        <v>32</v>
      </c>
    </row>
    <row r="151" spans="2:9" hidden="1" x14ac:dyDescent="0.3">
      <c r="B151" s="172" t="s">
        <v>185</v>
      </c>
      <c r="C151" s="172" t="s">
        <v>81</v>
      </c>
      <c r="D151" s="172" t="s">
        <v>221</v>
      </c>
      <c r="E151" s="172">
        <v>5.6325410877158799E-4</v>
      </c>
      <c r="F151" s="172">
        <v>79</v>
      </c>
      <c r="G151" s="172">
        <v>21</v>
      </c>
      <c r="H151" s="172">
        <v>4</v>
      </c>
      <c r="I151" s="172">
        <v>32</v>
      </c>
    </row>
    <row r="152" spans="2:9" hidden="1" x14ac:dyDescent="0.3">
      <c r="B152" s="172" t="s">
        <v>185</v>
      </c>
      <c r="C152" s="172" t="s">
        <v>82</v>
      </c>
      <c r="D152" s="172" t="s">
        <v>221</v>
      </c>
      <c r="E152" s="172">
        <v>5.6066862523618201E-4</v>
      </c>
      <c r="F152" s="172">
        <v>21</v>
      </c>
      <c r="G152" s="172">
        <v>0</v>
      </c>
      <c r="H152" s="172">
        <v>15</v>
      </c>
      <c r="I152" s="172">
        <v>32</v>
      </c>
    </row>
    <row r="153" spans="2:9" hidden="1" x14ac:dyDescent="0.3">
      <c r="B153" s="172" t="s">
        <v>185</v>
      </c>
      <c r="C153" s="172" t="s">
        <v>246</v>
      </c>
      <c r="D153" s="172" t="s">
        <v>218</v>
      </c>
      <c r="E153" s="172">
        <v>1.17753402687942E-4</v>
      </c>
      <c r="F153" s="172">
        <v>30</v>
      </c>
      <c r="G153" s="172">
        <v>16</v>
      </c>
      <c r="H153" s="172">
        <v>0</v>
      </c>
      <c r="I153" s="172">
        <v>32</v>
      </c>
    </row>
    <row r="154" spans="2:9" hidden="1" x14ac:dyDescent="0.3">
      <c r="B154" s="172" t="s">
        <v>183</v>
      </c>
      <c r="C154" s="172" t="s">
        <v>79</v>
      </c>
      <c r="D154" s="172" t="s">
        <v>218</v>
      </c>
      <c r="E154" s="172">
        <v>5.5298515768966805E-4</v>
      </c>
      <c r="F154" s="172">
        <v>33</v>
      </c>
      <c r="G154" s="172">
        <v>16</v>
      </c>
      <c r="H154" s="172">
        <v>15</v>
      </c>
      <c r="I154" s="172">
        <v>28.5</v>
      </c>
    </row>
    <row r="155" spans="2:9" x14ac:dyDescent="0.3">
      <c r="B155" s="172" t="s">
        <v>183</v>
      </c>
      <c r="C155" s="172" t="s">
        <v>80</v>
      </c>
      <c r="D155" s="172" t="s">
        <v>218</v>
      </c>
      <c r="E155" s="172">
        <v>5.6266303910433503E-4</v>
      </c>
      <c r="F155" s="172">
        <v>30</v>
      </c>
      <c r="G155" s="172">
        <v>16</v>
      </c>
      <c r="H155" s="172">
        <v>0</v>
      </c>
      <c r="I155" s="172">
        <v>28.5</v>
      </c>
    </row>
    <row r="156" spans="2:9" hidden="1" x14ac:dyDescent="0.3">
      <c r="B156" s="172" t="s">
        <v>183</v>
      </c>
      <c r="C156" s="172" t="s">
        <v>81</v>
      </c>
      <c r="D156" s="172" t="s">
        <v>221</v>
      </c>
      <c r="E156" s="172">
        <v>7.0786324786893196E-4</v>
      </c>
      <c r="F156" s="172">
        <v>79</v>
      </c>
      <c r="G156" s="172">
        <v>21</v>
      </c>
      <c r="H156" s="172">
        <v>4</v>
      </c>
      <c r="I156" s="172">
        <v>28.5</v>
      </c>
    </row>
    <row r="157" spans="2:9" hidden="1" x14ac:dyDescent="0.3">
      <c r="B157" s="172" t="s">
        <v>183</v>
      </c>
      <c r="C157" s="172" t="s">
        <v>82</v>
      </c>
      <c r="D157" s="172" t="s">
        <v>221</v>
      </c>
      <c r="E157" s="172">
        <v>7.3085617824510802E-4</v>
      </c>
      <c r="F157" s="172">
        <v>21</v>
      </c>
      <c r="G157" s="172">
        <v>0</v>
      </c>
      <c r="H157" s="172">
        <v>15</v>
      </c>
      <c r="I157" s="172">
        <v>28.5</v>
      </c>
    </row>
    <row r="158" spans="2:9" hidden="1" x14ac:dyDescent="0.3">
      <c r="B158" s="172" t="s">
        <v>183</v>
      </c>
      <c r="C158" s="172" t="s">
        <v>246</v>
      </c>
      <c r="D158" s="172" t="s">
        <v>218</v>
      </c>
      <c r="E158" s="172">
        <v>1.12887783424029E-4</v>
      </c>
      <c r="F158" s="172">
        <v>30</v>
      </c>
      <c r="G158" s="172">
        <v>16</v>
      </c>
      <c r="H158" s="172">
        <v>0</v>
      </c>
      <c r="I158" s="172">
        <v>28.5</v>
      </c>
    </row>
    <row r="159" spans="2:9" hidden="1" x14ac:dyDescent="0.3">
      <c r="B159" s="172" t="s">
        <v>181</v>
      </c>
      <c r="C159" s="172" t="s">
        <v>79</v>
      </c>
      <c r="D159" s="172" t="s">
        <v>218</v>
      </c>
      <c r="E159" s="172">
        <v>6.7413679905960503E-4</v>
      </c>
      <c r="F159" s="172">
        <v>33</v>
      </c>
      <c r="G159" s="172">
        <v>16</v>
      </c>
      <c r="H159" s="172">
        <v>15</v>
      </c>
      <c r="I159" s="172">
        <v>25</v>
      </c>
    </row>
    <row r="160" spans="2:9" x14ac:dyDescent="0.3">
      <c r="B160" s="172" t="s">
        <v>181</v>
      </c>
      <c r="C160" s="172" t="s">
        <v>80</v>
      </c>
      <c r="D160" s="172" t="s">
        <v>218</v>
      </c>
      <c r="E160" s="172">
        <v>6.8244335583959404E-4</v>
      </c>
      <c r="F160" s="172">
        <v>30</v>
      </c>
      <c r="G160" s="172">
        <v>16</v>
      </c>
      <c r="H160" s="172">
        <v>0</v>
      </c>
      <c r="I160" s="172">
        <v>25</v>
      </c>
    </row>
    <row r="161" spans="2:9" hidden="1" x14ac:dyDescent="0.3">
      <c r="B161" s="172" t="s">
        <v>181</v>
      </c>
      <c r="C161" s="172" t="s">
        <v>81</v>
      </c>
      <c r="D161" s="172" t="s">
        <v>221</v>
      </c>
      <c r="E161" s="172">
        <v>8.2563152877679498E-4</v>
      </c>
      <c r="F161" s="172">
        <v>79</v>
      </c>
      <c r="G161" s="172">
        <v>21</v>
      </c>
      <c r="H161" s="172">
        <v>4</v>
      </c>
      <c r="I161" s="172">
        <v>25</v>
      </c>
    </row>
    <row r="162" spans="2:9" hidden="1" x14ac:dyDescent="0.3">
      <c r="B162" s="172" t="s">
        <v>181</v>
      </c>
      <c r="C162" s="172" t="s">
        <v>82</v>
      </c>
      <c r="D162" s="172" t="s">
        <v>221</v>
      </c>
      <c r="E162" s="172">
        <v>8.7099095723625303E-4</v>
      </c>
      <c r="F162" s="172">
        <v>21</v>
      </c>
      <c r="G162" s="172">
        <v>0</v>
      </c>
      <c r="H162" s="172">
        <v>15</v>
      </c>
      <c r="I162" s="172">
        <v>25</v>
      </c>
    </row>
    <row r="163" spans="2:9" hidden="1" x14ac:dyDescent="0.3">
      <c r="B163" s="172" t="s">
        <v>181</v>
      </c>
      <c r="C163" s="172" t="s">
        <v>246</v>
      </c>
      <c r="D163" s="172" t="s">
        <v>218</v>
      </c>
      <c r="E163" s="172">
        <v>1.0556647892953299E-4</v>
      </c>
      <c r="F163" s="172">
        <v>30</v>
      </c>
      <c r="G163" s="172">
        <v>16</v>
      </c>
      <c r="H163" s="172">
        <v>0</v>
      </c>
      <c r="I163" s="172">
        <v>25</v>
      </c>
    </row>
    <row r="164" spans="2:9" hidden="1" x14ac:dyDescent="0.3">
      <c r="B164" s="172" t="s">
        <v>179</v>
      </c>
      <c r="C164" s="172" t="s">
        <v>79</v>
      </c>
      <c r="D164" s="172" t="s">
        <v>218</v>
      </c>
      <c r="E164" s="172">
        <v>7.7572539859524796E-4</v>
      </c>
      <c r="F164" s="172">
        <v>33</v>
      </c>
      <c r="G164" s="172">
        <v>16</v>
      </c>
      <c r="H164" s="172">
        <v>15</v>
      </c>
      <c r="I164" s="172">
        <v>21.5</v>
      </c>
    </row>
    <row r="165" spans="2:9" x14ac:dyDescent="0.3">
      <c r="B165" s="172" t="s">
        <v>179</v>
      </c>
      <c r="C165" s="172" t="s">
        <v>80</v>
      </c>
      <c r="D165" s="172" t="s">
        <v>218</v>
      </c>
      <c r="E165" s="172">
        <v>7.8233371380805202E-4</v>
      </c>
      <c r="F165" s="172">
        <v>30</v>
      </c>
      <c r="G165" s="172">
        <v>16</v>
      </c>
      <c r="H165" s="172">
        <v>0</v>
      </c>
      <c r="I165" s="172">
        <v>21.5</v>
      </c>
    </row>
    <row r="166" spans="2:9" hidden="1" x14ac:dyDescent="0.3">
      <c r="B166" s="172" t="s">
        <v>179</v>
      </c>
      <c r="C166" s="172" t="s">
        <v>81</v>
      </c>
      <c r="D166" s="172" t="s">
        <v>221</v>
      </c>
      <c r="E166" s="172">
        <v>9.2008260293993096E-4</v>
      </c>
      <c r="F166" s="172">
        <v>79</v>
      </c>
      <c r="G166" s="172">
        <v>21</v>
      </c>
      <c r="H166" s="172">
        <v>4</v>
      </c>
      <c r="I166" s="172">
        <v>21.5</v>
      </c>
    </row>
    <row r="167" spans="2:9" hidden="1" x14ac:dyDescent="0.3">
      <c r="B167" s="172" t="s">
        <v>179</v>
      </c>
      <c r="C167" s="172" t="s">
        <v>82</v>
      </c>
      <c r="D167" s="172" t="s">
        <v>221</v>
      </c>
      <c r="E167" s="172">
        <v>9.8563376852794492E-4</v>
      </c>
      <c r="F167" s="172">
        <v>21</v>
      </c>
      <c r="G167" s="172">
        <v>0</v>
      </c>
      <c r="H167" s="172">
        <v>15</v>
      </c>
      <c r="I167" s="172">
        <v>21.5</v>
      </c>
    </row>
    <row r="168" spans="2:9" hidden="1" x14ac:dyDescent="0.3">
      <c r="B168" s="172" t="s">
        <v>179</v>
      </c>
      <c r="C168" s="172" t="s">
        <v>246</v>
      </c>
      <c r="D168" s="172" t="s">
        <v>218</v>
      </c>
      <c r="E168" s="172">
        <v>9.6423233198488401E-5</v>
      </c>
      <c r="F168" s="172">
        <v>30</v>
      </c>
      <c r="G168" s="172">
        <v>16</v>
      </c>
      <c r="H168" s="172">
        <v>0</v>
      </c>
      <c r="I168" s="172">
        <v>21.5</v>
      </c>
    </row>
    <row r="169" spans="2:9" hidden="1" x14ac:dyDescent="0.3">
      <c r="B169" s="172" t="s">
        <v>39</v>
      </c>
      <c r="C169" s="172" t="s">
        <v>79</v>
      </c>
      <c r="D169" s="172" t="s">
        <v>218</v>
      </c>
      <c r="E169" s="172">
        <v>8.4698001013086598E-4</v>
      </c>
      <c r="F169" s="172">
        <v>33</v>
      </c>
      <c r="G169" s="172">
        <v>16</v>
      </c>
      <c r="H169" s="172">
        <v>15</v>
      </c>
      <c r="I169" s="172">
        <v>18</v>
      </c>
    </row>
    <row r="170" spans="2:9" x14ac:dyDescent="0.3">
      <c r="B170" s="172" t="s">
        <v>39</v>
      </c>
      <c r="C170" s="172" t="s">
        <v>80</v>
      </c>
      <c r="D170" s="172" t="s">
        <v>218</v>
      </c>
      <c r="E170" s="172">
        <v>8.4778598860670799E-4</v>
      </c>
      <c r="F170" s="172">
        <v>30</v>
      </c>
      <c r="G170" s="172">
        <v>16</v>
      </c>
      <c r="H170" s="172">
        <v>0</v>
      </c>
      <c r="I170" s="172">
        <v>18</v>
      </c>
    </row>
    <row r="171" spans="2:9" hidden="1" x14ac:dyDescent="0.3">
      <c r="B171" s="172" t="s">
        <v>39</v>
      </c>
      <c r="C171" s="172" t="s">
        <v>81</v>
      </c>
      <c r="D171" s="172" t="s">
        <v>221</v>
      </c>
      <c r="E171" s="172">
        <v>9.9073482333601206E-4</v>
      </c>
      <c r="F171" s="172">
        <v>79</v>
      </c>
      <c r="G171" s="172">
        <v>21</v>
      </c>
      <c r="H171" s="172">
        <v>4</v>
      </c>
      <c r="I171" s="172">
        <v>18</v>
      </c>
    </row>
    <row r="172" spans="2:9" hidden="1" x14ac:dyDescent="0.3">
      <c r="B172" s="172" t="s">
        <v>39</v>
      </c>
      <c r="C172" s="172" t="s">
        <v>82</v>
      </c>
      <c r="D172" s="172" t="s">
        <v>221</v>
      </c>
      <c r="E172" s="172">
        <v>1.0798003749718701E-3</v>
      </c>
      <c r="F172" s="172">
        <v>21</v>
      </c>
      <c r="G172" s="172">
        <v>0</v>
      </c>
      <c r="H172" s="172">
        <v>15</v>
      </c>
      <c r="I172" s="172">
        <v>18</v>
      </c>
    </row>
    <row r="173" spans="2:9" hidden="1" x14ac:dyDescent="0.3">
      <c r="B173" s="172" t="s">
        <v>39</v>
      </c>
      <c r="C173" s="172" t="s">
        <v>246</v>
      </c>
      <c r="D173" s="172" t="s">
        <v>218</v>
      </c>
      <c r="E173" s="172">
        <v>9.0608469999449594E-5</v>
      </c>
      <c r="F173" s="172">
        <v>30</v>
      </c>
      <c r="G173" s="172">
        <v>16</v>
      </c>
      <c r="H173" s="172">
        <v>0</v>
      </c>
      <c r="I173" s="172">
        <v>18</v>
      </c>
    </row>
    <row r="174" spans="2:9" hidden="1" x14ac:dyDescent="0.3">
      <c r="B174" s="172" t="s">
        <v>26</v>
      </c>
      <c r="C174" s="172" t="s">
        <v>79</v>
      </c>
      <c r="D174" s="172" t="s">
        <v>218</v>
      </c>
      <c r="E174" s="172">
        <v>9.0053423057188497E-4</v>
      </c>
      <c r="F174" s="172">
        <v>33</v>
      </c>
      <c r="G174" s="172">
        <v>16</v>
      </c>
      <c r="H174" s="172">
        <v>15</v>
      </c>
      <c r="I174" s="172">
        <v>14.5</v>
      </c>
    </row>
    <row r="175" spans="2:9" x14ac:dyDescent="0.3">
      <c r="B175" s="172" t="s">
        <v>26</v>
      </c>
      <c r="C175" s="172" t="s">
        <v>80</v>
      </c>
      <c r="D175" s="172" t="s">
        <v>218</v>
      </c>
      <c r="E175" s="172">
        <v>8.9525263398075995E-4</v>
      </c>
      <c r="F175" s="172">
        <v>30</v>
      </c>
      <c r="G175" s="172">
        <v>16</v>
      </c>
      <c r="H175" s="172">
        <v>0</v>
      </c>
      <c r="I175" s="172">
        <v>14.5</v>
      </c>
    </row>
    <row r="176" spans="2:9" hidden="1" x14ac:dyDescent="0.3">
      <c r="B176" s="172" t="s">
        <v>26</v>
      </c>
      <c r="C176" s="172" t="s">
        <v>81</v>
      </c>
      <c r="D176" s="172" t="s">
        <v>221</v>
      </c>
      <c r="E176" s="172">
        <v>1.0436180678514101E-3</v>
      </c>
      <c r="F176" s="172">
        <v>79</v>
      </c>
      <c r="G176" s="172">
        <v>21</v>
      </c>
      <c r="H176" s="172">
        <v>4</v>
      </c>
      <c r="I176" s="172">
        <v>14.5</v>
      </c>
    </row>
    <row r="177" spans="2:9" hidden="1" x14ac:dyDescent="0.3">
      <c r="B177" s="172" t="s">
        <v>26</v>
      </c>
      <c r="C177" s="172" t="s">
        <v>82</v>
      </c>
      <c r="D177" s="172" t="s">
        <v>221</v>
      </c>
      <c r="E177" s="172">
        <v>1.15437715702271E-3</v>
      </c>
      <c r="F177" s="172">
        <v>21</v>
      </c>
      <c r="G177" s="172">
        <v>0</v>
      </c>
      <c r="H177" s="172">
        <v>15</v>
      </c>
      <c r="I177" s="172">
        <v>14.5</v>
      </c>
    </row>
    <row r="178" spans="2:9" hidden="1" x14ac:dyDescent="0.3">
      <c r="B178" s="172" t="s">
        <v>26</v>
      </c>
      <c r="C178" s="172" t="s">
        <v>246</v>
      </c>
      <c r="D178" s="172" t="s">
        <v>218</v>
      </c>
      <c r="E178" s="172">
        <v>8.1322633221673696E-5</v>
      </c>
      <c r="F178" s="172">
        <v>30</v>
      </c>
      <c r="G178" s="172">
        <v>16</v>
      </c>
      <c r="H178" s="172">
        <v>0</v>
      </c>
      <c r="I178" s="172">
        <v>14.5</v>
      </c>
    </row>
    <row r="179" spans="2:9" hidden="1" x14ac:dyDescent="0.3">
      <c r="B179" s="172" t="s">
        <v>25</v>
      </c>
      <c r="C179" s="172" t="s">
        <v>79</v>
      </c>
      <c r="D179" s="172" t="s">
        <v>218</v>
      </c>
      <c r="E179" s="172">
        <v>9.4919027741321603E-4</v>
      </c>
      <c r="F179" s="172">
        <v>33</v>
      </c>
      <c r="G179" s="172">
        <v>16</v>
      </c>
      <c r="H179" s="172">
        <v>15</v>
      </c>
      <c r="I179" s="172">
        <v>11</v>
      </c>
    </row>
    <row r="180" spans="2:9" x14ac:dyDescent="0.3">
      <c r="B180" s="172" t="s">
        <v>25</v>
      </c>
      <c r="C180" s="172" t="s">
        <v>80</v>
      </c>
      <c r="D180" s="172" t="s">
        <v>218</v>
      </c>
      <c r="E180" s="172">
        <v>9.4098174318284602E-4</v>
      </c>
      <c r="F180" s="172">
        <v>30</v>
      </c>
      <c r="G180" s="172">
        <v>16</v>
      </c>
      <c r="H180" s="172">
        <v>0</v>
      </c>
      <c r="I180" s="172">
        <v>11</v>
      </c>
    </row>
    <row r="181" spans="2:9" hidden="1" x14ac:dyDescent="0.3">
      <c r="B181" s="172" t="s">
        <v>25</v>
      </c>
      <c r="C181" s="172" t="s">
        <v>81</v>
      </c>
      <c r="D181" s="172" t="s">
        <v>221</v>
      </c>
      <c r="E181" s="172">
        <v>1.0798570851283801E-3</v>
      </c>
      <c r="F181" s="172">
        <v>79</v>
      </c>
      <c r="G181" s="172">
        <v>21</v>
      </c>
      <c r="H181" s="172">
        <v>4</v>
      </c>
      <c r="I181" s="172">
        <v>11</v>
      </c>
    </row>
    <row r="182" spans="2:9" hidden="1" x14ac:dyDescent="0.3">
      <c r="B182" s="172" t="s">
        <v>25</v>
      </c>
      <c r="C182" s="172" t="s">
        <v>82</v>
      </c>
      <c r="D182" s="172" t="s">
        <v>221</v>
      </c>
      <c r="E182" s="172">
        <v>1.20652444653261E-3</v>
      </c>
      <c r="F182" s="172">
        <v>21</v>
      </c>
      <c r="G182" s="172">
        <v>0</v>
      </c>
      <c r="H182" s="172">
        <v>15</v>
      </c>
      <c r="I182" s="172">
        <v>11</v>
      </c>
    </row>
    <row r="183" spans="2:9" hidden="1" x14ac:dyDescent="0.3">
      <c r="B183" s="172" t="s">
        <v>25</v>
      </c>
      <c r="C183" s="172" t="s">
        <v>246</v>
      </c>
      <c r="D183" s="172" t="s">
        <v>218</v>
      </c>
      <c r="E183" s="172">
        <v>6.2645530127756899E-5</v>
      </c>
      <c r="F183" s="172">
        <v>30</v>
      </c>
      <c r="G183" s="172">
        <v>16</v>
      </c>
      <c r="H183" s="172">
        <v>0</v>
      </c>
      <c r="I183" s="172">
        <v>11</v>
      </c>
    </row>
    <row r="184" spans="2:9" hidden="1" x14ac:dyDescent="0.3">
      <c r="B184" s="172" t="s">
        <v>24</v>
      </c>
      <c r="C184" s="172" t="s">
        <v>79</v>
      </c>
      <c r="D184" s="172" t="s">
        <v>218</v>
      </c>
      <c r="E184" s="172">
        <v>9.7544487692011802E-4</v>
      </c>
      <c r="F184" s="172">
        <v>33</v>
      </c>
      <c r="G184" s="172">
        <v>16</v>
      </c>
      <c r="H184" s="172">
        <v>15</v>
      </c>
      <c r="I184" s="172">
        <v>7.5</v>
      </c>
    </row>
    <row r="185" spans="2:9" x14ac:dyDescent="0.3">
      <c r="B185" s="172" t="s">
        <v>24</v>
      </c>
      <c r="C185" s="172" t="s">
        <v>80</v>
      </c>
      <c r="D185" s="172" t="s">
        <v>218</v>
      </c>
      <c r="E185" s="172">
        <v>9.6493024573369795E-4</v>
      </c>
      <c r="F185" s="172">
        <v>30</v>
      </c>
      <c r="G185" s="172">
        <v>16</v>
      </c>
      <c r="H185" s="172">
        <v>0</v>
      </c>
      <c r="I185" s="172">
        <v>7.5</v>
      </c>
    </row>
    <row r="186" spans="2:9" hidden="1" x14ac:dyDescent="0.3">
      <c r="B186" s="172" t="s">
        <v>24</v>
      </c>
      <c r="C186" s="172" t="s">
        <v>81</v>
      </c>
      <c r="D186" s="172" t="s">
        <v>221</v>
      </c>
      <c r="E186" s="172">
        <v>1.0858333835656101E-3</v>
      </c>
      <c r="F186" s="172">
        <v>79</v>
      </c>
      <c r="G186" s="172">
        <v>21</v>
      </c>
      <c r="H186" s="172">
        <v>4</v>
      </c>
      <c r="I186" s="172">
        <v>7.5</v>
      </c>
    </row>
    <row r="187" spans="2:9" hidden="1" x14ac:dyDescent="0.3">
      <c r="B187" s="172" t="s">
        <v>24</v>
      </c>
      <c r="C187" s="172" t="s">
        <v>82</v>
      </c>
      <c r="D187" s="172" t="s">
        <v>221</v>
      </c>
      <c r="E187" s="172">
        <v>1.22240821949106E-3</v>
      </c>
      <c r="F187" s="172">
        <v>21</v>
      </c>
      <c r="G187" s="172">
        <v>0</v>
      </c>
      <c r="H187" s="172">
        <v>15</v>
      </c>
      <c r="I187" s="172">
        <v>7.5</v>
      </c>
    </row>
    <row r="188" spans="2:9" hidden="1" x14ac:dyDescent="0.3">
      <c r="B188" s="172" t="s">
        <v>24</v>
      </c>
      <c r="C188" s="172" t="s">
        <v>246</v>
      </c>
      <c r="D188" s="172" t="s">
        <v>218</v>
      </c>
      <c r="E188" s="172">
        <v>4.12013222107596E-5</v>
      </c>
      <c r="F188" s="172">
        <v>33</v>
      </c>
      <c r="G188" s="172">
        <v>16</v>
      </c>
      <c r="H188" s="172">
        <v>15</v>
      </c>
      <c r="I188" s="172">
        <v>7.5</v>
      </c>
    </row>
    <row r="189" spans="2:9" hidden="1" x14ac:dyDescent="0.3">
      <c r="B189" s="172" t="s">
        <v>22</v>
      </c>
      <c r="C189" s="172" t="s">
        <v>79</v>
      </c>
      <c r="D189" s="172" t="s">
        <v>218</v>
      </c>
      <c r="E189" s="172">
        <v>8.2700576676696103E-4</v>
      </c>
      <c r="F189" s="172">
        <v>33</v>
      </c>
      <c r="G189" s="172">
        <v>16</v>
      </c>
      <c r="H189" s="172">
        <v>15</v>
      </c>
      <c r="I189" s="172">
        <v>4</v>
      </c>
    </row>
    <row r="190" spans="2:9" x14ac:dyDescent="0.3">
      <c r="B190" s="172" t="s">
        <v>22</v>
      </c>
      <c r="C190" s="172" t="s">
        <v>80</v>
      </c>
      <c r="D190" s="172" t="s">
        <v>218</v>
      </c>
      <c r="E190" s="172">
        <v>8.2114716445413395E-4</v>
      </c>
      <c r="F190" s="172">
        <v>30</v>
      </c>
      <c r="G190" s="172">
        <v>16</v>
      </c>
      <c r="H190" s="172">
        <v>0</v>
      </c>
      <c r="I190" s="172">
        <v>4</v>
      </c>
    </row>
    <row r="191" spans="2:9" hidden="1" x14ac:dyDescent="0.3">
      <c r="B191" s="172" t="s">
        <v>22</v>
      </c>
      <c r="C191" s="172" t="s">
        <v>81</v>
      </c>
      <c r="D191" s="172" t="s">
        <v>221</v>
      </c>
      <c r="E191" s="172">
        <v>8.7639232417232801E-4</v>
      </c>
      <c r="F191" s="172">
        <v>79</v>
      </c>
      <c r="G191" s="172">
        <v>21</v>
      </c>
      <c r="H191" s="172">
        <v>4</v>
      </c>
      <c r="I191" s="172">
        <v>4</v>
      </c>
    </row>
    <row r="192" spans="2:9" hidden="1" x14ac:dyDescent="0.3">
      <c r="B192" s="172" t="s">
        <v>22</v>
      </c>
      <c r="C192" s="172" t="s">
        <v>82</v>
      </c>
      <c r="D192" s="172" t="s">
        <v>221</v>
      </c>
      <c r="E192" s="172">
        <v>9.8397494962079008E-4</v>
      </c>
      <c r="F192" s="172">
        <v>21</v>
      </c>
      <c r="G192" s="172">
        <v>0</v>
      </c>
      <c r="H192" s="172">
        <v>15</v>
      </c>
      <c r="I192" s="172">
        <v>4</v>
      </c>
    </row>
    <row r="193" spans="2:9" hidden="1" x14ac:dyDescent="0.3">
      <c r="B193" s="172" t="s">
        <v>22</v>
      </c>
      <c r="C193" s="172" t="s">
        <v>246</v>
      </c>
      <c r="D193" s="172" t="s">
        <v>218</v>
      </c>
      <c r="E193" s="172">
        <v>1.5389927238240001E-5</v>
      </c>
      <c r="F193" s="172">
        <v>33</v>
      </c>
      <c r="G193" s="172">
        <v>16</v>
      </c>
      <c r="H193" s="172">
        <v>15</v>
      </c>
      <c r="I193" s="172">
        <v>4</v>
      </c>
    </row>
    <row r="194" spans="2:9" hidden="1" x14ac:dyDescent="0.3">
      <c r="B194" s="172"/>
      <c r="C194" s="172"/>
      <c r="D194" s="172"/>
      <c r="E194" s="172"/>
      <c r="F194" s="172"/>
      <c r="G194" s="172"/>
      <c r="H194" s="172"/>
      <c r="I194" s="172"/>
    </row>
    <row r="195" spans="2:9" hidden="1" x14ac:dyDescent="0.3">
      <c r="B195" s="172"/>
      <c r="C195" s="172"/>
      <c r="D195" s="172"/>
      <c r="E195" s="172"/>
      <c r="F195" s="172"/>
      <c r="G195" s="172"/>
      <c r="H195" s="172"/>
      <c r="I195" s="172"/>
    </row>
    <row r="196" spans="2:9" hidden="1" x14ac:dyDescent="0.3">
      <c r="B196" s="172"/>
      <c r="C196" s="172"/>
      <c r="D196" s="172"/>
      <c r="E196" s="172"/>
      <c r="F196" s="172"/>
      <c r="G196" s="172"/>
      <c r="H196" s="172"/>
      <c r="I196" s="172"/>
    </row>
    <row r="197" spans="2:9" hidden="1" x14ac:dyDescent="0.3">
      <c r="B197" s="172"/>
      <c r="C197" s="172"/>
      <c r="D197" s="172"/>
      <c r="E197" s="172"/>
      <c r="F197" s="172"/>
      <c r="G197" s="172"/>
      <c r="H197" s="172"/>
      <c r="I197" s="172"/>
    </row>
    <row r="198" spans="2:9" hidden="1" x14ac:dyDescent="0.3">
      <c r="B198" s="172"/>
      <c r="C198" s="172"/>
      <c r="D198" s="172"/>
      <c r="E198" s="172"/>
      <c r="F198" s="172"/>
      <c r="G198" s="172"/>
      <c r="H198" s="172"/>
      <c r="I198" s="172"/>
    </row>
    <row r="199" spans="2:9" hidden="1" x14ac:dyDescent="0.3">
      <c r="B199" s="172"/>
      <c r="C199" s="172"/>
      <c r="D199" s="172"/>
      <c r="E199" s="172"/>
      <c r="F199" s="172"/>
      <c r="G199" s="172"/>
      <c r="H199" s="172"/>
      <c r="I199" s="172"/>
    </row>
    <row r="200" spans="2:9" hidden="1" x14ac:dyDescent="0.3">
      <c r="B200" s="172"/>
      <c r="C200" s="172"/>
      <c r="D200" s="172"/>
      <c r="E200" s="172"/>
      <c r="F200" s="172"/>
      <c r="G200" s="172"/>
      <c r="H200" s="172"/>
      <c r="I200" s="172"/>
    </row>
    <row r="201" spans="2:9" hidden="1" x14ac:dyDescent="0.3">
      <c r="B201" s="172"/>
      <c r="C201" s="172"/>
      <c r="D201" s="172"/>
      <c r="E201" s="172"/>
      <c r="F201" s="172"/>
      <c r="G201" s="172"/>
      <c r="H201" s="172"/>
      <c r="I201" s="172"/>
    </row>
    <row r="202" spans="2:9" hidden="1" x14ac:dyDescent="0.3">
      <c r="B202" s="172"/>
      <c r="C202" s="172"/>
      <c r="D202" s="172"/>
      <c r="E202" s="172"/>
      <c r="F202" s="172"/>
      <c r="G202" s="172"/>
      <c r="H202" s="172"/>
      <c r="I202" s="172"/>
    </row>
    <row r="203" spans="2:9" hidden="1" x14ac:dyDescent="0.3">
      <c r="B203" s="172"/>
      <c r="C203" s="172"/>
      <c r="D203" s="172"/>
      <c r="E203" s="172"/>
      <c r="F203" s="172"/>
      <c r="G203" s="172"/>
      <c r="H203" s="172"/>
      <c r="I203" s="172"/>
    </row>
    <row r="204" spans="2:9" hidden="1" x14ac:dyDescent="0.3">
      <c r="B204" s="172"/>
      <c r="C204" s="172"/>
      <c r="D204" s="172"/>
      <c r="E204" s="172"/>
      <c r="F204" s="172"/>
      <c r="G204" s="172"/>
      <c r="H204" s="172"/>
      <c r="I204" s="172"/>
    </row>
    <row r="205" spans="2:9" hidden="1" x14ac:dyDescent="0.3">
      <c r="B205" s="172"/>
      <c r="C205" s="172"/>
      <c r="D205" s="172"/>
      <c r="E205" s="172"/>
      <c r="F205" s="172"/>
      <c r="G205" s="172"/>
      <c r="H205" s="172"/>
      <c r="I205" s="172"/>
    </row>
    <row r="206" spans="2:9" hidden="1" x14ac:dyDescent="0.3">
      <c r="B206" s="172"/>
      <c r="C206" s="172"/>
      <c r="D206" s="172"/>
      <c r="E206" s="172"/>
      <c r="F206" s="172"/>
      <c r="G206" s="172"/>
      <c r="H206" s="172"/>
      <c r="I206" s="172"/>
    </row>
    <row r="207" spans="2:9" hidden="1" x14ac:dyDescent="0.3">
      <c r="B207" s="172"/>
      <c r="C207" s="172"/>
      <c r="D207" s="172"/>
      <c r="E207" s="172"/>
      <c r="F207" s="172"/>
      <c r="G207" s="172"/>
      <c r="H207" s="172"/>
      <c r="I207" s="172"/>
    </row>
    <row r="208" spans="2:9" hidden="1" x14ac:dyDescent="0.3">
      <c r="B208" s="172"/>
      <c r="C208" s="172"/>
      <c r="D208" s="172"/>
      <c r="E208" s="172"/>
      <c r="F208" s="172"/>
      <c r="G208" s="172"/>
      <c r="H208" s="172"/>
      <c r="I208" s="172"/>
    </row>
    <row r="209" spans="2:9" hidden="1" x14ac:dyDescent="0.3">
      <c r="B209" s="172"/>
      <c r="C209" s="172"/>
      <c r="D209" s="172"/>
      <c r="E209" s="172"/>
      <c r="F209" s="172"/>
      <c r="G209" s="172"/>
      <c r="H209" s="172"/>
      <c r="I209" s="172"/>
    </row>
    <row r="210" spans="2:9" hidden="1" x14ac:dyDescent="0.3">
      <c r="B210" s="172"/>
      <c r="C210" s="172"/>
      <c r="D210" s="172"/>
      <c r="E210" s="172"/>
      <c r="F210" s="172"/>
      <c r="G210" s="172"/>
      <c r="H210" s="172"/>
      <c r="I210" s="172"/>
    </row>
    <row r="211" spans="2:9" hidden="1" x14ac:dyDescent="0.3">
      <c r="B211" s="172"/>
      <c r="C211" s="172"/>
      <c r="D211" s="172"/>
      <c r="E211" s="172"/>
      <c r="F211" s="172"/>
      <c r="G211" s="172"/>
      <c r="H211" s="172"/>
      <c r="I211" s="172"/>
    </row>
    <row r="212" spans="2:9" hidden="1" x14ac:dyDescent="0.3">
      <c r="B212" s="172"/>
      <c r="C212" s="172"/>
      <c r="D212" s="172"/>
      <c r="E212" s="172"/>
      <c r="F212" s="172"/>
      <c r="G212" s="172"/>
      <c r="H212" s="172"/>
      <c r="I212" s="172"/>
    </row>
    <row r="213" spans="2:9" hidden="1" x14ac:dyDescent="0.3">
      <c r="B213" s="172"/>
      <c r="C213" s="172"/>
      <c r="D213" s="172"/>
      <c r="E213" s="172"/>
      <c r="F213" s="172"/>
      <c r="G213" s="172"/>
      <c r="H213" s="172"/>
      <c r="I213" s="172"/>
    </row>
    <row r="214" spans="2:9" hidden="1" x14ac:dyDescent="0.3">
      <c r="B214" s="172"/>
      <c r="C214" s="172"/>
      <c r="D214" s="172"/>
      <c r="E214" s="172"/>
      <c r="F214" s="172"/>
      <c r="G214" s="172"/>
      <c r="H214" s="172"/>
      <c r="I214" s="172"/>
    </row>
    <row r="215" spans="2:9" hidden="1" x14ac:dyDescent="0.3">
      <c r="B215" s="172"/>
      <c r="C215" s="172"/>
      <c r="D215" s="172"/>
      <c r="E215" s="172"/>
      <c r="F215" s="172"/>
      <c r="G215" s="172"/>
      <c r="H215" s="172"/>
      <c r="I215" s="172"/>
    </row>
    <row r="216" spans="2:9" hidden="1" x14ac:dyDescent="0.3">
      <c r="B216" s="172"/>
      <c r="C216" s="172"/>
      <c r="D216" s="172"/>
      <c r="E216" s="172"/>
      <c r="F216" s="172"/>
      <c r="G216" s="172"/>
      <c r="H216" s="172"/>
      <c r="I216" s="172"/>
    </row>
    <row r="217" spans="2:9" hidden="1" x14ac:dyDescent="0.3">
      <c r="B217" s="172"/>
      <c r="C217" s="172"/>
      <c r="D217" s="172"/>
      <c r="E217" s="172"/>
      <c r="F217" s="172"/>
      <c r="G217" s="172"/>
      <c r="H217" s="172"/>
      <c r="I217" s="172"/>
    </row>
    <row r="218" spans="2:9" hidden="1" x14ac:dyDescent="0.3">
      <c r="B218" s="172"/>
      <c r="C218" s="172"/>
      <c r="D218" s="172"/>
      <c r="E218" s="172"/>
      <c r="F218" s="172"/>
      <c r="G218" s="172"/>
      <c r="H218" s="172"/>
      <c r="I218" s="172"/>
    </row>
    <row r="219" spans="2:9" hidden="1" x14ac:dyDescent="0.3">
      <c r="B219" s="172"/>
      <c r="C219" s="172"/>
      <c r="D219" s="172"/>
      <c r="E219" s="172"/>
      <c r="F219" s="172"/>
      <c r="G219" s="172"/>
      <c r="H219" s="172"/>
      <c r="I219" s="172"/>
    </row>
    <row r="220" spans="2:9" hidden="1" x14ac:dyDescent="0.3">
      <c r="B220" s="172"/>
      <c r="C220" s="172"/>
      <c r="D220" s="172"/>
      <c r="E220" s="172"/>
      <c r="F220" s="172"/>
      <c r="G220" s="172"/>
      <c r="H220" s="172"/>
      <c r="I220" s="172"/>
    </row>
    <row r="221" spans="2:9" hidden="1" x14ac:dyDescent="0.3">
      <c r="B221" s="172"/>
      <c r="C221" s="172"/>
      <c r="D221" s="172"/>
      <c r="E221" s="172"/>
      <c r="F221" s="172"/>
      <c r="G221" s="172"/>
      <c r="H221" s="172"/>
      <c r="I221" s="172"/>
    </row>
    <row r="222" spans="2:9" hidden="1" x14ac:dyDescent="0.3">
      <c r="B222" s="172"/>
      <c r="C222" s="172"/>
      <c r="D222" s="172"/>
      <c r="E222" s="172"/>
      <c r="F222" s="172"/>
      <c r="G222" s="172"/>
      <c r="H222" s="172"/>
      <c r="I222" s="172"/>
    </row>
    <row r="223" spans="2:9" hidden="1" x14ac:dyDescent="0.3">
      <c r="B223" s="172"/>
      <c r="C223" s="172"/>
      <c r="D223" s="172"/>
      <c r="E223" s="172"/>
      <c r="F223" s="172"/>
      <c r="G223" s="172"/>
      <c r="H223" s="172"/>
      <c r="I223" s="172"/>
    </row>
    <row r="224" spans="2:9" hidden="1" x14ac:dyDescent="0.3">
      <c r="B224" s="172"/>
      <c r="C224" s="172"/>
      <c r="D224" s="172"/>
      <c r="E224" s="172"/>
      <c r="F224" s="172"/>
      <c r="G224" s="172"/>
      <c r="H224" s="172"/>
      <c r="I224" s="172"/>
    </row>
    <row r="225" spans="2:9" hidden="1" x14ac:dyDescent="0.3">
      <c r="B225" s="172"/>
      <c r="C225" s="172"/>
      <c r="D225" s="172"/>
      <c r="E225" s="172"/>
      <c r="F225" s="172"/>
      <c r="G225" s="172"/>
      <c r="H225" s="172"/>
      <c r="I225" s="172"/>
    </row>
    <row r="226" spans="2:9" hidden="1" x14ac:dyDescent="0.3">
      <c r="B226" s="172"/>
      <c r="C226" s="172"/>
      <c r="D226" s="172"/>
      <c r="E226" s="172"/>
      <c r="F226" s="172"/>
      <c r="G226" s="172"/>
      <c r="H226" s="172"/>
      <c r="I226" s="172"/>
    </row>
    <row r="227" spans="2:9" s="172" customFormat="1" hidden="1" x14ac:dyDescent="0.3"/>
    <row r="228" spans="2:9" hidden="1" x14ac:dyDescent="0.3">
      <c r="B228" s="172"/>
      <c r="C228" s="172"/>
      <c r="D228" s="172"/>
      <c r="E228" s="172"/>
      <c r="F228" s="172"/>
      <c r="G228" s="172"/>
      <c r="H228" s="172"/>
      <c r="I228" s="172"/>
    </row>
    <row r="229" spans="2:9" hidden="1" x14ac:dyDescent="0.3">
      <c r="B229" s="172"/>
      <c r="C229" s="172"/>
      <c r="D229" s="172"/>
      <c r="E229" s="172"/>
      <c r="F229" s="172"/>
      <c r="G229" s="172"/>
      <c r="H229" s="172"/>
      <c r="I229" s="172"/>
    </row>
    <row r="230" spans="2:9" s="172" customFormat="1" hidden="1" x14ac:dyDescent="0.3"/>
    <row r="231" spans="2:9" hidden="1" x14ac:dyDescent="0.3">
      <c r="B231" s="172"/>
      <c r="C231" s="172"/>
      <c r="D231" s="172"/>
      <c r="E231" s="172"/>
      <c r="F231" s="172"/>
      <c r="G231" s="172"/>
      <c r="H231" s="172"/>
      <c r="I231" s="172"/>
    </row>
    <row r="232" spans="2:9" hidden="1" x14ac:dyDescent="0.3">
      <c r="B232" s="172"/>
      <c r="C232" s="172"/>
      <c r="D232" s="172"/>
      <c r="E232" s="172"/>
      <c r="F232" s="172"/>
      <c r="G232" s="172"/>
      <c r="H232" s="172"/>
      <c r="I232" s="172"/>
    </row>
    <row r="233" spans="2:9" s="172" customFormat="1" hidden="1" x14ac:dyDescent="0.3"/>
    <row r="234" spans="2:9" hidden="1" x14ac:dyDescent="0.3">
      <c r="B234" s="172"/>
      <c r="C234" s="172"/>
      <c r="D234" s="172"/>
      <c r="E234" s="172"/>
      <c r="F234" s="172"/>
      <c r="G234" s="172"/>
      <c r="H234" s="172"/>
      <c r="I234" s="172"/>
    </row>
    <row r="235" spans="2:9" hidden="1" x14ac:dyDescent="0.3">
      <c r="B235" s="172"/>
      <c r="C235" s="172"/>
      <c r="D235" s="172"/>
      <c r="E235" s="172"/>
      <c r="F235" s="172"/>
      <c r="G235" s="172"/>
      <c r="H235" s="172"/>
      <c r="I235" s="172"/>
    </row>
    <row r="236" spans="2:9" s="172" customFormat="1" hidden="1" x14ac:dyDescent="0.3"/>
    <row r="237" spans="2:9" hidden="1" x14ac:dyDescent="0.3">
      <c r="B237" s="172"/>
      <c r="C237" s="172"/>
      <c r="D237" s="172"/>
      <c r="E237" s="172"/>
      <c r="F237" s="172"/>
      <c r="G237" s="172"/>
      <c r="H237" s="172"/>
      <c r="I237" s="172"/>
    </row>
    <row r="238" spans="2:9" hidden="1" x14ac:dyDescent="0.3">
      <c r="B238" s="172"/>
      <c r="C238" s="172"/>
      <c r="D238" s="172"/>
      <c r="E238" s="172"/>
      <c r="F238" s="172"/>
      <c r="G238" s="172"/>
      <c r="H238" s="172"/>
      <c r="I238" s="172"/>
    </row>
    <row r="239" spans="2:9" s="172" customFormat="1" hidden="1" x14ac:dyDescent="0.3"/>
    <row r="240" spans="2:9" hidden="1" x14ac:dyDescent="0.3">
      <c r="B240" s="172"/>
      <c r="C240" s="172"/>
      <c r="D240" s="172"/>
      <c r="E240" s="172"/>
      <c r="F240" s="172"/>
      <c r="G240" s="172"/>
      <c r="H240" s="172"/>
      <c r="I240" s="172"/>
    </row>
    <row r="241" spans="2:9" hidden="1" x14ac:dyDescent="0.3">
      <c r="B241" s="172"/>
      <c r="C241" s="172"/>
      <c r="D241" s="172"/>
      <c r="E241" s="172"/>
      <c r="F241" s="172"/>
      <c r="G241" s="172"/>
      <c r="H241" s="172"/>
      <c r="I241" s="172"/>
    </row>
    <row r="242" spans="2:9" s="172" customFormat="1" hidden="1" x14ac:dyDescent="0.3"/>
    <row r="243" spans="2:9" hidden="1" x14ac:dyDescent="0.3">
      <c r="B243" s="172"/>
      <c r="C243" s="172"/>
      <c r="D243" s="172"/>
      <c r="E243" s="172"/>
      <c r="F243" s="172"/>
      <c r="G243" s="172"/>
      <c r="H243" s="172"/>
      <c r="I243" s="172"/>
    </row>
    <row r="244" spans="2:9" hidden="1" x14ac:dyDescent="0.3">
      <c r="B244" s="172"/>
      <c r="C244" s="172"/>
      <c r="D244" s="172"/>
      <c r="E244" s="172"/>
      <c r="F244" s="172"/>
      <c r="G244" s="172"/>
      <c r="H244" s="172"/>
      <c r="I244" s="172"/>
    </row>
    <row r="245" spans="2:9" hidden="1" x14ac:dyDescent="0.3">
      <c r="B245" s="172"/>
      <c r="C245" s="172"/>
      <c r="D245" s="172"/>
      <c r="E245" s="172"/>
      <c r="F245" s="172"/>
      <c r="G245" s="172"/>
      <c r="H245" s="172"/>
      <c r="I245" s="172"/>
    </row>
    <row r="246" spans="2:9" hidden="1" x14ac:dyDescent="0.3">
      <c r="B246" s="172"/>
      <c r="C246" s="172"/>
      <c r="D246" s="172"/>
      <c r="E246" s="172"/>
      <c r="F246" s="172"/>
      <c r="G246" s="172"/>
      <c r="H246" s="172"/>
      <c r="I246" s="172"/>
    </row>
    <row r="247" spans="2:9" hidden="1" x14ac:dyDescent="0.3">
      <c r="B247" s="172"/>
      <c r="C247" s="172"/>
      <c r="D247" s="172"/>
      <c r="E247" s="172"/>
      <c r="F247" s="172"/>
      <c r="G247" s="172"/>
      <c r="H247" s="172"/>
      <c r="I247" s="172"/>
    </row>
    <row r="248" spans="2:9" hidden="1" x14ac:dyDescent="0.3">
      <c r="B248" s="172"/>
      <c r="C248" s="172"/>
      <c r="D248" s="172"/>
      <c r="E248" s="172"/>
      <c r="F248" s="172"/>
      <c r="G248" s="172"/>
      <c r="H248" s="172"/>
      <c r="I248" s="172"/>
    </row>
    <row r="249" spans="2:9" hidden="1" x14ac:dyDescent="0.3">
      <c r="B249" s="172"/>
      <c r="C249" s="172"/>
      <c r="D249" s="172"/>
      <c r="E249" s="172"/>
      <c r="F249" s="172"/>
      <c r="G249" s="172"/>
      <c r="H249" s="172"/>
      <c r="I249" s="172"/>
    </row>
    <row r="250" spans="2:9" hidden="1" x14ac:dyDescent="0.3">
      <c r="B250" s="172"/>
      <c r="C250" s="172"/>
      <c r="D250" s="172"/>
      <c r="E250" s="172"/>
      <c r="F250" s="172"/>
      <c r="G250" s="172"/>
      <c r="H250" s="172"/>
      <c r="I250" s="172"/>
    </row>
    <row r="251" spans="2:9" hidden="1" x14ac:dyDescent="0.3">
      <c r="B251" s="172"/>
      <c r="C251" s="172"/>
      <c r="D251" s="172"/>
      <c r="E251" s="172"/>
      <c r="F251" s="172"/>
      <c r="G251" s="172"/>
      <c r="H251" s="172"/>
      <c r="I251" s="172"/>
    </row>
    <row r="252" spans="2:9" hidden="1" x14ac:dyDescent="0.3">
      <c r="B252" s="172"/>
      <c r="C252" s="172"/>
      <c r="D252" s="172"/>
      <c r="E252" s="172"/>
      <c r="F252" s="172"/>
      <c r="G252" s="172"/>
      <c r="H252" s="172"/>
      <c r="I252" s="172"/>
    </row>
    <row r="253" spans="2:9" hidden="1" x14ac:dyDescent="0.3">
      <c r="B253" s="172"/>
      <c r="C253" s="172"/>
      <c r="D253" s="172"/>
      <c r="E253" s="172"/>
      <c r="F253" s="172"/>
      <c r="G253" s="172"/>
      <c r="H253" s="172"/>
      <c r="I253" s="172"/>
    </row>
    <row r="254" spans="2:9" hidden="1" x14ac:dyDescent="0.3">
      <c r="B254" s="172"/>
      <c r="C254" s="172"/>
      <c r="D254" s="172"/>
      <c r="E254" s="172"/>
      <c r="F254" s="172"/>
      <c r="G254" s="172"/>
      <c r="H254" s="172"/>
      <c r="I254" s="172"/>
    </row>
    <row r="255" spans="2:9" hidden="1" x14ac:dyDescent="0.3">
      <c r="B255" s="172"/>
      <c r="C255" s="172"/>
      <c r="D255" s="172"/>
      <c r="E255" s="172"/>
      <c r="F255" s="172"/>
      <c r="G255" s="172"/>
      <c r="H255" s="172"/>
      <c r="I255" s="172"/>
    </row>
    <row r="256" spans="2:9" hidden="1" x14ac:dyDescent="0.3">
      <c r="B256" s="172"/>
      <c r="C256" s="172"/>
      <c r="D256" s="172"/>
      <c r="E256" s="172"/>
      <c r="F256" s="172"/>
      <c r="G256" s="172"/>
      <c r="H256" s="172"/>
      <c r="I256" s="172"/>
    </row>
    <row r="257" spans="2:9" hidden="1" x14ac:dyDescent="0.3">
      <c r="B257" s="172"/>
      <c r="C257" s="172"/>
      <c r="D257" s="172"/>
      <c r="E257" s="172"/>
      <c r="F257" s="172"/>
      <c r="G257" s="172"/>
      <c r="H257" s="172"/>
      <c r="I257" s="172"/>
    </row>
    <row r="258" spans="2:9" hidden="1" x14ac:dyDescent="0.3">
      <c r="B258" s="172"/>
      <c r="C258" s="172"/>
      <c r="D258" s="172"/>
      <c r="E258" s="172"/>
      <c r="F258" s="172"/>
      <c r="G258" s="172"/>
      <c r="H258" s="172"/>
      <c r="I258" s="172"/>
    </row>
    <row r="259" spans="2:9" hidden="1" x14ac:dyDescent="0.3">
      <c r="B259" s="172"/>
      <c r="C259" s="172"/>
      <c r="D259" s="172"/>
      <c r="E259" s="172"/>
      <c r="F259" s="172"/>
      <c r="G259" s="172"/>
      <c r="H259" s="172"/>
      <c r="I259" s="172"/>
    </row>
    <row r="260" spans="2:9" hidden="1" x14ac:dyDescent="0.3">
      <c r="B260" s="172"/>
      <c r="C260" s="172"/>
      <c r="D260" s="172"/>
      <c r="E260" s="172"/>
      <c r="F260" s="172"/>
      <c r="G260" s="172"/>
      <c r="H260" s="172"/>
      <c r="I260" s="172"/>
    </row>
    <row r="261" spans="2:9" hidden="1" x14ac:dyDescent="0.3">
      <c r="B261" s="172"/>
      <c r="C261" s="172"/>
      <c r="D261" s="172"/>
      <c r="E261" s="172"/>
      <c r="F261" s="172"/>
      <c r="G261" s="172"/>
      <c r="H261" s="172"/>
      <c r="I261" s="172"/>
    </row>
    <row r="262" spans="2:9" hidden="1" x14ac:dyDescent="0.3">
      <c r="B262" s="172"/>
      <c r="C262" s="172"/>
      <c r="D262" s="172"/>
      <c r="E262" s="172"/>
      <c r="F262" s="172"/>
      <c r="G262" s="172"/>
      <c r="H262" s="172"/>
      <c r="I262" s="172"/>
    </row>
    <row r="263" spans="2:9" hidden="1" x14ac:dyDescent="0.3">
      <c r="B263" s="172"/>
      <c r="C263" s="172"/>
      <c r="D263" s="172"/>
      <c r="E263" s="172"/>
      <c r="F263" s="172"/>
      <c r="G263" s="172"/>
      <c r="H263" s="172"/>
      <c r="I263" s="172"/>
    </row>
    <row r="264" spans="2:9" hidden="1" x14ac:dyDescent="0.3">
      <c r="B264" s="172"/>
      <c r="C264" s="172"/>
      <c r="D264" s="172"/>
      <c r="E264" s="172"/>
      <c r="F264" s="172"/>
      <c r="G264" s="172"/>
      <c r="H264" s="172"/>
      <c r="I264" s="172"/>
    </row>
    <row r="266" spans="2:9" x14ac:dyDescent="0.3">
      <c r="B266" s="167" t="s">
        <v>251</v>
      </c>
      <c r="C266" s="168"/>
      <c r="D266" s="168"/>
      <c r="E266" s="168"/>
      <c r="F266" s="168"/>
      <c r="G266" s="168"/>
      <c r="H266" s="168"/>
      <c r="I266" s="168"/>
    </row>
    <row r="267" spans="2:9" x14ac:dyDescent="0.3">
      <c r="B267" s="169" t="s">
        <v>9</v>
      </c>
      <c r="C267" s="169" t="s">
        <v>46</v>
      </c>
      <c r="D267" s="169" t="s">
        <v>42</v>
      </c>
      <c r="E267" s="169" t="s">
        <v>252</v>
      </c>
      <c r="F267" s="169" t="s">
        <v>253</v>
      </c>
      <c r="G267" s="169" t="s">
        <v>218</v>
      </c>
      <c r="H267" s="169" t="s">
        <v>221</v>
      </c>
      <c r="I267" s="170" t="s">
        <v>206</v>
      </c>
    </row>
    <row r="268" spans="2:9" x14ac:dyDescent="0.3">
      <c r="B268" s="205"/>
      <c r="C268" s="205"/>
      <c r="D268" s="205"/>
      <c r="E268" s="205"/>
      <c r="F268" s="205"/>
      <c r="G268" s="205" t="s">
        <v>7</v>
      </c>
      <c r="H268" s="205" t="s">
        <v>7</v>
      </c>
      <c r="I268" s="206" t="s">
        <v>7</v>
      </c>
    </row>
    <row r="269" spans="2:9" s="172" customFormat="1" x14ac:dyDescent="0.3">
      <c r="B269" s="27" t="s">
        <v>254</v>
      </c>
      <c r="C269" s="27" t="s">
        <v>255</v>
      </c>
      <c r="D269" s="27" t="s">
        <v>256</v>
      </c>
      <c r="E269" s="27" t="s">
        <v>257</v>
      </c>
      <c r="F269" s="27" t="s">
        <v>258</v>
      </c>
      <c r="G269" s="27" t="s">
        <v>259</v>
      </c>
      <c r="H269" s="27" t="s">
        <v>260</v>
      </c>
      <c r="I269" s="27" t="s">
        <v>261</v>
      </c>
    </row>
    <row r="270" spans="2:9" hidden="1" x14ac:dyDescent="0.3">
      <c r="B270" s="172" t="s">
        <v>189</v>
      </c>
      <c r="C270" s="172" t="s">
        <v>79</v>
      </c>
      <c r="D270" s="172" t="s">
        <v>218</v>
      </c>
      <c r="E270" s="172">
        <v>2.48049617596731E-4</v>
      </c>
      <c r="F270" s="172">
        <v>64</v>
      </c>
      <c r="G270" s="172">
        <v>21</v>
      </c>
      <c r="H270" s="172">
        <v>8</v>
      </c>
      <c r="I270" s="172">
        <v>38.5</v>
      </c>
    </row>
    <row r="271" spans="2:9" hidden="1" x14ac:dyDescent="0.3">
      <c r="B271" s="172" t="s">
        <v>189</v>
      </c>
      <c r="C271" s="172" t="s">
        <v>80</v>
      </c>
      <c r="D271" s="172" t="s">
        <v>218</v>
      </c>
      <c r="E271" s="172">
        <v>2.5590088743604797E-4</v>
      </c>
      <c r="F271" s="172">
        <v>103</v>
      </c>
      <c r="G271" s="172">
        <v>16</v>
      </c>
      <c r="H271" s="172">
        <v>4</v>
      </c>
      <c r="I271" s="172">
        <v>38.5</v>
      </c>
    </row>
    <row r="272" spans="2:9" hidden="1" x14ac:dyDescent="0.3">
      <c r="B272" s="172" t="s">
        <v>189</v>
      </c>
      <c r="C272" s="172" t="s">
        <v>80</v>
      </c>
      <c r="D272" s="172" t="s">
        <v>221</v>
      </c>
      <c r="E272" s="172">
        <v>3.4996707889387301E-5</v>
      </c>
      <c r="F272" s="172">
        <v>79</v>
      </c>
      <c r="G272" s="172">
        <v>21</v>
      </c>
      <c r="H272" s="172">
        <v>4</v>
      </c>
      <c r="I272" s="172">
        <v>38.5</v>
      </c>
    </row>
    <row r="273" spans="2:9" x14ac:dyDescent="0.3">
      <c r="B273" s="172" t="s">
        <v>189</v>
      </c>
      <c r="C273" s="172" t="s">
        <v>81</v>
      </c>
      <c r="D273" s="172" t="s">
        <v>221</v>
      </c>
      <c r="E273" s="172">
        <v>3.4625371760071901E-4</v>
      </c>
      <c r="F273" s="172">
        <v>79</v>
      </c>
      <c r="G273" s="172">
        <v>21</v>
      </c>
      <c r="H273" s="172">
        <v>4</v>
      </c>
      <c r="I273" s="172">
        <v>38.5</v>
      </c>
    </row>
    <row r="274" spans="2:9" hidden="1" x14ac:dyDescent="0.3">
      <c r="B274" s="172" t="s">
        <v>189</v>
      </c>
      <c r="C274" s="172" t="s">
        <v>82</v>
      </c>
      <c r="D274" s="172" t="s">
        <v>221</v>
      </c>
      <c r="E274" s="172">
        <v>2.87964905860374E-4</v>
      </c>
      <c r="F274" s="172">
        <v>79</v>
      </c>
      <c r="G274" s="172">
        <v>21</v>
      </c>
      <c r="H274" s="172">
        <v>4</v>
      </c>
      <c r="I274" s="172">
        <v>38.5</v>
      </c>
    </row>
    <row r="275" spans="2:9" hidden="1" x14ac:dyDescent="0.3">
      <c r="B275" s="172" t="s">
        <v>189</v>
      </c>
      <c r="C275" s="172" t="s">
        <v>246</v>
      </c>
      <c r="D275" s="172" t="s">
        <v>218</v>
      </c>
      <c r="E275" s="172">
        <v>4.1957174513004299E-4</v>
      </c>
      <c r="F275" s="172">
        <v>103</v>
      </c>
      <c r="G275" s="172">
        <v>16</v>
      </c>
      <c r="H275" s="172">
        <v>4</v>
      </c>
      <c r="I275" s="172">
        <v>38.5</v>
      </c>
    </row>
    <row r="276" spans="2:9" hidden="1" x14ac:dyDescent="0.3">
      <c r="B276" s="172" t="s">
        <v>187</v>
      </c>
      <c r="C276" s="172" t="s">
        <v>79</v>
      </c>
      <c r="D276" s="172" t="s">
        <v>218</v>
      </c>
      <c r="E276" s="172">
        <v>2.5718220880069403E-4</v>
      </c>
      <c r="F276" s="172">
        <v>33</v>
      </c>
      <c r="G276" s="172">
        <v>16</v>
      </c>
      <c r="H276" s="172">
        <v>15</v>
      </c>
      <c r="I276" s="172">
        <v>35.5</v>
      </c>
    </row>
    <row r="277" spans="2:9" hidden="1" x14ac:dyDescent="0.3">
      <c r="B277" s="172" t="s">
        <v>187</v>
      </c>
      <c r="C277" s="172" t="s">
        <v>80</v>
      </c>
      <c r="D277" s="172" t="s">
        <v>218</v>
      </c>
      <c r="E277" s="172">
        <v>2.6858445681592698E-4</v>
      </c>
      <c r="F277" s="172">
        <v>30</v>
      </c>
      <c r="G277" s="172">
        <v>16</v>
      </c>
      <c r="H277" s="172">
        <v>0</v>
      </c>
      <c r="I277" s="172">
        <v>35.5</v>
      </c>
    </row>
    <row r="278" spans="2:9" x14ac:dyDescent="0.3">
      <c r="B278" s="172" t="s">
        <v>187</v>
      </c>
      <c r="C278" s="172" t="s">
        <v>81</v>
      </c>
      <c r="D278" s="172" t="s">
        <v>221</v>
      </c>
      <c r="E278" s="172">
        <v>3.9885022354100398E-4</v>
      </c>
      <c r="F278" s="172">
        <v>79</v>
      </c>
      <c r="G278" s="172">
        <v>21</v>
      </c>
      <c r="H278" s="172">
        <v>4</v>
      </c>
      <c r="I278" s="172">
        <v>35.5</v>
      </c>
    </row>
    <row r="279" spans="2:9" hidden="1" x14ac:dyDescent="0.3">
      <c r="B279" s="172" t="s">
        <v>187</v>
      </c>
      <c r="C279" s="172" t="s">
        <v>82</v>
      </c>
      <c r="D279" s="172" t="s">
        <v>221</v>
      </c>
      <c r="E279" s="172">
        <v>3.7306005620499301E-4</v>
      </c>
      <c r="F279" s="172">
        <v>21</v>
      </c>
      <c r="G279" s="172">
        <v>0</v>
      </c>
      <c r="H279" s="172">
        <v>15</v>
      </c>
      <c r="I279" s="172">
        <v>35.5</v>
      </c>
    </row>
    <row r="280" spans="2:9" hidden="1" x14ac:dyDescent="0.3">
      <c r="B280" s="172" t="s">
        <v>187</v>
      </c>
      <c r="C280" s="172" t="s">
        <v>246</v>
      </c>
      <c r="D280" s="172" t="s">
        <v>218</v>
      </c>
      <c r="E280" s="172">
        <v>1.20469180781745E-4</v>
      </c>
      <c r="F280" s="172">
        <v>30</v>
      </c>
      <c r="G280" s="172">
        <v>16</v>
      </c>
      <c r="H280" s="172">
        <v>0</v>
      </c>
      <c r="I280" s="172">
        <v>35.5</v>
      </c>
    </row>
    <row r="281" spans="2:9" hidden="1" x14ac:dyDescent="0.3">
      <c r="B281" s="172" t="s">
        <v>185</v>
      </c>
      <c r="C281" s="172" t="s">
        <v>79</v>
      </c>
      <c r="D281" s="172" t="s">
        <v>218</v>
      </c>
      <c r="E281" s="172">
        <v>4.1039639312808298E-4</v>
      </c>
      <c r="F281" s="172">
        <v>33</v>
      </c>
      <c r="G281" s="172">
        <v>16</v>
      </c>
      <c r="H281" s="172">
        <v>15</v>
      </c>
      <c r="I281" s="172">
        <v>32</v>
      </c>
    </row>
    <row r="282" spans="2:9" hidden="1" x14ac:dyDescent="0.3">
      <c r="B282" s="172" t="s">
        <v>185</v>
      </c>
      <c r="C282" s="172" t="s">
        <v>80</v>
      </c>
      <c r="D282" s="172" t="s">
        <v>218</v>
      </c>
      <c r="E282" s="172">
        <v>4.2149850460428899E-4</v>
      </c>
      <c r="F282" s="172">
        <v>30</v>
      </c>
      <c r="G282" s="172">
        <v>16</v>
      </c>
      <c r="H282" s="172">
        <v>0</v>
      </c>
      <c r="I282" s="172">
        <v>32</v>
      </c>
    </row>
    <row r="283" spans="2:9" x14ac:dyDescent="0.3">
      <c r="B283" s="172" t="s">
        <v>185</v>
      </c>
      <c r="C283" s="172" t="s">
        <v>81</v>
      </c>
      <c r="D283" s="172" t="s">
        <v>221</v>
      </c>
      <c r="E283" s="172">
        <v>5.6325410877158799E-4</v>
      </c>
      <c r="F283" s="172">
        <v>79</v>
      </c>
      <c r="G283" s="172">
        <v>21</v>
      </c>
      <c r="H283" s="172">
        <v>4</v>
      </c>
      <c r="I283" s="172">
        <v>32</v>
      </c>
    </row>
    <row r="284" spans="2:9" hidden="1" x14ac:dyDescent="0.3">
      <c r="B284" s="172" t="s">
        <v>185</v>
      </c>
      <c r="C284" s="172" t="s">
        <v>82</v>
      </c>
      <c r="D284" s="172" t="s">
        <v>221</v>
      </c>
      <c r="E284" s="172">
        <v>5.6066862523618201E-4</v>
      </c>
      <c r="F284" s="172">
        <v>21</v>
      </c>
      <c r="G284" s="172">
        <v>0</v>
      </c>
      <c r="H284" s="172">
        <v>15</v>
      </c>
      <c r="I284" s="172">
        <v>32</v>
      </c>
    </row>
    <row r="285" spans="2:9" hidden="1" x14ac:dyDescent="0.3">
      <c r="B285" s="172" t="s">
        <v>185</v>
      </c>
      <c r="C285" s="172" t="s">
        <v>246</v>
      </c>
      <c r="D285" s="172" t="s">
        <v>218</v>
      </c>
      <c r="E285" s="172">
        <v>1.17753402687942E-4</v>
      </c>
      <c r="F285" s="172">
        <v>30</v>
      </c>
      <c r="G285" s="172">
        <v>16</v>
      </c>
      <c r="H285" s="172">
        <v>0</v>
      </c>
      <c r="I285" s="172">
        <v>32</v>
      </c>
    </row>
    <row r="286" spans="2:9" hidden="1" x14ac:dyDescent="0.3">
      <c r="B286" s="172" t="s">
        <v>183</v>
      </c>
      <c r="C286" s="172" t="s">
        <v>79</v>
      </c>
      <c r="D286" s="172" t="s">
        <v>218</v>
      </c>
      <c r="E286" s="172">
        <v>5.5298515768966805E-4</v>
      </c>
      <c r="F286" s="172">
        <v>33</v>
      </c>
      <c r="G286" s="172">
        <v>16</v>
      </c>
      <c r="H286" s="172">
        <v>15</v>
      </c>
      <c r="I286" s="172">
        <v>28.5</v>
      </c>
    </row>
    <row r="287" spans="2:9" hidden="1" x14ac:dyDescent="0.3">
      <c r="B287" s="172" t="s">
        <v>183</v>
      </c>
      <c r="C287" s="172" t="s">
        <v>80</v>
      </c>
      <c r="D287" s="172" t="s">
        <v>218</v>
      </c>
      <c r="E287" s="172">
        <v>5.6266303910433503E-4</v>
      </c>
      <c r="F287" s="172">
        <v>30</v>
      </c>
      <c r="G287" s="172">
        <v>16</v>
      </c>
      <c r="H287" s="172">
        <v>0</v>
      </c>
      <c r="I287" s="172">
        <v>28.5</v>
      </c>
    </row>
    <row r="288" spans="2:9" x14ac:dyDescent="0.3">
      <c r="B288" s="172" t="s">
        <v>183</v>
      </c>
      <c r="C288" s="172" t="s">
        <v>81</v>
      </c>
      <c r="D288" s="172" t="s">
        <v>221</v>
      </c>
      <c r="E288" s="172">
        <v>7.0786324786893196E-4</v>
      </c>
      <c r="F288" s="172">
        <v>79</v>
      </c>
      <c r="G288" s="172">
        <v>21</v>
      </c>
      <c r="H288" s="172">
        <v>4</v>
      </c>
      <c r="I288" s="172">
        <v>28.5</v>
      </c>
    </row>
    <row r="289" spans="2:9" hidden="1" x14ac:dyDescent="0.3">
      <c r="B289" s="172" t="s">
        <v>183</v>
      </c>
      <c r="C289" s="172" t="s">
        <v>82</v>
      </c>
      <c r="D289" s="172" t="s">
        <v>221</v>
      </c>
      <c r="E289" s="172">
        <v>7.3085617824510802E-4</v>
      </c>
      <c r="F289" s="172">
        <v>21</v>
      </c>
      <c r="G289" s="172">
        <v>0</v>
      </c>
      <c r="H289" s="172">
        <v>15</v>
      </c>
      <c r="I289" s="172">
        <v>28.5</v>
      </c>
    </row>
    <row r="290" spans="2:9" hidden="1" x14ac:dyDescent="0.3">
      <c r="B290" s="172" t="s">
        <v>183</v>
      </c>
      <c r="C290" s="172" t="s">
        <v>246</v>
      </c>
      <c r="D290" s="172" t="s">
        <v>218</v>
      </c>
      <c r="E290" s="172">
        <v>1.12887783424029E-4</v>
      </c>
      <c r="F290" s="172">
        <v>30</v>
      </c>
      <c r="G290" s="172">
        <v>16</v>
      </c>
      <c r="H290" s="172">
        <v>0</v>
      </c>
      <c r="I290" s="172">
        <v>28.5</v>
      </c>
    </row>
    <row r="291" spans="2:9" hidden="1" x14ac:dyDescent="0.3">
      <c r="B291" s="172" t="s">
        <v>181</v>
      </c>
      <c r="C291" s="172" t="s">
        <v>79</v>
      </c>
      <c r="D291" s="172" t="s">
        <v>218</v>
      </c>
      <c r="E291" s="172">
        <v>6.7413679905960503E-4</v>
      </c>
      <c r="F291" s="172">
        <v>33</v>
      </c>
      <c r="G291" s="172">
        <v>16</v>
      </c>
      <c r="H291" s="172">
        <v>15</v>
      </c>
      <c r="I291" s="172">
        <v>25</v>
      </c>
    </row>
    <row r="292" spans="2:9" hidden="1" x14ac:dyDescent="0.3">
      <c r="B292" s="172" t="s">
        <v>181</v>
      </c>
      <c r="C292" s="172" t="s">
        <v>80</v>
      </c>
      <c r="D292" s="172" t="s">
        <v>218</v>
      </c>
      <c r="E292" s="172">
        <v>6.8244335583959404E-4</v>
      </c>
      <c r="F292" s="172">
        <v>30</v>
      </c>
      <c r="G292" s="172">
        <v>16</v>
      </c>
      <c r="H292" s="172">
        <v>0</v>
      </c>
      <c r="I292" s="172">
        <v>25</v>
      </c>
    </row>
    <row r="293" spans="2:9" x14ac:dyDescent="0.3">
      <c r="B293" s="172" t="s">
        <v>181</v>
      </c>
      <c r="C293" s="172" t="s">
        <v>81</v>
      </c>
      <c r="D293" s="172" t="s">
        <v>221</v>
      </c>
      <c r="E293" s="172">
        <v>8.2563152877679498E-4</v>
      </c>
      <c r="F293" s="172">
        <v>79</v>
      </c>
      <c r="G293" s="172">
        <v>21</v>
      </c>
      <c r="H293" s="172">
        <v>4</v>
      </c>
      <c r="I293" s="172">
        <v>25</v>
      </c>
    </row>
    <row r="294" spans="2:9" hidden="1" x14ac:dyDescent="0.3">
      <c r="B294" s="172" t="s">
        <v>181</v>
      </c>
      <c r="C294" s="172" t="s">
        <v>82</v>
      </c>
      <c r="D294" s="172" t="s">
        <v>221</v>
      </c>
      <c r="E294" s="172">
        <v>8.7099095723625303E-4</v>
      </c>
      <c r="F294" s="172">
        <v>21</v>
      </c>
      <c r="G294" s="172">
        <v>0</v>
      </c>
      <c r="H294" s="172">
        <v>15</v>
      </c>
      <c r="I294" s="172">
        <v>25</v>
      </c>
    </row>
    <row r="295" spans="2:9" hidden="1" x14ac:dyDescent="0.3">
      <c r="B295" s="172" t="s">
        <v>181</v>
      </c>
      <c r="C295" s="172" t="s">
        <v>246</v>
      </c>
      <c r="D295" s="172" t="s">
        <v>218</v>
      </c>
      <c r="E295" s="172">
        <v>1.0556647892953299E-4</v>
      </c>
      <c r="F295" s="172">
        <v>30</v>
      </c>
      <c r="G295" s="172">
        <v>16</v>
      </c>
      <c r="H295" s="172">
        <v>0</v>
      </c>
      <c r="I295" s="172">
        <v>25</v>
      </c>
    </row>
    <row r="296" spans="2:9" hidden="1" x14ac:dyDescent="0.3">
      <c r="B296" s="172" t="s">
        <v>179</v>
      </c>
      <c r="C296" s="172" t="s">
        <v>79</v>
      </c>
      <c r="D296" s="172" t="s">
        <v>218</v>
      </c>
      <c r="E296" s="172">
        <v>7.7572539859524796E-4</v>
      </c>
      <c r="F296" s="172">
        <v>33</v>
      </c>
      <c r="G296" s="172">
        <v>16</v>
      </c>
      <c r="H296" s="172">
        <v>15</v>
      </c>
      <c r="I296" s="172">
        <v>21.5</v>
      </c>
    </row>
    <row r="297" spans="2:9" hidden="1" x14ac:dyDescent="0.3">
      <c r="B297" s="172" t="s">
        <v>179</v>
      </c>
      <c r="C297" s="172" t="s">
        <v>80</v>
      </c>
      <c r="D297" s="172" t="s">
        <v>218</v>
      </c>
      <c r="E297" s="172">
        <v>7.8233371380805202E-4</v>
      </c>
      <c r="F297" s="172">
        <v>30</v>
      </c>
      <c r="G297" s="172">
        <v>16</v>
      </c>
      <c r="H297" s="172">
        <v>0</v>
      </c>
      <c r="I297" s="172">
        <v>21.5</v>
      </c>
    </row>
    <row r="298" spans="2:9" x14ac:dyDescent="0.3">
      <c r="B298" s="172" t="s">
        <v>179</v>
      </c>
      <c r="C298" s="172" t="s">
        <v>81</v>
      </c>
      <c r="D298" s="172" t="s">
        <v>221</v>
      </c>
      <c r="E298" s="172">
        <v>9.2008260293993096E-4</v>
      </c>
      <c r="F298" s="172">
        <v>79</v>
      </c>
      <c r="G298" s="172">
        <v>21</v>
      </c>
      <c r="H298" s="172">
        <v>4</v>
      </c>
      <c r="I298" s="172">
        <v>21.5</v>
      </c>
    </row>
    <row r="299" spans="2:9" hidden="1" x14ac:dyDescent="0.3">
      <c r="B299" s="172" t="s">
        <v>179</v>
      </c>
      <c r="C299" s="172" t="s">
        <v>82</v>
      </c>
      <c r="D299" s="172" t="s">
        <v>221</v>
      </c>
      <c r="E299" s="172">
        <v>9.8563376852794492E-4</v>
      </c>
      <c r="F299" s="172">
        <v>21</v>
      </c>
      <c r="G299" s="172">
        <v>0</v>
      </c>
      <c r="H299" s="172">
        <v>15</v>
      </c>
      <c r="I299" s="172">
        <v>21.5</v>
      </c>
    </row>
    <row r="300" spans="2:9" hidden="1" x14ac:dyDescent="0.3">
      <c r="B300" s="172" t="s">
        <v>179</v>
      </c>
      <c r="C300" s="172" t="s">
        <v>246</v>
      </c>
      <c r="D300" s="172" t="s">
        <v>218</v>
      </c>
      <c r="E300" s="172">
        <v>9.6423233198488401E-5</v>
      </c>
      <c r="F300" s="172">
        <v>30</v>
      </c>
      <c r="G300" s="172">
        <v>16</v>
      </c>
      <c r="H300" s="172">
        <v>0</v>
      </c>
      <c r="I300" s="172">
        <v>21.5</v>
      </c>
    </row>
    <row r="301" spans="2:9" hidden="1" x14ac:dyDescent="0.3">
      <c r="B301" s="172" t="s">
        <v>39</v>
      </c>
      <c r="C301" s="172" t="s">
        <v>79</v>
      </c>
      <c r="D301" s="172" t="s">
        <v>218</v>
      </c>
      <c r="E301" s="172">
        <v>8.4698001013086598E-4</v>
      </c>
      <c r="F301" s="172">
        <v>33</v>
      </c>
      <c r="G301" s="172">
        <v>16</v>
      </c>
      <c r="H301" s="172">
        <v>15</v>
      </c>
      <c r="I301" s="172">
        <v>18</v>
      </c>
    </row>
    <row r="302" spans="2:9" hidden="1" x14ac:dyDescent="0.3">
      <c r="B302" s="172" t="s">
        <v>39</v>
      </c>
      <c r="C302" s="172" t="s">
        <v>80</v>
      </c>
      <c r="D302" s="172" t="s">
        <v>218</v>
      </c>
      <c r="E302" s="172">
        <v>8.4778598860670799E-4</v>
      </c>
      <c r="F302" s="172">
        <v>30</v>
      </c>
      <c r="G302" s="172">
        <v>16</v>
      </c>
      <c r="H302" s="172">
        <v>0</v>
      </c>
      <c r="I302" s="172">
        <v>18</v>
      </c>
    </row>
    <row r="303" spans="2:9" x14ac:dyDescent="0.3">
      <c r="B303" s="172" t="s">
        <v>39</v>
      </c>
      <c r="C303" s="172" t="s">
        <v>81</v>
      </c>
      <c r="D303" s="172" t="s">
        <v>221</v>
      </c>
      <c r="E303" s="172">
        <v>9.9073482333601206E-4</v>
      </c>
      <c r="F303" s="172">
        <v>79</v>
      </c>
      <c r="G303" s="172">
        <v>21</v>
      </c>
      <c r="H303" s="172">
        <v>4</v>
      </c>
      <c r="I303" s="172">
        <v>18</v>
      </c>
    </row>
    <row r="304" spans="2:9" hidden="1" x14ac:dyDescent="0.3">
      <c r="B304" s="172" t="s">
        <v>39</v>
      </c>
      <c r="C304" s="172" t="s">
        <v>82</v>
      </c>
      <c r="D304" s="172" t="s">
        <v>221</v>
      </c>
      <c r="E304" s="172">
        <v>1.0798003749718701E-3</v>
      </c>
      <c r="F304" s="172">
        <v>21</v>
      </c>
      <c r="G304" s="172">
        <v>0</v>
      </c>
      <c r="H304" s="172">
        <v>15</v>
      </c>
      <c r="I304" s="172">
        <v>18</v>
      </c>
    </row>
    <row r="305" spans="2:9" hidden="1" x14ac:dyDescent="0.3">
      <c r="B305" s="172" t="s">
        <v>39</v>
      </c>
      <c r="C305" s="172" t="s">
        <v>246</v>
      </c>
      <c r="D305" s="172" t="s">
        <v>218</v>
      </c>
      <c r="E305" s="172">
        <v>9.0608469999449594E-5</v>
      </c>
      <c r="F305" s="172">
        <v>30</v>
      </c>
      <c r="G305" s="172">
        <v>16</v>
      </c>
      <c r="H305" s="172">
        <v>0</v>
      </c>
      <c r="I305" s="172">
        <v>18</v>
      </c>
    </row>
    <row r="306" spans="2:9" hidden="1" x14ac:dyDescent="0.3">
      <c r="B306" s="172" t="s">
        <v>26</v>
      </c>
      <c r="C306" s="172" t="s">
        <v>79</v>
      </c>
      <c r="D306" s="172" t="s">
        <v>218</v>
      </c>
      <c r="E306" s="172">
        <v>9.0053423057188497E-4</v>
      </c>
      <c r="F306" s="172">
        <v>33</v>
      </c>
      <c r="G306" s="172">
        <v>16</v>
      </c>
      <c r="H306" s="172">
        <v>15</v>
      </c>
      <c r="I306" s="172">
        <v>14.5</v>
      </c>
    </row>
    <row r="307" spans="2:9" hidden="1" x14ac:dyDescent="0.3">
      <c r="B307" s="172" t="s">
        <v>26</v>
      </c>
      <c r="C307" s="172" t="s">
        <v>80</v>
      </c>
      <c r="D307" s="172" t="s">
        <v>218</v>
      </c>
      <c r="E307" s="172">
        <v>8.9525263398075995E-4</v>
      </c>
      <c r="F307" s="172">
        <v>30</v>
      </c>
      <c r="G307" s="172">
        <v>16</v>
      </c>
      <c r="H307" s="172">
        <v>0</v>
      </c>
      <c r="I307" s="172">
        <v>14.5</v>
      </c>
    </row>
    <row r="308" spans="2:9" x14ac:dyDescent="0.3">
      <c r="B308" s="172" t="s">
        <v>26</v>
      </c>
      <c r="C308" s="172" t="s">
        <v>81</v>
      </c>
      <c r="D308" s="172" t="s">
        <v>221</v>
      </c>
      <c r="E308" s="172">
        <v>1.0436180678514101E-3</v>
      </c>
      <c r="F308" s="172">
        <v>79</v>
      </c>
      <c r="G308" s="172">
        <v>21</v>
      </c>
      <c r="H308" s="172">
        <v>4</v>
      </c>
      <c r="I308" s="172">
        <v>14.5</v>
      </c>
    </row>
    <row r="309" spans="2:9" hidden="1" x14ac:dyDescent="0.3">
      <c r="B309" s="172" t="s">
        <v>26</v>
      </c>
      <c r="C309" s="172" t="s">
        <v>82</v>
      </c>
      <c r="D309" s="172" t="s">
        <v>221</v>
      </c>
      <c r="E309" s="172">
        <v>1.15437715702271E-3</v>
      </c>
      <c r="F309" s="172">
        <v>21</v>
      </c>
      <c r="G309" s="172">
        <v>0</v>
      </c>
      <c r="H309" s="172">
        <v>15</v>
      </c>
      <c r="I309" s="172">
        <v>14.5</v>
      </c>
    </row>
    <row r="310" spans="2:9" hidden="1" x14ac:dyDescent="0.3">
      <c r="B310" s="172" t="s">
        <v>26</v>
      </c>
      <c r="C310" s="172" t="s">
        <v>246</v>
      </c>
      <c r="D310" s="172" t="s">
        <v>218</v>
      </c>
      <c r="E310" s="172">
        <v>8.1322633221673696E-5</v>
      </c>
      <c r="F310" s="172">
        <v>30</v>
      </c>
      <c r="G310" s="172">
        <v>16</v>
      </c>
      <c r="H310" s="172">
        <v>0</v>
      </c>
      <c r="I310" s="172">
        <v>14.5</v>
      </c>
    </row>
    <row r="311" spans="2:9" hidden="1" x14ac:dyDescent="0.3">
      <c r="B311" s="172" t="s">
        <v>25</v>
      </c>
      <c r="C311" s="172" t="s">
        <v>79</v>
      </c>
      <c r="D311" s="172" t="s">
        <v>218</v>
      </c>
      <c r="E311" s="172">
        <v>9.4919027741321603E-4</v>
      </c>
      <c r="F311" s="172">
        <v>33</v>
      </c>
      <c r="G311" s="172">
        <v>16</v>
      </c>
      <c r="H311" s="172">
        <v>15</v>
      </c>
      <c r="I311" s="172">
        <v>11</v>
      </c>
    </row>
    <row r="312" spans="2:9" hidden="1" x14ac:dyDescent="0.3">
      <c r="B312" s="172" t="s">
        <v>25</v>
      </c>
      <c r="C312" s="172" t="s">
        <v>80</v>
      </c>
      <c r="D312" s="172" t="s">
        <v>218</v>
      </c>
      <c r="E312" s="172">
        <v>9.4098174318284602E-4</v>
      </c>
      <c r="F312" s="172">
        <v>30</v>
      </c>
      <c r="G312" s="172">
        <v>16</v>
      </c>
      <c r="H312" s="172">
        <v>0</v>
      </c>
      <c r="I312" s="172">
        <v>11</v>
      </c>
    </row>
    <row r="313" spans="2:9" x14ac:dyDescent="0.3">
      <c r="B313" s="172" t="s">
        <v>25</v>
      </c>
      <c r="C313" s="172" t="s">
        <v>81</v>
      </c>
      <c r="D313" s="172" t="s">
        <v>221</v>
      </c>
      <c r="E313" s="172">
        <v>1.0798570851283801E-3</v>
      </c>
      <c r="F313" s="172">
        <v>79</v>
      </c>
      <c r="G313" s="172">
        <v>21</v>
      </c>
      <c r="H313" s="172">
        <v>4</v>
      </c>
      <c r="I313" s="172">
        <v>11</v>
      </c>
    </row>
    <row r="314" spans="2:9" hidden="1" x14ac:dyDescent="0.3">
      <c r="B314" s="172" t="s">
        <v>25</v>
      </c>
      <c r="C314" s="172" t="s">
        <v>82</v>
      </c>
      <c r="D314" s="172" t="s">
        <v>221</v>
      </c>
      <c r="E314" s="172">
        <v>1.20652444653261E-3</v>
      </c>
      <c r="F314" s="172">
        <v>21</v>
      </c>
      <c r="G314" s="172">
        <v>0</v>
      </c>
      <c r="H314" s="172">
        <v>15</v>
      </c>
      <c r="I314" s="172">
        <v>11</v>
      </c>
    </row>
    <row r="315" spans="2:9" hidden="1" x14ac:dyDescent="0.3">
      <c r="B315" s="172" t="s">
        <v>25</v>
      </c>
      <c r="C315" s="172" t="s">
        <v>246</v>
      </c>
      <c r="D315" s="172" t="s">
        <v>218</v>
      </c>
      <c r="E315" s="172">
        <v>6.2645530127756899E-5</v>
      </c>
      <c r="F315" s="172">
        <v>30</v>
      </c>
      <c r="G315" s="172">
        <v>16</v>
      </c>
      <c r="H315" s="172">
        <v>0</v>
      </c>
      <c r="I315" s="172">
        <v>11</v>
      </c>
    </row>
    <row r="316" spans="2:9" hidden="1" x14ac:dyDescent="0.3">
      <c r="B316" s="172" t="s">
        <v>24</v>
      </c>
      <c r="C316" s="172" t="s">
        <v>79</v>
      </c>
      <c r="D316" s="172" t="s">
        <v>218</v>
      </c>
      <c r="E316" s="172">
        <v>9.7544487692011802E-4</v>
      </c>
      <c r="F316" s="172">
        <v>33</v>
      </c>
      <c r="G316" s="172">
        <v>16</v>
      </c>
      <c r="H316" s="172">
        <v>15</v>
      </c>
      <c r="I316" s="172">
        <v>7.5</v>
      </c>
    </row>
    <row r="317" spans="2:9" hidden="1" x14ac:dyDescent="0.3">
      <c r="B317" s="172" t="s">
        <v>24</v>
      </c>
      <c r="C317" s="172" t="s">
        <v>80</v>
      </c>
      <c r="D317" s="172" t="s">
        <v>218</v>
      </c>
      <c r="E317" s="172">
        <v>9.6493024573369795E-4</v>
      </c>
      <c r="F317" s="172">
        <v>30</v>
      </c>
      <c r="G317" s="172">
        <v>16</v>
      </c>
      <c r="H317" s="172">
        <v>0</v>
      </c>
      <c r="I317" s="172">
        <v>7.5</v>
      </c>
    </row>
    <row r="318" spans="2:9" x14ac:dyDescent="0.3">
      <c r="B318" s="172" t="s">
        <v>24</v>
      </c>
      <c r="C318" s="172" t="s">
        <v>81</v>
      </c>
      <c r="D318" s="172" t="s">
        <v>221</v>
      </c>
      <c r="E318" s="172">
        <v>1.0858333835656101E-3</v>
      </c>
      <c r="F318" s="172">
        <v>79</v>
      </c>
      <c r="G318" s="172">
        <v>21</v>
      </c>
      <c r="H318" s="172">
        <v>4</v>
      </c>
      <c r="I318" s="172">
        <v>7.5</v>
      </c>
    </row>
    <row r="319" spans="2:9" hidden="1" x14ac:dyDescent="0.3">
      <c r="B319" s="172" t="s">
        <v>24</v>
      </c>
      <c r="C319" s="172" t="s">
        <v>82</v>
      </c>
      <c r="D319" s="172" t="s">
        <v>221</v>
      </c>
      <c r="E319" s="172">
        <v>1.22240821949106E-3</v>
      </c>
      <c r="F319" s="172">
        <v>21</v>
      </c>
      <c r="G319" s="172">
        <v>0</v>
      </c>
      <c r="H319" s="172">
        <v>15</v>
      </c>
      <c r="I319" s="172">
        <v>7.5</v>
      </c>
    </row>
    <row r="320" spans="2:9" hidden="1" x14ac:dyDescent="0.3">
      <c r="B320" s="172" t="s">
        <v>24</v>
      </c>
      <c r="C320" s="172" t="s">
        <v>246</v>
      </c>
      <c r="D320" s="172" t="s">
        <v>218</v>
      </c>
      <c r="E320" s="172">
        <v>4.12013222107596E-5</v>
      </c>
      <c r="F320" s="172">
        <v>33</v>
      </c>
      <c r="G320" s="172">
        <v>16</v>
      </c>
      <c r="H320" s="172">
        <v>15</v>
      </c>
      <c r="I320" s="172">
        <v>7.5</v>
      </c>
    </row>
    <row r="321" spans="2:9" hidden="1" x14ac:dyDescent="0.3">
      <c r="B321" s="172" t="s">
        <v>22</v>
      </c>
      <c r="C321" s="172" t="s">
        <v>79</v>
      </c>
      <c r="D321" s="172" t="s">
        <v>218</v>
      </c>
      <c r="E321" s="172">
        <v>8.2700576676696103E-4</v>
      </c>
      <c r="F321" s="172">
        <v>33</v>
      </c>
      <c r="G321" s="172">
        <v>16</v>
      </c>
      <c r="H321" s="172">
        <v>15</v>
      </c>
      <c r="I321" s="172">
        <v>4</v>
      </c>
    </row>
    <row r="322" spans="2:9" hidden="1" x14ac:dyDescent="0.3">
      <c r="B322" s="172" t="s">
        <v>22</v>
      </c>
      <c r="C322" s="172" t="s">
        <v>80</v>
      </c>
      <c r="D322" s="172" t="s">
        <v>218</v>
      </c>
      <c r="E322" s="172">
        <v>8.2114716445413395E-4</v>
      </c>
      <c r="F322" s="172">
        <v>30</v>
      </c>
      <c r="G322" s="172">
        <v>16</v>
      </c>
      <c r="H322" s="172">
        <v>0</v>
      </c>
      <c r="I322" s="172">
        <v>4</v>
      </c>
    </row>
    <row r="323" spans="2:9" x14ac:dyDescent="0.3">
      <c r="B323" s="172" t="s">
        <v>22</v>
      </c>
      <c r="C323" s="172" t="s">
        <v>81</v>
      </c>
      <c r="D323" s="172" t="s">
        <v>221</v>
      </c>
      <c r="E323" s="172">
        <v>8.7639232417232801E-4</v>
      </c>
      <c r="F323" s="172">
        <v>79</v>
      </c>
      <c r="G323" s="172">
        <v>21</v>
      </c>
      <c r="H323" s="172">
        <v>4</v>
      </c>
      <c r="I323" s="172">
        <v>4</v>
      </c>
    </row>
    <row r="324" spans="2:9" hidden="1" x14ac:dyDescent="0.3">
      <c r="B324" s="172" t="s">
        <v>22</v>
      </c>
      <c r="C324" s="172" t="s">
        <v>82</v>
      </c>
      <c r="D324" s="172" t="s">
        <v>221</v>
      </c>
      <c r="E324" s="172">
        <v>9.8397494962079008E-4</v>
      </c>
      <c r="F324" s="172">
        <v>21</v>
      </c>
      <c r="G324" s="172">
        <v>0</v>
      </c>
      <c r="H324" s="172">
        <v>15</v>
      </c>
      <c r="I324" s="172">
        <v>4</v>
      </c>
    </row>
    <row r="325" spans="2:9" hidden="1" x14ac:dyDescent="0.3">
      <c r="B325" s="172" t="s">
        <v>22</v>
      </c>
      <c r="C325" s="172" t="s">
        <v>246</v>
      </c>
      <c r="D325" s="172" t="s">
        <v>218</v>
      </c>
      <c r="E325" s="172">
        <v>1.5389927238240001E-5</v>
      </c>
      <c r="F325" s="172">
        <v>33</v>
      </c>
      <c r="G325" s="172">
        <v>16</v>
      </c>
      <c r="H325" s="172">
        <v>15</v>
      </c>
      <c r="I325" s="172">
        <v>4</v>
      </c>
    </row>
    <row r="326" spans="2:9" hidden="1" x14ac:dyDescent="0.3">
      <c r="B326" s="172"/>
      <c r="C326" s="172"/>
      <c r="D326" s="172"/>
      <c r="E326" s="172"/>
      <c r="F326" s="172"/>
      <c r="G326" s="172"/>
      <c r="H326" s="172"/>
      <c r="I326" s="172"/>
    </row>
    <row r="327" spans="2:9" hidden="1" x14ac:dyDescent="0.3">
      <c r="B327" s="172"/>
      <c r="C327" s="172"/>
      <c r="D327" s="172"/>
      <c r="E327" s="172"/>
      <c r="F327" s="172"/>
      <c r="G327" s="172"/>
      <c r="H327" s="172"/>
      <c r="I327" s="172"/>
    </row>
    <row r="328" spans="2:9" hidden="1" x14ac:dyDescent="0.3">
      <c r="B328" s="172"/>
      <c r="C328" s="172"/>
      <c r="D328" s="172"/>
      <c r="E328" s="172"/>
      <c r="F328" s="172"/>
      <c r="G328" s="172"/>
      <c r="H328" s="172"/>
      <c r="I328" s="172"/>
    </row>
    <row r="329" spans="2:9" hidden="1" x14ac:dyDescent="0.3">
      <c r="B329" s="172"/>
      <c r="C329" s="172"/>
      <c r="D329" s="172"/>
      <c r="E329" s="172"/>
      <c r="F329" s="172"/>
      <c r="G329" s="172"/>
      <c r="H329" s="172"/>
      <c r="I329" s="172"/>
    </row>
    <row r="330" spans="2:9" hidden="1" x14ac:dyDescent="0.3">
      <c r="B330" s="172"/>
      <c r="C330" s="172"/>
      <c r="D330" s="172"/>
      <c r="E330" s="172"/>
      <c r="F330" s="172"/>
      <c r="G330" s="172"/>
      <c r="H330" s="172"/>
      <c r="I330" s="172"/>
    </row>
    <row r="331" spans="2:9" hidden="1" x14ac:dyDescent="0.3">
      <c r="B331" s="172"/>
      <c r="C331" s="172"/>
      <c r="D331" s="172"/>
      <c r="E331" s="172"/>
      <c r="F331" s="172"/>
      <c r="G331" s="172"/>
      <c r="H331" s="172"/>
      <c r="I331" s="172"/>
    </row>
    <row r="332" spans="2:9" hidden="1" x14ac:dyDescent="0.3">
      <c r="B332" s="172"/>
      <c r="C332" s="172"/>
      <c r="D332" s="172"/>
      <c r="E332" s="172"/>
      <c r="F332" s="172"/>
      <c r="G332" s="172"/>
      <c r="H332" s="172"/>
      <c r="I332" s="172"/>
    </row>
    <row r="333" spans="2:9" hidden="1" x14ac:dyDescent="0.3">
      <c r="B333" s="172"/>
      <c r="C333" s="172"/>
      <c r="D333" s="172"/>
      <c r="E333" s="172"/>
      <c r="F333" s="172"/>
      <c r="G333" s="172"/>
      <c r="H333" s="172"/>
      <c r="I333" s="172"/>
    </row>
    <row r="334" spans="2:9" hidden="1" x14ac:dyDescent="0.3">
      <c r="B334" s="172"/>
      <c r="C334" s="172"/>
      <c r="D334" s="172"/>
      <c r="E334" s="172"/>
      <c r="F334" s="172"/>
      <c r="G334" s="172"/>
      <c r="H334" s="172"/>
      <c r="I334" s="172"/>
    </row>
    <row r="335" spans="2:9" hidden="1" x14ac:dyDescent="0.3">
      <c r="B335" s="172"/>
      <c r="C335" s="172"/>
      <c r="D335" s="172"/>
      <c r="E335" s="172"/>
      <c r="F335" s="172"/>
      <c r="G335" s="172"/>
      <c r="H335" s="172"/>
      <c r="I335" s="172"/>
    </row>
    <row r="336" spans="2:9" hidden="1" x14ac:dyDescent="0.3">
      <c r="B336" s="172"/>
      <c r="C336" s="172"/>
      <c r="D336" s="172"/>
      <c r="E336" s="172"/>
      <c r="F336" s="172"/>
      <c r="G336" s="172"/>
      <c r="H336" s="172"/>
      <c r="I336" s="172"/>
    </row>
    <row r="337" spans="2:9" hidden="1" x14ac:dyDescent="0.3">
      <c r="B337" s="172"/>
      <c r="C337" s="172"/>
      <c r="D337" s="172"/>
      <c r="E337" s="172"/>
      <c r="F337" s="172"/>
      <c r="G337" s="172"/>
      <c r="H337" s="172"/>
      <c r="I337" s="172"/>
    </row>
    <row r="338" spans="2:9" hidden="1" x14ac:dyDescent="0.3">
      <c r="B338" s="172"/>
      <c r="C338" s="172"/>
      <c r="D338" s="172"/>
      <c r="E338" s="172"/>
      <c r="F338" s="172"/>
      <c r="G338" s="172"/>
      <c r="H338" s="172"/>
      <c r="I338" s="172"/>
    </row>
    <row r="339" spans="2:9" s="172" customFormat="1" hidden="1" x14ac:dyDescent="0.3"/>
    <row r="340" spans="2:9" hidden="1" x14ac:dyDescent="0.3">
      <c r="B340" s="172"/>
      <c r="C340" s="172"/>
      <c r="D340" s="172"/>
      <c r="E340" s="172"/>
      <c r="F340" s="172"/>
      <c r="G340" s="172"/>
      <c r="H340" s="172"/>
      <c r="I340" s="172"/>
    </row>
    <row r="341" spans="2:9" hidden="1" x14ac:dyDescent="0.3">
      <c r="B341" s="172"/>
      <c r="C341" s="172"/>
      <c r="D341" s="172"/>
      <c r="E341" s="172"/>
      <c r="F341" s="172"/>
      <c r="G341" s="172"/>
      <c r="H341" s="172"/>
      <c r="I341" s="172"/>
    </row>
    <row r="342" spans="2:9" hidden="1" x14ac:dyDescent="0.3">
      <c r="B342" s="172"/>
      <c r="C342" s="172"/>
      <c r="D342" s="172"/>
      <c r="E342" s="172"/>
      <c r="F342" s="172"/>
      <c r="G342" s="172"/>
      <c r="H342" s="172"/>
      <c r="I342" s="172"/>
    </row>
    <row r="343" spans="2:9" s="172" customFormat="1" hidden="1" x14ac:dyDescent="0.3"/>
    <row r="344" spans="2:9" hidden="1" x14ac:dyDescent="0.3">
      <c r="B344" s="172"/>
      <c r="C344" s="172"/>
      <c r="D344" s="172"/>
      <c r="E344" s="172"/>
      <c r="F344" s="172"/>
      <c r="G344" s="172"/>
      <c r="H344" s="172"/>
      <c r="I344" s="172"/>
    </row>
    <row r="345" spans="2:9" hidden="1" x14ac:dyDescent="0.3">
      <c r="B345" s="172"/>
      <c r="C345" s="172"/>
      <c r="D345" s="172"/>
      <c r="E345" s="172"/>
      <c r="F345" s="172"/>
      <c r="G345" s="172"/>
      <c r="H345" s="172"/>
      <c r="I345" s="172"/>
    </row>
    <row r="346" spans="2:9" hidden="1" x14ac:dyDescent="0.3">
      <c r="B346" s="172"/>
      <c r="C346" s="172"/>
      <c r="D346" s="172"/>
      <c r="E346" s="172"/>
      <c r="F346" s="172"/>
      <c r="G346" s="172"/>
      <c r="H346" s="172"/>
      <c r="I346" s="172"/>
    </row>
    <row r="347" spans="2:9" s="172" customFormat="1" hidden="1" x14ac:dyDescent="0.3"/>
    <row r="348" spans="2:9" hidden="1" x14ac:dyDescent="0.3">
      <c r="B348" s="172"/>
      <c r="C348" s="172"/>
      <c r="D348" s="172"/>
      <c r="E348" s="172"/>
      <c r="F348" s="172"/>
      <c r="G348" s="172"/>
      <c r="H348" s="172"/>
      <c r="I348" s="172"/>
    </row>
    <row r="349" spans="2:9" hidden="1" x14ac:dyDescent="0.3">
      <c r="B349" s="172"/>
      <c r="C349" s="172"/>
      <c r="D349" s="172"/>
      <c r="E349" s="172"/>
      <c r="F349" s="172"/>
      <c r="G349" s="172"/>
      <c r="H349" s="172"/>
      <c r="I349" s="172"/>
    </row>
    <row r="350" spans="2:9" hidden="1" x14ac:dyDescent="0.3">
      <c r="B350" s="172"/>
      <c r="C350" s="172"/>
      <c r="D350" s="172"/>
      <c r="E350" s="172"/>
      <c r="F350" s="172"/>
      <c r="G350" s="172"/>
      <c r="H350" s="172"/>
      <c r="I350" s="172"/>
    </row>
    <row r="351" spans="2:9" s="172" customFormat="1" hidden="1" x14ac:dyDescent="0.3"/>
    <row r="352" spans="2:9" hidden="1" x14ac:dyDescent="0.3">
      <c r="B352" s="172"/>
      <c r="C352" s="172"/>
      <c r="D352" s="172"/>
      <c r="E352" s="172"/>
      <c r="F352" s="172"/>
      <c r="G352" s="172"/>
      <c r="H352" s="172"/>
      <c r="I352" s="172"/>
    </row>
    <row r="353" spans="2:9" hidden="1" x14ac:dyDescent="0.3">
      <c r="B353" s="172"/>
      <c r="C353" s="172"/>
      <c r="D353" s="172"/>
      <c r="E353" s="172"/>
      <c r="F353" s="172"/>
      <c r="G353" s="172"/>
      <c r="H353" s="172"/>
      <c r="I353" s="172"/>
    </row>
    <row r="354" spans="2:9" hidden="1" x14ac:dyDescent="0.3">
      <c r="B354" s="172"/>
      <c r="C354" s="172"/>
      <c r="D354" s="172"/>
      <c r="E354" s="172"/>
      <c r="F354" s="172"/>
      <c r="G354" s="172"/>
      <c r="H354" s="172"/>
      <c r="I354" s="172"/>
    </row>
    <row r="355" spans="2:9" s="172" customFormat="1" hidden="1" x14ac:dyDescent="0.3"/>
    <row r="356" spans="2:9" hidden="1" x14ac:dyDescent="0.3">
      <c r="B356" s="172"/>
      <c r="C356" s="172"/>
      <c r="D356" s="172"/>
      <c r="E356" s="172"/>
      <c r="F356" s="172"/>
      <c r="G356" s="172"/>
      <c r="H356" s="172"/>
      <c r="I356" s="172"/>
    </row>
    <row r="357" spans="2:9" hidden="1" x14ac:dyDescent="0.3">
      <c r="B357" s="172"/>
      <c r="C357" s="172"/>
      <c r="D357" s="172"/>
      <c r="E357" s="172"/>
      <c r="F357" s="172"/>
      <c r="G357" s="172"/>
      <c r="H357" s="172"/>
      <c r="I357" s="172"/>
    </row>
    <row r="358" spans="2:9" hidden="1" x14ac:dyDescent="0.3">
      <c r="B358" s="172"/>
      <c r="C358" s="172"/>
      <c r="D358" s="172"/>
      <c r="E358" s="172"/>
      <c r="F358" s="172"/>
      <c r="G358" s="172"/>
      <c r="H358" s="172"/>
      <c r="I358" s="172"/>
    </row>
    <row r="359" spans="2:9" s="172" customFormat="1" hidden="1" x14ac:dyDescent="0.3"/>
    <row r="360" spans="2:9" hidden="1" x14ac:dyDescent="0.3">
      <c r="B360" s="172"/>
      <c r="C360" s="172"/>
      <c r="D360" s="172"/>
      <c r="E360" s="172"/>
      <c r="F360" s="172"/>
      <c r="G360" s="172"/>
      <c r="H360" s="172"/>
      <c r="I360" s="172"/>
    </row>
    <row r="361" spans="2:9" hidden="1" x14ac:dyDescent="0.3">
      <c r="B361" s="172"/>
      <c r="C361" s="172"/>
      <c r="D361" s="172"/>
      <c r="E361" s="172"/>
      <c r="F361" s="172"/>
      <c r="G361" s="172"/>
      <c r="H361" s="172"/>
      <c r="I361" s="172"/>
    </row>
    <row r="362" spans="2:9" hidden="1" x14ac:dyDescent="0.3">
      <c r="B362" s="172"/>
      <c r="C362" s="172"/>
      <c r="D362" s="172"/>
      <c r="E362" s="172"/>
      <c r="F362" s="172"/>
      <c r="G362" s="172"/>
      <c r="H362" s="172"/>
      <c r="I362" s="172"/>
    </row>
    <row r="363" spans="2:9" hidden="1" x14ac:dyDescent="0.3">
      <c r="B363" s="172"/>
      <c r="C363" s="172"/>
      <c r="D363" s="172"/>
      <c r="E363" s="172"/>
      <c r="F363" s="172"/>
      <c r="G363" s="172"/>
      <c r="H363" s="172"/>
      <c r="I363" s="172"/>
    </row>
    <row r="364" spans="2:9" hidden="1" x14ac:dyDescent="0.3">
      <c r="B364" s="172"/>
      <c r="C364" s="172"/>
      <c r="D364" s="172"/>
      <c r="E364" s="172"/>
      <c r="F364" s="172"/>
      <c r="G364" s="172"/>
      <c r="H364" s="172"/>
      <c r="I364" s="172"/>
    </row>
    <row r="365" spans="2:9" hidden="1" x14ac:dyDescent="0.3">
      <c r="B365" s="172"/>
      <c r="C365" s="172"/>
      <c r="D365" s="172"/>
      <c r="E365" s="172"/>
      <c r="F365" s="172"/>
      <c r="G365" s="172"/>
      <c r="H365" s="172"/>
      <c r="I365" s="172"/>
    </row>
    <row r="366" spans="2:9" hidden="1" x14ac:dyDescent="0.3">
      <c r="B366" s="172"/>
      <c r="C366" s="172"/>
      <c r="D366" s="172"/>
      <c r="E366" s="172"/>
      <c r="F366" s="172"/>
      <c r="G366" s="172"/>
      <c r="H366" s="172"/>
      <c r="I366" s="172"/>
    </row>
    <row r="367" spans="2:9" hidden="1" x14ac:dyDescent="0.3">
      <c r="B367" s="172"/>
      <c r="C367" s="172"/>
      <c r="D367" s="172"/>
      <c r="E367" s="172"/>
      <c r="F367" s="172"/>
      <c r="G367" s="172"/>
      <c r="H367" s="172"/>
      <c r="I367" s="172"/>
    </row>
    <row r="368" spans="2:9" hidden="1" x14ac:dyDescent="0.3">
      <c r="B368" s="172"/>
      <c r="C368" s="172"/>
      <c r="D368" s="172"/>
      <c r="E368" s="172"/>
      <c r="F368" s="172"/>
      <c r="G368" s="172"/>
      <c r="H368" s="172"/>
      <c r="I368" s="172"/>
    </row>
    <row r="369" spans="2:9" hidden="1" x14ac:dyDescent="0.3">
      <c r="B369" s="172"/>
      <c r="C369" s="172"/>
      <c r="D369" s="172"/>
      <c r="E369" s="172"/>
      <c r="F369" s="172"/>
      <c r="G369" s="172"/>
      <c r="H369" s="172"/>
      <c r="I369" s="172"/>
    </row>
    <row r="370" spans="2:9" hidden="1" x14ac:dyDescent="0.3">
      <c r="B370" s="172"/>
      <c r="C370" s="172"/>
      <c r="D370" s="172"/>
      <c r="E370" s="172"/>
      <c r="F370" s="172"/>
      <c r="G370" s="172"/>
      <c r="H370" s="172"/>
      <c r="I370" s="172"/>
    </row>
    <row r="371" spans="2:9" hidden="1" x14ac:dyDescent="0.3">
      <c r="B371" s="172"/>
      <c r="C371" s="172"/>
      <c r="D371" s="172"/>
      <c r="E371" s="172"/>
      <c r="F371" s="172"/>
      <c r="G371" s="172"/>
      <c r="H371" s="172"/>
      <c r="I371" s="172"/>
    </row>
    <row r="372" spans="2:9" hidden="1" x14ac:dyDescent="0.3">
      <c r="B372" s="172"/>
      <c r="C372" s="172"/>
      <c r="D372" s="172"/>
      <c r="E372" s="172"/>
      <c r="F372" s="172"/>
      <c r="G372" s="172"/>
      <c r="H372" s="172"/>
      <c r="I372" s="172"/>
    </row>
    <row r="373" spans="2:9" hidden="1" x14ac:dyDescent="0.3">
      <c r="B373" s="172"/>
      <c r="C373" s="172"/>
      <c r="D373" s="172"/>
      <c r="E373" s="172"/>
      <c r="F373" s="172"/>
      <c r="G373" s="172"/>
      <c r="H373" s="172"/>
      <c r="I373" s="172"/>
    </row>
    <row r="374" spans="2:9" hidden="1" x14ac:dyDescent="0.3">
      <c r="B374" s="172"/>
      <c r="C374" s="172"/>
      <c r="D374" s="172"/>
      <c r="E374" s="172"/>
      <c r="F374" s="172"/>
      <c r="G374" s="172"/>
      <c r="H374" s="172"/>
      <c r="I374" s="172"/>
    </row>
    <row r="375" spans="2:9" hidden="1" x14ac:dyDescent="0.3">
      <c r="B375" s="172"/>
      <c r="C375" s="172"/>
      <c r="D375" s="172"/>
      <c r="E375" s="172"/>
      <c r="F375" s="172"/>
      <c r="G375" s="172"/>
      <c r="H375" s="172"/>
      <c r="I375" s="172"/>
    </row>
    <row r="376" spans="2:9" hidden="1" x14ac:dyDescent="0.3">
      <c r="B376" s="172"/>
      <c r="C376" s="172"/>
      <c r="D376" s="172"/>
      <c r="E376" s="172"/>
      <c r="F376" s="172"/>
      <c r="G376" s="172"/>
      <c r="H376" s="172"/>
      <c r="I376" s="172"/>
    </row>
    <row r="377" spans="2:9" hidden="1" x14ac:dyDescent="0.3">
      <c r="B377" s="172"/>
      <c r="C377" s="172"/>
      <c r="D377" s="172"/>
      <c r="E377" s="172"/>
      <c r="F377" s="172"/>
      <c r="G377" s="172"/>
      <c r="H377" s="172"/>
      <c r="I377" s="172"/>
    </row>
    <row r="378" spans="2:9" hidden="1" x14ac:dyDescent="0.3">
      <c r="B378" s="172"/>
      <c r="C378" s="172"/>
      <c r="D378" s="172"/>
      <c r="E378" s="172"/>
      <c r="F378" s="172"/>
      <c r="G378" s="172"/>
      <c r="H378" s="172"/>
      <c r="I378" s="172"/>
    </row>
    <row r="379" spans="2:9" hidden="1" x14ac:dyDescent="0.3">
      <c r="B379" s="172"/>
      <c r="C379" s="172"/>
      <c r="D379" s="172"/>
      <c r="E379" s="172"/>
      <c r="F379" s="172"/>
      <c r="G379" s="172"/>
      <c r="H379" s="172"/>
      <c r="I379" s="172"/>
    </row>
    <row r="380" spans="2:9" hidden="1" x14ac:dyDescent="0.3">
      <c r="B380" s="172"/>
      <c r="C380" s="172"/>
      <c r="D380" s="172"/>
      <c r="E380" s="172"/>
      <c r="F380" s="172"/>
      <c r="G380" s="172"/>
      <c r="H380" s="172"/>
      <c r="I380" s="172"/>
    </row>
    <row r="381" spans="2:9" hidden="1" x14ac:dyDescent="0.3">
      <c r="B381" s="172"/>
      <c r="C381" s="172"/>
      <c r="D381" s="172"/>
      <c r="E381" s="172"/>
      <c r="F381" s="172"/>
      <c r="G381" s="172"/>
      <c r="H381" s="172"/>
      <c r="I381" s="172"/>
    </row>
    <row r="382" spans="2:9" hidden="1" x14ac:dyDescent="0.3">
      <c r="B382" s="172"/>
      <c r="C382" s="172"/>
      <c r="D382" s="172"/>
      <c r="E382" s="172"/>
      <c r="F382" s="172"/>
      <c r="G382" s="172"/>
      <c r="H382" s="172"/>
      <c r="I382" s="172"/>
    </row>
    <row r="383" spans="2:9" hidden="1" x14ac:dyDescent="0.3">
      <c r="B383" s="172"/>
      <c r="C383" s="172"/>
      <c r="D383" s="172"/>
      <c r="E383" s="172"/>
      <c r="F383" s="172"/>
      <c r="G383" s="172"/>
      <c r="H383" s="172"/>
      <c r="I383" s="172"/>
    </row>
    <row r="384" spans="2:9" hidden="1" x14ac:dyDescent="0.3">
      <c r="B384" s="172"/>
      <c r="C384" s="172"/>
      <c r="D384" s="172"/>
      <c r="E384" s="172"/>
      <c r="F384" s="172"/>
      <c r="G384" s="172"/>
      <c r="H384" s="172"/>
      <c r="I384" s="172"/>
    </row>
    <row r="385" spans="2:9" hidden="1" x14ac:dyDescent="0.3">
      <c r="B385" s="172"/>
      <c r="C385" s="172"/>
      <c r="D385" s="172"/>
      <c r="E385" s="172"/>
      <c r="F385" s="172"/>
      <c r="G385" s="172"/>
      <c r="H385" s="172"/>
      <c r="I385" s="172"/>
    </row>
    <row r="386" spans="2:9" hidden="1" x14ac:dyDescent="0.3">
      <c r="B386" s="172"/>
      <c r="C386" s="172"/>
      <c r="D386" s="172"/>
      <c r="E386" s="172"/>
      <c r="F386" s="172"/>
      <c r="G386" s="172"/>
      <c r="H386" s="172"/>
      <c r="I386" s="172"/>
    </row>
    <row r="387" spans="2:9" hidden="1" x14ac:dyDescent="0.3">
      <c r="B387" s="172"/>
      <c r="C387" s="172"/>
      <c r="D387" s="172"/>
      <c r="E387" s="172"/>
      <c r="F387" s="172"/>
      <c r="G387" s="172"/>
      <c r="H387" s="172"/>
      <c r="I387" s="172"/>
    </row>
    <row r="388" spans="2:9" hidden="1" x14ac:dyDescent="0.3">
      <c r="B388" s="172"/>
      <c r="C388" s="172"/>
      <c r="D388" s="172"/>
      <c r="E388" s="172"/>
      <c r="F388" s="172"/>
      <c r="G388" s="172"/>
      <c r="H388" s="172"/>
      <c r="I388" s="172"/>
    </row>
    <row r="389" spans="2:9" hidden="1" x14ac:dyDescent="0.3">
      <c r="B389" s="172"/>
      <c r="C389" s="172"/>
      <c r="D389" s="172"/>
      <c r="E389" s="172"/>
      <c r="F389" s="172"/>
      <c r="G389" s="172"/>
      <c r="H389" s="172"/>
      <c r="I389" s="172"/>
    </row>
    <row r="390" spans="2:9" hidden="1" x14ac:dyDescent="0.3">
      <c r="B390" s="172"/>
      <c r="C390" s="172"/>
      <c r="D390" s="172"/>
      <c r="E390" s="172"/>
      <c r="F390" s="172"/>
      <c r="G390" s="172"/>
      <c r="H390" s="172"/>
      <c r="I390" s="172"/>
    </row>
    <row r="391" spans="2:9" hidden="1" x14ac:dyDescent="0.3">
      <c r="B391" s="172"/>
      <c r="C391" s="172"/>
      <c r="D391" s="172"/>
      <c r="E391" s="172"/>
      <c r="F391" s="172"/>
      <c r="G391" s="172"/>
      <c r="H391" s="172"/>
      <c r="I391" s="172"/>
    </row>
    <row r="392" spans="2:9" hidden="1" x14ac:dyDescent="0.3">
      <c r="B392" s="172"/>
      <c r="C392" s="172"/>
      <c r="D392" s="172"/>
      <c r="E392" s="172"/>
      <c r="F392" s="172"/>
      <c r="G392" s="172"/>
      <c r="H392" s="172"/>
      <c r="I392" s="172"/>
    </row>
    <row r="393" spans="2:9" hidden="1" x14ac:dyDescent="0.3">
      <c r="B393" s="172"/>
      <c r="C393" s="172"/>
      <c r="D393" s="172"/>
      <c r="E393" s="172"/>
      <c r="F393" s="172"/>
      <c r="G393" s="172"/>
      <c r="H393" s="172"/>
      <c r="I393" s="172"/>
    </row>
    <row r="394" spans="2:9" hidden="1" x14ac:dyDescent="0.3">
      <c r="B394" s="172"/>
      <c r="C394" s="172"/>
      <c r="D394" s="172"/>
      <c r="E394" s="172"/>
      <c r="F394" s="172"/>
      <c r="G394" s="172"/>
      <c r="H394" s="172"/>
      <c r="I394" s="172"/>
    </row>
    <row r="395" spans="2:9" hidden="1" x14ac:dyDescent="0.3">
      <c r="B395" s="172"/>
      <c r="C395" s="172"/>
      <c r="D395" s="172"/>
      <c r="E395" s="172"/>
      <c r="F395" s="172"/>
      <c r="G395" s="172"/>
      <c r="H395" s="172"/>
      <c r="I395" s="172"/>
    </row>
    <row r="396" spans="2:9" hidden="1" x14ac:dyDescent="0.3">
      <c r="B396" s="172"/>
      <c r="C396" s="172"/>
      <c r="D396" s="172"/>
      <c r="E396" s="172"/>
      <c r="F396" s="172"/>
      <c r="G396" s="172"/>
      <c r="H396" s="172"/>
      <c r="I396" s="172"/>
    </row>
    <row r="398" spans="2:9" x14ac:dyDescent="0.3">
      <c r="B398" s="167" t="s">
        <v>251</v>
      </c>
      <c r="C398" s="168"/>
      <c r="D398" s="168"/>
      <c r="E398" s="168"/>
      <c r="F398" s="168"/>
      <c r="G398" s="168"/>
      <c r="H398" s="168"/>
      <c r="I398" s="168"/>
    </row>
    <row r="399" spans="2:9" x14ac:dyDescent="0.3">
      <c r="B399" s="169" t="s">
        <v>9</v>
      </c>
      <c r="C399" s="169" t="s">
        <v>46</v>
      </c>
      <c r="D399" s="169" t="s">
        <v>42</v>
      </c>
      <c r="E399" s="169" t="s">
        <v>252</v>
      </c>
      <c r="F399" s="169" t="s">
        <v>253</v>
      </c>
      <c r="G399" s="169" t="s">
        <v>218</v>
      </c>
      <c r="H399" s="169" t="s">
        <v>221</v>
      </c>
      <c r="I399" s="170" t="s">
        <v>206</v>
      </c>
    </row>
    <row r="400" spans="2:9" x14ac:dyDescent="0.3">
      <c r="B400" s="205"/>
      <c r="C400" s="205"/>
      <c r="D400" s="205"/>
      <c r="E400" s="205"/>
      <c r="F400" s="205"/>
      <c r="G400" s="205" t="s">
        <v>7</v>
      </c>
      <c r="H400" s="205" t="s">
        <v>7</v>
      </c>
      <c r="I400" s="206" t="s">
        <v>7</v>
      </c>
    </row>
    <row r="401" spans="2:9" s="172" customFormat="1" x14ac:dyDescent="0.3">
      <c r="B401" s="27" t="s">
        <v>254</v>
      </c>
      <c r="C401" s="27" t="s">
        <v>255</v>
      </c>
      <c r="D401" s="27" t="s">
        <v>256</v>
      </c>
      <c r="E401" s="27" t="s">
        <v>257</v>
      </c>
      <c r="F401" s="27" t="s">
        <v>258</v>
      </c>
      <c r="G401" s="27" t="s">
        <v>259</v>
      </c>
      <c r="H401" s="27" t="s">
        <v>260</v>
      </c>
      <c r="I401" s="27" t="s">
        <v>261</v>
      </c>
    </row>
    <row r="402" spans="2:9" hidden="1" x14ac:dyDescent="0.3">
      <c r="B402" s="172" t="s">
        <v>189</v>
      </c>
      <c r="C402" s="172" t="s">
        <v>79</v>
      </c>
      <c r="D402" s="172" t="s">
        <v>218</v>
      </c>
      <c r="E402" s="172">
        <v>2.48049617596731E-4</v>
      </c>
      <c r="F402" s="172">
        <v>64</v>
      </c>
      <c r="G402" s="172">
        <v>21</v>
      </c>
      <c r="H402" s="172">
        <v>8</v>
      </c>
      <c r="I402" s="172">
        <v>38.5</v>
      </c>
    </row>
    <row r="403" spans="2:9" hidden="1" x14ac:dyDescent="0.3">
      <c r="B403" s="172" t="s">
        <v>189</v>
      </c>
      <c r="C403" s="172" t="s">
        <v>80</v>
      </c>
      <c r="D403" s="172" t="s">
        <v>218</v>
      </c>
      <c r="E403" s="172">
        <v>2.5590088743604797E-4</v>
      </c>
      <c r="F403" s="172">
        <v>103</v>
      </c>
      <c r="G403" s="172">
        <v>16</v>
      </c>
      <c r="H403" s="172">
        <v>4</v>
      </c>
      <c r="I403" s="172">
        <v>38.5</v>
      </c>
    </row>
    <row r="404" spans="2:9" hidden="1" x14ac:dyDescent="0.3">
      <c r="B404" s="172" t="s">
        <v>189</v>
      </c>
      <c r="C404" s="172" t="s">
        <v>80</v>
      </c>
      <c r="D404" s="172" t="s">
        <v>221</v>
      </c>
      <c r="E404" s="172">
        <v>3.4996707889387301E-5</v>
      </c>
      <c r="F404" s="172">
        <v>79</v>
      </c>
      <c r="G404" s="172">
        <v>21</v>
      </c>
      <c r="H404" s="172">
        <v>4</v>
      </c>
      <c r="I404" s="172">
        <v>38.5</v>
      </c>
    </row>
    <row r="405" spans="2:9" hidden="1" x14ac:dyDescent="0.3">
      <c r="B405" s="172" t="s">
        <v>189</v>
      </c>
      <c r="C405" s="172" t="s">
        <v>81</v>
      </c>
      <c r="D405" s="172" t="s">
        <v>221</v>
      </c>
      <c r="E405" s="172">
        <v>3.4625371760071901E-4</v>
      </c>
      <c r="F405" s="172">
        <v>79</v>
      </c>
      <c r="G405" s="172">
        <v>21</v>
      </c>
      <c r="H405" s="172">
        <v>4</v>
      </c>
      <c r="I405" s="172">
        <v>38.5</v>
      </c>
    </row>
    <row r="406" spans="2:9" x14ac:dyDescent="0.3">
      <c r="B406" s="172" t="s">
        <v>189</v>
      </c>
      <c r="C406" s="172" t="s">
        <v>82</v>
      </c>
      <c r="D406" s="172" t="s">
        <v>221</v>
      </c>
      <c r="E406" s="172">
        <v>2.87964905860374E-4</v>
      </c>
      <c r="F406" s="172">
        <v>79</v>
      </c>
      <c r="G406" s="172">
        <v>21</v>
      </c>
      <c r="H406" s="172">
        <v>4</v>
      </c>
      <c r="I406" s="172">
        <v>38.5</v>
      </c>
    </row>
    <row r="407" spans="2:9" hidden="1" x14ac:dyDescent="0.3">
      <c r="B407" s="172" t="s">
        <v>189</v>
      </c>
      <c r="C407" s="172" t="s">
        <v>246</v>
      </c>
      <c r="D407" s="172" t="s">
        <v>218</v>
      </c>
      <c r="E407" s="172">
        <v>4.1957174513004299E-4</v>
      </c>
      <c r="F407" s="172">
        <v>103</v>
      </c>
      <c r="G407" s="172">
        <v>16</v>
      </c>
      <c r="H407" s="172">
        <v>4</v>
      </c>
      <c r="I407" s="172">
        <v>38.5</v>
      </c>
    </row>
    <row r="408" spans="2:9" hidden="1" x14ac:dyDescent="0.3">
      <c r="B408" s="172" t="s">
        <v>187</v>
      </c>
      <c r="C408" s="172" t="s">
        <v>79</v>
      </c>
      <c r="D408" s="172" t="s">
        <v>218</v>
      </c>
      <c r="E408" s="172">
        <v>2.5718220880069403E-4</v>
      </c>
      <c r="F408" s="172">
        <v>33</v>
      </c>
      <c r="G408" s="172">
        <v>16</v>
      </c>
      <c r="H408" s="172">
        <v>15</v>
      </c>
      <c r="I408" s="172">
        <v>35.5</v>
      </c>
    </row>
    <row r="409" spans="2:9" hidden="1" x14ac:dyDescent="0.3">
      <c r="B409" s="172" t="s">
        <v>187</v>
      </c>
      <c r="C409" s="172" t="s">
        <v>80</v>
      </c>
      <c r="D409" s="172" t="s">
        <v>218</v>
      </c>
      <c r="E409" s="172">
        <v>2.6858445681592698E-4</v>
      </c>
      <c r="F409" s="172">
        <v>30</v>
      </c>
      <c r="G409" s="172">
        <v>16</v>
      </c>
      <c r="H409" s="172">
        <v>0</v>
      </c>
      <c r="I409" s="172">
        <v>35.5</v>
      </c>
    </row>
    <row r="410" spans="2:9" hidden="1" x14ac:dyDescent="0.3">
      <c r="B410" s="172" t="s">
        <v>187</v>
      </c>
      <c r="C410" s="172" t="s">
        <v>81</v>
      </c>
      <c r="D410" s="172" t="s">
        <v>221</v>
      </c>
      <c r="E410" s="172">
        <v>3.9885022354100398E-4</v>
      </c>
      <c r="F410" s="172">
        <v>79</v>
      </c>
      <c r="G410" s="172">
        <v>21</v>
      </c>
      <c r="H410" s="172">
        <v>4</v>
      </c>
      <c r="I410" s="172">
        <v>35.5</v>
      </c>
    </row>
    <row r="411" spans="2:9" x14ac:dyDescent="0.3">
      <c r="B411" s="172" t="s">
        <v>187</v>
      </c>
      <c r="C411" s="172" t="s">
        <v>82</v>
      </c>
      <c r="D411" s="172" t="s">
        <v>221</v>
      </c>
      <c r="E411" s="172">
        <v>3.7306005620499301E-4</v>
      </c>
      <c r="F411" s="172">
        <v>21</v>
      </c>
      <c r="G411" s="172">
        <v>0</v>
      </c>
      <c r="H411" s="172">
        <v>15</v>
      </c>
      <c r="I411" s="172">
        <v>35.5</v>
      </c>
    </row>
    <row r="412" spans="2:9" hidden="1" x14ac:dyDescent="0.3">
      <c r="B412" s="172" t="s">
        <v>187</v>
      </c>
      <c r="C412" s="172" t="s">
        <v>246</v>
      </c>
      <c r="D412" s="172" t="s">
        <v>218</v>
      </c>
      <c r="E412" s="172">
        <v>1.20469180781745E-4</v>
      </c>
      <c r="F412" s="172">
        <v>30</v>
      </c>
      <c r="G412" s="172">
        <v>16</v>
      </c>
      <c r="H412" s="172">
        <v>0</v>
      </c>
      <c r="I412" s="172">
        <v>35.5</v>
      </c>
    </row>
    <row r="413" spans="2:9" hidden="1" x14ac:dyDescent="0.3">
      <c r="B413" s="172" t="s">
        <v>185</v>
      </c>
      <c r="C413" s="172" t="s">
        <v>79</v>
      </c>
      <c r="D413" s="172" t="s">
        <v>218</v>
      </c>
      <c r="E413" s="172">
        <v>4.1039639312808298E-4</v>
      </c>
      <c r="F413" s="172">
        <v>33</v>
      </c>
      <c r="G413" s="172">
        <v>16</v>
      </c>
      <c r="H413" s="172">
        <v>15</v>
      </c>
      <c r="I413" s="172">
        <v>32</v>
      </c>
    </row>
    <row r="414" spans="2:9" hidden="1" x14ac:dyDescent="0.3">
      <c r="B414" s="172" t="s">
        <v>185</v>
      </c>
      <c r="C414" s="172" t="s">
        <v>80</v>
      </c>
      <c r="D414" s="172" t="s">
        <v>218</v>
      </c>
      <c r="E414" s="172">
        <v>4.2149850460428899E-4</v>
      </c>
      <c r="F414" s="172">
        <v>30</v>
      </c>
      <c r="G414" s="172">
        <v>16</v>
      </c>
      <c r="H414" s="172">
        <v>0</v>
      </c>
      <c r="I414" s="172">
        <v>32</v>
      </c>
    </row>
    <row r="415" spans="2:9" hidden="1" x14ac:dyDescent="0.3">
      <c r="B415" s="172" t="s">
        <v>185</v>
      </c>
      <c r="C415" s="172" t="s">
        <v>81</v>
      </c>
      <c r="D415" s="172" t="s">
        <v>221</v>
      </c>
      <c r="E415" s="172">
        <v>5.6325410877158799E-4</v>
      </c>
      <c r="F415" s="172">
        <v>79</v>
      </c>
      <c r="G415" s="172">
        <v>21</v>
      </c>
      <c r="H415" s="172">
        <v>4</v>
      </c>
      <c r="I415" s="172">
        <v>32</v>
      </c>
    </row>
    <row r="416" spans="2:9" x14ac:dyDescent="0.3">
      <c r="B416" s="172" t="s">
        <v>185</v>
      </c>
      <c r="C416" s="172" t="s">
        <v>82</v>
      </c>
      <c r="D416" s="172" t="s">
        <v>221</v>
      </c>
      <c r="E416" s="172">
        <v>5.6066862523618201E-4</v>
      </c>
      <c r="F416" s="172">
        <v>21</v>
      </c>
      <c r="G416" s="172">
        <v>0</v>
      </c>
      <c r="H416" s="172">
        <v>15</v>
      </c>
      <c r="I416" s="172">
        <v>32</v>
      </c>
    </row>
    <row r="417" spans="2:9" hidden="1" x14ac:dyDescent="0.3">
      <c r="B417" s="172" t="s">
        <v>185</v>
      </c>
      <c r="C417" s="172" t="s">
        <v>246</v>
      </c>
      <c r="D417" s="172" t="s">
        <v>218</v>
      </c>
      <c r="E417" s="172">
        <v>1.17753402687942E-4</v>
      </c>
      <c r="F417" s="172">
        <v>30</v>
      </c>
      <c r="G417" s="172">
        <v>16</v>
      </c>
      <c r="H417" s="172">
        <v>0</v>
      </c>
      <c r="I417" s="172">
        <v>32</v>
      </c>
    </row>
    <row r="418" spans="2:9" hidden="1" x14ac:dyDescent="0.3">
      <c r="B418" s="172" t="s">
        <v>183</v>
      </c>
      <c r="C418" s="172" t="s">
        <v>79</v>
      </c>
      <c r="D418" s="172" t="s">
        <v>218</v>
      </c>
      <c r="E418" s="172">
        <v>5.5298515768966805E-4</v>
      </c>
      <c r="F418" s="172">
        <v>33</v>
      </c>
      <c r="G418" s="172">
        <v>16</v>
      </c>
      <c r="H418" s="172">
        <v>15</v>
      </c>
      <c r="I418" s="172">
        <v>28.5</v>
      </c>
    </row>
    <row r="419" spans="2:9" hidden="1" x14ac:dyDescent="0.3">
      <c r="B419" s="172" t="s">
        <v>183</v>
      </c>
      <c r="C419" s="172" t="s">
        <v>80</v>
      </c>
      <c r="D419" s="172" t="s">
        <v>218</v>
      </c>
      <c r="E419" s="172">
        <v>5.6266303910433503E-4</v>
      </c>
      <c r="F419" s="172">
        <v>30</v>
      </c>
      <c r="G419" s="172">
        <v>16</v>
      </c>
      <c r="H419" s="172">
        <v>0</v>
      </c>
      <c r="I419" s="172">
        <v>28.5</v>
      </c>
    </row>
    <row r="420" spans="2:9" hidden="1" x14ac:dyDescent="0.3">
      <c r="B420" s="172" t="s">
        <v>183</v>
      </c>
      <c r="C420" s="172" t="s">
        <v>81</v>
      </c>
      <c r="D420" s="172" t="s">
        <v>221</v>
      </c>
      <c r="E420" s="172">
        <v>7.0786324786893196E-4</v>
      </c>
      <c r="F420" s="172">
        <v>79</v>
      </c>
      <c r="G420" s="172">
        <v>21</v>
      </c>
      <c r="H420" s="172">
        <v>4</v>
      </c>
      <c r="I420" s="172">
        <v>28.5</v>
      </c>
    </row>
    <row r="421" spans="2:9" x14ac:dyDescent="0.3">
      <c r="B421" s="172" t="s">
        <v>183</v>
      </c>
      <c r="C421" s="172" t="s">
        <v>82</v>
      </c>
      <c r="D421" s="172" t="s">
        <v>221</v>
      </c>
      <c r="E421" s="172">
        <v>7.3085617824510802E-4</v>
      </c>
      <c r="F421" s="172">
        <v>21</v>
      </c>
      <c r="G421" s="172">
        <v>0</v>
      </c>
      <c r="H421" s="172">
        <v>15</v>
      </c>
      <c r="I421" s="172">
        <v>28.5</v>
      </c>
    </row>
    <row r="422" spans="2:9" hidden="1" x14ac:dyDescent="0.3">
      <c r="B422" s="172" t="s">
        <v>183</v>
      </c>
      <c r="C422" s="172" t="s">
        <v>246</v>
      </c>
      <c r="D422" s="172" t="s">
        <v>218</v>
      </c>
      <c r="E422" s="172">
        <v>1.12887783424029E-4</v>
      </c>
      <c r="F422" s="172">
        <v>30</v>
      </c>
      <c r="G422" s="172">
        <v>16</v>
      </c>
      <c r="H422" s="172">
        <v>0</v>
      </c>
      <c r="I422" s="172">
        <v>28.5</v>
      </c>
    </row>
    <row r="423" spans="2:9" hidden="1" x14ac:dyDescent="0.3">
      <c r="B423" s="172" t="s">
        <v>181</v>
      </c>
      <c r="C423" s="172" t="s">
        <v>79</v>
      </c>
      <c r="D423" s="172" t="s">
        <v>218</v>
      </c>
      <c r="E423" s="172">
        <v>6.7413679905960503E-4</v>
      </c>
      <c r="F423" s="172">
        <v>33</v>
      </c>
      <c r="G423" s="172">
        <v>16</v>
      </c>
      <c r="H423" s="172">
        <v>15</v>
      </c>
      <c r="I423" s="172">
        <v>25</v>
      </c>
    </row>
    <row r="424" spans="2:9" hidden="1" x14ac:dyDescent="0.3">
      <c r="B424" s="172" t="s">
        <v>181</v>
      </c>
      <c r="C424" s="172" t="s">
        <v>80</v>
      </c>
      <c r="D424" s="172" t="s">
        <v>218</v>
      </c>
      <c r="E424" s="172">
        <v>6.8244335583959404E-4</v>
      </c>
      <c r="F424" s="172">
        <v>30</v>
      </c>
      <c r="G424" s="172">
        <v>16</v>
      </c>
      <c r="H424" s="172">
        <v>0</v>
      </c>
      <c r="I424" s="172">
        <v>25</v>
      </c>
    </row>
    <row r="425" spans="2:9" hidden="1" x14ac:dyDescent="0.3">
      <c r="B425" s="172" t="s">
        <v>181</v>
      </c>
      <c r="C425" s="172" t="s">
        <v>81</v>
      </c>
      <c r="D425" s="172" t="s">
        <v>221</v>
      </c>
      <c r="E425" s="172">
        <v>8.2563152877679498E-4</v>
      </c>
      <c r="F425" s="172">
        <v>79</v>
      </c>
      <c r="G425" s="172">
        <v>21</v>
      </c>
      <c r="H425" s="172">
        <v>4</v>
      </c>
      <c r="I425" s="172">
        <v>25</v>
      </c>
    </row>
    <row r="426" spans="2:9" x14ac:dyDescent="0.3">
      <c r="B426" s="172" t="s">
        <v>181</v>
      </c>
      <c r="C426" s="172" t="s">
        <v>82</v>
      </c>
      <c r="D426" s="172" t="s">
        <v>221</v>
      </c>
      <c r="E426" s="172">
        <v>8.7099095723625303E-4</v>
      </c>
      <c r="F426" s="172">
        <v>21</v>
      </c>
      <c r="G426" s="172">
        <v>0</v>
      </c>
      <c r="H426" s="172">
        <v>15</v>
      </c>
      <c r="I426" s="172">
        <v>25</v>
      </c>
    </row>
    <row r="427" spans="2:9" hidden="1" x14ac:dyDescent="0.3">
      <c r="B427" s="172" t="s">
        <v>181</v>
      </c>
      <c r="C427" s="172" t="s">
        <v>246</v>
      </c>
      <c r="D427" s="172" t="s">
        <v>218</v>
      </c>
      <c r="E427" s="172">
        <v>1.0556647892953299E-4</v>
      </c>
      <c r="F427" s="172">
        <v>30</v>
      </c>
      <c r="G427" s="172">
        <v>16</v>
      </c>
      <c r="H427" s="172">
        <v>0</v>
      </c>
      <c r="I427" s="172">
        <v>25</v>
      </c>
    </row>
    <row r="428" spans="2:9" hidden="1" x14ac:dyDescent="0.3">
      <c r="B428" s="172" t="s">
        <v>179</v>
      </c>
      <c r="C428" s="172" t="s">
        <v>79</v>
      </c>
      <c r="D428" s="172" t="s">
        <v>218</v>
      </c>
      <c r="E428" s="172">
        <v>7.7572539859524796E-4</v>
      </c>
      <c r="F428" s="172">
        <v>33</v>
      </c>
      <c r="G428" s="172">
        <v>16</v>
      </c>
      <c r="H428" s="172">
        <v>15</v>
      </c>
      <c r="I428" s="172">
        <v>21.5</v>
      </c>
    </row>
    <row r="429" spans="2:9" hidden="1" x14ac:dyDescent="0.3">
      <c r="B429" s="172" t="s">
        <v>179</v>
      </c>
      <c r="C429" s="172" t="s">
        <v>80</v>
      </c>
      <c r="D429" s="172" t="s">
        <v>218</v>
      </c>
      <c r="E429" s="172">
        <v>7.8233371380805202E-4</v>
      </c>
      <c r="F429" s="172">
        <v>30</v>
      </c>
      <c r="G429" s="172">
        <v>16</v>
      </c>
      <c r="H429" s="172">
        <v>0</v>
      </c>
      <c r="I429" s="172">
        <v>21.5</v>
      </c>
    </row>
    <row r="430" spans="2:9" hidden="1" x14ac:dyDescent="0.3">
      <c r="B430" s="172" t="s">
        <v>179</v>
      </c>
      <c r="C430" s="172" t="s">
        <v>81</v>
      </c>
      <c r="D430" s="172" t="s">
        <v>221</v>
      </c>
      <c r="E430" s="172">
        <v>9.2008260293993096E-4</v>
      </c>
      <c r="F430" s="172">
        <v>79</v>
      </c>
      <c r="G430" s="172">
        <v>21</v>
      </c>
      <c r="H430" s="172">
        <v>4</v>
      </c>
      <c r="I430" s="172">
        <v>21.5</v>
      </c>
    </row>
    <row r="431" spans="2:9" x14ac:dyDescent="0.3">
      <c r="B431" s="172" t="s">
        <v>179</v>
      </c>
      <c r="C431" s="172" t="s">
        <v>82</v>
      </c>
      <c r="D431" s="172" t="s">
        <v>221</v>
      </c>
      <c r="E431" s="172">
        <v>9.8563376852794492E-4</v>
      </c>
      <c r="F431" s="172">
        <v>21</v>
      </c>
      <c r="G431" s="172">
        <v>0</v>
      </c>
      <c r="H431" s="172">
        <v>15</v>
      </c>
      <c r="I431" s="172">
        <v>21.5</v>
      </c>
    </row>
    <row r="432" spans="2:9" hidden="1" x14ac:dyDescent="0.3">
      <c r="B432" s="172" t="s">
        <v>179</v>
      </c>
      <c r="C432" s="172" t="s">
        <v>246</v>
      </c>
      <c r="D432" s="172" t="s">
        <v>218</v>
      </c>
      <c r="E432" s="172">
        <v>9.6423233198488401E-5</v>
      </c>
      <c r="F432" s="172">
        <v>30</v>
      </c>
      <c r="G432" s="172">
        <v>16</v>
      </c>
      <c r="H432" s="172">
        <v>0</v>
      </c>
      <c r="I432" s="172">
        <v>21.5</v>
      </c>
    </row>
    <row r="433" spans="2:9" hidden="1" x14ac:dyDescent="0.3">
      <c r="B433" s="172" t="s">
        <v>39</v>
      </c>
      <c r="C433" s="172" t="s">
        <v>79</v>
      </c>
      <c r="D433" s="172" t="s">
        <v>218</v>
      </c>
      <c r="E433" s="172">
        <v>8.4698001013086598E-4</v>
      </c>
      <c r="F433" s="172">
        <v>33</v>
      </c>
      <c r="G433" s="172">
        <v>16</v>
      </c>
      <c r="H433" s="172">
        <v>15</v>
      </c>
      <c r="I433" s="172">
        <v>18</v>
      </c>
    </row>
    <row r="434" spans="2:9" hidden="1" x14ac:dyDescent="0.3">
      <c r="B434" s="172" t="s">
        <v>39</v>
      </c>
      <c r="C434" s="172" t="s">
        <v>80</v>
      </c>
      <c r="D434" s="172" t="s">
        <v>218</v>
      </c>
      <c r="E434" s="172">
        <v>8.4778598860670799E-4</v>
      </c>
      <c r="F434" s="172">
        <v>30</v>
      </c>
      <c r="G434" s="172">
        <v>16</v>
      </c>
      <c r="H434" s="172">
        <v>0</v>
      </c>
      <c r="I434" s="172">
        <v>18</v>
      </c>
    </row>
    <row r="435" spans="2:9" hidden="1" x14ac:dyDescent="0.3">
      <c r="B435" s="172" t="s">
        <v>39</v>
      </c>
      <c r="C435" s="172" t="s">
        <v>81</v>
      </c>
      <c r="D435" s="172" t="s">
        <v>221</v>
      </c>
      <c r="E435" s="172">
        <v>9.9073482333601206E-4</v>
      </c>
      <c r="F435" s="172">
        <v>79</v>
      </c>
      <c r="G435" s="172">
        <v>21</v>
      </c>
      <c r="H435" s="172">
        <v>4</v>
      </c>
      <c r="I435" s="172">
        <v>18</v>
      </c>
    </row>
    <row r="436" spans="2:9" x14ac:dyDescent="0.3">
      <c r="B436" s="172" t="s">
        <v>39</v>
      </c>
      <c r="C436" s="172" t="s">
        <v>82</v>
      </c>
      <c r="D436" s="172" t="s">
        <v>221</v>
      </c>
      <c r="E436" s="172">
        <v>1.0798003749718701E-3</v>
      </c>
      <c r="F436" s="172">
        <v>21</v>
      </c>
      <c r="G436" s="172">
        <v>0</v>
      </c>
      <c r="H436" s="172">
        <v>15</v>
      </c>
      <c r="I436" s="172">
        <v>18</v>
      </c>
    </row>
    <row r="437" spans="2:9" hidden="1" x14ac:dyDescent="0.3">
      <c r="B437" s="172" t="s">
        <v>39</v>
      </c>
      <c r="C437" s="172" t="s">
        <v>246</v>
      </c>
      <c r="D437" s="172" t="s">
        <v>218</v>
      </c>
      <c r="E437" s="172">
        <v>9.0608469999449594E-5</v>
      </c>
      <c r="F437" s="172">
        <v>30</v>
      </c>
      <c r="G437" s="172">
        <v>16</v>
      </c>
      <c r="H437" s="172">
        <v>0</v>
      </c>
      <c r="I437" s="172">
        <v>18</v>
      </c>
    </row>
    <row r="438" spans="2:9" hidden="1" x14ac:dyDescent="0.3">
      <c r="B438" s="172" t="s">
        <v>26</v>
      </c>
      <c r="C438" s="172" t="s">
        <v>79</v>
      </c>
      <c r="D438" s="172" t="s">
        <v>218</v>
      </c>
      <c r="E438" s="172">
        <v>9.0053423057188497E-4</v>
      </c>
      <c r="F438" s="172">
        <v>33</v>
      </c>
      <c r="G438" s="172">
        <v>16</v>
      </c>
      <c r="H438" s="172">
        <v>15</v>
      </c>
      <c r="I438" s="172">
        <v>14.5</v>
      </c>
    </row>
    <row r="439" spans="2:9" hidden="1" x14ac:dyDescent="0.3">
      <c r="B439" s="172" t="s">
        <v>26</v>
      </c>
      <c r="C439" s="172" t="s">
        <v>80</v>
      </c>
      <c r="D439" s="172" t="s">
        <v>218</v>
      </c>
      <c r="E439" s="172">
        <v>8.9525263398075995E-4</v>
      </c>
      <c r="F439" s="172">
        <v>30</v>
      </c>
      <c r="G439" s="172">
        <v>16</v>
      </c>
      <c r="H439" s="172">
        <v>0</v>
      </c>
      <c r="I439" s="172">
        <v>14.5</v>
      </c>
    </row>
    <row r="440" spans="2:9" hidden="1" x14ac:dyDescent="0.3">
      <c r="B440" s="172" t="s">
        <v>26</v>
      </c>
      <c r="C440" s="172" t="s">
        <v>81</v>
      </c>
      <c r="D440" s="172" t="s">
        <v>221</v>
      </c>
      <c r="E440" s="172">
        <v>1.0436180678514101E-3</v>
      </c>
      <c r="F440" s="172">
        <v>79</v>
      </c>
      <c r="G440" s="172">
        <v>21</v>
      </c>
      <c r="H440" s="172">
        <v>4</v>
      </c>
      <c r="I440" s="172">
        <v>14.5</v>
      </c>
    </row>
    <row r="441" spans="2:9" x14ac:dyDescent="0.3">
      <c r="B441" s="172" t="s">
        <v>26</v>
      </c>
      <c r="C441" s="172" t="s">
        <v>82</v>
      </c>
      <c r="D441" s="172" t="s">
        <v>221</v>
      </c>
      <c r="E441" s="172">
        <v>1.15437715702271E-3</v>
      </c>
      <c r="F441" s="172">
        <v>21</v>
      </c>
      <c r="G441" s="172">
        <v>0</v>
      </c>
      <c r="H441" s="172">
        <v>15</v>
      </c>
      <c r="I441" s="172">
        <v>14.5</v>
      </c>
    </row>
    <row r="442" spans="2:9" hidden="1" x14ac:dyDescent="0.3">
      <c r="B442" s="172" t="s">
        <v>26</v>
      </c>
      <c r="C442" s="172" t="s">
        <v>246</v>
      </c>
      <c r="D442" s="172" t="s">
        <v>218</v>
      </c>
      <c r="E442" s="172">
        <v>8.1322633221673696E-5</v>
      </c>
      <c r="F442" s="172">
        <v>30</v>
      </c>
      <c r="G442" s="172">
        <v>16</v>
      </c>
      <c r="H442" s="172">
        <v>0</v>
      </c>
      <c r="I442" s="172">
        <v>14.5</v>
      </c>
    </row>
    <row r="443" spans="2:9" hidden="1" x14ac:dyDescent="0.3">
      <c r="B443" s="172" t="s">
        <v>25</v>
      </c>
      <c r="C443" s="172" t="s">
        <v>79</v>
      </c>
      <c r="D443" s="172" t="s">
        <v>218</v>
      </c>
      <c r="E443" s="172">
        <v>9.4919027741321603E-4</v>
      </c>
      <c r="F443" s="172">
        <v>33</v>
      </c>
      <c r="G443" s="172">
        <v>16</v>
      </c>
      <c r="H443" s="172">
        <v>15</v>
      </c>
      <c r="I443" s="172">
        <v>11</v>
      </c>
    </row>
    <row r="444" spans="2:9" hidden="1" x14ac:dyDescent="0.3">
      <c r="B444" s="172" t="s">
        <v>25</v>
      </c>
      <c r="C444" s="172" t="s">
        <v>80</v>
      </c>
      <c r="D444" s="172" t="s">
        <v>218</v>
      </c>
      <c r="E444" s="172">
        <v>9.4098174318284602E-4</v>
      </c>
      <c r="F444" s="172">
        <v>30</v>
      </c>
      <c r="G444" s="172">
        <v>16</v>
      </c>
      <c r="H444" s="172">
        <v>0</v>
      </c>
      <c r="I444" s="172">
        <v>11</v>
      </c>
    </row>
    <row r="445" spans="2:9" hidden="1" x14ac:dyDescent="0.3">
      <c r="B445" s="172" t="s">
        <v>25</v>
      </c>
      <c r="C445" s="172" t="s">
        <v>81</v>
      </c>
      <c r="D445" s="172" t="s">
        <v>221</v>
      </c>
      <c r="E445" s="172">
        <v>1.0798570851283801E-3</v>
      </c>
      <c r="F445" s="172">
        <v>79</v>
      </c>
      <c r="G445" s="172">
        <v>21</v>
      </c>
      <c r="H445" s="172">
        <v>4</v>
      </c>
      <c r="I445" s="172">
        <v>11</v>
      </c>
    </row>
    <row r="446" spans="2:9" x14ac:dyDescent="0.3">
      <c r="B446" s="172" t="s">
        <v>25</v>
      </c>
      <c r="C446" s="172" t="s">
        <v>82</v>
      </c>
      <c r="D446" s="172" t="s">
        <v>221</v>
      </c>
      <c r="E446" s="172">
        <v>1.20652444653261E-3</v>
      </c>
      <c r="F446" s="172">
        <v>21</v>
      </c>
      <c r="G446" s="172">
        <v>0</v>
      </c>
      <c r="H446" s="172">
        <v>15</v>
      </c>
      <c r="I446" s="172">
        <v>11</v>
      </c>
    </row>
    <row r="447" spans="2:9" hidden="1" x14ac:dyDescent="0.3">
      <c r="B447" s="172" t="s">
        <v>25</v>
      </c>
      <c r="C447" s="172" t="s">
        <v>246</v>
      </c>
      <c r="D447" s="172" t="s">
        <v>218</v>
      </c>
      <c r="E447" s="172">
        <v>6.2645530127756899E-5</v>
      </c>
      <c r="F447" s="172">
        <v>30</v>
      </c>
      <c r="G447" s="172">
        <v>16</v>
      </c>
      <c r="H447" s="172">
        <v>0</v>
      </c>
      <c r="I447" s="172">
        <v>11</v>
      </c>
    </row>
    <row r="448" spans="2:9" hidden="1" x14ac:dyDescent="0.3">
      <c r="B448" s="172" t="s">
        <v>24</v>
      </c>
      <c r="C448" s="172" t="s">
        <v>79</v>
      </c>
      <c r="D448" s="172" t="s">
        <v>218</v>
      </c>
      <c r="E448" s="172">
        <v>9.7544487692011802E-4</v>
      </c>
      <c r="F448" s="172">
        <v>33</v>
      </c>
      <c r="G448" s="172">
        <v>16</v>
      </c>
      <c r="H448" s="172">
        <v>15</v>
      </c>
      <c r="I448" s="172">
        <v>7.5</v>
      </c>
    </row>
    <row r="449" spans="2:9" hidden="1" x14ac:dyDescent="0.3">
      <c r="B449" s="172" t="s">
        <v>24</v>
      </c>
      <c r="C449" s="172" t="s">
        <v>80</v>
      </c>
      <c r="D449" s="172" t="s">
        <v>218</v>
      </c>
      <c r="E449" s="172">
        <v>9.6493024573369795E-4</v>
      </c>
      <c r="F449" s="172">
        <v>30</v>
      </c>
      <c r="G449" s="172">
        <v>16</v>
      </c>
      <c r="H449" s="172">
        <v>0</v>
      </c>
      <c r="I449" s="172">
        <v>7.5</v>
      </c>
    </row>
    <row r="450" spans="2:9" hidden="1" x14ac:dyDescent="0.3">
      <c r="B450" s="172" t="s">
        <v>24</v>
      </c>
      <c r="C450" s="172" t="s">
        <v>81</v>
      </c>
      <c r="D450" s="172" t="s">
        <v>221</v>
      </c>
      <c r="E450" s="172">
        <v>1.0858333835656101E-3</v>
      </c>
      <c r="F450" s="172">
        <v>79</v>
      </c>
      <c r="G450" s="172">
        <v>21</v>
      </c>
      <c r="H450" s="172">
        <v>4</v>
      </c>
      <c r="I450" s="172">
        <v>7.5</v>
      </c>
    </row>
    <row r="451" spans="2:9" x14ac:dyDescent="0.3">
      <c r="B451" s="172" t="s">
        <v>24</v>
      </c>
      <c r="C451" s="172" t="s">
        <v>82</v>
      </c>
      <c r="D451" s="172" t="s">
        <v>221</v>
      </c>
      <c r="E451" s="172">
        <v>1.22240821949106E-3</v>
      </c>
      <c r="F451" s="172">
        <v>21</v>
      </c>
      <c r="G451" s="172">
        <v>0</v>
      </c>
      <c r="H451" s="172">
        <v>15</v>
      </c>
      <c r="I451" s="172">
        <v>7.5</v>
      </c>
    </row>
    <row r="452" spans="2:9" hidden="1" x14ac:dyDescent="0.3">
      <c r="B452" s="172" t="s">
        <v>24</v>
      </c>
      <c r="C452" s="172" t="s">
        <v>246</v>
      </c>
      <c r="D452" s="172" t="s">
        <v>218</v>
      </c>
      <c r="E452" s="172">
        <v>4.12013222107596E-5</v>
      </c>
      <c r="F452" s="172">
        <v>33</v>
      </c>
      <c r="G452" s="172">
        <v>16</v>
      </c>
      <c r="H452" s="172">
        <v>15</v>
      </c>
      <c r="I452" s="172">
        <v>7.5</v>
      </c>
    </row>
    <row r="453" spans="2:9" hidden="1" x14ac:dyDescent="0.3">
      <c r="B453" s="172" t="s">
        <v>22</v>
      </c>
      <c r="C453" s="172" t="s">
        <v>79</v>
      </c>
      <c r="D453" s="172" t="s">
        <v>218</v>
      </c>
      <c r="E453" s="172">
        <v>8.2700576676696103E-4</v>
      </c>
      <c r="F453" s="172">
        <v>33</v>
      </c>
      <c r="G453" s="172">
        <v>16</v>
      </c>
      <c r="H453" s="172">
        <v>15</v>
      </c>
      <c r="I453" s="172">
        <v>4</v>
      </c>
    </row>
    <row r="454" spans="2:9" hidden="1" x14ac:dyDescent="0.3">
      <c r="B454" s="172" t="s">
        <v>22</v>
      </c>
      <c r="C454" s="172" t="s">
        <v>80</v>
      </c>
      <c r="D454" s="172" t="s">
        <v>218</v>
      </c>
      <c r="E454" s="172">
        <v>8.2114716445413395E-4</v>
      </c>
      <c r="F454" s="172">
        <v>30</v>
      </c>
      <c r="G454" s="172">
        <v>16</v>
      </c>
      <c r="H454" s="172">
        <v>0</v>
      </c>
      <c r="I454" s="172">
        <v>4</v>
      </c>
    </row>
    <row r="455" spans="2:9" hidden="1" x14ac:dyDescent="0.3">
      <c r="B455" s="172" t="s">
        <v>22</v>
      </c>
      <c r="C455" s="172" t="s">
        <v>81</v>
      </c>
      <c r="D455" s="172" t="s">
        <v>221</v>
      </c>
      <c r="E455" s="172">
        <v>8.7639232417232801E-4</v>
      </c>
      <c r="F455" s="172">
        <v>79</v>
      </c>
      <c r="G455" s="172">
        <v>21</v>
      </c>
      <c r="H455" s="172">
        <v>4</v>
      </c>
      <c r="I455" s="172">
        <v>4</v>
      </c>
    </row>
    <row r="456" spans="2:9" x14ac:dyDescent="0.3">
      <c r="B456" s="172" t="s">
        <v>22</v>
      </c>
      <c r="C456" s="172" t="s">
        <v>82</v>
      </c>
      <c r="D456" s="172" t="s">
        <v>221</v>
      </c>
      <c r="E456" s="172">
        <v>9.8397494962079008E-4</v>
      </c>
      <c r="F456" s="172">
        <v>21</v>
      </c>
      <c r="G456" s="172">
        <v>0</v>
      </c>
      <c r="H456" s="172">
        <v>15</v>
      </c>
      <c r="I456" s="172">
        <v>4</v>
      </c>
    </row>
    <row r="457" spans="2:9" hidden="1" x14ac:dyDescent="0.3">
      <c r="B457" s="172" t="s">
        <v>22</v>
      </c>
      <c r="C457" s="172" t="s">
        <v>246</v>
      </c>
      <c r="D457" s="172" t="s">
        <v>218</v>
      </c>
      <c r="E457" s="172">
        <v>1.5389927238240001E-5</v>
      </c>
      <c r="F457" s="172">
        <v>33</v>
      </c>
      <c r="G457" s="172">
        <v>16</v>
      </c>
      <c r="H457" s="172">
        <v>15</v>
      </c>
      <c r="I457" s="172">
        <v>4</v>
      </c>
    </row>
    <row r="458" spans="2:9" hidden="1" x14ac:dyDescent="0.3">
      <c r="B458" s="172"/>
      <c r="C458" s="172"/>
      <c r="D458" s="172"/>
      <c r="E458" s="172"/>
      <c r="F458" s="172"/>
      <c r="G458" s="172"/>
      <c r="H458" s="172"/>
      <c r="I458" s="172"/>
    </row>
    <row r="459" spans="2:9" hidden="1" x14ac:dyDescent="0.3">
      <c r="B459" s="172"/>
      <c r="C459" s="172"/>
      <c r="D459" s="172"/>
      <c r="E459" s="172"/>
      <c r="F459" s="172"/>
      <c r="G459" s="172"/>
      <c r="H459" s="172"/>
      <c r="I459" s="172"/>
    </row>
    <row r="460" spans="2:9" hidden="1" x14ac:dyDescent="0.3">
      <c r="B460" s="172"/>
      <c r="C460" s="172"/>
      <c r="D460" s="172"/>
      <c r="E460" s="172"/>
      <c r="F460" s="172"/>
      <c r="G460" s="172"/>
      <c r="H460" s="172"/>
      <c r="I460" s="172"/>
    </row>
    <row r="461" spans="2:9" hidden="1" x14ac:dyDescent="0.3">
      <c r="B461" s="172"/>
      <c r="C461" s="172"/>
      <c r="D461" s="172"/>
      <c r="E461" s="172"/>
      <c r="F461" s="172"/>
      <c r="G461" s="172"/>
      <c r="H461" s="172"/>
      <c r="I461" s="172"/>
    </row>
    <row r="462" spans="2:9" hidden="1" x14ac:dyDescent="0.3">
      <c r="B462" s="172"/>
      <c r="C462" s="172"/>
      <c r="D462" s="172"/>
      <c r="E462" s="172"/>
      <c r="F462" s="172"/>
      <c r="G462" s="172"/>
      <c r="H462" s="172"/>
      <c r="I462" s="172"/>
    </row>
    <row r="463" spans="2:9" hidden="1" x14ac:dyDescent="0.3">
      <c r="B463" s="172"/>
      <c r="C463" s="172"/>
      <c r="D463" s="172"/>
      <c r="E463" s="172"/>
      <c r="F463" s="172"/>
      <c r="G463" s="172"/>
      <c r="H463" s="172"/>
      <c r="I463" s="172"/>
    </row>
    <row r="464" spans="2:9" hidden="1" x14ac:dyDescent="0.3">
      <c r="B464" s="172"/>
      <c r="C464" s="172"/>
      <c r="D464" s="172"/>
      <c r="E464" s="172"/>
      <c r="F464" s="172"/>
      <c r="G464" s="172"/>
      <c r="H464" s="172"/>
      <c r="I464" s="172"/>
    </row>
    <row r="465" spans="2:9" hidden="1" x14ac:dyDescent="0.3">
      <c r="B465" s="172"/>
      <c r="C465" s="172"/>
      <c r="D465" s="172"/>
      <c r="E465" s="172"/>
      <c r="F465" s="172"/>
      <c r="G465" s="172"/>
      <c r="H465" s="172"/>
      <c r="I465" s="172"/>
    </row>
    <row r="466" spans="2:9" hidden="1" x14ac:dyDescent="0.3">
      <c r="B466" s="172"/>
      <c r="C466" s="172"/>
      <c r="D466" s="172"/>
      <c r="E466" s="172"/>
      <c r="F466" s="172"/>
      <c r="G466" s="172"/>
      <c r="H466" s="172"/>
      <c r="I466" s="172"/>
    </row>
    <row r="467" spans="2:9" hidden="1" x14ac:dyDescent="0.3">
      <c r="B467" s="172"/>
      <c r="C467" s="172"/>
      <c r="D467" s="172"/>
      <c r="E467" s="172"/>
      <c r="F467" s="172"/>
      <c r="G467" s="172"/>
      <c r="H467" s="172"/>
      <c r="I467" s="172"/>
    </row>
    <row r="468" spans="2:9" hidden="1" x14ac:dyDescent="0.3">
      <c r="B468" s="172"/>
      <c r="C468" s="172"/>
      <c r="D468" s="172"/>
      <c r="E468" s="172"/>
      <c r="F468" s="172"/>
      <c r="G468" s="172"/>
      <c r="H468" s="172"/>
      <c r="I468" s="172"/>
    </row>
    <row r="469" spans="2:9" hidden="1" x14ac:dyDescent="0.3">
      <c r="B469" s="172"/>
      <c r="C469" s="172"/>
      <c r="D469" s="172"/>
      <c r="E469" s="172"/>
      <c r="F469" s="172"/>
      <c r="G469" s="172"/>
      <c r="H469" s="172"/>
      <c r="I469" s="172"/>
    </row>
    <row r="470" spans="2:9" hidden="1" x14ac:dyDescent="0.3">
      <c r="B470" s="172"/>
      <c r="C470" s="172"/>
      <c r="D470" s="172"/>
      <c r="E470" s="172"/>
      <c r="F470" s="172"/>
      <c r="G470" s="172"/>
      <c r="H470" s="172"/>
      <c r="I470" s="172"/>
    </row>
    <row r="471" spans="2:9" hidden="1" x14ac:dyDescent="0.3">
      <c r="B471" s="172"/>
      <c r="C471" s="172"/>
      <c r="D471" s="172"/>
      <c r="E471" s="172"/>
      <c r="F471" s="172"/>
      <c r="G471" s="172"/>
      <c r="H471" s="172"/>
      <c r="I471" s="172"/>
    </row>
    <row r="472" spans="2:9" hidden="1" x14ac:dyDescent="0.3">
      <c r="B472" s="172"/>
      <c r="C472" s="172"/>
      <c r="D472" s="172"/>
      <c r="E472" s="172"/>
      <c r="F472" s="172"/>
      <c r="G472" s="172"/>
      <c r="H472" s="172"/>
      <c r="I472" s="172"/>
    </row>
    <row r="473" spans="2:9" hidden="1" x14ac:dyDescent="0.3">
      <c r="B473" s="172"/>
      <c r="C473" s="172"/>
      <c r="D473" s="172"/>
      <c r="E473" s="172"/>
      <c r="F473" s="172"/>
      <c r="G473" s="172"/>
      <c r="H473" s="172"/>
      <c r="I473" s="172"/>
    </row>
    <row r="474" spans="2:9" hidden="1" x14ac:dyDescent="0.3">
      <c r="B474" s="172"/>
      <c r="C474" s="172"/>
      <c r="D474" s="172"/>
      <c r="E474" s="172"/>
      <c r="F474" s="172"/>
      <c r="G474" s="172"/>
      <c r="H474" s="172"/>
      <c r="I474" s="172"/>
    </row>
    <row r="475" spans="2:9" hidden="1" x14ac:dyDescent="0.3">
      <c r="B475" s="172"/>
      <c r="C475" s="172"/>
      <c r="D475" s="172"/>
      <c r="E475" s="172"/>
      <c r="F475" s="172"/>
      <c r="G475" s="172"/>
      <c r="H475" s="172"/>
      <c r="I475" s="172"/>
    </row>
    <row r="476" spans="2:9" hidden="1" x14ac:dyDescent="0.3">
      <c r="B476" s="172"/>
      <c r="C476" s="172"/>
      <c r="D476" s="172"/>
      <c r="E476" s="172"/>
      <c r="F476" s="172"/>
      <c r="G476" s="172"/>
      <c r="H476" s="172"/>
      <c r="I476" s="172"/>
    </row>
    <row r="477" spans="2:9" hidden="1" x14ac:dyDescent="0.3">
      <c r="B477" s="172"/>
      <c r="C477" s="172"/>
      <c r="D477" s="172"/>
      <c r="E477" s="172"/>
      <c r="F477" s="172"/>
      <c r="G477" s="172"/>
      <c r="H477" s="172"/>
      <c r="I477" s="172"/>
    </row>
    <row r="478" spans="2:9" hidden="1" x14ac:dyDescent="0.3">
      <c r="B478" s="172"/>
      <c r="C478" s="172"/>
      <c r="D478" s="172"/>
      <c r="E478" s="172"/>
      <c r="F478" s="172"/>
      <c r="G478" s="172"/>
      <c r="H478" s="172"/>
      <c r="I478" s="172"/>
    </row>
    <row r="479" spans="2:9" hidden="1" x14ac:dyDescent="0.3">
      <c r="B479" s="172"/>
      <c r="C479" s="172"/>
      <c r="D479" s="172"/>
      <c r="E479" s="172"/>
      <c r="F479" s="172"/>
      <c r="G479" s="172"/>
      <c r="H479" s="172"/>
      <c r="I479" s="172"/>
    </row>
    <row r="480" spans="2:9" hidden="1" x14ac:dyDescent="0.3">
      <c r="B480" s="172"/>
      <c r="C480" s="172"/>
      <c r="D480" s="172"/>
      <c r="E480" s="172"/>
      <c r="F480" s="172"/>
      <c r="G480" s="172"/>
      <c r="H480" s="172"/>
      <c r="I480" s="172"/>
    </row>
    <row r="481" spans="2:9" hidden="1" x14ac:dyDescent="0.3">
      <c r="B481" s="172"/>
      <c r="C481" s="172"/>
      <c r="D481" s="172"/>
      <c r="E481" s="172"/>
      <c r="F481" s="172"/>
      <c r="G481" s="172"/>
      <c r="H481" s="172"/>
      <c r="I481" s="172"/>
    </row>
    <row r="482" spans="2:9" hidden="1" x14ac:dyDescent="0.3">
      <c r="B482" s="172"/>
      <c r="C482" s="172"/>
      <c r="D482" s="172"/>
      <c r="E482" s="172"/>
      <c r="F482" s="172"/>
      <c r="G482" s="172"/>
      <c r="H482" s="172"/>
      <c r="I482" s="172"/>
    </row>
    <row r="483" spans="2:9" hidden="1" x14ac:dyDescent="0.3">
      <c r="B483" s="172"/>
      <c r="C483" s="172"/>
      <c r="D483" s="172"/>
      <c r="E483" s="172"/>
      <c r="F483" s="172"/>
      <c r="G483" s="172"/>
      <c r="H483" s="172"/>
      <c r="I483" s="172"/>
    </row>
    <row r="484" spans="2:9" hidden="1" x14ac:dyDescent="0.3">
      <c r="B484" s="172"/>
      <c r="C484" s="172"/>
      <c r="D484" s="172"/>
      <c r="E484" s="172"/>
      <c r="F484" s="172"/>
      <c r="G484" s="172"/>
      <c r="H484" s="172"/>
      <c r="I484" s="172"/>
    </row>
    <row r="485" spans="2:9" hidden="1" x14ac:dyDescent="0.3">
      <c r="B485" s="172"/>
      <c r="C485" s="172"/>
      <c r="D485" s="172"/>
      <c r="E485" s="172"/>
      <c r="F485" s="172"/>
      <c r="G485" s="172"/>
      <c r="H485" s="172"/>
      <c r="I485" s="172"/>
    </row>
    <row r="486" spans="2:9" hidden="1" x14ac:dyDescent="0.3">
      <c r="B486" s="172"/>
      <c r="C486" s="172"/>
      <c r="D486" s="172"/>
      <c r="E486" s="172"/>
      <c r="F486" s="172"/>
      <c r="G486" s="172"/>
      <c r="H486" s="172"/>
      <c r="I486" s="172"/>
    </row>
    <row r="487" spans="2:9" hidden="1" x14ac:dyDescent="0.3">
      <c r="B487" s="172"/>
      <c r="C487" s="172"/>
      <c r="D487" s="172"/>
      <c r="E487" s="172"/>
      <c r="F487" s="172"/>
      <c r="G487" s="172"/>
      <c r="H487" s="172"/>
      <c r="I487" s="172"/>
    </row>
    <row r="488" spans="2:9" hidden="1" x14ac:dyDescent="0.3">
      <c r="B488" s="172"/>
      <c r="C488" s="172"/>
      <c r="D488" s="172"/>
      <c r="E488" s="172"/>
      <c r="F488" s="172"/>
      <c r="G488" s="172"/>
      <c r="H488" s="172"/>
      <c r="I488" s="172"/>
    </row>
    <row r="489" spans="2:9" hidden="1" x14ac:dyDescent="0.3">
      <c r="B489" s="172"/>
      <c r="C489" s="172"/>
      <c r="D489" s="172"/>
      <c r="E489" s="172"/>
      <c r="F489" s="172"/>
      <c r="G489" s="172"/>
      <c r="H489" s="172"/>
      <c r="I489" s="172"/>
    </row>
    <row r="490" spans="2:9" hidden="1" x14ac:dyDescent="0.3">
      <c r="B490" s="172"/>
      <c r="C490" s="172"/>
      <c r="D490" s="172"/>
      <c r="E490" s="172"/>
      <c r="F490" s="172"/>
      <c r="G490" s="172"/>
      <c r="H490" s="172"/>
      <c r="I490" s="172"/>
    </row>
    <row r="491" spans="2:9" hidden="1" x14ac:dyDescent="0.3">
      <c r="B491" s="172"/>
      <c r="C491" s="172"/>
      <c r="D491" s="172"/>
      <c r="E491" s="172"/>
      <c r="F491" s="172"/>
      <c r="G491" s="172"/>
      <c r="H491" s="172"/>
      <c r="I491" s="172"/>
    </row>
    <row r="492" spans="2:9" hidden="1" x14ac:dyDescent="0.3">
      <c r="B492" s="172"/>
      <c r="C492" s="172"/>
      <c r="D492" s="172"/>
      <c r="E492" s="172"/>
      <c r="F492" s="172"/>
      <c r="G492" s="172"/>
      <c r="H492" s="172"/>
      <c r="I492" s="172"/>
    </row>
    <row r="493" spans="2:9" hidden="1" x14ac:dyDescent="0.3">
      <c r="B493" s="172"/>
      <c r="C493" s="172"/>
      <c r="D493" s="172"/>
      <c r="E493" s="172"/>
      <c r="F493" s="172"/>
      <c r="G493" s="172"/>
      <c r="H493" s="172"/>
      <c r="I493" s="172"/>
    </row>
    <row r="494" spans="2:9" hidden="1" x14ac:dyDescent="0.3">
      <c r="B494" s="172"/>
      <c r="C494" s="172"/>
      <c r="D494" s="172"/>
      <c r="E494" s="172"/>
      <c r="F494" s="172"/>
      <c r="G494" s="172"/>
      <c r="H494" s="172"/>
      <c r="I494" s="172"/>
    </row>
    <row r="495" spans="2:9" hidden="1" x14ac:dyDescent="0.3">
      <c r="B495" s="172"/>
      <c r="C495" s="172"/>
      <c r="D495" s="172"/>
      <c r="E495" s="172"/>
      <c r="F495" s="172"/>
      <c r="G495" s="172"/>
      <c r="H495" s="172"/>
      <c r="I495" s="172"/>
    </row>
    <row r="496" spans="2:9" hidden="1" x14ac:dyDescent="0.3">
      <c r="B496" s="172"/>
      <c r="C496" s="172"/>
      <c r="D496" s="172"/>
      <c r="E496" s="172"/>
      <c r="F496" s="172"/>
      <c r="G496" s="172"/>
      <c r="H496" s="172"/>
      <c r="I496" s="172"/>
    </row>
    <row r="497" spans="2:9" hidden="1" x14ac:dyDescent="0.3">
      <c r="B497" s="172"/>
      <c r="C497" s="172"/>
      <c r="D497" s="172"/>
      <c r="E497" s="172"/>
      <c r="F497" s="172"/>
      <c r="G497" s="172"/>
      <c r="H497" s="172"/>
      <c r="I497" s="172"/>
    </row>
    <row r="498" spans="2:9" hidden="1" x14ac:dyDescent="0.3">
      <c r="B498" s="172"/>
      <c r="C498" s="172"/>
      <c r="D498" s="172"/>
      <c r="E498" s="172"/>
      <c r="F498" s="172"/>
      <c r="G498" s="172"/>
      <c r="H498" s="172"/>
      <c r="I498" s="172"/>
    </row>
    <row r="499" spans="2:9" hidden="1" x14ac:dyDescent="0.3">
      <c r="B499" s="172"/>
      <c r="C499" s="172"/>
      <c r="D499" s="172"/>
      <c r="E499" s="172"/>
      <c r="F499" s="172"/>
      <c r="G499" s="172"/>
      <c r="H499" s="172"/>
      <c r="I499" s="172"/>
    </row>
    <row r="500" spans="2:9" hidden="1" x14ac:dyDescent="0.3">
      <c r="B500" s="172"/>
      <c r="C500" s="172"/>
      <c r="D500" s="172"/>
      <c r="E500" s="172"/>
      <c r="F500" s="172"/>
      <c r="G500" s="172"/>
      <c r="H500" s="172"/>
      <c r="I500" s="172"/>
    </row>
    <row r="501" spans="2:9" hidden="1" x14ac:dyDescent="0.3">
      <c r="B501" s="172"/>
      <c r="C501" s="172"/>
      <c r="D501" s="172"/>
      <c r="E501" s="172"/>
      <c r="F501" s="172"/>
      <c r="G501" s="172"/>
      <c r="H501" s="172"/>
      <c r="I501" s="172"/>
    </row>
    <row r="502" spans="2:9" hidden="1" x14ac:dyDescent="0.3">
      <c r="B502" s="172"/>
      <c r="C502" s="172"/>
      <c r="D502" s="172"/>
      <c r="E502" s="172"/>
      <c r="F502" s="172"/>
      <c r="G502" s="172"/>
      <c r="H502" s="172"/>
      <c r="I502" s="172"/>
    </row>
    <row r="503" spans="2:9" hidden="1" x14ac:dyDescent="0.3">
      <c r="B503" s="172"/>
      <c r="C503" s="172"/>
      <c r="D503" s="172"/>
      <c r="E503" s="172"/>
      <c r="F503" s="172"/>
      <c r="G503" s="172"/>
      <c r="H503" s="172"/>
      <c r="I503" s="172"/>
    </row>
    <row r="504" spans="2:9" hidden="1" x14ac:dyDescent="0.3">
      <c r="B504" s="172"/>
      <c r="C504" s="172"/>
      <c r="D504" s="172"/>
      <c r="E504" s="172"/>
      <c r="F504" s="172"/>
      <c r="G504" s="172"/>
      <c r="H504" s="172"/>
      <c r="I504" s="172"/>
    </row>
    <row r="505" spans="2:9" hidden="1" x14ac:dyDescent="0.3">
      <c r="B505" s="172"/>
      <c r="C505" s="172"/>
      <c r="D505" s="172"/>
      <c r="E505" s="172"/>
      <c r="F505" s="172"/>
      <c r="G505" s="172"/>
      <c r="H505" s="172"/>
      <c r="I505" s="172"/>
    </row>
    <row r="506" spans="2:9" hidden="1" x14ac:dyDescent="0.3">
      <c r="B506" s="172"/>
      <c r="C506" s="172"/>
      <c r="D506" s="172"/>
      <c r="E506" s="172"/>
      <c r="F506" s="172"/>
      <c r="G506" s="172"/>
      <c r="H506" s="172"/>
      <c r="I506" s="172"/>
    </row>
    <row r="507" spans="2:9" hidden="1" x14ac:dyDescent="0.3">
      <c r="B507" s="172"/>
      <c r="C507" s="172"/>
      <c r="D507" s="172"/>
      <c r="E507" s="172"/>
      <c r="F507" s="172"/>
      <c r="G507" s="172"/>
      <c r="H507" s="172"/>
      <c r="I507" s="172"/>
    </row>
    <row r="508" spans="2:9" hidden="1" x14ac:dyDescent="0.3">
      <c r="B508" s="172"/>
      <c r="C508" s="172"/>
      <c r="D508" s="172"/>
      <c r="E508" s="172"/>
      <c r="F508" s="172"/>
      <c r="G508" s="172"/>
      <c r="H508" s="172"/>
      <c r="I508" s="172"/>
    </row>
    <row r="509" spans="2:9" hidden="1" x14ac:dyDescent="0.3">
      <c r="B509" s="172"/>
      <c r="C509" s="172"/>
      <c r="D509" s="172"/>
      <c r="E509" s="172"/>
      <c r="F509" s="172"/>
      <c r="G509" s="172"/>
      <c r="H509" s="172"/>
      <c r="I509" s="172"/>
    </row>
    <row r="510" spans="2:9" hidden="1" x14ac:dyDescent="0.3">
      <c r="B510" s="172"/>
      <c r="C510" s="172"/>
      <c r="D510" s="172"/>
      <c r="E510" s="172"/>
      <c r="F510" s="172"/>
      <c r="G510" s="172"/>
      <c r="H510" s="172"/>
      <c r="I510" s="172"/>
    </row>
    <row r="511" spans="2:9" hidden="1" x14ac:dyDescent="0.3">
      <c r="B511" s="172"/>
      <c r="C511" s="172"/>
      <c r="D511" s="172"/>
      <c r="E511" s="172"/>
      <c r="F511" s="172"/>
      <c r="G511" s="172"/>
      <c r="H511" s="172"/>
      <c r="I511" s="172"/>
    </row>
    <row r="512" spans="2:9" hidden="1" x14ac:dyDescent="0.3">
      <c r="B512" s="172"/>
      <c r="C512" s="172"/>
      <c r="D512" s="172"/>
      <c r="E512" s="172"/>
      <c r="F512" s="172"/>
      <c r="G512" s="172"/>
      <c r="H512" s="172"/>
      <c r="I512" s="172"/>
    </row>
    <row r="513" spans="2:9" hidden="1" x14ac:dyDescent="0.3">
      <c r="B513" s="172"/>
      <c r="C513" s="172"/>
      <c r="D513" s="172"/>
      <c r="E513" s="172"/>
      <c r="F513" s="172"/>
      <c r="G513" s="172"/>
      <c r="H513" s="172"/>
      <c r="I513" s="172"/>
    </row>
    <row r="514" spans="2:9" hidden="1" x14ac:dyDescent="0.3">
      <c r="B514" s="172"/>
      <c r="C514" s="172"/>
      <c r="D514" s="172"/>
      <c r="E514" s="172"/>
      <c r="F514" s="172"/>
      <c r="G514" s="172"/>
      <c r="H514" s="172"/>
      <c r="I514" s="172"/>
    </row>
    <row r="515" spans="2:9" hidden="1" x14ac:dyDescent="0.3">
      <c r="B515" s="172"/>
      <c r="C515" s="172"/>
      <c r="D515" s="172"/>
      <c r="E515" s="172"/>
      <c r="F515" s="172"/>
      <c r="G515" s="172"/>
      <c r="H515" s="172"/>
      <c r="I515" s="172"/>
    </row>
    <row r="516" spans="2:9" hidden="1" x14ac:dyDescent="0.3">
      <c r="B516" s="172"/>
      <c r="C516" s="172"/>
      <c r="D516" s="172"/>
      <c r="E516" s="172"/>
      <c r="F516" s="172"/>
      <c r="G516" s="172"/>
      <c r="H516" s="172"/>
      <c r="I516" s="172"/>
    </row>
    <row r="517" spans="2:9" hidden="1" x14ac:dyDescent="0.3">
      <c r="B517" s="172"/>
      <c r="C517" s="172"/>
      <c r="D517" s="172"/>
      <c r="E517" s="172"/>
      <c r="F517" s="172"/>
      <c r="G517" s="172"/>
      <c r="H517" s="172"/>
      <c r="I517" s="172"/>
    </row>
    <row r="518" spans="2:9" hidden="1" x14ac:dyDescent="0.3">
      <c r="B518" s="172"/>
      <c r="C518" s="172"/>
      <c r="D518" s="172"/>
      <c r="E518" s="172"/>
      <c r="F518" s="172"/>
      <c r="G518" s="172"/>
      <c r="H518" s="172"/>
      <c r="I518" s="172"/>
    </row>
    <row r="519" spans="2:9" hidden="1" x14ac:dyDescent="0.3">
      <c r="B519" s="172"/>
      <c r="C519" s="172"/>
      <c r="D519" s="172"/>
      <c r="E519" s="172"/>
      <c r="F519" s="172"/>
      <c r="G519" s="172"/>
      <c r="H519" s="172"/>
      <c r="I519" s="172"/>
    </row>
    <row r="520" spans="2:9" hidden="1" x14ac:dyDescent="0.3">
      <c r="B520" s="172"/>
      <c r="C520" s="172"/>
      <c r="D520" s="172"/>
      <c r="E520" s="172"/>
      <c r="F520" s="172"/>
      <c r="G520" s="172"/>
      <c r="H520" s="172"/>
      <c r="I520" s="172"/>
    </row>
    <row r="521" spans="2:9" hidden="1" x14ac:dyDescent="0.3">
      <c r="B521" s="172"/>
      <c r="C521" s="172"/>
      <c r="D521" s="172"/>
      <c r="E521" s="172"/>
      <c r="F521" s="172"/>
      <c r="G521" s="172"/>
      <c r="H521" s="172"/>
      <c r="I521" s="172"/>
    </row>
    <row r="522" spans="2:9" hidden="1" x14ac:dyDescent="0.3">
      <c r="B522" s="172"/>
      <c r="C522" s="172"/>
      <c r="D522" s="172"/>
      <c r="E522" s="172"/>
      <c r="F522" s="172"/>
      <c r="G522" s="172"/>
      <c r="H522" s="172"/>
      <c r="I522" s="172"/>
    </row>
    <row r="523" spans="2:9" hidden="1" x14ac:dyDescent="0.3">
      <c r="B523" s="172"/>
      <c r="C523" s="172"/>
      <c r="D523" s="172"/>
      <c r="E523" s="172"/>
      <c r="F523" s="172"/>
      <c r="G523" s="172"/>
      <c r="H523" s="172"/>
      <c r="I523" s="172"/>
    </row>
    <row r="524" spans="2:9" hidden="1" x14ac:dyDescent="0.3">
      <c r="B524" s="172"/>
      <c r="C524" s="172"/>
      <c r="D524" s="172"/>
      <c r="E524" s="172"/>
      <c r="F524" s="172"/>
      <c r="G524" s="172"/>
      <c r="H524" s="172"/>
      <c r="I524" s="172"/>
    </row>
    <row r="525" spans="2:9" hidden="1" x14ac:dyDescent="0.3">
      <c r="B525" s="172"/>
      <c r="C525" s="172"/>
      <c r="D525" s="172"/>
      <c r="E525" s="172"/>
      <c r="F525" s="172"/>
      <c r="G525" s="172"/>
      <c r="H525" s="172"/>
      <c r="I525" s="172"/>
    </row>
    <row r="526" spans="2:9" hidden="1" x14ac:dyDescent="0.3">
      <c r="B526" s="172"/>
      <c r="C526" s="172"/>
      <c r="D526" s="172"/>
      <c r="E526" s="172"/>
      <c r="F526" s="172"/>
      <c r="G526" s="172"/>
      <c r="H526" s="172"/>
      <c r="I526" s="172"/>
    </row>
    <row r="527" spans="2:9" hidden="1" x14ac:dyDescent="0.3">
      <c r="B527" s="172"/>
      <c r="C527" s="172"/>
      <c r="D527" s="172"/>
      <c r="E527" s="172"/>
      <c r="F527" s="172"/>
      <c r="G527" s="172"/>
      <c r="H527" s="172"/>
      <c r="I527" s="172"/>
    </row>
    <row r="528" spans="2:9" hidden="1" x14ac:dyDescent="0.3">
      <c r="B528" s="172"/>
      <c r="C528" s="172"/>
      <c r="D528" s="172"/>
      <c r="E528" s="172"/>
      <c r="F528" s="172"/>
      <c r="G528" s="172"/>
      <c r="H528" s="172"/>
      <c r="I528" s="17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DERIVAS">
                <anchor moveWithCells="1" sizeWithCells="1">
                  <from>
                    <xdr:col>10</xdr:col>
                    <xdr:colOff>457200</xdr:colOff>
                    <xdr:row>0</xdr:row>
                    <xdr:rowOff>152400</xdr:rowOff>
                  </from>
                  <to>
                    <xdr:col>13</xdr:col>
                    <xdr:colOff>274320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4"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L77"/>
  <sheetViews>
    <sheetView zoomScale="80" zoomScaleNormal="80" workbookViewId="0">
      <selection activeCell="K70" sqref="K70"/>
    </sheetView>
  </sheetViews>
  <sheetFormatPr baseColWidth="10" defaultRowHeight="14.4" x14ac:dyDescent="0.3"/>
  <cols>
    <col min="1" max="6" width="11.5546875" style="37"/>
    <col min="7" max="7" width="13.77734375" style="37" customWidth="1"/>
    <col min="8" max="16384" width="11.5546875" style="37"/>
  </cols>
  <sheetData>
    <row r="2" spans="2:11" x14ac:dyDescent="0.3">
      <c r="B2" s="199" t="s">
        <v>78</v>
      </c>
      <c r="C2" s="199"/>
      <c r="D2" s="133" t="s">
        <v>77</v>
      </c>
      <c r="E2" s="37">
        <v>12</v>
      </c>
    </row>
    <row r="3" spans="2:11" x14ac:dyDescent="0.3">
      <c r="B3" s="9" t="s">
        <v>79</v>
      </c>
    </row>
    <row r="4" spans="2:11" x14ac:dyDescent="0.3">
      <c r="B4" s="135" t="s">
        <v>68</v>
      </c>
      <c r="C4" s="136"/>
      <c r="D4" s="136"/>
      <c r="E4" s="136"/>
      <c r="F4" s="136"/>
      <c r="G4" s="179"/>
      <c r="H4" s="179"/>
      <c r="I4" s="179"/>
    </row>
    <row r="5" spans="2:11" x14ac:dyDescent="0.3">
      <c r="B5" s="137" t="s">
        <v>9</v>
      </c>
      <c r="C5" s="137" t="s">
        <v>69</v>
      </c>
      <c r="D5" s="137" t="s">
        <v>47</v>
      </c>
      <c r="E5" s="137" t="s">
        <v>70</v>
      </c>
      <c r="F5" s="38" t="s">
        <v>75</v>
      </c>
      <c r="G5" s="169" t="s">
        <v>113</v>
      </c>
      <c r="H5" s="80" t="s">
        <v>112</v>
      </c>
      <c r="I5" s="169" t="s">
        <v>113</v>
      </c>
    </row>
    <row r="6" spans="2:11" x14ac:dyDescent="0.3">
      <c r="B6" s="138"/>
      <c r="C6" s="138" t="s">
        <v>7</v>
      </c>
      <c r="D6" s="138"/>
      <c r="E6" s="138"/>
      <c r="F6" s="173" t="str">
        <f>+IF('Sismo UBC-94 y Dinamico'!M5&lt;0.7,"0.04/RW","0.03/RW")</f>
        <v>0.03/RW</v>
      </c>
      <c r="G6" s="173"/>
      <c r="H6" s="173"/>
      <c r="I6" s="173"/>
      <c r="K6" s="99"/>
    </row>
    <row r="7" spans="2:11" x14ac:dyDescent="0.3">
      <c r="B7" s="134" t="s">
        <v>189</v>
      </c>
      <c r="C7" s="134">
        <v>38.5</v>
      </c>
      <c r="D7" s="134" t="s">
        <v>72</v>
      </c>
      <c r="E7" s="185">
        <v>2.48049617596731E-4</v>
      </c>
      <c r="F7" s="36">
        <f>+IF($F$6="0.03/RW",0.03/$E$2,0.04/$E$2)</f>
        <v>2.5000000000000001E-3</v>
      </c>
      <c r="G7" s="41" t="str">
        <f t="shared" ref="G7:G17" si="0">+IF(E7&lt;F7,"Cumple","No Cumple")</f>
        <v>Cumple</v>
      </c>
      <c r="H7" s="37">
        <f>0.02/12</f>
        <v>1.6666666666666668E-3</v>
      </c>
      <c r="I7" s="41" t="str">
        <f t="shared" ref="I7:I17" si="1">+IF(E7&lt;$H$7,"Cumple","No Cumple")</f>
        <v>Cumple</v>
      </c>
    </row>
    <row r="8" spans="2:11" x14ac:dyDescent="0.3">
      <c r="B8" s="134" t="s">
        <v>187</v>
      </c>
      <c r="C8" s="134">
        <v>35.5</v>
      </c>
      <c r="D8" s="134" t="s">
        <v>72</v>
      </c>
      <c r="E8" s="185">
        <v>2.5718220880069403E-4</v>
      </c>
      <c r="F8" s="36">
        <f t="shared" ref="F8:F17" si="2">+IF($F$6="0.03/RW",0.03/$E$2,0.04/$E$2)</f>
        <v>2.5000000000000001E-3</v>
      </c>
      <c r="G8" s="41" t="str">
        <f t="shared" si="0"/>
        <v>Cumple</v>
      </c>
      <c r="I8" s="41" t="str">
        <f t="shared" si="1"/>
        <v>Cumple</v>
      </c>
    </row>
    <row r="9" spans="2:11" x14ac:dyDescent="0.3">
      <c r="B9" s="134" t="s">
        <v>185</v>
      </c>
      <c r="C9" s="134">
        <v>32</v>
      </c>
      <c r="D9" s="134" t="s">
        <v>72</v>
      </c>
      <c r="E9" s="185">
        <v>4.1039639312808298E-4</v>
      </c>
      <c r="F9" s="36">
        <f t="shared" si="2"/>
        <v>2.5000000000000001E-3</v>
      </c>
      <c r="G9" s="41" t="str">
        <f t="shared" si="0"/>
        <v>Cumple</v>
      </c>
      <c r="I9" s="41" t="str">
        <f t="shared" si="1"/>
        <v>Cumple</v>
      </c>
    </row>
    <row r="10" spans="2:11" x14ac:dyDescent="0.3">
      <c r="B10" s="134" t="s">
        <v>183</v>
      </c>
      <c r="C10" s="134">
        <v>28.5</v>
      </c>
      <c r="D10" s="134" t="s">
        <v>72</v>
      </c>
      <c r="E10" s="185">
        <v>5.5298515768966805E-4</v>
      </c>
      <c r="F10" s="36">
        <f t="shared" si="2"/>
        <v>2.5000000000000001E-3</v>
      </c>
      <c r="G10" s="41" t="str">
        <f t="shared" si="0"/>
        <v>Cumple</v>
      </c>
      <c r="I10" s="41" t="str">
        <f t="shared" si="1"/>
        <v>Cumple</v>
      </c>
    </row>
    <row r="11" spans="2:11" x14ac:dyDescent="0.3">
      <c r="B11" s="134" t="s">
        <v>181</v>
      </c>
      <c r="C11" s="134">
        <v>25</v>
      </c>
      <c r="D11" s="134" t="s">
        <v>72</v>
      </c>
      <c r="E11" s="185">
        <v>6.7413679905960503E-4</v>
      </c>
      <c r="F11" s="36">
        <f t="shared" si="2"/>
        <v>2.5000000000000001E-3</v>
      </c>
      <c r="G11" s="41" t="str">
        <f t="shared" si="0"/>
        <v>Cumple</v>
      </c>
      <c r="I11" s="41" t="str">
        <f t="shared" si="1"/>
        <v>Cumple</v>
      </c>
    </row>
    <row r="12" spans="2:11" x14ac:dyDescent="0.3">
      <c r="B12" s="134" t="s">
        <v>179</v>
      </c>
      <c r="C12" s="134">
        <v>21.5</v>
      </c>
      <c r="D12" s="134" t="s">
        <v>72</v>
      </c>
      <c r="E12" s="185">
        <v>7.7572539859524796E-4</v>
      </c>
      <c r="F12" s="36">
        <f t="shared" si="2"/>
        <v>2.5000000000000001E-3</v>
      </c>
      <c r="G12" s="41" t="str">
        <f t="shared" si="0"/>
        <v>Cumple</v>
      </c>
      <c r="I12" s="41" t="str">
        <f t="shared" si="1"/>
        <v>Cumple</v>
      </c>
    </row>
    <row r="13" spans="2:11" s="132" customFormat="1" x14ac:dyDescent="0.3">
      <c r="B13" s="134" t="s">
        <v>39</v>
      </c>
      <c r="C13" s="134">
        <v>18</v>
      </c>
      <c r="D13" s="134" t="s">
        <v>72</v>
      </c>
      <c r="E13" s="185">
        <v>8.4698001013086598E-4</v>
      </c>
      <c r="F13" s="36">
        <f t="shared" si="2"/>
        <v>2.5000000000000001E-3</v>
      </c>
      <c r="G13" s="41" t="str">
        <f t="shared" si="0"/>
        <v>Cumple</v>
      </c>
      <c r="I13" s="41" t="str">
        <f t="shared" si="1"/>
        <v>Cumple</v>
      </c>
    </row>
    <row r="14" spans="2:11" s="132" customFormat="1" x14ac:dyDescent="0.3">
      <c r="B14" s="134" t="s">
        <v>26</v>
      </c>
      <c r="C14" s="134">
        <v>14.5</v>
      </c>
      <c r="D14" s="134" t="s">
        <v>72</v>
      </c>
      <c r="E14" s="185">
        <v>9.0053423057188497E-4</v>
      </c>
      <c r="F14" s="36">
        <f t="shared" si="2"/>
        <v>2.5000000000000001E-3</v>
      </c>
      <c r="G14" s="41" t="str">
        <f t="shared" si="0"/>
        <v>Cumple</v>
      </c>
      <c r="I14" s="41" t="str">
        <f t="shared" si="1"/>
        <v>Cumple</v>
      </c>
    </row>
    <row r="15" spans="2:11" s="132" customFormat="1" x14ac:dyDescent="0.3">
      <c r="B15" s="134" t="s">
        <v>25</v>
      </c>
      <c r="C15" s="134">
        <v>11</v>
      </c>
      <c r="D15" s="134" t="s">
        <v>72</v>
      </c>
      <c r="E15" s="185">
        <v>9.4919027741321603E-4</v>
      </c>
      <c r="F15" s="36">
        <f t="shared" si="2"/>
        <v>2.5000000000000001E-3</v>
      </c>
      <c r="G15" s="41" t="str">
        <f t="shared" si="0"/>
        <v>Cumple</v>
      </c>
      <c r="I15" s="41" t="str">
        <f t="shared" si="1"/>
        <v>Cumple</v>
      </c>
    </row>
    <row r="16" spans="2:11" s="132" customFormat="1" x14ac:dyDescent="0.3">
      <c r="B16" s="134" t="s">
        <v>24</v>
      </c>
      <c r="C16" s="134">
        <v>7.5</v>
      </c>
      <c r="D16" s="134" t="s">
        <v>72</v>
      </c>
      <c r="E16" s="185">
        <v>9.7544487692011802E-4</v>
      </c>
      <c r="F16" s="36">
        <f t="shared" si="2"/>
        <v>2.5000000000000001E-3</v>
      </c>
      <c r="G16" s="41" t="str">
        <f t="shared" si="0"/>
        <v>Cumple</v>
      </c>
      <c r="I16" s="41" t="str">
        <f t="shared" si="1"/>
        <v>Cumple</v>
      </c>
    </row>
    <row r="17" spans="2:12" s="132" customFormat="1" x14ac:dyDescent="0.3">
      <c r="B17" s="134" t="s">
        <v>22</v>
      </c>
      <c r="C17" s="134">
        <v>4</v>
      </c>
      <c r="D17" s="134" t="s">
        <v>72</v>
      </c>
      <c r="E17" s="188">
        <v>8.2700576676696103E-4</v>
      </c>
      <c r="F17" s="36">
        <f t="shared" si="2"/>
        <v>2.5000000000000001E-3</v>
      </c>
      <c r="G17" s="41" t="str">
        <f t="shared" si="0"/>
        <v>Cumple</v>
      </c>
      <c r="I17" s="41" t="str">
        <f t="shared" si="1"/>
        <v>Cumple</v>
      </c>
    </row>
    <row r="18" spans="2:12" s="132" customFormat="1" x14ac:dyDescent="0.3">
      <c r="B18" s="134" t="s">
        <v>44</v>
      </c>
      <c r="C18" s="134">
        <v>0</v>
      </c>
      <c r="D18" s="134" t="s">
        <v>72</v>
      </c>
      <c r="E18" s="172"/>
      <c r="F18" s="53"/>
      <c r="G18" s="36"/>
      <c r="H18" s="36"/>
      <c r="I18" s="41"/>
      <c r="L18" s="41"/>
    </row>
    <row r="19" spans="2:12" s="132" customFormat="1" x14ac:dyDescent="0.3">
      <c r="E19" s="172"/>
      <c r="F19" s="53"/>
      <c r="G19" s="36"/>
      <c r="H19" s="36"/>
      <c r="I19" s="41"/>
      <c r="L19" s="41"/>
    </row>
    <row r="20" spans="2:12" x14ac:dyDescent="0.3">
      <c r="E20" s="172"/>
      <c r="I20" s="42"/>
    </row>
    <row r="21" spans="2:12" x14ac:dyDescent="0.3">
      <c r="E21" s="172"/>
      <c r="I21" s="42"/>
    </row>
    <row r="22" spans="2:12" x14ac:dyDescent="0.3">
      <c r="B22" s="9" t="s">
        <v>80</v>
      </c>
      <c r="E22" s="172"/>
      <c r="I22" s="42"/>
    </row>
    <row r="23" spans="2:12" x14ac:dyDescent="0.3">
      <c r="B23" s="140" t="s">
        <v>68</v>
      </c>
      <c r="C23" s="141"/>
      <c r="D23" s="141"/>
      <c r="E23" s="141"/>
      <c r="F23" s="141"/>
      <c r="G23" s="179"/>
      <c r="H23" s="179"/>
      <c r="I23" s="179"/>
    </row>
    <row r="24" spans="2:12" x14ac:dyDescent="0.3">
      <c r="B24" s="142" t="s">
        <v>9</v>
      </c>
      <c r="C24" s="142" t="s">
        <v>69</v>
      </c>
      <c r="D24" s="142" t="s">
        <v>47</v>
      </c>
      <c r="E24" s="142" t="s">
        <v>70</v>
      </c>
      <c r="F24" s="38" t="s">
        <v>75</v>
      </c>
      <c r="G24" s="169" t="s">
        <v>113</v>
      </c>
      <c r="H24" s="80" t="s">
        <v>112</v>
      </c>
      <c r="I24" s="169" t="s">
        <v>113</v>
      </c>
    </row>
    <row r="25" spans="2:12" x14ac:dyDescent="0.3">
      <c r="B25" s="143"/>
      <c r="C25" s="143" t="s">
        <v>7</v>
      </c>
      <c r="D25" s="143"/>
      <c r="E25" s="143"/>
      <c r="F25" s="40" t="str">
        <f>+F6</f>
        <v>0.03/RW</v>
      </c>
      <c r="G25" s="173"/>
      <c r="H25" s="173"/>
      <c r="I25" s="173"/>
    </row>
    <row r="26" spans="2:12" x14ac:dyDescent="0.3">
      <c r="B26" s="139" t="s">
        <v>189</v>
      </c>
      <c r="C26" s="139">
        <v>38.5</v>
      </c>
      <c r="D26" s="139" t="s">
        <v>72</v>
      </c>
      <c r="E26" s="185">
        <v>2.5590088743604797E-4</v>
      </c>
      <c r="F26" s="36">
        <f>+F7</f>
        <v>2.5000000000000001E-3</v>
      </c>
      <c r="G26" s="41" t="str">
        <f t="shared" ref="G26:G36" si="3">+IF(E26&lt;F26,"Cumple","No Cumple")</f>
        <v>Cumple</v>
      </c>
      <c r="H26" s="68">
        <f>0.02/12</f>
        <v>1.6666666666666668E-3</v>
      </c>
      <c r="I26" s="41" t="str">
        <f t="shared" ref="I26:I36" si="4">+IF(E26&lt;$H$7,"Cumple","No Cumple")</f>
        <v>Cumple</v>
      </c>
    </row>
    <row r="27" spans="2:12" x14ac:dyDescent="0.3">
      <c r="B27" s="139" t="s">
        <v>187</v>
      </c>
      <c r="C27" s="139">
        <v>35.5</v>
      </c>
      <c r="D27" s="139" t="s">
        <v>72</v>
      </c>
      <c r="E27" s="185">
        <v>2.6858445681592698E-4</v>
      </c>
      <c r="F27" s="36">
        <f t="shared" ref="F27:F36" si="5">+F8</f>
        <v>2.5000000000000001E-3</v>
      </c>
      <c r="G27" s="41" t="str">
        <f t="shared" si="3"/>
        <v>Cumple</v>
      </c>
      <c r="H27" s="68"/>
      <c r="I27" s="41" t="str">
        <f t="shared" si="4"/>
        <v>Cumple</v>
      </c>
    </row>
    <row r="28" spans="2:12" x14ac:dyDescent="0.3">
      <c r="B28" s="139" t="s">
        <v>185</v>
      </c>
      <c r="C28" s="139">
        <v>32</v>
      </c>
      <c r="D28" s="139" t="s">
        <v>72</v>
      </c>
      <c r="E28" s="185">
        <v>4.2149850460428899E-4</v>
      </c>
      <c r="F28" s="36">
        <f t="shared" si="5"/>
        <v>2.5000000000000001E-3</v>
      </c>
      <c r="G28" s="41" t="str">
        <f t="shared" si="3"/>
        <v>Cumple</v>
      </c>
      <c r="H28" s="68"/>
      <c r="I28" s="41" t="str">
        <f t="shared" si="4"/>
        <v>Cumple</v>
      </c>
    </row>
    <row r="29" spans="2:12" x14ac:dyDescent="0.3">
      <c r="B29" s="139" t="s">
        <v>183</v>
      </c>
      <c r="C29" s="139">
        <v>28.5</v>
      </c>
      <c r="D29" s="139" t="s">
        <v>72</v>
      </c>
      <c r="E29" s="185">
        <v>5.6266303910433503E-4</v>
      </c>
      <c r="F29" s="36">
        <f t="shared" si="5"/>
        <v>2.5000000000000001E-3</v>
      </c>
      <c r="G29" s="41" t="str">
        <f t="shared" si="3"/>
        <v>Cumple</v>
      </c>
      <c r="H29" s="68"/>
      <c r="I29" s="41" t="str">
        <f t="shared" si="4"/>
        <v>Cumple</v>
      </c>
    </row>
    <row r="30" spans="2:12" x14ac:dyDescent="0.3">
      <c r="B30" s="139" t="s">
        <v>181</v>
      </c>
      <c r="C30" s="139">
        <v>25</v>
      </c>
      <c r="D30" s="139" t="s">
        <v>72</v>
      </c>
      <c r="E30" s="185">
        <v>6.8244335583959404E-4</v>
      </c>
      <c r="F30" s="36">
        <f t="shared" si="5"/>
        <v>2.5000000000000001E-3</v>
      </c>
      <c r="G30" s="41" t="str">
        <f t="shared" si="3"/>
        <v>Cumple</v>
      </c>
      <c r="H30" s="68"/>
      <c r="I30" s="41" t="str">
        <f t="shared" si="4"/>
        <v>Cumple</v>
      </c>
    </row>
    <row r="31" spans="2:12" x14ac:dyDescent="0.3">
      <c r="B31" s="139" t="s">
        <v>179</v>
      </c>
      <c r="C31" s="139">
        <v>21.5</v>
      </c>
      <c r="D31" s="139" t="s">
        <v>72</v>
      </c>
      <c r="E31" s="185">
        <v>7.8233371380805202E-4</v>
      </c>
      <c r="F31" s="36">
        <f t="shared" si="5"/>
        <v>2.5000000000000001E-3</v>
      </c>
      <c r="G31" s="41" t="str">
        <f t="shared" si="3"/>
        <v>Cumple</v>
      </c>
      <c r="H31" s="68"/>
      <c r="I31" s="41" t="str">
        <f t="shared" si="4"/>
        <v>Cumple</v>
      </c>
    </row>
    <row r="32" spans="2:12" s="132" customFormat="1" x14ac:dyDescent="0.3">
      <c r="B32" s="139" t="s">
        <v>39</v>
      </c>
      <c r="C32" s="139">
        <v>18</v>
      </c>
      <c r="D32" s="139" t="s">
        <v>72</v>
      </c>
      <c r="E32" s="185">
        <v>8.4778598860670799E-4</v>
      </c>
      <c r="F32" s="36">
        <f t="shared" si="5"/>
        <v>2.5000000000000001E-3</v>
      </c>
      <c r="G32" s="41" t="str">
        <f t="shared" si="3"/>
        <v>Cumple</v>
      </c>
      <c r="I32" s="41" t="str">
        <f t="shared" si="4"/>
        <v>Cumple</v>
      </c>
    </row>
    <row r="33" spans="2:12" s="132" customFormat="1" x14ac:dyDescent="0.3">
      <c r="B33" s="139" t="s">
        <v>26</v>
      </c>
      <c r="C33" s="139">
        <v>14.5</v>
      </c>
      <c r="D33" s="139" t="s">
        <v>72</v>
      </c>
      <c r="E33" s="185">
        <v>8.9525263398075995E-4</v>
      </c>
      <c r="F33" s="36">
        <f t="shared" si="5"/>
        <v>2.5000000000000001E-3</v>
      </c>
      <c r="G33" s="41" t="str">
        <f t="shared" si="3"/>
        <v>Cumple</v>
      </c>
      <c r="I33" s="41" t="str">
        <f t="shared" si="4"/>
        <v>Cumple</v>
      </c>
    </row>
    <row r="34" spans="2:12" s="132" customFormat="1" x14ac:dyDescent="0.3">
      <c r="B34" s="139" t="s">
        <v>25</v>
      </c>
      <c r="C34" s="139">
        <v>11</v>
      </c>
      <c r="D34" s="139" t="s">
        <v>72</v>
      </c>
      <c r="E34" s="185">
        <v>9.4098174318284602E-4</v>
      </c>
      <c r="F34" s="36">
        <f t="shared" si="5"/>
        <v>2.5000000000000001E-3</v>
      </c>
      <c r="G34" s="41" t="str">
        <f t="shared" si="3"/>
        <v>Cumple</v>
      </c>
      <c r="I34" s="41" t="str">
        <f t="shared" si="4"/>
        <v>Cumple</v>
      </c>
    </row>
    <row r="35" spans="2:12" s="132" customFormat="1" x14ac:dyDescent="0.3">
      <c r="B35" s="139" t="s">
        <v>24</v>
      </c>
      <c r="C35" s="139">
        <v>7.5</v>
      </c>
      <c r="D35" s="139" t="s">
        <v>72</v>
      </c>
      <c r="E35" s="185">
        <v>9.6493024573369795E-4</v>
      </c>
      <c r="F35" s="36">
        <f t="shared" si="5"/>
        <v>2.5000000000000001E-3</v>
      </c>
      <c r="G35" s="41" t="str">
        <f t="shared" si="3"/>
        <v>Cumple</v>
      </c>
      <c r="I35" s="41" t="str">
        <f t="shared" si="4"/>
        <v>Cumple</v>
      </c>
    </row>
    <row r="36" spans="2:12" s="132" customFormat="1" x14ac:dyDescent="0.3">
      <c r="B36" s="139" t="s">
        <v>22</v>
      </c>
      <c r="C36" s="139">
        <v>4</v>
      </c>
      <c r="D36" s="139" t="s">
        <v>72</v>
      </c>
      <c r="E36" s="188">
        <v>8.2114716445413395E-4</v>
      </c>
      <c r="F36" s="36">
        <f t="shared" si="5"/>
        <v>2.5000000000000001E-3</v>
      </c>
      <c r="G36" s="41" t="str">
        <f t="shared" si="3"/>
        <v>Cumple</v>
      </c>
      <c r="I36" s="41" t="str">
        <f t="shared" si="4"/>
        <v>Cumple</v>
      </c>
    </row>
    <row r="37" spans="2:12" s="132" customFormat="1" x14ac:dyDescent="0.3">
      <c r="B37" s="139" t="s">
        <v>44</v>
      </c>
      <c r="C37" s="139">
        <v>0</v>
      </c>
      <c r="D37" s="139" t="s">
        <v>72</v>
      </c>
      <c r="E37" s="172"/>
      <c r="F37" s="53"/>
      <c r="G37" s="36"/>
      <c r="H37" s="36"/>
      <c r="I37" s="41"/>
      <c r="L37" s="41"/>
    </row>
    <row r="38" spans="2:12" s="132" customFormat="1" x14ac:dyDescent="0.3">
      <c r="E38" s="172"/>
      <c r="F38" s="53"/>
      <c r="G38" s="36"/>
      <c r="H38" s="36"/>
      <c r="I38" s="41"/>
      <c r="L38" s="41"/>
    </row>
    <row r="39" spans="2:12" x14ac:dyDescent="0.3">
      <c r="E39" s="172"/>
    </row>
    <row r="40" spans="2:12" x14ac:dyDescent="0.3">
      <c r="E40" s="172"/>
    </row>
    <row r="41" spans="2:12" x14ac:dyDescent="0.3">
      <c r="B41" s="9" t="s">
        <v>81</v>
      </c>
      <c r="E41" s="172"/>
    </row>
    <row r="42" spans="2:12" x14ac:dyDescent="0.3">
      <c r="B42" s="145" t="s">
        <v>68</v>
      </c>
      <c r="C42" s="146"/>
      <c r="D42" s="146"/>
      <c r="E42" s="146"/>
      <c r="F42" s="146"/>
      <c r="G42" s="179"/>
      <c r="H42" s="179"/>
      <c r="I42" s="179"/>
    </row>
    <row r="43" spans="2:12" x14ac:dyDescent="0.3">
      <c r="B43" s="147" t="s">
        <v>9</v>
      </c>
      <c r="C43" s="147" t="s">
        <v>69</v>
      </c>
      <c r="D43" s="147" t="s">
        <v>47</v>
      </c>
      <c r="E43" s="148" t="s">
        <v>71</v>
      </c>
      <c r="F43" s="39" t="s">
        <v>76</v>
      </c>
      <c r="G43" s="169" t="s">
        <v>113</v>
      </c>
      <c r="H43" s="80" t="s">
        <v>112</v>
      </c>
      <c r="I43" s="169" t="s">
        <v>113</v>
      </c>
    </row>
    <row r="44" spans="2:12" x14ac:dyDescent="0.3">
      <c r="B44" s="149"/>
      <c r="C44" s="149" t="s">
        <v>7</v>
      </c>
      <c r="D44" s="149"/>
      <c r="E44" s="150"/>
      <c r="F44" s="173" t="str">
        <f>+IF('Sismo UBC-94 y Dinamico'!M6&lt;0.7,"0.04/RW","0.03/RW")</f>
        <v>0.03/RW</v>
      </c>
      <c r="G44" s="173"/>
      <c r="H44" s="173"/>
      <c r="I44" s="173"/>
    </row>
    <row r="45" spans="2:12" x14ac:dyDescent="0.3">
      <c r="B45" s="144" t="s">
        <v>189</v>
      </c>
      <c r="C45" s="144">
        <v>38.5</v>
      </c>
      <c r="D45" s="144" t="s">
        <v>72</v>
      </c>
      <c r="E45" s="185">
        <v>3.4625371760071901E-4</v>
      </c>
      <c r="F45" s="36">
        <f>+IF($F$44="0.03/RW",0.03/$E$2,0.04/$E$2)</f>
        <v>2.5000000000000001E-3</v>
      </c>
      <c r="G45" s="41" t="str">
        <f t="shared" ref="G45:G55" si="6">+IF(E45&lt;F45,"Cumple","No Cumple")</f>
        <v>Cumple</v>
      </c>
      <c r="H45" s="68">
        <f>0.02/12</f>
        <v>1.6666666666666668E-3</v>
      </c>
      <c r="I45" s="41" t="str">
        <f t="shared" ref="I45:I55" si="7">+IF(E45&lt;$H$7,"Cumple","No Cumple")</f>
        <v>Cumple</v>
      </c>
    </row>
    <row r="46" spans="2:12" x14ac:dyDescent="0.3">
      <c r="B46" s="144" t="s">
        <v>187</v>
      </c>
      <c r="C46" s="144">
        <v>35.5</v>
      </c>
      <c r="D46" s="144" t="s">
        <v>72</v>
      </c>
      <c r="E46" s="185">
        <v>3.9885022354100398E-4</v>
      </c>
      <c r="F46" s="36">
        <f t="shared" ref="F46:F55" si="8">+IF($F$44="0.03/RW",0.03/$E$2,0.04/$E$2)</f>
        <v>2.5000000000000001E-3</v>
      </c>
      <c r="G46" s="41" t="str">
        <f t="shared" si="6"/>
        <v>Cumple</v>
      </c>
      <c r="H46" s="68"/>
      <c r="I46" s="41" t="str">
        <f t="shared" si="7"/>
        <v>Cumple</v>
      </c>
    </row>
    <row r="47" spans="2:12" x14ac:dyDescent="0.3">
      <c r="B47" s="144" t="s">
        <v>185</v>
      </c>
      <c r="C47" s="144">
        <v>32</v>
      </c>
      <c r="D47" s="144" t="s">
        <v>72</v>
      </c>
      <c r="E47" s="185">
        <v>5.6325410877158799E-4</v>
      </c>
      <c r="F47" s="36">
        <f t="shared" si="8"/>
        <v>2.5000000000000001E-3</v>
      </c>
      <c r="G47" s="41" t="str">
        <f t="shared" si="6"/>
        <v>Cumple</v>
      </c>
      <c r="H47" s="68"/>
      <c r="I47" s="41" t="str">
        <f t="shared" si="7"/>
        <v>Cumple</v>
      </c>
    </row>
    <row r="48" spans="2:12" x14ac:dyDescent="0.3">
      <c r="B48" s="144" t="s">
        <v>183</v>
      </c>
      <c r="C48" s="144">
        <v>28.5</v>
      </c>
      <c r="D48" s="144" t="s">
        <v>72</v>
      </c>
      <c r="E48" s="185">
        <v>7.0786324786893196E-4</v>
      </c>
      <c r="F48" s="36">
        <f t="shared" si="8"/>
        <v>2.5000000000000001E-3</v>
      </c>
      <c r="G48" s="41" t="str">
        <f t="shared" si="6"/>
        <v>Cumple</v>
      </c>
      <c r="H48" s="68"/>
      <c r="I48" s="41" t="str">
        <f t="shared" si="7"/>
        <v>Cumple</v>
      </c>
    </row>
    <row r="49" spans="2:12" x14ac:dyDescent="0.3">
      <c r="B49" s="144" t="s">
        <v>181</v>
      </c>
      <c r="C49" s="144">
        <v>25</v>
      </c>
      <c r="D49" s="144" t="s">
        <v>72</v>
      </c>
      <c r="E49" s="185">
        <v>8.2563152877679498E-4</v>
      </c>
      <c r="F49" s="36">
        <f t="shared" si="8"/>
        <v>2.5000000000000001E-3</v>
      </c>
      <c r="G49" s="41" t="str">
        <f t="shared" si="6"/>
        <v>Cumple</v>
      </c>
      <c r="H49" s="68"/>
      <c r="I49" s="41" t="str">
        <f t="shared" si="7"/>
        <v>Cumple</v>
      </c>
    </row>
    <row r="50" spans="2:12" x14ac:dyDescent="0.3">
      <c r="B50" s="144" t="s">
        <v>179</v>
      </c>
      <c r="C50" s="144">
        <v>21.5</v>
      </c>
      <c r="D50" s="144" t="s">
        <v>72</v>
      </c>
      <c r="E50" s="185">
        <v>9.2008260293993096E-4</v>
      </c>
      <c r="F50" s="36">
        <f t="shared" si="8"/>
        <v>2.5000000000000001E-3</v>
      </c>
      <c r="G50" s="41" t="str">
        <f t="shared" si="6"/>
        <v>Cumple</v>
      </c>
      <c r="H50" s="68"/>
      <c r="I50" s="41" t="str">
        <f t="shared" si="7"/>
        <v>Cumple</v>
      </c>
    </row>
    <row r="51" spans="2:12" s="132" customFormat="1" x14ac:dyDescent="0.3">
      <c r="B51" s="144" t="s">
        <v>39</v>
      </c>
      <c r="C51" s="144">
        <v>18</v>
      </c>
      <c r="D51" s="144" t="s">
        <v>72</v>
      </c>
      <c r="E51" s="185">
        <v>9.9073482333601206E-4</v>
      </c>
      <c r="F51" s="36">
        <f t="shared" si="8"/>
        <v>2.5000000000000001E-3</v>
      </c>
      <c r="G51" s="41" t="str">
        <f t="shared" si="6"/>
        <v>Cumple</v>
      </c>
      <c r="I51" s="41" t="str">
        <f t="shared" si="7"/>
        <v>Cumple</v>
      </c>
    </row>
    <row r="52" spans="2:12" s="132" customFormat="1" x14ac:dyDescent="0.3">
      <c r="B52" s="144" t="s">
        <v>26</v>
      </c>
      <c r="C52" s="144">
        <v>14.5</v>
      </c>
      <c r="D52" s="144" t="s">
        <v>72</v>
      </c>
      <c r="E52" s="185">
        <v>1.0436180678514101E-3</v>
      </c>
      <c r="F52" s="36">
        <f t="shared" si="8"/>
        <v>2.5000000000000001E-3</v>
      </c>
      <c r="G52" s="41" t="str">
        <f t="shared" si="6"/>
        <v>Cumple</v>
      </c>
      <c r="I52" s="41" t="str">
        <f t="shared" si="7"/>
        <v>Cumple</v>
      </c>
    </row>
    <row r="53" spans="2:12" s="132" customFormat="1" x14ac:dyDescent="0.3">
      <c r="B53" s="144" t="s">
        <v>25</v>
      </c>
      <c r="C53" s="144">
        <v>11</v>
      </c>
      <c r="D53" s="144" t="s">
        <v>72</v>
      </c>
      <c r="E53" s="185">
        <v>1.0798570851283801E-3</v>
      </c>
      <c r="F53" s="36">
        <f t="shared" si="8"/>
        <v>2.5000000000000001E-3</v>
      </c>
      <c r="G53" s="41" t="str">
        <f t="shared" si="6"/>
        <v>Cumple</v>
      </c>
      <c r="I53" s="41" t="str">
        <f t="shared" si="7"/>
        <v>Cumple</v>
      </c>
    </row>
    <row r="54" spans="2:12" s="132" customFormat="1" x14ac:dyDescent="0.3">
      <c r="B54" s="144" t="s">
        <v>24</v>
      </c>
      <c r="C54" s="144">
        <v>7.5</v>
      </c>
      <c r="D54" s="144" t="s">
        <v>72</v>
      </c>
      <c r="E54" s="185">
        <v>1.0858333835656101E-3</v>
      </c>
      <c r="F54" s="36">
        <f t="shared" si="8"/>
        <v>2.5000000000000001E-3</v>
      </c>
      <c r="G54" s="41" t="str">
        <f t="shared" si="6"/>
        <v>Cumple</v>
      </c>
      <c r="I54" s="41" t="str">
        <f t="shared" si="7"/>
        <v>Cumple</v>
      </c>
    </row>
    <row r="55" spans="2:12" s="132" customFormat="1" x14ac:dyDescent="0.3">
      <c r="B55" s="144" t="s">
        <v>22</v>
      </c>
      <c r="C55" s="144">
        <v>4</v>
      </c>
      <c r="D55" s="144" t="s">
        <v>72</v>
      </c>
      <c r="E55" s="188">
        <v>8.7639232417232801E-4</v>
      </c>
      <c r="F55" s="36">
        <f t="shared" si="8"/>
        <v>2.5000000000000001E-3</v>
      </c>
      <c r="G55" s="41" t="str">
        <f t="shared" si="6"/>
        <v>Cumple</v>
      </c>
      <c r="I55" s="41" t="str">
        <f t="shared" si="7"/>
        <v>Cumple</v>
      </c>
    </row>
    <row r="56" spans="2:12" s="132" customFormat="1" x14ac:dyDescent="0.3">
      <c r="B56" s="144" t="s">
        <v>44</v>
      </c>
      <c r="C56" s="144">
        <v>0</v>
      </c>
      <c r="D56" s="144" t="s">
        <v>72</v>
      </c>
      <c r="E56" s="53"/>
      <c r="G56" s="36"/>
      <c r="H56" s="36"/>
      <c r="I56" s="41"/>
      <c r="L56" s="41"/>
    </row>
    <row r="57" spans="2:12" s="132" customFormat="1" x14ac:dyDescent="0.3">
      <c r="E57" s="53"/>
      <c r="F57" s="53"/>
      <c r="G57" s="36"/>
      <c r="H57" s="36"/>
      <c r="I57" s="41"/>
      <c r="L57" s="41"/>
    </row>
    <row r="58" spans="2:12" s="132" customFormat="1" x14ac:dyDescent="0.3">
      <c r="E58" s="53"/>
      <c r="F58" s="53"/>
      <c r="G58" s="36"/>
      <c r="H58" s="36"/>
      <c r="I58" s="41"/>
      <c r="L58" s="41"/>
    </row>
    <row r="59" spans="2:12" s="132" customFormat="1" x14ac:dyDescent="0.3">
      <c r="E59" s="53"/>
      <c r="F59" s="53"/>
      <c r="G59" s="36"/>
      <c r="H59" s="36"/>
      <c r="I59" s="41"/>
      <c r="L59" s="41"/>
    </row>
    <row r="60" spans="2:12" x14ac:dyDescent="0.3">
      <c r="I60" s="42"/>
    </row>
    <row r="61" spans="2:12" x14ac:dyDescent="0.3">
      <c r="I61" s="42"/>
    </row>
    <row r="62" spans="2:12" x14ac:dyDescent="0.3">
      <c r="B62" s="9" t="s">
        <v>82</v>
      </c>
      <c r="I62" s="42"/>
    </row>
    <row r="63" spans="2:12" x14ac:dyDescent="0.3">
      <c r="B63" s="152" t="s">
        <v>68</v>
      </c>
      <c r="C63" s="153"/>
      <c r="D63" s="153"/>
      <c r="E63" s="153"/>
      <c r="F63" s="153"/>
      <c r="G63" s="179"/>
      <c r="H63" s="179"/>
      <c r="I63" s="179"/>
    </row>
    <row r="64" spans="2:12" x14ac:dyDescent="0.3">
      <c r="B64" s="154" t="s">
        <v>9</v>
      </c>
      <c r="C64" s="154" t="s">
        <v>69</v>
      </c>
      <c r="D64" s="154" t="s">
        <v>47</v>
      </c>
      <c r="E64" s="155" t="s">
        <v>71</v>
      </c>
      <c r="F64" s="39" t="s">
        <v>76</v>
      </c>
      <c r="G64" s="169" t="s">
        <v>113</v>
      </c>
      <c r="H64" s="80" t="s">
        <v>112</v>
      </c>
      <c r="I64" s="169" t="s">
        <v>113</v>
      </c>
    </row>
    <row r="65" spans="2:9" x14ac:dyDescent="0.3">
      <c r="B65" s="156"/>
      <c r="C65" s="156" t="s">
        <v>7</v>
      </c>
      <c r="D65" s="156"/>
      <c r="E65" s="157"/>
      <c r="F65" s="40" t="str">
        <f>+F44</f>
        <v>0.03/RW</v>
      </c>
      <c r="G65" s="173"/>
      <c r="H65" s="173"/>
      <c r="I65" s="173"/>
    </row>
    <row r="66" spans="2:9" x14ac:dyDescent="0.3">
      <c r="B66" s="151" t="s">
        <v>189</v>
      </c>
      <c r="C66" s="151">
        <v>38.5</v>
      </c>
      <c r="D66" s="151" t="s">
        <v>72</v>
      </c>
      <c r="E66" s="185">
        <v>2.87964905860374E-4</v>
      </c>
      <c r="F66" s="36">
        <f>+F45</f>
        <v>2.5000000000000001E-3</v>
      </c>
      <c r="G66" s="41" t="str">
        <f t="shared" ref="G66:G76" si="9">+IF(E66&lt;F66,"Cumple","No Cumple")</f>
        <v>Cumple</v>
      </c>
      <c r="H66" s="68">
        <f>0.02/12</f>
        <v>1.6666666666666668E-3</v>
      </c>
      <c r="I66" s="41" t="str">
        <f t="shared" ref="I66:I76" si="10">+IF(E66&lt;$H$7,"Cumple","No Cumple")</f>
        <v>Cumple</v>
      </c>
    </row>
    <row r="67" spans="2:9" x14ac:dyDescent="0.3">
      <c r="B67" s="151" t="s">
        <v>187</v>
      </c>
      <c r="C67" s="151">
        <v>35.5</v>
      </c>
      <c r="D67" s="151" t="s">
        <v>72</v>
      </c>
      <c r="E67" s="185">
        <v>3.7306005620499301E-4</v>
      </c>
      <c r="F67" s="36">
        <f t="shared" ref="F67:F76" si="11">+F46</f>
        <v>2.5000000000000001E-3</v>
      </c>
      <c r="G67" s="41" t="str">
        <f t="shared" si="9"/>
        <v>Cumple</v>
      </c>
      <c r="H67" s="68"/>
      <c r="I67" s="41" t="str">
        <f t="shared" si="10"/>
        <v>Cumple</v>
      </c>
    </row>
    <row r="68" spans="2:9" x14ac:dyDescent="0.3">
      <c r="B68" s="151" t="s">
        <v>185</v>
      </c>
      <c r="C68" s="151">
        <v>32</v>
      </c>
      <c r="D68" s="151" t="s">
        <v>72</v>
      </c>
      <c r="E68" s="185">
        <v>5.6066862523618201E-4</v>
      </c>
      <c r="F68" s="36">
        <f t="shared" si="11"/>
        <v>2.5000000000000001E-3</v>
      </c>
      <c r="G68" s="41" t="str">
        <f t="shared" si="9"/>
        <v>Cumple</v>
      </c>
      <c r="H68" s="68"/>
      <c r="I68" s="41" t="str">
        <f t="shared" si="10"/>
        <v>Cumple</v>
      </c>
    </row>
    <row r="69" spans="2:9" x14ac:dyDescent="0.3">
      <c r="B69" s="151" t="s">
        <v>183</v>
      </c>
      <c r="C69" s="151">
        <v>28.5</v>
      </c>
      <c r="D69" s="151" t="s">
        <v>72</v>
      </c>
      <c r="E69" s="185">
        <v>7.3085617824510802E-4</v>
      </c>
      <c r="F69" s="36">
        <f t="shared" si="11"/>
        <v>2.5000000000000001E-3</v>
      </c>
      <c r="G69" s="41" t="str">
        <f t="shared" si="9"/>
        <v>Cumple</v>
      </c>
      <c r="H69" s="68"/>
      <c r="I69" s="41" t="str">
        <f t="shared" si="10"/>
        <v>Cumple</v>
      </c>
    </row>
    <row r="70" spans="2:9" x14ac:dyDescent="0.3">
      <c r="B70" s="151" t="s">
        <v>181</v>
      </c>
      <c r="C70" s="151">
        <v>25</v>
      </c>
      <c r="D70" s="151" t="s">
        <v>72</v>
      </c>
      <c r="E70" s="185">
        <v>8.7099095723625303E-4</v>
      </c>
      <c r="F70" s="36">
        <f t="shared" si="11"/>
        <v>2.5000000000000001E-3</v>
      </c>
      <c r="G70" s="41" t="str">
        <f t="shared" si="9"/>
        <v>Cumple</v>
      </c>
      <c r="H70" s="68"/>
      <c r="I70" s="41" t="str">
        <f t="shared" si="10"/>
        <v>Cumple</v>
      </c>
    </row>
    <row r="71" spans="2:9" x14ac:dyDescent="0.3">
      <c r="B71" s="151" t="s">
        <v>179</v>
      </c>
      <c r="C71" s="151">
        <v>21.5</v>
      </c>
      <c r="D71" s="151" t="s">
        <v>72</v>
      </c>
      <c r="E71" s="185">
        <v>9.8563376852794492E-4</v>
      </c>
      <c r="F71" s="36">
        <f t="shared" si="11"/>
        <v>2.5000000000000001E-3</v>
      </c>
      <c r="G71" s="41" t="str">
        <f t="shared" si="9"/>
        <v>Cumple</v>
      </c>
      <c r="H71" s="68"/>
      <c r="I71" s="41" t="str">
        <f t="shared" si="10"/>
        <v>Cumple</v>
      </c>
    </row>
    <row r="72" spans="2:9" x14ac:dyDescent="0.3">
      <c r="B72" s="151" t="s">
        <v>39</v>
      </c>
      <c r="C72" s="151">
        <v>18</v>
      </c>
      <c r="D72" s="151" t="s">
        <v>72</v>
      </c>
      <c r="E72" s="185">
        <v>1.0798003749718701E-3</v>
      </c>
      <c r="F72" s="36">
        <f t="shared" si="11"/>
        <v>2.5000000000000001E-3</v>
      </c>
      <c r="G72" s="41" t="str">
        <f t="shared" si="9"/>
        <v>Cumple</v>
      </c>
      <c r="I72" s="41" t="str">
        <f t="shared" si="10"/>
        <v>Cumple</v>
      </c>
    </row>
    <row r="73" spans="2:9" x14ac:dyDescent="0.3">
      <c r="B73" s="151" t="s">
        <v>26</v>
      </c>
      <c r="C73" s="151">
        <v>14.5</v>
      </c>
      <c r="D73" s="151" t="s">
        <v>72</v>
      </c>
      <c r="E73" s="185">
        <v>1.15437715702271E-3</v>
      </c>
      <c r="F73" s="36">
        <f t="shared" si="11"/>
        <v>2.5000000000000001E-3</v>
      </c>
      <c r="G73" s="41" t="str">
        <f t="shared" si="9"/>
        <v>Cumple</v>
      </c>
      <c r="I73" s="41" t="str">
        <f t="shared" si="10"/>
        <v>Cumple</v>
      </c>
    </row>
    <row r="74" spans="2:9" x14ac:dyDescent="0.3">
      <c r="B74" s="151" t="s">
        <v>25</v>
      </c>
      <c r="C74" s="151">
        <v>11</v>
      </c>
      <c r="D74" s="151" t="s">
        <v>72</v>
      </c>
      <c r="E74" s="185">
        <v>1.20652444653261E-3</v>
      </c>
      <c r="F74" s="36">
        <f t="shared" si="11"/>
        <v>2.5000000000000001E-3</v>
      </c>
      <c r="G74" s="41" t="str">
        <f t="shared" si="9"/>
        <v>Cumple</v>
      </c>
      <c r="I74" s="41" t="str">
        <f t="shared" si="10"/>
        <v>Cumple</v>
      </c>
    </row>
    <row r="75" spans="2:9" x14ac:dyDescent="0.3">
      <c r="B75" s="151" t="s">
        <v>24</v>
      </c>
      <c r="C75" s="151">
        <v>7.5</v>
      </c>
      <c r="D75" s="151" t="s">
        <v>72</v>
      </c>
      <c r="E75" s="185">
        <v>1.22240821949106E-3</v>
      </c>
      <c r="F75" s="36">
        <f t="shared" si="11"/>
        <v>2.5000000000000001E-3</v>
      </c>
      <c r="G75" s="41" t="str">
        <f t="shared" si="9"/>
        <v>Cumple</v>
      </c>
      <c r="I75" s="41" t="str">
        <f t="shared" si="10"/>
        <v>Cumple</v>
      </c>
    </row>
    <row r="76" spans="2:9" x14ac:dyDescent="0.3">
      <c r="B76" s="151" t="s">
        <v>22</v>
      </c>
      <c r="C76" s="151">
        <v>4</v>
      </c>
      <c r="D76" s="151" t="s">
        <v>72</v>
      </c>
      <c r="E76" s="188">
        <v>9.8397494962079008E-4</v>
      </c>
      <c r="F76" s="36">
        <f t="shared" si="11"/>
        <v>2.5000000000000001E-3</v>
      </c>
      <c r="G76" s="41" t="str">
        <f t="shared" si="9"/>
        <v>Cumple</v>
      </c>
      <c r="I76" s="41" t="str">
        <f t="shared" si="10"/>
        <v>Cumple</v>
      </c>
    </row>
    <row r="77" spans="2:9" x14ac:dyDescent="0.3">
      <c r="B77" s="151" t="s">
        <v>44</v>
      </c>
      <c r="C77" s="151">
        <v>0</v>
      </c>
      <c r="D77" s="151" t="s">
        <v>72</v>
      </c>
      <c r="E77" s="53"/>
    </row>
  </sheetData>
  <mergeCells count="1">
    <mergeCell ref="B2:C2"/>
  </mergeCells>
  <pageMargins left="0.7" right="0.7" top="0.75" bottom="0.75" header="0.3" footer="0.3"/>
  <pageSetup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R70"/>
  <sheetViews>
    <sheetView tabSelected="1" zoomScale="80" zoomScaleNormal="80" workbookViewId="0">
      <selection activeCell="I74" sqref="I74"/>
    </sheetView>
  </sheetViews>
  <sheetFormatPr baseColWidth="10" defaultRowHeight="14.4" x14ac:dyDescent="0.3"/>
  <cols>
    <col min="3" max="3" width="15.44140625" customWidth="1"/>
    <col min="12" max="12" width="11.5546875" style="83"/>
  </cols>
  <sheetData>
    <row r="1" spans="2:18" x14ac:dyDescent="0.3">
      <c r="B1" s="79" t="s">
        <v>101</v>
      </c>
    </row>
    <row r="2" spans="2:18" ht="15" thickBot="1" x14ac:dyDescent="0.35">
      <c r="M2" s="202" t="s">
        <v>194</v>
      </c>
      <c r="N2" s="202"/>
      <c r="O2" s="202"/>
      <c r="P2" s="202"/>
    </row>
    <row r="3" spans="2:18" ht="15" thickBot="1" x14ac:dyDescent="0.35">
      <c r="B3" s="159" t="s">
        <v>83</v>
      </c>
      <c r="C3" s="160"/>
      <c r="D3" s="160"/>
      <c r="E3" s="160"/>
      <c r="F3" s="160"/>
      <c r="G3" s="160"/>
      <c r="H3" s="43"/>
      <c r="I3" s="42"/>
      <c r="J3" s="42"/>
      <c r="K3" s="42"/>
      <c r="L3" s="42"/>
      <c r="M3" s="42"/>
      <c r="N3" s="183">
        <v>15</v>
      </c>
      <c r="O3" s="183">
        <v>16</v>
      </c>
    </row>
    <row r="4" spans="2:18" x14ac:dyDescent="0.3">
      <c r="B4" s="161" t="s">
        <v>9</v>
      </c>
      <c r="C4" s="161" t="s">
        <v>46</v>
      </c>
      <c r="D4" s="161" t="s">
        <v>42</v>
      </c>
      <c r="E4" s="161" t="s">
        <v>84</v>
      </c>
      <c r="F4" s="161" t="s">
        <v>85</v>
      </c>
      <c r="G4" s="162" t="s">
        <v>86</v>
      </c>
      <c r="H4" s="46" t="s">
        <v>87</v>
      </c>
      <c r="I4" s="43"/>
      <c r="J4" s="43"/>
      <c r="K4" s="49" t="s">
        <v>88</v>
      </c>
      <c r="L4" s="49" t="s">
        <v>92</v>
      </c>
      <c r="M4" s="46" t="s">
        <v>91</v>
      </c>
      <c r="N4" s="182" t="s">
        <v>114</v>
      </c>
      <c r="O4" s="182" t="s">
        <v>115</v>
      </c>
    </row>
    <row r="5" spans="2:18" x14ac:dyDescent="0.3">
      <c r="B5" s="163"/>
      <c r="C5" s="163"/>
      <c r="D5" s="163"/>
      <c r="E5" s="163" t="s">
        <v>193</v>
      </c>
      <c r="F5" s="163" t="s">
        <v>7</v>
      </c>
      <c r="G5" s="164"/>
      <c r="H5" s="51"/>
      <c r="I5" s="45" t="s">
        <v>89</v>
      </c>
      <c r="J5" s="45" t="s">
        <v>90</v>
      </c>
      <c r="K5" s="50" t="s">
        <v>43</v>
      </c>
      <c r="L5" s="50" t="s">
        <v>43</v>
      </c>
      <c r="M5" s="50" t="s">
        <v>54</v>
      </c>
      <c r="N5" s="50" t="s">
        <v>7</v>
      </c>
      <c r="O5" s="50" t="s">
        <v>7</v>
      </c>
      <c r="P5" s="96" t="s">
        <v>116</v>
      </c>
      <c r="Q5" s="96" t="s">
        <v>117</v>
      </c>
      <c r="R5" s="96" t="s">
        <v>118</v>
      </c>
    </row>
    <row r="6" spans="2:18" x14ac:dyDescent="0.3">
      <c r="B6" s="184" t="s">
        <v>189</v>
      </c>
      <c r="C6" s="185" t="s">
        <v>79</v>
      </c>
      <c r="D6" s="185" t="s">
        <v>218</v>
      </c>
      <c r="E6" s="185">
        <v>2.4726134099959399E-2</v>
      </c>
      <c r="F6" s="185">
        <v>2.4283218825209299E-2</v>
      </c>
      <c r="G6" s="186">
        <v>1.0182395619764499</v>
      </c>
      <c r="H6" s="42">
        <f>+E6/(1.2*F6)</f>
        <v>0.84853296831370828</v>
      </c>
      <c r="I6" s="47">
        <f>+'Centers of Mass and Rigidity'!L5-'Centers of Mass and Rigidity'!F5</f>
        <v>-2.839378473043201</v>
      </c>
      <c r="J6" s="47">
        <f>+'Centers of Mass and Rigidity'!M5-'Centers of Mass and Rigidity'!G5</f>
        <v>0.40263228948562979</v>
      </c>
      <c r="K6" s="172">
        <f>IF(+'Sismo UBC-94 y Dinamico'!O15=0,'Sismo UBC-94 y Dinamico'!M15,'Sismo UBC-94 y Dinamico'!O15)</f>
        <v>1035.5319789528401</v>
      </c>
      <c r="L6" s="172">
        <f>IF(+'Sismo UBC-94 y Dinamico'!P15=0,'Sismo UBC-94 y Dinamico'!N15,'Sismo UBC-94 y Dinamico'!P15)</f>
        <v>55.1832191787421</v>
      </c>
      <c r="M6" s="52">
        <f>0.05*N6*K6*(H6-1)+0.05*O6*L6*(H6-1)</f>
        <v>-124.32346702748214</v>
      </c>
      <c r="N6">
        <f>+$N$3</f>
        <v>15</v>
      </c>
      <c r="O6">
        <f>+$O$3</f>
        <v>16</v>
      </c>
      <c r="P6" s="95">
        <f>+K6*(J6+0.05*N6*H6)-K6*(J6+0.05*N6)</f>
        <v>-117.63671630116369</v>
      </c>
      <c r="Q6" s="95">
        <f>+L6*(I6+0.05*O6*H6)-L6*(I6+0.05*O6)</f>
        <v>-6.6867507263184791</v>
      </c>
      <c r="R6" s="95">
        <f>+P6+Q6</f>
        <v>-124.32346702748217</v>
      </c>
    </row>
    <row r="7" spans="2:18" x14ac:dyDescent="0.3">
      <c r="B7" s="184" t="s">
        <v>187</v>
      </c>
      <c r="C7" s="185" t="s">
        <v>79</v>
      </c>
      <c r="D7" s="185" t="s">
        <v>218</v>
      </c>
      <c r="E7" s="185">
        <v>2.5507036800150699E-2</v>
      </c>
      <c r="F7" s="185">
        <v>2.38730529933848E-2</v>
      </c>
      <c r="G7" s="186">
        <v>1.0684446939911201</v>
      </c>
      <c r="H7" s="42">
        <f t="shared" ref="H7:H16" si="0">+E7/(1.2*F7)</f>
        <v>0.89037057832592936</v>
      </c>
      <c r="I7" s="47">
        <f>+'Centers of Mass and Rigidity'!L6-'Centers of Mass and Rigidity'!F6</f>
        <v>0.36882216619441976</v>
      </c>
      <c r="J7" s="47">
        <f>+'Centers of Mass and Rigidity'!M6-'Centers of Mass and Rigidity'!G6</f>
        <v>6.6786735730280711E-2</v>
      </c>
      <c r="K7" s="172">
        <f>IF(+'Sismo UBC-94 y Dinamico'!O16=0,'Sismo UBC-94 y Dinamico'!M16,'Sismo UBC-94 y Dinamico'!O16)</f>
        <v>11717.21235704896</v>
      </c>
      <c r="L7" s="172">
        <f>IF(+'Sismo UBC-94 y Dinamico'!P16=0,'Sismo UBC-94 y Dinamico'!N16,'Sismo UBC-94 y Dinamico'!P16)</f>
        <v>490.54777284176691</v>
      </c>
      <c r="M7" s="52">
        <f>0.05*N7*K7*(H7-1)+0.05*O7*L7*(H7-1)</f>
        <v>-1006.4361856637806</v>
      </c>
      <c r="N7" s="172">
        <f t="shared" ref="N7:N16" si="1">+$N$3</f>
        <v>15</v>
      </c>
      <c r="O7" s="172">
        <f t="shared" ref="O7:O16" si="2">+$O$3</f>
        <v>16</v>
      </c>
      <c r="P7" s="95">
        <f>+K7*(J7+0.05*N7*H7)-K7*(J7+0.05*N7)</f>
        <v>-963.41341075166383</v>
      </c>
      <c r="Q7" s="95">
        <f>+L7*(I7+0.05*O7*H7)-L7*(I7+0.05*O7)</f>
        <v>-43.022774912117029</v>
      </c>
      <c r="R7" s="95">
        <f>+P7+Q7</f>
        <v>-1006.4361856637809</v>
      </c>
    </row>
    <row r="8" spans="2:18" x14ac:dyDescent="0.3">
      <c r="B8" s="184" t="s">
        <v>185</v>
      </c>
      <c r="C8" s="185" t="s">
        <v>79</v>
      </c>
      <c r="D8" s="185" t="s">
        <v>218</v>
      </c>
      <c r="E8" s="185">
        <v>2.4606899069348299E-2</v>
      </c>
      <c r="F8" s="185">
        <v>2.30101833108191E-2</v>
      </c>
      <c r="G8" s="186">
        <v>1.0693917009248</v>
      </c>
      <c r="H8" s="42">
        <f t="shared" si="0"/>
        <v>0.89115975077066722</v>
      </c>
      <c r="I8" s="47">
        <f>+'Centers of Mass and Rigidity'!L7-'Centers of Mass and Rigidity'!F7</f>
        <v>0.5836533640628101</v>
      </c>
      <c r="J8" s="47">
        <f>+'Centers of Mass and Rigidity'!M7-'Centers of Mass and Rigidity'!G7</f>
        <v>6.9462166076998955E-3</v>
      </c>
      <c r="K8" s="172">
        <f>IF(+'Sismo UBC-94 y Dinamico'!O17=0,'Sismo UBC-94 y Dinamico'!M17,'Sismo UBC-94 y Dinamico'!O17)</f>
        <v>13148.422535879701</v>
      </c>
      <c r="L8" s="172">
        <f>IF(+'Sismo UBC-94 y Dinamico'!P17=0,'Sismo UBC-94 y Dinamico'!N17,'Sismo UBC-94 y Dinamico'!P17)</f>
        <v>586.17588954791097</v>
      </c>
      <c r="M8" s="52">
        <f>0.05*N8*K8*(H8-1)+0.05*O8*L8*(H8-1)</f>
        <v>-1124.3478132617884</v>
      </c>
      <c r="N8" s="172">
        <f t="shared" si="1"/>
        <v>15</v>
      </c>
      <c r="O8" s="172">
        <f t="shared" si="2"/>
        <v>16</v>
      </c>
      <c r="P8" s="95">
        <f>+K8*(J8+0.05*N8*H8)-K8*(J8+0.05*N8)</f>
        <v>-1073.308189333291</v>
      </c>
      <c r="Q8" s="95">
        <f>+L8*(I8+0.05*O8*H8)-L8*(I8+0.05*O8)</f>
        <v>-51.039623928496439</v>
      </c>
      <c r="R8" s="95">
        <f>+P8+Q8</f>
        <v>-1124.3478132617875</v>
      </c>
    </row>
    <row r="9" spans="2:18" x14ac:dyDescent="0.3">
      <c r="B9" s="184" t="s">
        <v>183</v>
      </c>
      <c r="C9" s="185" t="s">
        <v>79</v>
      </c>
      <c r="D9" s="185" t="s">
        <v>218</v>
      </c>
      <c r="E9" s="185">
        <v>2.3170511693399998E-2</v>
      </c>
      <c r="F9" s="185">
        <v>2.1647063422424201E-2</v>
      </c>
      <c r="G9" s="186">
        <v>1.07037667147949</v>
      </c>
      <c r="H9" s="42">
        <f t="shared" si="0"/>
        <v>0.89198055956624811</v>
      </c>
      <c r="I9" s="47">
        <f>+'Centers of Mass and Rigidity'!L8-'Centers of Mass and Rigidity'!F8</f>
        <v>0.60833961065591069</v>
      </c>
      <c r="J9" s="47">
        <f>+'Centers of Mass and Rigidity'!M8-'Centers of Mass and Rigidity'!G8</f>
        <v>-1.6196668903694089E-3</v>
      </c>
      <c r="K9" s="172">
        <f>IF(+'Sismo UBC-94 y Dinamico'!O18=0,'Sismo UBC-94 y Dinamico'!M18,'Sismo UBC-94 y Dinamico'!O18)</f>
        <v>11240.235676660897</v>
      </c>
      <c r="L9" s="172">
        <f>IF(+'Sismo UBC-94 y Dinamico'!P18=0,'Sismo UBC-94 y Dinamico'!N18,'Sismo UBC-94 y Dinamico'!P18)</f>
        <v>515.84840773322003</v>
      </c>
      <c r="M9" s="52">
        <f>0.05*N9*K9*(H9-1)+0.05*O9*L9*(H9-1)</f>
        <v>-955.20030118389082</v>
      </c>
      <c r="N9" s="172">
        <f t="shared" si="1"/>
        <v>15</v>
      </c>
      <c r="O9" s="172">
        <f t="shared" si="2"/>
        <v>16</v>
      </c>
      <c r="P9" s="95">
        <f>+K9*(J9+0.05*N9*H9)-K9*(J9+0.05*N9)</f>
        <v>-910.62297610230416</v>
      </c>
      <c r="Q9" s="95">
        <f>+L9*(I9+0.05*O9*H9)-L9*(I9+0.05*O9)</f>
        <v>-44.577325081587333</v>
      </c>
      <c r="R9" s="95">
        <f>+P9+Q9</f>
        <v>-955.2003011838915</v>
      </c>
    </row>
    <row r="10" spans="2:18" x14ac:dyDescent="0.3">
      <c r="B10" s="184" t="s">
        <v>181</v>
      </c>
      <c r="C10" s="185" t="s">
        <v>79</v>
      </c>
      <c r="D10" s="185" t="s">
        <v>218</v>
      </c>
      <c r="E10" s="185">
        <v>2.1235063641486099E-2</v>
      </c>
      <c r="F10" s="185">
        <v>1.9819875537942701E-2</v>
      </c>
      <c r="G10" s="186">
        <v>1.07140247176801</v>
      </c>
      <c r="H10" s="42">
        <f t="shared" si="0"/>
        <v>0.89283539314000715</v>
      </c>
      <c r="I10" s="47">
        <f>+'Centers of Mass and Rigidity'!L9-'Centers of Mass and Rigidity'!F9</f>
        <v>0.63169605512110927</v>
      </c>
      <c r="J10" s="47">
        <f>+'Centers of Mass and Rigidity'!M9-'Centers of Mass and Rigidity'!G9</f>
        <v>-1.0811936636160091E-2</v>
      </c>
      <c r="K10" s="172">
        <f>IF(+'Sismo UBC-94 y Dinamico'!O19=0,'Sismo UBC-94 y Dinamico'!M19,'Sismo UBC-94 y Dinamico'!O19)</f>
        <v>9605.215192661999</v>
      </c>
      <c r="L10" s="172">
        <f>IF(+'Sismo UBC-94 y Dinamico'!P19=0,'Sismo UBC-94 y Dinamico'!N19,'Sismo UBC-94 y Dinamico'!P19)</f>
        <v>448.08256649114992</v>
      </c>
      <c r="M10" s="52">
        <f>0.05*N10*K10*(H10-1)+0.05*O10*L10*(H10-1)</f>
        <v>-810.41920610851275</v>
      </c>
      <c r="N10" s="172">
        <f t="shared" si="1"/>
        <v>15</v>
      </c>
      <c r="O10" s="172">
        <f t="shared" si="2"/>
        <v>16</v>
      </c>
      <c r="P10" s="95">
        <f>+K10*(J10+0.05*N10*H10)-K10*(J10+0.05*N10)</f>
        <v>-772.00433244544001</v>
      </c>
      <c r="Q10" s="95">
        <f>+L10*(I10+0.05*O10*H10)-L10*(I10+0.05*O10)</f>
        <v>-38.414873663072512</v>
      </c>
      <c r="R10" s="95">
        <f>+P10+Q10</f>
        <v>-810.41920610851253</v>
      </c>
    </row>
    <row r="11" spans="2:18" s="151" customFormat="1" x14ac:dyDescent="0.3">
      <c r="B11" s="184" t="s">
        <v>179</v>
      </c>
      <c r="C11" s="185" t="s">
        <v>79</v>
      </c>
      <c r="D11" s="185" t="s">
        <v>218</v>
      </c>
      <c r="E11" s="185">
        <v>1.8875584844777499E-2</v>
      </c>
      <c r="F11" s="185">
        <v>1.7598708691414298E-2</v>
      </c>
      <c r="G11" s="186">
        <v>1.0725551047950601</v>
      </c>
      <c r="H11" s="42">
        <f t="shared" si="0"/>
        <v>0.89379592066254543</v>
      </c>
      <c r="I11" s="47">
        <f>+'Centers of Mass and Rigidity'!L10-'Centers of Mass and Rigidity'!F10</f>
        <v>0.65430276446550906</v>
      </c>
      <c r="J11" s="47">
        <f>+'Centers of Mass and Rigidity'!M10-'Centers of Mass and Rigidity'!G10</f>
        <v>-2.1160278344130035E-2</v>
      </c>
      <c r="K11" s="172">
        <f>IF(+'Sismo UBC-94 y Dinamico'!O20=0,'Sismo UBC-94 y Dinamico'!M20,'Sismo UBC-94 y Dinamico'!O20)</f>
        <v>8285.9033632193023</v>
      </c>
      <c r="L11" s="172">
        <f>IF(+'Sismo UBC-94 y Dinamico'!P20=0,'Sismo UBC-94 y Dinamico'!N20,'Sismo UBC-94 y Dinamico'!P20)</f>
        <v>389.10822253303013</v>
      </c>
      <c r="M11" s="52">
        <f t="shared" ref="M11:M16" si="3">0.05*N11*K11*(H11-1)+0.05*O11*L11*(H11-1)</f>
        <v>-693.05745805677145</v>
      </c>
      <c r="N11" s="172">
        <f t="shared" si="1"/>
        <v>15</v>
      </c>
      <c r="O11" s="172">
        <f t="shared" si="2"/>
        <v>16</v>
      </c>
      <c r="P11" s="95">
        <f t="shared" ref="P11:P16" si="4">+K11*(J11+0.05*N11*H11)-K11*(J11+0.05*N11)</f>
        <v>-659.99755362736869</v>
      </c>
      <c r="Q11" s="95">
        <f t="shared" ref="Q11:Q16" si="5">+L11*(I11+0.05*O11*H11)-L11*(I11+0.05*O11)</f>
        <v>-33.059904429402991</v>
      </c>
      <c r="R11" s="95">
        <f t="shared" ref="R11:R16" si="6">+P11+Q11</f>
        <v>-693.05745805677168</v>
      </c>
    </row>
    <row r="12" spans="2:18" s="151" customFormat="1" x14ac:dyDescent="0.3">
      <c r="B12" s="184" t="s">
        <v>39</v>
      </c>
      <c r="C12" s="185" t="s">
        <v>79</v>
      </c>
      <c r="D12" s="185" t="s">
        <v>218</v>
      </c>
      <c r="E12" s="185">
        <v>1.61605459496941E-2</v>
      </c>
      <c r="F12" s="185">
        <v>1.50481681622578E-2</v>
      </c>
      <c r="G12" s="186">
        <v>1.07392114278908</v>
      </c>
      <c r="H12" s="42">
        <f t="shared" si="0"/>
        <v>0.89493428565756417</v>
      </c>
      <c r="I12" s="47">
        <f>+'Centers of Mass and Rigidity'!L11-'Centers of Mass and Rigidity'!F11</f>
        <v>0.67600096029431</v>
      </c>
      <c r="J12" s="47">
        <f>+'Centers of Mass and Rigidity'!M11-'Centers of Mass and Rigidity'!G11</f>
        <v>-3.2857029811490079E-2</v>
      </c>
      <c r="K12" s="172">
        <f>IF(+'Sismo UBC-94 y Dinamico'!O21=0,'Sismo UBC-94 y Dinamico'!M21,'Sismo UBC-94 y Dinamico'!O21)</f>
        <v>7191.3044052373007</v>
      </c>
      <c r="L12" s="172">
        <f>IF(+'Sismo UBC-94 y Dinamico'!P21=0,'Sismo UBC-94 y Dinamico'!N21,'Sismo UBC-94 y Dinamico'!P21)</f>
        <v>337.51914634972991</v>
      </c>
      <c r="M12" s="52">
        <f t="shared" si="3"/>
        <v>-595.03900296500876</v>
      </c>
      <c r="N12" s="172">
        <f t="shared" si="1"/>
        <v>15</v>
      </c>
      <c r="O12" s="172">
        <f t="shared" si="2"/>
        <v>16</v>
      </c>
      <c r="P12" s="95">
        <f t="shared" si="4"/>
        <v>-566.66965079262263</v>
      </c>
      <c r="Q12" s="95">
        <f t="shared" si="5"/>
        <v>-28.369352172386812</v>
      </c>
      <c r="R12" s="95">
        <f t="shared" si="6"/>
        <v>-595.03900296500944</v>
      </c>
    </row>
    <row r="13" spans="2:18" s="151" customFormat="1" x14ac:dyDescent="0.3">
      <c r="B13" s="184" t="s">
        <v>26</v>
      </c>
      <c r="C13" s="185" t="s">
        <v>79</v>
      </c>
      <c r="D13" s="185" t="s">
        <v>218</v>
      </c>
      <c r="E13" s="185">
        <v>1.31961159142361E-2</v>
      </c>
      <c r="F13" s="185">
        <v>1.2276418044744501E-2</v>
      </c>
      <c r="G13" s="186">
        <v>1.0749158155204199</v>
      </c>
      <c r="H13" s="42">
        <f t="shared" si="0"/>
        <v>0.89576317960034768</v>
      </c>
      <c r="I13" s="47">
        <f>+'Centers of Mass and Rigidity'!L12-'Centers of Mass and Rigidity'!F12</f>
        <v>0.57054601975221964</v>
      </c>
      <c r="J13" s="47">
        <f>+'Centers of Mass and Rigidity'!M12-'Centers of Mass and Rigidity'!G12</f>
        <v>-2.1065798861029883E-2</v>
      </c>
      <c r="K13" s="172">
        <f>IF(+'Sismo UBC-94 y Dinamico'!O22=0,'Sismo UBC-94 y Dinamico'!M22,'Sismo UBC-94 y Dinamico'!O22)</f>
        <v>6272.6308020294018</v>
      </c>
      <c r="L13" s="172">
        <f>IF(+'Sismo UBC-94 y Dinamico'!P22=0,'Sismo UBC-94 y Dinamico'!N22,'Sismo UBC-94 y Dinamico'!P22)</f>
        <v>290.95502349775006</v>
      </c>
      <c r="M13" s="52">
        <f t="shared" si="3"/>
        <v>-514.6418989813186</v>
      </c>
      <c r="N13" s="172">
        <f t="shared" si="1"/>
        <v>15</v>
      </c>
      <c r="O13" s="172">
        <f t="shared" si="2"/>
        <v>16</v>
      </c>
      <c r="P13" s="95">
        <f t="shared" si="4"/>
        <v>-490.37931775834932</v>
      </c>
      <c r="Q13" s="95">
        <f t="shared" si="5"/>
        <v>-24.262581222969231</v>
      </c>
      <c r="R13" s="95">
        <f t="shared" si="6"/>
        <v>-514.64189898131849</v>
      </c>
    </row>
    <row r="14" spans="2:18" s="151" customFormat="1" x14ac:dyDescent="0.3">
      <c r="B14" s="184" t="s">
        <v>25</v>
      </c>
      <c r="C14" s="185" t="s">
        <v>79</v>
      </c>
      <c r="D14" s="185" t="s">
        <v>218</v>
      </c>
      <c r="E14" s="185">
        <v>1.0044246107234501E-2</v>
      </c>
      <c r="F14" s="185">
        <v>9.3422059079794999E-3</v>
      </c>
      <c r="G14" s="186">
        <v>1.0751471554117</v>
      </c>
      <c r="H14" s="42">
        <f t="shared" si="0"/>
        <v>0.8959559628430801</v>
      </c>
      <c r="I14" s="47">
        <f>+'Centers of Mass and Rigidity'!L13-'Centers of Mass and Rigidity'!F13</f>
        <v>0.57414570042761959</v>
      </c>
      <c r="J14" s="47">
        <f>+'Centers of Mass and Rigidity'!M13-'Centers of Mass and Rigidity'!G13</f>
        <v>-2.2928275896109795E-2</v>
      </c>
      <c r="K14" s="172">
        <f>IF(+'Sismo UBC-94 y Dinamico'!O23=0,'Sismo UBC-94 y Dinamico'!M23,'Sismo UBC-94 y Dinamico'!O23)</f>
        <v>5307.7112042578956</v>
      </c>
      <c r="L14" s="172">
        <f>IF(+'Sismo UBC-94 y Dinamico'!P23=0,'Sismo UBC-94 y Dinamico'!N23,'Sismo UBC-94 y Dinamico'!P23)</f>
        <v>239.6886039340402</v>
      </c>
      <c r="M14" s="52">
        <f t="shared" si="3"/>
        <v>-434.12731232654926</v>
      </c>
      <c r="N14" s="172">
        <f t="shared" si="1"/>
        <v>15</v>
      </c>
      <c r="O14" s="172">
        <f t="shared" si="2"/>
        <v>16</v>
      </c>
      <c r="P14" s="95">
        <f t="shared" si="4"/>
        <v>-414.17677631550623</v>
      </c>
      <c r="Q14" s="95">
        <f t="shared" si="5"/>
        <v>-19.9505360110428</v>
      </c>
      <c r="R14" s="95">
        <f t="shared" si="6"/>
        <v>-434.12731232654903</v>
      </c>
    </row>
    <row r="15" spans="2:18" s="151" customFormat="1" x14ac:dyDescent="0.3">
      <c r="B15" s="184" t="s">
        <v>24</v>
      </c>
      <c r="C15" s="185" t="s">
        <v>79</v>
      </c>
      <c r="D15" s="185" t="s">
        <v>218</v>
      </c>
      <c r="E15" s="185">
        <v>6.7220801362882603E-3</v>
      </c>
      <c r="F15" s="185">
        <v>6.2541815744383599E-3</v>
      </c>
      <c r="G15" s="186">
        <v>1.07481371563663</v>
      </c>
      <c r="H15" s="42">
        <f t="shared" si="0"/>
        <v>0.89567809636386075</v>
      </c>
      <c r="I15" s="47">
        <f>+'Centers of Mass and Rigidity'!L14-'Centers of Mass and Rigidity'!F14</f>
        <v>0.55821909224711952</v>
      </c>
      <c r="J15" s="47">
        <f>+'Centers of Mass and Rigidity'!M14-'Centers of Mass and Rigidity'!G14</f>
        <v>-1.9087549990520536E-2</v>
      </c>
      <c r="K15" s="172">
        <f>IF(+'Sismo UBC-94 y Dinamico'!O24=0,'Sismo UBC-94 y Dinamico'!M24,'Sismo UBC-94 y Dinamico'!O24)</f>
        <v>4103.815429565002</v>
      </c>
      <c r="L15" s="172">
        <f>IF(+'Sismo UBC-94 y Dinamico'!P24=0,'Sismo UBC-94 y Dinamico'!N24,'Sismo UBC-94 y Dinamico'!P24)</f>
        <v>176.72643963283963</v>
      </c>
      <c r="M15" s="52">
        <f t="shared" si="3"/>
        <v>-335.83752922195424</v>
      </c>
      <c r="N15" s="172">
        <f t="shared" si="1"/>
        <v>15</v>
      </c>
      <c r="O15" s="172">
        <f t="shared" si="2"/>
        <v>16</v>
      </c>
      <c r="P15" s="95">
        <f t="shared" si="4"/>
        <v>-321.08837833768621</v>
      </c>
      <c r="Q15" s="95">
        <f t="shared" si="5"/>
        <v>-14.749150884268062</v>
      </c>
      <c r="R15" s="95">
        <f t="shared" si="6"/>
        <v>-335.83752922195424</v>
      </c>
    </row>
    <row r="16" spans="2:18" s="151" customFormat="1" x14ac:dyDescent="0.3">
      <c r="B16" s="187" t="s">
        <v>22</v>
      </c>
      <c r="C16" s="188" t="s">
        <v>79</v>
      </c>
      <c r="D16" s="188" t="s">
        <v>218</v>
      </c>
      <c r="E16" s="188">
        <v>3.3080230670678402E-3</v>
      </c>
      <c r="F16" s="188">
        <v>3.0837610967489101E-3</v>
      </c>
      <c r="G16" s="189">
        <v>1.07272352276425</v>
      </c>
      <c r="H16" s="42">
        <f t="shared" si="0"/>
        <v>0.89393626897020895</v>
      </c>
      <c r="I16" s="47">
        <f>+'Centers of Mass and Rigidity'!L15-'Centers of Mass and Rigidity'!F15</f>
        <v>0.43505225550611115</v>
      </c>
      <c r="J16" s="47">
        <f>+'Centers of Mass and Rigidity'!M15-'Centers of Mass and Rigidity'!G15</f>
        <v>4.1604857474197843E-3</v>
      </c>
      <c r="K16" s="172">
        <f>IF(+'Sismo UBC-94 y Dinamico'!O25=0,'Sismo UBC-94 y Dinamico'!M25,'Sismo UBC-94 y Dinamico'!O25)</f>
        <v>2416.5418343555066</v>
      </c>
      <c r="L16" s="172">
        <f>IF(+'Sismo UBC-94 y Dinamico'!P25=0,'Sismo UBC-94 y Dinamico'!N25,'Sismo UBC-94 y Dinamico'!P25)</f>
        <v>95.412612672840169</v>
      </c>
      <c r="M16" s="52">
        <f t="shared" si="3"/>
        <v>-200.32643650589563</v>
      </c>
      <c r="N16" s="172">
        <f t="shared" si="1"/>
        <v>15</v>
      </c>
      <c r="O16" s="172">
        <f t="shared" si="2"/>
        <v>16</v>
      </c>
      <c r="P16" s="95">
        <f t="shared" si="4"/>
        <v>-192.23058235599024</v>
      </c>
      <c r="Q16" s="95">
        <f t="shared" si="5"/>
        <v>-8.0958541499053922</v>
      </c>
      <c r="R16" s="95">
        <f t="shared" si="6"/>
        <v>-200.32643650589563</v>
      </c>
    </row>
    <row r="17" spans="2:18" s="151" customFormat="1" x14ac:dyDescent="0.3">
      <c r="B17" s="53"/>
      <c r="C17" s="53"/>
      <c r="D17" s="53"/>
      <c r="E17" s="53"/>
      <c r="F17" s="53"/>
      <c r="G17" s="53"/>
      <c r="H17" s="42"/>
      <c r="I17" s="47"/>
      <c r="J17" s="47"/>
      <c r="K17" s="48"/>
      <c r="L17" s="48"/>
      <c r="M17" s="52"/>
      <c r="P17" s="95"/>
      <c r="Q17" s="95"/>
      <c r="R17" s="95"/>
    </row>
    <row r="18" spans="2:18" s="151" customFormat="1" x14ac:dyDescent="0.3">
      <c r="B18" s="53"/>
      <c r="C18" s="53"/>
      <c r="D18" s="53"/>
      <c r="E18" s="53"/>
      <c r="F18" s="53"/>
      <c r="G18" s="53"/>
      <c r="H18" s="42"/>
      <c r="I18" s="47"/>
      <c r="J18" s="47"/>
      <c r="K18" s="48"/>
      <c r="L18" s="48"/>
      <c r="M18" s="52"/>
      <c r="P18" s="95"/>
      <c r="Q18" s="95"/>
      <c r="R18" s="95"/>
    </row>
    <row r="19" spans="2:18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</row>
    <row r="20" spans="2:18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</row>
    <row r="21" spans="2:18" x14ac:dyDescent="0.3">
      <c r="B21" s="44" t="s">
        <v>83</v>
      </c>
      <c r="C21" s="43"/>
      <c r="D21" s="43"/>
      <c r="E21" s="43"/>
      <c r="F21" s="43"/>
      <c r="G21" s="43"/>
      <c r="H21" s="43"/>
      <c r="I21" s="42"/>
      <c r="J21" s="42"/>
      <c r="K21" s="42"/>
      <c r="L21" s="42"/>
      <c r="M21" s="42"/>
    </row>
    <row r="22" spans="2:18" x14ac:dyDescent="0.3">
      <c r="B22" s="45" t="s">
        <v>9</v>
      </c>
      <c r="C22" s="45" t="s">
        <v>46</v>
      </c>
      <c r="D22" s="45" t="s">
        <v>42</v>
      </c>
      <c r="E22" s="45" t="s">
        <v>84</v>
      </c>
      <c r="F22" s="45" t="s">
        <v>85</v>
      </c>
      <c r="G22" s="46" t="s">
        <v>86</v>
      </c>
      <c r="H22" s="46" t="s">
        <v>87</v>
      </c>
      <c r="I22" s="43"/>
      <c r="J22" s="43"/>
      <c r="K22" s="49" t="s">
        <v>88</v>
      </c>
      <c r="L22" s="49" t="s">
        <v>92</v>
      </c>
      <c r="M22" s="87" t="s">
        <v>91</v>
      </c>
      <c r="N22" s="87" t="s">
        <v>114</v>
      </c>
      <c r="O22" s="87" t="s">
        <v>115</v>
      </c>
    </row>
    <row r="23" spans="2:18" x14ac:dyDescent="0.3">
      <c r="B23" s="50"/>
      <c r="C23" s="50"/>
      <c r="D23" s="50"/>
      <c r="E23" s="173" t="s">
        <v>193</v>
      </c>
      <c r="F23" s="173" t="s">
        <v>7</v>
      </c>
      <c r="G23" s="51"/>
      <c r="H23" s="51"/>
      <c r="I23" s="45" t="s">
        <v>89</v>
      </c>
      <c r="J23" s="45" t="s">
        <v>90</v>
      </c>
      <c r="K23" s="50" t="s">
        <v>43</v>
      </c>
      <c r="L23" s="50" t="s">
        <v>43</v>
      </c>
      <c r="M23" s="50" t="s">
        <v>54</v>
      </c>
      <c r="N23" s="50" t="s">
        <v>7</v>
      </c>
      <c r="O23" s="50" t="s">
        <v>7</v>
      </c>
      <c r="P23" s="96" t="s">
        <v>116</v>
      </c>
      <c r="Q23" s="96" t="s">
        <v>117</v>
      </c>
      <c r="R23" s="96" t="s">
        <v>118</v>
      </c>
    </row>
    <row r="24" spans="2:18" x14ac:dyDescent="0.3">
      <c r="B24" s="184" t="s">
        <v>189</v>
      </c>
      <c r="C24" s="185" t="s">
        <v>80</v>
      </c>
      <c r="D24" s="185" t="s">
        <v>218</v>
      </c>
      <c r="E24" s="185">
        <v>2.53896948967803E-2</v>
      </c>
      <c r="F24" s="185">
        <v>2.4894655831537701E-2</v>
      </c>
      <c r="G24" s="186">
        <v>1.0198853548565801</v>
      </c>
      <c r="H24" s="42">
        <f>+E24/(1.2*F24)</f>
        <v>0.84990446238048478</v>
      </c>
      <c r="I24" s="47">
        <f t="shared" ref="I24:L28" si="7">+I6</f>
        <v>-2.839378473043201</v>
      </c>
      <c r="J24" s="47">
        <f t="shared" si="7"/>
        <v>0.40263228948562979</v>
      </c>
      <c r="K24" s="48">
        <f>+K6</f>
        <v>1035.5319789528401</v>
      </c>
      <c r="L24" s="48">
        <f>+L6</f>
        <v>55.1832191787421</v>
      </c>
      <c r="M24" s="52">
        <f>-0.05*N24*K24*(H24-1)-0.05*O24*L24*(H24-1)</f>
        <v>123.19775078751235</v>
      </c>
      <c r="N24" s="172">
        <f>+$N$3</f>
        <v>15</v>
      </c>
      <c r="O24" s="172">
        <f>+$O$3</f>
        <v>16</v>
      </c>
      <c r="P24" s="95">
        <f>+K24*(J24-0.05*N24*H24)-K24*(J24-0.05*N24)</f>
        <v>116.5715468273452</v>
      </c>
      <c r="Q24" s="95">
        <f>+L24*(I24-0.05*O24*H24)-L24*(I24-0.05*O24)</f>
        <v>6.6262039601670608</v>
      </c>
      <c r="R24" s="95">
        <f>+P24+Q24</f>
        <v>123.19775078751226</v>
      </c>
    </row>
    <row r="25" spans="2:18" x14ac:dyDescent="0.3">
      <c r="B25" s="184" t="s">
        <v>187</v>
      </c>
      <c r="C25" s="185" t="s">
        <v>80</v>
      </c>
      <c r="D25" s="185" t="s">
        <v>218</v>
      </c>
      <c r="E25" s="185">
        <v>2.5567246543683302E-2</v>
      </c>
      <c r="F25" s="185">
        <v>2.3794894713912499E-2</v>
      </c>
      <c r="G25" s="186">
        <v>1.07448454179268</v>
      </c>
      <c r="H25" s="42">
        <f>+E25/(1.2*F25)</f>
        <v>0.89540378482723215</v>
      </c>
      <c r="I25" s="47">
        <f t="shared" si="7"/>
        <v>0.36882216619441976</v>
      </c>
      <c r="J25" s="47">
        <f t="shared" si="7"/>
        <v>6.6786735730280711E-2</v>
      </c>
      <c r="K25" s="48">
        <f t="shared" si="7"/>
        <v>11717.21235704896</v>
      </c>
      <c r="L25" s="48">
        <f t="shared" si="7"/>
        <v>490.54777284176691</v>
      </c>
      <c r="M25" s="52">
        <f>-0.05*N25*K25*(H25-1)-0.05*O25*L25*(H25-1)</f>
        <v>960.22960101272395</v>
      </c>
      <c r="N25" s="172">
        <f t="shared" ref="N25:N34" si="8">+$N$3</f>
        <v>15</v>
      </c>
      <c r="O25" s="172">
        <f t="shared" ref="O25:O34" si="9">+$O$3</f>
        <v>16</v>
      </c>
      <c r="P25" s="95">
        <f>+K25*(J25-0.05*N25*H25)-K25*(J25-0.05*N25)</f>
        <v>919.18204869217971</v>
      </c>
      <c r="Q25" s="95">
        <f>+L25*(I25-0.05*O25*H25)-L25*(I25-0.05*O25)</f>
        <v>41.047552320543588</v>
      </c>
      <c r="R25" s="95">
        <f>+P25+Q25</f>
        <v>960.22960101272326</v>
      </c>
    </row>
    <row r="26" spans="2:18" x14ac:dyDescent="0.3">
      <c r="B26" s="184" t="s">
        <v>185</v>
      </c>
      <c r="C26" s="185" t="s">
        <v>80</v>
      </c>
      <c r="D26" s="185" t="s">
        <v>218</v>
      </c>
      <c r="E26" s="185">
        <v>2.4627200944827499E-2</v>
      </c>
      <c r="F26" s="185">
        <v>2.2933396184918999E-2</v>
      </c>
      <c r="G26" s="186">
        <v>1.07385756327806</v>
      </c>
      <c r="H26" s="42">
        <f>+E26/(1.2*F26)</f>
        <v>0.89488130273171762</v>
      </c>
      <c r="I26" s="47">
        <f t="shared" si="7"/>
        <v>0.5836533640628101</v>
      </c>
      <c r="J26" s="47">
        <f t="shared" si="7"/>
        <v>6.9462166076998955E-3</v>
      </c>
      <c r="K26" s="48">
        <f t="shared" si="7"/>
        <v>13148.422535879701</v>
      </c>
      <c r="L26" s="48">
        <f t="shared" si="7"/>
        <v>586.17588954791097</v>
      </c>
      <c r="M26" s="52">
        <f>-0.05*N26*K26*(H26-1)-0.05*O26*L26*(H26-1)</f>
        <v>1085.9032227819325</v>
      </c>
      <c r="N26" s="172">
        <f t="shared" si="8"/>
        <v>15</v>
      </c>
      <c r="O26" s="172">
        <f t="shared" si="9"/>
        <v>16</v>
      </c>
      <c r="P26" s="95">
        <f>+K26*(J26-0.05*N26*H26)-K26*(J26-0.05*N26)</f>
        <v>1036.6087860784501</v>
      </c>
      <c r="Q26" s="95">
        <f>+L26*(I26-0.05*O26*H26)-L26*(I26-0.05*O26)</f>
        <v>49.294436703482404</v>
      </c>
      <c r="R26" s="95">
        <f>+P26+Q26</f>
        <v>1085.9032227819325</v>
      </c>
    </row>
    <row r="27" spans="2:18" x14ac:dyDescent="0.3">
      <c r="B27" s="184" t="s">
        <v>183</v>
      </c>
      <c r="C27" s="185" t="s">
        <v>80</v>
      </c>
      <c r="D27" s="185" t="s">
        <v>218</v>
      </c>
      <c r="E27" s="185">
        <v>2.3151956178712501E-2</v>
      </c>
      <c r="F27" s="185">
        <v>2.15729112841745E-2</v>
      </c>
      <c r="G27" s="186">
        <v>1.0731957255901901</v>
      </c>
      <c r="H27" s="42">
        <f>+E27/(1.2*F27)</f>
        <v>0.89432977132516034</v>
      </c>
      <c r="I27" s="47">
        <f t="shared" si="7"/>
        <v>0.60833961065591069</v>
      </c>
      <c r="J27" s="47">
        <f t="shared" si="7"/>
        <v>-1.6196668903694089E-3</v>
      </c>
      <c r="K27" s="48">
        <f t="shared" si="7"/>
        <v>11240.235676660897</v>
      </c>
      <c r="L27" s="48">
        <f t="shared" si="7"/>
        <v>515.84840773322003</v>
      </c>
      <c r="M27" s="52">
        <f>-0.05*N27*K27*(H27-1)-0.05*O27*L27*(H27-1)</f>
        <v>934.42656109926304</v>
      </c>
      <c r="N27" s="172">
        <f t="shared" si="8"/>
        <v>15</v>
      </c>
      <c r="O27" s="172">
        <f t="shared" si="9"/>
        <v>16</v>
      </c>
      <c r="P27" s="95">
        <f>+K27*(J27-0.05*N27*H27)-K27*(J27-0.05*N27)</f>
        <v>890.8187057338846</v>
      </c>
      <c r="Q27" s="95">
        <f>+L27*(I27-0.05*O27*H27)-L27*(I27-0.05*O27)</f>
        <v>43.607855365377034</v>
      </c>
      <c r="R27" s="95">
        <f>+P27+Q27</f>
        <v>934.42656109926168</v>
      </c>
    </row>
    <row r="28" spans="2:18" x14ac:dyDescent="0.3">
      <c r="B28" s="184" t="s">
        <v>181</v>
      </c>
      <c r="C28" s="185" t="s">
        <v>80</v>
      </c>
      <c r="D28" s="185" t="s">
        <v>218</v>
      </c>
      <c r="E28" s="185">
        <v>2.1182635541847301E-2</v>
      </c>
      <c r="F28" s="185">
        <v>1.9749917550790801E-2</v>
      </c>
      <c r="G28" s="186">
        <v>1.0725429859325699</v>
      </c>
      <c r="H28" s="42">
        <f>+E28/(1.2*F28)</f>
        <v>0.89378582161047782</v>
      </c>
      <c r="I28" s="47">
        <f t="shared" si="7"/>
        <v>0.63169605512110927</v>
      </c>
      <c r="J28" s="47">
        <f t="shared" si="7"/>
        <v>-1.0811936636160091E-2</v>
      </c>
      <c r="K28" s="48">
        <f t="shared" si="7"/>
        <v>9605.215192661999</v>
      </c>
      <c r="L28" s="48">
        <f t="shared" si="7"/>
        <v>448.08256649114992</v>
      </c>
      <c r="M28" s="52">
        <f>-0.05*N28*K28*(H28-1)-0.05*O28*L28*(H28-1)</f>
        <v>803.23170727778347</v>
      </c>
      <c r="N28" s="172">
        <f t="shared" si="8"/>
        <v>15</v>
      </c>
      <c r="O28" s="172">
        <f t="shared" si="9"/>
        <v>16</v>
      </c>
      <c r="P28" s="95">
        <f>+K28*(J28-0.05*N28*H28)-K28*(J28-0.05*N28)</f>
        <v>765.15752995736239</v>
      </c>
      <c r="Q28" s="95">
        <f>+L28*(I28-0.05*O28*H28)-L28*(I28-0.05*O28)</f>
        <v>38.074177320420752</v>
      </c>
      <c r="R28" s="95">
        <f>+P28+Q28</f>
        <v>803.23170727778313</v>
      </c>
    </row>
    <row r="29" spans="2:18" s="151" customFormat="1" x14ac:dyDescent="0.3">
      <c r="B29" s="184" t="s">
        <v>179</v>
      </c>
      <c r="C29" s="185" t="s">
        <v>80</v>
      </c>
      <c r="D29" s="185" t="s">
        <v>218</v>
      </c>
      <c r="E29" s="185">
        <v>1.87940837964088E-2</v>
      </c>
      <c r="F29" s="185">
        <v>1.75343255481532E-2</v>
      </c>
      <c r="G29" s="186">
        <v>1.07184526401064</v>
      </c>
      <c r="H29" s="42">
        <f t="shared" ref="H29:H34" si="10">+E29/(1.2*F29)</f>
        <v>0.89320438667553448</v>
      </c>
      <c r="I29" s="47">
        <f t="shared" ref="I29:L34" si="11">+I11</f>
        <v>0.65430276446550906</v>
      </c>
      <c r="J29" s="47">
        <f t="shared" si="11"/>
        <v>-2.1160278344130035E-2</v>
      </c>
      <c r="K29" s="48">
        <f t="shared" si="11"/>
        <v>8285.9033632193023</v>
      </c>
      <c r="L29" s="48">
        <f t="shared" si="11"/>
        <v>389.10822253303013</v>
      </c>
      <c r="M29" s="52">
        <f t="shared" ref="M29:M34" si="12">-0.05*N29*K29*(H29-1)-0.05*O29*L29*(H29-1)</f>
        <v>696.91763973669879</v>
      </c>
      <c r="N29" s="172">
        <f t="shared" si="8"/>
        <v>15</v>
      </c>
      <c r="O29" s="172">
        <f t="shared" si="9"/>
        <v>16</v>
      </c>
      <c r="P29" s="95">
        <f t="shared" ref="P29:P34" si="13">+K29*(J29-0.05*N29*H29)-K29*(J29-0.05*N29)</f>
        <v>663.67359871669214</v>
      </c>
      <c r="Q29" s="95">
        <f t="shared" ref="Q29:Q34" si="14">+L29*(I29-0.05*O29*H29)-L29*(I29-0.05*O29)</f>
        <v>33.244041020006037</v>
      </c>
      <c r="R29" s="95">
        <f t="shared" ref="R29:R34" si="15">+P29+Q29</f>
        <v>696.91763973669822</v>
      </c>
    </row>
    <row r="30" spans="2:18" s="151" customFormat="1" x14ac:dyDescent="0.3">
      <c r="B30" s="184" t="s">
        <v>39</v>
      </c>
      <c r="C30" s="185" t="s">
        <v>80</v>
      </c>
      <c r="D30" s="185" t="s">
        <v>218</v>
      </c>
      <c r="E30" s="185">
        <v>1.6055915798080599E-2</v>
      </c>
      <c r="F30" s="185">
        <v>1.49906797394037E-2</v>
      </c>
      <c r="G30" s="186">
        <v>1.0710598903582</v>
      </c>
      <c r="H30" s="42">
        <f t="shared" si="10"/>
        <v>0.89254990863183237</v>
      </c>
      <c r="I30" s="47">
        <f t="shared" si="11"/>
        <v>0.67600096029431</v>
      </c>
      <c r="J30" s="47">
        <f t="shared" si="11"/>
        <v>-3.2857029811490079E-2</v>
      </c>
      <c r="K30" s="48">
        <f t="shared" si="11"/>
        <v>7191.3044052373007</v>
      </c>
      <c r="L30" s="48">
        <f t="shared" si="11"/>
        <v>337.51914634972991</v>
      </c>
      <c r="M30" s="52">
        <f t="shared" si="12"/>
        <v>608.54290704031825</v>
      </c>
      <c r="N30" s="172">
        <f t="shared" si="8"/>
        <v>15</v>
      </c>
      <c r="O30" s="172">
        <f t="shared" si="9"/>
        <v>16</v>
      </c>
      <c r="P30" s="95">
        <f t="shared" si="13"/>
        <v>579.52973654929065</v>
      </c>
      <c r="Q30" s="95">
        <f t="shared" si="14"/>
        <v>29.013170491027548</v>
      </c>
      <c r="R30" s="95">
        <f t="shared" si="15"/>
        <v>608.54290704031814</v>
      </c>
    </row>
    <row r="31" spans="2:18" s="151" customFormat="1" x14ac:dyDescent="0.3">
      <c r="B31" s="184" t="s">
        <v>26</v>
      </c>
      <c r="C31" s="185" t="s">
        <v>80</v>
      </c>
      <c r="D31" s="185" t="s">
        <v>218</v>
      </c>
      <c r="E31" s="185">
        <v>1.3088664837957099E-2</v>
      </c>
      <c r="F31" s="185">
        <v>1.2227975407769801E-2</v>
      </c>
      <c r="G31" s="186">
        <v>1.0703869120999701</v>
      </c>
      <c r="H31" s="42">
        <f t="shared" si="10"/>
        <v>0.89198909341664245</v>
      </c>
      <c r="I31" s="47">
        <f t="shared" si="11"/>
        <v>0.57054601975221964</v>
      </c>
      <c r="J31" s="47">
        <f t="shared" si="11"/>
        <v>-2.1065798861029883E-2</v>
      </c>
      <c r="K31" s="48">
        <f t="shared" si="11"/>
        <v>6272.6308020294018</v>
      </c>
      <c r="L31" s="48">
        <f t="shared" si="11"/>
        <v>290.95502349775006</v>
      </c>
      <c r="M31" s="52">
        <f t="shared" si="12"/>
        <v>533.27545738279593</v>
      </c>
      <c r="N31" s="172">
        <f t="shared" si="8"/>
        <v>15</v>
      </c>
      <c r="O31" s="172">
        <f t="shared" si="9"/>
        <v>16</v>
      </c>
      <c r="P31" s="95">
        <f t="shared" si="13"/>
        <v>508.13440469241687</v>
      </c>
      <c r="Q31" s="95">
        <f t="shared" si="14"/>
        <v>25.141052690379283</v>
      </c>
      <c r="R31" s="95">
        <f t="shared" si="15"/>
        <v>533.27545738279616</v>
      </c>
    </row>
    <row r="32" spans="2:18" s="151" customFormat="1" x14ac:dyDescent="0.3">
      <c r="B32" s="184" t="s">
        <v>25</v>
      </c>
      <c r="C32" s="185" t="s">
        <v>80</v>
      </c>
      <c r="D32" s="185" t="s">
        <v>218</v>
      </c>
      <c r="E32" s="185">
        <v>9.9552806190244397E-3</v>
      </c>
      <c r="F32" s="185">
        <v>9.3048926872342196E-3</v>
      </c>
      <c r="G32" s="186">
        <v>1.0698974135061801</v>
      </c>
      <c r="H32" s="42">
        <f t="shared" si="10"/>
        <v>0.8915811779218149</v>
      </c>
      <c r="I32" s="47">
        <f t="shared" si="11"/>
        <v>0.57414570042761959</v>
      </c>
      <c r="J32" s="47">
        <f t="shared" si="11"/>
        <v>-2.2928275896109795E-2</v>
      </c>
      <c r="K32" s="48">
        <f t="shared" si="11"/>
        <v>5307.7112042578956</v>
      </c>
      <c r="L32" s="48">
        <f t="shared" si="11"/>
        <v>239.6886039340402</v>
      </c>
      <c r="M32" s="52">
        <f t="shared" si="12"/>
        <v>452.38125240589437</v>
      </c>
      <c r="N32" s="172">
        <f t="shared" si="8"/>
        <v>15</v>
      </c>
      <c r="O32" s="172">
        <f t="shared" si="9"/>
        <v>16</v>
      </c>
      <c r="P32" s="95">
        <f t="shared" si="13"/>
        <v>431.59184752261945</v>
      </c>
      <c r="Q32" s="95">
        <f t="shared" si="14"/>
        <v>20.789404883274628</v>
      </c>
      <c r="R32" s="95">
        <f t="shared" si="15"/>
        <v>452.38125240589409</v>
      </c>
    </row>
    <row r="33" spans="2:18" s="151" customFormat="1" x14ac:dyDescent="0.3">
      <c r="B33" s="184" t="s">
        <v>24</v>
      </c>
      <c r="C33" s="185" t="s">
        <v>80</v>
      </c>
      <c r="D33" s="185" t="s">
        <v>218</v>
      </c>
      <c r="E33" s="185">
        <v>6.6618445178844802E-3</v>
      </c>
      <c r="F33" s="185">
        <v>6.2292973827550099E-3</v>
      </c>
      <c r="G33" s="186">
        <v>1.0694375478568301</v>
      </c>
      <c r="H33" s="42">
        <f t="shared" si="10"/>
        <v>0.89119795654735745</v>
      </c>
      <c r="I33" s="47">
        <f t="shared" si="11"/>
        <v>0.55821909224711952</v>
      </c>
      <c r="J33" s="47">
        <f t="shared" si="11"/>
        <v>-1.9087549990520536E-2</v>
      </c>
      <c r="K33" s="48">
        <f t="shared" si="11"/>
        <v>4103.815429565002</v>
      </c>
      <c r="L33" s="48">
        <f t="shared" si="11"/>
        <v>176.72643963283963</v>
      </c>
      <c r="M33" s="52">
        <f t="shared" si="12"/>
        <v>350.26018672819765</v>
      </c>
      <c r="N33" s="172">
        <f t="shared" si="8"/>
        <v>15</v>
      </c>
      <c r="O33" s="172">
        <f t="shared" si="9"/>
        <v>16</v>
      </c>
      <c r="P33" s="95">
        <f t="shared" si="13"/>
        <v>334.87762851686693</v>
      </c>
      <c r="Q33" s="95">
        <f t="shared" si="14"/>
        <v>15.382558211330419</v>
      </c>
      <c r="R33" s="95">
        <f t="shared" si="15"/>
        <v>350.26018672819737</v>
      </c>
    </row>
    <row r="34" spans="2:18" s="151" customFormat="1" x14ac:dyDescent="0.3">
      <c r="B34" s="187" t="s">
        <v>22</v>
      </c>
      <c r="C34" s="188" t="s">
        <v>80</v>
      </c>
      <c r="D34" s="188" t="s">
        <v>218</v>
      </c>
      <c r="E34" s="188">
        <v>3.2845886578165302E-3</v>
      </c>
      <c r="F34" s="188">
        <v>3.0721735493259802E-3</v>
      </c>
      <c r="G34" s="189">
        <v>1.0691416370462401</v>
      </c>
      <c r="H34" s="42">
        <f t="shared" si="10"/>
        <v>0.89095136420519849</v>
      </c>
      <c r="I34" s="47">
        <f t="shared" si="11"/>
        <v>0.43505225550611115</v>
      </c>
      <c r="J34" s="47">
        <f t="shared" si="11"/>
        <v>4.1604857474197843E-3</v>
      </c>
      <c r="K34" s="48">
        <f t="shared" si="11"/>
        <v>2416.5418343555066</v>
      </c>
      <c r="L34" s="48">
        <f t="shared" si="11"/>
        <v>95.412612672840169</v>
      </c>
      <c r="M34" s="52">
        <f t="shared" si="12"/>
        <v>205.96413498282422</v>
      </c>
      <c r="N34" s="172">
        <f t="shared" si="8"/>
        <v>15</v>
      </c>
      <c r="O34" s="172">
        <f t="shared" si="9"/>
        <v>16</v>
      </c>
      <c r="P34" s="95">
        <f t="shared" si="13"/>
        <v>197.64044278315146</v>
      </c>
      <c r="Q34" s="95">
        <f t="shared" si="14"/>
        <v>8.3236921996728057</v>
      </c>
      <c r="R34" s="95">
        <f t="shared" si="15"/>
        <v>205.96413498282425</v>
      </c>
    </row>
    <row r="35" spans="2:18" s="151" customFormat="1" x14ac:dyDescent="0.3">
      <c r="B35" s="53"/>
      <c r="C35" s="53"/>
      <c r="D35" s="53"/>
      <c r="E35" s="53"/>
      <c r="F35" s="53"/>
      <c r="G35" s="53"/>
      <c r="H35" s="42"/>
      <c r="I35" s="47"/>
      <c r="J35" s="47"/>
      <c r="K35" s="48"/>
      <c r="L35" s="48"/>
      <c r="M35" s="52"/>
      <c r="P35" s="95"/>
      <c r="Q35" s="95"/>
      <c r="R35" s="95"/>
    </row>
    <row r="36" spans="2:18" s="151" customFormat="1" x14ac:dyDescent="0.3">
      <c r="B36" s="53"/>
      <c r="C36" s="53"/>
      <c r="D36" s="53"/>
      <c r="E36" s="53"/>
      <c r="F36" s="53"/>
      <c r="G36" s="53"/>
      <c r="H36" s="42"/>
      <c r="I36" s="47"/>
      <c r="J36" s="47"/>
      <c r="K36" s="48"/>
      <c r="L36" s="48"/>
      <c r="M36" s="52"/>
      <c r="P36" s="95"/>
      <c r="Q36" s="95"/>
      <c r="R36" s="95"/>
    </row>
    <row r="37" spans="2:18" x14ac:dyDescent="0.3"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</row>
    <row r="38" spans="2:18" x14ac:dyDescent="0.3"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</row>
    <row r="39" spans="2:18" x14ac:dyDescent="0.3">
      <c r="B39" s="44" t="s">
        <v>83</v>
      </c>
      <c r="C39" s="43"/>
      <c r="D39" s="43"/>
      <c r="E39" s="43"/>
      <c r="F39" s="43"/>
      <c r="G39" s="43"/>
      <c r="H39" s="43"/>
      <c r="I39" s="42"/>
      <c r="J39" s="42"/>
      <c r="K39" s="42"/>
      <c r="L39" s="42"/>
      <c r="M39" s="42"/>
    </row>
    <row r="40" spans="2:18" x14ac:dyDescent="0.3">
      <c r="B40" s="45" t="s">
        <v>9</v>
      </c>
      <c r="C40" s="45" t="s">
        <v>46</v>
      </c>
      <c r="D40" s="45" t="s">
        <v>42</v>
      </c>
      <c r="E40" s="45" t="s">
        <v>84</v>
      </c>
      <c r="F40" s="45" t="s">
        <v>85</v>
      </c>
      <c r="G40" s="46" t="s">
        <v>86</v>
      </c>
      <c r="H40" s="46" t="s">
        <v>87</v>
      </c>
      <c r="I40" s="43"/>
      <c r="J40" s="43"/>
      <c r="K40" s="49" t="s">
        <v>88</v>
      </c>
      <c r="L40" s="49" t="s">
        <v>92</v>
      </c>
      <c r="M40" s="87" t="s">
        <v>91</v>
      </c>
      <c r="N40" s="87" t="s">
        <v>114</v>
      </c>
      <c r="O40" s="87" t="s">
        <v>115</v>
      </c>
    </row>
    <row r="41" spans="2:18" x14ac:dyDescent="0.3">
      <c r="B41" s="50"/>
      <c r="C41" s="50"/>
      <c r="D41" s="50"/>
      <c r="E41" s="173" t="s">
        <v>193</v>
      </c>
      <c r="F41" s="173" t="s">
        <v>7</v>
      </c>
      <c r="G41" s="51"/>
      <c r="H41" s="51"/>
      <c r="I41" s="45" t="s">
        <v>89</v>
      </c>
      <c r="J41" s="45" t="s">
        <v>90</v>
      </c>
      <c r="K41" s="50" t="s">
        <v>43</v>
      </c>
      <c r="L41" s="50" t="s">
        <v>43</v>
      </c>
      <c r="M41" s="50" t="s">
        <v>54</v>
      </c>
      <c r="N41" s="50" t="s">
        <v>7</v>
      </c>
      <c r="O41" s="50" t="s">
        <v>7</v>
      </c>
      <c r="P41" s="96" t="s">
        <v>116</v>
      </c>
      <c r="Q41" s="96" t="s">
        <v>117</v>
      </c>
      <c r="R41" s="96" t="s">
        <v>118</v>
      </c>
    </row>
    <row r="42" spans="2:18" x14ac:dyDescent="0.3">
      <c r="B42" s="184" t="s">
        <v>189</v>
      </c>
      <c r="C42" s="185" t="s">
        <v>81</v>
      </c>
      <c r="D42" s="185" t="s">
        <v>221</v>
      </c>
      <c r="E42" s="185">
        <v>3.11993682007203E-2</v>
      </c>
      <c r="F42" s="185">
        <v>3.0579402487312699E-2</v>
      </c>
      <c r="G42" s="186">
        <v>1.0202739642694101</v>
      </c>
      <c r="H42" s="42">
        <f>+E42/(1.2*F42)</f>
        <v>0.8502283035578394</v>
      </c>
      <c r="I42" s="181">
        <f>+I24</f>
        <v>-2.839378473043201</v>
      </c>
      <c r="J42" s="181">
        <f>+J24</f>
        <v>0.40263228948562979</v>
      </c>
      <c r="K42" s="48">
        <f>IF(+'Sismo UBC-94 y Dinamico'!O34=0,'Sismo UBC-94 y Dinamico'!M34,'Sismo UBC-94 y Dinamico'!O34)</f>
        <v>91.414510168314791</v>
      </c>
      <c r="L42" s="48">
        <f>IF(+'Sismo UBC-94 y Dinamico'!P34=0,'Sismo UBC-94 y Dinamico'!N34,'Sismo UBC-94 y Dinamico'!P34)</f>
        <v>838.60134113481979</v>
      </c>
      <c r="M42" s="52">
        <f>0.05*N42*K42*(H42-1)+0.05*O42*L42*(H42-1)</f>
        <v>-110.74747610084964</v>
      </c>
      <c r="N42" s="172">
        <f>+$N$3</f>
        <v>15</v>
      </c>
      <c r="O42" s="172">
        <f>+$O$3</f>
        <v>16</v>
      </c>
      <c r="P42" s="95">
        <f>+K42*(J42+0.05*N42*H42)-K42*(J42+0.05*N42)</f>
        <v>-10.268479700503221</v>
      </c>
      <c r="Q42" s="95">
        <f>+L42*(I42+0.05*O42*H42)-L42*(I42+0.05*O42)</f>
        <v>-100.47899640034598</v>
      </c>
      <c r="R42" s="95">
        <f>+P42+Q42</f>
        <v>-110.7474761008492</v>
      </c>
    </row>
    <row r="43" spans="2:18" x14ac:dyDescent="0.3">
      <c r="B43" s="184" t="s">
        <v>187</v>
      </c>
      <c r="C43" s="185" t="s">
        <v>81</v>
      </c>
      <c r="D43" s="185" t="s">
        <v>221</v>
      </c>
      <c r="E43" s="185">
        <v>3.0160607047918099E-2</v>
      </c>
      <c r="F43" s="185">
        <v>2.8080102847465201E-2</v>
      </c>
      <c r="G43" s="186">
        <v>1.07409175855781</v>
      </c>
      <c r="H43" s="42">
        <f t="shared" ref="H43:H52" si="16">+E43/(1.2*F43)</f>
        <v>0.89507646546484265</v>
      </c>
      <c r="I43" s="181">
        <f t="shared" ref="I43:J43" si="17">+I25</f>
        <v>0.36882216619441976</v>
      </c>
      <c r="J43" s="181">
        <f t="shared" si="17"/>
        <v>6.6786735730280711E-2</v>
      </c>
      <c r="K43" s="48">
        <f>IF(+'Sismo UBC-94 y Dinamico'!O35=0,'Sismo UBC-94 y Dinamico'!M35,'Sismo UBC-94 y Dinamico'!O35)</f>
        <v>521.83732541149334</v>
      </c>
      <c r="L43" s="48">
        <f>IF(+'Sismo UBC-94 y Dinamico'!P35=0,'Sismo UBC-94 y Dinamico'!N35,'Sismo UBC-94 y Dinamico'!P35)</f>
        <v>11977.93316508474</v>
      </c>
      <c r="M43" s="52">
        <f>0.05*N43*K43*(H43-1)+0.05*O43*L43*(H43-1)</f>
        <v>-1046.4784297611704</v>
      </c>
      <c r="N43" s="172">
        <f t="shared" ref="N43:N52" si="18">+$N$3</f>
        <v>15</v>
      </c>
      <c r="O43" s="172">
        <f t="shared" ref="O43:O52" si="19">+$O$3</f>
        <v>16</v>
      </c>
      <c r="P43" s="95">
        <f>+K43*(J43+0.05*N43*H43)-K43*(J43+0.05*N43)</f>
        <v>-41.064762475910243</v>
      </c>
      <c r="Q43" s="95">
        <f>+L43*(I43+0.05*O43*H43)-L43*(I43+0.05*O43)</f>
        <v>-1005.4136672852619</v>
      </c>
      <c r="R43" s="95">
        <f>+P43+Q43</f>
        <v>-1046.4784297611723</v>
      </c>
    </row>
    <row r="44" spans="2:18" x14ac:dyDescent="0.3">
      <c r="B44" s="184" t="s">
        <v>185</v>
      </c>
      <c r="C44" s="185" t="s">
        <v>81</v>
      </c>
      <c r="D44" s="185" t="s">
        <v>221</v>
      </c>
      <c r="E44" s="185">
        <v>2.8764631265524601E-2</v>
      </c>
      <c r="F44" s="185">
        <v>2.68400918485187E-2</v>
      </c>
      <c r="G44" s="186">
        <v>1.0717039057790001</v>
      </c>
      <c r="H44" s="42">
        <f t="shared" si="16"/>
        <v>0.89308658814916708</v>
      </c>
      <c r="I44" s="181">
        <f t="shared" ref="I44:J44" si="20">+I26</f>
        <v>0.5836533640628101</v>
      </c>
      <c r="J44" s="181">
        <f t="shared" si="20"/>
        <v>6.9462166076998955E-3</v>
      </c>
      <c r="K44" s="48">
        <f>IF(+'Sismo UBC-94 y Dinamico'!O36=0,'Sismo UBC-94 y Dinamico'!M36,'Sismo UBC-94 y Dinamico'!O36)</f>
        <v>684.04714141887689</v>
      </c>
      <c r="L44" s="48">
        <f>IF(+'Sismo UBC-94 y Dinamico'!P36=0,'Sismo UBC-94 y Dinamico'!N36,'Sismo UBC-94 y Dinamico'!P36)</f>
        <v>13269.832117271528</v>
      </c>
      <c r="M44" s="52">
        <f>0.05*N44*K44*(H44-1)+0.05*O44*L44*(H44-1)</f>
        <v>-1189.8287813931349</v>
      </c>
      <c r="N44" s="172">
        <f t="shared" si="18"/>
        <v>15</v>
      </c>
      <c r="O44" s="172">
        <f t="shared" si="19"/>
        <v>16</v>
      </c>
      <c r="P44" s="95">
        <f>+K44*(J44+0.05*N44*H44)-K44*(J44+0.05*N44)</f>
        <v>-54.850360316926015</v>
      </c>
      <c r="Q44" s="95">
        <f>+L44*(I44+0.05*O44*H44)-L44*(I44+0.05*O44)</f>
        <v>-1134.9784210762082</v>
      </c>
      <c r="R44" s="95">
        <f>+P44+Q44</f>
        <v>-1189.8287813931342</v>
      </c>
    </row>
    <row r="45" spans="2:18" x14ac:dyDescent="0.3">
      <c r="B45" s="184" t="s">
        <v>183</v>
      </c>
      <c r="C45" s="185" t="s">
        <v>81</v>
      </c>
      <c r="D45" s="185" t="s">
        <v>221</v>
      </c>
      <c r="E45" s="185">
        <v>2.6793241884824098E-2</v>
      </c>
      <c r="F45" s="185">
        <v>2.50553793601783E-2</v>
      </c>
      <c r="G45" s="186">
        <v>1.0693608545958699</v>
      </c>
      <c r="H45" s="42">
        <f t="shared" si="16"/>
        <v>0.89113404549656194</v>
      </c>
      <c r="I45" s="181">
        <f t="shared" ref="I45:J45" si="21">+I27</f>
        <v>0.60833961065591069</v>
      </c>
      <c r="J45" s="181">
        <f t="shared" si="21"/>
        <v>-1.6196668903694089E-3</v>
      </c>
      <c r="K45" s="48">
        <f>IF(+'Sismo UBC-94 y Dinamico'!O37=0,'Sismo UBC-94 y Dinamico'!M37,'Sismo UBC-94 y Dinamico'!O37)</f>
        <v>604.09472905643179</v>
      </c>
      <c r="L45" s="48">
        <f>IF(+'Sismo UBC-94 y Dinamico'!P37=0,'Sismo UBC-94 y Dinamico'!N37,'Sismo UBC-94 y Dinamico'!P37)</f>
        <v>10995.894830735111</v>
      </c>
      <c r="M45" s="52">
        <f>0.05*N45*K45*(H45-1)+0.05*O45*L45*(H45-1)</f>
        <v>-1006.9868810608369</v>
      </c>
      <c r="N45" s="172">
        <f t="shared" si="18"/>
        <v>15</v>
      </c>
      <c r="O45" s="172">
        <f t="shared" si="19"/>
        <v>16</v>
      </c>
      <c r="P45" s="95">
        <f>+K45*(J45+0.05*N45*H45)-K45*(J45+0.05*N45)</f>
        <v>-49.324011966918192</v>
      </c>
      <c r="Q45" s="95">
        <f>+L45*(I45+0.05*O45*H45)-L45*(I45+0.05*O45)</f>
        <v>-957.66286909391783</v>
      </c>
      <c r="R45" s="95">
        <f>+P45+Q45</f>
        <v>-1006.986881060836</v>
      </c>
    </row>
    <row r="46" spans="2:18" x14ac:dyDescent="0.3">
      <c r="B46" s="184" t="s">
        <v>181</v>
      </c>
      <c r="C46" s="185" t="s">
        <v>81</v>
      </c>
      <c r="D46" s="185" t="s">
        <v>221</v>
      </c>
      <c r="E46" s="185">
        <v>2.4315720517282799E-2</v>
      </c>
      <c r="F46" s="185">
        <v>2.2784450736789901E-2</v>
      </c>
      <c r="G46" s="186">
        <v>1.06720678932235</v>
      </c>
      <c r="H46" s="42">
        <f t="shared" si="16"/>
        <v>0.88933899110195824</v>
      </c>
      <c r="I46" s="181">
        <f t="shared" ref="I46:J46" si="22">+I28</f>
        <v>0.63169605512110927</v>
      </c>
      <c r="J46" s="181">
        <f t="shared" si="22"/>
        <v>-1.0811936636160091E-2</v>
      </c>
      <c r="K46" s="48">
        <f>IF(+'Sismo UBC-94 y Dinamico'!O38=0,'Sismo UBC-94 y Dinamico'!M38,'Sismo UBC-94 y Dinamico'!O38)</f>
        <v>525.21198141428738</v>
      </c>
      <c r="L46" s="48">
        <f>IF(+'Sismo UBC-94 y Dinamico'!P38=0,'Sismo UBC-94 y Dinamico'!N38,'Sismo UBC-94 y Dinamico'!P38)</f>
        <v>9141.0990385159057</v>
      </c>
      <c r="M46" s="52">
        <f>0.05*N46*K46*(H46-1)+0.05*O46*L46*(H46-1)</f>
        <v>-852.84095944275521</v>
      </c>
      <c r="N46" s="172">
        <f t="shared" si="18"/>
        <v>15</v>
      </c>
      <c r="O46" s="172">
        <f t="shared" si="19"/>
        <v>16</v>
      </c>
      <c r="P46" s="95">
        <f>+K46*(J46+0.05*N46*H46)-K46*(J46+0.05*N46)</f>
        <v>-43.59036581148348</v>
      </c>
      <c r="Q46" s="95">
        <f>+L46*(I46+0.05*O46*H46)-L46*(I46+0.05*O46)</f>
        <v>-809.25059363127184</v>
      </c>
      <c r="R46" s="95">
        <f>+P46+Q46</f>
        <v>-852.84095944275532</v>
      </c>
    </row>
    <row r="47" spans="2:18" s="151" customFormat="1" x14ac:dyDescent="0.3">
      <c r="B47" s="184" t="s">
        <v>179</v>
      </c>
      <c r="C47" s="185" t="s">
        <v>81</v>
      </c>
      <c r="D47" s="185" t="s">
        <v>221</v>
      </c>
      <c r="E47" s="185">
        <v>2.1426010166564001E-2</v>
      </c>
      <c r="F47" s="185">
        <v>2.0115962360221701E-2</v>
      </c>
      <c r="G47" s="186">
        <v>1.06512478910444</v>
      </c>
      <c r="H47" s="42">
        <f t="shared" si="16"/>
        <v>0.88760399092036701</v>
      </c>
      <c r="I47" s="181">
        <f t="shared" ref="I47:J47" si="23">+I29</f>
        <v>0.65430276446550906</v>
      </c>
      <c r="J47" s="181">
        <f t="shared" si="23"/>
        <v>-2.1160278344130035E-2</v>
      </c>
      <c r="K47" s="48">
        <f>IF(+'Sismo UBC-94 y Dinamico'!O39=0,'Sismo UBC-94 y Dinamico'!M39,'Sismo UBC-94 y Dinamico'!O39)</f>
        <v>455.90261005556096</v>
      </c>
      <c r="L47" s="48">
        <f>IF(+'Sismo UBC-94 y Dinamico'!P39=0,'Sismo UBC-94 y Dinamico'!N39,'Sismo UBC-94 y Dinamico'!P39)</f>
        <v>7768.2715803003994</v>
      </c>
      <c r="M47" s="52">
        <f t="shared" ref="M47:M52" si="24">0.05*N47*K47*(H47-1)+0.05*O47*L47*(H47-1)</f>
        <v>-736.9294038824238</v>
      </c>
      <c r="N47" s="172">
        <f t="shared" si="18"/>
        <v>15</v>
      </c>
      <c r="O47" s="172">
        <f t="shared" si="19"/>
        <v>16</v>
      </c>
      <c r="P47" s="95">
        <f t="shared" ref="P47:P52" si="25">+K47*(J47+0.05*N47*H47)-K47*(J47+0.05*N47)</f>
        <v>-38.431225424424895</v>
      </c>
      <c r="Q47" s="95">
        <f t="shared" ref="Q47:Q52" si="26">+L47*(I47+0.05*O47*H47)-L47*(I47+0.05*O47)</f>
        <v>-698.49817845799771</v>
      </c>
      <c r="R47" s="95">
        <f t="shared" ref="R47:R52" si="27">+P47+Q47</f>
        <v>-736.92940388242255</v>
      </c>
    </row>
    <row r="48" spans="2:18" s="151" customFormat="1" x14ac:dyDescent="0.3">
      <c r="B48" s="184" t="s">
        <v>39</v>
      </c>
      <c r="C48" s="185" t="s">
        <v>81</v>
      </c>
      <c r="D48" s="185" t="s">
        <v>221</v>
      </c>
      <c r="E48" s="185">
        <v>1.8205721056274299E-2</v>
      </c>
      <c r="F48" s="185">
        <v>1.7126320849916402E-2</v>
      </c>
      <c r="G48" s="186">
        <v>1.06302580780875</v>
      </c>
      <c r="H48" s="42">
        <f t="shared" si="16"/>
        <v>0.88585483984062885</v>
      </c>
      <c r="I48" s="181">
        <f t="shared" ref="I48:J48" si="28">+I30</f>
        <v>0.67600096029431</v>
      </c>
      <c r="J48" s="181">
        <f t="shared" si="28"/>
        <v>-3.2857029811490079E-2</v>
      </c>
      <c r="K48" s="48">
        <f>IF(+'Sismo UBC-94 y Dinamico'!O40=0,'Sismo UBC-94 y Dinamico'!M40,'Sismo UBC-94 y Dinamico'!O40)</f>
        <v>394.12552586390632</v>
      </c>
      <c r="L48" s="48">
        <f>IF(+'Sismo UBC-94 y Dinamico'!P40=0,'Sismo UBC-94 y Dinamico'!N40,'Sismo UBC-94 y Dinamico'!P40)</f>
        <v>6776.1706481164856</v>
      </c>
      <c r="M48" s="52">
        <f t="shared" si="24"/>
        <v>-652.51430807166287</v>
      </c>
      <c r="N48" s="172">
        <f t="shared" si="18"/>
        <v>15</v>
      </c>
      <c r="O48" s="172">
        <f t="shared" si="19"/>
        <v>16</v>
      </c>
      <c r="P48" s="95">
        <f t="shared" si="25"/>
        <v>-33.740640954473974</v>
      </c>
      <c r="Q48" s="95">
        <f t="shared" si="26"/>
        <v>-618.77366711718787</v>
      </c>
      <c r="R48" s="95">
        <f t="shared" si="27"/>
        <v>-652.51430807166184</v>
      </c>
    </row>
    <row r="49" spans="2:18" s="151" customFormat="1" x14ac:dyDescent="0.3">
      <c r="B49" s="184" t="s">
        <v>26</v>
      </c>
      <c r="C49" s="185" t="s">
        <v>81</v>
      </c>
      <c r="D49" s="185" t="s">
        <v>221</v>
      </c>
      <c r="E49" s="185">
        <v>1.4738149174598199E-2</v>
      </c>
      <c r="F49" s="185">
        <v>1.38848323174195E-2</v>
      </c>
      <c r="G49" s="186">
        <v>1.0614567635871399</v>
      </c>
      <c r="H49" s="42">
        <f t="shared" si="16"/>
        <v>0.88454730298928141</v>
      </c>
      <c r="I49" s="181">
        <f t="shared" ref="I49:J49" si="29">+I31</f>
        <v>0.57054601975221964</v>
      </c>
      <c r="J49" s="181">
        <f t="shared" si="29"/>
        <v>-2.1065798861029883E-2</v>
      </c>
      <c r="K49" s="48">
        <f>IF(+'Sismo UBC-94 y Dinamico'!O41=0,'Sismo UBC-94 y Dinamico'!M41,'Sismo UBC-94 y Dinamico'!O41)</f>
        <v>336.81772074600121</v>
      </c>
      <c r="L49" s="48">
        <f>IF(+'Sismo UBC-94 y Dinamico'!P41=0,'Sismo UBC-94 y Dinamico'!N41,'Sismo UBC-94 y Dinamico'!P41)</f>
        <v>6020.7956468781977</v>
      </c>
      <c r="M49" s="52">
        <f t="shared" si="24"/>
        <v>-585.25856216183229</v>
      </c>
      <c r="N49" s="172">
        <f t="shared" si="18"/>
        <v>15</v>
      </c>
      <c r="O49" s="172">
        <f t="shared" si="19"/>
        <v>16</v>
      </c>
      <c r="P49" s="95">
        <f t="shared" si="25"/>
        <v>-29.164885695846664</v>
      </c>
      <c r="Q49" s="95">
        <f t="shared" si="26"/>
        <v>-556.09367646598457</v>
      </c>
      <c r="R49" s="95">
        <f t="shared" si="27"/>
        <v>-585.25856216183126</v>
      </c>
    </row>
    <row r="50" spans="2:18" s="151" customFormat="1" x14ac:dyDescent="0.3">
      <c r="B50" s="184" t="s">
        <v>25</v>
      </c>
      <c r="C50" s="185" t="s">
        <v>81</v>
      </c>
      <c r="D50" s="185" t="s">
        <v>221</v>
      </c>
      <c r="E50" s="185">
        <v>1.10854859371183E-2</v>
      </c>
      <c r="F50" s="185">
        <v>1.04507728721076E-2</v>
      </c>
      <c r="G50" s="186">
        <v>1.06073360054592</v>
      </c>
      <c r="H50" s="42">
        <f t="shared" si="16"/>
        <v>0.88394466712159847</v>
      </c>
      <c r="I50" s="181">
        <f t="shared" ref="I50:J50" si="30">+I32</f>
        <v>0.57414570042761959</v>
      </c>
      <c r="J50" s="181">
        <f t="shared" si="30"/>
        <v>-2.2928275896109795E-2</v>
      </c>
      <c r="K50" s="48">
        <f>IF(+'Sismo UBC-94 y Dinamico'!O42=0,'Sismo UBC-94 y Dinamico'!M42,'Sismo UBC-94 y Dinamico'!O42)</f>
        <v>275.19785959917692</v>
      </c>
      <c r="L50" s="48">
        <f>IF(+'Sismo UBC-94 y Dinamico'!P42=0,'Sismo UBC-94 y Dinamico'!N42,'Sismo UBC-94 y Dinamico'!P42)</f>
        <v>5227.9753196432666</v>
      </c>
      <c r="M50" s="52">
        <f t="shared" si="24"/>
        <v>-509.34116720341819</v>
      </c>
      <c r="N50" s="172">
        <f t="shared" si="18"/>
        <v>15</v>
      </c>
      <c r="O50" s="172">
        <f t="shared" si="19"/>
        <v>16</v>
      </c>
      <c r="P50" s="95">
        <f t="shared" si="25"/>
        <v>-23.95363440240456</v>
      </c>
      <c r="Q50" s="95">
        <f t="shared" si="26"/>
        <v>-485.38753280101446</v>
      </c>
      <c r="R50" s="95">
        <f t="shared" si="27"/>
        <v>-509.34116720341899</v>
      </c>
    </row>
    <row r="51" spans="2:18" s="151" customFormat="1" x14ac:dyDescent="0.3">
      <c r="B51" s="184" t="s">
        <v>24</v>
      </c>
      <c r="C51" s="185" t="s">
        <v>81</v>
      </c>
      <c r="D51" s="185" t="s">
        <v>221</v>
      </c>
      <c r="E51" s="185">
        <v>7.3059861391689502E-3</v>
      </c>
      <c r="F51" s="185">
        <v>6.8866677373232797E-3</v>
      </c>
      <c r="G51" s="186">
        <v>1.06088843223452</v>
      </c>
      <c r="H51" s="42">
        <f t="shared" si="16"/>
        <v>0.88407369352876763</v>
      </c>
      <c r="I51" s="181">
        <f t="shared" ref="I51:J51" si="31">+I33</f>
        <v>0.55821909224711952</v>
      </c>
      <c r="J51" s="181">
        <f t="shared" si="31"/>
        <v>-1.9087549990520536E-2</v>
      </c>
      <c r="K51" s="48">
        <f>IF(+'Sismo UBC-94 y Dinamico'!O43=0,'Sismo UBC-94 y Dinamico'!M43,'Sismo UBC-94 y Dinamico'!O43)</f>
        <v>201.44989018718792</v>
      </c>
      <c r="L51" s="48">
        <f>IF(+'Sismo UBC-94 y Dinamico'!P43=0,'Sismo UBC-94 y Dinamico'!N43,'Sismo UBC-94 y Dinamico'!P43)</f>
        <v>4157.5305479980998</v>
      </c>
      <c r="M51" s="52">
        <f t="shared" si="24"/>
        <v>-403.08873465791771</v>
      </c>
      <c r="N51" s="172">
        <f t="shared" si="18"/>
        <v>15</v>
      </c>
      <c r="O51" s="172">
        <f t="shared" si="19"/>
        <v>16</v>
      </c>
      <c r="P51" s="95">
        <f t="shared" si="25"/>
        <v>-17.515006281327032</v>
      </c>
      <c r="Q51" s="95">
        <f t="shared" si="26"/>
        <v>-385.57372837659022</v>
      </c>
      <c r="R51" s="95">
        <f t="shared" si="27"/>
        <v>-403.08873465791726</v>
      </c>
    </row>
    <row r="52" spans="2:18" s="151" customFormat="1" x14ac:dyDescent="0.3">
      <c r="B52" s="187" t="s">
        <v>22</v>
      </c>
      <c r="C52" s="188" t="s">
        <v>81</v>
      </c>
      <c r="D52" s="188" t="s">
        <v>221</v>
      </c>
      <c r="E52" s="188">
        <v>3.5055692966893099E-3</v>
      </c>
      <c r="F52" s="188">
        <v>3.29729405140695E-3</v>
      </c>
      <c r="G52" s="189">
        <v>1.0631655054220901</v>
      </c>
      <c r="H52" s="42">
        <f t="shared" si="16"/>
        <v>0.88597125451840564</v>
      </c>
      <c r="I52" s="181">
        <f t="shared" ref="I52:J52" si="32">+I34</f>
        <v>0.43505225550611115</v>
      </c>
      <c r="J52" s="181">
        <f t="shared" si="32"/>
        <v>4.1604857474197843E-3</v>
      </c>
      <c r="K52" s="48">
        <f>IF(+'Sismo UBC-94 y Dinamico'!O44=0,'Sismo UBC-94 y Dinamico'!M44,'Sismo UBC-94 y Dinamico'!O44)</f>
        <v>108.50252818811678</v>
      </c>
      <c r="L52" s="48">
        <f>IF(+'Sismo UBC-94 y Dinamico'!P44=0,'Sismo UBC-94 y Dinamico'!N44,'Sismo UBC-94 y Dinamico'!P44)</f>
        <v>2492.5282818313285</v>
      </c>
      <c r="M52" s="52">
        <f t="shared" si="24"/>
        <v>-236.65520382185045</v>
      </c>
      <c r="N52" s="172">
        <f t="shared" si="18"/>
        <v>15</v>
      </c>
      <c r="O52" s="172">
        <f t="shared" si="19"/>
        <v>16</v>
      </c>
      <c r="P52" s="95">
        <f t="shared" si="25"/>
        <v>-9.2793053781542199</v>
      </c>
      <c r="Q52" s="95">
        <f t="shared" si="26"/>
        <v>-227.37589844369631</v>
      </c>
      <c r="R52" s="95">
        <f t="shared" si="27"/>
        <v>-236.65520382185053</v>
      </c>
    </row>
    <row r="53" spans="2:18" s="151" customFormat="1" x14ac:dyDescent="0.3">
      <c r="B53" s="53"/>
      <c r="C53" s="53"/>
      <c r="D53" s="53"/>
      <c r="E53" s="53"/>
      <c r="F53" s="53"/>
      <c r="G53" s="53"/>
      <c r="H53" s="42"/>
      <c r="I53" s="47"/>
      <c r="J53" s="47"/>
      <c r="K53" s="48"/>
      <c r="L53" s="48"/>
      <c r="M53" s="52"/>
      <c r="P53" s="95"/>
      <c r="Q53" s="95"/>
      <c r="R53" s="95"/>
    </row>
    <row r="54" spans="2:18" s="151" customFormat="1" x14ac:dyDescent="0.3">
      <c r="B54" s="53"/>
      <c r="C54" s="53"/>
      <c r="D54" s="53"/>
      <c r="E54" s="53"/>
      <c r="F54" s="53"/>
      <c r="G54" s="53"/>
      <c r="H54" s="42"/>
      <c r="I54" s="47"/>
      <c r="J54" s="47"/>
      <c r="K54" s="48"/>
      <c r="L54" s="48"/>
      <c r="M54" s="52"/>
      <c r="P54" s="95"/>
      <c r="Q54" s="95"/>
      <c r="R54" s="95"/>
    </row>
    <row r="55" spans="2:18" x14ac:dyDescent="0.3"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</row>
    <row r="56" spans="2:18" x14ac:dyDescent="0.3"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</row>
    <row r="57" spans="2:18" x14ac:dyDescent="0.3">
      <c r="B57" s="44" t="s">
        <v>83</v>
      </c>
      <c r="C57" s="43"/>
      <c r="D57" s="43"/>
      <c r="E57" s="43"/>
      <c r="F57" s="43"/>
      <c r="G57" s="43"/>
      <c r="H57" s="43"/>
      <c r="I57" s="42"/>
      <c r="J57" s="42"/>
      <c r="K57" s="42"/>
      <c r="L57" s="42"/>
      <c r="M57" s="42"/>
    </row>
    <row r="58" spans="2:18" x14ac:dyDescent="0.3">
      <c r="B58" s="45" t="s">
        <v>9</v>
      </c>
      <c r="C58" s="45" t="s">
        <v>46</v>
      </c>
      <c r="D58" s="45" t="s">
        <v>42</v>
      </c>
      <c r="E58" s="45" t="s">
        <v>84</v>
      </c>
      <c r="F58" s="45" t="s">
        <v>85</v>
      </c>
      <c r="G58" s="46" t="s">
        <v>86</v>
      </c>
      <c r="H58" s="46" t="s">
        <v>87</v>
      </c>
      <c r="I58" s="43"/>
      <c r="J58" s="43"/>
      <c r="K58" s="49" t="s">
        <v>88</v>
      </c>
      <c r="L58" s="49" t="s">
        <v>92</v>
      </c>
      <c r="M58" s="87" t="s">
        <v>91</v>
      </c>
      <c r="N58" s="87" t="s">
        <v>114</v>
      </c>
      <c r="O58" s="87" t="s">
        <v>115</v>
      </c>
    </row>
    <row r="59" spans="2:18" x14ac:dyDescent="0.3">
      <c r="B59" s="50"/>
      <c r="C59" s="50"/>
      <c r="D59" s="50"/>
      <c r="E59" s="173" t="s">
        <v>193</v>
      </c>
      <c r="F59" s="173" t="s">
        <v>7</v>
      </c>
      <c r="G59" s="51"/>
      <c r="H59" s="51"/>
      <c r="I59" s="45" t="s">
        <v>89</v>
      </c>
      <c r="J59" s="45" t="s">
        <v>90</v>
      </c>
      <c r="K59" s="50" t="s">
        <v>43</v>
      </c>
      <c r="L59" s="50" t="s">
        <v>43</v>
      </c>
      <c r="M59" s="50" t="s">
        <v>54</v>
      </c>
      <c r="N59" s="50" t="s">
        <v>7</v>
      </c>
      <c r="O59" s="50" t="s">
        <v>7</v>
      </c>
      <c r="P59" s="96" t="s">
        <v>116</v>
      </c>
      <c r="Q59" s="96" t="s">
        <v>117</v>
      </c>
      <c r="R59" s="96" t="s">
        <v>118</v>
      </c>
    </row>
    <row r="60" spans="2:18" x14ac:dyDescent="0.3">
      <c r="B60" s="184" t="s">
        <v>189</v>
      </c>
      <c r="C60" s="185" t="s">
        <v>82</v>
      </c>
      <c r="D60" s="185" t="s">
        <v>221</v>
      </c>
      <c r="E60" s="185">
        <v>2.61759141617505E-2</v>
      </c>
      <c r="F60" s="185">
        <v>2.5141911631261501E-2</v>
      </c>
      <c r="G60" s="186">
        <v>1.04112664723566</v>
      </c>
      <c r="H60" s="42">
        <f>+E60/(1.2*F60)</f>
        <v>0.86760553936304907</v>
      </c>
      <c r="I60" s="181">
        <f>+I42</f>
        <v>-2.839378473043201</v>
      </c>
      <c r="J60" s="181">
        <f>+J42</f>
        <v>0.40263228948562979</v>
      </c>
      <c r="K60" s="48">
        <f>+K42</f>
        <v>91.414510168314791</v>
      </c>
      <c r="L60" s="48">
        <f>+L42</f>
        <v>838.60134113481979</v>
      </c>
      <c r="M60" s="52">
        <f>-0.05*N60*K60*(H60-1)-0.05*O60*L60*(H60-1)</f>
        <v>97.898018875268363</v>
      </c>
      <c r="N60" s="172">
        <f>+$N$3</f>
        <v>15</v>
      </c>
      <c r="O60" s="172">
        <f>+$O$3</f>
        <v>16</v>
      </c>
      <c r="P60" s="95">
        <f>+K60*(J60-0.05*N60*H60)-K60*(J60-0.05*N60)</f>
        <v>9.0770810760938261</v>
      </c>
      <c r="Q60" s="95">
        <f>+L60*(I60-0.05*O60*H60)-L60*(I60-0.05*O60)</f>
        <v>88.820937799174317</v>
      </c>
      <c r="R60" s="95">
        <f>+P60+Q60</f>
        <v>97.89801887526815</v>
      </c>
    </row>
    <row r="61" spans="2:18" x14ac:dyDescent="0.3">
      <c r="B61" s="184" t="s">
        <v>187</v>
      </c>
      <c r="C61" s="185" t="s">
        <v>82</v>
      </c>
      <c r="D61" s="185" t="s">
        <v>221</v>
      </c>
      <c r="E61" s="185">
        <v>3.2581019040623702E-2</v>
      </c>
      <c r="F61" s="185">
        <v>2.7912516711907601E-2</v>
      </c>
      <c r="G61" s="186">
        <v>1.16725479744091</v>
      </c>
      <c r="H61" s="42">
        <f t="shared" ref="H61:H70" si="33">+E61/(1.2*F61)</f>
        <v>0.97271233120075773</v>
      </c>
      <c r="I61" s="181">
        <f t="shared" ref="I61:J61" si="34">+I43</f>
        <v>0.36882216619441976</v>
      </c>
      <c r="J61" s="181">
        <f t="shared" si="34"/>
        <v>6.6786735730280711E-2</v>
      </c>
      <c r="K61" s="48">
        <f t="shared" ref="K61:L64" si="35">+K43</f>
        <v>521.83732541149334</v>
      </c>
      <c r="L61" s="48">
        <f t="shared" si="35"/>
        <v>11977.93316508474</v>
      </c>
      <c r="M61" s="52">
        <f>-0.05*N61*K61*(H61-1)-0.05*O61*L61*(H61-1)</f>
        <v>272.15969156381709</v>
      </c>
      <c r="N61" s="172">
        <f t="shared" ref="N61:N70" si="36">+$N$3</f>
        <v>15</v>
      </c>
      <c r="O61" s="172">
        <f t="shared" ref="O61:O70" si="37">+$O$3</f>
        <v>16</v>
      </c>
      <c r="P61" s="95">
        <f>+K61*(J61-0.05*N61*H61)-K61*(J61-0.05*N61)</f>
        <v>10.679793077183433</v>
      </c>
      <c r="Q61" s="95">
        <f>+L61*(I61-0.05*O61*H61)-L61*(I61-0.05*O61)</f>
        <v>261.47989848663383</v>
      </c>
      <c r="R61" s="95">
        <f>+P61+Q61</f>
        <v>272.15969156381726</v>
      </c>
    </row>
    <row r="62" spans="2:18" x14ac:dyDescent="0.3">
      <c r="B62" s="184" t="s">
        <v>185</v>
      </c>
      <c r="C62" s="185" t="s">
        <v>82</v>
      </c>
      <c r="D62" s="185" t="s">
        <v>221</v>
      </c>
      <c r="E62" s="185">
        <v>3.1275308843906301E-2</v>
      </c>
      <c r="F62" s="185">
        <v>2.6685133982294901E-2</v>
      </c>
      <c r="G62" s="186">
        <v>1.17201243451342</v>
      </c>
      <c r="H62" s="42">
        <f t="shared" si="33"/>
        <v>0.97667702876118512</v>
      </c>
      <c r="I62" s="181">
        <f t="shared" ref="I62:J62" si="38">+I44</f>
        <v>0.5836533640628101</v>
      </c>
      <c r="J62" s="181">
        <f t="shared" si="38"/>
        <v>6.9462166076998955E-3</v>
      </c>
      <c r="K62" s="48">
        <f t="shared" si="35"/>
        <v>684.04714141887689</v>
      </c>
      <c r="L62" s="48">
        <f t="shared" si="35"/>
        <v>13269.832117271528</v>
      </c>
      <c r="M62" s="52">
        <f>-0.05*N62*K62*(H62-1)-0.05*O62*L62*(H62-1)</f>
        <v>259.55903910600017</v>
      </c>
      <c r="N62" s="172">
        <f t="shared" si="36"/>
        <v>15</v>
      </c>
      <c r="O62" s="172">
        <f t="shared" si="37"/>
        <v>16</v>
      </c>
      <c r="P62" s="95">
        <f>+K62*(J62-0.05*N62*H62)-K62*(J62-0.05*N62)</f>
        <v>11.965508853979486</v>
      </c>
      <c r="Q62" s="95">
        <f>+L62*(I62-0.05*O62*H62)-L62*(I62-0.05*O62)</f>
        <v>247.59353025202063</v>
      </c>
      <c r="R62" s="95">
        <f>+P62+Q62</f>
        <v>259.55903910600011</v>
      </c>
    </row>
    <row r="63" spans="2:18" x14ac:dyDescent="0.3">
      <c r="B63" s="184" t="s">
        <v>183</v>
      </c>
      <c r="C63" s="185" t="s">
        <v>82</v>
      </c>
      <c r="D63" s="185" t="s">
        <v>221</v>
      </c>
      <c r="E63" s="185">
        <v>2.9312968655579599E-2</v>
      </c>
      <c r="F63" s="185">
        <v>2.4916795384504201E-2</v>
      </c>
      <c r="G63" s="186">
        <v>1.1764341362216</v>
      </c>
      <c r="H63" s="42">
        <f t="shared" si="33"/>
        <v>0.98036178018466835</v>
      </c>
      <c r="I63" s="181">
        <f t="shared" ref="I63:J63" si="39">+I45</f>
        <v>0.60833961065591069</v>
      </c>
      <c r="J63" s="181">
        <f t="shared" si="39"/>
        <v>-1.6196668903694089E-3</v>
      </c>
      <c r="K63" s="48">
        <f t="shared" si="35"/>
        <v>604.09472905643179</v>
      </c>
      <c r="L63" s="48">
        <f t="shared" si="35"/>
        <v>10995.894830735111</v>
      </c>
      <c r="M63" s="52">
        <f>-0.05*N63*K63*(H63-1)-0.05*O63*L63*(H63-1)</f>
        <v>181.64934861066618</v>
      </c>
      <c r="N63" s="172">
        <f t="shared" si="36"/>
        <v>15</v>
      </c>
      <c r="O63" s="172">
        <f t="shared" si="37"/>
        <v>16</v>
      </c>
      <c r="P63" s="95">
        <f>+K63*(J63-0.05*N63*H63)-K63*(J63-0.05*N63)</f>
        <v>8.8975088088700431</v>
      </c>
      <c r="Q63" s="95">
        <f>+L63*(I63-0.05*O63*H63)-L63*(I63-0.05*O63)</f>
        <v>172.751839801796</v>
      </c>
      <c r="R63" s="95">
        <f>+P63+Q63</f>
        <v>181.64934861066604</v>
      </c>
    </row>
    <row r="64" spans="2:18" x14ac:dyDescent="0.3">
      <c r="B64" s="184" t="s">
        <v>181</v>
      </c>
      <c r="C64" s="185" t="s">
        <v>82</v>
      </c>
      <c r="D64" s="185" t="s">
        <v>221</v>
      </c>
      <c r="E64" s="185">
        <v>2.67549720317217E-2</v>
      </c>
      <c r="F64" s="185">
        <v>2.2664145008843499E-2</v>
      </c>
      <c r="G64" s="186">
        <v>1.1804977430775301</v>
      </c>
      <c r="H64" s="42">
        <f t="shared" si="33"/>
        <v>0.98374811923127814</v>
      </c>
      <c r="I64" s="181">
        <f t="shared" ref="I64:J64" si="40">+I46</f>
        <v>0.63169605512110927</v>
      </c>
      <c r="J64" s="181">
        <f t="shared" si="40"/>
        <v>-1.0811936636160091E-2</v>
      </c>
      <c r="K64" s="48">
        <f t="shared" si="35"/>
        <v>525.21198141428738</v>
      </c>
      <c r="L64" s="48">
        <f t="shared" si="35"/>
        <v>9141.0990385159057</v>
      </c>
      <c r="M64" s="52">
        <f>-0.05*N64*K64*(H64-1)-0.05*O64*L64*(H64-1)</f>
        <v>125.2498032104177</v>
      </c>
      <c r="N64" s="172">
        <f t="shared" si="36"/>
        <v>15</v>
      </c>
      <c r="O64" s="172">
        <f t="shared" si="37"/>
        <v>16</v>
      </c>
      <c r="P64" s="95">
        <f>+K64*(J64-0.05*N64*H64)-K64*(J64-0.05*N64)</f>
        <v>6.4017618751868213</v>
      </c>
      <c r="Q64" s="95">
        <f>+L64*(I64-0.05*O64*H64)-L64*(I64-0.05*O64)</f>
        <v>118.84804133523107</v>
      </c>
      <c r="R64" s="95">
        <f>+P64+Q64</f>
        <v>125.24980321041789</v>
      </c>
    </row>
    <row r="65" spans="2:18" x14ac:dyDescent="0.3">
      <c r="B65" s="184" t="s">
        <v>179</v>
      </c>
      <c r="C65" s="185" t="s">
        <v>82</v>
      </c>
      <c r="D65" s="185" t="s">
        <v>221</v>
      </c>
      <c r="E65" s="185">
        <v>2.3706503681394899E-2</v>
      </c>
      <c r="F65" s="185">
        <v>2.0015208881170001E-2</v>
      </c>
      <c r="G65" s="186">
        <v>1.1844244954994001</v>
      </c>
      <c r="H65" s="42">
        <f t="shared" si="33"/>
        <v>0.98702041291616716</v>
      </c>
      <c r="I65" s="181">
        <f t="shared" ref="I65:J65" si="41">+I47</f>
        <v>0.65430276446550906</v>
      </c>
      <c r="J65" s="181">
        <f t="shared" si="41"/>
        <v>-2.1160278344130035E-2</v>
      </c>
      <c r="K65" s="48">
        <f t="shared" ref="K65:L70" si="42">+K47</f>
        <v>455.90261005556096</v>
      </c>
      <c r="L65" s="48">
        <f t="shared" si="42"/>
        <v>7768.2715803003994</v>
      </c>
      <c r="M65" s="52">
        <f t="shared" ref="M65:M70" si="43">-0.05*N65*K65*(H65-1)-0.05*O65*L65*(H65-1)</f>
        <v>85.101236695620386</v>
      </c>
      <c r="N65" s="172">
        <f t="shared" si="36"/>
        <v>15</v>
      </c>
      <c r="O65" s="172">
        <f t="shared" si="37"/>
        <v>16</v>
      </c>
      <c r="P65" s="95">
        <f t="shared" ref="P65:P70" si="44">+K65*(J65-0.05*N65*H65)-K65*(J65-0.05*N65)</f>
        <v>4.4380707217221129</v>
      </c>
      <c r="Q65" s="95">
        <f t="shared" ref="Q65:Q70" si="45">+L65*(I65-0.05*O65*H65)-L65*(I65-0.05*O65)</f>
        <v>80.663165973898231</v>
      </c>
      <c r="R65" s="95">
        <f t="shared" ref="R65:R70" si="46">+P65+Q65</f>
        <v>85.101236695620344</v>
      </c>
    </row>
    <row r="66" spans="2:18" x14ac:dyDescent="0.3">
      <c r="B66" s="184" t="s">
        <v>39</v>
      </c>
      <c r="C66" s="185" t="s">
        <v>82</v>
      </c>
      <c r="D66" s="185" t="s">
        <v>221</v>
      </c>
      <c r="E66" s="185">
        <v>2.0256785491547101E-2</v>
      </c>
      <c r="F66" s="185">
        <v>1.70457608700685E-2</v>
      </c>
      <c r="G66" s="186">
        <v>1.18837672580031</v>
      </c>
      <c r="H66" s="42">
        <f t="shared" si="33"/>
        <v>0.9903139381669277</v>
      </c>
      <c r="I66" s="181">
        <f t="shared" ref="I66:J66" si="47">+I48</f>
        <v>0.67600096029431</v>
      </c>
      <c r="J66" s="181">
        <f t="shared" si="47"/>
        <v>-3.2857029811490079E-2</v>
      </c>
      <c r="K66" s="48">
        <f t="shared" si="42"/>
        <v>394.12552586390632</v>
      </c>
      <c r="L66" s="48">
        <f t="shared" si="42"/>
        <v>6776.1706481164856</v>
      </c>
      <c r="M66" s="52">
        <f t="shared" si="43"/>
        <v>55.370669471417166</v>
      </c>
      <c r="N66" s="172">
        <f t="shared" si="36"/>
        <v>15</v>
      </c>
      <c r="O66" s="172">
        <f t="shared" si="37"/>
        <v>16</v>
      </c>
      <c r="P66" s="95">
        <f t="shared" si="44"/>
        <v>2.863143160132438</v>
      </c>
      <c r="Q66" s="95">
        <f t="shared" si="45"/>
        <v>52.507526311284551</v>
      </c>
      <c r="R66" s="95">
        <f t="shared" si="46"/>
        <v>55.370669471416988</v>
      </c>
    </row>
    <row r="67" spans="2:18" x14ac:dyDescent="0.3">
      <c r="B67" s="184" t="s">
        <v>26</v>
      </c>
      <c r="C67" s="185" t="s">
        <v>82</v>
      </c>
      <c r="D67" s="185" t="s">
        <v>221</v>
      </c>
      <c r="E67" s="185">
        <v>1.6477484179145501E-2</v>
      </c>
      <c r="F67" s="185">
        <v>1.3823409007043E-2</v>
      </c>
      <c r="G67" s="186">
        <v>1.19199859967612</v>
      </c>
      <c r="H67" s="42">
        <f t="shared" si="33"/>
        <v>0.99333216639676547</v>
      </c>
      <c r="I67" s="181">
        <f t="shared" ref="I67:J67" si="48">+I49</f>
        <v>0.57054601975221964</v>
      </c>
      <c r="J67" s="181">
        <f t="shared" si="48"/>
        <v>-2.1065798861029883E-2</v>
      </c>
      <c r="K67" s="48">
        <f t="shared" si="42"/>
        <v>336.81772074600121</v>
      </c>
      <c r="L67" s="48">
        <f t="shared" si="42"/>
        <v>6020.7956468781977</v>
      </c>
      <c r="M67" s="52">
        <f t="shared" si="43"/>
        <v>33.800914213386392</v>
      </c>
      <c r="N67" s="172">
        <f t="shared" si="36"/>
        <v>15</v>
      </c>
      <c r="O67" s="172">
        <f t="shared" si="37"/>
        <v>16</v>
      </c>
      <c r="P67" s="95">
        <f t="shared" si="44"/>
        <v>1.6843833874162328</v>
      </c>
      <c r="Q67" s="95">
        <f t="shared" si="45"/>
        <v>32.116530825970131</v>
      </c>
      <c r="R67" s="95">
        <f t="shared" si="46"/>
        <v>33.800914213386363</v>
      </c>
    </row>
    <row r="68" spans="2:18" x14ac:dyDescent="0.3">
      <c r="B68" s="184" t="s">
        <v>25</v>
      </c>
      <c r="C68" s="185" t="s">
        <v>82</v>
      </c>
      <c r="D68" s="185" t="s">
        <v>221</v>
      </c>
      <c r="E68" s="185">
        <v>1.2437164129566001E-2</v>
      </c>
      <c r="F68" s="185">
        <v>1.04065329372557E-2</v>
      </c>
      <c r="G68" s="186">
        <v>1.1951304247585299</v>
      </c>
      <c r="H68" s="42">
        <f t="shared" si="33"/>
        <v>0.99594202063210546</v>
      </c>
      <c r="I68" s="181">
        <f t="shared" ref="I68:J68" si="49">+I50</f>
        <v>0.57414570042761959</v>
      </c>
      <c r="J68" s="181">
        <f t="shared" si="49"/>
        <v>-2.2928275896109795E-2</v>
      </c>
      <c r="K68" s="48">
        <f t="shared" si="42"/>
        <v>275.19785959917692</v>
      </c>
      <c r="L68" s="48">
        <f t="shared" si="42"/>
        <v>5227.9753196432666</v>
      </c>
      <c r="M68" s="52">
        <f t="shared" si="43"/>
        <v>17.809573213636028</v>
      </c>
      <c r="N68" s="172">
        <f t="shared" si="36"/>
        <v>15</v>
      </c>
      <c r="O68" s="172">
        <f t="shared" si="37"/>
        <v>16</v>
      </c>
      <c r="P68" s="95">
        <f t="shared" si="44"/>
        <v>0.8375604272566477</v>
      </c>
      <c r="Q68" s="95">
        <f t="shared" si="45"/>
        <v>16.972012786379082</v>
      </c>
      <c r="R68" s="95">
        <f t="shared" si="46"/>
        <v>17.80957321363573</v>
      </c>
    </row>
    <row r="69" spans="2:18" x14ac:dyDescent="0.3">
      <c r="B69" s="184" t="s">
        <v>24</v>
      </c>
      <c r="C69" s="185" t="s">
        <v>82</v>
      </c>
      <c r="D69" s="185" t="s">
        <v>221</v>
      </c>
      <c r="E69" s="185">
        <v>8.2143285667018694E-3</v>
      </c>
      <c r="F69" s="185">
        <v>6.8578588620061796E-3</v>
      </c>
      <c r="G69" s="186">
        <v>1.1977978450695099</v>
      </c>
      <c r="H69" s="42">
        <f t="shared" si="33"/>
        <v>0.99816487089126149</v>
      </c>
      <c r="I69" s="181">
        <f t="shared" ref="I69:J69" si="50">+I51</f>
        <v>0.55821909224711952</v>
      </c>
      <c r="J69" s="181">
        <f t="shared" si="50"/>
        <v>-1.9087549990520536E-2</v>
      </c>
      <c r="K69" s="48">
        <f t="shared" si="42"/>
        <v>201.44989018718792</v>
      </c>
      <c r="L69" s="48">
        <f t="shared" si="42"/>
        <v>4157.5305479980998</v>
      </c>
      <c r="M69" s="52">
        <f t="shared" si="43"/>
        <v>6.3809491813567156</v>
      </c>
      <c r="N69" s="172">
        <f t="shared" si="36"/>
        <v>15</v>
      </c>
      <c r="O69" s="172">
        <f t="shared" si="37"/>
        <v>16</v>
      </c>
      <c r="P69" s="95">
        <f t="shared" si="44"/>
        <v>0.27726491807601406</v>
      </c>
      <c r="Q69" s="95">
        <f t="shared" si="45"/>
        <v>6.1036842632804564</v>
      </c>
      <c r="R69" s="95">
        <f t="shared" si="46"/>
        <v>6.3809491813564705</v>
      </c>
    </row>
    <row r="70" spans="2:18" x14ac:dyDescent="0.3">
      <c r="B70" s="187" t="s">
        <v>22</v>
      </c>
      <c r="C70" s="188" t="s">
        <v>82</v>
      </c>
      <c r="D70" s="188" t="s">
        <v>221</v>
      </c>
      <c r="E70" s="188">
        <v>3.9358997984831603E-3</v>
      </c>
      <c r="F70" s="188">
        <v>3.28244932555681E-3</v>
      </c>
      <c r="G70" s="189">
        <v>1.19907404749211</v>
      </c>
      <c r="H70" s="42">
        <f t="shared" si="33"/>
        <v>0.99922837291009403</v>
      </c>
      <c r="I70" s="181">
        <f t="shared" ref="I70:J70" si="51">+I52</f>
        <v>0.43505225550611115</v>
      </c>
      <c r="J70" s="181">
        <f t="shared" si="51"/>
        <v>4.1604857474197843E-3</v>
      </c>
      <c r="K70" s="48">
        <f t="shared" si="42"/>
        <v>108.50252818811678</v>
      </c>
      <c r="L70" s="48">
        <f t="shared" si="42"/>
        <v>2492.5282818313285</v>
      </c>
      <c r="M70" s="52">
        <f t="shared" si="43"/>
        <v>1.6014344932491931</v>
      </c>
      <c r="N70" s="172">
        <f t="shared" si="36"/>
        <v>15</v>
      </c>
      <c r="O70" s="172">
        <f t="shared" si="37"/>
        <v>16</v>
      </c>
      <c r="P70" s="95">
        <f t="shared" si="44"/>
        <v>6.2792617554933372E-2</v>
      </c>
      <c r="Q70" s="95">
        <f t="shared" si="45"/>
        <v>1.5386418756942248</v>
      </c>
      <c r="R70" s="95">
        <f t="shared" si="46"/>
        <v>1.6014344932491582</v>
      </c>
    </row>
  </sheetData>
  <mergeCells count="1">
    <mergeCell ref="M2:P2"/>
  </mergeCells>
  <conditionalFormatting sqref="G1:G5 G19:G23 G37:G41 G55:G59 G71:G1048576">
    <cfRule type="cellIs" dxfId="10" priority="5" operator="greaterThan">
      <formula>1.2</formula>
    </cfRule>
  </conditionalFormatting>
  <conditionalFormatting sqref="G1:G23 G35:G41 G53:G59 G71:G1048576">
    <cfRule type="cellIs" dxfId="9" priority="4" operator="greaterThan">
      <formula>1.2</formula>
    </cfRule>
  </conditionalFormatting>
  <conditionalFormatting sqref="G24">
    <cfRule type="cellIs" dxfId="6" priority="3" operator="greaterThan">
      <formula>1.2</formula>
    </cfRule>
  </conditionalFormatting>
  <conditionalFormatting sqref="G42">
    <cfRule type="cellIs" dxfId="3" priority="2" operator="greaterThan">
      <formula>1.2</formula>
    </cfRule>
  </conditionalFormatting>
  <conditionalFormatting sqref="G60">
    <cfRule type="cellIs" dxfId="1" priority="1" operator="greaterThan">
      <formula>1.2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1:S67"/>
  <sheetViews>
    <sheetView topLeftCell="A40" workbookViewId="0">
      <selection activeCell="I57" sqref="I57"/>
    </sheetView>
  </sheetViews>
  <sheetFormatPr baseColWidth="10" defaultRowHeight="14.4" x14ac:dyDescent="0.3"/>
  <cols>
    <col min="9" max="9" width="11.5546875" style="75"/>
  </cols>
  <sheetData>
    <row r="1" spans="2:16" x14ac:dyDescent="0.3">
      <c r="B1" s="79" t="s">
        <v>100</v>
      </c>
    </row>
    <row r="2" spans="2:16" x14ac:dyDescent="0.3">
      <c r="B2" s="9" t="s">
        <v>79</v>
      </c>
    </row>
    <row r="3" spans="2:16" x14ac:dyDescent="0.3">
      <c r="B3" s="54" t="s">
        <v>93</v>
      </c>
      <c r="C3" s="55"/>
      <c r="D3" s="55"/>
      <c r="E3" s="55"/>
      <c r="F3" s="55"/>
      <c r="G3" s="55"/>
      <c r="H3" s="55"/>
    </row>
    <row r="4" spans="2:16" x14ac:dyDescent="0.3">
      <c r="B4" s="56" t="s">
        <v>9</v>
      </c>
      <c r="C4" s="56" t="s">
        <v>94</v>
      </c>
      <c r="D4" s="56" t="s">
        <v>95</v>
      </c>
      <c r="E4" s="56" t="s">
        <v>98</v>
      </c>
      <c r="F4" s="71"/>
      <c r="G4" s="56" t="s">
        <v>99</v>
      </c>
      <c r="H4" s="56"/>
      <c r="I4" s="76"/>
    </row>
    <row r="5" spans="2:16" x14ac:dyDescent="0.3">
      <c r="B5" s="57"/>
      <c r="C5" s="57"/>
      <c r="D5" s="57" t="s">
        <v>97</v>
      </c>
      <c r="E5" s="57"/>
      <c r="F5" s="73"/>
      <c r="G5" s="57"/>
      <c r="H5" s="57"/>
      <c r="I5" s="77"/>
      <c r="L5" s="53"/>
      <c r="M5" s="53"/>
      <c r="N5" s="53"/>
      <c r="O5" s="53"/>
      <c r="P5" s="53"/>
    </row>
    <row r="6" spans="2:16" x14ac:dyDescent="0.3">
      <c r="B6" s="53" t="s">
        <v>189</v>
      </c>
      <c r="C6" s="53" t="s">
        <v>79</v>
      </c>
      <c r="D6" s="172">
        <v>1439268.10743354</v>
      </c>
      <c r="E6" s="53">
        <f>0.7*D6</f>
        <v>1007487.675203478</v>
      </c>
      <c r="F6" s="1" t="str">
        <f>+IF(D6&lt;E5,"piso suave","ok")</f>
        <v>ok</v>
      </c>
      <c r="G6" s="53">
        <f>0.9*D6</f>
        <v>1295341.296690186</v>
      </c>
      <c r="H6" s="1"/>
      <c r="I6" s="78"/>
      <c r="L6" s="53"/>
      <c r="M6" s="53"/>
      <c r="N6" s="53"/>
      <c r="O6" s="53"/>
      <c r="P6" s="53"/>
    </row>
    <row r="7" spans="2:16" x14ac:dyDescent="0.3">
      <c r="B7" s="53" t="s">
        <v>187</v>
      </c>
      <c r="C7" s="53" t="s">
        <v>79</v>
      </c>
      <c r="D7" s="172">
        <v>12905010.725624399</v>
      </c>
      <c r="E7" s="53">
        <f>0.7*D7</f>
        <v>9033507.5079370793</v>
      </c>
      <c r="F7" s="1" t="str">
        <f>+IF(D7&lt;E6,"piso suave","ok")</f>
        <v>ok</v>
      </c>
      <c r="G7" s="53">
        <f>0.9*D7</f>
        <v>11614509.65306196</v>
      </c>
      <c r="H7" s="1" t="str">
        <f>+IF(D7&lt;AVERAGE(G4:G6),"piso suave","ok")</f>
        <v>ok</v>
      </c>
      <c r="I7" s="78"/>
      <c r="L7" s="53"/>
      <c r="M7" s="53"/>
      <c r="N7" s="53"/>
      <c r="O7" s="53"/>
      <c r="P7" s="53"/>
    </row>
    <row r="8" spans="2:16" x14ac:dyDescent="0.3">
      <c r="B8" s="53" t="s">
        <v>185</v>
      </c>
      <c r="C8" s="53" t="s">
        <v>79</v>
      </c>
      <c r="D8" s="172">
        <v>17561999.816552501</v>
      </c>
      <c r="E8" s="53">
        <f>0.7*D8</f>
        <v>12293399.871586749</v>
      </c>
      <c r="F8" s="1" t="str">
        <f>+IF(D8&lt;E7,"piso suave","ok")</f>
        <v>ok</v>
      </c>
      <c r="G8" s="53">
        <f>0.9*D8</f>
        <v>15805799.834897252</v>
      </c>
      <c r="H8" s="1" t="str">
        <f>+IF(D8&lt;AVERAGE(G5:G7),"piso suave","ok")</f>
        <v>ok</v>
      </c>
      <c r="I8" s="78"/>
      <c r="L8" s="53"/>
      <c r="M8" s="53"/>
      <c r="N8" s="53"/>
      <c r="O8" s="53"/>
      <c r="P8" s="53"/>
    </row>
    <row r="9" spans="2:16" x14ac:dyDescent="0.3">
      <c r="B9" s="53" t="s">
        <v>183</v>
      </c>
      <c r="C9" s="53" t="s">
        <v>79</v>
      </c>
      <c r="D9" s="172">
        <v>19553610.287666898</v>
      </c>
      <c r="E9" s="53">
        <f>0.7*D9</f>
        <v>13687527.201366829</v>
      </c>
      <c r="F9" s="1" t="str">
        <f>+IF(D9&lt;E8,"piso suave","ok")</f>
        <v>ok</v>
      </c>
      <c r="G9" s="53">
        <f>0.9*D9</f>
        <v>17598249.25890021</v>
      </c>
      <c r="H9" s="1" t="str">
        <f>+IF(D9&lt;AVERAGE(G6:G8),"piso suave","ok")</f>
        <v>ok</v>
      </c>
      <c r="I9" s="78"/>
      <c r="L9" s="53"/>
      <c r="M9" s="53"/>
      <c r="N9" s="53"/>
      <c r="O9" s="53"/>
      <c r="P9" s="53"/>
    </row>
    <row r="10" spans="2:16" x14ac:dyDescent="0.3">
      <c r="B10" s="53" t="s">
        <v>181</v>
      </c>
      <c r="C10" s="53" t="s">
        <v>79</v>
      </c>
      <c r="D10" s="172">
        <v>20733510.607120302</v>
      </c>
      <c r="E10" s="53">
        <f>0.7*D10</f>
        <v>14513457.424984211</v>
      </c>
      <c r="F10" s="1" t="str">
        <f>+IF(D10&lt;E9,"piso suave","ok")</f>
        <v>ok</v>
      </c>
      <c r="G10" s="53">
        <f>0.9*D10</f>
        <v>18660159.546408273</v>
      </c>
      <c r="H10" s="1" t="str">
        <f>+IF(D10&lt;AVERAGE(G7:G9),"piso suave","ok")</f>
        <v>ok</v>
      </c>
      <c r="I10" s="78"/>
      <c r="L10" s="53"/>
      <c r="M10" s="53"/>
      <c r="N10" s="53"/>
      <c r="O10" s="53"/>
      <c r="P10" s="53"/>
    </row>
    <row r="11" spans="2:16" s="158" customFormat="1" x14ac:dyDescent="0.3">
      <c r="B11" s="53" t="s">
        <v>179</v>
      </c>
      <c r="C11" s="53" t="s">
        <v>79</v>
      </c>
      <c r="D11" s="172">
        <v>21357115.283313502</v>
      </c>
      <c r="E11" s="53">
        <f t="shared" ref="E11:E16" si="0">0.7*D11</f>
        <v>14949980.69831945</v>
      </c>
      <c r="F11" s="1" t="str">
        <f t="shared" ref="F11:F16" si="1">+IF(D11&lt;E10,"piso suave","ok")</f>
        <v>ok</v>
      </c>
      <c r="G11" s="53">
        <f t="shared" ref="G11:G16" si="2">0.9*D11</f>
        <v>19221403.754982151</v>
      </c>
      <c r="H11" s="1" t="str">
        <f t="shared" ref="H11:H16" si="3">+IF(D11&lt;AVERAGE(G8:G10),"piso suave","ok")</f>
        <v>ok</v>
      </c>
      <c r="I11" s="78"/>
      <c r="L11" s="53"/>
      <c r="M11" s="53"/>
      <c r="N11" s="53"/>
      <c r="O11" s="53"/>
      <c r="P11" s="53"/>
    </row>
    <row r="12" spans="2:16" s="158" customFormat="1" x14ac:dyDescent="0.3">
      <c r="B12" s="53" t="s">
        <v>39</v>
      </c>
      <c r="C12" s="53" t="s">
        <v>79</v>
      </c>
      <c r="D12" s="172">
        <v>22449293.276491899</v>
      </c>
      <c r="E12" s="53">
        <f t="shared" si="0"/>
        <v>15714505.293544328</v>
      </c>
      <c r="F12" s="1" t="str">
        <f t="shared" si="1"/>
        <v>ok</v>
      </c>
      <c r="G12" s="53">
        <f t="shared" si="2"/>
        <v>20204363.948842708</v>
      </c>
      <c r="H12" s="1" t="str">
        <f t="shared" si="3"/>
        <v>ok</v>
      </c>
      <c r="I12" s="78"/>
      <c r="L12" s="53"/>
      <c r="M12" s="53"/>
      <c r="N12" s="53"/>
      <c r="O12" s="53"/>
      <c r="P12" s="53"/>
    </row>
    <row r="13" spans="2:16" s="158" customFormat="1" x14ac:dyDescent="0.3">
      <c r="B13" s="53" t="s">
        <v>26</v>
      </c>
      <c r="C13" s="53" t="s">
        <v>79</v>
      </c>
      <c r="D13" s="172">
        <v>23344072.918635398</v>
      </c>
      <c r="E13" s="53">
        <f t="shared" si="0"/>
        <v>16340851.043044778</v>
      </c>
      <c r="F13" s="1" t="str">
        <f t="shared" si="1"/>
        <v>ok</v>
      </c>
      <c r="G13" s="53">
        <f t="shared" si="2"/>
        <v>21009665.62677186</v>
      </c>
      <c r="H13" s="1" t="str">
        <f t="shared" si="3"/>
        <v>ok</v>
      </c>
      <c r="I13" s="78"/>
      <c r="L13" s="53"/>
      <c r="M13" s="53"/>
      <c r="N13" s="53"/>
      <c r="O13" s="53"/>
      <c r="P13" s="53"/>
    </row>
    <row r="14" spans="2:16" s="158" customFormat="1" x14ac:dyDescent="0.3">
      <c r="B14" s="53" t="s">
        <v>25</v>
      </c>
      <c r="C14" s="53" t="s">
        <v>79</v>
      </c>
      <c r="D14" s="172">
        <v>23900126.8486058</v>
      </c>
      <c r="E14" s="53">
        <f t="shared" si="0"/>
        <v>16730088.79402406</v>
      </c>
      <c r="F14" s="1" t="str">
        <f t="shared" si="1"/>
        <v>ok</v>
      </c>
      <c r="G14" s="53">
        <f t="shared" si="2"/>
        <v>21510114.163745221</v>
      </c>
      <c r="H14" s="1" t="str">
        <f t="shared" si="3"/>
        <v>ok</v>
      </c>
      <c r="I14" s="78"/>
      <c r="L14" s="53"/>
      <c r="M14" s="53"/>
      <c r="N14" s="53"/>
      <c r="O14" s="53"/>
      <c r="P14" s="53"/>
    </row>
    <row r="15" spans="2:16" s="158" customFormat="1" x14ac:dyDescent="0.3">
      <c r="B15" s="53" t="s">
        <v>24</v>
      </c>
      <c r="C15" s="53" t="s">
        <v>79</v>
      </c>
      <c r="D15" s="172">
        <v>24573393.1070856</v>
      </c>
      <c r="E15" s="53">
        <f t="shared" si="0"/>
        <v>17201375.17495992</v>
      </c>
      <c r="F15" s="1" t="str">
        <f t="shared" si="1"/>
        <v>ok</v>
      </c>
      <c r="G15" s="53">
        <f t="shared" si="2"/>
        <v>22116053.79637704</v>
      </c>
      <c r="H15" s="1" t="str">
        <f t="shared" si="3"/>
        <v>ok</v>
      </c>
      <c r="I15" s="78"/>
      <c r="L15" s="53"/>
      <c r="M15" s="53"/>
      <c r="N15" s="53"/>
      <c r="O15" s="53"/>
      <c r="P15" s="53"/>
    </row>
    <row r="16" spans="2:16" s="158" customFormat="1" x14ac:dyDescent="0.3">
      <c r="B16" s="53" t="s">
        <v>22</v>
      </c>
      <c r="C16" s="53" t="s">
        <v>79</v>
      </c>
      <c r="D16" s="172">
        <v>26047585.408537898</v>
      </c>
      <c r="E16" s="53">
        <f t="shared" si="0"/>
        <v>18233309.785976529</v>
      </c>
      <c r="F16" s="1" t="str">
        <f t="shared" si="1"/>
        <v>ok</v>
      </c>
      <c r="G16" s="53">
        <f t="shared" si="2"/>
        <v>23442826.867684107</v>
      </c>
      <c r="H16" s="1" t="str">
        <f t="shared" si="3"/>
        <v>ok</v>
      </c>
      <c r="I16" s="78"/>
      <c r="N16" s="53"/>
      <c r="O16" s="53"/>
    </row>
    <row r="19" spans="2:15" x14ac:dyDescent="0.3">
      <c r="B19" s="9" t="s">
        <v>80</v>
      </c>
    </row>
    <row r="20" spans="2:15" x14ac:dyDescent="0.3">
      <c r="B20" s="58" t="s">
        <v>93</v>
      </c>
      <c r="C20" s="59"/>
      <c r="D20" s="59"/>
      <c r="E20" s="59"/>
      <c r="F20" s="59"/>
      <c r="G20" s="59"/>
      <c r="H20" s="59"/>
    </row>
    <row r="21" spans="2:15" x14ac:dyDescent="0.3">
      <c r="B21" s="60" t="s">
        <v>9</v>
      </c>
      <c r="C21" s="60" t="s">
        <v>94</v>
      </c>
      <c r="D21" s="60" t="s">
        <v>95</v>
      </c>
      <c r="E21" s="71" t="s">
        <v>98</v>
      </c>
      <c r="F21" s="71"/>
      <c r="G21" s="71" t="s">
        <v>99</v>
      </c>
      <c r="H21" s="71"/>
      <c r="I21" s="76"/>
    </row>
    <row r="22" spans="2:15" x14ac:dyDescent="0.3">
      <c r="B22" s="61"/>
      <c r="C22" s="61"/>
      <c r="D22" s="61" t="s">
        <v>97</v>
      </c>
      <c r="E22" s="73"/>
      <c r="F22" s="73"/>
      <c r="G22" s="73"/>
      <c r="H22" s="73"/>
      <c r="I22" s="77"/>
    </row>
    <row r="23" spans="2:15" x14ac:dyDescent="0.3">
      <c r="B23" s="53" t="s">
        <v>189</v>
      </c>
      <c r="C23" s="53" t="s">
        <v>80</v>
      </c>
      <c r="D23" s="172">
        <v>1410972.0743750799</v>
      </c>
      <c r="E23" s="53">
        <f>0.7*D23</f>
        <v>987680.45206255594</v>
      </c>
      <c r="F23" s="1" t="str">
        <f>+IF(D23&lt;E22,"piso suave","ok")</f>
        <v>ok</v>
      </c>
      <c r="G23" s="53">
        <f>0.9*D23</f>
        <v>1269874.8669375719</v>
      </c>
      <c r="H23" s="1"/>
      <c r="M23" s="53"/>
      <c r="N23" s="53"/>
      <c r="O23" s="53"/>
    </row>
    <row r="24" spans="2:15" x14ac:dyDescent="0.3">
      <c r="B24" s="53" t="s">
        <v>187</v>
      </c>
      <c r="C24" s="53" t="s">
        <v>80</v>
      </c>
      <c r="D24" s="172">
        <v>12968977.5288906</v>
      </c>
      <c r="E24" s="53">
        <f>0.7*D24</f>
        <v>9078284.2702234201</v>
      </c>
      <c r="F24" s="1" t="str">
        <f>+IF(D24&lt;E23,"piso suave","ok")</f>
        <v>ok</v>
      </c>
      <c r="G24" s="53">
        <f>0.9*D24</f>
        <v>11672079.776001541</v>
      </c>
      <c r="H24" s="1" t="str">
        <f>+IF(D24&lt;AVERAGE(G21:G23),"piso suave","ok")</f>
        <v>ok</v>
      </c>
      <c r="M24" s="53"/>
      <c r="N24" s="53"/>
      <c r="O24" s="53"/>
    </row>
    <row r="25" spans="2:15" x14ac:dyDescent="0.3">
      <c r="B25" s="53" t="s">
        <v>185</v>
      </c>
      <c r="C25" s="53" t="s">
        <v>80</v>
      </c>
      <c r="D25" s="172">
        <v>17562741.1341764</v>
      </c>
      <c r="E25" s="53">
        <f>0.7*D25</f>
        <v>12293918.793923479</v>
      </c>
      <c r="F25" s="1" t="str">
        <f>+IF(D25&lt;E24,"piso suave","ok")</f>
        <v>ok</v>
      </c>
      <c r="G25" s="53">
        <f>0.9*D25</f>
        <v>15806467.020758759</v>
      </c>
      <c r="H25" s="1" t="str">
        <f>+IF(D25&lt;AVERAGE(G22:G24),"piso suave","ok")</f>
        <v>ok</v>
      </c>
      <c r="M25" s="53"/>
      <c r="N25" s="53"/>
      <c r="O25" s="53"/>
    </row>
    <row r="26" spans="2:15" x14ac:dyDescent="0.3">
      <c r="B26" s="53" t="s">
        <v>183</v>
      </c>
      <c r="C26" s="53" t="s">
        <v>80</v>
      </c>
      <c r="D26" s="172">
        <v>19488806.284965701</v>
      </c>
      <c r="E26" s="53">
        <f>0.7*D26</f>
        <v>13642164.39947599</v>
      </c>
      <c r="F26" s="1" t="str">
        <f>+IF(D26&lt;E25,"piso suave","ok")</f>
        <v>ok</v>
      </c>
      <c r="G26" s="53">
        <f>0.9*D26</f>
        <v>17539925.656469133</v>
      </c>
      <c r="H26" s="1" t="str">
        <f>+IF(D26&lt;AVERAGE(G23:G25),"piso suave","ok")</f>
        <v>ok</v>
      </c>
      <c r="M26" s="53"/>
      <c r="N26" s="53"/>
      <c r="O26" s="53"/>
    </row>
    <row r="27" spans="2:15" x14ac:dyDescent="0.3">
      <c r="B27" s="53" t="s">
        <v>181</v>
      </c>
      <c r="C27" s="53" t="s">
        <v>80</v>
      </c>
      <c r="D27" s="172">
        <v>20621485.3340002</v>
      </c>
      <c r="E27" s="53">
        <f>0.7*D27</f>
        <v>14435039.733800139</v>
      </c>
      <c r="F27" s="1" t="str">
        <f>+IF(D27&lt;E26,"piso suave","ok")</f>
        <v>ok</v>
      </c>
      <c r="G27" s="53">
        <f>0.9*D27</f>
        <v>18559336.800600182</v>
      </c>
      <c r="H27" s="1" t="str">
        <f>+IF(D27&lt;AVERAGE(G24:G26),"piso suave","ok")</f>
        <v>ok</v>
      </c>
      <c r="M27" s="53"/>
      <c r="N27" s="53"/>
      <c r="O27" s="53"/>
    </row>
    <row r="28" spans="2:15" s="158" customFormat="1" x14ac:dyDescent="0.3">
      <c r="B28" s="53" t="s">
        <v>179</v>
      </c>
      <c r="C28" s="53" t="s">
        <v>80</v>
      </c>
      <c r="D28" s="172">
        <v>21230738.197213601</v>
      </c>
      <c r="E28" s="53">
        <f t="shared" ref="E28:E33" si="4">0.7*D28</f>
        <v>14861516.73804952</v>
      </c>
      <c r="F28" s="1" t="str">
        <f t="shared" ref="F28:F33" si="5">+IF(D28&lt;E27,"piso suave","ok")</f>
        <v>ok</v>
      </c>
      <c r="G28" s="53">
        <f t="shared" ref="G28:G33" si="6">0.9*D28</f>
        <v>19107664.377492242</v>
      </c>
      <c r="H28" s="1" t="str">
        <f t="shared" ref="H28:H33" si="7">+IF(D28&lt;AVERAGE(G25:G27),"piso suave","ok")</f>
        <v>ok</v>
      </c>
      <c r="I28" s="75"/>
      <c r="M28" s="53"/>
      <c r="N28" s="53"/>
      <c r="O28" s="53"/>
    </row>
    <row r="29" spans="2:15" s="158" customFormat="1" x14ac:dyDescent="0.3">
      <c r="B29" s="53" t="s">
        <v>39</v>
      </c>
      <c r="C29" s="53" t="s">
        <v>80</v>
      </c>
      <c r="D29" s="172">
        <v>22522793.800576299</v>
      </c>
      <c r="E29" s="53">
        <f t="shared" si="4"/>
        <v>15765955.660403408</v>
      </c>
      <c r="F29" s="1" t="str">
        <f t="shared" si="5"/>
        <v>ok</v>
      </c>
      <c r="G29" s="53">
        <f t="shared" si="6"/>
        <v>20270514.42051867</v>
      </c>
      <c r="H29" s="1" t="str">
        <f t="shared" si="7"/>
        <v>ok</v>
      </c>
      <c r="I29" s="75"/>
      <c r="M29" s="53"/>
      <c r="N29" s="53"/>
      <c r="O29" s="53"/>
    </row>
    <row r="30" spans="2:15" s="158" customFormat="1" x14ac:dyDescent="0.3">
      <c r="B30" s="53" t="s">
        <v>26</v>
      </c>
      <c r="C30" s="53" t="s">
        <v>80</v>
      </c>
      <c r="D30" s="172">
        <v>23432949.574893098</v>
      </c>
      <c r="E30" s="53">
        <f t="shared" si="4"/>
        <v>16403064.702425167</v>
      </c>
      <c r="F30" s="1" t="str">
        <f t="shared" si="5"/>
        <v>ok</v>
      </c>
      <c r="G30" s="53">
        <f t="shared" si="6"/>
        <v>21089654.61740379</v>
      </c>
      <c r="H30" s="1" t="str">
        <f t="shared" si="7"/>
        <v>ok</v>
      </c>
      <c r="I30" s="75"/>
      <c r="M30" s="53"/>
      <c r="N30" s="53"/>
      <c r="O30" s="53"/>
    </row>
    <row r="31" spans="2:15" s="158" customFormat="1" x14ac:dyDescent="0.3">
      <c r="B31" s="53" t="s">
        <v>25</v>
      </c>
      <c r="C31" s="53" t="s">
        <v>80</v>
      </c>
      <c r="D31" s="172">
        <v>23996707.2019879</v>
      </c>
      <c r="E31" s="53">
        <f t="shared" si="4"/>
        <v>16797695.041391529</v>
      </c>
      <c r="F31" s="1" t="str">
        <f t="shared" si="5"/>
        <v>ok</v>
      </c>
      <c r="G31" s="53">
        <f t="shared" si="6"/>
        <v>21597036.481789112</v>
      </c>
      <c r="H31" s="1" t="str">
        <f t="shared" si="7"/>
        <v>ok</v>
      </c>
      <c r="I31" s="75"/>
      <c r="M31" s="53"/>
      <c r="N31" s="53"/>
      <c r="O31" s="53"/>
    </row>
    <row r="32" spans="2:15" s="158" customFormat="1" x14ac:dyDescent="0.3">
      <c r="B32" s="53" t="s">
        <v>24</v>
      </c>
      <c r="C32" s="53" t="s">
        <v>80</v>
      </c>
      <c r="D32" s="172">
        <v>24676884.437751599</v>
      </c>
      <c r="E32" s="53">
        <f t="shared" si="4"/>
        <v>17273819.10642612</v>
      </c>
      <c r="F32" s="1" t="str">
        <f t="shared" si="5"/>
        <v>ok</v>
      </c>
      <c r="G32" s="53">
        <f t="shared" si="6"/>
        <v>22209195.99397644</v>
      </c>
      <c r="H32" s="1" t="str">
        <f t="shared" si="7"/>
        <v>ok</v>
      </c>
      <c r="I32" s="75"/>
      <c r="M32" s="53"/>
      <c r="N32" s="53"/>
      <c r="O32" s="53"/>
    </row>
    <row r="33" spans="2:19" s="158" customFormat="1" x14ac:dyDescent="0.3">
      <c r="B33" s="53" t="s">
        <v>22</v>
      </c>
      <c r="C33" s="53" t="s">
        <v>80</v>
      </c>
      <c r="D33" s="172">
        <v>26145827.604986001</v>
      </c>
      <c r="E33" s="53">
        <f t="shared" si="4"/>
        <v>18302079.323490199</v>
      </c>
      <c r="F33" s="1" t="str">
        <f t="shared" si="5"/>
        <v>ok</v>
      </c>
      <c r="G33" s="53">
        <f t="shared" si="6"/>
        <v>23531244.844487403</v>
      </c>
      <c r="H33" s="1" t="str">
        <f t="shared" si="7"/>
        <v>ok</v>
      </c>
      <c r="I33" s="75"/>
      <c r="M33" s="53"/>
      <c r="N33" s="53"/>
      <c r="O33" s="53"/>
    </row>
    <row r="36" spans="2:19" x14ac:dyDescent="0.3">
      <c r="B36" s="9" t="s">
        <v>81</v>
      </c>
    </row>
    <row r="37" spans="2:19" x14ac:dyDescent="0.3">
      <c r="B37" s="62" t="s">
        <v>93</v>
      </c>
      <c r="C37" s="63"/>
      <c r="D37" s="63"/>
      <c r="E37" s="63"/>
      <c r="F37" s="63"/>
      <c r="G37" s="63"/>
      <c r="H37" s="63"/>
    </row>
    <row r="38" spans="2:19" x14ac:dyDescent="0.3">
      <c r="B38" s="64" t="s">
        <v>9</v>
      </c>
      <c r="C38" s="64" t="s">
        <v>94</v>
      </c>
      <c r="D38" s="65" t="s">
        <v>96</v>
      </c>
      <c r="E38" s="71" t="s">
        <v>98</v>
      </c>
      <c r="F38" s="71"/>
      <c r="G38" s="71" t="s">
        <v>99</v>
      </c>
      <c r="H38" s="71"/>
    </row>
    <row r="39" spans="2:19" x14ac:dyDescent="0.3">
      <c r="B39" s="66"/>
      <c r="C39" s="66"/>
      <c r="D39" s="67" t="s">
        <v>97</v>
      </c>
      <c r="E39" s="73"/>
      <c r="F39" s="73"/>
      <c r="G39" s="73"/>
      <c r="H39" s="73"/>
    </row>
    <row r="40" spans="2:19" x14ac:dyDescent="0.3">
      <c r="B40" s="53" t="s">
        <v>189</v>
      </c>
      <c r="C40" s="53" t="s">
        <v>81</v>
      </c>
      <c r="D40" s="172">
        <v>880191.04370321403</v>
      </c>
      <c r="E40" s="53">
        <f>0.7*D40</f>
        <v>616133.73059224978</v>
      </c>
      <c r="F40" s="1" t="str">
        <f>+IF(D40&lt;E39,"piso suave","ok")</f>
        <v>ok</v>
      </c>
      <c r="G40" s="53">
        <f>0.9*D40</f>
        <v>792171.93933289265</v>
      </c>
      <c r="H40" s="1"/>
      <c r="N40" s="53"/>
      <c r="O40" s="53"/>
      <c r="P40" s="53"/>
      <c r="Q40" s="53"/>
      <c r="R40" s="53"/>
      <c r="S40" s="53"/>
    </row>
    <row r="41" spans="2:19" x14ac:dyDescent="0.3">
      <c r="B41" s="53" t="s">
        <v>187</v>
      </c>
      <c r="C41" s="53" t="s">
        <v>81</v>
      </c>
      <c r="D41" s="172">
        <v>9109831.4219722897</v>
      </c>
      <c r="E41" s="53">
        <f>0.7*D41</f>
        <v>6376881.9953806028</v>
      </c>
      <c r="F41" s="1" t="str">
        <f>+IF(D41&lt;E40,"piso suave","ok")</f>
        <v>ok</v>
      </c>
      <c r="G41" s="53">
        <f>0.9*D41</f>
        <v>8198848.2797750607</v>
      </c>
      <c r="H41" s="1" t="str">
        <f>+IF(D41&lt;AVERAGE(G38:G40),"piso suave","ok")</f>
        <v>ok</v>
      </c>
      <c r="N41" s="53"/>
      <c r="O41" s="53"/>
      <c r="P41" s="53"/>
      <c r="Q41" s="53"/>
      <c r="R41" s="53"/>
      <c r="S41" s="53"/>
    </row>
    <row r="42" spans="2:19" x14ac:dyDescent="0.3">
      <c r="B42" s="53" t="s">
        <v>185</v>
      </c>
      <c r="C42" s="53" t="s">
        <v>81</v>
      </c>
      <c r="D42" s="172">
        <v>13430401.9953169</v>
      </c>
      <c r="E42" s="53">
        <f>0.7*D42</f>
        <v>9401281.3967218287</v>
      </c>
      <c r="F42" s="1" t="str">
        <f>+IF(D42&lt;E41,"piso suave","ok")</f>
        <v>ok</v>
      </c>
      <c r="G42" s="53">
        <f>0.9*D42</f>
        <v>12087361.795785211</v>
      </c>
      <c r="H42" s="1" t="str">
        <f>+IF(D42&lt;AVERAGE(G39:G41),"piso suave","ok")</f>
        <v>ok</v>
      </c>
      <c r="N42" s="53"/>
      <c r="O42" s="53"/>
      <c r="P42" s="53"/>
      <c r="Q42" s="53"/>
      <c r="R42" s="53"/>
      <c r="S42" s="53"/>
    </row>
    <row r="43" spans="2:19" x14ac:dyDescent="0.3">
      <c r="B43" s="53" t="s">
        <v>183</v>
      </c>
      <c r="C43" s="53" t="s">
        <v>81</v>
      </c>
      <c r="D43" s="172">
        <v>15462141.009285999</v>
      </c>
      <c r="E43" s="53">
        <f>0.7*D43</f>
        <v>10823498.706500199</v>
      </c>
      <c r="F43" s="1" t="str">
        <f>+IF(D43&lt;E42,"piso suave","ok")</f>
        <v>ok</v>
      </c>
      <c r="G43" s="53">
        <f>0.9*D43</f>
        <v>13915926.9083574</v>
      </c>
      <c r="H43" s="1" t="str">
        <f>+IF(D43&lt;AVERAGE(G40:G42),"piso suave","ok")</f>
        <v>ok</v>
      </c>
      <c r="N43" s="53"/>
      <c r="O43" s="53"/>
      <c r="P43" s="53"/>
      <c r="Q43" s="53"/>
      <c r="R43" s="53"/>
      <c r="S43" s="53"/>
    </row>
    <row r="44" spans="2:19" x14ac:dyDescent="0.3">
      <c r="B44" s="53" t="s">
        <v>181</v>
      </c>
      <c r="C44" s="53" t="s">
        <v>81</v>
      </c>
      <c r="D44" s="172">
        <v>16685037.606153701</v>
      </c>
      <c r="E44" s="53">
        <f>0.7*D44</f>
        <v>11679526.324307589</v>
      </c>
      <c r="F44" s="1" t="str">
        <f>+IF(D44&lt;E43,"piso suave","ok")</f>
        <v>ok</v>
      </c>
      <c r="G44" s="53">
        <f>0.9*D44</f>
        <v>15016533.845538331</v>
      </c>
      <c r="H44" s="1" t="str">
        <f>+IF(D44&lt;AVERAGE(G41:G43),"piso suave","ok")</f>
        <v>ok</v>
      </c>
      <c r="N44" s="53"/>
      <c r="O44" s="53"/>
      <c r="P44" s="53"/>
      <c r="Q44" s="53"/>
      <c r="R44" s="53"/>
      <c r="S44" s="53"/>
    </row>
    <row r="45" spans="2:19" s="158" customFormat="1" x14ac:dyDescent="0.3">
      <c r="B45" s="53" t="s">
        <v>179</v>
      </c>
      <c r="C45" s="53" t="s">
        <v>81</v>
      </c>
      <c r="D45" s="172">
        <v>17588540.2240748</v>
      </c>
      <c r="E45" s="53">
        <f t="shared" ref="E45:E50" si="8">0.7*D45</f>
        <v>12311978.156852359</v>
      </c>
      <c r="F45" s="1" t="str">
        <f t="shared" ref="F45:F50" si="9">+IF(D45&lt;E44,"piso suave","ok")</f>
        <v>ok</v>
      </c>
      <c r="G45" s="53">
        <f t="shared" ref="G45:G50" si="10">0.9*D45</f>
        <v>15829686.20166732</v>
      </c>
      <c r="H45" s="1" t="str">
        <f t="shared" ref="H45:H50" si="11">+IF(D45&lt;AVERAGE(G42:G44),"piso suave","ok")</f>
        <v>ok</v>
      </c>
      <c r="I45" s="75"/>
      <c r="N45" s="53"/>
      <c r="O45" s="53"/>
      <c r="P45" s="53"/>
      <c r="Q45" s="53"/>
      <c r="R45" s="53"/>
      <c r="S45" s="53"/>
    </row>
    <row r="46" spans="2:19" s="158" customFormat="1" x14ac:dyDescent="0.3">
      <c r="B46" s="53" t="s">
        <v>39</v>
      </c>
      <c r="C46" s="53" t="s">
        <v>81</v>
      </c>
      <c r="D46" s="172">
        <v>18436871.876660299</v>
      </c>
      <c r="E46" s="53">
        <f t="shared" si="8"/>
        <v>12905810.313662209</v>
      </c>
      <c r="F46" s="1" t="str">
        <f t="shared" si="9"/>
        <v>ok</v>
      </c>
      <c r="G46" s="53">
        <f t="shared" si="10"/>
        <v>16593184.68899427</v>
      </c>
      <c r="H46" s="1" t="str">
        <f t="shared" si="11"/>
        <v>ok</v>
      </c>
      <c r="I46" s="75"/>
      <c r="N46" s="53"/>
      <c r="O46" s="53"/>
      <c r="P46" s="53"/>
      <c r="Q46" s="53"/>
      <c r="R46" s="53"/>
      <c r="S46" s="53"/>
    </row>
    <row r="47" spans="2:19" s="158" customFormat="1" x14ac:dyDescent="0.3">
      <c r="B47" s="53" t="s">
        <v>26</v>
      </c>
      <c r="C47" s="53" t="s">
        <v>81</v>
      </c>
      <c r="D47" s="172">
        <v>19216405.827159401</v>
      </c>
      <c r="E47" s="53">
        <f t="shared" si="8"/>
        <v>13451484.07901158</v>
      </c>
      <c r="F47" s="1" t="str">
        <f t="shared" si="9"/>
        <v>ok</v>
      </c>
      <c r="G47" s="53">
        <f t="shared" si="10"/>
        <v>17294765.244443461</v>
      </c>
      <c r="H47" s="1" t="str">
        <f t="shared" si="11"/>
        <v>ok</v>
      </c>
      <c r="I47" s="75"/>
      <c r="N47" s="53"/>
      <c r="O47" s="53"/>
      <c r="P47" s="53"/>
      <c r="Q47" s="53"/>
      <c r="R47" s="53"/>
      <c r="S47" s="53"/>
    </row>
    <row r="48" spans="2:19" s="158" customFormat="1" x14ac:dyDescent="0.3">
      <c r="B48" s="53" t="s">
        <v>25</v>
      </c>
      <c r="C48" s="53" t="s">
        <v>81</v>
      </c>
      <c r="D48" s="172">
        <v>20149554.761376001</v>
      </c>
      <c r="E48" s="53">
        <f t="shared" si="8"/>
        <v>14104688.3329632</v>
      </c>
      <c r="F48" s="1" t="str">
        <f t="shared" si="9"/>
        <v>ok</v>
      </c>
      <c r="G48" s="53">
        <f t="shared" si="10"/>
        <v>18134599.2852384</v>
      </c>
      <c r="H48" s="1" t="str">
        <f t="shared" si="11"/>
        <v>ok</v>
      </c>
      <c r="I48" s="75"/>
      <c r="N48" s="53"/>
      <c r="O48" s="53"/>
      <c r="P48" s="53"/>
      <c r="Q48" s="53"/>
      <c r="R48" s="53"/>
      <c r="S48" s="53"/>
    </row>
    <row r="49" spans="2:19" s="158" customFormat="1" x14ac:dyDescent="0.3">
      <c r="B49" s="53" t="s">
        <v>24</v>
      </c>
      <c r="C49" s="53" t="s">
        <v>81</v>
      </c>
      <c r="D49" s="172">
        <v>21239956.409377601</v>
      </c>
      <c r="E49" s="53">
        <f t="shared" si="8"/>
        <v>14867969.48656432</v>
      </c>
      <c r="F49" s="1" t="str">
        <f t="shared" si="9"/>
        <v>ok</v>
      </c>
      <c r="G49" s="53">
        <f t="shared" si="10"/>
        <v>19115960.768439841</v>
      </c>
      <c r="H49" s="1" t="str">
        <f t="shared" si="11"/>
        <v>ok</v>
      </c>
      <c r="I49" s="75"/>
      <c r="N49" s="53"/>
      <c r="O49" s="53"/>
      <c r="P49" s="53"/>
      <c r="Q49" s="53"/>
      <c r="R49" s="53"/>
      <c r="S49" s="53"/>
    </row>
    <row r="50" spans="2:19" s="158" customFormat="1" x14ac:dyDescent="0.3">
      <c r="B50" s="53" t="s">
        <v>22</v>
      </c>
      <c r="C50" s="53" t="s">
        <v>81</v>
      </c>
      <c r="D50" s="172">
        <v>23857936.625999201</v>
      </c>
      <c r="E50" s="53">
        <f t="shared" si="8"/>
        <v>16700555.638199439</v>
      </c>
      <c r="F50" s="1" t="str">
        <f t="shared" si="9"/>
        <v>ok</v>
      </c>
      <c r="G50" s="53">
        <f t="shared" si="10"/>
        <v>21472142.96339928</v>
      </c>
      <c r="H50" s="1" t="str">
        <f t="shared" si="11"/>
        <v>ok</v>
      </c>
      <c r="I50" s="75"/>
      <c r="N50" s="53"/>
      <c r="O50" s="53"/>
      <c r="P50" s="53"/>
      <c r="Q50" s="53"/>
      <c r="R50" s="53"/>
      <c r="S50" s="53"/>
    </row>
    <row r="53" spans="2:19" x14ac:dyDescent="0.3">
      <c r="B53" s="9" t="s">
        <v>82</v>
      </c>
    </row>
    <row r="54" spans="2:19" x14ac:dyDescent="0.3">
      <c r="B54" s="69" t="s">
        <v>93</v>
      </c>
      <c r="C54" s="70"/>
      <c r="D54" s="70"/>
      <c r="E54" s="70"/>
      <c r="F54" s="70"/>
      <c r="G54" s="70"/>
      <c r="H54" s="70"/>
    </row>
    <row r="55" spans="2:19" x14ac:dyDescent="0.3">
      <c r="B55" s="71" t="s">
        <v>9</v>
      </c>
      <c r="C55" s="71" t="s">
        <v>94</v>
      </c>
      <c r="D55" s="72" t="s">
        <v>96</v>
      </c>
      <c r="E55" s="71" t="s">
        <v>98</v>
      </c>
      <c r="F55" s="71"/>
      <c r="G55" s="71" t="s">
        <v>99</v>
      </c>
      <c r="H55" s="71"/>
    </row>
    <row r="56" spans="2:19" x14ac:dyDescent="0.3">
      <c r="B56" s="73"/>
      <c r="C56" s="73"/>
      <c r="D56" s="74" t="s">
        <v>97</v>
      </c>
      <c r="E56" s="73"/>
      <c r="F56" s="73"/>
      <c r="G56" s="73"/>
      <c r="H56" s="73"/>
    </row>
    <row r="57" spans="2:19" x14ac:dyDescent="0.3">
      <c r="B57" s="53" t="s">
        <v>189</v>
      </c>
      <c r="C57" s="53" t="s">
        <v>82</v>
      </c>
      <c r="D57" s="172">
        <v>1027142.5215668801</v>
      </c>
      <c r="E57" s="53">
        <f>0.7*D57</f>
        <v>718999.765096816</v>
      </c>
      <c r="F57" s="1" t="str">
        <f>+IF(D57&lt;E56,"piso suave","ok")</f>
        <v>ok</v>
      </c>
      <c r="G57" s="53">
        <f>0.9*D57</f>
        <v>924428.26941019204</v>
      </c>
      <c r="H57" s="1"/>
      <c r="L57" s="53"/>
      <c r="M57" s="53"/>
      <c r="N57" s="53"/>
      <c r="O57" s="53"/>
      <c r="P57" s="53"/>
      <c r="Q57" s="53"/>
    </row>
    <row r="58" spans="2:19" x14ac:dyDescent="0.3">
      <c r="B58" s="53" t="s">
        <v>187</v>
      </c>
      <c r="C58" s="53" t="s">
        <v>82</v>
      </c>
      <c r="D58" s="172">
        <v>9721068.1267031394</v>
      </c>
      <c r="E58" s="53">
        <f>0.7*D58</f>
        <v>6804747.6886921972</v>
      </c>
      <c r="F58" s="1" t="str">
        <f>+IF(D58&lt;E57,"piso suave","ok")</f>
        <v>ok</v>
      </c>
      <c r="G58" s="53">
        <f>0.9*D58</f>
        <v>8748961.3140328266</v>
      </c>
      <c r="H58" s="1" t="str">
        <f>+IF(D58&lt;AVERAGE(G55:G57),"piso suave","ok")</f>
        <v>ok</v>
      </c>
      <c r="L58" s="53"/>
      <c r="M58" s="53"/>
      <c r="N58" s="53"/>
      <c r="O58" s="53"/>
      <c r="P58" s="53"/>
      <c r="Q58" s="53"/>
    </row>
    <row r="59" spans="2:19" x14ac:dyDescent="0.3">
      <c r="B59" s="53" t="s">
        <v>185</v>
      </c>
      <c r="C59" s="53" t="s">
        <v>82</v>
      </c>
      <c r="D59" s="172">
        <v>14728823.114141701</v>
      </c>
      <c r="E59" s="53">
        <f>0.7*D59</f>
        <v>10310176.17989919</v>
      </c>
      <c r="F59" s="1" t="str">
        <f>+IF(D59&lt;E58,"piso suave","ok")</f>
        <v>ok</v>
      </c>
      <c r="G59" s="53">
        <f>0.9*D59</f>
        <v>13255940.802727532</v>
      </c>
      <c r="H59" s="1" t="str">
        <f>+IF(D59&lt;AVERAGE(G56:G58),"piso suave","ok")</f>
        <v>ok</v>
      </c>
      <c r="L59" s="53"/>
      <c r="M59" s="53"/>
      <c r="N59" s="53"/>
      <c r="O59" s="53"/>
      <c r="P59" s="53"/>
      <c r="Q59" s="53"/>
    </row>
    <row r="60" spans="2:19" x14ac:dyDescent="0.3">
      <c r="B60" s="53" t="s">
        <v>183</v>
      </c>
      <c r="C60" s="53" t="s">
        <v>82</v>
      </c>
      <c r="D60" s="172">
        <v>16429799.1409282</v>
      </c>
      <c r="E60" s="53">
        <f>0.7*D60</f>
        <v>11500859.398649739</v>
      </c>
      <c r="F60" s="1" t="str">
        <f>+IF(D60&lt;E59,"piso suave","ok")</f>
        <v>ok</v>
      </c>
      <c r="G60" s="53">
        <f>0.9*D60</f>
        <v>14786819.226835379</v>
      </c>
      <c r="H60" s="1" t="str">
        <f>+IF(D60&lt;AVERAGE(G57:G59),"piso suave","ok")</f>
        <v>ok</v>
      </c>
      <c r="L60" s="53"/>
      <c r="M60" s="53"/>
      <c r="N60" s="53"/>
      <c r="O60" s="53"/>
      <c r="P60" s="53"/>
      <c r="Q60" s="53"/>
    </row>
    <row r="61" spans="2:19" x14ac:dyDescent="0.3">
      <c r="B61" s="53" t="s">
        <v>181</v>
      </c>
      <c r="C61" s="53" t="s">
        <v>82</v>
      </c>
      <c r="D61" s="172">
        <v>17412265.1402965</v>
      </c>
      <c r="E61" s="53">
        <f>0.7*D61</f>
        <v>12188585.59820755</v>
      </c>
      <c r="F61" s="1" t="str">
        <f>+IF(D61&lt;E60,"piso suave","ok")</f>
        <v>ok</v>
      </c>
      <c r="G61" s="53">
        <f>0.9*D61</f>
        <v>15671038.62626685</v>
      </c>
      <c r="H61" s="1" t="str">
        <f>+IF(D61&lt;AVERAGE(G58:G60),"piso suave","ok")</f>
        <v>ok</v>
      </c>
      <c r="L61" s="53"/>
      <c r="M61" s="53"/>
      <c r="N61" s="53"/>
      <c r="O61" s="53"/>
      <c r="P61" s="53"/>
      <c r="Q61" s="53"/>
    </row>
    <row r="62" spans="2:19" x14ac:dyDescent="0.3">
      <c r="B62" s="53" t="s">
        <v>179</v>
      </c>
      <c r="C62" s="53" t="s">
        <v>82</v>
      </c>
      <c r="D62" s="172">
        <v>18140465.867355999</v>
      </c>
      <c r="E62" s="53">
        <f t="shared" ref="E62:E67" si="12">0.7*D62</f>
        <v>12698326.107149199</v>
      </c>
      <c r="F62" s="1" t="str">
        <f t="shared" ref="F62:F67" si="13">+IF(D62&lt;E61,"piso suave","ok")</f>
        <v>ok</v>
      </c>
      <c r="G62" s="53">
        <f t="shared" ref="G62:G67" si="14">0.9*D62</f>
        <v>16326419.2806204</v>
      </c>
      <c r="H62" s="1" t="str">
        <f t="shared" ref="H62:H67" si="15">+IF(D62&lt;AVERAGE(G59:G61),"piso suave","ok")</f>
        <v>ok</v>
      </c>
      <c r="L62" s="53"/>
      <c r="M62" s="53"/>
      <c r="N62" s="53"/>
      <c r="O62" s="53"/>
      <c r="P62" s="53"/>
      <c r="Q62" s="53"/>
    </row>
    <row r="63" spans="2:19" x14ac:dyDescent="0.3">
      <c r="B63" s="53" t="s">
        <v>39</v>
      </c>
      <c r="C63" s="53" t="s">
        <v>82</v>
      </c>
      <c r="D63" s="172">
        <v>18811765.745684799</v>
      </c>
      <c r="E63" s="53">
        <f t="shared" si="12"/>
        <v>13168236.021979358</v>
      </c>
      <c r="F63" s="1" t="str">
        <f t="shared" si="13"/>
        <v>ok</v>
      </c>
      <c r="G63" s="53">
        <f t="shared" si="14"/>
        <v>16930589.171116319</v>
      </c>
      <c r="H63" s="1" t="str">
        <f t="shared" si="15"/>
        <v>ok</v>
      </c>
      <c r="L63" s="53"/>
      <c r="M63" s="53"/>
      <c r="N63" s="53"/>
      <c r="O63" s="53"/>
      <c r="P63" s="53"/>
      <c r="Q63" s="53"/>
    </row>
    <row r="64" spans="2:19" x14ac:dyDescent="0.3">
      <c r="B64" s="53" t="s">
        <v>26</v>
      </c>
      <c r="C64" s="53" t="s">
        <v>82</v>
      </c>
      <c r="D64" s="172">
        <v>19495867.024432201</v>
      </c>
      <c r="E64" s="53">
        <f t="shared" si="12"/>
        <v>13647106.91710254</v>
      </c>
      <c r="F64" s="1" t="str">
        <f t="shared" si="13"/>
        <v>ok</v>
      </c>
      <c r="G64" s="53">
        <f t="shared" si="14"/>
        <v>17546280.321988981</v>
      </c>
      <c r="H64" s="1" t="str">
        <f t="shared" si="15"/>
        <v>ok</v>
      </c>
      <c r="L64" s="53"/>
      <c r="M64" s="53"/>
      <c r="N64" s="53"/>
      <c r="O64" s="53"/>
      <c r="P64" s="53"/>
      <c r="Q64" s="53"/>
    </row>
    <row r="65" spans="2:17" x14ac:dyDescent="0.3">
      <c r="B65" s="53" t="s">
        <v>25</v>
      </c>
      <c r="C65" s="53" t="s">
        <v>82</v>
      </c>
      <c r="D65" s="172">
        <v>20239011.165047199</v>
      </c>
      <c r="E65" s="53">
        <f t="shared" si="12"/>
        <v>14167307.815533038</v>
      </c>
      <c r="F65" s="1" t="str">
        <f t="shared" si="13"/>
        <v>ok</v>
      </c>
      <c r="G65" s="53">
        <f t="shared" si="14"/>
        <v>18215110.048542481</v>
      </c>
      <c r="H65" s="1" t="str">
        <f t="shared" si="15"/>
        <v>ok</v>
      </c>
      <c r="L65" s="53"/>
      <c r="M65" s="53"/>
      <c r="N65" s="53"/>
      <c r="O65" s="53"/>
      <c r="P65" s="53"/>
      <c r="Q65" s="53"/>
    </row>
    <row r="66" spans="2:17" x14ac:dyDescent="0.3">
      <c r="B66" s="53" t="s">
        <v>24</v>
      </c>
      <c r="C66" s="53" t="s">
        <v>82</v>
      </c>
      <c r="D66" s="172">
        <v>21484356.939022899</v>
      </c>
      <c r="E66" s="53">
        <f t="shared" si="12"/>
        <v>15039049.857316028</v>
      </c>
      <c r="F66" s="1" t="str">
        <f t="shared" si="13"/>
        <v>ok</v>
      </c>
      <c r="G66" s="53">
        <f t="shared" si="14"/>
        <v>19335921.245120611</v>
      </c>
      <c r="H66" s="1" t="str">
        <f t="shared" si="15"/>
        <v>ok</v>
      </c>
      <c r="L66" s="53"/>
      <c r="M66" s="53"/>
      <c r="N66" s="53"/>
      <c r="O66" s="53"/>
      <c r="P66" s="53"/>
      <c r="Q66" s="53"/>
    </row>
    <row r="67" spans="2:17" x14ac:dyDescent="0.3">
      <c r="B67" s="53" t="s">
        <v>22</v>
      </c>
      <c r="C67" s="53" t="s">
        <v>82</v>
      </c>
      <c r="D67" s="172">
        <v>23965833.045020599</v>
      </c>
      <c r="E67" s="53">
        <f t="shared" si="12"/>
        <v>16776083.131514419</v>
      </c>
      <c r="F67" s="1" t="str">
        <f t="shared" si="13"/>
        <v>ok</v>
      </c>
      <c r="G67" s="53">
        <f t="shared" si="14"/>
        <v>21569249.74051854</v>
      </c>
      <c r="H67" s="1" t="str">
        <f t="shared" si="15"/>
        <v>ok</v>
      </c>
      <c r="L67" s="53"/>
      <c r="M67" s="53"/>
      <c r="N67" s="53"/>
      <c r="O67" s="53"/>
      <c r="P67" s="53"/>
      <c r="Q67" s="5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2:H18"/>
  <sheetViews>
    <sheetView workbookViewId="0">
      <selection activeCell="L33" sqref="L33"/>
    </sheetView>
  </sheetViews>
  <sheetFormatPr baseColWidth="10" defaultRowHeight="14.4" x14ac:dyDescent="0.3"/>
  <sheetData>
    <row r="2" spans="2:8" x14ac:dyDescent="0.3">
      <c r="B2" s="79" t="s">
        <v>103</v>
      </c>
    </row>
    <row r="4" spans="2:8" x14ac:dyDescent="0.3">
      <c r="B4" s="69" t="s">
        <v>8</v>
      </c>
      <c r="C4" s="70"/>
      <c r="D4" s="70"/>
      <c r="E4" s="70"/>
      <c r="F4" s="70"/>
      <c r="G4" s="70"/>
      <c r="H4" s="70"/>
    </row>
    <row r="5" spans="2:8" x14ac:dyDescent="0.3">
      <c r="B5" s="71" t="s">
        <v>9</v>
      </c>
      <c r="C5" s="71" t="s">
        <v>10</v>
      </c>
      <c r="D5" s="71" t="s">
        <v>11</v>
      </c>
      <c r="E5" s="71" t="s">
        <v>12</v>
      </c>
      <c r="F5" s="71" t="s">
        <v>40</v>
      </c>
      <c r="G5" s="80" t="s">
        <v>102</v>
      </c>
      <c r="H5" s="80" t="s">
        <v>74</v>
      </c>
    </row>
    <row r="6" spans="2:8" x14ac:dyDescent="0.3">
      <c r="B6" s="73"/>
      <c r="C6" s="73"/>
      <c r="D6" s="73" t="s">
        <v>21</v>
      </c>
      <c r="E6" s="73" t="s">
        <v>21</v>
      </c>
      <c r="F6" s="73" t="s">
        <v>41</v>
      </c>
      <c r="G6" s="81" t="s">
        <v>41</v>
      </c>
      <c r="H6" s="81"/>
    </row>
    <row r="7" spans="2:8" x14ac:dyDescent="0.3">
      <c r="B7" s="158" t="s">
        <v>189</v>
      </c>
      <c r="C7" s="158" t="s">
        <v>190</v>
      </c>
      <c r="D7" s="158">
        <f>+'Centers of Mass and Rigidity'!D5</f>
        <v>782.285475187766</v>
      </c>
      <c r="E7" s="171">
        <f>+'Centers of Mass and Rigidity'!E5</f>
        <v>782.285475187766</v>
      </c>
      <c r="F7" s="68">
        <f>+E7*9.807</f>
        <v>7671.8736551664215</v>
      </c>
      <c r="G7">
        <f>1.5*F7</f>
        <v>11507.810482749632</v>
      </c>
      <c r="H7" t="str">
        <f>+IF(F7&gt;G8,"Irregular","ok")</f>
        <v>ok</v>
      </c>
    </row>
    <row r="8" spans="2:8" x14ac:dyDescent="0.3">
      <c r="B8" s="158" t="s">
        <v>187</v>
      </c>
      <c r="C8" s="158" t="s">
        <v>188</v>
      </c>
      <c r="D8" s="171">
        <f>+'Centers of Mass and Rigidity'!D6</f>
        <v>7852.8803714260703</v>
      </c>
      <c r="E8" s="171">
        <f>+'Centers of Mass and Rigidity'!E6</f>
        <v>7852.8803714260703</v>
      </c>
      <c r="F8" s="68">
        <f t="shared" ref="F8:F17" si="0">+E8*9.807</f>
        <v>77013.19780257548</v>
      </c>
      <c r="G8" s="68">
        <f t="shared" ref="G8:G17" si="1">1.5*F8</f>
        <v>115519.79670386322</v>
      </c>
      <c r="H8" t="str">
        <f>+IF(F8&gt;G9,"Irregular","ok")</f>
        <v>ok</v>
      </c>
    </row>
    <row r="9" spans="2:8" x14ac:dyDescent="0.3">
      <c r="B9" s="158" t="s">
        <v>185</v>
      </c>
      <c r="C9" s="158" t="s">
        <v>186</v>
      </c>
      <c r="D9" s="171">
        <f>+'Centers of Mass and Rigidity'!D7</f>
        <v>9770.1866873913295</v>
      </c>
      <c r="E9" s="171">
        <f>+'Centers of Mass and Rigidity'!E7</f>
        <v>9770.1866873913295</v>
      </c>
      <c r="F9" s="68">
        <f t="shared" si="0"/>
        <v>95816.220843246774</v>
      </c>
      <c r="G9" s="68">
        <f t="shared" si="1"/>
        <v>143724.33126487015</v>
      </c>
      <c r="H9" s="68" t="str">
        <f>+IF(F9&gt;G10,"Irregular",IF(F9&gt;G8,"Irregular","ok"))</f>
        <v>ok</v>
      </c>
    </row>
    <row r="10" spans="2:8" x14ac:dyDescent="0.3">
      <c r="B10" s="158" t="s">
        <v>183</v>
      </c>
      <c r="C10" s="158" t="s">
        <v>184</v>
      </c>
      <c r="D10" s="171">
        <f>+'Centers of Mass and Rigidity'!D8</f>
        <v>9770.1866873913295</v>
      </c>
      <c r="E10" s="171">
        <f>+'Centers of Mass and Rigidity'!E8</f>
        <v>9770.1866873913295</v>
      </c>
      <c r="F10" s="68">
        <f t="shared" si="0"/>
        <v>95816.220843246774</v>
      </c>
      <c r="G10" s="68">
        <f t="shared" si="1"/>
        <v>143724.33126487015</v>
      </c>
      <c r="H10" s="68" t="str">
        <f>+IF(F10&gt;G11,"Irregular",IF(F10&gt;G9,"Irregular","ok"))</f>
        <v>ok</v>
      </c>
    </row>
    <row r="11" spans="2:8" x14ac:dyDescent="0.3">
      <c r="B11" s="158" t="s">
        <v>181</v>
      </c>
      <c r="C11" s="158" t="s">
        <v>182</v>
      </c>
      <c r="D11" s="171">
        <f>+'Centers of Mass and Rigidity'!D9</f>
        <v>9770.1866873913295</v>
      </c>
      <c r="E11" s="171">
        <f>+'Centers of Mass and Rigidity'!E9</f>
        <v>9770.1866873913295</v>
      </c>
      <c r="F11" s="68">
        <f t="shared" si="0"/>
        <v>95816.220843246774</v>
      </c>
      <c r="G11" s="68">
        <f t="shared" si="1"/>
        <v>143724.33126487015</v>
      </c>
      <c r="H11" s="68" t="str">
        <f>+IF(F11&gt;G10,"Irregular","ok")</f>
        <v>ok</v>
      </c>
    </row>
    <row r="12" spans="2:8" x14ac:dyDescent="0.3">
      <c r="B12" s="158" t="s">
        <v>179</v>
      </c>
      <c r="C12" s="158" t="s">
        <v>180</v>
      </c>
      <c r="D12" s="171">
        <f>+'Centers of Mass and Rigidity'!D10</f>
        <v>9770.1866873913295</v>
      </c>
      <c r="E12" s="171">
        <f>+'Centers of Mass and Rigidity'!E10</f>
        <v>9770.1866873913295</v>
      </c>
      <c r="F12" s="158">
        <f t="shared" si="0"/>
        <v>95816.220843246774</v>
      </c>
      <c r="G12" s="158">
        <f t="shared" si="1"/>
        <v>143724.33126487015</v>
      </c>
      <c r="H12" s="158" t="str">
        <f t="shared" ref="H12:H17" si="2">+IF(F12&gt;G11,"Irregular","ok")</f>
        <v>ok</v>
      </c>
    </row>
    <row r="13" spans="2:8" x14ac:dyDescent="0.3">
      <c r="B13" s="158" t="s">
        <v>39</v>
      </c>
      <c r="C13" s="158" t="s">
        <v>178</v>
      </c>
      <c r="D13" s="171">
        <f>+'Centers of Mass and Rigidity'!D11</f>
        <v>9770.1866873913295</v>
      </c>
      <c r="E13" s="171">
        <f>+'Centers of Mass and Rigidity'!E11</f>
        <v>9770.1866873913295</v>
      </c>
      <c r="F13" s="158">
        <f t="shared" si="0"/>
        <v>95816.220843246774</v>
      </c>
      <c r="G13" s="158">
        <f t="shared" si="1"/>
        <v>143724.33126487015</v>
      </c>
      <c r="H13" s="158" t="str">
        <f t="shared" si="2"/>
        <v>ok</v>
      </c>
    </row>
    <row r="14" spans="2:8" x14ac:dyDescent="0.3">
      <c r="B14" s="158" t="s">
        <v>26</v>
      </c>
      <c r="C14" s="158" t="s">
        <v>177</v>
      </c>
      <c r="D14" s="171">
        <f>+'Centers of Mass and Rigidity'!D12</f>
        <v>9903.8102972201505</v>
      </c>
      <c r="E14" s="171">
        <f>+'Centers of Mass and Rigidity'!E12</f>
        <v>9903.8102972201505</v>
      </c>
      <c r="F14" s="158">
        <f t="shared" si="0"/>
        <v>97126.667584838026</v>
      </c>
      <c r="G14" s="158">
        <f t="shared" si="1"/>
        <v>145690.00137725705</v>
      </c>
      <c r="H14" s="158" t="str">
        <f t="shared" si="2"/>
        <v>ok</v>
      </c>
    </row>
    <row r="15" spans="2:8" x14ac:dyDescent="0.3">
      <c r="B15" s="158" t="s">
        <v>25</v>
      </c>
      <c r="C15" s="158" t="s">
        <v>176</v>
      </c>
      <c r="D15" s="171">
        <f>+'Centers of Mass and Rigidity'!D13</f>
        <v>9903.8102972201505</v>
      </c>
      <c r="E15" s="171">
        <f>+'Centers of Mass and Rigidity'!E13</f>
        <v>9903.8102972201505</v>
      </c>
      <c r="F15" s="158">
        <f t="shared" si="0"/>
        <v>97126.667584838026</v>
      </c>
      <c r="G15" s="158">
        <f t="shared" si="1"/>
        <v>145690.00137725705</v>
      </c>
      <c r="H15" s="158" t="str">
        <f t="shared" si="2"/>
        <v>ok</v>
      </c>
    </row>
    <row r="16" spans="2:8" x14ac:dyDescent="0.3">
      <c r="B16" s="158" t="s">
        <v>24</v>
      </c>
      <c r="C16" s="158" t="s">
        <v>175</v>
      </c>
      <c r="D16" s="171">
        <f>+'Centers of Mass and Rigidity'!D14</f>
        <v>9903.8102972201505</v>
      </c>
      <c r="E16" s="171">
        <f>+'Centers of Mass and Rigidity'!E14</f>
        <v>9903.8102972201505</v>
      </c>
      <c r="F16" s="158">
        <f t="shared" si="0"/>
        <v>97126.667584838026</v>
      </c>
      <c r="G16" s="158">
        <f t="shared" si="1"/>
        <v>145690.00137725705</v>
      </c>
      <c r="H16" s="158" t="str">
        <f t="shared" si="2"/>
        <v>ok</v>
      </c>
    </row>
    <row r="17" spans="2:8" x14ac:dyDescent="0.3">
      <c r="B17" s="158" t="s">
        <v>22</v>
      </c>
      <c r="C17" s="158" t="s">
        <v>23</v>
      </c>
      <c r="D17" s="171">
        <f>+'Centers of Mass and Rigidity'!D15</f>
        <v>10258.927839682099</v>
      </c>
      <c r="E17" s="171">
        <f>+'Centers of Mass and Rigidity'!E15</f>
        <v>10258.927839682099</v>
      </c>
      <c r="F17" s="158">
        <f t="shared" si="0"/>
        <v>100609.30532376235</v>
      </c>
      <c r="G17" s="158">
        <f t="shared" si="1"/>
        <v>150913.95798564353</v>
      </c>
      <c r="H17" s="158" t="str">
        <f t="shared" si="2"/>
        <v>ok</v>
      </c>
    </row>
    <row r="18" spans="2:8" x14ac:dyDescent="0.3">
      <c r="E18" s="133" t="s">
        <v>3</v>
      </c>
      <c r="F18">
        <f>SUM(F7:F17)</f>
        <v>955755.48375225218</v>
      </c>
      <c r="G18">
        <f>1.5*F18</f>
        <v>1433633.2256283783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B2:P117"/>
  <sheetViews>
    <sheetView zoomScale="80" zoomScaleNormal="80" workbookViewId="0">
      <selection activeCell="L23" sqref="L23"/>
    </sheetView>
  </sheetViews>
  <sheetFormatPr baseColWidth="10" defaultRowHeight="14.4" x14ac:dyDescent="0.3"/>
  <cols>
    <col min="3" max="3" width="18.33203125" customWidth="1"/>
    <col min="9" max="9" width="17.21875" customWidth="1"/>
    <col min="10" max="10" width="13.44140625" customWidth="1"/>
    <col min="12" max="12" width="14.109375" customWidth="1"/>
    <col min="13" max="13" width="14" customWidth="1"/>
  </cols>
  <sheetData>
    <row r="2" spans="2:10" x14ac:dyDescent="0.3">
      <c r="B2" s="84" t="s">
        <v>45</v>
      </c>
      <c r="C2" s="85"/>
      <c r="D2" s="85"/>
      <c r="E2" s="85"/>
      <c r="F2" s="85"/>
      <c r="G2" s="85"/>
      <c r="H2" s="85"/>
      <c r="I2" s="85"/>
      <c r="J2" s="85"/>
    </row>
    <row r="3" spans="2:10" x14ac:dyDescent="0.3">
      <c r="B3" s="86" t="s">
        <v>9</v>
      </c>
      <c r="C3" s="86" t="s">
        <v>46</v>
      </c>
      <c r="D3" s="86" t="s">
        <v>47</v>
      </c>
      <c r="E3" s="86" t="s">
        <v>48</v>
      </c>
      <c r="F3" s="86" t="s">
        <v>49</v>
      </c>
      <c r="G3" s="86" t="s">
        <v>50</v>
      </c>
      <c r="H3" s="86" t="s">
        <v>51</v>
      </c>
      <c r="I3" s="86" t="s">
        <v>52</v>
      </c>
      <c r="J3" s="87" t="s">
        <v>53</v>
      </c>
    </row>
    <row r="4" spans="2:10" x14ac:dyDescent="0.3">
      <c r="B4" s="88"/>
      <c r="C4" s="88"/>
      <c r="D4" s="88"/>
      <c r="E4" s="88" t="s">
        <v>43</v>
      </c>
      <c r="F4" s="88" t="s">
        <v>43</v>
      </c>
      <c r="G4" s="88" t="s">
        <v>43</v>
      </c>
      <c r="H4" s="88" t="s">
        <v>54</v>
      </c>
      <c r="I4" s="88" t="s">
        <v>54</v>
      </c>
      <c r="J4" s="89" t="s">
        <v>54</v>
      </c>
    </row>
    <row r="5" spans="2:10" x14ac:dyDescent="0.3">
      <c r="B5" s="172" t="s">
        <v>189</v>
      </c>
      <c r="C5" s="172" t="s">
        <v>246</v>
      </c>
      <c r="D5" s="172" t="s">
        <v>242</v>
      </c>
      <c r="E5" s="172">
        <v>17697.5999999952</v>
      </c>
      <c r="F5" s="172">
        <v>3.8435246096923898E-9</v>
      </c>
      <c r="G5" s="172">
        <v>2.2564847768080699E-9</v>
      </c>
      <c r="H5" s="172">
        <v>9.29117049963679E-9</v>
      </c>
      <c r="I5" s="172">
        <v>106185.59999996499</v>
      </c>
      <c r="J5" s="172">
        <v>-327405.59999990201</v>
      </c>
    </row>
    <row r="6" spans="2:10" x14ac:dyDescent="0.3">
      <c r="B6" s="172" t="s">
        <v>187</v>
      </c>
      <c r="C6" s="172" t="s">
        <v>246</v>
      </c>
      <c r="D6" s="172" t="s">
        <v>242</v>
      </c>
      <c r="E6" s="172">
        <v>323681.75624991802</v>
      </c>
      <c r="F6" s="172">
        <v>-2.97056999443157E-7</v>
      </c>
      <c r="G6" s="172">
        <v>-2.5530624725433901E-8</v>
      </c>
      <c r="H6" s="172">
        <v>2.1729319996666201E-6</v>
      </c>
      <c r="I6" s="172">
        <v>2375036.2335931398</v>
      </c>
      <c r="J6" s="172">
        <v>-2984092.3769535301</v>
      </c>
    </row>
    <row r="7" spans="2:10" x14ac:dyDescent="0.3">
      <c r="B7" s="172" t="s">
        <v>185</v>
      </c>
      <c r="C7" s="172" t="s">
        <v>246</v>
      </c>
      <c r="D7" s="172" t="s">
        <v>242</v>
      </c>
      <c r="E7" s="172">
        <v>624502.31249986705</v>
      </c>
      <c r="F7" s="172">
        <v>-4.1517830595694202E-7</v>
      </c>
      <c r="G7" s="172">
        <v>-4.8571308752798399E-8</v>
      </c>
      <c r="H7" s="172">
        <v>2.9819352675986002E-6</v>
      </c>
      <c r="I7" s="172">
        <v>4605159.8671866897</v>
      </c>
      <c r="J7" s="172">
        <v>-5599599.4439077498</v>
      </c>
    </row>
    <row r="8" spans="2:10" x14ac:dyDescent="0.3">
      <c r="B8" s="172" t="s">
        <v>183</v>
      </c>
      <c r="C8" s="172" t="s">
        <v>246</v>
      </c>
      <c r="D8" s="172" t="s">
        <v>242</v>
      </c>
      <c r="E8" s="172">
        <v>925322.868749819</v>
      </c>
      <c r="F8" s="172">
        <v>-5.8245291256753304E-7</v>
      </c>
      <c r="G8" s="172">
        <v>-6.9554999981846803E-8</v>
      </c>
      <c r="H8" s="172">
        <v>4.18484705733135E-6</v>
      </c>
      <c r="I8" s="172">
        <v>6835283.5007802704</v>
      </c>
      <c r="J8" s="172">
        <v>-8215106.5108626299</v>
      </c>
    </row>
    <row r="9" spans="2:10" x14ac:dyDescent="0.3">
      <c r="B9" s="172" t="s">
        <v>181</v>
      </c>
      <c r="C9" s="172" t="s">
        <v>246</v>
      </c>
      <c r="D9" s="172" t="s">
        <v>242</v>
      </c>
      <c r="E9" s="172">
        <v>1226143.42499973</v>
      </c>
      <c r="F9" s="172">
        <v>-6.5421590988989898E-7</v>
      </c>
      <c r="G9" s="172">
        <v>-8.7812111360108194E-8</v>
      </c>
      <c r="H9" s="172">
        <v>4.5396618588711101E-6</v>
      </c>
      <c r="I9" s="172">
        <v>9065407.1343736891</v>
      </c>
      <c r="J9" s="172">
        <v>-10830613.577817401</v>
      </c>
    </row>
    <row r="10" spans="2:10" s="158" customFormat="1" x14ac:dyDescent="0.3">
      <c r="B10" s="172" t="s">
        <v>179</v>
      </c>
      <c r="C10" s="172" t="s">
        <v>246</v>
      </c>
      <c r="D10" s="172" t="s">
        <v>242</v>
      </c>
      <c r="E10" s="172">
        <v>1526963.98124968</v>
      </c>
      <c r="F10" s="172">
        <v>-6.7419250626699099E-7</v>
      </c>
      <c r="G10" s="172">
        <v>-1.02984131444828E-7</v>
      </c>
      <c r="H10" s="172">
        <v>4.6378563638427303E-6</v>
      </c>
      <c r="I10" s="172">
        <v>11295530.767967399</v>
      </c>
      <c r="J10" s="172">
        <v>-13446120.6447725</v>
      </c>
    </row>
    <row r="11" spans="2:10" s="158" customFormat="1" x14ac:dyDescent="0.3">
      <c r="B11" s="172" t="s">
        <v>39</v>
      </c>
      <c r="C11" s="172" t="s">
        <v>246</v>
      </c>
      <c r="D11" s="172" t="s">
        <v>242</v>
      </c>
      <c r="E11" s="172">
        <v>1827784.5374996399</v>
      </c>
      <c r="F11" s="172">
        <v>-7.0099667937029195E-7</v>
      </c>
      <c r="G11" s="172">
        <v>-1.1296185675746501E-7</v>
      </c>
      <c r="H11" s="172">
        <v>4.7718444875499699E-6</v>
      </c>
      <c r="I11" s="172">
        <v>13525654.401561299</v>
      </c>
      <c r="J11" s="172">
        <v>-16061627.7117278</v>
      </c>
    </row>
    <row r="12" spans="2:10" s="158" customFormat="1" x14ac:dyDescent="0.3">
      <c r="B12" s="172" t="s">
        <v>26</v>
      </c>
      <c r="C12" s="172" t="s">
        <v>246</v>
      </c>
      <c r="D12" s="172" t="s">
        <v>242</v>
      </c>
      <c r="E12" s="172">
        <v>2129915.4937496101</v>
      </c>
      <c r="F12" s="172">
        <v>-6.89779710683069E-7</v>
      </c>
      <c r="G12" s="172">
        <v>-1.1987779657829399E-7</v>
      </c>
      <c r="H12" s="172">
        <v>4.6865616241120699E-6</v>
      </c>
      <c r="I12" s="172">
        <v>15763640.4351553</v>
      </c>
      <c r="J12" s="172">
        <v>-18701377.178683199</v>
      </c>
    </row>
    <row r="13" spans="2:10" s="158" customFormat="1" x14ac:dyDescent="0.3">
      <c r="B13" s="172" t="s">
        <v>25</v>
      </c>
      <c r="C13" s="172" t="s">
        <v>246</v>
      </c>
      <c r="D13" s="172" t="s">
        <v>242</v>
      </c>
      <c r="E13" s="172">
        <v>2432046.4499995601</v>
      </c>
      <c r="F13" s="172">
        <v>-6.9699405003120805E-7</v>
      </c>
      <c r="G13" s="172">
        <v>-1.2419152994880299E-7</v>
      </c>
      <c r="H13" s="172">
        <v>4.7308967623394E-6</v>
      </c>
      <c r="I13" s="172">
        <v>18001626.468749098</v>
      </c>
      <c r="J13" s="172">
        <v>-21341126.645638399</v>
      </c>
    </row>
    <row r="14" spans="2:10" s="158" customFormat="1" x14ac:dyDescent="0.3">
      <c r="B14" s="172" t="s">
        <v>24</v>
      </c>
      <c r="C14" s="172" t="s">
        <v>246</v>
      </c>
      <c r="D14" s="172" t="s">
        <v>242</v>
      </c>
      <c r="E14" s="172">
        <v>2734177.4062495301</v>
      </c>
      <c r="F14" s="172">
        <v>-7.0327777734746601E-7</v>
      </c>
      <c r="G14" s="172">
        <v>-1.2633404367079501E-7</v>
      </c>
      <c r="H14" s="172">
        <v>4.7547193844366103E-6</v>
      </c>
      <c r="I14" s="172">
        <v>20239612.5023431</v>
      </c>
      <c r="J14" s="172">
        <v>-23980876.1125938</v>
      </c>
    </row>
    <row r="15" spans="2:10" s="158" customFormat="1" x14ac:dyDescent="0.3">
      <c r="B15" s="172" t="s">
        <v>22</v>
      </c>
      <c r="C15" s="172" t="s">
        <v>246</v>
      </c>
      <c r="D15" s="172" t="s">
        <v>242</v>
      </c>
      <c r="E15" s="172">
        <v>3119351.3624995002</v>
      </c>
      <c r="F15" s="172">
        <v>-7.0179876132670003E-7</v>
      </c>
      <c r="G15" s="172">
        <v>-1.2699002382987601E-7</v>
      </c>
      <c r="H15" s="172">
        <v>4.7328225036835596E-6</v>
      </c>
      <c r="I15" s="172">
        <v>23099813.535937101</v>
      </c>
      <c r="J15" s="172">
        <v>-27291295.229549501</v>
      </c>
    </row>
    <row r="16" spans="2:10" s="83" customFormat="1" x14ac:dyDescent="0.3"/>
    <row r="17" spans="2:16" s="83" customFormat="1" x14ac:dyDescent="0.3"/>
    <row r="18" spans="2:16" s="83" customFormat="1" x14ac:dyDescent="0.3">
      <c r="B18" s="9" t="s">
        <v>79</v>
      </c>
    </row>
    <row r="19" spans="2:16" s="83" customFormat="1" x14ac:dyDescent="0.3">
      <c r="B19" s="84" t="s">
        <v>68</v>
      </c>
      <c r="C19" s="85"/>
      <c r="D19" s="85"/>
      <c r="E19" s="204" t="s">
        <v>73</v>
      </c>
      <c r="F19" s="204"/>
      <c r="G19" s="204"/>
      <c r="H19" s="204"/>
      <c r="I19" s="204"/>
      <c r="J19" s="204"/>
      <c r="K19" s="204"/>
      <c r="L19" s="204"/>
      <c r="M19" s="204"/>
      <c r="N19" s="204"/>
      <c r="O19" s="178"/>
      <c r="P19" s="180"/>
    </row>
    <row r="20" spans="2:16" s="83" customFormat="1" x14ac:dyDescent="0.3">
      <c r="B20" s="86" t="s">
        <v>9</v>
      </c>
      <c r="C20" s="86" t="s">
        <v>69</v>
      </c>
      <c r="D20" s="86" t="s">
        <v>47</v>
      </c>
      <c r="E20" s="86" t="s">
        <v>70</v>
      </c>
      <c r="F20" s="82" t="s">
        <v>104</v>
      </c>
      <c r="G20" s="82" t="s">
        <v>105</v>
      </c>
      <c r="H20" s="82" t="s">
        <v>70</v>
      </c>
      <c r="I20" s="82" t="s">
        <v>106</v>
      </c>
      <c r="J20" s="82" t="s">
        <v>107</v>
      </c>
      <c r="K20" s="82" t="s">
        <v>108</v>
      </c>
      <c r="L20" s="82" t="s">
        <v>109</v>
      </c>
      <c r="M20" s="82" t="s">
        <v>110</v>
      </c>
      <c r="N20" s="82" t="s">
        <v>111</v>
      </c>
      <c r="O20" s="82" t="s">
        <v>113</v>
      </c>
    </row>
    <row r="21" spans="2:16" s="83" customFormat="1" x14ac:dyDescent="0.3">
      <c r="B21" s="88"/>
      <c r="C21" s="88" t="s">
        <v>7</v>
      </c>
      <c r="D21" s="88"/>
      <c r="E21" s="88" t="s">
        <v>7</v>
      </c>
      <c r="F21" s="82" t="s">
        <v>41</v>
      </c>
      <c r="G21" s="82" t="s">
        <v>41</v>
      </c>
      <c r="H21" s="82" t="s">
        <v>7</v>
      </c>
      <c r="I21" s="82" t="s">
        <v>7</v>
      </c>
      <c r="J21" s="82" t="s">
        <v>41</v>
      </c>
      <c r="K21" s="82" t="s">
        <v>7</v>
      </c>
      <c r="L21" s="82"/>
      <c r="M21" s="82"/>
      <c r="N21" s="82"/>
      <c r="O21" s="82">
        <v>1.1000000000000001</v>
      </c>
    </row>
    <row r="22" spans="2:16" s="83" customFormat="1" x14ac:dyDescent="0.3">
      <c r="B22" s="53" t="s">
        <v>189</v>
      </c>
      <c r="C22" s="53">
        <v>38.5</v>
      </c>
      <c r="D22" s="53" t="s">
        <v>72</v>
      </c>
      <c r="E22" s="53">
        <f>+'Irre. Torsional'!E6</f>
        <v>2.4726134099959399E-2</v>
      </c>
      <c r="F22" s="83">
        <f t="shared" ref="F22:F32" si="0">+E5</f>
        <v>17697.5999999952</v>
      </c>
      <c r="G22" s="83">
        <v>0</v>
      </c>
      <c r="H22" s="83">
        <f t="shared" ref="H22:H32" si="1">+E22</f>
        <v>2.4726134099959399E-2</v>
      </c>
      <c r="I22" s="83">
        <f t="shared" ref="I22:I31" si="2">+H22-H23</f>
        <v>-7.8090270019130076E-4</v>
      </c>
      <c r="J22" s="83">
        <f>IF(+'Sismo UBC-94 y Dinamico'!O15=0,'Sismo UBC-94 y Dinamico'!M15,'Sismo UBC-94 y Dinamico'!O15)</f>
        <v>1035.5319789528401</v>
      </c>
      <c r="K22" s="83">
        <f t="shared" ref="K22:K32" si="3">+C22</f>
        <v>38.5</v>
      </c>
      <c r="L22" s="83">
        <f>+G22*I22</f>
        <v>0</v>
      </c>
      <c r="M22" s="83">
        <f>+J22*K22</f>
        <v>39867.981189684346</v>
      </c>
      <c r="N22" s="83">
        <f>+L22/M22</f>
        <v>0</v>
      </c>
      <c r="O22" s="83" t="str">
        <f>+IF(N22&gt;O21,"P-DELTA","OK")</f>
        <v>OK</v>
      </c>
    </row>
    <row r="23" spans="2:16" s="83" customFormat="1" x14ac:dyDescent="0.3">
      <c r="B23" s="53" t="s">
        <v>187</v>
      </c>
      <c r="C23" s="53">
        <v>35.5</v>
      </c>
      <c r="D23" s="53" t="s">
        <v>72</v>
      </c>
      <c r="E23" s="53">
        <f>+'Irre. Torsional'!E7</f>
        <v>2.5507036800150699E-2</v>
      </c>
      <c r="F23" s="165">
        <f t="shared" si="0"/>
        <v>323681.75624991802</v>
      </c>
      <c r="G23" s="83">
        <f>+F23</f>
        <v>323681.75624991802</v>
      </c>
      <c r="H23" s="83">
        <f t="shared" si="1"/>
        <v>2.5507036800150699E-2</v>
      </c>
      <c r="I23" s="83">
        <f t="shared" si="2"/>
        <v>9.001377308024E-4</v>
      </c>
      <c r="J23" s="172">
        <f>IF(+'Sismo UBC-94 y Dinamico'!O16=0,'Sismo UBC-94 y Dinamico'!M16,'Sismo UBC-94 y Dinamico'!O16)</f>
        <v>11717.21235704896</v>
      </c>
      <c r="K23" s="172">
        <f t="shared" si="3"/>
        <v>35.5</v>
      </c>
      <c r="L23" s="83">
        <f t="shared" ref="L23:L32" si="4">+G23*I23</f>
        <v>291.35816157293675</v>
      </c>
      <c r="M23" s="83">
        <f t="shared" ref="M23:M32" si="5">+J23*K23</f>
        <v>415961.03867523809</v>
      </c>
      <c r="N23" s="83">
        <f t="shared" ref="N23:N32" si="6">+L23/M23</f>
        <v>7.0044579776235938E-4</v>
      </c>
      <c r="O23" s="83" t="str">
        <f t="shared" ref="O23:O32" si="7">+IF(N23&gt;O22,"P-DELTA","OK")</f>
        <v>OK</v>
      </c>
    </row>
    <row r="24" spans="2:16" s="83" customFormat="1" x14ac:dyDescent="0.3">
      <c r="B24" s="53" t="s">
        <v>185</v>
      </c>
      <c r="C24" s="53">
        <v>32</v>
      </c>
      <c r="D24" s="53" t="s">
        <v>72</v>
      </c>
      <c r="E24" s="53">
        <f>+'Irre. Torsional'!E8</f>
        <v>2.4606899069348299E-2</v>
      </c>
      <c r="F24" s="165">
        <f t="shared" si="0"/>
        <v>624502.31249986705</v>
      </c>
      <c r="G24" s="83">
        <f>+F24-F23</f>
        <v>300820.55624994903</v>
      </c>
      <c r="H24" s="83">
        <f t="shared" si="1"/>
        <v>2.4606899069348299E-2</v>
      </c>
      <c r="I24" s="83">
        <f t="shared" si="2"/>
        <v>1.436387375948301E-3</v>
      </c>
      <c r="J24" s="172">
        <f>IF(+'Sismo UBC-94 y Dinamico'!O17=0,'Sismo UBC-94 y Dinamico'!M17,'Sismo UBC-94 y Dinamico'!O17)</f>
        <v>13148.422535879701</v>
      </c>
      <c r="K24" s="172">
        <f t="shared" si="3"/>
        <v>32</v>
      </c>
      <c r="L24" s="83">
        <f t="shared" si="4"/>
        <v>432.0948494231726</v>
      </c>
      <c r="M24" s="83">
        <f t="shared" si="5"/>
        <v>420749.52114815044</v>
      </c>
      <c r="N24" s="83">
        <f t="shared" si="6"/>
        <v>1.0269645661011397E-3</v>
      </c>
      <c r="O24" s="83" t="str">
        <f t="shared" si="7"/>
        <v>OK</v>
      </c>
    </row>
    <row r="25" spans="2:16" s="83" customFormat="1" x14ac:dyDescent="0.3">
      <c r="B25" s="53" t="s">
        <v>183</v>
      </c>
      <c r="C25" s="53">
        <v>28.5</v>
      </c>
      <c r="D25" s="53" t="s">
        <v>72</v>
      </c>
      <c r="E25" s="53">
        <f>+'Irre. Torsional'!E9</f>
        <v>2.3170511693399998E-2</v>
      </c>
      <c r="F25" s="165">
        <f t="shared" si="0"/>
        <v>925322.868749819</v>
      </c>
      <c r="G25" s="83">
        <f>+F25-F24</f>
        <v>300820.55624995194</v>
      </c>
      <c r="H25" s="83">
        <f t="shared" si="1"/>
        <v>2.3170511693399998E-2</v>
      </c>
      <c r="I25" s="83">
        <f t="shared" si="2"/>
        <v>1.9354480519138996E-3</v>
      </c>
      <c r="J25" s="172">
        <f>IF(+'Sismo UBC-94 y Dinamico'!O18=0,'Sismo UBC-94 y Dinamico'!M18,'Sismo UBC-94 y Dinamico'!O18)</f>
        <v>11240.235676660897</v>
      </c>
      <c r="K25" s="172">
        <f t="shared" si="3"/>
        <v>28.5</v>
      </c>
      <c r="L25" s="83">
        <f t="shared" si="4"/>
        <v>582.2225595696251</v>
      </c>
      <c r="M25" s="83">
        <f t="shared" si="5"/>
        <v>320346.71678483556</v>
      </c>
      <c r="N25" s="83">
        <f t="shared" si="6"/>
        <v>1.8174762813651104E-3</v>
      </c>
      <c r="O25" s="83" t="str">
        <f t="shared" si="7"/>
        <v>OK</v>
      </c>
    </row>
    <row r="26" spans="2:16" s="83" customFormat="1" x14ac:dyDescent="0.3">
      <c r="B26" s="53" t="s">
        <v>181</v>
      </c>
      <c r="C26" s="53">
        <v>25</v>
      </c>
      <c r="D26" s="53" t="s">
        <v>72</v>
      </c>
      <c r="E26" s="53">
        <f>+'Irre. Torsional'!E10</f>
        <v>2.1235063641486099E-2</v>
      </c>
      <c r="F26" s="165">
        <f t="shared" si="0"/>
        <v>1226143.42499973</v>
      </c>
      <c r="G26" s="83">
        <f>+F26-F25</f>
        <v>300820.55624991097</v>
      </c>
      <c r="H26" s="83">
        <f t="shared" si="1"/>
        <v>2.1235063641486099E-2</v>
      </c>
      <c r="I26" s="83">
        <f t="shared" si="2"/>
        <v>2.3594787967086001E-3</v>
      </c>
      <c r="J26" s="172">
        <f>IF(+'Sismo UBC-94 y Dinamico'!O19=0,'Sismo UBC-94 y Dinamico'!M19,'Sismo UBC-94 y Dinamico'!O19)</f>
        <v>9605.215192661999</v>
      </c>
      <c r="K26" s="172">
        <f t="shared" si="3"/>
        <v>25</v>
      </c>
      <c r="L26" s="83">
        <f t="shared" si="4"/>
        <v>709.7797240857517</v>
      </c>
      <c r="M26" s="83">
        <f t="shared" si="5"/>
        <v>240130.37981654998</v>
      </c>
      <c r="N26" s="83">
        <f t="shared" si="6"/>
        <v>2.9558097756227056E-3</v>
      </c>
      <c r="O26" s="83" t="str">
        <f t="shared" si="7"/>
        <v>OK</v>
      </c>
    </row>
    <row r="27" spans="2:16" s="158" customFormat="1" x14ac:dyDescent="0.3">
      <c r="B27" s="53" t="s">
        <v>179</v>
      </c>
      <c r="C27" s="53">
        <v>21.5</v>
      </c>
      <c r="D27" s="53" t="s">
        <v>72</v>
      </c>
      <c r="E27" s="53">
        <f>+'Irre. Torsional'!E11</f>
        <v>1.8875584844777499E-2</v>
      </c>
      <c r="F27" s="165">
        <f t="shared" si="0"/>
        <v>1526963.98124968</v>
      </c>
      <c r="G27" s="165">
        <f t="shared" ref="G27:G32" si="8">+F27-F26</f>
        <v>300820.55624995008</v>
      </c>
      <c r="H27" s="165">
        <f t="shared" si="1"/>
        <v>1.8875584844777499E-2</v>
      </c>
      <c r="I27" s="165">
        <f t="shared" si="2"/>
        <v>2.7150388950833992E-3</v>
      </c>
      <c r="J27" s="172">
        <f>IF(+'Sismo UBC-94 y Dinamico'!O20=0,'Sismo UBC-94 y Dinamico'!M20,'Sismo UBC-94 y Dinamico'!O20)</f>
        <v>8285.9033632193023</v>
      </c>
      <c r="K27" s="172">
        <f t="shared" si="3"/>
        <v>21.5</v>
      </c>
      <c r="L27" s="165">
        <f t="shared" si="4"/>
        <v>816.73951065923802</v>
      </c>
      <c r="M27" s="165">
        <f t="shared" si="5"/>
        <v>178146.92230921501</v>
      </c>
      <c r="N27" s="165">
        <f t="shared" si="6"/>
        <v>4.5846400267392697E-3</v>
      </c>
      <c r="O27" s="165" t="str">
        <f t="shared" si="7"/>
        <v>OK</v>
      </c>
    </row>
    <row r="28" spans="2:16" s="158" customFormat="1" x14ac:dyDescent="0.3">
      <c r="B28" s="53" t="s">
        <v>39</v>
      </c>
      <c r="C28" s="53">
        <v>18</v>
      </c>
      <c r="D28" s="53" t="s">
        <v>72</v>
      </c>
      <c r="E28" s="53">
        <f>+'Irre. Torsional'!E12</f>
        <v>1.61605459496941E-2</v>
      </c>
      <c r="F28" s="165">
        <f t="shared" si="0"/>
        <v>1827784.5374996399</v>
      </c>
      <c r="G28" s="165">
        <f t="shared" si="8"/>
        <v>300820.55624995986</v>
      </c>
      <c r="H28" s="165">
        <f t="shared" si="1"/>
        <v>1.61605459496941E-2</v>
      </c>
      <c r="I28" s="165">
        <f t="shared" si="2"/>
        <v>2.9644300354579999E-3</v>
      </c>
      <c r="J28" s="172">
        <f>IF(+'Sismo UBC-94 y Dinamico'!O21=0,'Sismo UBC-94 y Dinamico'!M21,'Sismo UBC-94 y Dinamico'!O21)</f>
        <v>7191.3044052373007</v>
      </c>
      <c r="K28" s="172">
        <f t="shared" si="3"/>
        <v>18</v>
      </c>
      <c r="L28" s="165">
        <f t="shared" si="4"/>
        <v>891.76149223056382</v>
      </c>
      <c r="M28" s="165">
        <f t="shared" si="5"/>
        <v>129443.47929427141</v>
      </c>
      <c r="N28" s="165">
        <f t="shared" si="6"/>
        <v>6.8891959416763696E-3</v>
      </c>
      <c r="O28" s="165" t="str">
        <f t="shared" si="7"/>
        <v>OK</v>
      </c>
    </row>
    <row r="29" spans="2:16" s="158" customFormat="1" x14ac:dyDescent="0.3">
      <c r="B29" s="53" t="s">
        <v>26</v>
      </c>
      <c r="C29" s="53">
        <v>14.5</v>
      </c>
      <c r="D29" s="53" t="s">
        <v>72</v>
      </c>
      <c r="E29" s="53">
        <f>+'Irre. Torsional'!E13</f>
        <v>1.31961159142361E-2</v>
      </c>
      <c r="F29" s="165">
        <f t="shared" si="0"/>
        <v>2129915.4937496101</v>
      </c>
      <c r="G29" s="165">
        <f t="shared" si="8"/>
        <v>302130.95624997024</v>
      </c>
      <c r="H29" s="165">
        <f t="shared" si="1"/>
        <v>1.31961159142361E-2</v>
      </c>
      <c r="I29" s="165">
        <f t="shared" si="2"/>
        <v>3.1518698070015991E-3</v>
      </c>
      <c r="J29" s="172">
        <f>IF(+'Sismo UBC-94 y Dinamico'!O22=0,'Sismo UBC-94 y Dinamico'!M22,'Sismo UBC-94 y Dinamico'!O22)</f>
        <v>6272.6308020294018</v>
      </c>
      <c r="K29" s="172">
        <f t="shared" si="3"/>
        <v>14.5</v>
      </c>
      <c r="L29" s="165">
        <f t="shared" si="4"/>
        <v>952.27743876480224</v>
      </c>
      <c r="M29" s="165">
        <f t="shared" si="5"/>
        <v>90953.146629426323</v>
      </c>
      <c r="N29" s="165">
        <f t="shared" si="6"/>
        <v>1.0469977939792457E-2</v>
      </c>
      <c r="O29" s="165" t="str">
        <f t="shared" si="7"/>
        <v>OK</v>
      </c>
    </row>
    <row r="30" spans="2:16" s="158" customFormat="1" x14ac:dyDescent="0.3">
      <c r="B30" s="53" t="s">
        <v>25</v>
      </c>
      <c r="C30" s="53">
        <v>11</v>
      </c>
      <c r="D30" s="53" t="s">
        <v>72</v>
      </c>
      <c r="E30" s="53">
        <f>+'Irre. Torsional'!E14</f>
        <v>1.0044246107234501E-2</v>
      </c>
      <c r="F30" s="165">
        <f t="shared" si="0"/>
        <v>2432046.4499995601</v>
      </c>
      <c r="G30" s="165">
        <f t="shared" si="8"/>
        <v>302130.95624994999</v>
      </c>
      <c r="H30" s="165">
        <f t="shared" si="1"/>
        <v>1.0044246107234501E-2</v>
      </c>
      <c r="I30" s="165">
        <f t="shared" si="2"/>
        <v>3.3221659709462403E-3</v>
      </c>
      <c r="J30" s="172">
        <f>IF(+'Sismo UBC-94 y Dinamico'!O23=0,'Sismo UBC-94 y Dinamico'!M23,'Sismo UBC-94 y Dinamico'!O23)</f>
        <v>5307.7112042578956</v>
      </c>
      <c r="K30" s="172">
        <f t="shared" si="3"/>
        <v>11</v>
      </c>
      <c r="L30" s="165">
        <f t="shared" si="4"/>
        <v>1003.7291816230312</v>
      </c>
      <c r="M30" s="165">
        <f t="shared" si="5"/>
        <v>58384.823246836851</v>
      </c>
      <c r="N30" s="165">
        <f t="shared" si="6"/>
        <v>1.7191611206554623E-2</v>
      </c>
      <c r="O30" s="165" t="str">
        <f t="shared" si="7"/>
        <v>OK</v>
      </c>
    </row>
    <row r="31" spans="2:16" s="158" customFormat="1" x14ac:dyDescent="0.3">
      <c r="B31" s="53" t="s">
        <v>24</v>
      </c>
      <c r="C31" s="53">
        <v>7.5</v>
      </c>
      <c r="D31" s="53" t="s">
        <v>72</v>
      </c>
      <c r="E31" s="53">
        <f>+'Irre. Torsional'!E15</f>
        <v>6.7220801362882603E-3</v>
      </c>
      <c r="F31" s="165">
        <f t="shared" si="0"/>
        <v>2734177.4062495301</v>
      </c>
      <c r="G31" s="165">
        <f t="shared" si="8"/>
        <v>302130.95624997001</v>
      </c>
      <c r="H31" s="165">
        <f t="shared" si="1"/>
        <v>6.7220801362882603E-3</v>
      </c>
      <c r="I31" s="165">
        <f t="shared" si="2"/>
        <v>3.4140570692204201E-3</v>
      </c>
      <c r="J31" s="172">
        <f>IF(+'Sismo UBC-94 y Dinamico'!O24=0,'Sismo UBC-94 y Dinamico'!M24,'Sismo UBC-94 y Dinamico'!O24)</f>
        <v>4103.815429565002</v>
      </c>
      <c r="K31" s="172">
        <f t="shared" si="3"/>
        <v>7.5</v>
      </c>
      <c r="L31" s="165">
        <f t="shared" si="4"/>
        <v>1031.4923270155355</v>
      </c>
      <c r="M31" s="165">
        <f t="shared" si="5"/>
        <v>30778.615721737515</v>
      </c>
      <c r="N31" s="165">
        <f t="shared" si="6"/>
        <v>3.3513278710810897E-2</v>
      </c>
      <c r="O31" s="165" t="str">
        <f t="shared" si="7"/>
        <v>OK</v>
      </c>
    </row>
    <row r="32" spans="2:16" s="158" customFormat="1" x14ac:dyDescent="0.3">
      <c r="B32" s="53" t="s">
        <v>22</v>
      </c>
      <c r="C32" s="53">
        <v>4</v>
      </c>
      <c r="D32" s="53" t="s">
        <v>72</v>
      </c>
      <c r="E32" s="53">
        <f>+'Irre. Torsional'!E16</f>
        <v>3.3080230670678402E-3</v>
      </c>
      <c r="F32" s="165">
        <f t="shared" si="0"/>
        <v>3119351.3624995002</v>
      </c>
      <c r="G32" s="165">
        <f t="shared" si="8"/>
        <v>385173.95624997001</v>
      </c>
      <c r="H32" s="165">
        <f t="shared" si="1"/>
        <v>3.3080230670678402E-3</v>
      </c>
      <c r="I32" s="165">
        <f>+H32-I33</f>
        <v>3.3080230670678402E-3</v>
      </c>
      <c r="J32" s="172">
        <f>IF(+'Sismo UBC-94 y Dinamico'!O25=0,'Sismo UBC-94 y Dinamico'!M25,'Sismo UBC-94 y Dinamico'!O25)</f>
        <v>2416.5418343555066</v>
      </c>
      <c r="K32" s="172">
        <f t="shared" si="3"/>
        <v>4</v>
      </c>
      <c r="L32" s="165">
        <f t="shared" si="4"/>
        <v>1274.1643321086799</v>
      </c>
      <c r="M32" s="165">
        <f t="shared" si="5"/>
        <v>9666.1673374220263</v>
      </c>
      <c r="N32" s="165">
        <f t="shared" si="6"/>
        <v>0.13181691229116466</v>
      </c>
      <c r="O32" s="165" t="str">
        <f t="shared" si="7"/>
        <v>OK</v>
      </c>
    </row>
    <row r="33" spans="2:16" s="83" customFormat="1" x14ac:dyDescent="0.3">
      <c r="B33" s="53" t="s">
        <v>44</v>
      </c>
      <c r="C33" s="53">
        <v>0</v>
      </c>
      <c r="D33" s="53" t="s">
        <v>72</v>
      </c>
      <c r="E33" s="53">
        <v>0</v>
      </c>
      <c r="F33" s="53"/>
    </row>
    <row r="34" spans="2:16" s="83" customFormat="1" x14ac:dyDescent="0.3"/>
    <row r="35" spans="2:16" s="83" customFormat="1" x14ac:dyDescent="0.3"/>
    <row r="36" spans="2:16" s="83" customFormat="1" x14ac:dyDescent="0.3">
      <c r="B36" s="9" t="s">
        <v>80</v>
      </c>
    </row>
    <row r="37" spans="2:16" s="83" customFormat="1" x14ac:dyDescent="0.3">
      <c r="B37" s="84" t="s">
        <v>68</v>
      </c>
      <c r="C37" s="85"/>
      <c r="D37" s="85"/>
      <c r="E37" s="204" t="s">
        <v>73</v>
      </c>
      <c r="F37" s="204"/>
      <c r="G37" s="204"/>
      <c r="H37" s="204"/>
      <c r="I37" s="204"/>
      <c r="J37" s="204"/>
      <c r="K37" s="204"/>
      <c r="L37" s="204"/>
      <c r="M37" s="204"/>
      <c r="N37" s="204"/>
      <c r="O37" s="178"/>
      <c r="P37" s="180"/>
    </row>
    <row r="38" spans="2:16" s="83" customFormat="1" x14ac:dyDescent="0.3">
      <c r="B38" s="86" t="s">
        <v>9</v>
      </c>
      <c r="C38" s="86" t="s">
        <v>69</v>
      </c>
      <c r="D38" s="86" t="s">
        <v>47</v>
      </c>
      <c r="E38" s="86" t="s">
        <v>70</v>
      </c>
      <c r="F38" s="82" t="s">
        <v>104</v>
      </c>
      <c r="G38" s="82" t="s">
        <v>105</v>
      </c>
      <c r="H38" s="82" t="s">
        <v>70</v>
      </c>
      <c r="I38" s="82" t="s">
        <v>106</v>
      </c>
      <c r="J38" s="82" t="s">
        <v>107</v>
      </c>
      <c r="K38" s="82" t="s">
        <v>108</v>
      </c>
      <c r="L38" s="82" t="s">
        <v>109</v>
      </c>
      <c r="M38" s="82" t="s">
        <v>110</v>
      </c>
      <c r="N38" s="82" t="s">
        <v>111</v>
      </c>
      <c r="O38" s="82" t="s">
        <v>113</v>
      </c>
    </row>
    <row r="39" spans="2:16" s="83" customFormat="1" x14ac:dyDescent="0.3">
      <c r="B39" s="173"/>
      <c r="C39" s="173" t="s">
        <v>7</v>
      </c>
      <c r="D39" s="173"/>
      <c r="E39" s="173" t="s">
        <v>7</v>
      </c>
      <c r="F39" s="82" t="s">
        <v>41</v>
      </c>
      <c r="G39" s="82" t="s">
        <v>41</v>
      </c>
      <c r="H39" s="82" t="s">
        <v>7</v>
      </c>
      <c r="I39" s="82" t="s">
        <v>7</v>
      </c>
      <c r="J39" s="82" t="s">
        <v>41</v>
      </c>
      <c r="K39" s="82" t="s">
        <v>7</v>
      </c>
      <c r="L39" s="82"/>
      <c r="M39" s="82"/>
      <c r="N39" s="82"/>
      <c r="O39" s="82">
        <v>1.1000000000000001</v>
      </c>
    </row>
    <row r="40" spans="2:16" s="83" customFormat="1" x14ac:dyDescent="0.3">
      <c r="B40" s="53" t="s">
        <v>189</v>
      </c>
      <c r="C40" s="53">
        <v>38.5</v>
      </c>
      <c r="D40" s="53" t="s">
        <v>72</v>
      </c>
      <c r="E40" s="53">
        <f>+'Irre. Torsional'!E24</f>
        <v>2.53896948967803E-2</v>
      </c>
      <c r="F40" s="165">
        <f t="shared" ref="F40:F50" si="9">+E5</f>
        <v>17697.5999999952</v>
      </c>
      <c r="G40" s="165">
        <v>0</v>
      </c>
      <c r="H40" s="165">
        <f t="shared" ref="H40:H50" si="10">+E40</f>
        <v>2.53896948967803E-2</v>
      </c>
      <c r="I40" s="165">
        <f t="shared" ref="I40:I49" si="11">+H40-H41</f>
        <v>-1.775516469030014E-4</v>
      </c>
      <c r="J40" s="165">
        <f>+J22</f>
        <v>1035.5319789528401</v>
      </c>
      <c r="K40" s="165">
        <f t="shared" ref="K40:K50" si="12">+C40</f>
        <v>38.5</v>
      </c>
      <c r="L40" s="165">
        <f>+G40*I40</f>
        <v>0</v>
      </c>
      <c r="M40" s="165">
        <f>+J40*K40</f>
        <v>39867.981189684346</v>
      </c>
      <c r="N40" s="165">
        <f>+L40/M40</f>
        <v>0</v>
      </c>
      <c r="O40" s="165" t="str">
        <f>+IF(N40&gt;O39,"P-DELTA","OK")</f>
        <v>OK</v>
      </c>
    </row>
    <row r="41" spans="2:16" s="83" customFormat="1" x14ac:dyDescent="0.3">
      <c r="B41" s="53" t="s">
        <v>187</v>
      </c>
      <c r="C41" s="53">
        <v>35.5</v>
      </c>
      <c r="D41" s="53" t="s">
        <v>72</v>
      </c>
      <c r="E41" s="53">
        <f>+'Irre. Torsional'!E25</f>
        <v>2.5567246543683302E-2</v>
      </c>
      <c r="F41" s="165">
        <f t="shared" si="9"/>
        <v>323681.75624991802</v>
      </c>
      <c r="G41" s="165">
        <f>+F41</f>
        <v>323681.75624991802</v>
      </c>
      <c r="H41" s="165">
        <f t="shared" si="10"/>
        <v>2.5567246543683302E-2</v>
      </c>
      <c r="I41" s="165">
        <f t="shared" si="11"/>
        <v>9.4004559885580222E-4</v>
      </c>
      <c r="J41" s="172">
        <f t="shared" ref="J41:J50" si="13">+J23</f>
        <v>11717.21235704896</v>
      </c>
      <c r="K41" s="172">
        <f t="shared" si="12"/>
        <v>35.5</v>
      </c>
      <c r="L41" s="165">
        <f t="shared" ref="L41:L50" si="14">+G41*I41</f>
        <v>304.27561039265197</v>
      </c>
      <c r="M41" s="165">
        <f t="shared" ref="M41:M50" si="15">+J41*K41</f>
        <v>415961.03867523809</v>
      </c>
      <c r="N41" s="165">
        <f t="shared" ref="N41:N50" si="16">+L41/M41</f>
        <v>7.3150026589441082E-4</v>
      </c>
      <c r="O41" s="165" t="str">
        <f t="shared" ref="O41:O50" si="17">+IF(N41&gt;O40,"P-DELTA","OK")</f>
        <v>OK</v>
      </c>
    </row>
    <row r="42" spans="2:16" s="83" customFormat="1" x14ac:dyDescent="0.3">
      <c r="B42" s="53" t="s">
        <v>185</v>
      </c>
      <c r="C42" s="53">
        <v>32</v>
      </c>
      <c r="D42" s="53" t="s">
        <v>72</v>
      </c>
      <c r="E42" s="53">
        <f>+'Irre. Torsional'!E26</f>
        <v>2.4627200944827499E-2</v>
      </c>
      <c r="F42" s="165">
        <f t="shared" si="9"/>
        <v>624502.31249986705</v>
      </c>
      <c r="G42" s="165">
        <f>+F42-F41</f>
        <v>300820.55624994903</v>
      </c>
      <c r="H42" s="165">
        <f t="shared" si="10"/>
        <v>2.4627200944827499E-2</v>
      </c>
      <c r="I42" s="165">
        <f t="shared" si="11"/>
        <v>1.4752447661149984E-3</v>
      </c>
      <c r="J42" s="172">
        <f t="shared" si="13"/>
        <v>13148.422535879701</v>
      </c>
      <c r="K42" s="172">
        <f t="shared" si="12"/>
        <v>32</v>
      </c>
      <c r="L42" s="165">
        <f t="shared" si="14"/>
        <v>443.78395114753977</v>
      </c>
      <c r="M42" s="165">
        <f t="shared" si="15"/>
        <v>420749.52114815044</v>
      </c>
      <c r="N42" s="165">
        <f t="shared" si="16"/>
        <v>1.054746182328461E-3</v>
      </c>
      <c r="O42" s="165" t="str">
        <f t="shared" si="17"/>
        <v>OK</v>
      </c>
    </row>
    <row r="43" spans="2:16" s="83" customFormat="1" x14ac:dyDescent="0.3">
      <c r="B43" s="53" t="s">
        <v>183</v>
      </c>
      <c r="C43" s="53">
        <v>28.5</v>
      </c>
      <c r="D43" s="53" t="s">
        <v>72</v>
      </c>
      <c r="E43" s="53">
        <f>+'Irre. Torsional'!E27</f>
        <v>2.3151956178712501E-2</v>
      </c>
      <c r="F43" s="165">
        <f t="shared" si="9"/>
        <v>925322.868749819</v>
      </c>
      <c r="G43" s="165">
        <f t="shared" ref="G43:G50" si="18">+F43-F42</f>
        <v>300820.55624995194</v>
      </c>
      <c r="H43" s="165">
        <f t="shared" si="10"/>
        <v>2.3151956178712501E-2</v>
      </c>
      <c r="I43" s="165">
        <f t="shared" si="11"/>
        <v>1.9693206368651996E-3</v>
      </c>
      <c r="J43" s="172">
        <f t="shared" si="13"/>
        <v>11240.235676660897</v>
      </c>
      <c r="K43" s="172">
        <f t="shared" si="12"/>
        <v>28.5</v>
      </c>
      <c r="L43" s="165">
        <f t="shared" si="14"/>
        <v>592.41212941629897</v>
      </c>
      <c r="M43" s="165">
        <f t="shared" si="15"/>
        <v>320346.71678483556</v>
      </c>
      <c r="N43" s="165">
        <f t="shared" si="16"/>
        <v>1.8492842235501954E-3</v>
      </c>
      <c r="O43" s="165" t="str">
        <f t="shared" si="17"/>
        <v>OK</v>
      </c>
    </row>
    <row r="44" spans="2:16" s="83" customFormat="1" x14ac:dyDescent="0.3">
      <c r="B44" s="53" t="s">
        <v>181</v>
      </c>
      <c r="C44" s="53">
        <v>25</v>
      </c>
      <c r="D44" s="53" t="s">
        <v>72</v>
      </c>
      <c r="E44" s="53">
        <f>+'Irre. Torsional'!E28</f>
        <v>2.1182635541847301E-2</v>
      </c>
      <c r="F44" s="165">
        <f t="shared" si="9"/>
        <v>1226143.42499973</v>
      </c>
      <c r="G44" s="165">
        <f t="shared" si="18"/>
        <v>300820.55624991097</v>
      </c>
      <c r="H44" s="165">
        <f t="shared" si="10"/>
        <v>2.1182635541847301E-2</v>
      </c>
      <c r="I44" s="165">
        <f t="shared" si="11"/>
        <v>2.3885517454385018E-3</v>
      </c>
      <c r="J44" s="172">
        <f t="shared" si="13"/>
        <v>9605.215192661999</v>
      </c>
      <c r="K44" s="172">
        <f t="shared" si="12"/>
        <v>25</v>
      </c>
      <c r="L44" s="165">
        <f t="shared" si="14"/>
        <v>718.52546469450579</v>
      </c>
      <c r="M44" s="165">
        <f t="shared" si="15"/>
        <v>240130.37981654998</v>
      </c>
      <c r="N44" s="165">
        <f t="shared" si="16"/>
        <v>2.9922305759205918E-3</v>
      </c>
      <c r="O44" s="165" t="str">
        <f t="shared" si="17"/>
        <v>OK</v>
      </c>
    </row>
    <row r="45" spans="2:16" s="158" customFormat="1" x14ac:dyDescent="0.3">
      <c r="B45" s="53" t="s">
        <v>179</v>
      </c>
      <c r="C45" s="53">
        <v>21.5</v>
      </c>
      <c r="D45" s="53" t="s">
        <v>72</v>
      </c>
      <c r="E45" s="53">
        <f>+'Irre. Torsional'!E29</f>
        <v>1.87940837964088E-2</v>
      </c>
      <c r="F45" s="165">
        <f t="shared" si="9"/>
        <v>1526963.98124968</v>
      </c>
      <c r="G45" s="165">
        <f t="shared" si="18"/>
        <v>300820.55624995008</v>
      </c>
      <c r="H45" s="165">
        <f t="shared" si="10"/>
        <v>1.87940837964088E-2</v>
      </c>
      <c r="I45" s="165">
        <f t="shared" si="11"/>
        <v>2.738167998328201E-3</v>
      </c>
      <c r="J45" s="172">
        <f t="shared" si="13"/>
        <v>8285.9033632193023</v>
      </c>
      <c r="K45" s="172">
        <f t="shared" si="12"/>
        <v>21.5</v>
      </c>
      <c r="L45" s="165">
        <f t="shared" si="14"/>
        <v>823.69722036290182</v>
      </c>
      <c r="M45" s="165">
        <f t="shared" si="15"/>
        <v>178146.92230921501</v>
      </c>
      <c r="N45" s="165">
        <f t="shared" si="16"/>
        <v>4.6236960464194022E-3</v>
      </c>
      <c r="O45" s="165" t="str">
        <f t="shared" si="17"/>
        <v>OK</v>
      </c>
    </row>
    <row r="46" spans="2:16" s="158" customFormat="1" x14ac:dyDescent="0.3">
      <c r="B46" s="53" t="s">
        <v>39</v>
      </c>
      <c r="C46" s="53">
        <v>18</v>
      </c>
      <c r="D46" s="53" t="s">
        <v>72</v>
      </c>
      <c r="E46" s="53">
        <f>+'Irre. Torsional'!E30</f>
        <v>1.6055915798080599E-2</v>
      </c>
      <c r="F46" s="165">
        <f t="shared" si="9"/>
        <v>1827784.5374996399</v>
      </c>
      <c r="G46" s="165">
        <f t="shared" si="18"/>
        <v>300820.55624995986</v>
      </c>
      <c r="H46" s="165">
        <f t="shared" si="10"/>
        <v>1.6055915798080599E-2</v>
      </c>
      <c r="I46" s="165">
        <f t="shared" si="11"/>
        <v>2.9672509601234992E-3</v>
      </c>
      <c r="J46" s="172">
        <f t="shared" si="13"/>
        <v>7191.3044052373007</v>
      </c>
      <c r="K46" s="172">
        <f t="shared" si="12"/>
        <v>18</v>
      </c>
      <c r="L46" s="165">
        <f t="shared" si="14"/>
        <v>892.61008435757844</v>
      </c>
      <c r="M46" s="165">
        <f t="shared" si="15"/>
        <v>129443.47929427141</v>
      </c>
      <c r="N46" s="165">
        <f t="shared" si="16"/>
        <v>6.8957516378894291E-3</v>
      </c>
      <c r="O46" s="165" t="str">
        <f t="shared" si="17"/>
        <v>OK</v>
      </c>
    </row>
    <row r="47" spans="2:16" s="158" customFormat="1" x14ac:dyDescent="0.3">
      <c r="B47" s="53" t="s">
        <v>26</v>
      </c>
      <c r="C47" s="53">
        <v>14.5</v>
      </c>
      <c r="D47" s="53" t="s">
        <v>72</v>
      </c>
      <c r="E47" s="53">
        <f>+'Irre. Torsional'!E31</f>
        <v>1.3088664837957099E-2</v>
      </c>
      <c r="F47" s="165">
        <f t="shared" si="9"/>
        <v>2129915.4937496101</v>
      </c>
      <c r="G47" s="165">
        <f t="shared" si="18"/>
        <v>302130.95624997024</v>
      </c>
      <c r="H47" s="165">
        <f t="shared" si="10"/>
        <v>1.3088664837957099E-2</v>
      </c>
      <c r="I47" s="165">
        <f t="shared" si="11"/>
        <v>3.1333842189326597E-3</v>
      </c>
      <c r="J47" s="172">
        <f t="shared" si="13"/>
        <v>6272.6308020294018</v>
      </c>
      <c r="K47" s="172">
        <f t="shared" si="12"/>
        <v>14.5</v>
      </c>
      <c r="L47" s="165">
        <f t="shared" si="14"/>
        <v>946.69237036469053</v>
      </c>
      <c r="M47" s="165">
        <f t="shared" si="15"/>
        <v>90953.146629426323</v>
      </c>
      <c r="N47" s="165">
        <f t="shared" si="16"/>
        <v>1.0408571945529639E-2</v>
      </c>
      <c r="O47" s="165" t="str">
        <f t="shared" si="17"/>
        <v>OK</v>
      </c>
    </row>
    <row r="48" spans="2:16" s="158" customFormat="1" x14ac:dyDescent="0.3">
      <c r="B48" s="53" t="s">
        <v>25</v>
      </c>
      <c r="C48" s="53">
        <v>11</v>
      </c>
      <c r="D48" s="53" t="s">
        <v>72</v>
      </c>
      <c r="E48" s="53">
        <f>+'Irre. Torsional'!E32</f>
        <v>9.9552806190244397E-3</v>
      </c>
      <c r="F48" s="165">
        <f t="shared" si="9"/>
        <v>2432046.4499995601</v>
      </c>
      <c r="G48" s="165">
        <f t="shared" si="18"/>
        <v>302130.95624994999</v>
      </c>
      <c r="H48" s="165">
        <f t="shared" si="10"/>
        <v>9.9552806190244397E-3</v>
      </c>
      <c r="I48" s="165">
        <f t="shared" si="11"/>
        <v>3.2934361011399595E-3</v>
      </c>
      <c r="J48" s="172">
        <f t="shared" si="13"/>
        <v>5307.7112042578956</v>
      </c>
      <c r="K48" s="172">
        <f t="shared" si="12"/>
        <v>11</v>
      </c>
      <c r="L48" s="165">
        <f t="shared" si="14"/>
        <v>995.04899858552301</v>
      </c>
      <c r="M48" s="165">
        <f t="shared" si="15"/>
        <v>58384.823246836851</v>
      </c>
      <c r="N48" s="165">
        <f t="shared" si="16"/>
        <v>1.7042939299117127E-2</v>
      </c>
      <c r="O48" s="165" t="str">
        <f t="shared" si="17"/>
        <v>OK</v>
      </c>
    </row>
    <row r="49" spans="2:16" s="158" customFormat="1" x14ac:dyDescent="0.3">
      <c r="B49" s="53" t="s">
        <v>24</v>
      </c>
      <c r="C49" s="53">
        <v>7.5</v>
      </c>
      <c r="D49" s="53" t="s">
        <v>72</v>
      </c>
      <c r="E49" s="53">
        <f>+'Irre. Torsional'!E33</f>
        <v>6.6618445178844802E-3</v>
      </c>
      <c r="F49" s="165">
        <f t="shared" si="9"/>
        <v>2734177.4062495301</v>
      </c>
      <c r="G49" s="165">
        <f t="shared" si="18"/>
        <v>302130.95624997001</v>
      </c>
      <c r="H49" s="165">
        <f t="shared" si="10"/>
        <v>6.6618445178844802E-3</v>
      </c>
      <c r="I49" s="165">
        <f t="shared" si="11"/>
        <v>3.37725586006795E-3</v>
      </c>
      <c r="J49" s="172">
        <f t="shared" si="13"/>
        <v>4103.815429565002</v>
      </c>
      <c r="K49" s="172">
        <f t="shared" si="12"/>
        <v>7.5</v>
      </c>
      <c r="L49" s="165">
        <f t="shared" si="14"/>
        <v>1020.3735425031447</v>
      </c>
      <c r="M49" s="165">
        <f t="shared" si="15"/>
        <v>30778.615721737515</v>
      </c>
      <c r="N49" s="165">
        <f t="shared" si="16"/>
        <v>3.3152028399461186E-2</v>
      </c>
      <c r="O49" s="165" t="str">
        <f t="shared" si="17"/>
        <v>OK</v>
      </c>
    </row>
    <row r="50" spans="2:16" s="158" customFormat="1" x14ac:dyDescent="0.3">
      <c r="B50" s="53" t="s">
        <v>22</v>
      </c>
      <c r="C50" s="53">
        <v>4</v>
      </c>
      <c r="D50" s="53" t="s">
        <v>72</v>
      </c>
      <c r="E50" s="53">
        <f>+'Irre. Torsional'!E34</f>
        <v>3.2845886578165302E-3</v>
      </c>
      <c r="F50" s="165">
        <f t="shared" si="9"/>
        <v>3119351.3624995002</v>
      </c>
      <c r="G50" s="165">
        <f t="shared" si="18"/>
        <v>385173.95624997001</v>
      </c>
      <c r="H50" s="165">
        <f t="shared" si="10"/>
        <v>3.2845886578165302E-3</v>
      </c>
      <c r="I50" s="165">
        <f>+H50-I51</f>
        <v>3.2845886578165302E-3</v>
      </c>
      <c r="J50" s="172">
        <f t="shared" si="13"/>
        <v>2416.5418343555066</v>
      </c>
      <c r="K50" s="172">
        <f t="shared" si="12"/>
        <v>4</v>
      </c>
      <c r="L50" s="165">
        <f t="shared" si="14"/>
        <v>1265.1380079849719</v>
      </c>
      <c r="M50" s="165">
        <f t="shared" si="15"/>
        <v>9666.1673374220263</v>
      </c>
      <c r="N50" s="165">
        <f t="shared" si="16"/>
        <v>0.13088310638768488</v>
      </c>
      <c r="O50" s="165" t="str">
        <f t="shared" si="17"/>
        <v>OK</v>
      </c>
    </row>
    <row r="51" spans="2:16" s="83" customFormat="1" x14ac:dyDescent="0.3">
      <c r="B51" s="53" t="s">
        <v>44</v>
      </c>
      <c r="C51" s="53">
        <v>0</v>
      </c>
      <c r="D51" s="53" t="s">
        <v>72</v>
      </c>
      <c r="E51" s="53">
        <v>0</v>
      </c>
      <c r="F51" s="53"/>
      <c r="G51" s="165"/>
      <c r="H51" s="165"/>
      <c r="I51" s="165"/>
      <c r="J51" s="165"/>
      <c r="K51" s="165"/>
      <c r="L51" s="165"/>
      <c r="M51" s="165"/>
      <c r="N51" s="165"/>
      <c r="O51" s="165"/>
      <c r="P51" s="165"/>
    </row>
    <row r="52" spans="2:16" s="83" customFormat="1" x14ac:dyDescent="0.3"/>
    <row r="53" spans="2:16" s="83" customFormat="1" x14ac:dyDescent="0.3"/>
    <row r="54" spans="2:16" s="83" customFormat="1" x14ac:dyDescent="0.3">
      <c r="B54" s="9" t="s">
        <v>81</v>
      </c>
    </row>
    <row r="55" spans="2:16" s="83" customFormat="1" x14ac:dyDescent="0.3">
      <c r="B55" s="84" t="s">
        <v>68</v>
      </c>
      <c r="C55" s="85"/>
      <c r="D55" s="85"/>
      <c r="E55" s="204" t="s">
        <v>73</v>
      </c>
      <c r="F55" s="204"/>
      <c r="G55" s="204"/>
      <c r="H55" s="204"/>
      <c r="I55" s="204"/>
      <c r="J55" s="204"/>
      <c r="K55" s="204"/>
      <c r="L55" s="204"/>
      <c r="M55" s="204"/>
      <c r="N55" s="204"/>
      <c r="O55" s="178"/>
      <c r="P55" s="180"/>
    </row>
    <row r="56" spans="2:16" s="83" customFormat="1" x14ac:dyDescent="0.3">
      <c r="B56" s="86" t="s">
        <v>9</v>
      </c>
      <c r="C56" s="86" t="s">
        <v>69</v>
      </c>
      <c r="D56" s="86" t="s">
        <v>47</v>
      </c>
      <c r="E56" s="87" t="s">
        <v>71</v>
      </c>
      <c r="F56" s="82" t="s">
        <v>104</v>
      </c>
      <c r="G56" s="82" t="s">
        <v>105</v>
      </c>
      <c r="H56" s="82" t="s">
        <v>71</v>
      </c>
      <c r="I56" s="82" t="s">
        <v>106</v>
      </c>
      <c r="J56" s="82" t="s">
        <v>153</v>
      </c>
      <c r="K56" s="82" t="s">
        <v>108</v>
      </c>
      <c r="L56" s="82" t="s">
        <v>109</v>
      </c>
      <c r="M56" s="82" t="s">
        <v>110</v>
      </c>
      <c r="N56" s="82" t="s">
        <v>111</v>
      </c>
      <c r="O56" s="82" t="s">
        <v>113</v>
      </c>
    </row>
    <row r="57" spans="2:16" s="83" customFormat="1" x14ac:dyDescent="0.3">
      <c r="B57" s="173"/>
      <c r="C57" s="173" t="s">
        <v>7</v>
      </c>
      <c r="D57" s="173"/>
      <c r="E57" s="174" t="s">
        <v>7</v>
      </c>
      <c r="F57" s="82" t="s">
        <v>41</v>
      </c>
      <c r="G57" s="82" t="s">
        <v>41</v>
      </c>
      <c r="H57" s="82" t="s">
        <v>7</v>
      </c>
      <c r="I57" s="82" t="s">
        <v>7</v>
      </c>
      <c r="J57" s="82" t="s">
        <v>41</v>
      </c>
      <c r="K57" s="82" t="s">
        <v>7</v>
      </c>
      <c r="L57" s="82"/>
      <c r="M57" s="82"/>
      <c r="N57" s="82"/>
      <c r="O57" s="82">
        <v>1.1000000000000001</v>
      </c>
    </row>
    <row r="58" spans="2:16" s="83" customFormat="1" x14ac:dyDescent="0.3">
      <c r="B58" s="53" t="s">
        <v>189</v>
      </c>
      <c r="C58" s="53">
        <v>38.5</v>
      </c>
      <c r="D58" s="53" t="s">
        <v>72</v>
      </c>
      <c r="E58" s="53">
        <f>+'Irre. Torsional'!E42</f>
        <v>3.11993682007203E-2</v>
      </c>
      <c r="F58" s="83">
        <f t="shared" ref="F58:F68" si="19">+E5</f>
        <v>17697.5999999952</v>
      </c>
      <c r="G58" s="83">
        <v>0</v>
      </c>
      <c r="H58" s="83">
        <f>+E58</f>
        <v>3.11993682007203E-2</v>
      </c>
      <c r="I58" s="83">
        <f>+H58-H59</f>
        <v>1.0387611528022006E-3</v>
      </c>
      <c r="J58" s="83">
        <f>IF(+'Sismo UBC-94 y Dinamico'!P34=0,'Sismo UBC-94 y Dinamico'!N34,'Sismo UBC-94 y Dinamico'!P34)</f>
        <v>838.60134113481979</v>
      </c>
      <c r="K58" s="83">
        <f t="shared" ref="K58:K68" si="20">+C58</f>
        <v>38.5</v>
      </c>
      <c r="L58" s="83">
        <f>+G58*I58</f>
        <v>0</v>
      </c>
      <c r="M58" s="83">
        <f>+J58*K58</f>
        <v>32286.151633690562</v>
      </c>
      <c r="N58" s="83">
        <f>+L58/M58</f>
        <v>0</v>
      </c>
      <c r="O58" s="83" t="str">
        <f>+IF(N58&gt;O57,"P-DELTA","OK")</f>
        <v>OK</v>
      </c>
    </row>
    <row r="59" spans="2:16" s="83" customFormat="1" x14ac:dyDescent="0.3">
      <c r="B59" s="53" t="s">
        <v>187</v>
      </c>
      <c r="C59" s="53">
        <v>35.5</v>
      </c>
      <c r="D59" s="53" t="s">
        <v>72</v>
      </c>
      <c r="E59" s="53">
        <f>+'Irre. Torsional'!E43</f>
        <v>3.0160607047918099E-2</v>
      </c>
      <c r="F59" s="165">
        <f t="shared" si="19"/>
        <v>323681.75624991802</v>
      </c>
      <c r="G59" s="83">
        <f>+F59</f>
        <v>323681.75624991802</v>
      </c>
      <c r="H59" s="83">
        <f t="shared" ref="H59:H68" si="21">+E59</f>
        <v>3.0160607047918099E-2</v>
      </c>
      <c r="I59" s="83">
        <f>+H59-H60</f>
        <v>1.3959757823934979E-3</v>
      </c>
      <c r="J59" s="172">
        <f>IF(+'Sismo UBC-94 y Dinamico'!P35=0,'Sismo UBC-94 y Dinamico'!N35,'Sismo UBC-94 y Dinamico'!P35)</f>
        <v>11977.93316508474</v>
      </c>
      <c r="K59" s="172">
        <f t="shared" si="20"/>
        <v>35.5</v>
      </c>
      <c r="L59" s="83">
        <f>+G59*I59</f>
        <v>451.85189292748078</v>
      </c>
      <c r="M59" s="83">
        <f>+J59*K59</f>
        <v>425216.62736050825</v>
      </c>
      <c r="N59" s="83">
        <f>+L59/M59</f>
        <v>1.0626392851387501E-3</v>
      </c>
      <c r="O59" s="83" t="str">
        <f>+IF(N59&gt;O58,"P-DELTA","OK")</f>
        <v>OK</v>
      </c>
    </row>
    <row r="60" spans="2:16" s="83" customFormat="1" x14ac:dyDescent="0.3">
      <c r="B60" s="53" t="s">
        <v>185</v>
      </c>
      <c r="C60" s="53">
        <v>32</v>
      </c>
      <c r="D60" s="53" t="s">
        <v>72</v>
      </c>
      <c r="E60" s="53">
        <f>+'Irre. Torsional'!E44</f>
        <v>2.8764631265524601E-2</v>
      </c>
      <c r="F60" s="165">
        <f t="shared" si="19"/>
        <v>624502.31249986705</v>
      </c>
      <c r="G60" s="83">
        <f>+F60-F59</f>
        <v>300820.55624994903</v>
      </c>
      <c r="H60" s="83">
        <f t="shared" si="21"/>
        <v>2.8764631265524601E-2</v>
      </c>
      <c r="I60" s="83">
        <f>+H60-H61</f>
        <v>1.9713893807005028E-3</v>
      </c>
      <c r="J60" s="172">
        <f>IF(+'Sismo UBC-94 y Dinamico'!P36=0,'Sismo UBC-94 y Dinamico'!N36,'Sismo UBC-94 y Dinamico'!P36)</f>
        <v>13269.832117271528</v>
      </c>
      <c r="K60" s="172">
        <f t="shared" si="20"/>
        <v>32</v>
      </c>
      <c r="L60" s="83">
        <f>+G60*I60</f>
        <v>593.03445008756785</v>
      </c>
      <c r="M60" s="83">
        <f>+J60*K60</f>
        <v>424634.62775268889</v>
      </c>
      <c r="N60" s="83">
        <f>+L60/M60</f>
        <v>1.3965758120719175E-3</v>
      </c>
      <c r="O60" s="83" t="str">
        <f>+IF(N60&gt;O59,"P-DELTA","OK")</f>
        <v>OK</v>
      </c>
    </row>
    <row r="61" spans="2:16" s="83" customFormat="1" x14ac:dyDescent="0.3">
      <c r="B61" s="53" t="s">
        <v>183</v>
      </c>
      <c r="C61" s="53">
        <v>28.5</v>
      </c>
      <c r="D61" s="53" t="s">
        <v>72</v>
      </c>
      <c r="E61" s="53">
        <f>+'Irre. Torsional'!E45</f>
        <v>2.6793241884824098E-2</v>
      </c>
      <c r="F61" s="165">
        <f t="shared" si="19"/>
        <v>925322.868749819</v>
      </c>
      <c r="G61" s="83">
        <f t="shared" ref="G61:G68" si="22">+F61-F60</f>
        <v>300820.55624995194</v>
      </c>
      <c r="H61" s="83">
        <f t="shared" si="21"/>
        <v>2.6793241884824098E-2</v>
      </c>
      <c r="I61" s="83">
        <f>+H61-H62</f>
        <v>2.4775213675412994E-3</v>
      </c>
      <c r="J61" s="172">
        <f>IF(+'Sismo UBC-94 y Dinamico'!P37=0,'Sismo UBC-94 y Dinamico'!N37,'Sismo UBC-94 y Dinamico'!P37)</f>
        <v>10995.894830735111</v>
      </c>
      <c r="K61" s="172">
        <f t="shared" si="20"/>
        <v>28.5</v>
      </c>
      <c r="L61" s="83">
        <f>+G61*I61</f>
        <v>745.28935590491528</v>
      </c>
      <c r="M61" s="83">
        <f>+J61*K61</f>
        <v>313383.00267595064</v>
      </c>
      <c r="N61" s="83">
        <f>+L61/M61</f>
        <v>2.3782060594893573E-3</v>
      </c>
      <c r="O61" s="83" t="str">
        <f>+IF(N61&gt;O60,"P-DELTA","OK")</f>
        <v>OK</v>
      </c>
    </row>
    <row r="62" spans="2:16" s="83" customFormat="1" x14ac:dyDescent="0.3">
      <c r="B62" s="53" t="s">
        <v>181</v>
      </c>
      <c r="C62" s="53">
        <v>25</v>
      </c>
      <c r="D62" s="53" t="s">
        <v>72</v>
      </c>
      <c r="E62" s="53">
        <f>+'Irre. Torsional'!E46</f>
        <v>2.4315720517282799E-2</v>
      </c>
      <c r="F62" s="165">
        <f t="shared" si="19"/>
        <v>1226143.42499973</v>
      </c>
      <c r="G62" s="83">
        <f t="shared" si="22"/>
        <v>300820.55624991097</v>
      </c>
      <c r="H62" s="83">
        <f t="shared" si="21"/>
        <v>2.4315720517282799E-2</v>
      </c>
      <c r="I62" s="83">
        <f>+H62-H63</f>
        <v>2.8897103507187979E-3</v>
      </c>
      <c r="J62" s="172">
        <f>IF(+'Sismo UBC-94 y Dinamico'!P38=0,'Sismo UBC-94 y Dinamico'!N38,'Sismo UBC-94 y Dinamico'!P38)</f>
        <v>9141.0990385159057</v>
      </c>
      <c r="K62" s="172">
        <f t="shared" si="20"/>
        <v>25</v>
      </c>
      <c r="L62" s="83">
        <f>+G62*I62</f>
        <v>869.28427510435415</v>
      </c>
      <c r="M62" s="83">
        <f>+J62*K62</f>
        <v>228527.47596289765</v>
      </c>
      <c r="N62" s="83">
        <f>+L62/M62</f>
        <v>3.8038501560551342E-3</v>
      </c>
      <c r="O62" s="83" t="str">
        <f>+IF(N62&gt;O61,"P-DELTA","OK")</f>
        <v>OK</v>
      </c>
    </row>
    <row r="63" spans="2:16" s="158" customFormat="1" x14ac:dyDescent="0.3">
      <c r="B63" s="53" t="s">
        <v>179</v>
      </c>
      <c r="C63" s="53">
        <v>21.5</v>
      </c>
      <c r="D63" s="53" t="s">
        <v>72</v>
      </c>
      <c r="E63" s="53">
        <f>+'Irre. Torsional'!E47</f>
        <v>2.1426010166564001E-2</v>
      </c>
      <c r="F63" s="165">
        <f t="shared" si="19"/>
        <v>1526963.98124968</v>
      </c>
      <c r="G63" s="165">
        <f t="shared" si="22"/>
        <v>300820.55624995008</v>
      </c>
      <c r="H63" s="165">
        <f t="shared" si="21"/>
        <v>2.1426010166564001E-2</v>
      </c>
      <c r="I63" s="165">
        <f t="shared" ref="I63:I68" si="23">+H63-H64</f>
        <v>3.2202891102897022E-3</v>
      </c>
      <c r="J63" s="172">
        <f>IF(+'Sismo UBC-94 y Dinamico'!P39=0,'Sismo UBC-94 y Dinamico'!N39,'Sismo UBC-94 y Dinamico'!P39)</f>
        <v>7768.2715803003994</v>
      </c>
      <c r="K63" s="172">
        <f t="shared" si="20"/>
        <v>21.5</v>
      </c>
      <c r="L63" s="165">
        <f t="shared" ref="L63:L68" si="24">+G63*I63</f>
        <v>968.72916144300507</v>
      </c>
      <c r="M63" s="165">
        <f t="shared" ref="M63:M68" si="25">+J63*K63</f>
        <v>167017.83897645859</v>
      </c>
      <c r="N63" s="165">
        <f t="shared" ref="N63:N68" si="26">+L63/M63</f>
        <v>5.8001538481140856E-3</v>
      </c>
      <c r="O63" s="165" t="str">
        <f t="shared" ref="O63:O68" si="27">+IF(N63&gt;O62,"P-DELTA","OK")</f>
        <v>OK</v>
      </c>
    </row>
    <row r="64" spans="2:16" s="158" customFormat="1" x14ac:dyDescent="0.3">
      <c r="B64" s="53" t="s">
        <v>39</v>
      </c>
      <c r="C64" s="53">
        <v>18</v>
      </c>
      <c r="D64" s="53" t="s">
        <v>72</v>
      </c>
      <c r="E64" s="53">
        <f>+'Irre. Torsional'!E48</f>
        <v>1.8205721056274299E-2</v>
      </c>
      <c r="F64" s="165">
        <f t="shared" si="19"/>
        <v>1827784.5374996399</v>
      </c>
      <c r="G64" s="165">
        <f t="shared" si="22"/>
        <v>300820.55624995986</v>
      </c>
      <c r="H64" s="165">
        <f t="shared" si="21"/>
        <v>1.8205721056274299E-2</v>
      </c>
      <c r="I64" s="165">
        <f t="shared" si="23"/>
        <v>3.4675718816760993E-3</v>
      </c>
      <c r="J64" s="172">
        <f>IF(+'Sismo UBC-94 y Dinamico'!P40=0,'Sismo UBC-94 y Dinamico'!N40,'Sismo UBC-94 y Dinamico'!P40)</f>
        <v>6776.1706481164856</v>
      </c>
      <c r="K64" s="172">
        <f t="shared" si="20"/>
        <v>18</v>
      </c>
      <c r="L64" s="165">
        <f t="shared" si="24"/>
        <v>1043.1169022825243</v>
      </c>
      <c r="M64" s="165">
        <f t="shared" si="25"/>
        <v>121971.07166609674</v>
      </c>
      <c r="N64" s="165">
        <f t="shared" si="26"/>
        <v>8.5521664115415872E-3</v>
      </c>
      <c r="O64" s="165" t="str">
        <f t="shared" si="27"/>
        <v>OK</v>
      </c>
    </row>
    <row r="65" spans="2:16" s="158" customFormat="1" x14ac:dyDescent="0.3">
      <c r="B65" s="53" t="s">
        <v>26</v>
      </c>
      <c r="C65" s="53">
        <v>14.5</v>
      </c>
      <c r="D65" s="53" t="s">
        <v>72</v>
      </c>
      <c r="E65" s="53">
        <f>+'Irre. Torsional'!E49</f>
        <v>1.4738149174598199E-2</v>
      </c>
      <c r="F65" s="165">
        <f t="shared" si="19"/>
        <v>2129915.4937496101</v>
      </c>
      <c r="G65" s="165">
        <f t="shared" si="22"/>
        <v>302130.95624997024</v>
      </c>
      <c r="H65" s="165">
        <f t="shared" si="21"/>
        <v>1.4738149174598199E-2</v>
      </c>
      <c r="I65" s="165">
        <f t="shared" si="23"/>
        <v>3.652663237479899E-3</v>
      </c>
      <c r="J65" s="172">
        <f>IF(+'Sismo UBC-94 y Dinamico'!P41=0,'Sismo UBC-94 y Dinamico'!N41,'Sismo UBC-94 y Dinamico'!P41)</f>
        <v>6020.7956468781977</v>
      </c>
      <c r="K65" s="172">
        <f t="shared" si="20"/>
        <v>14.5</v>
      </c>
      <c r="L65" s="165">
        <f t="shared" si="24"/>
        <v>1103.5826367989141</v>
      </c>
      <c r="M65" s="165">
        <f t="shared" si="25"/>
        <v>87301.53687973386</v>
      </c>
      <c r="N65" s="165">
        <f t="shared" si="26"/>
        <v>1.2641044777014679E-2</v>
      </c>
      <c r="O65" s="165" t="str">
        <f t="shared" si="27"/>
        <v>OK</v>
      </c>
    </row>
    <row r="66" spans="2:16" s="158" customFormat="1" x14ac:dyDescent="0.3">
      <c r="B66" s="53" t="s">
        <v>25</v>
      </c>
      <c r="C66" s="53">
        <v>11</v>
      </c>
      <c r="D66" s="53" t="s">
        <v>72</v>
      </c>
      <c r="E66" s="53">
        <f>+'Irre. Torsional'!E50</f>
        <v>1.10854859371183E-2</v>
      </c>
      <c r="F66" s="165">
        <f t="shared" si="19"/>
        <v>2432046.4499995601</v>
      </c>
      <c r="G66" s="165">
        <f t="shared" si="22"/>
        <v>302130.95624994999</v>
      </c>
      <c r="H66" s="165">
        <f t="shared" si="21"/>
        <v>1.10854859371183E-2</v>
      </c>
      <c r="I66" s="165">
        <f t="shared" si="23"/>
        <v>3.7794997979493502E-3</v>
      </c>
      <c r="J66" s="172">
        <f>IF(+'Sismo UBC-94 y Dinamico'!P42=0,'Sismo UBC-94 y Dinamico'!N42,'Sismo UBC-94 y Dinamico'!P42)</f>
        <v>5227.9753196432666</v>
      </c>
      <c r="K66" s="172">
        <f t="shared" si="20"/>
        <v>11</v>
      </c>
      <c r="L66" s="165">
        <f t="shared" si="24"/>
        <v>1141.9038881009299</v>
      </c>
      <c r="M66" s="165">
        <f t="shared" si="25"/>
        <v>57507.728516075935</v>
      </c>
      <c r="N66" s="165">
        <f t="shared" si="26"/>
        <v>1.9856529158193366E-2</v>
      </c>
      <c r="O66" s="165" t="str">
        <f t="shared" si="27"/>
        <v>OK</v>
      </c>
    </row>
    <row r="67" spans="2:16" s="158" customFormat="1" x14ac:dyDescent="0.3">
      <c r="B67" s="53" t="s">
        <v>24</v>
      </c>
      <c r="C67" s="53">
        <v>7.5</v>
      </c>
      <c r="D67" s="53" t="s">
        <v>72</v>
      </c>
      <c r="E67" s="53">
        <f>+'Irre. Torsional'!E51</f>
        <v>7.3059861391689502E-3</v>
      </c>
      <c r="F67" s="165">
        <f t="shared" si="19"/>
        <v>2734177.4062495301</v>
      </c>
      <c r="G67" s="165">
        <f t="shared" si="22"/>
        <v>302130.95624997001</v>
      </c>
      <c r="H67" s="165">
        <f t="shared" si="21"/>
        <v>7.3059861391689502E-3</v>
      </c>
      <c r="I67" s="165">
        <f t="shared" si="23"/>
        <v>3.8004168424796403E-3</v>
      </c>
      <c r="J67" s="172">
        <f>IF(+'Sismo UBC-94 y Dinamico'!P43=0,'Sismo UBC-94 y Dinamico'!N43,'Sismo UBC-94 y Dinamico'!P43)</f>
        <v>4157.5305479980998</v>
      </c>
      <c r="K67" s="172">
        <f t="shared" si="20"/>
        <v>7.5</v>
      </c>
      <c r="L67" s="165">
        <f t="shared" si="24"/>
        <v>1148.2235747668653</v>
      </c>
      <c r="M67" s="165">
        <f t="shared" si="25"/>
        <v>31181.479109985747</v>
      </c>
      <c r="N67" s="165">
        <f t="shared" si="26"/>
        <v>3.6823896990798979E-2</v>
      </c>
      <c r="O67" s="165" t="str">
        <f t="shared" si="27"/>
        <v>OK</v>
      </c>
    </row>
    <row r="68" spans="2:16" s="158" customFormat="1" x14ac:dyDescent="0.3">
      <c r="B68" s="53" t="s">
        <v>22</v>
      </c>
      <c r="C68" s="53">
        <v>4</v>
      </c>
      <c r="D68" s="53" t="s">
        <v>72</v>
      </c>
      <c r="E68" s="53">
        <f>+'Irre. Torsional'!E52</f>
        <v>3.5055692966893099E-3</v>
      </c>
      <c r="F68" s="165">
        <f t="shared" si="19"/>
        <v>3119351.3624995002</v>
      </c>
      <c r="G68" s="165">
        <f t="shared" si="22"/>
        <v>385173.95624997001</v>
      </c>
      <c r="H68" s="165">
        <f t="shared" si="21"/>
        <v>3.5055692966893099E-3</v>
      </c>
      <c r="I68" s="165">
        <f t="shared" si="23"/>
        <v>3.5055692966893099E-3</v>
      </c>
      <c r="J68" s="172">
        <f>IF(+'Sismo UBC-94 y Dinamico'!P44=0,'Sismo UBC-94 y Dinamico'!N44,'Sismo UBC-94 y Dinamico'!P44)</f>
        <v>2492.5282818313285</v>
      </c>
      <c r="K68" s="172">
        <f t="shared" si="20"/>
        <v>4</v>
      </c>
      <c r="L68" s="165">
        <f t="shared" si="24"/>
        <v>1350.2539949142463</v>
      </c>
      <c r="M68" s="165">
        <f t="shared" si="25"/>
        <v>9970.1131273253141</v>
      </c>
      <c r="N68" s="165">
        <f t="shared" si="26"/>
        <v>0.13543015787991158</v>
      </c>
      <c r="O68" s="165" t="str">
        <f t="shared" si="27"/>
        <v>OK</v>
      </c>
    </row>
    <row r="69" spans="2:16" s="83" customFormat="1" x14ac:dyDescent="0.3">
      <c r="B69" s="53" t="s">
        <v>44</v>
      </c>
      <c r="C69" s="53">
        <v>0</v>
      </c>
      <c r="D69" s="53" t="s">
        <v>72</v>
      </c>
      <c r="E69" s="53">
        <v>0</v>
      </c>
    </row>
    <row r="70" spans="2:16" s="83" customFormat="1" x14ac:dyDescent="0.3"/>
    <row r="71" spans="2:16" s="83" customFormat="1" x14ac:dyDescent="0.3"/>
    <row r="72" spans="2:16" s="83" customFormat="1" x14ac:dyDescent="0.3">
      <c r="B72" s="9" t="s">
        <v>82</v>
      </c>
    </row>
    <row r="73" spans="2:16" s="83" customFormat="1" x14ac:dyDescent="0.3">
      <c r="B73" s="84" t="s">
        <v>68</v>
      </c>
      <c r="C73" s="85"/>
      <c r="D73" s="85"/>
      <c r="E73" s="204" t="s">
        <v>73</v>
      </c>
      <c r="F73" s="204"/>
      <c r="G73" s="204"/>
      <c r="H73" s="204"/>
      <c r="I73" s="204"/>
      <c r="J73" s="204"/>
      <c r="K73" s="204"/>
      <c r="L73" s="204"/>
      <c r="M73" s="204"/>
      <c r="N73" s="204"/>
      <c r="O73" s="178"/>
      <c r="P73" s="180"/>
    </row>
    <row r="74" spans="2:16" s="83" customFormat="1" x14ac:dyDescent="0.3">
      <c r="B74" s="86" t="s">
        <v>9</v>
      </c>
      <c r="C74" s="86" t="s">
        <v>69</v>
      </c>
      <c r="D74" s="86" t="s">
        <v>47</v>
      </c>
      <c r="E74" s="87" t="s">
        <v>71</v>
      </c>
      <c r="F74" s="82" t="s">
        <v>104</v>
      </c>
      <c r="G74" s="82" t="s">
        <v>105</v>
      </c>
      <c r="H74" s="82" t="s">
        <v>71</v>
      </c>
      <c r="I74" s="82" t="s">
        <v>106</v>
      </c>
      <c r="J74" s="82" t="s">
        <v>153</v>
      </c>
      <c r="K74" s="82" t="s">
        <v>108</v>
      </c>
      <c r="L74" s="82" t="s">
        <v>109</v>
      </c>
      <c r="M74" s="82" t="s">
        <v>110</v>
      </c>
      <c r="N74" s="82" t="s">
        <v>111</v>
      </c>
      <c r="O74" s="82" t="s">
        <v>113</v>
      </c>
    </row>
    <row r="75" spans="2:16" s="83" customFormat="1" x14ac:dyDescent="0.3">
      <c r="B75" s="173"/>
      <c r="C75" s="173" t="s">
        <v>7</v>
      </c>
      <c r="D75" s="173"/>
      <c r="E75" s="174" t="s">
        <v>7</v>
      </c>
      <c r="F75" s="82" t="s">
        <v>41</v>
      </c>
      <c r="G75" s="82" t="s">
        <v>41</v>
      </c>
      <c r="H75" s="82" t="s">
        <v>7</v>
      </c>
      <c r="I75" s="82" t="s">
        <v>7</v>
      </c>
      <c r="J75" s="82" t="s">
        <v>41</v>
      </c>
      <c r="K75" s="82" t="s">
        <v>7</v>
      </c>
      <c r="L75" s="82"/>
      <c r="M75" s="82"/>
      <c r="N75" s="82"/>
      <c r="O75" s="82">
        <v>1.1000000000000001</v>
      </c>
    </row>
    <row r="76" spans="2:16" s="83" customFormat="1" x14ac:dyDescent="0.3">
      <c r="B76" s="53" t="s">
        <v>189</v>
      </c>
      <c r="C76" s="53">
        <v>38.5</v>
      </c>
      <c r="D76" s="53" t="s">
        <v>72</v>
      </c>
      <c r="E76" s="53">
        <f>+'Irre. Torsional'!E60</f>
        <v>2.61759141617505E-2</v>
      </c>
      <c r="F76" s="83">
        <f t="shared" ref="F76:F86" si="28">+E5</f>
        <v>17697.5999999952</v>
      </c>
      <c r="G76" s="83">
        <v>0</v>
      </c>
      <c r="H76" s="83">
        <f>+E76</f>
        <v>2.61759141617505E-2</v>
      </c>
      <c r="I76" s="83">
        <f>+H76-H77</f>
        <v>-6.4051048788732017E-3</v>
      </c>
      <c r="J76" s="83">
        <f>+J58</f>
        <v>838.60134113481979</v>
      </c>
      <c r="K76" s="83">
        <f t="shared" ref="K76:K86" si="29">+C76</f>
        <v>38.5</v>
      </c>
      <c r="L76" s="83">
        <f>+G76*I76</f>
        <v>0</v>
      </c>
      <c r="M76" s="83">
        <f>+J76*K76</f>
        <v>32286.151633690562</v>
      </c>
      <c r="N76" s="83">
        <f>+L76/M76</f>
        <v>0</v>
      </c>
      <c r="O76" s="83" t="str">
        <f>+IF(N76&gt;O75,"P-DELTA","OK")</f>
        <v>OK</v>
      </c>
    </row>
    <row r="77" spans="2:16" s="83" customFormat="1" x14ac:dyDescent="0.3">
      <c r="B77" s="53" t="s">
        <v>187</v>
      </c>
      <c r="C77" s="53">
        <v>35.5</v>
      </c>
      <c r="D77" s="53" t="s">
        <v>72</v>
      </c>
      <c r="E77" s="53">
        <f>+'Irre. Torsional'!E61</f>
        <v>3.2581019040623702E-2</v>
      </c>
      <c r="F77" s="165">
        <f t="shared" si="28"/>
        <v>323681.75624991802</v>
      </c>
      <c r="G77" s="83">
        <f>+F77</f>
        <v>323681.75624991802</v>
      </c>
      <c r="H77" s="83">
        <f>+E77</f>
        <v>3.2581019040623702E-2</v>
      </c>
      <c r="I77" s="83">
        <f>+H77-H78</f>
        <v>1.3057101967174009E-3</v>
      </c>
      <c r="J77" s="172">
        <f t="shared" ref="J77:J86" si="30">+J59</f>
        <v>11977.93316508474</v>
      </c>
      <c r="K77" s="172">
        <f t="shared" si="29"/>
        <v>35.5</v>
      </c>
      <c r="L77" s="83">
        <f>+G77*I77</f>
        <v>422.63456962691424</v>
      </c>
      <c r="M77" s="83">
        <f>+J77*K77</f>
        <v>425216.62736050825</v>
      </c>
      <c r="N77" s="83">
        <f>+L77/M77</f>
        <v>9.9392766517710776E-4</v>
      </c>
      <c r="O77" s="83" t="str">
        <f>+IF(N77&gt;O76,"P-DELTA","OK")</f>
        <v>OK</v>
      </c>
    </row>
    <row r="78" spans="2:16" s="83" customFormat="1" x14ac:dyDescent="0.3">
      <c r="B78" s="53" t="s">
        <v>185</v>
      </c>
      <c r="C78" s="53">
        <v>32</v>
      </c>
      <c r="D78" s="53" t="s">
        <v>72</v>
      </c>
      <c r="E78" s="53">
        <f>+'Irre. Torsional'!E62</f>
        <v>3.1275308843906301E-2</v>
      </c>
      <c r="F78" s="165">
        <f t="shared" si="28"/>
        <v>624502.31249986705</v>
      </c>
      <c r="G78" s="83">
        <f>+F78-F77</f>
        <v>300820.55624994903</v>
      </c>
      <c r="H78" s="83">
        <f>+E78</f>
        <v>3.1275308843906301E-2</v>
      </c>
      <c r="I78" s="83">
        <f>+H78-H79</f>
        <v>1.9623401883267014E-3</v>
      </c>
      <c r="J78" s="172">
        <f t="shared" si="30"/>
        <v>13269.832117271528</v>
      </c>
      <c r="K78" s="172">
        <f t="shared" si="29"/>
        <v>32</v>
      </c>
      <c r="L78" s="83">
        <f>+G78*I78</f>
        <v>590.31226700406808</v>
      </c>
      <c r="M78" s="83">
        <f>+J78*K78</f>
        <v>424634.62775268889</v>
      </c>
      <c r="N78" s="83">
        <f>+L78/M78</f>
        <v>1.3901651641746735E-3</v>
      </c>
      <c r="O78" s="83" t="str">
        <f>+IF(N78&gt;O77,"P-DELTA","OK")</f>
        <v>OK</v>
      </c>
    </row>
    <row r="79" spans="2:16" s="83" customFormat="1" x14ac:dyDescent="0.3">
      <c r="B79" s="53" t="s">
        <v>183</v>
      </c>
      <c r="C79" s="53">
        <v>28.5</v>
      </c>
      <c r="D79" s="53" t="s">
        <v>72</v>
      </c>
      <c r="E79" s="53">
        <f>+'Irre. Torsional'!E63</f>
        <v>2.9312968655579599E-2</v>
      </c>
      <c r="F79" s="165">
        <f t="shared" si="28"/>
        <v>925322.868749819</v>
      </c>
      <c r="G79" s="83">
        <f t="shared" ref="G79:G86" si="31">+F79-F78</f>
        <v>300820.55624995194</v>
      </c>
      <c r="H79" s="83">
        <f>+E79</f>
        <v>2.9312968655579599E-2</v>
      </c>
      <c r="I79" s="83">
        <f>+H79-H80</f>
        <v>2.5579966238578992E-3</v>
      </c>
      <c r="J79" s="172">
        <f t="shared" si="30"/>
        <v>10995.894830735111</v>
      </c>
      <c r="K79" s="172">
        <f t="shared" si="29"/>
        <v>28.5</v>
      </c>
      <c r="L79" s="83">
        <f>+G79*I79</f>
        <v>769.49796727443231</v>
      </c>
      <c r="M79" s="83">
        <f>+J79*K79</f>
        <v>313383.00267595064</v>
      </c>
      <c r="N79" s="83">
        <f>+L79/M79</f>
        <v>2.4554553396443171E-3</v>
      </c>
      <c r="O79" s="83" t="str">
        <f>+IF(N79&gt;O78,"P-DELTA","OK")</f>
        <v>OK</v>
      </c>
    </row>
    <row r="80" spans="2:16" s="83" customFormat="1" x14ac:dyDescent="0.3">
      <c r="B80" s="53" t="s">
        <v>181</v>
      </c>
      <c r="C80" s="53">
        <v>25</v>
      </c>
      <c r="D80" s="53" t="s">
        <v>72</v>
      </c>
      <c r="E80" s="53">
        <f>+'Irre. Torsional'!E64</f>
        <v>2.67549720317217E-2</v>
      </c>
      <c r="F80" s="165">
        <f t="shared" si="28"/>
        <v>1226143.42499973</v>
      </c>
      <c r="G80" s="83">
        <f t="shared" si="31"/>
        <v>300820.55624991097</v>
      </c>
      <c r="H80" s="83">
        <f>+E80</f>
        <v>2.67549720317217E-2</v>
      </c>
      <c r="I80" s="83">
        <f>+H80-H81</f>
        <v>3.0484683503268009E-3</v>
      </c>
      <c r="J80" s="172">
        <f t="shared" si="30"/>
        <v>9141.0990385159057</v>
      </c>
      <c r="K80" s="172">
        <f t="shared" si="29"/>
        <v>25</v>
      </c>
      <c r="L80" s="83">
        <f>+G80*I80</f>
        <v>917.04194485555672</v>
      </c>
      <c r="M80" s="83">
        <f>+J80*K80</f>
        <v>228527.47596289765</v>
      </c>
      <c r="N80" s="83">
        <f>+L80/M80</f>
        <v>4.0128301465353873E-3</v>
      </c>
      <c r="O80" s="83" t="str">
        <f>+IF(N80&gt;O79,"P-DELTA","OK")</f>
        <v>OK</v>
      </c>
    </row>
    <row r="81" spans="2:15" s="83" customFormat="1" x14ac:dyDescent="0.3">
      <c r="B81" s="53" t="s">
        <v>179</v>
      </c>
      <c r="C81" s="53">
        <v>21.5</v>
      </c>
      <c r="D81" s="53" t="s">
        <v>72</v>
      </c>
      <c r="E81" s="53">
        <f>+'Irre. Torsional'!E65</f>
        <v>2.3706503681394899E-2</v>
      </c>
      <c r="F81" s="165">
        <f t="shared" si="28"/>
        <v>1526963.98124968</v>
      </c>
      <c r="G81" s="165">
        <f t="shared" si="31"/>
        <v>300820.55624995008</v>
      </c>
      <c r="H81" s="165">
        <f t="shared" ref="H81:H86" si="32">+E81</f>
        <v>2.3706503681394899E-2</v>
      </c>
      <c r="I81" s="165">
        <f t="shared" ref="I81:I86" si="33">+H81-H82</f>
        <v>3.4497181898477981E-3</v>
      </c>
      <c r="J81" s="172">
        <f t="shared" si="30"/>
        <v>7768.2715803003994</v>
      </c>
      <c r="K81" s="172">
        <f t="shared" si="29"/>
        <v>21.5</v>
      </c>
      <c r="L81" s="165">
        <f t="shared" ref="L81:L86" si="34">+G81*I81</f>
        <v>1037.7461447755854</v>
      </c>
      <c r="M81" s="165">
        <f t="shared" ref="M81:M86" si="35">+J81*K81</f>
        <v>167017.83897645859</v>
      </c>
      <c r="N81" s="165">
        <f t="shared" ref="N81:N86" si="36">+L81/M81</f>
        <v>6.2133850559631379E-3</v>
      </c>
      <c r="O81" s="165" t="str">
        <f t="shared" ref="O81:O86" si="37">+IF(N81&gt;O80,"P-DELTA","OK")</f>
        <v>OK</v>
      </c>
    </row>
    <row r="82" spans="2:15" s="83" customFormat="1" x14ac:dyDescent="0.3">
      <c r="B82" s="53" t="s">
        <v>39</v>
      </c>
      <c r="C82" s="53">
        <v>18</v>
      </c>
      <c r="D82" s="53" t="s">
        <v>72</v>
      </c>
      <c r="E82" s="53">
        <f>+'Irre. Torsional'!E66</f>
        <v>2.0256785491547101E-2</v>
      </c>
      <c r="F82" s="165">
        <f t="shared" si="28"/>
        <v>1827784.5374996399</v>
      </c>
      <c r="G82" s="165">
        <f t="shared" si="31"/>
        <v>300820.55624995986</v>
      </c>
      <c r="H82" s="165">
        <f t="shared" si="32"/>
        <v>2.0256785491547101E-2</v>
      </c>
      <c r="I82" s="165">
        <f t="shared" si="33"/>
        <v>3.7793013124015999E-3</v>
      </c>
      <c r="J82" s="172">
        <f t="shared" si="30"/>
        <v>6776.1706481164856</v>
      </c>
      <c r="K82" s="172">
        <f t="shared" si="29"/>
        <v>18</v>
      </c>
      <c r="L82" s="165">
        <f t="shared" si="34"/>
        <v>1136.8915230328525</v>
      </c>
      <c r="M82" s="165">
        <f t="shared" si="35"/>
        <v>121971.07166609674</v>
      </c>
      <c r="N82" s="165">
        <f t="shared" si="36"/>
        <v>9.3209931461876675E-3</v>
      </c>
      <c r="O82" s="165" t="str">
        <f t="shared" si="37"/>
        <v>OK</v>
      </c>
    </row>
    <row r="83" spans="2:15" s="83" customFormat="1" x14ac:dyDescent="0.3">
      <c r="B83" s="53" t="s">
        <v>26</v>
      </c>
      <c r="C83" s="53">
        <v>14.5</v>
      </c>
      <c r="D83" s="53" t="s">
        <v>72</v>
      </c>
      <c r="E83" s="53">
        <f>+'Irre. Torsional'!E67</f>
        <v>1.6477484179145501E-2</v>
      </c>
      <c r="F83" s="165">
        <f t="shared" si="28"/>
        <v>2129915.4937496101</v>
      </c>
      <c r="G83" s="165">
        <f t="shared" si="31"/>
        <v>302130.95624997024</v>
      </c>
      <c r="H83" s="165">
        <f t="shared" si="32"/>
        <v>1.6477484179145501E-2</v>
      </c>
      <c r="I83" s="165">
        <f t="shared" si="33"/>
        <v>4.0403200495795003E-3</v>
      </c>
      <c r="J83" s="172">
        <f t="shared" si="30"/>
        <v>6020.7956468781977</v>
      </c>
      <c r="K83" s="172">
        <f t="shared" si="29"/>
        <v>14.5</v>
      </c>
      <c r="L83" s="165">
        <f t="shared" si="34"/>
        <v>1220.7057601353815</v>
      </c>
      <c r="M83" s="165">
        <f t="shared" si="35"/>
        <v>87301.53687973386</v>
      </c>
      <c r="N83" s="165">
        <f t="shared" si="36"/>
        <v>1.3982637691900194E-2</v>
      </c>
      <c r="O83" s="165" t="str">
        <f t="shared" si="37"/>
        <v>OK</v>
      </c>
    </row>
    <row r="84" spans="2:15" s="83" customFormat="1" x14ac:dyDescent="0.3">
      <c r="B84" s="53" t="s">
        <v>25</v>
      </c>
      <c r="C84" s="53">
        <v>11</v>
      </c>
      <c r="D84" s="53" t="s">
        <v>72</v>
      </c>
      <c r="E84" s="53">
        <f>+'Irre. Torsional'!E68</f>
        <v>1.2437164129566001E-2</v>
      </c>
      <c r="F84" s="165">
        <f t="shared" si="28"/>
        <v>2432046.4499995601</v>
      </c>
      <c r="G84" s="165">
        <f t="shared" si="31"/>
        <v>302130.95624994999</v>
      </c>
      <c r="H84" s="165">
        <f t="shared" si="32"/>
        <v>1.2437164129566001E-2</v>
      </c>
      <c r="I84" s="165">
        <f t="shared" si="33"/>
        <v>4.2228355628641315E-3</v>
      </c>
      <c r="J84" s="172">
        <f t="shared" si="30"/>
        <v>5227.9753196432666</v>
      </c>
      <c r="K84" s="172">
        <f t="shared" si="29"/>
        <v>11</v>
      </c>
      <c r="L84" s="165">
        <f t="shared" si="34"/>
        <v>1275.8493466944358</v>
      </c>
      <c r="M84" s="165">
        <f t="shared" si="35"/>
        <v>57507.728516075935</v>
      </c>
      <c r="N84" s="165">
        <f t="shared" si="36"/>
        <v>2.2185702332822622E-2</v>
      </c>
      <c r="O84" s="165" t="str">
        <f t="shared" si="37"/>
        <v>OK</v>
      </c>
    </row>
    <row r="85" spans="2:15" s="83" customFormat="1" x14ac:dyDescent="0.3">
      <c r="B85" s="53" t="s">
        <v>24</v>
      </c>
      <c r="C85" s="53">
        <v>7.5</v>
      </c>
      <c r="D85" s="53" t="s">
        <v>72</v>
      </c>
      <c r="E85" s="53">
        <f>+'Irre. Torsional'!E69</f>
        <v>8.2143285667018694E-3</v>
      </c>
      <c r="F85" s="165">
        <f t="shared" si="28"/>
        <v>2734177.4062495301</v>
      </c>
      <c r="G85" s="165">
        <f t="shared" si="31"/>
        <v>302130.95624997001</v>
      </c>
      <c r="H85" s="165">
        <f t="shared" si="32"/>
        <v>8.2143285667018694E-3</v>
      </c>
      <c r="I85" s="165">
        <f t="shared" si="33"/>
        <v>4.2784287682187091E-3</v>
      </c>
      <c r="J85" s="172">
        <f t="shared" si="30"/>
        <v>4157.5305479980998</v>
      </c>
      <c r="K85" s="172">
        <f t="shared" si="29"/>
        <v>7.5</v>
      </c>
      <c r="L85" s="165">
        <f t="shared" si="34"/>
        <v>1292.6457749893</v>
      </c>
      <c r="M85" s="165">
        <f t="shared" si="35"/>
        <v>31181.479109985747</v>
      </c>
      <c r="N85" s="165">
        <f t="shared" si="36"/>
        <v>4.1455563106220165E-2</v>
      </c>
      <c r="O85" s="165" t="str">
        <f t="shared" si="37"/>
        <v>OK</v>
      </c>
    </row>
    <row r="86" spans="2:15" s="83" customFormat="1" x14ac:dyDescent="0.3">
      <c r="B86" s="53" t="s">
        <v>22</v>
      </c>
      <c r="C86" s="53">
        <v>4</v>
      </c>
      <c r="D86" s="53" t="s">
        <v>72</v>
      </c>
      <c r="E86" s="53">
        <f>+'Irre. Torsional'!E70</f>
        <v>3.9358997984831603E-3</v>
      </c>
      <c r="F86" s="165">
        <f t="shared" si="28"/>
        <v>3119351.3624995002</v>
      </c>
      <c r="G86" s="165">
        <f t="shared" si="31"/>
        <v>385173.95624997001</v>
      </c>
      <c r="H86" s="165">
        <f t="shared" si="32"/>
        <v>3.9358997984831603E-3</v>
      </c>
      <c r="I86" s="165">
        <f t="shared" si="33"/>
        <v>3.9358997984831603E-3</v>
      </c>
      <c r="J86" s="172">
        <f t="shared" si="30"/>
        <v>2492.5282818313285</v>
      </c>
      <c r="K86" s="172">
        <f t="shared" si="29"/>
        <v>4</v>
      </c>
      <c r="L86" s="165">
        <f t="shared" si="34"/>
        <v>1516.0060967852187</v>
      </c>
      <c r="M86" s="165">
        <f t="shared" si="35"/>
        <v>9970.1131273253141</v>
      </c>
      <c r="N86" s="165">
        <f t="shared" si="36"/>
        <v>0.15205505468441141</v>
      </c>
      <c r="O86" s="165" t="str">
        <f t="shared" si="37"/>
        <v>OK</v>
      </c>
    </row>
    <row r="87" spans="2:15" s="83" customFormat="1" x14ac:dyDescent="0.3">
      <c r="B87" s="53" t="s">
        <v>44</v>
      </c>
      <c r="C87" s="53">
        <v>0</v>
      </c>
      <c r="D87" s="53" t="s">
        <v>72</v>
      </c>
      <c r="E87" s="53">
        <v>0</v>
      </c>
      <c r="F87" s="91"/>
      <c r="G87" s="91"/>
      <c r="H87" s="91"/>
      <c r="I87" s="91"/>
      <c r="J87" s="91"/>
    </row>
    <row r="88" spans="2:15" s="83" customFormat="1" x14ac:dyDescent="0.3">
      <c r="B88" s="91"/>
      <c r="C88" s="91"/>
      <c r="D88" s="91"/>
      <c r="E88" s="91"/>
      <c r="F88" s="91"/>
      <c r="G88" s="91"/>
      <c r="H88" s="91"/>
      <c r="I88" s="91"/>
      <c r="J88" s="91"/>
      <c r="K88" s="91"/>
    </row>
    <row r="89" spans="2:15" s="83" customFormat="1" x14ac:dyDescent="0.3">
      <c r="B89" s="91"/>
      <c r="C89" s="91"/>
      <c r="D89" s="91"/>
      <c r="E89" s="91"/>
      <c r="F89" s="91"/>
      <c r="G89" s="91"/>
      <c r="H89" s="91"/>
      <c r="I89" s="91"/>
      <c r="J89" s="91"/>
      <c r="K89" s="91"/>
    </row>
    <row r="90" spans="2:15" s="83" customFormat="1" x14ac:dyDescent="0.3">
      <c r="B90" s="91"/>
      <c r="C90" s="91"/>
      <c r="D90" s="91"/>
      <c r="E90" s="91"/>
      <c r="F90" s="91"/>
      <c r="G90" s="91"/>
      <c r="H90" s="91"/>
      <c r="I90" s="91"/>
      <c r="J90" s="91"/>
      <c r="K90" s="91"/>
    </row>
    <row r="91" spans="2:15" x14ac:dyDescent="0.3">
      <c r="B91" s="83"/>
      <c r="C91" s="83"/>
    </row>
    <row r="92" spans="2:15" s="83" customFormat="1" x14ac:dyDescent="0.3"/>
    <row r="93" spans="2:15" x14ac:dyDescent="0.3">
      <c r="B93" s="91"/>
      <c r="C93" s="92"/>
      <c r="D93" s="91"/>
      <c r="E93" s="91"/>
      <c r="F93" s="91"/>
      <c r="G93" s="91"/>
      <c r="H93" s="91"/>
      <c r="I93" s="91"/>
      <c r="J93" s="91"/>
      <c r="K93" s="91"/>
      <c r="L93" s="91"/>
    </row>
    <row r="94" spans="2:15" x14ac:dyDescent="0.3">
      <c r="B94" s="91"/>
      <c r="C94" s="90"/>
      <c r="D94" s="90"/>
      <c r="E94" s="90"/>
      <c r="F94" s="90"/>
      <c r="G94" s="90"/>
      <c r="H94" s="90"/>
      <c r="I94" s="90"/>
      <c r="J94" s="90"/>
      <c r="K94" s="90"/>
      <c r="L94" s="91"/>
    </row>
    <row r="95" spans="2:15" x14ac:dyDescent="0.3">
      <c r="B95" s="91"/>
      <c r="C95" s="93"/>
      <c r="D95" s="93"/>
      <c r="E95" s="93"/>
      <c r="F95" s="93"/>
      <c r="G95" s="93"/>
      <c r="H95" s="93"/>
      <c r="I95" s="93"/>
      <c r="J95" s="93"/>
      <c r="K95" s="93"/>
      <c r="L95" s="91"/>
    </row>
    <row r="96" spans="2:15" x14ac:dyDescent="0.3"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2:12" x14ac:dyDescent="0.3"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2:12" x14ac:dyDescent="0.3"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2:12" x14ac:dyDescent="0.3"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2:12" x14ac:dyDescent="0.3"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2:12" x14ac:dyDescent="0.3"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2:12" x14ac:dyDescent="0.3"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2:12" x14ac:dyDescent="0.3"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2:12" x14ac:dyDescent="0.3">
      <c r="B104" s="91"/>
      <c r="C104" s="203"/>
      <c r="D104" s="203"/>
      <c r="E104" s="203"/>
      <c r="F104" s="91"/>
      <c r="G104" s="91"/>
      <c r="H104" s="93"/>
      <c r="I104" s="93"/>
      <c r="J104" s="91"/>
      <c r="K104" s="91"/>
      <c r="L104" s="91"/>
    </row>
    <row r="105" spans="2:12" x14ac:dyDescent="0.3">
      <c r="B105" s="91"/>
      <c r="C105" s="90"/>
      <c r="D105" s="90"/>
      <c r="E105" s="90"/>
      <c r="F105" s="90"/>
      <c r="G105" s="90"/>
      <c r="H105" s="90"/>
      <c r="I105" s="90"/>
      <c r="J105" s="91"/>
      <c r="K105" s="91"/>
      <c r="L105" s="91"/>
    </row>
    <row r="106" spans="2:12" x14ac:dyDescent="0.3">
      <c r="B106" s="91"/>
      <c r="C106" s="93"/>
      <c r="D106" s="93"/>
      <c r="E106" s="93"/>
      <c r="F106" s="93"/>
      <c r="G106" s="93"/>
      <c r="H106" s="93"/>
      <c r="I106" s="93"/>
      <c r="J106" s="91"/>
      <c r="K106" s="91"/>
      <c r="L106" s="91"/>
    </row>
    <row r="107" spans="2:12" x14ac:dyDescent="0.3">
      <c r="B107" s="91"/>
      <c r="C107" s="91"/>
      <c r="D107" s="91"/>
      <c r="E107" s="91"/>
      <c r="F107" s="94"/>
      <c r="G107" s="94"/>
      <c r="H107" s="91"/>
      <c r="I107" s="91"/>
      <c r="J107" s="91"/>
      <c r="K107" s="91"/>
      <c r="L107" s="91"/>
    </row>
    <row r="108" spans="2:12" x14ac:dyDescent="0.3">
      <c r="B108" s="91"/>
      <c r="C108" s="91"/>
      <c r="D108" s="91"/>
      <c r="E108" s="91"/>
      <c r="F108" s="94"/>
      <c r="G108" s="94"/>
      <c r="H108" s="91"/>
      <c r="I108" s="91"/>
      <c r="J108" s="91"/>
      <c r="K108" s="91"/>
      <c r="L108" s="91"/>
    </row>
    <row r="109" spans="2:12" x14ac:dyDescent="0.3">
      <c r="B109" s="91"/>
      <c r="C109" s="91"/>
      <c r="D109" s="91"/>
      <c r="E109" s="91"/>
      <c r="F109" s="94"/>
      <c r="G109" s="94"/>
      <c r="H109" s="91"/>
      <c r="I109" s="91"/>
      <c r="J109" s="91"/>
      <c r="K109" s="91"/>
      <c r="L109" s="91"/>
    </row>
    <row r="110" spans="2:12" x14ac:dyDescent="0.3">
      <c r="B110" s="91"/>
      <c r="C110" s="91"/>
      <c r="D110" s="91"/>
      <c r="E110" s="91"/>
      <c r="F110" s="94"/>
      <c r="G110" s="94"/>
      <c r="H110" s="91"/>
      <c r="I110" s="91"/>
      <c r="J110" s="91"/>
      <c r="K110" s="91"/>
      <c r="L110" s="91"/>
    </row>
    <row r="111" spans="2:12" x14ac:dyDescent="0.3"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</row>
    <row r="112" spans="2:12" x14ac:dyDescent="0.3"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</row>
    <row r="113" spans="2:12" x14ac:dyDescent="0.3">
      <c r="B113" s="90"/>
      <c r="C113" s="90"/>
      <c r="D113" s="90"/>
      <c r="E113" s="90"/>
      <c r="F113" s="90"/>
      <c r="G113" s="90"/>
      <c r="H113" s="90"/>
      <c r="I113" s="90"/>
      <c r="J113" s="90"/>
      <c r="K113" s="90"/>
      <c r="L113" s="91"/>
    </row>
    <row r="114" spans="2:12" x14ac:dyDescent="0.3">
      <c r="B114" s="90"/>
      <c r="C114" s="90"/>
      <c r="D114" s="90"/>
      <c r="E114" s="90"/>
      <c r="F114" s="90"/>
      <c r="G114" s="90"/>
      <c r="H114" s="90"/>
      <c r="I114" s="90"/>
      <c r="J114" s="90"/>
      <c r="K114" s="90"/>
      <c r="L114" s="91"/>
    </row>
    <row r="115" spans="2:12" x14ac:dyDescent="0.3">
      <c r="B115" s="92"/>
      <c r="C115" s="91"/>
      <c r="D115" s="91"/>
      <c r="E115" s="94"/>
      <c r="F115" s="91"/>
      <c r="G115" s="91"/>
      <c r="H115" s="91"/>
      <c r="I115" s="91"/>
      <c r="J115" s="91"/>
      <c r="K115" s="91"/>
      <c r="L115" s="91"/>
    </row>
    <row r="116" spans="2:12" x14ac:dyDescent="0.3">
      <c r="B116" s="92"/>
      <c r="C116" s="91"/>
      <c r="D116" s="91"/>
      <c r="E116" s="94"/>
      <c r="F116" s="91"/>
      <c r="G116" s="91"/>
      <c r="H116" s="91"/>
      <c r="I116" s="91"/>
      <c r="J116" s="91"/>
      <c r="K116" s="91"/>
      <c r="L116" s="91"/>
    </row>
    <row r="117" spans="2:12" x14ac:dyDescent="0.3">
      <c r="B117" s="92"/>
      <c r="C117" s="91"/>
      <c r="D117" s="91"/>
      <c r="E117" s="94"/>
      <c r="F117" s="91"/>
      <c r="G117" s="91"/>
      <c r="H117" s="91"/>
      <c r="I117" s="91"/>
      <c r="J117" s="91"/>
      <c r="K117" s="91"/>
      <c r="L117" s="91"/>
    </row>
  </sheetData>
  <mergeCells count="21">
    <mergeCell ref="G55:H55"/>
    <mergeCell ref="I55:J55"/>
    <mergeCell ref="K55:L55"/>
    <mergeCell ref="M55:N55"/>
    <mergeCell ref="G73:H73"/>
    <mergeCell ref="I73:J73"/>
    <mergeCell ref="K73:L73"/>
    <mergeCell ref="M73:N73"/>
    <mergeCell ref="G19:H19"/>
    <mergeCell ref="I19:J19"/>
    <mergeCell ref="K19:L19"/>
    <mergeCell ref="M19:N19"/>
    <mergeCell ref="G37:H37"/>
    <mergeCell ref="I37:J37"/>
    <mergeCell ref="K37:L37"/>
    <mergeCell ref="M37:N37"/>
    <mergeCell ref="C104:E104"/>
    <mergeCell ref="E19:F19"/>
    <mergeCell ref="E37:F37"/>
    <mergeCell ref="E55:F55"/>
    <mergeCell ref="E73:F7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DIRECTOR</vt:lpstr>
      <vt:lpstr>Carga muerta y viva</vt:lpstr>
      <vt:lpstr>ESPECTROS HONDURAS</vt:lpstr>
      <vt:lpstr>Centers of Mass and Rigidity</vt:lpstr>
      <vt:lpstr>Story Forces Inicial</vt:lpstr>
      <vt:lpstr>Sismo UBC-94 y Dinamico</vt:lpstr>
      <vt:lpstr>Story Stiffness</vt:lpstr>
      <vt:lpstr>Story Forces Final</vt:lpstr>
      <vt:lpstr>Story Max Avg Displacements</vt:lpstr>
      <vt:lpstr>Story Drifts</vt:lpstr>
      <vt:lpstr>Derivas por EQ Manual</vt:lpstr>
      <vt:lpstr>Irre. Torsional</vt:lpstr>
      <vt:lpstr>Irre. Piso Suave</vt:lpstr>
      <vt:lpstr>Irre. Masa</vt:lpstr>
      <vt:lpstr>P-Delta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Cartagena</dc:creator>
  <cp:lastModifiedBy>Francisco Cartagena</cp:lastModifiedBy>
  <cp:lastPrinted>2020-10-20T17:14:39Z</cp:lastPrinted>
  <dcterms:created xsi:type="dcterms:W3CDTF">2020-10-20T16:48:42Z</dcterms:created>
  <dcterms:modified xsi:type="dcterms:W3CDTF">2021-05-20T22:16:16Z</dcterms:modified>
</cp:coreProperties>
</file>