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2\"/>
    </mc:Choice>
  </mc:AlternateContent>
  <bookViews>
    <workbookView xWindow="0" yWindow="0" windowWidth="23040" windowHeight="9972" tabRatio="830" firstSheet="6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83" i="11" l="1"/>
  <c r="L46" i="1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<sst xmlns="http://schemas.openxmlformats.org/spreadsheetml/2006/main" count="4772" uniqueCount="262">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</sst>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18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38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8</xdr:row>
          <xdr:rowOff>0</xdr:rowOff>
        </xdr:from>
        <xdr:to>
          <xdr:col>15</xdr:col>
          <xdr:colOff>510540</xdr:colOff>
          <xdr:row>48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581.94183486763905</v>
      </c>
      <c r="E5" s="172">
        <f t="shared" si="0"/>
        <v>581.94183486763905</v>
      </c>
      <c r="F5" s="172">
        <f t="shared" si="0"/>
        <v>22.111496612735099</v>
      </c>
      <c r="G5" s="172">
        <f t="shared" si="0"/>
        <v>2.7579246162162998</v>
      </c>
      <c r="H5" s="172">
        <f t="shared" si="0"/>
        <v>581.94183486763905</v>
      </c>
      <c r="I5" s="172">
        <f t="shared" si="0"/>
        <v>581.94183486763905</v>
      </c>
      <c r="J5" s="172">
        <f t="shared" si="0"/>
        <v>22.111496612735099</v>
      </c>
      <c r="K5" s="172">
        <f t="shared" si="0"/>
        <v>2.7579246162162998</v>
      </c>
      <c r="L5" s="172">
        <f t="shared" si="0"/>
        <v>19.178885414431001</v>
      </c>
      <c r="M5" s="172">
        <f t="shared" si="0"/>
        <v>2.7375587978131102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10549.936926913701</v>
      </c>
      <c r="E6" s="172">
        <f t="shared" si="1"/>
        <v>10549.936926913701</v>
      </c>
      <c r="F6" s="172">
        <f t="shared" si="1"/>
        <v>11.131808515057999</v>
      </c>
      <c r="G6" s="172">
        <f t="shared" si="1"/>
        <v>8.6128385165497505</v>
      </c>
      <c r="H6" s="172">
        <f t="shared" si="1"/>
        <v>10549.936926913701</v>
      </c>
      <c r="I6" s="172">
        <f t="shared" si="1"/>
        <v>10549.936926913701</v>
      </c>
      <c r="J6" s="172">
        <f t="shared" si="1"/>
        <v>11.131808515057999</v>
      </c>
      <c r="K6" s="172">
        <f t="shared" si="1"/>
        <v>8.6128385165497505</v>
      </c>
      <c r="L6" s="172">
        <f t="shared" si="1"/>
        <v>11.9624524711425</v>
      </c>
      <c r="M6" s="172">
        <f t="shared" si="1"/>
        <v>8.0773351641604592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13150.453431864</v>
      </c>
      <c r="E7" s="172">
        <f t="shared" si="2"/>
        <v>13150.453431864</v>
      </c>
      <c r="F7" s="172">
        <f t="shared" si="2"/>
        <v>11.0095040744873</v>
      </c>
      <c r="G7" s="172">
        <f t="shared" si="2"/>
        <v>8.7426840350402308</v>
      </c>
      <c r="H7" s="172">
        <f t="shared" si="2"/>
        <v>13150.453431864</v>
      </c>
      <c r="I7" s="172">
        <f t="shared" si="2"/>
        <v>13150.453431864</v>
      </c>
      <c r="J7" s="172">
        <f t="shared" si="2"/>
        <v>11.0095040744873</v>
      </c>
      <c r="K7" s="172">
        <f t="shared" si="2"/>
        <v>8.7426840350402308</v>
      </c>
      <c r="L7" s="172">
        <f t="shared" si="2"/>
        <v>12.1684332087711</v>
      </c>
      <c r="M7" s="172">
        <f t="shared" si="2"/>
        <v>7.98976723998378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13150.453431864</v>
      </c>
      <c r="E8" s="172">
        <f t="shared" si="3"/>
        <v>13150.453431864</v>
      </c>
      <c r="F8" s="172">
        <f t="shared" si="3"/>
        <v>11.0095040744873</v>
      </c>
      <c r="G8" s="172">
        <f t="shared" si="3"/>
        <v>8.7426840350402308</v>
      </c>
      <c r="H8" s="172">
        <f t="shared" si="3"/>
        <v>13150.453431864</v>
      </c>
      <c r="I8" s="172">
        <f t="shared" si="3"/>
        <v>13150.453431864</v>
      </c>
      <c r="J8" s="172">
        <f t="shared" si="3"/>
        <v>11.0095040744873</v>
      </c>
      <c r="K8" s="172">
        <f t="shared" si="3"/>
        <v>8.7426840350402308</v>
      </c>
      <c r="L8" s="172">
        <f t="shared" si="3"/>
        <v>12.3826839156986</v>
      </c>
      <c r="M8" s="172">
        <f t="shared" si="3"/>
        <v>7.8924506438417099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13150.453431864</v>
      </c>
      <c r="E9" s="172">
        <f t="shared" si="4"/>
        <v>13150.453431864</v>
      </c>
      <c r="F9" s="172">
        <f t="shared" si="4"/>
        <v>11.0095040744873</v>
      </c>
      <c r="G9" s="172">
        <f t="shared" si="4"/>
        <v>8.7426840350402308</v>
      </c>
      <c r="H9" s="172">
        <f t="shared" si="4"/>
        <v>13150.453431864</v>
      </c>
      <c r="I9" s="172">
        <f t="shared" si="4"/>
        <v>13150.453431864</v>
      </c>
      <c r="J9" s="172">
        <f t="shared" si="4"/>
        <v>11.0095040744873</v>
      </c>
      <c r="K9" s="172">
        <f t="shared" si="4"/>
        <v>8.7426840350402308</v>
      </c>
      <c r="L9" s="172">
        <f t="shared" si="4"/>
        <v>12.579845661352801</v>
      </c>
      <c r="M9" s="172">
        <f t="shared" si="4"/>
        <v>7.8011639621966502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13150.453431864</v>
      </c>
      <c r="E10" s="172">
        <f t="shared" si="5"/>
        <v>13150.453431864</v>
      </c>
      <c r="F10" s="172">
        <f t="shared" si="5"/>
        <v>11.0095040744873</v>
      </c>
      <c r="G10" s="172">
        <f t="shared" si="5"/>
        <v>8.7426840350402308</v>
      </c>
      <c r="H10" s="172">
        <f t="shared" si="5"/>
        <v>13150.453431864</v>
      </c>
      <c r="I10" s="172">
        <f t="shared" si="5"/>
        <v>13150.453431864</v>
      </c>
      <c r="J10" s="172">
        <f t="shared" si="5"/>
        <v>11.0095040744873</v>
      </c>
      <c r="K10" s="172">
        <f t="shared" si="5"/>
        <v>8.7426840350402308</v>
      </c>
      <c r="L10" s="172">
        <f t="shared" si="5"/>
        <v>12.761465831271201</v>
      </c>
      <c r="M10" s="172">
        <f t="shared" si="5"/>
        <v>7.7147072535655701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13150.453431864</v>
      </c>
      <c r="E11" s="172">
        <f t="shared" si="6"/>
        <v>13150.453431864</v>
      </c>
      <c r="F11" s="172">
        <f t="shared" si="6"/>
        <v>11.0095040744873</v>
      </c>
      <c r="G11" s="172">
        <f t="shared" si="6"/>
        <v>8.7426840350402308</v>
      </c>
      <c r="H11" s="172">
        <f t="shared" si="6"/>
        <v>13150.453431864</v>
      </c>
      <c r="I11" s="172">
        <f t="shared" si="6"/>
        <v>13150.453431864</v>
      </c>
      <c r="J11" s="172">
        <f t="shared" si="6"/>
        <v>11.0095040744873</v>
      </c>
      <c r="K11" s="172">
        <f t="shared" si="6"/>
        <v>8.7426840350402308</v>
      </c>
      <c r="L11" s="172">
        <f t="shared" si="6"/>
        <v>12.925080703174901</v>
      </c>
      <c r="M11" s="172">
        <f t="shared" si="6"/>
        <v>7.6340305505389301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13284.811237351199</v>
      </c>
      <c r="E12" s="172">
        <f t="shared" si="7"/>
        <v>13284.811237351199</v>
      </c>
      <c r="F12" s="172">
        <f t="shared" si="7"/>
        <v>11.115734508088201</v>
      </c>
      <c r="G12" s="172">
        <f t="shared" si="7"/>
        <v>8.6746014840302408</v>
      </c>
      <c r="H12" s="172">
        <f t="shared" si="7"/>
        <v>13284.811237351199</v>
      </c>
      <c r="I12" s="172">
        <f t="shared" si="7"/>
        <v>13284.811237351199</v>
      </c>
      <c r="J12" s="172">
        <f t="shared" si="7"/>
        <v>11.115734508088201</v>
      </c>
      <c r="K12" s="172">
        <f t="shared" si="7"/>
        <v>8.6746014840302408</v>
      </c>
      <c r="L12" s="172">
        <f t="shared" si="7"/>
        <v>13.047675588400001</v>
      </c>
      <c r="M12" s="172">
        <f t="shared" si="7"/>
        <v>7.5828179290055902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13284.811237351199</v>
      </c>
      <c r="E13" s="172">
        <f t="shared" si="8"/>
        <v>13284.811237351199</v>
      </c>
      <c r="F13" s="172">
        <f t="shared" si="8"/>
        <v>11.115734508088201</v>
      </c>
      <c r="G13" s="172">
        <f t="shared" si="8"/>
        <v>8.6746014840302408</v>
      </c>
      <c r="H13" s="172">
        <f t="shared" si="8"/>
        <v>13284.811237351199</v>
      </c>
      <c r="I13" s="172">
        <f t="shared" si="8"/>
        <v>13284.811237351199</v>
      </c>
      <c r="J13" s="172">
        <f t="shared" si="8"/>
        <v>11.115734508088201</v>
      </c>
      <c r="K13" s="172">
        <f t="shared" si="8"/>
        <v>8.6746014840302408</v>
      </c>
      <c r="L13" s="172">
        <f t="shared" si="8"/>
        <v>13.092418923217499</v>
      </c>
      <c r="M13" s="172">
        <f t="shared" si="8"/>
        <v>7.5832532348271302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13284.811237351199</v>
      </c>
      <c r="E14" s="172">
        <f t="shared" si="9"/>
        <v>13284.811237351199</v>
      </c>
      <c r="F14" s="172">
        <f t="shared" si="9"/>
        <v>11.115734508088201</v>
      </c>
      <c r="G14" s="172">
        <f t="shared" si="9"/>
        <v>8.6746014840302408</v>
      </c>
      <c r="H14" s="172">
        <f t="shared" si="9"/>
        <v>13284.811237351199</v>
      </c>
      <c r="I14" s="172">
        <f t="shared" si="9"/>
        <v>13284.811237351199</v>
      </c>
      <c r="J14" s="172">
        <f t="shared" si="9"/>
        <v>11.115734508088201</v>
      </c>
      <c r="K14" s="172">
        <f t="shared" si="9"/>
        <v>8.6746014840302408</v>
      </c>
      <c r="L14" s="172">
        <f t="shared" si="9"/>
        <v>12.976884680124</v>
      </c>
      <c r="M14" s="172">
        <f t="shared" si="9"/>
        <v>7.6900034866018103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13748.053220366901</v>
      </c>
      <c r="E15" s="172">
        <f t="shared" si="10"/>
        <v>13748.053220366901</v>
      </c>
      <c r="F15" s="172">
        <f t="shared" si="10"/>
        <v>11.1779959737943</v>
      </c>
      <c r="G15" s="172">
        <f t="shared" si="10"/>
        <v>8.6440707101497605</v>
      </c>
      <c r="H15" s="172">
        <f t="shared" si="10"/>
        <v>13748.053220366901</v>
      </c>
      <c r="I15" s="172">
        <f t="shared" si="10"/>
        <v>13748.053220366901</v>
      </c>
      <c r="J15" s="172">
        <f t="shared" si="10"/>
        <v>11.1779959737943</v>
      </c>
      <c r="K15" s="172">
        <f t="shared" si="10"/>
        <v>8.6440707101497605</v>
      </c>
      <c r="L15" s="172">
        <f t="shared" si="10"/>
        <v>12.4657562297313</v>
      </c>
      <c r="M15" s="172">
        <f t="shared" si="10"/>
        <v>8.0771088857498103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13748.053220366901</v>
      </c>
      <c r="E23" s="172">
        <v>13748.053220366901</v>
      </c>
      <c r="F23" s="172">
        <v>11.1779959737943</v>
      </c>
      <c r="G23" s="172">
        <v>8.6440707101497605</v>
      </c>
      <c r="H23" s="172">
        <v>13748.053220366901</v>
      </c>
      <c r="I23" s="172">
        <v>13748.053220366901</v>
      </c>
      <c r="J23" s="172">
        <v>11.1779959737943</v>
      </c>
      <c r="K23" s="172">
        <v>8.6440707101497605</v>
      </c>
      <c r="L23" s="172">
        <v>12.4657562297313</v>
      </c>
      <c r="M23" s="172">
        <v>8.0771088857498103</v>
      </c>
    </row>
    <row r="24" spans="2:15" x14ac:dyDescent="0.3">
      <c r="B24" s="172" t="s">
        <v>24</v>
      </c>
      <c r="C24" s="172" t="s">
        <v>175</v>
      </c>
      <c r="D24" s="172">
        <v>13284.811237351199</v>
      </c>
      <c r="E24" s="172">
        <v>13284.811237351199</v>
      </c>
      <c r="F24" s="172">
        <v>11.115734508088201</v>
      </c>
      <c r="G24" s="172">
        <v>8.6746014840302408</v>
      </c>
      <c r="H24" s="172">
        <v>13284.811237351199</v>
      </c>
      <c r="I24" s="172">
        <v>13284.811237351199</v>
      </c>
      <c r="J24" s="172">
        <v>11.115734508088201</v>
      </c>
      <c r="K24" s="172">
        <v>8.6746014840302408</v>
      </c>
      <c r="L24" s="172">
        <v>12.976884680124</v>
      </c>
      <c r="M24" s="172">
        <v>7.6900034866018103</v>
      </c>
    </row>
    <row r="25" spans="2:15" x14ac:dyDescent="0.3">
      <c r="B25" s="172" t="s">
        <v>25</v>
      </c>
      <c r="C25" s="172" t="s">
        <v>176</v>
      </c>
      <c r="D25" s="172">
        <v>13284.811237351199</v>
      </c>
      <c r="E25" s="172">
        <v>13284.811237351199</v>
      </c>
      <c r="F25" s="172">
        <v>11.115734508088201</v>
      </c>
      <c r="G25" s="172">
        <v>8.6746014840302408</v>
      </c>
      <c r="H25" s="172">
        <v>13284.811237351199</v>
      </c>
      <c r="I25" s="172">
        <v>13284.811237351199</v>
      </c>
      <c r="J25" s="172">
        <v>11.115734508088201</v>
      </c>
      <c r="K25" s="172">
        <v>8.6746014840302408</v>
      </c>
      <c r="L25" s="172">
        <v>13.092418923217499</v>
      </c>
      <c r="M25" s="172">
        <v>7.5832532348271302</v>
      </c>
    </row>
    <row r="26" spans="2:15" x14ac:dyDescent="0.3">
      <c r="B26" s="172" t="s">
        <v>26</v>
      </c>
      <c r="C26" s="172" t="s">
        <v>177</v>
      </c>
      <c r="D26" s="172">
        <v>13284.811237351199</v>
      </c>
      <c r="E26" s="172">
        <v>13284.811237351199</v>
      </c>
      <c r="F26" s="172">
        <v>11.115734508088201</v>
      </c>
      <c r="G26" s="172">
        <v>8.6746014840302408</v>
      </c>
      <c r="H26" s="172">
        <v>13284.811237351199</v>
      </c>
      <c r="I26" s="172">
        <v>13284.811237351199</v>
      </c>
      <c r="J26" s="172">
        <v>11.115734508088201</v>
      </c>
      <c r="K26" s="172">
        <v>8.6746014840302408</v>
      </c>
      <c r="L26" s="172">
        <v>13.047675588400001</v>
      </c>
      <c r="M26" s="172">
        <v>7.5828179290055902</v>
      </c>
    </row>
    <row r="27" spans="2:15" x14ac:dyDescent="0.3">
      <c r="B27" s="172" t="s">
        <v>39</v>
      </c>
      <c r="C27" s="172" t="s">
        <v>178</v>
      </c>
      <c r="D27" s="172">
        <v>13150.453431864</v>
      </c>
      <c r="E27" s="172">
        <v>13150.453431864</v>
      </c>
      <c r="F27" s="172">
        <v>11.0095040744873</v>
      </c>
      <c r="G27" s="172">
        <v>8.7426840350402308</v>
      </c>
      <c r="H27" s="172">
        <v>13150.453431864</v>
      </c>
      <c r="I27" s="172">
        <v>13150.453431864</v>
      </c>
      <c r="J27" s="172">
        <v>11.0095040744873</v>
      </c>
      <c r="K27" s="172">
        <v>8.7426840350402308</v>
      </c>
      <c r="L27" s="172">
        <v>12.925080703174901</v>
      </c>
      <c r="M27" s="172">
        <v>7.6340305505389301</v>
      </c>
    </row>
    <row r="28" spans="2:15" x14ac:dyDescent="0.3">
      <c r="B28" s="172" t="s">
        <v>179</v>
      </c>
      <c r="C28" s="172" t="s">
        <v>180</v>
      </c>
      <c r="D28" s="172">
        <v>13150.453431864</v>
      </c>
      <c r="E28" s="172">
        <v>13150.453431864</v>
      </c>
      <c r="F28" s="172">
        <v>11.0095040744873</v>
      </c>
      <c r="G28" s="172">
        <v>8.7426840350402308</v>
      </c>
      <c r="H28" s="172">
        <v>13150.453431864</v>
      </c>
      <c r="I28" s="172">
        <v>13150.453431864</v>
      </c>
      <c r="J28" s="172">
        <v>11.0095040744873</v>
      </c>
      <c r="K28" s="172">
        <v>8.7426840350402308</v>
      </c>
      <c r="L28" s="172">
        <v>12.761465831271201</v>
      </c>
      <c r="M28" s="172">
        <v>7.7147072535655701</v>
      </c>
    </row>
    <row r="29" spans="2:15" x14ac:dyDescent="0.3">
      <c r="B29" s="172" t="s">
        <v>181</v>
      </c>
      <c r="C29" s="172" t="s">
        <v>182</v>
      </c>
      <c r="D29" s="172">
        <v>13150.453431864</v>
      </c>
      <c r="E29" s="172">
        <v>13150.453431864</v>
      </c>
      <c r="F29" s="172">
        <v>11.0095040744873</v>
      </c>
      <c r="G29" s="172">
        <v>8.7426840350402308</v>
      </c>
      <c r="H29" s="172">
        <v>13150.453431864</v>
      </c>
      <c r="I29" s="172">
        <v>13150.453431864</v>
      </c>
      <c r="J29" s="172">
        <v>11.0095040744873</v>
      </c>
      <c r="K29" s="172">
        <v>8.7426840350402308</v>
      </c>
      <c r="L29" s="172">
        <v>12.579845661352801</v>
      </c>
      <c r="M29" s="172">
        <v>7.8011639621966502</v>
      </c>
    </row>
    <row r="30" spans="2:15" x14ac:dyDescent="0.3">
      <c r="B30" s="172" t="s">
        <v>183</v>
      </c>
      <c r="C30" s="172" t="s">
        <v>184</v>
      </c>
      <c r="D30" s="172">
        <v>13150.453431864</v>
      </c>
      <c r="E30" s="172">
        <v>13150.453431864</v>
      </c>
      <c r="F30" s="172">
        <v>11.0095040744873</v>
      </c>
      <c r="G30" s="172">
        <v>8.7426840350402308</v>
      </c>
      <c r="H30" s="172">
        <v>13150.453431864</v>
      </c>
      <c r="I30" s="172">
        <v>13150.453431864</v>
      </c>
      <c r="J30" s="172">
        <v>11.0095040744873</v>
      </c>
      <c r="K30" s="172">
        <v>8.7426840350402308</v>
      </c>
      <c r="L30" s="172">
        <v>12.3826839156986</v>
      </c>
      <c r="M30" s="172">
        <v>7.8924506438417099</v>
      </c>
    </row>
    <row r="31" spans="2:15" x14ac:dyDescent="0.3">
      <c r="B31" s="172" t="s">
        <v>185</v>
      </c>
      <c r="C31" s="172" t="s">
        <v>186</v>
      </c>
      <c r="D31" s="172">
        <v>13150.453431864</v>
      </c>
      <c r="E31" s="172">
        <v>13150.453431864</v>
      </c>
      <c r="F31" s="172">
        <v>11.0095040744873</v>
      </c>
      <c r="G31" s="172">
        <v>8.7426840350402308</v>
      </c>
      <c r="H31" s="172">
        <v>13150.453431864</v>
      </c>
      <c r="I31" s="172">
        <v>13150.453431864</v>
      </c>
      <c r="J31" s="172">
        <v>11.0095040744873</v>
      </c>
      <c r="K31" s="172">
        <v>8.7426840350402308</v>
      </c>
      <c r="L31" s="172">
        <v>12.1684332087711</v>
      </c>
      <c r="M31" s="172">
        <v>7.98976723998378</v>
      </c>
    </row>
    <row r="32" spans="2:15" x14ac:dyDescent="0.3">
      <c r="B32" s="172" t="s">
        <v>187</v>
      </c>
      <c r="C32" s="172" t="s">
        <v>188</v>
      </c>
      <c r="D32" s="172">
        <v>10549.936926913701</v>
      </c>
      <c r="E32" s="172">
        <v>10549.936926913701</v>
      </c>
      <c r="F32" s="172">
        <v>11.131808515057999</v>
      </c>
      <c r="G32" s="172">
        <v>8.6128385165497505</v>
      </c>
      <c r="H32" s="172">
        <v>10549.936926913701</v>
      </c>
      <c r="I32" s="172">
        <v>10549.936926913701</v>
      </c>
      <c r="J32" s="172">
        <v>11.131808515057999</v>
      </c>
      <c r="K32" s="172">
        <v>8.6128385165497505</v>
      </c>
      <c r="L32" s="172">
        <v>11.9624524711425</v>
      </c>
      <c r="M32" s="172">
        <v>8.0773351641604592</v>
      </c>
    </row>
    <row r="33" spans="2:13" x14ac:dyDescent="0.3">
      <c r="B33" s="172" t="s">
        <v>189</v>
      </c>
      <c r="C33" s="172" t="s">
        <v>190</v>
      </c>
      <c r="D33" s="172">
        <v>581.94183486763905</v>
      </c>
      <c r="E33" s="172">
        <v>581.94183486763905</v>
      </c>
      <c r="F33" s="172">
        <v>22.111496612735099</v>
      </c>
      <c r="G33" s="172">
        <v>2.7579246162162998</v>
      </c>
      <c r="H33" s="172">
        <v>581.94183486763905</v>
      </c>
      <c r="I33" s="172">
        <v>581.94183486763905</v>
      </c>
      <c r="J33" s="172">
        <v>22.111496612735099</v>
      </c>
      <c r="K33" s="172">
        <v>2.7579246162162998</v>
      </c>
      <c r="L33" s="172">
        <v>19.178885414431001</v>
      </c>
      <c r="M33" s="172">
        <v>2.7375587978131102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4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4.7359427336738104E-10</v>
      </c>
      <c r="G6" s="172">
        <v>996.01900527014504</v>
      </c>
      <c r="H6" s="172">
        <v>596.64687357158903</v>
      </c>
      <c r="I6" s="172">
        <v>14108.2285277787</v>
      </c>
      <c r="J6" s="172">
        <v>9.5016819899703698E-10</v>
      </c>
      <c r="K6" s="172">
        <v>1.0051610698344901E-8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1.9078782503158E-10</v>
      </c>
      <c r="G7" s="172">
        <v>996.01900527038595</v>
      </c>
      <c r="H7" s="172">
        <v>596.64687357154196</v>
      </c>
      <c r="I7" s="172">
        <v>14108.2285277798</v>
      </c>
      <c r="J7" s="172">
        <v>1789.94062071537</v>
      </c>
      <c r="K7" s="172">
        <v>2988.0570158148698</v>
      </c>
      <c r="L7" s="14"/>
    </row>
    <row r="8" spans="2:12" s="172" customFormat="1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2.4886077316100699E-10</v>
      </c>
      <c r="G8" s="172">
        <v>429.93398343591798</v>
      </c>
      <c r="H8" s="172">
        <v>729.933919298668</v>
      </c>
      <c r="I8" s="172">
        <v>15550.923867814299</v>
      </c>
      <c r="J8" s="172">
        <v>3.2534933262338298E-10</v>
      </c>
      <c r="K8" s="172">
        <v>5.3080851506196097E-9</v>
      </c>
      <c r="L8" s="14"/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1.2844943429775599E-10</v>
      </c>
      <c r="G9" s="172">
        <v>429.93398343593498</v>
      </c>
      <c r="H9" s="172">
        <v>729.93391929745405</v>
      </c>
      <c r="I9" s="172">
        <v>15550.923867785699</v>
      </c>
      <c r="J9" s="172">
        <v>2189.80175789538</v>
      </c>
      <c r="K9" s="172">
        <v>1289.8019503088699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4.2167641475555801E-8</v>
      </c>
      <c r="G10" s="172">
        <v>17132.516873343899</v>
      </c>
      <c r="H10" s="172">
        <v>4301.5974619338203</v>
      </c>
      <c r="I10" s="172">
        <v>209518.85002973099</v>
      </c>
      <c r="J10" s="172">
        <v>1789.9406207219999</v>
      </c>
      <c r="K10" s="172">
        <v>2988.0570151758998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4.3635449553792703E-8</v>
      </c>
      <c r="G11" s="172">
        <v>17653.5435181143</v>
      </c>
      <c r="H11" s="172">
        <v>4560.63733492761</v>
      </c>
      <c r="I11" s="172">
        <v>216198.53199934101</v>
      </c>
      <c r="J11" s="172">
        <v>16849.543224116002</v>
      </c>
      <c r="K11" s="172">
        <v>63647.036188242302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3.6597659173704701E-8</v>
      </c>
      <c r="G12" s="172">
        <v>4104.9348884051597</v>
      </c>
      <c r="H12" s="172">
        <v>15182.845837099299</v>
      </c>
      <c r="I12" s="172">
        <v>136047.16577531901</v>
      </c>
      <c r="J12" s="172">
        <v>2189.8017579228599</v>
      </c>
      <c r="K12" s="172">
        <v>1289.80195014008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3.83076125469629E-8</v>
      </c>
      <c r="G13" s="172">
        <v>4206.4486426939602</v>
      </c>
      <c r="H13" s="172">
        <v>15531.9838625552</v>
      </c>
      <c r="I13" s="172">
        <v>145130.959041194</v>
      </c>
      <c r="J13" s="172">
        <v>55636.055651000999</v>
      </c>
      <c r="K13" s="172">
        <v>15110.615685643599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7.1784460477143695E-8</v>
      </c>
      <c r="G14" s="172">
        <v>35691.174371754503</v>
      </c>
      <c r="H14" s="172">
        <v>8656.52172885238</v>
      </c>
      <c r="I14" s="172">
        <v>435177.21011537401</v>
      </c>
      <c r="J14" s="172">
        <v>16849.543224328601</v>
      </c>
      <c r="K14" s="172">
        <v>63647.0361877838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8.34506357678358E-8</v>
      </c>
      <c r="G15" s="172">
        <v>36138.590836501797</v>
      </c>
      <c r="H15" s="172">
        <v>8871.9326133989998</v>
      </c>
      <c r="I15" s="172">
        <v>440823.56724912598</v>
      </c>
      <c r="J15" s="172">
        <v>47308.679654396001</v>
      </c>
      <c r="K15" s="172">
        <v>188904.608953702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3.9251619236771802E-8</v>
      </c>
      <c r="G16" s="172">
        <v>8429.4911234370193</v>
      </c>
      <c r="H16" s="172">
        <v>31412.035456424099</v>
      </c>
      <c r="I16" s="172">
        <v>278729.71613030502</v>
      </c>
      <c r="J16" s="172">
        <v>55636.055651025497</v>
      </c>
      <c r="K16" s="172">
        <v>15110.6156855589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3.8232880021354002E-8</v>
      </c>
      <c r="G17" s="172">
        <v>8509.8412416005303</v>
      </c>
      <c r="H17" s="172">
        <v>31711.2270050607</v>
      </c>
      <c r="I17" s="172">
        <v>286513.13023098599</v>
      </c>
      <c r="J17" s="172">
        <v>165745.50762794499</v>
      </c>
      <c r="K17" s="172">
        <v>44549.928851304103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2.2856130138891201E-7</v>
      </c>
      <c r="G18" s="172">
        <v>51466.648509080798</v>
      </c>
      <c r="H18" s="172">
        <v>12237.2731192433</v>
      </c>
      <c r="I18" s="172">
        <v>626310.40034793003</v>
      </c>
      <c r="J18" s="172">
        <v>47308.6796545814</v>
      </c>
      <c r="K18" s="172">
        <v>188904.60895114599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2.21933276891906E-7</v>
      </c>
      <c r="G19" s="172">
        <v>51845.152376476697</v>
      </c>
      <c r="H19" s="172">
        <v>12417.523326967101</v>
      </c>
      <c r="I19" s="172">
        <v>631079.30420147802</v>
      </c>
      <c r="J19" s="172">
        <v>89932.232035691894</v>
      </c>
      <c r="K19" s="172">
        <v>368204.36081803002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8.1088698905034503E-8</v>
      </c>
      <c r="G20" s="172">
        <v>12006.09174915</v>
      </c>
      <c r="H20" s="172">
        <v>44867.236010071698</v>
      </c>
      <c r="I20" s="172">
        <v>398811.06011231802</v>
      </c>
      <c r="J20" s="172">
        <v>165745.50762797901</v>
      </c>
      <c r="K20" s="172">
        <v>44549.928850959899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7.8022112071379895E-8</v>
      </c>
      <c r="G21" s="172">
        <v>12072.3872925256</v>
      </c>
      <c r="H21" s="172">
        <v>45114.805502573399</v>
      </c>
      <c r="I21" s="172">
        <v>405296.50233248202</v>
      </c>
      <c r="J21" s="172">
        <v>321762.11561221298</v>
      </c>
      <c r="K21" s="172">
        <v>86170.048949396994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5.3921022608728303E-7</v>
      </c>
      <c r="G22" s="172">
        <v>64870.471332640998</v>
      </c>
      <c r="H22" s="172">
        <v>15235.646525529501</v>
      </c>
      <c r="I22" s="172">
        <v>788814.57544452394</v>
      </c>
      <c r="J22" s="172">
        <v>89932.232036118905</v>
      </c>
      <c r="K22" s="172">
        <v>368204.36081233702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5.4153542308305495E-7</v>
      </c>
      <c r="G23" s="172">
        <v>65193.292900488399</v>
      </c>
      <c r="H23" s="172">
        <v>15389.763338294601</v>
      </c>
      <c r="I23" s="172">
        <v>792905.84366919601</v>
      </c>
      <c r="J23" s="172">
        <v>142403.36053531399</v>
      </c>
      <c r="K23" s="172">
        <v>592415.39178670605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1.6748275024605599E-7</v>
      </c>
      <c r="G24" s="172">
        <v>15007.065368514301</v>
      </c>
      <c r="H24" s="172">
        <v>56035.978625653399</v>
      </c>
      <c r="I24" s="172">
        <v>499171.66837188799</v>
      </c>
      <c r="J24" s="172">
        <v>321762.11561224703</v>
      </c>
      <c r="K24" s="172">
        <v>86170.048948573007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1.67768495277943E-7</v>
      </c>
      <c r="G25" s="172">
        <v>15062.740950053199</v>
      </c>
      <c r="H25" s="172">
        <v>56241.575829400397</v>
      </c>
      <c r="I25" s="172">
        <v>504620.946989002</v>
      </c>
      <c r="J25" s="172">
        <v>514747.82640891499</v>
      </c>
      <c r="K25" s="172">
        <v>137693.30933291101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5.9601189694221398E-7</v>
      </c>
      <c r="G26" s="172">
        <v>76396.8790434986</v>
      </c>
      <c r="H26" s="172">
        <v>17816.100831948301</v>
      </c>
      <c r="I26" s="172">
        <v>928826.04196760396</v>
      </c>
      <c r="J26" s="172">
        <v>142403.360535357</v>
      </c>
      <c r="K26" s="172">
        <v>592415.39178572095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5.9544535890701405E-7</v>
      </c>
      <c r="G27" s="172">
        <v>76675.299695402995</v>
      </c>
      <c r="H27" s="172">
        <v>17950.213161960499</v>
      </c>
      <c r="I27" s="172">
        <v>932377.55011644703</v>
      </c>
      <c r="J27" s="172">
        <v>203102.20200797101</v>
      </c>
      <c r="K27" s="172">
        <v>854251.96589164995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1.9049668842560901E-7</v>
      </c>
      <c r="G28" s="172">
        <v>17591.991425834902</v>
      </c>
      <c r="H28" s="172">
        <v>65523.342751744101</v>
      </c>
      <c r="I28" s="172">
        <v>584760.04695807898</v>
      </c>
      <c r="J28" s="172">
        <v>514747.82640892401</v>
      </c>
      <c r="K28" s="172">
        <v>137693.30933283499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1.8968662480751299E-7</v>
      </c>
      <c r="G29" s="172">
        <v>17639.778975062301</v>
      </c>
      <c r="H29" s="172">
        <v>65699.305680961406</v>
      </c>
      <c r="I29" s="172">
        <v>589460.06403729995</v>
      </c>
      <c r="J29" s="172">
        <v>737956.46023434401</v>
      </c>
      <c r="K29" s="172">
        <v>197484.300335484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5.08107712466151E-7</v>
      </c>
      <c r="G30" s="172">
        <v>86392.859499964601</v>
      </c>
      <c r="H30" s="172">
        <v>20053.340972698999</v>
      </c>
      <c r="I30" s="172">
        <v>1050297.2044369699</v>
      </c>
      <c r="J30" s="172">
        <v>203102.20200758701</v>
      </c>
      <c r="K30" s="172">
        <v>854251.96589328698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5.04704776052215E-7</v>
      </c>
      <c r="G31" s="172">
        <v>86633.042544643104</v>
      </c>
      <c r="H31" s="172">
        <v>20169.4489636055</v>
      </c>
      <c r="I31" s="172">
        <v>1053372.47816063</v>
      </c>
      <c r="J31" s="172">
        <v>270817.36986010498</v>
      </c>
      <c r="K31" s="172">
        <v>1147919.6381428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1.8994151434014099E-7</v>
      </c>
      <c r="G32" s="172">
        <v>19848.5673577899</v>
      </c>
      <c r="H32" s="172">
        <v>73806.820558666994</v>
      </c>
      <c r="I32" s="172">
        <v>659464.94899106701</v>
      </c>
      <c r="J32" s="172">
        <v>737956.46023430501</v>
      </c>
      <c r="K32" s="172">
        <v>197484.300335924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1.8698560937518601E-7</v>
      </c>
      <c r="G33" s="172">
        <v>19889.698599086401</v>
      </c>
      <c r="H33" s="172">
        <v>73960.643195357799</v>
      </c>
      <c r="I33" s="172">
        <v>663577.82796628599</v>
      </c>
      <c r="J33" s="172">
        <v>986571.57429645897</v>
      </c>
      <c r="K33" s="172">
        <v>264340.71212022402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4.8453719176317605E-7</v>
      </c>
      <c r="G34" s="172">
        <v>95065.597390455398</v>
      </c>
      <c r="H34" s="172">
        <v>21986.672046983502</v>
      </c>
      <c r="I34" s="172">
        <v>1155497.20195467</v>
      </c>
      <c r="J34" s="172">
        <v>270817.36986014497</v>
      </c>
      <c r="K34" s="172">
        <v>1147919.6381431699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4.81939483673102E-7</v>
      </c>
      <c r="G35" s="172">
        <v>95270.861244424494</v>
      </c>
      <c r="H35" s="172">
        <v>22084.990457408399</v>
      </c>
      <c r="I35" s="172">
        <v>1158118.21355954</v>
      </c>
      <c r="J35" s="172">
        <v>344542.151418672</v>
      </c>
      <c r="K35" s="172">
        <v>1468658.6572328201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1.92638028449096E-7</v>
      </c>
      <c r="G36" s="172">
        <v>21813.8549749046</v>
      </c>
      <c r="H36" s="172">
        <v>81144.319414105601</v>
      </c>
      <c r="I36" s="172">
        <v>725477.81782372599</v>
      </c>
      <c r="J36" s="172">
        <v>986571.574296479</v>
      </c>
      <c r="K36" s="172">
        <v>264340.712120399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1.90393810203733E-7</v>
      </c>
      <c r="G37" s="172">
        <v>21848.847788809901</v>
      </c>
      <c r="H37" s="172">
        <v>81277.758264398493</v>
      </c>
      <c r="I37" s="172">
        <v>729039.46250361402</v>
      </c>
      <c r="J37" s="172">
        <v>1257124.28670852</v>
      </c>
      <c r="K37" s="172">
        <v>337279.38071031898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5.2605457742331701E-7</v>
      </c>
      <c r="G38" s="172">
        <v>102353.223372233</v>
      </c>
      <c r="H38" s="172">
        <v>23601.1024801944</v>
      </c>
      <c r="I38" s="172">
        <v>1243679.4043679701</v>
      </c>
      <c r="J38" s="172">
        <v>344542.15141878102</v>
      </c>
      <c r="K38" s="172">
        <v>1468658.65723196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5.2223145579622296E-7</v>
      </c>
      <c r="G39" s="172">
        <v>102518.41392163</v>
      </c>
      <c r="H39" s="172">
        <v>23679.931556256601</v>
      </c>
      <c r="I39" s="172">
        <v>1245783.41570377</v>
      </c>
      <c r="J39" s="172">
        <v>423272.43212853698</v>
      </c>
      <c r="K39" s="172">
        <v>1811994.6966063499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2.02885388625783E-7</v>
      </c>
      <c r="G40" s="172">
        <v>23481.4741558674</v>
      </c>
      <c r="H40" s="172">
        <v>87468.2358294898</v>
      </c>
      <c r="I40" s="172">
        <v>781743.41541963501</v>
      </c>
      <c r="J40" s="172">
        <v>1257124.28670853</v>
      </c>
      <c r="K40" s="172">
        <v>337279.38071021001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2.0031345006101101E-7</v>
      </c>
      <c r="G41" s="172">
        <v>23510.191108844399</v>
      </c>
      <c r="H41" s="172">
        <v>87577.636757415603</v>
      </c>
      <c r="I41" s="172">
        <v>784649.37301853497</v>
      </c>
      <c r="J41" s="172">
        <v>1546579.2104165901</v>
      </c>
      <c r="K41" s="172">
        <v>415361.64212128997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6.2656456989365096E-7</v>
      </c>
      <c r="G42" s="172">
        <v>107917.54381639</v>
      </c>
      <c r="H42" s="172">
        <v>24850.098950658801</v>
      </c>
      <c r="I42" s="172">
        <v>1310793.55431251</v>
      </c>
      <c r="J42" s="172">
        <v>423272.43212870002</v>
      </c>
      <c r="K42" s="172">
        <v>1811994.6966043001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6.2610899183612796E-7</v>
      </c>
      <c r="G43" s="172">
        <v>108028.63710803101</v>
      </c>
      <c r="H43" s="172">
        <v>24903.4984679669</v>
      </c>
      <c r="I43" s="172">
        <v>1312191.20199178</v>
      </c>
      <c r="J43" s="172">
        <v>505949.80870370101</v>
      </c>
      <c r="K43" s="172">
        <v>2173063.6324441498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2.2301524249361199E-7</v>
      </c>
      <c r="G44" s="172">
        <v>24796.819638526202</v>
      </c>
      <c r="H44" s="172">
        <v>92410.527564201097</v>
      </c>
      <c r="I44" s="172">
        <v>825515.85389888799</v>
      </c>
      <c r="J44" s="172">
        <v>1546579.2104165801</v>
      </c>
      <c r="K44" s="172">
        <v>415361.64212093898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2.22383570405922E-7</v>
      </c>
      <c r="G45" s="172">
        <v>24817.6358148654</v>
      </c>
      <c r="H45" s="172">
        <v>92486.769111234593</v>
      </c>
      <c r="I45" s="172">
        <v>827522.97070949699</v>
      </c>
      <c r="J45" s="172">
        <v>1851493.6954828801</v>
      </c>
      <c r="K45" s="172">
        <v>497584.98482641298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6.4718946675262904E-7</v>
      </c>
      <c r="G46" s="172">
        <v>111069.708728871</v>
      </c>
      <c r="H46" s="172">
        <v>25553.241344187802</v>
      </c>
      <c r="I46" s="172">
        <v>1348076.54794862</v>
      </c>
      <c r="J46" s="172">
        <v>505949.80870372499</v>
      </c>
      <c r="K46" s="172">
        <v>2173063.6324437298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6.4743686756105297E-7</v>
      </c>
      <c r="G47" s="172">
        <v>111111.34911921</v>
      </c>
      <c r="H47" s="172">
        <v>25571.697298510699</v>
      </c>
      <c r="I47" s="172">
        <v>1348546.3997637699</v>
      </c>
      <c r="J47" s="172">
        <v>603577.30022515496</v>
      </c>
      <c r="K47" s="172">
        <v>2599483.3908327399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2.3135307639739499E-7</v>
      </c>
      <c r="G48" s="172">
        <v>25562.185731114401</v>
      </c>
      <c r="H48" s="172">
        <v>95209.079753826896</v>
      </c>
      <c r="I48" s="172">
        <v>850982.31228262396</v>
      </c>
      <c r="J48" s="172">
        <v>1851493.6954828801</v>
      </c>
      <c r="K48" s="172">
        <v>497584.98482638499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2.3106417793992201E-7</v>
      </c>
      <c r="G49" s="172">
        <v>25571.696975728901</v>
      </c>
      <c r="H49" s="172">
        <v>95237.0843520161</v>
      </c>
      <c r="I49" s="172">
        <v>851702.95409909706</v>
      </c>
      <c r="J49" s="172">
        <v>2212652.8101246702</v>
      </c>
      <c r="K49" s="172">
        <v>594938.23806469503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2:11" x14ac:dyDescent="0.3">
      <c r="B54" s="75"/>
      <c r="C54" s="75"/>
      <c r="D54" s="75"/>
      <c r="E54" s="75"/>
      <c r="F54" s="75"/>
      <c r="G54" s="75"/>
      <c r="H54" s="75"/>
      <c r="I54" s="75"/>
      <c r="J54" s="75"/>
      <c r="K54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1.33408104887011</v>
      </c>
      <c r="N5" s="172">
        <v>1.5472000192223401</v>
      </c>
      <c r="O5" s="172">
        <v>3561568.1257794802</v>
      </c>
      <c r="P5" s="172">
        <v>128577.35969558</v>
      </c>
      <c r="Q5" s="172">
        <v>12007.283321854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1.5376397795482399</v>
      </c>
      <c r="N6" s="172">
        <v>1.40744533140888</v>
      </c>
      <c r="O6" s="172">
        <v>3561568.1257794802</v>
      </c>
      <c r="P6" s="172">
        <v>116963.290059537</v>
      </c>
      <c r="Q6" s="172">
        <v>12589.3185279668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114893.24894071466</v>
      </c>
      <c r="J10" s="9" t="s">
        <v>123</v>
      </c>
      <c r="K10" s="103" t="str">
        <f>+IF(I10&gt;N51,"USAR TA","USAR  TB")</f>
        <v>USAR  TB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114893.24894071466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4.7359427336738104E-10</v>
      </c>
      <c r="F15" s="172">
        <v>996.01900527014504</v>
      </c>
      <c r="G15" s="172">
        <v>596.64687357158903</v>
      </c>
      <c r="H15" s="172">
        <v>14108.2285277787</v>
      </c>
      <c r="I15" s="172">
        <v>9.5016819899703698E-10</v>
      </c>
      <c r="J15" s="172">
        <v>1.0051610698344901E-8</v>
      </c>
      <c r="K15" s="166"/>
      <c r="L15" s="166" t="s">
        <v>189</v>
      </c>
      <c r="M15">
        <f>+F15</f>
        <v>996.01900527014504</v>
      </c>
      <c r="N15">
        <f>+G15</f>
        <v>596.64687357158903</v>
      </c>
      <c r="O15" s="18">
        <f t="shared" ref="O15:P19" si="0">+M15*$O$55</f>
        <v>1037.7171762931614</v>
      </c>
      <c r="P15" s="19">
        <f t="shared" si="0"/>
        <v>621.62539631352035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4.2167641475555801E-8</v>
      </c>
      <c r="F16" s="172">
        <v>17132.516873343899</v>
      </c>
      <c r="G16" s="172">
        <v>4301.5974619338203</v>
      </c>
      <c r="H16" s="172">
        <v>209518.85002973099</v>
      </c>
      <c r="I16" s="172">
        <v>1789.9406207219999</v>
      </c>
      <c r="J16" s="172">
        <v>2988.0570151758998</v>
      </c>
      <c r="K16" s="166"/>
      <c r="L16" s="166" t="s">
        <v>187</v>
      </c>
      <c r="M16" s="13">
        <f>+F16-F15</f>
        <v>16136.497868073753</v>
      </c>
      <c r="N16">
        <f>+G16-G15</f>
        <v>3704.9505883622314</v>
      </c>
      <c r="O16" s="18">
        <f t="shared" si="0"/>
        <v>16812.04968410861</v>
      </c>
      <c r="P16" s="19">
        <f t="shared" si="0"/>
        <v>3860.0577323503649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7.1784460477143695E-8</v>
      </c>
      <c r="F17" s="172">
        <v>35691.174371754503</v>
      </c>
      <c r="G17" s="172">
        <v>8656.52172885238</v>
      </c>
      <c r="H17" s="172">
        <v>435177.21011537401</v>
      </c>
      <c r="I17" s="172">
        <v>16849.543224328601</v>
      </c>
      <c r="J17" s="172">
        <v>63647.0361877838</v>
      </c>
      <c r="K17" s="166"/>
      <c r="L17" s="166" t="s">
        <v>185</v>
      </c>
      <c r="M17" s="13">
        <f t="shared" ref="M17:M25" si="1">+F17-F16</f>
        <v>18558.657498410605</v>
      </c>
      <c r="N17" s="13">
        <f t="shared" ref="N17:N25" si="2">+G17-G16</f>
        <v>4354.9242669185596</v>
      </c>
      <c r="O17" s="18">
        <f t="shared" si="0"/>
        <v>19335.612627009203</v>
      </c>
      <c r="P17" s="19">
        <f t="shared" si="0"/>
        <v>4537.2424515248886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2.2856130138891201E-7</v>
      </c>
      <c r="F18" s="172">
        <v>51466.648509080798</v>
      </c>
      <c r="G18" s="172">
        <v>12237.2731192433</v>
      </c>
      <c r="H18" s="172">
        <v>626310.40034793003</v>
      </c>
      <c r="I18" s="172">
        <v>47308.6796545814</v>
      </c>
      <c r="J18" s="172">
        <v>188904.60895114599</v>
      </c>
      <c r="K18" s="166"/>
      <c r="L18" s="166" t="s">
        <v>183</v>
      </c>
      <c r="M18" s="13">
        <f t="shared" si="1"/>
        <v>15775.474137326295</v>
      </c>
      <c r="N18" s="13">
        <f t="shared" si="2"/>
        <v>3580.7513903909203</v>
      </c>
      <c r="O18" s="18">
        <f t="shared" si="0"/>
        <v>16435.911754547255</v>
      </c>
      <c r="P18" s="19">
        <f t="shared" si="0"/>
        <v>3730.6589554849493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5.3921022608728303E-7</v>
      </c>
      <c r="F19" s="172">
        <v>64870.471332640998</v>
      </c>
      <c r="G19" s="172">
        <v>15235.646525529501</v>
      </c>
      <c r="H19" s="172">
        <v>788814.57544452394</v>
      </c>
      <c r="I19" s="172">
        <v>89932.232036118905</v>
      </c>
      <c r="J19" s="172">
        <v>368204.36081233702</v>
      </c>
      <c r="K19" s="166"/>
      <c r="L19" s="166" t="s">
        <v>181</v>
      </c>
      <c r="M19" s="13">
        <f t="shared" si="1"/>
        <v>13403.8228235602</v>
      </c>
      <c r="N19" s="13">
        <f t="shared" si="2"/>
        <v>2998.3734062862004</v>
      </c>
      <c r="O19" s="18">
        <f t="shared" si="0"/>
        <v>13964.971650542104</v>
      </c>
      <c r="P19" s="19">
        <f t="shared" si="0"/>
        <v>3123.8998133373148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5.9601189694221398E-7</v>
      </c>
      <c r="F20" s="172">
        <v>76396.8790434986</v>
      </c>
      <c r="G20" s="172">
        <v>17816.100831948301</v>
      </c>
      <c r="H20" s="172">
        <v>928826.04196760396</v>
      </c>
      <c r="I20" s="172">
        <v>142403.360535357</v>
      </c>
      <c r="J20" s="172">
        <v>592415.39178572095</v>
      </c>
      <c r="K20" s="166"/>
      <c r="L20" s="166" t="s">
        <v>179</v>
      </c>
      <c r="M20" s="113">
        <f t="shared" si="1"/>
        <v>11526.407710857602</v>
      </c>
      <c r="N20" s="113">
        <f t="shared" si="2"/>
        <v>2580.4543064188001</v>
      </c>
      <c r="O20" s="18">
        <f t="shared" ref="O20:O25" si="3">+M20*$O$55</f>
        <v>12008.958864465356</v>
      </c>
      <c r="P20" s="19">
        <f t="shared" ref="P20:P25" si="4">+N20*$O$55</f>
        <v>2688.4845994320813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5.08107712466151E-7</v>
      </c>
      <c r="F21" s="172">
        <v>86392.859499964601</v>
      </c>
      <c r="G21" s="172">
        <v>20053.340972698999</v>
      </c>
      <c r="H21" s="172">
        <v>1050297.2044369699</v>
      </c>
      <c r="I21" s="172">
        <v>203102.20200758701</v>
      </c>
      <c r="J21" s="172">
        <v>854251.96589328698</v>
      </c>
      <c r="K21" s="166"/>
      <c r="L21" s="166" t="s">
        <v>39</v>
      </c>
      <c r="M21" s="113">
        <f t="shared" si="1"/>
        <v>9995.9804564660008</v>
      </c>
      <c r="N21" s="113">
        <f t="shared" si="2"/>
        <v>2237.2401407506986</v>
      </c>
      <c r="O21" s="18">
        <f t="shared" si="3"/>
        <v>10414.460526033949</v>
      </c>
      <c r="P21" s="19">
        <f t="shared" si="4"/>
        <v>2330.9018294483735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4.8453719176317605E-7</v>
      </c>
      <c r="F22" s="172">
        <v>95065.597390455398</v>
      </c>
      <c r="G22" s="172">
        <v>21986.672046983502</v>
      </c>
      <c r="H22" s="172">
        <v>1155497.20195467</v>
      </c>
      <c r="I22" s="172">
        <v>270817.36986014497</v>
      </c>
      <c r="J22" s="172">
        <v>1147919.6381431699</v>
      </c>
      <c r="K22" s="166"/>
      <c r="L22" s="166" t="s">
        <v>26</v>
      </c>
      <c r="M22" s="113">
        <f t="shared" si="1"/>
        <v>8672.7378904907964</v>
      </c>
      <c r="N22" s="113">
        <f t="shared" si="2"/>
        <v>1933.3310742845024</v>
      </c>
      <c r="O22" s="18">
        <f t="shared" si="3"/>
        <v>9035.8206287538032</v>
      </c>
      <c r="P22" s="19">
        <f t="shared" si="4"/>
        <v>2014.2696601478938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5.2605457742331701E-7</v>
      </c>
      <c r="F23" s="172">
        <v>102353.223372233</v>
      </c>
      <c r="G23" s="172">
        <v>23601.1024801944</v>
      </c>
      <c r="H23" s="172">
        <v>1243679.4043679701</v>
      </c>
      <c r="I23" s="172">
        <v>344542.15141878102</v>
      </c>
      <c r="J23" s="172">
        <v>1468658.65723196</v>
      </c>
      <c r="K23" s="166"/>
      <c r="L23" s="166" t="s">
        <v>25</v>
      </c>
      <c r="M23" s="113">
        <f t="shared" si="1"/>
        <v>7287.6259817776008</v>
      </c>
      <c r="N23" s="113">
        <f t="shared" si="2"/>
        <v>1614.4304332108986</v>
      </c>
      <c r="O23" s="18">
        <f t="shared" si="3"/>
        <v>7592.7212389283623</v>
      </c>
      <c r="P23" s="19">
        <f t="shared" si="4"/>
        <v>1682.0182964470343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6.2656456989365096E-7</v>
      </c>
      <c r="F24" s="172">
        <v>107917.54381639</v>
      </c>
      <c r="G24" s="172">
        <v>24850.098950658801</v>
      </c>
      <c r="H24" s="172">
        <v>1310793.55431251</v>
      </c>
      <c r="I24" s="172">
        <v>423272.43212870002</v>
      </c>
      <c r="J24" s="172">
        <v>1811994.6966043001</v>
      </c>
      <c r="K24" s="166"/>
      <c r="L24" s="166" t="s">
        <v>24</v>
      </c>
      <c r="M24" s="113">
        <f t="shared" si="1"/>
        <v>5564.3204441569978</v>
      </c>
      <c r="N24" s="113">
        <f t="shared" si="2"/>
        <v>1248.9964704644008</v>
      </c>
      <c r="O24" s="18">
        <f t="shared" si="3"/>
        <v>5797.2697998215472</v>
      </c>
      <c r="P24" s="19">
        <f t="shared" si="4"/>
        <v>1301.2855012529678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6.4718946675262904E-7</v>
      </c>
      <c r="F25" s="172">
        <v>111069.708728871</v>
      </c>
      <c r="G25" s="172">
        <v>25553.241344187802</v>
      </c>
      <c r="H25" s="172">
        <v>1348076.54794862</v>
      </c>
      <c r="I25" s="172">
        <v>505949.80870372499</v>
      </c>
      <c r="J25" s="172">
        <v>2173063.6324437298</v>
      </c>
      <c r="K25" s="166"/>
      <c r="L25" s="166" t="s">
        <v>22</v>
      </c>
      <c r="M25" s="113">
        <f t="shared" si="1"/>
        <v>3152.1649124810065</v>
      </c>
      <c r="N25" s="113">
        <f t="shared" si="2"/>
        <v>703.1423935290004</v>
      </c>
      <c r="O25" s="30">
        <f t="shared" si="3"/>
        <v>3284.1297755186702</v>
      </c>
      <c r="P25" s="24">
        <f t="shared" si="4"/>
        <v>732.57933361123617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2.4886077316100699E-10</v>
      </c>
      <c r="F34" s="172">
        <v>429.93398343591798</v>
      </c>
      <c r="G34" s="172">
        <v>729.933919298668</v>
      </c>
      <c r="H34" s="172">
        <v>15550.923867814299</v>
      </c>
      <c r="I34" s="172">
        <v>3.2534933262338298E-10</v>
      </c>
      <c r="J34" s="172">
        <v>5.3080851506196097E-9</v>
      </c>
      <c r="L34" s="113" t="s">
        <v>189</v>
      </c>
      <c r="M34" s="13">
        <f>+F34</f>
        <v>429.93398343591798</v>
      </c>
      <c r="N34" s="13">
        <f>+G34</f>
        <v>729.933919298668</v>
      </c>
      <c r="O34" s="18">
        <f>+M34*$O$56</f>
        <v>518.82144344526705</v>
      </c>
      <c r="P34" s="19">
        <f>+N34*$O$56</f>
        <v>880.84539538764398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3.6597659173704701E-8</v>
      </c>
      <c r="F35" s="172">
        <v>4104.9348884051597</v>
      </c>
      <c r="G35" s="172">
        <v>15182.845837099299</v>
      </c>
      <c r="H35" s="172">
        <v>136047.16577531901</v>
      </c>
      <c r="I35" s="172">
        <v>2189.8017579228599</v>
      </c>
      <c r="J35" s="172">
        <v>1289.80195014008</v>
      </c>
      <c r="L35" s="113" t="s">
        <v>187</v>
      </c>
      <c r="M35" s="13">
        <f>+F35-F34</f>
        <v>3675.0009049692417</v>
      </c>
      <c r="N35" s="13">
        <f>+G35-G34</f>
        <v>14452.911917800631</v>
      </c>
      <c r="O35" s="18">
        <f t="shared" ref="O35:P44" si="5">+M35*$O$56</f>
        <v>4434.7954514812045</v>
      </c>
      <c r="P35" s="19">
        <f t="shared" si="5"/>
        <v>17441.004693917806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3.9251619236771802E-8</v>
      </c>
      <c r="F36" s="172">
        <v>8429.4911234370193</v>
      </c>
      <c r="G36" s="172">
        <v>31412.035456424099</v>
      </c>
      <c r="H36" s="172">
        <v>278729.71613030502</v>
      </c>
      <c r="I36" s="172">
        <v>55636.055651025497</v>
      </c>
      <c r="J36" s="172">
        <v>15110.6156855589</v>
      </c>
      <c r="L36" s="113" t="s">
        <v>185</v>
      </c>
      <c r="M36" s="13">
        <f t="shared" ref="M36:M44" si="6">+F36-F35</f>
        <v>4324.5562350318596</v>
      </c>
      <c r="N36" s="13">
        <f t="shared" ref="N36:N44" si="7">+G36-G35</f>
        <v>16229.189619324799</v>
      </c>
      <c r="O36" s="18">
        <f t="shared" si="5"/>
        <v>5218.6442443759042</v>
      </c>
      <c r="P36" s="19">
        <f t="shared" si="5"/>
        <v>19584.522063025175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8.1088698905034503E-8</v>
      </c>
      <c r="F37" s="172">
        <v>12006.09174915</v>
      </c>
      <c r="G37" s="172">
        <v>44867.236010071698</v>
      </c>
      <c r="H37" s="172">
        <v>398811.06011231802</v>
      </c>
      <c r="I37" s="172">
        <v>165745.50762797901</v>
      </c>
      <c r="J37" s="172">
        <v>44549.928850959899</v>
      </c>
      <c r="L37" s="113" t="s">
        <v>183</v>
      </c>
      <c r="M37" s="13">
        <f t="shared" si="6"/>
        <v>3576.6006257129811</v>
      </c>
      <c r="N37" s="13">
        <f t="shared" si="7"/>
        <v>13455.200553647599</v>
      </c>
      <c r="O37" s="18">
        <f t="shared" si="5"/>
        <v>4316.0512328661625</v>
      </c>
      <c r="P37" s="19">
        <f t="shared" si="5"/>
        <v>16237.01973335519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1.6748275024605599E-7</v>
      </c>
      <c r="F38" s="172">
        <v>15007.065368514301</v>
      </c>
      <c r="G38" s="172">
        <v>56035.978625653399</v>
      </c>
      <c r="H38" s="172">
        <v>499171.66837188799</v>
      </c>
      <c r="I38" s="172">
        <v>321762.11561224703</v>
      </c>
      <c r="J38" s="172">
        <v>86170.048948573007</v>
      </c>
      <c r="L38" s="113" t="s">
        <v>181</v>
      </c>
      <c r="M38" s="13">
        <f t="shared" si="6"/>
        <v>3000.9736193643002</v>
      </c>
      <c r="N38" s="13">
        <f t="shared" si="7"/>
        <v>11168.742615581701</v>
      </c>
      <c r="O38" s="18">
        <f t="shared" si="5"/>
        <v>3621.4152054156498</v>
      </c>
      <c r="P38" s="19">
        <f t="shared" si="5"/>
        <v>13477.844014506596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1.9049668842560901E-7</v>
      </c>
      <c r="F39" s="172">
        <v>17591.991425834902</v>
      </c>
      <c r="G39" s="172">
        <v>65523.342751744101</v>
      </c>
      <c r="H39" s="172">
        <v>584760.04695807898</v>
      </c>
      <c r="I39" s="172">
        <v>514747.82640892401</v>
      </c>
      <c r="J39" s="172">
        <v>137693.30933283499</v>
      </c>
      <c r="L39" s="113" t="s">
        <v>179</v>
      </c>
      <c r="M39" s="113">
        <f t="shared" si="6"/>
        <v>2584.9260573206011</v>
      </c>
      <c r="N39" s="113">
        <f t="shared" si="7"/>
        <v>9487.3641260907025</v>
      </c>
      <c r="O39" s="18">
        <f t="shared" si="5"/>
        <v>3119.3511560554543</v>
      </c>
      <c r="P39" s="19">
        <f t="shared" si="5"/>
        <v>11448.845962470627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1.8994151434014099E-7</v>
      </c>
      <c r="F40" s="172">
        <v>19848.5673577899</v>
      </c>
      <c r="G40" s="172">
        <v>73806.820558666994</v>
      </c>
      <c r="H40" s="172">
        <v>659464.94899106701</v>
      </c>
      <c r="I40" s="172">
        <v>737956.46023430501</v>
      </c>
      <c r="J40" s="172">
        <v>197484.300335924</v>
      </c>
      <c r="L40" s="13" t="s">
        <v>39</v>
      </c>
      <c r="M40" s="113">
        <f t="shared" si="6"/>
        <v>2256.5759319549979</v>
      </c>
      <c r="N40" s="113">
        <f t="shared" si="7"/>
        <v>8283.4778069228923</v>
      </c>
      <c r="O40" s="18">
        <f t="shared" si="5"/>
        <v>2723.1157046585117</v>
      </c>
      <c r="P40" s="19">
        <f t="shared" si="5"/>
        <v>9996.0600420300052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1.92638028449096E-7</v>
      </c>
      <c r="F41" s="172">
        <v>21813.8549749046</v>
      </c>
      <c r="G41" s="172">
        <v>81144.319414105601</v>
      </c>
      <c r="H41" s="172">
        <v>725477.81782372599</v>
      </c>
      <c r="I41" s="172">
        <v>986571.574296479</v>
      </c>
      <c r="J41" s="172">
        <v>264340.712120399</v>
      </c>
      <c r="L41" s="13" t="s">
        <v>26</v>
      </c>
      <c r="M41" s="113">
        <f t="shared" si="6"/>
        <v>1965.2876171147</v>
      </c>
      <c r="N41" s="113">
        <f t="shared" si="7"/>
        <v>7337.4988554386073</v>
      </c>
      <c r="O41" s="18">
        <f t="shared" si="5"/>
        <v>2371.6044731982324</v>
      </c>
      <c r="P41" s="19">
        <f t="shared" si="5"/>
        <v>8854.5030030734179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2.02885388625783E-7</v>
      </c>
      <c r="F42" s="172">
        <v>23481.4741558674</v>
      </c>
      <c r="G42" s="172">
        <v>87468.2358294898</v>
      </c>
      <c r="H42" s="172">
        <v>781743.41541963501</v>
      </c>
      <c r="I42" s="172">
        <v>1257124.28670853</v>
      </c>
      <c r="J42" s="172">
        <v>337279.38071021001</v>
      </c>
      <c r="L42" s="13" t="s">
        <v>25</v>
      </c>
      <c r="M42" s="113">
        <f t="shared" si="6"/>
        <v>1667.6191809627999</v>
      </c>
      <c r="N42" s="113">
        <f t="shared" si="7"/>
        <v>6323.9164153841994</v>
      </c>
      <c r="O42" s="18">
        <f t="shared" si="5"/>
        <v>2012.3940509882771</v>
      </c>
      <c r="P42" s="19">
        <f t="shared" si="5"/>
        <v>7631.3656730182211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2.2301524249361199E-7</v>
      </c>
      <c r="F43" s="172">
        <v>24796.819638526202</v>
      </c>
      <c r="G43" s="172">
        <v>92410.527564201097</v>
      </c>
      <c r="H43" s="172">
        <v>825515.85389888799</v>
      </c>
      <c r="I43" s="172">
        <v>1546579.2104165801</v>
      </c>
      <c r="J43" s="172">
        <v>415361.64212093898</v>
      </c>
      <c r="L43" s="13" t="s">
        <v>24</v>
      </c>
      <c r="M43" s="113">
        <f t="shared" si="6"/>
        <v>1315.3454826588022</v>
      </c>
      <c r="N43" s="113">
        <f t="shared" si="7"/>
        <v>4942.2917347112962</v>
      </c>
      <c r="O43" s="18">
        <f t="shared" si="5"/>
        <v>1587.2889053534607</v>
      </c>
      <c r="P43" s="19">
        <f t="shared" si="5"/>
        <v>5964.0945599098441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2.3135307639739499E-7</v>
      </c>
      <c r="F44" s="172">
        <v>25562.185731114401</v>
      </c>
      <c r="G44" s="172">
        <v>95209.079753826896</v>
      </c>
      <c r="H44" s="172">
        <v>850982.31228262396</v>
      </c>
      <c r="I44" s="172">
        <v>1851493.6954828801</v>
      </c>
      <c r="J44" s="172">
        <v>497584.98482638499</v>
      </c>
      <c r="L44" s="13" t="s">
        <v>22</v>
      </c>
      <c r="M44" s="113">
        <f t="shared" si="6"/>
        <v>765.36609258819954</v>
      </c>
      <c r="N44" s="113">
        <f t="shared" si="7"/>
        <v>2798.5521896257997</v>
      </c>
      <c r="O44" s="30">
        <f t="shared" si="5"/>
        <v>923.60305586278434</v>
      </c>
      <c r="P44" s="24">
        <f t="shared" si="5"/>
        <v>3377.1438000201351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115719.62372602201</v>
      </c>
      <c r="O51" s="14" t="str">
        <f>+K10</f>
        <v>USAR  TB</v>
      </c>
      <c r="P51" s="107">
        <f>+IF(O51="USAR TA",(I10),N51)</f>
        <v>115719.62372602201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105266.96105358331</v>
      </c>
      <c r="O52" s="14" t="str">
        <f>+K11</f>
        <v>USAR TA</v>
      </c>
      <c r="P52" s="107">
        <f>+IF(O52="USAR TB",(N52),I11)</f>
        <v>114893.24894071466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111069.708728871</v>
      </c>
      <c r="N55" s="16" t="str">
        <f>+IF(M55&lt;P51,"ESCALAR",N51)</f>
        <v>ESCALAR</v>
      </c>
      <c r="O55" s="14">
        <f>+IF(N55="ESCALAR",(P51/M55))</f>
        <v>1.0418648347093606</v>
      </c>
      <c r="P55" s="19">
        <f>+M55*O55</f>
        <v>115719.62372602202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95209.079753826896</v>
      </c>
      <c r="N56" s="112" t="str">
        <f>+IF(M56&lt;P52,"ESCALAR",M56)</f>
        <v>ESCALAR</v>
      </c>
      <c r="O56" s="23">
        <f>+IF(N56="ESCALAR",(P52/M56))</f>
        <v>1.2067467644659864</v>
      </c>
      <c r="P56" s="24">
        <f>+M56*O56</f>
        <v>114893.24894071466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1.5376397795482399</v>
      </c>
      <c r="E62" s="172">
        <v>2.5670490673409201E-2</v>
      </c>
      <c r="F62" s="172">
        <v>0.72879980856128201</v>
      </c>
      <c r="G62" s="172">
        <v>0</v>
      </c>
      <c r="H62" s="172">
        <v>2.5670490673409201E-2</v>
      </c>
      <c r="I62" s="172">
        <v>0.72879980856128201</v>
      </c>
      <c r="J62" s="172">
        <v>0</v>
      </c>
      <c r="K62" s="172">
        <v>0.17230389326616999</v>
      </c>
      <c r="L62" s="172">
        <v>5.4331883523771902E-3</v>
      </c>
      <c r="M62" s="172">
        <v>6.3123063753906097E-2</v>
      </c>
      <c r="N62" s="172">
        <v>0.17230389326616999</v>
      </c>
      <c r="O62" s="172">
        <v>5.4331883523771902E-3</v>
      </c>
      <c r="P62" s="172">
        <v>6.3123063753906097E-2</v>
      </c>
    </row>
    <row r="63" spans="2:16" x14ac:dyDescent="0.3">
      <c r="B63" s="172" t="s">
        <v>238</v>
      </c>
      <c r="C63" s="172">
        <v>2</v>
      </c>
      <c r="D63" s="172">
        <v>1.33408104887011</v>
      </c>
      <c r="E63" s="172">
        <v>0.74883447244486001</v>
      </c>
      <c r="F63" s="172">
        <v>4.2209537981331202E-2</v>
      </c>
      <c r="G63" s="172">
        <v>0</v>
      </c>
      <c r="H63" s="172">
        <v>0.774504963118269</v>
      </c>
      <c r="I63" s="172">
        <v>0.77100934654261299</v>
      </c>
      <c r="J63" s="172">
        <v>0</v>
      </c>
      <c r="K63" s="172">
        <v>1.1245311026034901E-2</v>
      </c>
      <c r="L63" s="172">
        <v>0.17372205984089201</v>
      </c>
      <c r="M63" s="172">
        <v>2.6574777093883801E-2</v>
      </c>
      <c r="N63" s="172">
        <v>0.183549204292204</v>
      </c>
      <c r="O63" s="172">
        <v>0.179155248193269</v>
      </c>
      <c r="P63" s="172">
        <v>8.9697840847789895E-2</v>
      </c>
    </row>
    <row r="64" spans="2:16" x14ac:dyDescent="0.3">
      <c r="B64" s="172" t="s">
        <v>238</v>
      </c>
      <c r="C64" s="172">
        <v>3</v>
      </c>
      <c r="D64" s="172">
        <v>1.1107002561823101</v>
      </c>
      <c r="E64" s="172">
        <v>4.2097784658665802E-2</v>
      </c>
      <c r="F64" s="172">
        <v>3.7335681951919102E-2</v>
      </c>
      <c r="G64" s="172">
        <v>0</v>
      </c>
      <c r="H64" s="172">
        <v>0.81660274777693498</v>
      </c>
      <c r="I64" s="172">
        <v>0.80834502849453205</v>
      </c>
      <c r="J64" s="172">
        <v>0</v>
      </c>
      <c r="K64" s="172">
        <v>1.83465919734658E-2</v>
      </c>
      <c r="L64" s="172">
        <v>1.31422141043929E-2</v>
      </c>
      <c r="M64" s="172">
        <v>0.72593831487739302</v>
      </c>
      <c r="N64" s="172">
        <v>0.20189579626567</v>
      </c>
      <c r="O64" s="172">
        <v>0.19229746229766201</v>
      </c>
      <c r="P64" s="172">
        <v>0.815636155725183</v>
      </c>
    </row>
    <row r="65" spans="2:16" x14ac:dyDescent="0.3">
      <c r="B65" s="172" t="s">
        <v>238</v>
      </c>
      <c r="C65" s="172">
        <v>4</v>
      </c>
      <c r="D65" s="172">
        <v>0.49732019590821502</v>
      </c>
      <c r="E65" s="172">
        <v>3.6348123708848301E-3</v>
      </c>
      <c r="F65" s="172">
        <v>9.6918941097011893E-2</v>
      </c>
      <c r="G65" s="172">
        <v>0</v>
      </c>
      <c r="H65" s="172">
        <v>0.82023756014782001</v>
      </c>
      <c r="I65" s="172">
        <v>0.90526396959154398</v>
      </c>
      <c r="J65" s="172">
        <v>0</v>
      </c>
      <c r="K65" s="172">
        <v>0.50525855739843595</v>
      </c>
      <c r="L65" s="172">
        <v>1.8663781172163701E-2</v>
      </c>
      <c r="M65" s="172">
        <v>4.9126086798561598E-3</v>
      </c>
      <c r="N65" s="172">
        <v>0.70715435366410595</v>
      </c>
      <c r="O65" s="172">
        <v>0.210961243469826</v>
      </c>
      <c r="P65" s="172">
        <v>0.82054876440503899</v>
      </c>
    </row>
    <row r="66" spans="2:16" x14ac:dyDescent="0.3">
      <c r="B66" s="172" t="s">
        <v>238</v>
      </c>
      <c r="C66" s="172">
        <v>5</v>
      </c>
      <c r="D66" s="172">
        <v>0.43484021260312</v>
      </c>
      <c r="E66" s="172">
        <v>9.9749107753953306E-2</v>
      </c>
      <c r="F66" s="172">
        <v>6.72737675670162E-3</v>
      </c>
      <c r="G66" s="172">
        <v>0</v>
      </c>
      <c r="H66" s="172">
        <v>0.91998666790177297</v>
      </c>
      <c r="I66" s="172">
        <v>0.91199134634824497</v>
      </c>
      <c r="J66" s="172">
        <v>0</v>
      </c>
      <c r="K66" s="172">
        <v>3.2769530138700702E-2</v>
      </c>
      <c r="L66" s="172">
        <v>0.54409357692340898</v>
      </c>
      <c r="M66" s="172">
        <v>3.1083206556129402E-3</v>
      </c>
      <c r="N66" s="172">
        <v>0.73992388380280605</v>
      </c>
      <c r="O66" s="172">
        <v>0.75505482039323502</v>
      </c>
      <c r="P66" s="172">
        <v>0.82365708506065205</v>
      </c>
    </row>
    <row r="67" spans="2:16" x14ac:dyDescent="0.3">
      <c r="B67" s="172" t="s">
        <v>238</v>
      </c>
      <c r="C67" s="172">
        <v>6</v>
      </c>
      <c r="D67" s="172">
        <v>0.360204441472743</v>
      </c>
      <c r="E67" s="172">
        <v>7.8480157246637906E-3</v>
      </c>
      <c r="F67" s="172">
        <v>8.1617472295719296E-3</v>
      </c>
      <c r="G67" s="172">
        <v>0</v>
      </c>
      <c r="H67" s="172">
        <v>0.92783468362643695</v>
      </c>
      <c r="I67" s="172">
        <v>0.92015309357781705</v>
      </c>
      <c r="J67" s="172">
        <v>0</v>
      </c>
      <c r="K67" s="172">
        <v>3.3026970508301799E-2</v>
      </c>
      <c r="L67" s="172">
        <v>3.3328424296817601E-2</v>
      </c>
      <c r="M67" s="172">
        <v>0.10524903220462101</v>
      </c>
      <c r="N67" s="172">
        <v>0.77295085431110799</v>
      </c>
      <c r="O67" s="172">
        <v>0.78838324469005205</v>
      </c>
      <c r="P67" s="172">
        <v>0.92890611726527395</v>
      </c>
    </row>
    <row r="68" spans="2:16" x14ac:dyDescent="0.3">
      <c r="B68" s="172" t="s">
        <v>238</v>
      </c>
      <c r="C68" s="172">
        <v>7</v>
      </c>
      <c r="D68" s="172">
        <v>0.28213075573658403</v>
      </c>
      <c r="E68" s="172">
        <v>1.62959361028968E-3</v>
      </c>
      <c r="F68" s="172">
        <v>3.1518668804899098E-2</v>
      </c>
      <c r="G68" s="172">
        <v>0</v>
      </c>
      <c r="H68" s="172">
        <v>0.92946427723672598</v>
      </c>
      <c r="I68" s="172">
        <v>0.951671762382716</v>
      </c>
      <c r="J68" s="172">
        <v>0</v>
      </c>
      <c r="K68" s="172">
        <v>6.4411668985237897E-2</v>
      </c>
      <c r="L68" s="172">
        <v>3.49138468648193E-3</v>
      </c>
      <c r="M68" s="172">
        <v>2.56029216067902E-3</v>
      </c>
      <c r="N68" s="172">
        <v>0.83736252329634597</v>
      </c>
      <c r="O68" s="172">
        <v>0.79187462937653397</v>
      </c>
      <c r="P68" s="172">
        <v>0.93146640942595305</v>
      </c>
    </row>
    <row r="69" spans="2:16" x14ac:dyDescent="0.3">
      <c r="B69" s="172" t="s">
        <v>238</v>
      </c>
      <c r="C69" s="172">
        <v>8</v>
      </c>
      <c r="D69" s="172">
        <v>0.247173020304987</v>
      </c>
      <c r="E69" s="172">
        <v>3.0579219365464299E-2</v>
      </c>
      <c r="F69" s="172">
        <v>2.7810987904298701E-3</v>
      </c>
      <c r="G69" s="172">
        <v>0</v>
      </c>
      <c r="H69" s="172">
        <v>0.96004349660219102</v>
      </c>
      <c r="I69" s="172">
        <v>0.95445286117314598</v>
      </c>
      <c r="J69" s="172">
        <v>0</v>
      </c>
      <c r="K69" s="172">
        <v>5.8275239788728303E-3</v>
      </c>
      <c r="L69" s="172">
        <v>6.3328975254044406E-2</v>
      </c>
      <c r="M69" s="172">
        <v>1.3420591659568601E-3</v>
      </c>
      <c r="N69" s="172">
        <v>0.84319004727521896</v>
      </c>
      <c r="O69" s="172">
        <v>0.85520360463057798</v>
      </c>
      <c r="P69" s="172">
        <v>0.93280846859190902</v>
      </c>
    </row>
    <row r="70" spans="2:16" x14ac:dyDescent="0.3">
      <c r="B70" s="172" t="s">
        <v>238</v>
      </c>
      <c r="C70" s="172">
        <v>9</v>
      </c>
      <c r="D70" s="172">
        <v>0.20278868187608501</v>
      </c>
      <c r="E70" s="172">
        <v>2.15707226262746E-3</v>
      </c>
      <c r="F70" s="172">
        <v>1.2041265946787501E-3</v>
      </c>
      <c r="G70" s="172">
        <v>0</v>
      </c>
      <c r="H70" s="172">
        <v>0.96220056886481797</v>
      </c>
      <c r="I70" s="172">
        <v>0.95565698776782504</v>
      </c>
      <c r="J70" s="172">
        <v>0</v>
      </c>
      <c r="K70" s="172">
        <v>1.6834891065352401E-3</v>
      </c>
      <c r="L70" s="172">
        <v>5.0277364561152E-3</v>
      </c>
      <c r="M70" s="172">
        <v>3.1367532350216998E-2</v>
      </c>
      <c r="N70" s="172">
        <v>0.844873536381754</v>
      </c>
      <c r="O70" s="172">
        <v>0.86023134108669397</v>
      </c>
      <c r="P70" s="172">
        <v>0.96417600094212697</v>
      </c>
    </row>
    <row r="71" spans="2:16" x14ac:dyDescent="0.3">
      <c r="B71" s="172" t="s">
        <v>238</v>
      </c>
      <c r="C71" s="172">
        <v>10</v>
      </c>
      <c r="D71" s="172">
        <v>0.19197408577293501</v>
      </c>
      <c r="E71" s="172">
        <v>1.1620605126293E-3</v>
      </c>
      <c r="F71" s="172">
        <v>1.7230158812147098E-2</v>
      </c>
      <c r="G71" s="172">
        <v>0</v>
      </c>
      <c r="H71" s="172">
        <v>0.96336262937744699</v>
      </c>
      <c r="I71" s="172">
        <v>0.972887146579972</v>
      </c>
      <c r="J71" s="172">
        <v>0</v>
      </c>
      <c r="K71" s="172">
        <v>6.8090675293711003E-2</v>
      </c>
      <c r="L71" s="172">
        <v>4.33881984979033E-3</v>
      </c>
      <c r="M71" s="172">
        <v>2.31990624460819E-4</v>
      </c>
      <c r="N71" s="172">
        <v>0.91296421167546504</v>
      </c>
      <c r="O71" s="172">
        <v>0.86457016093648398</v>
      </c>
      <c r="P71" s="172">
        <v>0.96440799156658696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1037.71717600122</v>
      </c>
      <c r="E6" s="172">
        <v>9.3793845121221096E-4</v>
      </c>
      <c r="F6" s="172">
        <v>1106380.88742396</v>
      </c>
      <c r="G6" s="172">
        <v>621.62539629939897</v>
      </c>
      <c r="H6" s="172">
        <v>4.0692425824715301E-4</v>
      </c>
      <c r="I6" s="172">
        <v>1527619.4124604</v>
      </c>
    </row>
    <row r="7" spans="2:9" hidden="1" x14ac:dyDescent="0.3">
      <c r="B7" s="172" t="s">
        <v>187</v>
      </c>
      <c r="C7" s="172" t="s">
        <v>79</v>
      </c>
      <c r="D7" s="172">
        <v>17849.766852362998</v>
      </c>
      <c r="E7" s="172">
        <v>1.0750471200757E-3</v>
      </c>
      <c r="F7" s="172">
        <v>16603706.497168301</v>
      </c>
      <c r="G7" s="172">
        <v>4481.6831282488802</v>
      </c>
      <c r="H7" s="172">
        <v>3.84755810001367E-4</v>
      </c>
      <c r="I7" s="172">
        <v>11648123.333687801</v>
      </c>
    </row>
    <row r="8" spans="2:9" hidden="1" x14ac:dyDescent="0.3">
      <c r="B8" s="172" t="s">
        <v>185</v>
      </c>
      <c r="C8" s="172" t="s">
        <v>79</v>
      </c>
      <c r="D8" s="172">
        <v>37185.379479454197</v>
      </c>
      <c r="E8" s="172">
        <v>1.5431444284474201E-3</v>
      </c>
      <c r="F8" s="172">
        <v>24097147.871548899</v>
      </c>
      <c r="G8" s="172">
        <v>9018.9255798872891</v>
      </c>
      <c r="H8" s="172">
        <v>4.8485533679556899E-4</v>
      </c>
      <c r="I8" s="172">
        <v>18601271.132733699</v>
      </c>
    </row>
    <row r="9" spans="2:9" hidden="1" x14ac:dyDescent="0.3">
      <c r="B9" s="172" t="s">
        <v>183</v>
      </c>
      <c r="C9" s="172" t="s">
        <v>79</v>
      </c>
      <c r="D9" s="172">
        <v>53621.2912300194</v>
      </c>
      <c r="E9" s="172">
        <v>1.88051026898758E-3</v>
      </c>
      <c r="F9" s="172">
        <v>28514224.098806798</v>
      </c>
      <c r="G9" s="172">
        <v>12749.584534211601</v>
      </c>
      <c r="H9" s="172">
        <v>6.1024139689654403E-4</v>
      </c>
      <c r="I9" s="172">
        <v>20892690.333777901</v>
      </c>
    </row>
    <row r="10" spans="2:9" hidden="1" x14ac:dyDescent="0.3">
      <c r="B10" s="172" t="s">
        <v>181</v>
      </c>
      <c r="C10" s="172" t="s">
        <v>79</v>
      </c>
      <c r="D10" s="172">
        <v>67586.262880104798</v>
      </c>
      <c r="E10" s="172">
        <v>2.2279875266067199E-3</v>
      </c>
      <c r="F10" s="172">
        <v>30335117.2629948</v>
      </c>
      <c r="G10" s="172">
        <v>15873.4843470706</v>
      </c>
      <c r="H10" s="172">
        <v>7.1729437726159495E-4</v>
      </c>
      <c r="I10" s="172">
        <v>22129665.100221001</v>
      </c>
    </row>
    <row r="11" spans="2:9" hidden="1" x14ac:dyDescent="0.3">
      <c r="B11" s="172" t="s">
        <v>179</v>
      </c>
      <c r="C11" s="172" t="s">
        <v>79</v>
      </c>
      <c r="D11" s="172">
        <v>79595.221739463595</v>
      </c>
      <c r="E11" s="172">
        <v>2.5321681837953201E-3</v>
      </c>
      <c r="F11" s="172">
        <v>31433623.662454698</v>
      </c>
      <c r="G11" s="172">
        <v>18561.968945337099</v>
      </c>
      <c r="H11" s="172">
        <v>7.99376349940784E-4</v>
      </c>
      <c r="I11" s="172">
        <v>23220563.0635834</v>
      </c>
    </row>
    <row r="12" spans="2:9" hidden="1" x14ac:dyDescent="0.3">
      <c r="B12" s="172" t="s">
        <v>39</v>
      </c>
      <c r="C12" s="172" t="s">
        <v>79</v>
      </c>
      <c r="D12" s="172">
        <v>90009.682267705706</v>
      </c>
      <c r="E12" s="172">
        <v>2.7612586478973499E-3</v>
      </c>
      <c r="F12" s="172">
        <v>32597338.2957973</v>
      </c>
      <c r="G12" s="172">
        <v>20892.870774153798</v>
      </c>
      <c r="H12" s="172">
        <v>8.5975876775414603E-4</v>
      </c>
      <c r="I12" s="172">
        <v>24300852.236412801</v>
      </c>
    </row>
    <row r="13" spans="2:9" hidden="1" x14ac:dyDescent="0.3">
      <c r="B13" s="172" t="s">
        <v>26</v>
      </c>
      <c r="C13" s="172" t="s">
        <v>79</v>
      </c>
      <c r="D13" s="172">
        <v>99045.502895725702</v>
      </c>
      <c r="E13" s="172">
        <v>2.9313080861091199E-3</v>
      </c>
      <c r="F13" s="172">
        <v>33788841.017797597</v>
      </c>
      <c r="G13" s="172">
        <v>22907.1404338131</v>
      </c>
      <c r="H13" s="172">
        <v>9.0972689501486997E-4</v>
      </c>
      <c r="I13" s="172">
        <v>25180238.7720313</v>
      </c>
    </row>
    <row r="14" spans="2:9" hidden="1" x14ac:dyDescent="0.3">
      <c r="B14" s="172" t="s">
        <v>25</v>
      </c>
      <c r="C14" s="172" t="s">
        <v>79</v>
      </c>
      <c r="D14" s="172">
        <v>106638.22413431101</v>
      </c>
      <c r="E14" s="172">
        <v>3.0370958894487001E-3</v>
      </c>
      <c r="F14" s="172">
        <v>35111905.588752396</v>
      </c>
      <c r="G14" s="172">
        <v>24589.158729912298</v>
      </c>
      <c r="H14" s="172">
        <v>9.2989240831488503E-4</v>
      </c>
      <c r="I14" s="172">
        <v>26443014.815522399</v>
      </c>
    </row>
    <row r="15" spans="2:9" hidden="1" x14ac:dyDescent="0.3">
      <c r="B15" s="172" t="s">
        <v>24</v>
      </c>
      <c r="C15" s="172" t="s">
        <v>79</v>
      </c>
      <c r="D15" s="172">
        <v>112435.493934179</v>
      </c>
      <c r="E15" s="172">
        <v>2.9397696605133498E-3</v>
      </c>
      <c r="F15" s="172">
        <v>38246361.762419596</v>
      </c>
      <c r="G15" s="172">
        <v>25890.4442307264</v>
      </c>
      <c r="H15" s="172">
        <v>9.13906312586321E-4</v>
      </c>
      <c r="I15" s="172">
        <v>28329429.257860601</v>
      </c>
    </row>
    <row r="16" spans="2:9" hidden="1" x14ac:dyDescent="0.3">
      <c r="B16" s="172" t="s">
        <v>22</v>
      </c>
      <c r="C16" s="172" t="s">
        <v>79</v>
      </c>
      <c r="D16" s="172">
        <v>115719.62371001299</v>
      </c>
      <c r="E16" s="172">
        <v>2.6978264176782999E-3</v>
      </c>
      <c r="F16" s="172">
        <v>42893650.589128502</v>
      </c>
      <c r="G16" s="172">
        <v>26623.023564262501</v>
      </c>
      <c r="H16" s="172">
        <v>7.4038499674978803E-4</v>
      </c>
      <c r="I16" s="172">
        <v>35958350.967584103</v>
      </c>
    </row>
    <row r="17" spans="2:9" hidden="1" x14ac:dyDescent="0.3">
      <c r="B17" s="172" t="s">
        <v>189</v>
      </c>
      <c r="C17" s="172" t="s">
        <v>80</v>
      </c>
      <c r="D17" s="172">
        <v>1037.7171760025899</v>
      </c>
      <c r="E17" s="172">
        <v>9.8798657806507492E-4</v>
      </c>
      <c r="F17" s="172">
        <v>1050335.2970997901</v>
      </c>
      <c r="G17" s="172">
        <v>621.62539629238802</v>
      </c>
      <c r="H17" s="172">
        <v>5.2988216188568299E-4</v>
      </c>
      <c r="I17" s="172">
        <v>1173138.9373067799</v>
      </c>
    </row>
    <row r="18" spans="2:9" hidden="1" x14ac:dyDescent="0.3">
      <c r="B18" s="172" t="s">
        <v>187</v>
      </c>
      <c r="C18" s="172" t="s">
        <v>80</v>
      </c>
      <c r="D18" s="172">
        <v>17849.7668522887</v>
      </c>
      <c r="E18" s="172">
        <v>1.0547554110059501E-3</v>
      </c>
      <c r="F18" s="172">
        <v>16923133.710463699</v>
      </c>
      <c r="G18" s="172">
        <v>4481.6831282794401</v>
      </c>
      <c r="H18" s="172">
        <v>4.2715662620146301E-4</v>
      </c>
      <c r="I18" s="172">
        <v>10491896.539527699</v>
      </c>
    </row>
    <row r="19" spans="2:9" hidden="1" x14ac:dyDescent="0.3">
      <c r="B19" s="172" t="s">
        <v>185</v>
      </c>
      <c r="C19" s="172" t="s">
        <v>80</v>
      </c>
      <c r="D19" s="172">
        <v>37185.379479392803</v>
      </c>
      <c r="E19" s="172">
        <v>1.5179341224395E-3</v>
      </c>
      <c r="F19" s="172">
        <v>24497360.543968402</v>
      </c>
      <c r="G19" s="172">
        <v>9018.9255799575603</v>
      </c>
      <c r="H19" s="172">
        <v>5.5293533452285804E-4</v>
      </c>
      <c r="I19" s="172">
        <v>16310995.186698001</v>
      </c>
    </row>
    <row r="20" spans="2:9" hidden="1" x14ac:dyDescent="0.3">
      <c r="B20" s="172" t="s">
        <v>183</v>
      </c>
      <c r="C20" s="172" t="s">
        <v>80</v>
      </c>
      <c r="D20" s="172">
        <v>53621.291230024297</v>
      </c>
      <c r="E20" s="172">
        <v>1.9324666202893399E-3</v>
      </c>
      <c r="F20" s="172">
        <v>27747589.876608498</v>
      </c>
      <c r="G20" s="172">
        <v>12749.5845343213</v>
      </c>
      <c r="H20" s="172">
        <v>6.6993715053420197E-4</v>
      </c>
      <c r="I20" s="172">
        <v>19031015.855972301</v>
      </c>
    </row>
    <row r="21" spans="2:9" hidden="1" x14ac:dyDescent="0.3">
      <c r="B21" s="172" t="s">
        <v>181</v>
      </c>
      <c r="C21" s="172" t="s">
        <v>80</v>
      </c>
      <c r="D21" s="172">
        <v>67586.2628801955</v>
      </c>
      <c r="E21" s="172">
        <v>2.2798484359405099E-3</v>
      </c>
      <c r="F21" s="172">
        <v>29645068.4241709</v>
      </c>
      <c r="G21" s="172">
        <v>15873.4843472497</v>
      </c>
      <c r="H21" s="172">
        <v>7.6529006049547404E-4</v>
      </c>
      <c r="I21" s="172">
        <v>20741788.2011595</v>
      </c>
    </row>
    <row r="22" spans="2:9" hidden="1" x14ac:dyDescent="0.3">
      <c r="B22" s="172" t="s">
        <v>179</v>
      </c>
      <c r="C22" s="172" t="s">
        <v>80</v>
      </c>
      <c r="D22" s="172">
        <v>79595.221739515095</v>
      </c>
      <c r="E22" s="172">
        <v>2.57764205486703E-3</v>
      </c>
      <c r="F22" s="172">
        <v>30879082.527857501</v>
      </c>
      <c r="G22" s="172">
        <v>18561.968945535202</v>
      </c>
      <c r="H22" s="172">
        <v>8.3434242465065997E-4</v>
      </c>
      <c r="I22" s="172">
        <v>22247423.116842099</v>
      </c>
    </row>
    <row r="23" spans="2:9" hidden="1" x14ac:dyDescent="0.3">
      <c r="B23" s="172" t="s">
        <v>39</v>
      </c>
      <c r="C23" s="172" t="s">
        <v>80</v>
      </c>
      <c r="D23" s="172">
        <v>90009.682267812896</v>
      </c>
      <c r="E23" s="172">
        <v>2.70943580387024E-3</v>
      </c>
      <c r="F23" s="172">
        <v>33220821.153703</v>
      </c>
      <c r="G23" s="172">
        <v>20892.8707743306</v>
      </c>
      <c r="H23" s="172">
        <v>8.5173486154365699E-4</v>
      </c>
      <c r="I23" s="172">
        <v>24529782.350889102</v>
      </c>
    </row>
    <row r="24" spans="2:9" hidden="1" x14ac:dyDescent="0.3">
      <c r="B24" s="172" t="s">
        <v>26</v>
      </c>
      <c r="C24" s="172" t="s">
        <v>80</v>
      </c>
      <c r="D24" s="172">
        <v>99045.502895845406</v>
      </c>
      <c r="E24" s="172">
        <v>2.8692261285817701E-3</v>
      </c>
      <c r="F24" s="172">
        <v>34519936.197849497</v>
      </c>
      <c r="G24" s="172">
        <v>22907.140434032201</v>
      </c>
      <c r="H24" s="172">
        <v>8.9012140842871404E-4</v>
      </c>
      <c r="I24" s="172">
        <v>25734849.445390899</v>
      </c>
    </row>
    <row r="25" spans="2:9" hidden="1" x14ac:dyDescent="0.3">
      <c r="B25" s="172" t="s">
        <v>25</v>
      </c>
      <c r="C25" s="172" t="s">
        <v>80</v>
      </c>
      <c r="D25" s="172">
        <v>106638.224134497</v>
      </c>
      <c r="E25" s="172">
        <v>2.9673347408031899E-3</v>
      </c>
      <c r="F25" s="172">
        <v>35937375.944862902</v>
      </c>
      <c r="G25" s="172">
        <v>24589.158730149898</v>
      </c>
      <c r="H25" s="172">
        <v>8.9561241375647098E-4</v>
      </c>
      <c r="I25" s="172">
        <v>27455133.886560898</v>
      </c>
    </row>
    <row r="26" spans="2:9" hidden="1" x14ac:dyDescent="0.3">
      <c r="B26" s="172" t="s">
        <v>24</v>
      </c>
      <c r="C26" s="172" t="s">
        <v>80</v>
      </c>
      <c r="D26" s="172">
        <v>112435.493934353</v>
      </c>
      <c r="E26" s="172">
        <v>2.8448804399431901E-3</v>
      </c>
      <c r="F26" s="172">
        <v>39522045.410315499</v>
      </c>
      <c r="G26" s="172">
        <v>25890.444230975099</v>
      </c>
      <c r="H26" s="172">
        <v>8.6382519767345695E-4</v>
      </c>
      <c r="I26" s="172">
        <v>29971855.765154701</v>
      </c>
    </row>
    <row r="27" spans="2:9" hidden="1" x14ac:dyDescent="0.3">
      <c r="B27" s="172" t="s">
        <v>22</v>
      </c>
      <c r="C27" s="172" t="s">
        <v>80</v>
      </c>
      <c r="D27" s="172">
        <v>115719.62371020101</v>
      </c>
      <c r="E27" s="172">
        <v>2.64370703120906E-3</v>
      </c>
      <c r="F27" s="172">
        <v>43771727.481194504</v>
      </c>
      <c r="G27" s="172">
        <v>26623.023564513001</v>
      </c>
      <c r="H27" s="172">
        <v>7.1322698336183702E-4</v>
      </c>
      <c r="I27" s="172">
        <v>37327560.770378903</v>
      </c>
    </row>
    <row r="28" spans="2:9" hidden="1" x14ac:dyDescent="0.3">
      <c r="B28" s="172" t="s">
        <v>189</v>
      </c>
      <c r="C28" s="172" t="s">
        <v>81</v>
      </c>
      <c r="D28" s="172">
        <v>518.82144342075799</v>
      </c>
      <c r="E28" s="172">
        <v>3.9310417343677001E-4</v>
      </c>
      <c r="F28" s="172">
        <v>1319806.50036067</v>
      </c>
      <c r="G28" s="172">
        <v>880.84539530947302</v>
      </c>
      <c r="H28" s="172">
        <v>1.47195727253119E-3</v>
      </c>
      <c r="I28" s="172">
        <v>598417.77458306495</v>
      </c>
    </row>
    <row r="29" spans="2:9" hidden="1" x14ac:dyDescent="0.3">
      <c r="B29" s="172" t="s">
        <v>187</v>
      </c>
      <c r="C29" s="172" t="s">
        <v>81</v>
      </c>
      <c r="D29" s="172">
        <v>4953.6168932463397</v>
      </c>
      <c r="E29" s="172">
        <v>2.84158712093395E-4</v>
      </c>
      <c r="F29" s="172">
        <v>17432570.892347801</v>
      </c>
      <c r="G29" s="172">
        <v>18321.8500855932</v>
      </c>
      <c r="H29" s="172">
        <v>1.4958515312338699E-3</v>
      </c>
      <c r="I29" s="172">
        <v>12248441.575268</v>
      </c>
    </row>
    <row r="30" spans="2:9" hidden="1" x14ac:dyDescent="0.3">
      <c r="B30" s="172" t="s">
        <v>185</v>
      </c>
      <c r="C30" s="172" t="s">
        <v>81</v>
      </c>
      <c r="D30" s="172">
        <v>10172.2611363012</v>
      </c>
      <c r="E30" s="172">
        <v>4.2189862863023698E-4</v>
      </c>
      <c r="F30" s="172">
        <v>24110675.991830401</v>
      </c>
      <c r="G30" s="172">
        <v>37906.372144647401</v>
      </c>
      <c r="H30" s="172">
        <v>2.0583877058665298E-3</v>
      </c>
      <c r="I30" s="172">
        <v>18415564.7823838</v>
      </c>
    </row>
    <row r="31" spans="2:9" hidden="1" x14ac:dyDescent="0.3">
      <c r="B31" s="172" t="s">
        <v>183</v>
      </c>
      <c r="C31" s="172" t="s">
        <v>81</v>
      </c>
      <c r="D31" s="172">
        <v>14488.3123693692</v>
      </c>
      <c r="E31" s="172">
        <v>5.4137791861251104E-4</v>
      </c>
      <c r="F31" s="172">
        <v>26761919.670645401</v>
      </c>
      <c r="G31" s="172">
        <v>54143.391872435102</v>
      </c>
      <c r="H31" s="172">
        <v>2.5528211458539902E-3</v>
      </c>
      <c r="I31" s="172">
        <v>21209238.242314301</v>
      </c>
    </row>
    <row r="32" spans="2:9" hidden="1" x14ac:dyDescent="0.3">
      <c r="B32" s="172" t="s">
        <v>181</v>
      </c>
      <c r="C32" s="172" t="s">
        <v>81</v>
      </c>
      <c r="D32" s="172">
        <v>18109.727574313001</v>
      </c>
      <c r="E32" s="172">
        <v>6.4573542577635301E-4</v>
      </c>
      <c r="F32" s="172">
        <v>28045120.108657699</v>
      </c>
      <c r="G32" s="172">
        <v>67621.235882437701</v>
      </c>
      <c r="H32" s="172">
        <v>2.96068547288383E-3</v>
      </c>
      <c r="I32" s="172">
        <v>22839722.9296268</v>
      </c>
    </row>
    <row r="33" spans="2:9" hidden="1" x14ac:dyDescent="0.3">
      <c r="B33" s="172" t="s">
        <v>179</v>
      </c>
      <c r="C33" s="172" t="s">
        <v>81</v>
      </c>
      <c r="D33" s="172">
        <v>21229.078730046502</v>
      </c>
      <c r="E33" s="172">
        <v>7.0146250506793401E-4</v>
      </c>
      <c r="F33" s="172">
        <v>30264024.914618298</v>
      </c>
      <c r="G33" s="172">
        <v>79070.081839864797</v>
      </c>
      <c r="H33" s="172">
        <v>3.29049842869307E-3</v>
      </c>
      <c r="I33" s="172">
        <v>24029819.054273199</v>
      </c>
    </row>
    <row r="34" spans="2:9" hidden="1" x14ac:dyDescent="0.3">
      <c r="B34" s="172" t="s">
        <v>39</v>
      </c>
      <c r="C34" s="172" t="s">
        <v>81</v>
      </c>
      <c r="D34" s="172">
        <v>23952.194434481698</v>
      </c>
      <c r="E34" s="172">
        <v>7.6124662035199702E-4</v>
      </c>
      <c r="F34" s="172">
        <v>31464434.5132282</v>
      </c>
      <c r="G34" s="172">
        <v>89066.141881238</v>
      </c>
      <c r="H34" s="172">
        <v>3.4663838886474698E-3</v>
      </c>
      <c r="I34" s="172">
        <v>25694252.207013998</v>
      </c>
    </row>
    <row r="35" spans="2:9" hidden="1" x14ac:dyDescent="0.3">
      <c r="B35" s="172" t="s">
        <v>26</v>
      </c>
      <c r="C35" s="172" t="s">
        <v>81</v>
      </c>
      <c r="D35" s="172">
        <v>26323.798907160399</v>
      </c>
      <c r="E35" s="172">
        <v>8.3190194815528596E-4</v>
      </c>
      <c r="F35" s="172">
        <v>31642910.520323299</v>
      </c>
      <c r="G35" s="172">
        <v>97920.644883183602</v>
      </c>
      <c r="H35" s="172">
        <v>3.6621128316704E-3</v>
      </c>
      <c r="I35" s="172">
        <v>26738838.8572722</v>
      </c>
    </row>
    <row r="36" spans="2:9" hidden="1" x14ac:dyDescent="0.3">
      <c r="B36" s="172" t="s">
        <v>25</v>
      </c>
      <c r="C36" s="172" t="s">
        <v>81</v>
      </c>
      <c r="D36" s="172">
        <v>28336.1929579877</v>
      </c>
      <c r="E36" s="172">
        <v>8.7231715179278998E-4</v>
      </c>
      <c r="F36" s="172">
        <v>32483819.560066</v>
      </c>
      <c r="G36" s="172">
        <v>105552.01055680899</v>
      </c>
      <c r="H36" s="172">
        <v>3.7344007580088299E-3</v>
      </c>
      <c r="I36" s="172">
        <v>28264778.580724299</v>
      </c>
    </row>
    <row r="37" spans="2:9" hidden="1" x14ac:dyDescent="0.3">
      <c r="B37" s="172" t="s">
        <v>24</v>
      </c>
      <c r="C37" s="172" t="s">
        <v>81</v>
      </c>
      <c r="D37" s="172">
        <v>29923.481862933499</v>
      </c>
      <c r="E37" s="172">
        <v>8.5055223935125298E-4</v>
      </c>
      <c r="F37" s="172">
        <v>35181239.2919655</v>
      </c>
      <c r="G37" s="172">
        <v>111516.105116153</v>
      </c>
      <c r="H37" s="172">
        <v>3.4701978985850999E-3</v>
      </c>
      <c r="I37" s="172">
        <v>32135373.3634676</v>
      </c>
    </row>
    <row r="38" spans="2:9" hidden="1" x14ac:dyDescent="0.3">
      <c r="B38" s="172" t="s">
        <v>22</v>
      </c>
      <c r="C38" s="172" t="s">
        <v>81</v>
      </c>
      <c r="D38" s="172">
        <v>30847.084918774101</v>
      </c>
      <c r="E38" s="172">
        <v>7.77674509727662E-4</v>
      </c>
      <c r="F38" s="172">
        <v>39665804.308767498</v>
      </c>
      <c r="G38" s="172">
        <v>114893.24891593</v>
      </c>
      <c r="H38" s="172">
        <v>2.97763190200702E-3</v>
      </c>
      <c r="I38" s="172">
        <v>38585443.969245501</v>
      </c>
    </row>
    <row r="39" spans="2:9" x14ac:dyDescent="0.3">
      <c r="B39" s="172" t="s">
        <v>189</v>
      </c>
      <c r="C39" s="172" t="s">
        <v>82</v>
      </c>
      <c r="D39" s="172">
        <v>518.82144341881099</v>
      </c>
      <c r="E39" s="172">
        <v>3.16922523060775E-4</v>
      </c>
      <c r="F39" s="172">
        <v>1637060.81350147</v>
      </c>
      <c r="G39" s="172">
        <v>880.84539531906501</v>
      </c>
      <c r="H39" s="172">
        <v>1.30426751395446E-3</v>
      </c>
      <c r="I39" s="172">
        <v>675356.38655017805</v>
      </c>
    </row>
    <row r="40" spans="2:9" x14ac:dyDescent="0.3">
      <c r="B40" s="172" t="s">
        <v>187</v>
      </c>
      <c r="C40" s="172" t="s">
        <v>82</v>
      </c>
      <c r="D40" s="172">
        <v>4953.61689334723</v>
      </c>
      <c r="E40" s="172">
        <v>2.8639663961439499E-4</v>
      </c>
      <c r="F40" s="172">
        <v>17296351.3120014</v>
      </c>
      <c r="G40" s="172">
        <v>18321.8500855485</v>
      </c>
      <c r="H40" s="172">
        <v>1.4376677211687899E-3</v>
      </c>
      <c r="I40" s="172">
        <v>12744147.911071699</v>
      </c>
    </row>
    <row r="41" spans="2:9" x14ac:dyDescent="0.3">
      <c r="B41" s="172" t="s">
        <v>185</v>
      </c>
      <c r="C41" s="172" t="s">
        <v>82</v>
      </c>
      <c r="D41" s="172">
        <v>10172.261136385599</v>
      </c>
      <c r="E41" s="172">
        <v>4.0928342161761601E-4</v>
      </c>
      <c r="F41" s="172">
        <v>24853831.3528108</v>
      </c>
      <c r="G41" s="172">
        <v>37906.372144548201</v>
      </c>
      <c r="H41" s="172">
        <v>1.9895296503692999E-3</v>
      </c>
      <c r="I41" s="172">
        <v>19052931.499418501</v>
      </c>
    </row>
    <row r="42" spans="2:9" x14ac:dyDescent="0.3">
      <c r="B42" s="172" t="s">
        <v>183</v>
      </c>
      <c r="C42" s="172" t="s">
        <v>82</v>
      </c>
      <c r="D42" s="172">
        <v>14488.3123693616</v>
      </c>
      <c r="E42" s="172">
        <v>5.6070892331049104E-4</v>
      </c>
      <c r="F42" s="172">
        <v>25839275.543932699</v>
      </c>
      <c r="G42" s="172">
        <v>54143.3918722831</v>
      </c>
      <c r="H42" s="172">
        <v>2.40041860028799E-3</v>
      </c>
      <c r="I42" s="172">
        <v>22555812.501114301</v>
      </c>
    </row>
    <row r="43" spans="2:9" x14ac:dyDescent="0.3">
      <c r="B43" s="172" t="s">
        <v>181</v>
      </c>
      <c r="C43" s="172" t="s">
        <v>82</v>
      </c>
      <c r="D43" s="172">
        <v>18109.7275741954</v>
      </c>
      <c r="E43" s="172">
        <v>6.8374795424694401E-4</v>
      </c>
      <c r="F43" s="172">
        <v>26485969.664276101</v>
      </c>
      <c r="G43" s="172">
        <v>67621.235882198307</v>
      </c>
      <c r="H43" s="172">
        <v>2.8424268341052401E-3</v>
      </c>
      <c r="I43" s="172">
        <v>23789965.346103501</v>
      </c>
    </row>
    <row r="44" spans="2:9" x14ac:dyDescent="0.3">
      <c r="B44" s="172" t="s">
        <v>179</v>
      </c>
      <c r="C44" s="172" t="s">
        <v>82</v>
      </c>
      <c r="D44" s="172">
        <v>21229.078729972902</v>
      </c>
      <c r="E44" s="172">
        <v>7.8052826411442895E-4</v>
      </c>
      <c r="F44" s="172">
        <v>27198347.204068199</v>
      </c>
      <c r="G44" s="172">
        <v>79070.081839594</v>
      </c>
      <c r="H44" s="172">
        <v>3.2020045569314801E-3</v>
      </c>
      <c r="I44" s="172">
        <v>24693931.702385701</v>
      </c>
    </row>
    <row r="45" spans="2:9" x14ac:dyDescent="0.3">
      <c r="B45" s="172" t="s">
        <v>39</v>
      </c>
      <c r="C45" s="172" t="s">
        <v>82</v>
      </c>
      <c r="D45" s="172">
        <v>23952.194434336699</v>
      </c>
      <c r="E45" s="172">
        <v>8.5367753189630202E-4</v>
      </c>
      <c r="F45" s="172">
        <v>28057660.579552598</v>
      </c>
      <c r="G45" s="172">
        <v>89066.141880996307</v>
      </c>
      <c r="H45" s="172">
        <v>3.48413500181472E-3</v>
      </c>
      <c r="I45" s="172">
        <v>25563344.082421001</v>
      </c>
    </row>
    <row r="46" spans="2:9" x14ac:dyDescent="0.3">
      <c r="B46" s="172" t="s">
        <v>26</v>
      </c>
      <c r="C46" s="172" t="s">
        <v>82</v>
      </c>
      <c r="D46" s="172">
        <v>26323.798906993801</v>
      </c>
      <c r="E46" s="172">
        <v>9.2150769382882795E-4</v>
      </c>
      <c r="F46" s="172">
        <v>28566010.987514898</v>
      </c>
      <c r="G46" s="172">
        <v>97920.644882885201</v>
      </c>
      <c r="H46" s="172">
        <v>3.6884164143069502E-3</v>
      </c>
      <c r="I46" s="172">
        <v>26548153.4305785</v>
      </c>
    </row>
    <row r="47" spans="2:9" x14ac:dyDescent="0.3">
      <c r="B47" s="172" t="s">
        <v>25</v>
      </c>
      <c r="C47" s="172" t="s">
        <v>82</v>
      </c>
      <c r="D47" s="172">
        <v>28336.192957736399</v>
      </c>
      <c r="E47" s="172">
        <v>9.6753229122123702E-4</v>
      </c>
      <c r="F47" s="172">
        <v>29287077.252966899</v>
      </c>
      <c r="G47" s="172">
        <v>105552.010556486</v>
      </c>
      <c r="H47" s="172">
        <v>3.7805573680811501E-3</v>
      </c>
      <c r="I47" s="172">
        <v>27919695.505125899</v>
      </c>
    </row>
    <row r="48" spans="2:9" x14ac:dyDescent="0.3">
      <c r="B48" s="172" t="s">
        <v>24</v>
      </c>
      <c r="C48" s="172" t="s">
        <v>82</v>
      </c>
      <c r="D48" s="172">
        <v>29923.481862696699</v>
      </c>
      <c r="E48" s="172">
        <v>9.6745650290241004E-4</v>
      </c>
      <c r="F48" s="172">
        <v>30930053.984778602</v>
      </c>
      <c r="G48" s="172">
        <v>111516.105115814</v>
      </c>
      <c r="H48" s="172">
        <v>3.6013914846174801E-3</v>
      </c>
      <c r="I48" s="172">
        <v>30964727.2705925</v>
      </c>
    </row>
    <row r="49" spans="2:9" x14ac:dyDescent="0.3">
      <c r="B49" s="172" t="s">
        <v>22</v>
      </c>
      <c r="C49" s="172" t="s">
        <v>82</v>
      </c>
      <c r="D49" s="172">
        <v>30847.0849185197</v>
      </c>
      <c r="E49" s="172">
        <v>8.5125039555591301E-4</v>
      </c>
      <c r="F49" s="172">
        <v>36237381.009820104</v>
      </c>
      <c r="G49" s="172">
        <v>114893.24891558901</v>
      </c>
      <c r="H49" s="172">
        <v>3.0144906171013799E-3</v>
      </c>
      <c r="I49" s="172">
        <v>38113652.855242804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-6.5074345911853005E-10</v>
      </c>
      <c r="H6" s="172">
        <v>-1037.71717600067</v>
      </c>
      <c r="I6" s="172">
        <v>-621.62539629942899</v>
      </c>
      <c r="J6" s="172">
        <v>-10830.9850141633</v>
      </c>
      <c r="K6" s="172">
        <v>-1.6012791093089599E-9</v>
      </c>
      <c r="L6" s="172">
        <v>1.4982106222305401E-8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1.05956132756546E-10</v>
      </c>
      <c r="H7" s="172">
        <v>-1037.71717600122</v>
      </c>
      <c r="I7" s="172">
        <v>-621.62539629939897</v>
      </c>
      <c r="J7" s="172">
        <v>-10830.9850141595</v>
      </c>
      <c r="K7" s="172">
        <v>1864.87618889845</v>
      </c>
      <c r="L7" s="172">
        <v>-3113.1515280057602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-6.32553565083072E-10</v>
      </c>
      <c r="H8" s="172">
        <v>-1037.7171760019901</v>
      </c>
      <c r="I8" s="172">
        <v>-621.62539629262699</v>
      </c>
      <c r="J8" s="172">
        <v>-10935.2591862708</v>
      </c>
      <c r="K8" s="172">
        <v>-1.8137598090106601E-9</v>
      </c>
      <c r="L8" s="172">
        <v>1.46537786349654E-8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-5.0476955948397498E-11</v>
      </c>
      <c r="H9" s="172">
        <v>-1037.7171760025899</v>
      </c>
      <c r="I9" s="172">
        <v>-621.62539629238802</v>
      </c>
      <c r="J9" s="172">
        <v>-10935.2591862629</v>
      </c>
      <c r="K9" s="172">
        <v>1864.8761888772001</v>
      </c>
      <c r="L9" s="172">
        <v>-3113.1515280060098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1.6007106751203501E-10</v>
      </c>
      <c r="H10" s="172">
        <v>-518.82144342052197</v>
      </c>
      <c r="I10" s="172">
        <v>-880.84539530964901</v>
      </c>
      <c r="J10" s="172">
        <v>-18162.3866048038</v>
      </c>
      <c r="K10" s="172">
        <v>-4.9658410716801902E-10</v>
      </c>
      <c r="L10" s="172">
        <v>-2.8048816602677099E-9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1.89174897968769E-10</v>
      </c>
      <c r="H11" s="172">
        <v>-518.82144342075799</v>
      </c>
      <c r="I11" s="172">
        <v>-880.84539530947302</v>
      </c>
      <c r="J11" s="172">
        <v>-18162.386604798401</v>
      </c>
      <c r="K11" s="172">
        <v>2642.5361859290401</v>
      </c>
      <c r="L11" s="172">
        <v>-1556.4643302653301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1.3824319466948499E-10</v>
      </c>
      <c r="H12" s="172">
        <v>-518.82144341859896</v>
      </c>
      <c r="I12" s="172">
        <v>-880.845395319011</v>
      </c>
      <c r="J12" s="172">
        <v>-17929.492484660299</v>
      </c>
      <c r="K12" s="172">
        <v>-2.6511770556680899E-10</v>
      </c>
      <c r="L12" s="172">
        <v>-2.5411281967535598E-9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1.9645085558295201E-10</v>
      </c>
      <c r="H13" s="172">
        <v>-518.82144341881099</v>
      </c>
      <c r="I13" s="172">
        <v>-880.84539531906501</v>
      </c>
      <c r="J13" s="172">
        <v>-17929.492484660899</v>
      </c>
      <c r="K13" s="172">
        <v>2642.5361859569798</v>
      </c>
      <c r="L13" s="172">
        <v>-1556.46433025994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12661.1999999977</v>
      </c>
      <c r="H14" s="172">
        <v>2.79101186606567E-11</v>
      </c>
      <c r="I14" s="172">
        <v>-1.17097442853265E-11</v>
      </c>
      <c r="J14" s="172">
        <v>-5.3660187404602797E-10</v>
      </c>
      <c r="K14" s="172">
        <v>25395.929999997501</v>
      </c>
      <c r="L14" s="172">
        <v>-270367.55999994499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17917.199999999499</v>
      </c>
      <c r="H15" s="172">
        <v>2.74980038739159E-11</v>
      </c>
      <c r="I15" s="172">
        <v>-1.79625203600153E-11</v>
      </c>
      <c r="J15" s="172">
        <v>-6.3391780713573098E-10</v>
      </c>
      <c r="K15" s="172">
        <v>34611.930000000502</v>
      </c>
      <c r="L15" s="172">
        <v>-381751.55999998801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-2.69741349256947E-8</v>
      </c>
      <c r="H16" s="172">
        <v>-17849.766852428598</v>
      </c>
      <c r="I16" s="172">
        <v>-4481.6831282455896</v>
      </c>
      <c r="J16" s="172">
        <v>102548.588998572</v>
      </c>
      <c r="K16" s="172">
        <v>1864.87618890301</v>
      </c>
      <c r="L16" s="172">
        <v>-3113.1515274625999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-2.70414091119164E-8</v>
      </c>
      <c r="H17" s="172">
        <v>-17849.766852362998</v>
      </c>
      <c r="I17" s="172">
        <v>-4481.6831282488802</v>
      </c>
      <c r="J17" s="172">
        <v>102548.588998388</v>
      </c>
      <c r="K17" s="172">
        <v>17550.767137732699</v>
      </c>
      <c r="L17" s="172">
        <v>-65587.335510847406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-3.0912701731722303E-8</v>
      </c>
      <c r="H18" s="172">
        <v>-17849.7668523551</v>
      </c>
      <c r="I18" s="172">
        <v>-4481.6831282769899</v>
      </c>
      <c r="J18" s="172">
        <v>79345.257747446507</v>
      </c>
      <c r="K18" s="172">
        <v>1864.8761888835099</v>
      </c>
      <c r="L18" s="172">
        <v>-3113.1515273843902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-2.8497652238002001E-8</v>
      </c>
      <c r="H19" s="172">
        <v>-17849.7668522887</v>
      </c>
      <c r="I19" s="172">
        <v>-4481.6831282794401</v>
      </c>
      <c r="J19" s="172">
        <v>79345.257747277399</v>
      </c>
      <c r="K19" s="172">
        <v>17550.767137819999</v>
      </c>
      <c r="L19" s="172">
        <v>-65587.335510569901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3.02310141364615E-8</v>
      </c>
      <c r="H20" s="172">
        <v>-4953.6168932573601</v>
      </c>
      <c r="I20" s="172">
        <v>-18321.8500856137</v>
      </c>
      <c r="J20" s="172">
        <v>-190776.84907230199</v>
      </c>
      <c r="K20" s="172">
        <v>2642.53618596969</v>
      </c>
      <c r="L20" s="172">
        <v>-1556.4643308628899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3.5487175864545901E-8</v>
      </c>
      <c r="H21" s="172">
        <v>-4953.6168932463397</v>
      </c>
      <c r="I21" s="172">
        <v>-18321.8500855932</v>
      </c>
      <c r="J21" s="172">
        <v>-190776.849071884</v>
      </c>
      <c r="K21" s="172">
        <v>66769.011485537194</v>
      </c>
      <c r="L21" s="172">
        <v>-18894.123457364101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3.2570458330383203E-8</v>
      </c>
      <c r="H22" s="172">
        <v>-4953.6168933527797</v>
      </c>
      <c r="I22" s="172">
        <v>-18321.850085570699</v>
      </c>
      <c r="J22" s="172">
        <v>-157222.52493682699</v>
      </c>
      <c r="K22" s="172">
        <v>2642.5361859966401</v>
      </c>
      <c r="L22" s="172">
        <v>-1556.46433090654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3.8012672121112701E-8</v>
      </c>
      <c r="H23" s="172">
        <v>-4953.61689334723</v>
      </c>
      <c r="I23" s="172">
        <v>-18321.8500855485</v>
      </c>
      <c r="J23" s="172">
        <v>-157222.52493636601</v>
      </c>
      <c r="K23" s="172">
        <v>66769.011485424897</v>
      </c>
      <c r="L23" s="172">
        <v>-18894.123457752499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399162.65624979901</v>
      </c>
      <c r="H24" s="172">
        <v>5.3943114863841402E-8</v>
      </c>
      <c r="I24" s="172">
        <v>-3.4876279642048799E-10</v>
      </c>
      <c r="J24" s="172">
        <v>-3.54865317575559E-7</v>
      </c>
      <c r="K24" s="172">
        <v>3569220.53859379</v>
      </c>
      <c r="L24" s="172">
        <v>-4142748.7795737502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473431.54764761298</v>
      </c>
      <c r="H25" s="172">
        <v>5.5234409046534003E-8</v>
      </c>
      <c r="I25" s="172">
        <v>-2.7646649414236898E-9</v>
      </c>
      <c r="J25" s="172">
        <v>-4.1863756905513599E-7</v>
      </c>
      <c r="K25" s="172">
        <v>4078417.7367637302</v>
      </c>
      <c r="L25" s="172">
        <v>-5206438.5918304101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-5.40377982360951E-8</v>
      </c>
      <c r="H26" s="172">
        <v>-37185.379479480798</v>
      </c>
      <c r="I26" s="172">
        <v>-9018.9255798837203</v>
      </c>
      <c r="J26" s="172">
        <v>234806.78777749001</v>
      </c>
      <c r="K26" s="172">
        <v>17550.767137321502</v>
      </c>
      <c r="L26" s="172">
        <v>-65587.335510327699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-6.5856710307343694E-8</v>
      </c>
      <c r="H27" s="172">
        <v>-37185.379479454197</v>
      </c>
      <c r="I27" s="172">
        <v>-9018.9255798872891</v>
      </c>
      <c r="J27" s="172">
        <v>234806.78777737901</v>
      </c>
      <c r="K27" s="172">
        <v>49117.006666893103</v>
      </c>
      <c r="L27" s="172">
        <v>-195736.16368819299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-4.9670973112370101E-8</v>
      </c>
      <c r="H28" s="172">
        <v>-37185.379479426199</v>
      </c>
      <c r="I28" s="172">
        <v>-9018.9255799520106</v>
      </c>
      <c r="J28" s="172">
        <v>185271.78409813301</v>
      </c>
      <c r="K28" s="172">
        <v>17550.767137386101</v>
      </c>
      <c r="L28" s="172">
        <v>-65587.335510171295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-6.2964375047158696E-8</v>
      </c>
      <c r="H29" s="172">
        <v>-37185.379479392803</v>
      </c>
      <c r="I29" s="172">
        <v>-9018.9255799575603</v>
      </c>
      <c r="J29" s="172">
        <v>185271.78409795999</v>
      </c>
      <c r="K29" s="172">
        <v>49117.006667205598</v>
      </c>
      <c r="L29" s="172">
        <v>-195736.16368779601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3.9416136132786097E-8</v>
      </c>
      <c r="H30" s="172">
        <v>-10172.261136306</v>
      </c>
      <c r="I30" s="172">
        <v>-37906.372144635599</v>
      </c>
      <c r="J30" s="172">
        <v>-379246.24815887603</v>
      </c>
      <c r="K30" s="172">
        <v>66769.011485452604</v>
      </c>
      <c r="L30" s="172">
        <v>-18894.123457445599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3.2276602723868597E-8</v>
      </c>
      <c r="H31" s="172">
        <v>-10172.2611363012</v>
      </c>
      <c r="I31" s="172">
        <v>-37906.372144647401</v>
      </c>
      <c r="J31" s="172">
        <v>-379246.24815925001</v>
      </c>
      <c r="K31" s="172">
        <v>199441.31399172</v>
      </c>
      <c r="L31" s="172">
        <v>-54497.0374343437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3.6073515730095103E-8</v>
      </c>
      <c r="H32" s="172">
        <v>-10172.261136388001</v>
      </c>
      <c r="I32" s="172">
        <v>-37906.372144538102</v>
      </c>
      <c r="J32" s="172">
        <v>-308734.96124864399</v>
      </c>
      <c r="K32" s="172">
        <v>66769.011485362294</v>
      </c>
      <c r="L32" s="172">
        <v>-18894.1234577129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3.0138608053675899E-8</v>
      </c>
      <c r="H33" s="172">
        <v>-10172.261136385599</v>
      </c>
      <c r="I33" s="172">
        <v>-37906.372144548201</v>
      </c>
      <c r="J33" s="172">
        <v>-308734.96124896401</v>
      </c>
      <c r="K33" s="172">
        <v>199441.313991295</v>
      </c>
      <c r="L33" s="172">
        <v>-54497.037434931197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847072.00389765506</v>
      </c>
      <c r="H34" s="172">
        <v>8.8901224160053997E-8</v>
      </c>
      <c r="I34" s="172">
        <v>-2.2853047454418599E-8</v>
      </c>
      <c r="J34" s="172">
        <v>-9.3612023022160397E-7</v>
      </c>
      <c r="K34" s="172">
        <v>7540778.8453577599</v>
      </c>
      <c r="L34" s="172">
        <v>-8895188.3114090301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921340.89529546897</v>
      </c>
      <c r="H35" s="172">
        <v>9.4412939688481896E-8</v>
      </c>
      <c r="I35" s="172">
        <v>-2.2530912247020801E-8</v>
      </c>
      <c r="J35" s="172">
        <v>-9.4124243332771595E-7</v>
      </c>
      <c r="K35" s="172">
        <v>8049976.0435277801</v>
      </c>
      <c r="L35" s="172">
        <v>-9958878.1236655302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-2.1451967313623799E-7</v>
      </c>
      <c r="H36" s="172">
        <v>-53621.291230045899</v>
      </c>
      <c r="I36" s="172">
        <v>-12749.5845342186</v>
      </c>
      <c r="J36" s="172">
        <v>348770.84039024601</v>
      </c>
      <c r="K36" s="172">
        <v>49117.006666549598</v>
      </c>
      <c r="L36" s="172">
        <v>-195736.163685192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-2.0834258407376201E-7</v>
      </c>
      <c r="H37" s="172">
        <v>-53621.2912300194</v>
      </c>
      <c r="I37" s="172">
        <v>-12749.584534211601</v>
      </c>
      <c r="J37" s="172">
        <v>348770.840390319</v>
      </c>
      <c r="K37" s="172">
        <v>93740.552536302101</v>
      </c>
      <c r="L37" s="172">
        <v>-383410.68299046298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-2.2366668872564301E-7</v>
      </c>
      <c r="H38" s="172">
        <v>-53621.291230053699</v>
      </c>
      <c r="I38" s="172">
        <v>-12749.5845343326</v>
      </c>
      <c r="J38" s="172">
        <v>276550.28808348201</v>
      </c>
      <c r="K38" s="172">
        <v>49117.006666838599</v>
      </c>
      <c r="L38" s="172">
        <v>-195736.16368454701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-2.1688026663468899E-7</v>
      </c>
      <c r="H39" s="172">
        <v>-53621.291230024297</v>
      </c>
      <c r="I39" s="172">
        <v>-12749.5845343213</v>
      </c>
      <c r="J39" s="172">
        <v>276550.28808364499</v>
      </c>
      <c r="K39" s="172">
        <v>93740.552536982606</v>
      </c>
      <c r="L39" s="172">
        <v>-383410.68298985501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1.33595676743425E-8</v>
      </c>
      <c r="H40" s="172">
        <v>-14488.312369379601</v>
      </c>
      <c r="I40" s="172">
        <v>-54143.391872472697</v>
      </c>
      <c r="J40" s="172">
        <v>-535604.13516747102</v>
      </c>
      <c r="K40" s="172">
        <v>199441.31399165199</v>
      </c>
      <c r="L40" s="172">
        <v>-54497.0374339544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1.32622517412528E-8</v>
      </c>
      <c r="H41" s="172">
        <v>-14488.3123693692</v>
      </c>
      <c r="I41" s="172">
        <v>-54143.391872435102</v>
      </c>
      <c r="J41" s="172">
        <v>-535604.13516662701</v>
      </c>
      <c r="K41" s="172">
        <v>388943.18554519501</v>
      </c>
      <c r="L41" s="172">
        <v>-105206.13072677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2.6044290279969599E-8</v>
      </c>
      <c r="H42" s="172">
        <v>-14488.3123693706</v>
      </c>
      <c r="I42" s="172">
        <v>-54143.391872311498</v>
      </c>
      <c r="J42" s="172">
        <v>-434432.39952784101</v>
      </c>
      <c r="K42" s="172">
        <v>199441.31399125801</v>
      </c>
      <c r="L42" s="172">
        <v>-54497.0374348474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2.5143663151538901E-8</v>
      </c>
      <c r="H43" s="172">
        <v>-14488.3123693616</v>
      </c>
      <c r="I43" s="172">
        <v>-54143.3918722831</v>
      </c>
      <c r="J43" s="172">
        <v>-434432.39952719898</v>
      </c>
      <c r="K43" s="172">
        <v>388943.18554426701</v>
      </c>
      <c r="L43" s="172">
        <v>-105206.130727615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1294981.3515454</v>
      </c>
      <c r="H44" s="172">
        <v>1.1759874141148401E-7</v>
      </c>
      <c r="I44" s="172">
        <v>-5.7859708135765699E-8</v>
      </c>
      <c r="J44" s="172">
        <v>-1.37889456652829E-6</v>
      </c>
      <c r="K44" s="172">
        <v>11512337.1521217</v>
      </c>
      <c r="L44" s="172">
        <v>-13647627.8432422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1369250.2429432101</v>
      </c>
      <c r="H45" s="172">
        <v>1.1743867389668599E-7</v>
      </c>
      <c r="I45" s="172">
        <v>-5.7453377166893902E-8</v>
      </c>
      <c r="J45" s="172">
        <v>-1.37533800170786E-6</v>
      </c>
      <c r="K45" s="172">
        <v>12021534.3502918</v>
      </c>
      <c r="L45" s="172">
        <v>-14711317.6554986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-5.2922109716746501E-7</v>
      </c>
      <c r="H46" s="172">
        <v>-67586.262880164097</v>
      </c>
      <c r="I46" s="172">
        <v>-15873.4843470706</v>
      </c>
      <c r="J46" s="172">
        <v>446162.19279984699</v>
      </c>
      <c r="K46" s="172">
        <v>93740.552535517898</v>
      </c>
      <c r="L46" s="172">
        <v>-383410.68298394699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-5.3396598787003303E-7</v>
      </c>
      <c r="H47" s="172">
        <v>-67586.262880104798</v>
      </c>
      <c r="I47" s="172">
        <v>-15873.4843470706</v>
      </c>
      <c r="J47" s="172">
        <v>446162.19279972499</v>
      </c>
      <c r="K47" s="172">
        <v>149297.74775026299</v>
      </c>
      <c r="L47" s="172">
        <v>-619962.60306432296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-5.5991552017076195E-7</v>
      </c>
      <c r="H48" s="172">
        <v>-67586.262880255803</v>
      </c>
      <c r="I48" s="172">
        <v>-15873.484347248601</v>
      </c>
      <c r="J48" s="172">
        <v>354556.42961571598</v>
      </c>
      <c r="K48" s="172">
        <v>93740.552536148403</v>
      </c>
      <c r="L48" s="172">
        <v>-383410.68298288499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-5.6556359595560903E-7</v>
      </c>
      <c r="H49" s="172">
        <v>-67586.2628801955</v>
      </c>
      <c r="I49" s="172">
        <v>-15873.4843472497</v>
      </c>
      <c r="J49" s="172">
        <v>354556.429615581</v>
      </c>
      <c r="K49" s="172">
        <v>149297.74775151201</v>
      </c>
      <c r="L49" s="172">
        <v>-619962.60306355299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-3.7753125070594297E-8</v>
      </c>
      <c r="H50" s="172">
        <v>-18109.727574328499</v>
      </c>
      <c r="I50" s="172">
        <v>-67621.235882437803</v>
      </c>
      <c r="J50" s="172">
        <v>-665015.42549839697</v>
      </c>
      <c r="K50" s="172">
        <v>388943.18554497702</v>
      </c>
      <c r="L50" s="172">
        <v>-105206.13072574099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-4.1186922317137902E-8</v>
      </c>
      <c r="H51" s="172">
        <v>-18109.727574313001</v>
      </c>
      <c r="I51" s="172">
        <v>-67621.235882437701</v>
      </c>
      <c r="J51" s="172">
        <v>-665015.42549841094</v>
      </c>
      <c r="K51" s="172">
        <v>625617.51113351097</v>
      </c>
      <c r="L51" s="172">
        <v>-168590.177235785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3.5170160117559102E-9</v>
      </c>
      <c r="H52" s="172">
        <v>-18109.727574205899</v>
      </c>
      <c r="I52" s="172">
        <v>-67621.235882198394</v>
      </c>
      <c r="J52" s="172">
        <v>-538468.08850138902</v>
      </c>
      <c r="K52" s="172">
        <v>388943.18554411398</v>
      </c>
      <c r="L52" s="172">
        <v>-105206.13072718499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8.8448359747417302E-10</v>
      </c>
      <c r="H53" s="172">
        <v>-18109.7275741954</v>
      </c>
      <c r="I53" s="172">
        <v>-67621.235882198307</v>
      </c>
      <c r="J53" s="172">
        <v>-538468.08850140101</v>
      </c>
      <c r="K53" s="172">
        <v>625617.511131807</v>
      </c>
      <c r="L53" s="172">
        <v>-168590.17723682901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1742890.69919294</v>
      </c>
      <c r="H54" s="172">
        <v>1.9965973052649101E-7</v>
      </c>
      <c r="I54" s="172">
        <v>-6.5585979314164393E-8</v>
      </c>
      <c r="J54" s="172">
        <v>-1.9060547629123901E-6</v>
      </c>
      <c r="K54" s="172">
        <v>15483895.4588852</v>
      </c>
      <c r="L54" s="172">
        <v>-18400067.375071101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1817159.5905907401</v>
      </c>
      <c r="H55" s="172">
        <v>2.0259085431462199E-7</v>
      </c>
      <c r="I55" s="172">
        <v>-6.5405032501075806E-8</v>
      </c>
      <c r="J55" s="172">
        <v>-1.9046572106162799E-6</v>
      </c>
      <c r="K55" s="172">
        <v>15993092.6570553</v>
      </c>
      <c r="L55" s="172">
        <v>-19463757.187327001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-5.8553666804073103E-7</v>
      </c>
      <c r="H56" s="172">
        <v>-79595.221739460903</v>
      </c>
      <c r="I56" s="172">
        <v>-18561.968945336099</v>
      </c>
      <c r="J56" s="172">
        <v>529886.28494426399</v>
      </c>
      <c r="K56" s="172">
        <v>149297.74775017201</v>
      </c>
      <c r="L56" s="172">
        <v>-619962.60306328302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-5.8703884064925702E-7</v>
      </c>
      <c r="H57" s="172">
        <v>-79595.221739463595</v>
      </c>
      <c r="I57" s="172">
        <v>-18561.968945337099</v>
      </c>
      <c r="J57" s="172">
        <v>529886.28494426701</v>
      </c>
      <c r="K57" s="172">
        <v>214264.63905883901</v>
      </c>
      <c r="L57" s="172">
        <v>-898545.87915137596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-6.2168123804440299E-7</v>
      </c>
      <c r="H58" s="172">
        <v>-79595.221739511006</v>
      </c>
      <c r="I58" s="172">
        <v>-18561.9689455349</v>
      </c>
      <c r="J58" s="172">
        <v>421615.63899285399</v>
      </c>
      <c r="K58" s="172">
        <v>149297.74775141501</v>
      </c>
      <c r="L58" s="172">
        <v>-619962.60306241701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-6.2303138292918405E-7</v>
      </c>
      <c r="H59" s="172">
        <v>-79595.221739515095</v>
      </c>
      <c r="I59" s="172">
        <v>-18561.968945535202</v>
      </c>
      <c r="J59" s="172">
        <v>421615.63899287599</v>
      </c>
      <c r="K59" s="172">
        <v>214264.639060777</v>
      </c>
      <c r="L59" s="172">
        <v>-898545.87915069098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-4.0216036722995301E-8</v>
      </c>
      <c r="H60" s="172">
        <v>-21229.078730042202</v>
      </c>
      <c r="I60" s="172">
        <v>-79070.081839875202</v>
      </c>
      <c r="J60" s="172">
        <v>-774526.27982825402</v>
      </c>
      <c r="K60" s="172">
        <v>625617.51113347802</v>
      </c>
      <c r="L60" s="172">
        <v>-168590.17723580601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-4.2570263758534599E-8</v>
      </c>
      <c r="H61" s="172">
        <v>-21229.078730046502</v>
      </c>
      <c r="I61" s="172">
        <v>-79070.081839864797</v>
      </c>
      <c r="J61" s="172">
        <v>-774526.27982801502</v>
      </c>
      <c r="K61" s="172">
        <v>902362.79757301998</v>
      </c>
      <c r="L61" s="172">
        <v>-242891.95279090499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8.4601197158917801E-9</v>
      </c>
      <c r="H62" s="172">
        <v>-21229.078729970301</v>
      </c>
      <c r="I62" s="172">
        <v>-79070.081839600098</v>
      </c>
      <c r="J62" s="172">
        <v>-626506.46350329695</v>
      </c>
      <c r="K62" s="172">
        <v>625617.51113178395</v>
      </c>
      <c r="L62" s="172">
        <v>-168590.17723698801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6.8221197579987297E-9</v>
      </c>
      <c r="H63" s="172">
        <v>-21229.078729972902</v>
      </c>
      <c r="I63" s="172">
        <v>-79070.081839594</v>
      </c>
      <c r="J63" s="172">
        <v>-626506.46350315295</v>
      </c>
      <c r="K63" s="172">
        <v>902362.79757037701</v>
      </c>
      <c r="L63" s="172">
        <v>-242891.95279185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2190800.0468405401</v>
      </c>
      <c r="H64" s="172">
        <v>2.3477907262758901E-7</v>
      </c>
      <c r="I64" s="172">
        <v>-9.5751950368594394E-8</v>
      </c>
      <c r="J64" s="172">
        <v>-2.1677515604778802E-6</v>
      </c>
      <c r="K64" s="172">
        <v>19455453.765648801</v>
      </c>
      <c r="L64" s="172">
        <v>-23152506.9069006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2265068.93823834</v>
      </c>
      <c r="H65" s="172">
        <v>2.35529796555056E-7</v>
      </c>
      <c r="I65" s="172">
        <v>-9.5899963525880594E-8</v>
      </c>
      <c r="J65" s="172">
        <v>-2.17257070289634E-6</v>
      </c>
      <c r="K65" s="172">
        <v>19964650.963819101</v>
      </c>
      <c r="L65" s="172">
        <v>-24216196.7191565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-4.8678293751436296E-7</v>
      </c>
      <c r="H66" s="172">
        <v>-90009.682267728102</v>
      </c>
      <c r="I66" s="172">
        <v>-20892.870774155901</v>
      </c>
      <c r="J66" s="172">
        <v>602501.38562010601</v>
      </c>
      <c r="K66" s="172">
        <v>214264.63905948601</v>
      </c>
      <c r="L66" s="172">
        <v>-898545.87915342604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-4.8485392767361201E-7</v>
      </c>
      <c r="H67" s="172">
        <v>-90009.682267705706</v>
      </c>
      <c r="I67" s="172">
        <v>-20892.870774153798</v>
      </c>
      <c r="J67" s="172">
        <v>602501.385620096</v>
      </c>
      <c r="K67" s="172">
        <v>287389.68676901702</v>
      </c>
      <c r="L67" s="172">
        <v>-1213579.7670904801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-5.2096447689109503E-7</v>
      </c>
      <c r="H68" s="172">
        <v>-90009.682267838201</v>
      </c>
      <c r="I68" s="172">
        <v>-20892.870774332401</v>
      </c>
      <c r="J68" s="172">
        <v>479777.06753890798</v>
      </c>
      <c r="K68" s="172">
        <v>214264.639061453</v>
      </c>
      <c r="L68" s="172">
        <v>-898545.87915278203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-5.1923819910371105E-7</v>
      </c>
      <c r="H69" s="172">
        <v>-90009.682267812896</v>
      </c>
      <c r="I69" s="172">
        <v>-20892.8707743306</v>
      </c>
      <c r="J69" s="172">
        <v>479777.067538879</v>
      </c>
      <c r="K69" s="172">
        <v>287389.68677159603</v>
      </c>
      <c r="L69" s="172">
        <v>-1213579.76709022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1.6998455976136E-9</v>
      </c>
      <c r="H70" s="172">
        <v>-23952.194434492299</v>
      </c>
      <c r="I70" s="172">
        <v>-89066.141881228206</v>
      </c>
      <c r="J70" s="172">
        <v>-870144.87656921905</v>
      </c>
      <c r="K70" s="172">
        <v>902362.79757316201</v>
      </c>
      <c r="L70" s="172">
        <v>-242891.952791808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-2.29283614316955E-9</v>
      </c>
      <c r="H71" s="172">
        <v>-23952.194434481698</v>
      </c>
      <c r="I71" s="172">
        <v>-89066.141881238</v>
      </c>
      <c r="J71" s="172">
        <v>-870144.876569513</v>
      </c>
      <c r="K71" s="172">
        <v>1214094.2941574401</v>
      </c>
      <c r="L71" s="172">
        <v>-326724.633312424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4.8701622290536801E-8</v>
      </c>
      <c r="H72" s="172">
        <v>-23952.194434344801</v>
      </c>
      <c r="I72" s="172">
        <v>-89066.141880987198</v>
      </c>
      <c r="J72" s="172">
        <v>-703376.513876791</v>
      </c>
      <c r="K72" s="172">
        <v>902362.79757047899</v>
      </c>
      <c r="L72" s="172">
        <v>-242891.952792706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4.38712959294207E-8</v>
      </c>
      <c r="H73" s="172">
        <v>-23952.194434336699</v>
      </c>
      <c r="I73" s="172">
        <v>-89066.141880996307</v>
      </c>
      <c r="J73" s="172">
        <v>-703376.513877052</v>
      </c>
      <c r="K73" s="172">
        <v>1214094.2941539199</v>
      </c>
      <c r="L73" s="172">
        <v>-326724.633312791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2638709.3944880501</v>
      </c>
      <c r="H74" s="172">
        <v>2.2827754264653801E-7</v>
      </c>
      <c r="I74" s="172">
        <v>-9.8210334087411905E-8</v>
      </c>
      <c r="J74" s="172">
        <v>-2.2675433228869199E-6</v>
      </c>
      <c r="K74" s="172">
        <v>23427012.072412401</v>
      </c>
      <c r="L74" s="172">
        <v>-27904946.438728299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2712978.28588585</v>
      </c>
      <c r="H75" s="172">
        <v>2.2801202703703901E-7</v>
      </c>
      <c r="I75" s="172">
        <v>-9.69185975918663E-8</v>
      </c>
      <c r="J75" s="172">
        <v>-2.2402034574042798E-6</v>
      </c>
      <c r="K75" s="172">
        <v>23936209.270582698</v>
      </c>
      <c r="L75" s="172">
        <v>-28968636.250984199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-4.4944431465410199E-7</v>
      </c>
      <c r="H76" s="172">
        <v>-99045.502895730096</v>
      </c>
      <c r="I76" s="172">
        <v>-22907.140433811001</v>
      </c>
      <c r="J76" s="172">
        <v>664773.29565189499</v>
      </c>
      <c r="K76" s="172">
        <v>287389.68676898698</v>
      </c>
      <c r="L76" s="172">
        <v>-1213579.76709121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-4.4937398158140198E-7</v>
      </c>
      <c r="H77" s="172">
        <v>-99045.502895725702</v>
      </c>
      <c r="I77" s="172">
        <v>-22907.1404338131</v>
      </c>
      <c r="J77" s="172">
        <v>664773.29565184505</v>
      </c>
      <c r="K77" s="172">
        <v>367564.67828732898</v>
      </c>
      <c r="L77" s="172">
        <v>-1560239.0272262499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-4.7574326345056798E-7</v>
      </c>
      <c r="H78" s="172">
        <v>-99045.5028958529</v>
      </c>
      <c r="I78" s="172">
        <v>-22907.140434028799</v>
      </c>
      <c r="J78" s="172">
        <v>529489.27004051302</v>
      </c>
      <c r="K78" s="172">
        <v>287389.68677157297</v>
      </c>
      <c r="L78" s="172">
        <v>-1213579.7670911101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-4.7516101631117598E-7</v>
      </c>
      <c r="H79" s="172">
        <v>-99045.502895845406</v>
      </c>
      <c r="I79" s="172">
        <v>-22907.140434032201</v>
      </c>
      <c r="J79" s="172">
        <v>529489.27004042501</v>
      </c>
      <c r="K79" s="172">
        <v>367564.67829068098</v>
      </c>
      <c r="L79" s="172">
        <v>-1560239.0272265801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4.1088242141995599E-8</v>
      </c>
      <c r="H80" s="172">
        <v>-26323.798907158001</v>
      </c>
      <c r="I80" s="172">
        <v>-97920.644883172296</v>
      </c>
      <c r="J80" s="172">
        <v>-956339.19176031603</v>
      </c>
      <c r="K80" s="172">
        <v>1214094.2941574701</v>
      </c>
      <c r="L80" s="172">
        <v>-326724.63331330899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3.5801349440589501E-8</v>
      </c>
      <c r="H81" s="172">
        <v>-26323.798907160399</v>
      </c>
      <c r="I81" s="172">
        <v>-97920.644883183602</v>
      </c>
      <c r="J81" s="172">
        <v>-956339.19176056096</v>
      </c>
      <c r="K81" s="172">
        <v>1556816.55124857</v>
      </c>
      <c r="L81" s="172">
        <v>-418857.92948823998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7.6531250670086606E-8</v>
      </c>
      <c r="H82" s="172">
        <v>-26323.7989069912</v>
      </c>
      <c r="I82" s="172">
        <v>-97920.644882876499</v>
      </c>
      <c r="J82" s="172">
        <v>-772885.36046669004</v>
      </c>
      <c r="K82" s="172">
        <v>1214094.2941539499</v>
      </c>
      <c r="L82" s="172">
        <v>-326724.63331345801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7.2706825449131403E-8</v>
      </c>
      <c r="H83" s="172">
        <v>-26323.798906993801</v>
      </c>
      <c r="I83" s="172">
        <v>-97920.644882885201</v>
      </c>
      <c r="J83" s="172">
        <v>-772885.36046688003</v>
      </c>
      <c r="K83" s="172">
        <v>1556816.55124401</v>
      </c>
      <c r="L83" s="172">
        <v>-418857.92948783899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3087936.7021358102</v>
      </c>
      <c r="H84" s="172">
        <v>2.37719063989061E-7</v>
      </c>
      <c r="I84" s="172">
        <v>-1.1029886604063701E-7</v>
      </c>
      <c r="J84" s="172">
        <v>-2.9413296260827299E-6</v>
      </c>
      <c r="K84" s="172">
        <v>27401219.9791766</v>
      </c>
      <c r="L84" s="172">
        <v>-32685737.680111699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3162205.5935336198</v>
      </c>
      <c r="H85" s="172">
        <v>2.3769518975313999E-7</v>
      </c>
      <c r="I85" s="172">
        <v>-1.09192058062035E-7</v>
      </c>
      <c r="J85" s="172">
        <v>-2.9126890694897199E-6</v>
      </c>
      <c r="K85" s="172">
        <v>27910417.1773469</v>
      </c>
      <c r="L85" s="172">
        <v>-33749427.492367603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-4.90002321384964E-7</v>
      </c>
      <c r="H86" s="172">
        <v>-106638.224134324</v>
      </c>
      <c r="I86" s="172">
        <v>-24589.1587299116</v>
      </c>
      <c r="J86" s="172">
        <v>717229.82999413903</v>
      </c>
      <c r="K86" s="172">
        <v>367564.67828715098</v>
      </c>
      <c r="L86" s="172">
        <v>-1560239.0272254299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-4.8770343141768503E-7</v>
      </c>
      <c r="H87" s="172">
        <v>-106638.22413431101</v>
      </c>
      <c r="I87" s="172">
        <v>-24589.158729912298</v>
      </c>
      <c r="J87" s="172">
        <v>717229.82999409304</v>
      </c>
      <c r="K87" s="172">
        <v>453626.73384184798</v>
      </c>
      <c r="L87" s="172">
        <v>-1933472.8116955999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-5.1796382649626996E-7</v>
      </c>
      <c r="H88" s="172">
        <v>-106638.22413451099</v>
      </c>
      <c r="I88" s="172">
        <v>-24589.158730150099</v>
      </c>
      <c r="J88" s="172">
        <v>571366.65990614402</v>
      </c>
      <c r="K88" s="172">
        <v>367564.67829048698</v>
      </c>
      <c r="L88" s="172">
        <v>-1560239.02722572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-5.1640245146700202E-7</v>
      </c>
      <c r="H89" s="172">
        <v>-106638.224134497</v>
      </c>
      <c r="I89" s="172">
        <v>-24589.158730149898</v>
      </c>
      <c r="J89" s="172">
        <v>571366.65990612004</v>
      </c>
      <c r="K89" s="172">
        <v>453626.73384601501</v>
      </c>
      <c r="L89" s="172">
        <v>-1933472.8116965201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3.7982317735441003E-8</v>
      </c>
      <c r="H90" s="172">
        <v>-28336.192957989198</v>
      </c>
      <c r="I90" s="172">
        <v>-105552.010556811</v>
      </c>
      <c r="J90" s="172">
        <v>-1030931.41963902</v>
      </c>
      <c r="K90" s="172">
        <v>1556816.5512485399</v>
      </c>
      <c r="L90" s="172">
        <v>-418857.92948828998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3.3584910852368901E-8</v>
      </c>
      <c r="H91" s="172">
        <v>-28336.1929579877</v>
      </c>
      <c r="I91" s="172">
        <v>-105552.01055680899</v>
      </c>
      <c r="J91" s="172">
        <v>-1030931.4196389701</v>
      </c>
      <c r="K91" s="172">
        <v>1926248.5881973701</v>
      </c>
      <c r="L91" s="172">
        <v>-518034.604841149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7.5061507232021501E-8</v>
      </c>
      <c r="H92" s="172">
        <v>-28336.192957735599</v>
      </c>
      <c r="I92" s="172">
        <v>-105552.01055648801</v>
      </c>
      <c r="J92" s="172">
        <v>-833036.16927574202</v>
      </c>
      <c r="K92" s="172">
        <v>1556816.5512439799</v>
      </c>
      <c r="L92" s="172">
        <v>-418857.92948789801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7.1507201937492897E-8</v>
      </c>
      <c r="H93" s="172">
        <v>-28336.192957736399</v>
      </c>
      <c r="I93" s="172">
        <v>-105552.010556486</v>
      </c>
      <c r="J93" s="172">
        <v>-833036.16927569604</v>
      </c>
      <c r="K93" s="172">
        <v>1926248.5881916799</v>
      </c>
      <c r="L93" s="172">
        <v>-518034.604839893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3537164.0097835502</v>
      </c>
      <c r="H94" s="172">
        <v>2.5713572426866401E-7</v>
      </c>
      <c r="I94" s="172">
        <v>-1.0505533509785899E-7</v>
      </c>
      <c r="J94" s="172">
        <v>-3.3114609436779599E-6</v>
      </c>
      <c r="K94" s="172">
        <v>31375427.8859405</v>
      </c>
      <c r="L94" s="172">
        <v>-37466528.921494097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3611432.9011813598</v>
      </c>
      <c r="H95" s="172">
        <v>2.5656083835201603E-7</v>
      </c>
      <c r="I95" s="172">
        <v>-1.0331501698601599E-7</v>
      </c>
      <c r="J95" s="172">
        <v>-3.27057568938471E-6</v>
      </c>
      <c r="K95" s="172">
        <v>31884625.0841108</v>
      </c>
      <c r="L95" s="172">
        <v>-38530218.733749896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-6.0050183492421596E-7</v>
      </c>
      <c r="H96" s="172">
        <v>-112435.49393418799</v>
      </c>
      <c r="I96" s="172">
        <v>-25890.444230725501</v>
      </c>
      <c r="J96" s="172">
        <v>757072.42064092599</v>
      </c>
      <c r="K96" s="172">
        <v>453626.73384153802</v>
      </c>
      <c r="L96" s="172">
        <v>-1933472.8116933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-5.99831224690206E-7</v>
      </c>
      <c r="H97" s="172">
        <v>-112435.493934179</v>
      </c>
      <c r="I97" s="172">
        <v>-25890.4442307264</v>
      </c>
      <c r="J97" s="172">
        <v>757072.420640892</v>
      </c>
      <c r="K97" s="172">
        <v>544243.28864907799</v>
      </c>
      <c r="L97" s="172">
        <v>-2326997.0404629498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-6.3746415435161897E-7</v>
      </c>
      <c r="H98" s="172">
        <v>-112435.49393436201</v>
      </c>
      <c r="I98" s="172">
        <v>-25890.444230973098</v>
      </c>
      <c r="J98" s="172">
        <v>603172.59138914698</v>
      </c>
      <c r="K98" s="172">
        <v>453626.73384568299</v>
      </c>
      <c r="L98" s="172">
        <v>-1933472.81169405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-6.3648957393525105E-7</v>
      </c>
      <c r="H99" s="172">
        <v>-112435.493934353</v>
      </c>
      <c r="I99" s="172">
        <v>-25890.444230975099</v>
      </c>
      <c r="J99" s="172">
        <v>603172.59138908505</v>
      </c>
      <c r="K99" s="172">
        <v>544243.28865409305</v>
      </c>
      <c r="L99" s="172">
        <v>-2326997.0404643202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1.5024852473288799E-9</v>
      </c>
      <c r="H100" s="172">
        <v>-29923.481862935001</v>
      </c>
      <c r="I100" s="172">
        <v>-111516.10511615001</v>
      </c>
      <c r="J100" s="172">
        <v>-1089086.76055101</v>
      </c>
      <c r="K100" s="172">
        <v>1926248.5881972299</v>
      </c>
      <c r="L100" s="172">
        <v>-518034.60484050302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2.0099832909181701E-10</v>
      </c>
      <c r="H101" s="172">
        <v>-29923.481862933499</v>
      </c>
      <c r="I101" s="172">
        <v>-111516.105116153</v>
      </c>
      <c r="J101" s="172">
        <v>-1089086.7605510999</v>
      </c>
      <c r="K101" s="172">
        <v>2316554.95610375</v>
      </c>
      <c r="L101" s="172">
        <v>-622766.79136074102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5.1521965360734599E-8</v>
      </c>
      <c r="H102" s="172">
        <v>-29923.481862696801</v>
      </c>
      <c r="I102" s="172">
        <v>-111516.10511581101</v>
      </c>
      <c r="J102" s="172">
        <v>-879933.214384199</v>
      </c>
      <c r="K102" s="172">
        <v>1926248.58819158</v>
      </c>
      <c r="L102" s="172">
        <v>-518034.604839493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5.0239577831234803E-8</v>
      </c>
      <c r="H103" s="172">
        <v>-29923.481862696699</v>
      </c>
      <c r="I103" s="172">
        <v>-111516.105115814</v>
      </c>
      <c r="J103" s="172">
        <v>-879933.21438427595</v>
      </c>
      <c r="K103" s="172">
        <v>2316554.9560969202</v>
      </c>
      <c r="L103" s="172">
        <v>-622766.791358902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3986391.3174312101</v>
      </c>
      <c r="H104" s="172">
        <v>3.2031130103860098E-7</v>
      </c>
      <c r="I104" s="172">
        <v>-1.0938213534927901E-7</v>
      </c>
      <c r="J104" s="172">
        <v>-3.6222781432115901E-6</v>
      </c>
      <c r="K104" s="172">
        <v>35349635.792704202</v>
      </c>
      <c r="L104" s="172">
        <v>-42247320.1628749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4060660.2088290099</v>
      </c>
      <c r="H105" s="172">
        <v>3.2014736461860599E-7</v>
      </c>
      <c r="I105" s="172">
        <v>-1.0882843071158299E-7</v>
      </c>
      <c r="J105" s="172">
        <v>-3.6085011743125502E-6</v>
      </c>
      <c r="K105" s="172">
        <v>35858832.990874499</v>
      </c>
      <c r="L105" s="172">
        <v>-43311009.975130402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-6.1950004237587595E-7</v>
      </c>
      <c r="H106" s="172">
        <v>-115719.62371001601</v>
      </c>
      <c r="I106" s="172">
        <v>-26623.023564262701</v>
      </c>
      <c r="J106" s="172">
        <v>779512.72989053105</v>
      </c>
      <c r="K106" s="172">
        <v>544243.28864903399</v>
      </c>
      <c r="L106" s="172">
        <v>-2326997.0404625498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-6.2016158608457804E-7</v>
      </c>
      <c r="H107" s="172">
        <v>-115719.62371001299</v>
      </c>
      <c r="I107" s="172">
        <v>-26623.023564262501</v>
      </c>
      <c r="J107" s="172">
        <v>779512.72989053396</v>
      </c>
      <c r="K107" s="172">
        <v>650735.38290608104</v>
      </c>
      <c r="L107" s="172">
        <v>-2789875.5353025901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-6.5755375544540605E-7</v>
      </c>
      <c r="H108" s="172">
        <v>-115719.623710203</v>
      </c>
      <c r="I108" s="172">
        <v>-26623.023564513202</v>
      </c>
      <c r="J108" s="172">
        <v>621131.24446451897</v>
      </c>
      <c r="K108" s="172">
        <v>544243.28865404695</v>
      </c>
      <c r="L108" s="172">
        <v>-2326997.0404638899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-6.5819722294690998E-7</v>
      </c>
      <c r="H109" s="172">
        <v>-115719.62371020101</v>
      </c>
      <c r="I109" s="172">
        <v>-26623.023564513001</v>
      </c>
      <c r="J109" s="172">
        <v>621131.24446451897</v>
      </c>
      <c r="K109" s="172">
        <v>650735.38291209599</v>
      </c>
      <c r="L109" s="172">
        <v>-2789875.53530468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3.6516212276183102E-9</v>
      </c>
      <c r="H110" s="172">
        <v>-30847.084918774901</v>
      </c>
      <c r="I110" s="172">
        <v>-114893.24891593</v>
      </c>
      <c r="J110" s="172">
        <v>-1122027.9198817599</v>
      </c>
      <c r="K110" s="172">
        <v>2316554.95610373</v>
      </c>
      <c r="L110" s="172">
        <v>-622766.79136081797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2.4338078219443601E-9</v>
      </c>
      <c r="H111" s="172">
        <v>-30847.084918774101</v>
      </c>
      <c r="I111" s="172">
        <v>-114893.24891593</v>
      </c>
      <c r="J111" s="172">
        <v>-1122027.9198817599</v>
      </c>
      <c r="K111" s="172">
        <v>2776127.9517674502</v>
      </c>
      <c r="L111" s="172">
        <v>-746155.13103588705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5.5246346164494799E-8</v>
      </c>
      <c r="H112" s="172">
        <v>-30847.084918519999</v>
      </c>
      <c r="I112" s="172">
        <v>-114893.24891558901</v>
      </c>
      <c r="J112" s="172">
        <v>-906524.07440053101</v>
      </c>
      <c r="K112" s="172">
        <v>2316554.9560969099</v>
      </c>
      <c r="L112" s="172">
        <v>-622766.79135901202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5.4249539971351597E-8</v>
      </c>
      <c r="H113" s="172">
        <v>-30847.0849185197</v>
      </c>
      <c r="I113" s="172">
        <v>-114893.24891558901</v>
      </c>
      <c r="J113" s="172">
        <v>-906524.07440052601</v>
      </c>
      <c r="K113" s="172">
        <v>2776127.9517592499</v>
      </c>
      <c r="L113" s="172">
        <v>-746155.13103306701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4549371.5938289696</v>
      </c>
      <c r="H114" s="172">
        <v>3.4004801818809901E-7</v>
      </c>
      <c r="I114" s="172">
        <v>-1.10896834826235E-7</v>
      </c>
      <c r="J114" s="172">
        <v>-3.8033545024518402E-6</v>
      </c>
      <c r="K114" s="172">
        <v>40407596.453374498</v>
      </c>
      <c r="L114" s="172">
        <v>-48105443.660117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4631604.0094371503</v>
      </c>
      <c r="H115" s="172">
        <v>3.4072979815391601E-7</v>
      </c>
      <c r="I115" s="172">
        <v>-1.10666633190704E-7</v>
      </c>
      <c r="J115" s="172">
        <v>-3.7986515053489698E-6</v>
      </c>
      <c r="K115" s="172">
        <v>40984729.552807502</v>
      </c>
      <c r="L115" s="172">
        <v>-49261476.5785795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8</xdr:row>
                    <xdr:rowOff>0</xdr:rowOff>
                  </from>
                  <to>
                    <xdr:col>15</xdr:col>
                    <xdr:colOff>510540</xdr:colOff>
                    <xdr:row>48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323" workbookViewId="0">
      <selection activeCell="B469" sqref="B469:G489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2.28283669440171E-2</v>
      </c>
      <c r="F6" s="172">
        <v>2.22085171325242E-2</v>
      </c>
      <c r="G6" s="172">
        <v>1.02791045470502</v>
      </c>
    </row>
    <row r="7" spans="2:7" s="172" customFormat="1" hidden="1" x14ac:dyDescent="0.3">
      <c r="B7" s="172" t="s">
        <v>189</v>
      </c>
      <c r="C7" s="172" t="s">
        <v>79</v>
      </c>
      <c r="D7" s="172" t="s">
        <v>221</v>
      </c>
      <c r="E7" s="172">
        <v>5.7656237434118296E-3</v>
      </c>
      <c r="F7" s="172">
        <v>4.9908114790457201E-3</v>
      </c>
      <c r="G7" s="172">
        <v>1.15524775231828</v>
      </c>
    </row>
    <row r="8" spans="2:7" s="172" customFormat="1" x14ac:dyDescent="0.3">
      <c r="B8" s="172" t="s">
        <v>187</v>
      </c>
      <c r="C8" s="172" t="s">
        <v>79</v>
      </c>
      <c r="D8" s="172" t="s">
        <v>218</v>
      </c>
      <c r="E8" s="172">
        <v>2.6399113753276499E-2</v>
      </c>
      <c r="F8" s="172">
        <v>2.34829742138177E-2</v>
      </c>
      <c r="G8" s="172">
        <v>1.1241810135678201</v>
      </c>
    </row>
    <row r="9" spans="2:7" s="172" customFormat="1" hidden="1" x14ac:dyDescent="0.3">
      <c r="B9" s="172" t="s">
        <v>187</v>
      </c>
      <c r="C9" s="172" t="s">
        <v>79</v>
      </c>
      <c r="D9" s="172" t="s">
        <v>221</v>
      </c>
      <c r="E9" s="172">
        <v>1.11803413607115E-2</v>
      </c>
      <c r="F9" s="172">
        <v>7.4967966792898301E-3</v>
      </c>
      <c r="G9" s="172">
        <v>1.49134915071094</v>
      </c>
    </row>
    <row r="10" spans="2:7" s="172" customFormat="1" x14ac:dyDescent="0.3">
      <c r="B10" s="172" t="s">
        <v>185</v>
      </c>
      <c r="C10" s="172" t="s">
        <v>79</v>
      </c>
      <c r="D10" s="172" t="s">
        <v>218</v>
      </c>
      <c r="E10" s="172">
        <v>2.5528547946055399E-2</v>
      </c>
      <c r="F10" s="172">
        <v>2.2542112625210799E-2</v>
      </c>
      <c r="G10" s="172">
        <v>1.13248249489733</v>
      </c>
    </row>
    <row r="11" spans="2:7" s="172" customFormat="1" hidden="1" x14ac:dyDescent="0.3">
      <c r="B11" s="172" t="s">
        <v>185</v>
      </c>
      <c r="C11" s="172" t="s">
        <v>79</v>
      </c>
      <c r="D11" s="172" t="s">
        <v>221</v>
      </c>
      <c r="E11" s="172">
        <v>1.0915018134309101E-2</v>
      </c>
      <c r="F11" s="172">
        <v>7.1426787816633299E-3</v>
      </c>
      <c r="G11" s="172">
        <v>1.5281406973431499</v>
      </c>
    </row>
    <row r="12" spans="2:7" s="172" customFormat="1" x14ac:dyDescent="0.3">
      <c r="B12" s="172" t="s">
        <v>183</v>
      </c>
      <c r="C12" s="172" t="s">
        <v>79</v>
      </c>
      <c r="D12" s="172" t="s">
        <v>218</v>
      </c>
      <c r="E12" s="172">
        <v>2.4085678439143499E-2</v>
      </c>
      <c r="F12" s="172">
        <v>2.1118661906518701E-2</v>
      </c>
      <c r="G12" s="172">
        <v>1.1404926384899901</v>
      </c>
    </row>
    <row r="13" spans="2:7" s="172" customFormat="1" hidden="1" x14ac:dyDescent="0.3">
      <c r="B13" s="172" t="s">
        <v>183</v>
      </c>
      <c r="C13" s="172" t="s">
        <v>79</v>
      </c>
      <c r="D13" s="172" t="s">
        <v>221</v>
      </c>
      <c r="E13" s="172">
        <v>1.03951239719841E-2</v>
      </c>
      <c r="F13" s="172">
        <v>6.64731361498439E-3</v>
      </c>
      <c r="G13" s="172">
        <v>1.5638082651240399</v>
      </c>
    </row>
    <row r="14" spans="2:7" s="172" customFormat="1" x14ac:dyDescent="0.3">
      <c r="B14" s="172" t="s">
        <v>181</v>
      </c>
      <c r="C14" s="172" t="s">
        <v>79</v>
      </c>
      <c r="D14" s="172" t="s">
        <v>218</v>
      </c>
      <c r="E14" s="172">
        <v>2.2108624070903801E-2</v>
      </c>
      <c r="F14" s="172">
        <v>1.9259457382068999E-2</v>
      </c>
      <c r="G14" s="172">
        <v>1.1479359793120401</v>
      </c>
    </row>
    <row r="15" spans="2:7" hidden="1" x14ac:dyDescent="0.3">
      <c r="B15" s="172" t="s">
        <v>181</v>
      </c>
      <c r="C15" s="172" t="s">
        <v>79</v>
      </c>
      <c r="D15" s="172" t="s">
        <v>221</v>
      </c>
      <c r="E15" s="172">
        <v>9.6222960422882794E-3</v>
      </c>
      <c r="F15" s="172">
        <v>6.0233486458652896E-3</v>
      </c>
      <c r="G15" s="172">
        <v>1.5974994322956</v>
      </c>
    </row>
    <row r="16" spans="2:7" x14ac:dyDescent="0.3">
      <c r="B16" s="172" t="s">
        <v>179</v>
      </c>
      <c r="C16" s="172" t="s">
        <v>79</v>
      </c>
      <c r="D16" s="172" t="s">
        <v>218</v>
      </c>
      <c r="E16" s="172">
        <v>1.9675243984792399E-2</v>
      </c>
      <c r="F16" s="172">
        <v>1.7031469614226E-2</v>
      </c>
      <c r="G16" s="172">
        <v>1.15522878708941</v>
      </c>
    </row>
    <row r="17" spans="2:7" hidden="1" x14ac:dyDescent="0.3">
      <c r="B17" s="172" t="s">
        <v>179</v>
      </c>
      <c r="C17" s="172" t="s">
        <v>79</v>
      </c>
      <c r="D17" s="172" t="s">
        <v>221</v>
      </c>
      <c r="E17" s="172">
        <v>8.6308131064541608E-3</v>
      </c>
      <c r="F17" s="172">
        <v>5.2913086383702401E-3</v>
      </c>
      <c r="G17" s="172">
        <v>1.63113016010204</v>
      </c>
    </row>
    <row r="18" spans="2:7" x14ac:dyDescent="0.3">
      <c r="B18" s="172" t="s">
        <v>39</v>
      </c>
      <c r="C18" s="172" t="s">
        <v>79</v>
      </c>
      <c r="D18" s="172" t="s">
        <v>218</v>
      </c>
      <c r="E18" s="172">
        <v>1.6857692875099799E-2</v>
      </c>
      <c r="F18" s="172">
        <v>1.44993012711538E-2</v>
      </c>
      <c r="G18" s="172">
        <v>1.1626555349007099</v>
      </c>
    </row>
    <row r="19" spans="2:7" hidden="1" x14ac:dyDescent="0.3">
      <c r="B19" s="172" t="s">
        <v>39</v>
      </c>
      <c r="C19" s="172" t="s">
        <v>79</v>
      </c>
      <c r="D19" s="172" t="s">
        <v>221</v>
      </c>
      <c r="E19" s="172">
        <v>7.4495240704356598E-3</v>
      </c>
      <c r="F19" s="172">
        <v>4.4705030970301502E-3</v>
      </c>
      <c r="G19" s="172">
        <v>1.66637264503508</v>
      </c>
    </row>
    <row r="20" spans="2:7" x14ac:dyDescent="0.3">
      <c r="B20" s="172" t="s">
        <v>26</v>
      </c>
      <c r="C20" s="172" t="s">
        <v>79</v>
      </c>
      <c r="D20" s="172" t="s">
        <v>218</v>
      </c>
      <c r="E20" s="172">
        <v>1.37236088358304E-2</v>
      </c>
      <c r="F20" s="172">
        <v>1.1736039985723401E-2</v>
      </c>
      <c r="G20" s="172">
        <v>1.1693560053071499</v>
      </c>
    </row>
    <row r="21" spans="2:7" hidden="1" x14ac:dyDescent="0.3">
      <c r="B21" s="172" t="s">
        <v>26</v>
      </c>
      <c r="C21" s="172" t="s">
        <v>79</v>
      </c>
      <c r="D21" s="172" t="s">
        <v>221</v>
      </c>
      <c r="E21" s="172">
        <v>6.0907835255217197E-3</v>
      </c>
      <c r="F21" s="172">
        <v>3.58017024117596E-3</v>
      </c>
      <c r="G21" s="172">
        <v>1.70125527983862</v>
      </c>
    </row>
    <row r="22" spans="2:7" x14ac:dyDescent="0.3">
      <c r="B22" s="172" t="s">
        <v>25</v>
      </c>
      <c r="C22" s="172" t="s">
        <v>79</v>
      </c>
      <c r="D22" s="172" t="s">
        <v>218</v>
      </c>
      <c r="E22" s="172">
        <v>1.03350345715618E-2</v>
      </c>
      <c r="F22" s="172">
        <v>8.8047316404746504E-3</v>
      </c>
      <c r="G22" s="172">
        <v>1.17380460797379</v>
      </c>
    </row>
    <row r="23" spans="2:7" hidden="1" x14ac:dyDescent="0.3">
      <c r="B23" s="172" t="s">
        <v>25</v>
      </c>
      <c r="C23" s="172" t="s">
        <v>79</v>
      </c>
      <c r="D23" s="172" t="s">
        <v>221</v>
      </c>
      <c r="E23" s="172">
        <v>4.5741412585777099E-3</v>
      </c>
      <c r="F23" s="172">
        <v>2.6411270298360499E-3</v>
      </c>
      <c r="G23" s="172">
        <v>1.73188991173274</v>
      </c>
    </row>
    <row r="24" spans="2:7" x14ac:dyDescent="0.3">
      <c r="B24" s="172" t="s">
        <v>24</v>
      </c>
      <c r="C24" s="172" t="s">
        <v>79</v>
      </c>
      <c r="D24" s="172" t="s">
        <v>218</v>
      </c>
      <c r="E24" s="172">
        <v>6.7603597407013697E-3</v>
      </c>
      <c r="F24" s="172">
        <v>5.7585115402487702E-3</v>
      </c>
      <c r="G24" s="172">
        <v>1.17397693717382</v>
      </c>
    </row>
    <row r="25" spans="2:7" hidden="1" x14ac:dyDescent="0.3">
      <c r="B25" s="172" t="s">
        <v>24</v>
      </c>
      <c r="C25" s="172" t="s">
        <v>79</v>
      </c>
      <c r="D25" s="172" t="s">
        <v>221</v>
      </c>
      <c r="E25" s="172">
        <v>2.9427173351514401E-3</v>
      </c>
      <c r="F25" s="172">
        <v>1.67722487142183E-3</v>
      </c>
      <c r="G25" s="172">
        <v>1.75451567961594</v>
      </c>
    </row>
    <row r="26" spans="2:7" x14ac:dyDescent="0.3">
      <c r="B26" s="172" t="s">
        <v>22</v>
      </c>
      <c r="C26" s="172" t="s">
        <v>79</v>
      </c>
      <c r="D26" s="172" t="s">
        <v>218</v>
      </c>
      <c r="E26" s="172">
        <v>3.1322723132893898E-3</v>
      </c>
      <c r="F26" s="172">
        <v>2.6978264176782999E-3</v>
      </c>
      <c r="G26" s="172">
        <v>1.1610355257715099</v>
      </c>
    </row>
    <row r="27" spans="2:7" hidden="1" x14ac:dyDescent="0.3">
      <c r="B27" s="172" t="s">
        <v>22</v>
      </c>
      <c r="C27" s="172" t="s">
        <v>79</v>
      </c>
      <c r="D27" s="172" t="s">
        <v>221</v>
      </c>
      <c r="E27" s="172">
        <v>1.28915875962696E-3</v>
      </c>
      <c r="F27" s="172">
        <v>7.4038499674978803E-4</v>
      </c>
      <c r="G27" s="172">
        <v>1.7412005446979999</v>
      </c>
    </row>
    <row r="28" spans="2:7" hidden="1" x14ac:dyDescent="0.3">
      <c r="B28" s="172" t="s">
        <v>189</v>
      </c>
      <c r="C28" s="172" t="s">
        <v>80</v>
      </c>
      <c r="D28" s="172" t="s">
        <v>218</v>
      </c>
      <c r="E28" s="172">
        <v>2.40037306457619E-2</v>
      </c>
      <c r="F28" s="172">
        <v>2.3963356377019799E-2</v>
      </c>
      <c r="G28" s="172">
        <v>1.00168483363127</v>
      </c>
    </row>
    <row r="29" spans="2:7" hidden="1" x14ac:dyDescent="0.3">
      <c r="B29" s="172" t="s">
        <v>189</v>
      </c>
      <c r="C29" s="172" t="s">
        <v>80</v>
      </c>
      <c r="D29" s="172" t="s">
        <v>221</v>
      </c>
      <c r="E29" s="172">
        <v>7.8109989016943004E-3</v>
      </c>
      <c r="F29" s="172">
        <v>7.7605310657666397E-3</v>
      </c>
      <c r="G29" s="172">
        <v>1.0065031420530299</v>
      </c>
    </row>
    <row r="30" spans="2:7" hidden="1" x14ac:dyDescent="0.3">
      <c r="B30" s="172" t="s">
        <v>187</v>
      </c>
      <c r="C30" s="172" t="s">
        <v>80</v>
      </c>
      <c r="D30" s="172" t="s">
        <v>218</v>
      </c>
      <c r="E30" s="172">
        <v>2.3269864903158001E-2</v>
      </c>
      <c r="F30" s="172">
        <v>2.3049676153291999E-2</v>
      </c>
      <c r="G30" s="172">
        <v>1.00955279147532</v>
      </c>
    </row>
    <row r="31" spans="2:7" hidden="1" x14ac:dyDescent="0.3">
      <c r="B31" s="172" t="s">
        <v>187</v>
      </c>
      <c r="C31" s="172" t="s">
        <v>80</v>
      </c>
      <c r="D31" s="172" t="s">
        <v>221</v>
      </c>
      <c r="E31" s="172">
        <v>7.7285238434445496E-3</v>
      </c>
      <c r="F31" s="172">
        <v>7.4503906857190799E-3</v>
      </c>
      <c r="G31" s="172">
        <v>1.03733135206703</v>
      </c>
    </row>
    <row r="32" spans="2:7" hidden="1" x14ac:dyDescent="0.3">
      <c r="B32" s="172" t="s">
        <v>185</v>
      </c>
      <c r="C32" s="172" t="s">
        <v>80</v>
      </c>
      <c r="D32" s="172" t="s">
        <v>218</v>
      </c>
      <c r="E32" s="172">
        <v>2.25073034412667E-2</v>
      </c>
      <c r="F32" s="172">
        <v>2.2113078377506298E-2</v>
      </c>
      <c r="G32" s="172">
        <v>1.0178276880780801</v>
      </c>
    </row>
    <row r="33" spans="2:7" hidden="1" x14ac:dyDescent="0.3">
      <c r="B33" s="172" t="s">
        <v>185</v>
      </c>
      <c r="C33" s="172" t="s">
        <v>80</v>
      </c>
      <c r="D33" s="172" t="s">
        <v>221</v>
      </c>
      <c r="E33" s="172">
        <v>7.5643284510098496E-3</v>
      </c>
      <c r="F33" s="172">
        <v>7.06635994941776E-3</v>
      </c>
      <c r="G33" s="172">
        <v>1.07047029944082</v>
      </c>
    </row>
    <row r="34" spans="2:7" hidden="1" x14ac:dyDescent="0.3">
      <c r="B34" s="172" t="s">
        <v>183</v>
      </c>
      <c r="C34" s="172" t="s">
        <v>80</v>
      </c>
      <c r="D34" s="172" t="s">
        <v>218</v>
      </c>
      <c r="E34" s="172">
        <v>2.1237993570816599E-2</v>
      </c>
      <c r="F34" s="172">
        <v>2.0703822987484799E-2</v>
      </c>
      <c r="G34" s="172">
        <v>1.02580057720039</v>
      </c>
    </row>
    <row r="35" spans="2:7" hidden="1" x14ac:dyDescent="0.3">
      <c r="B35" s="172" t="s">
        <v>183</v>
      </c>
      <c r="C35" s="172" t="s">
        <v>80</v>
      </c>
      <c r="D35" s="172" t="s">
        <v>221</v>
      </c>
      <c r="E35" s="172">
        <v>7.2208468957943098E-3</v>
      </c>
      <c r="F35" s="172">
        <v>6.5461051063225601E-3</v>
      </c>
      <c r="G35" s="172">
        <v>1.1030753063864001</v>
      </c>
    </row>
    <row r="36" spans="2:7" hidden="1" x14ac:dyDescent="0.3">
      <c r="B36" s="172" t="s">
        <v>181</v>
      </c>
      <c r="C36" s="172" t="s">
        <v>80</v>
      </c>
      <c r="D36" s="172" t="s">
        <v>218</v>
      </c>
      <c r="E36" s="172">
        <v>1.9496096144599899E-2</v>
      </c>
      <c r="F36" s="172">
        <v>1.8869871558167901E-2</v>
      </c>
      <c r="G36" s="172">
        <v>1.03318647848247</v>
      </c>
    </row>
    <row r="37" spans="2:7" hidden="1" x14ac:dyDescent="0.3">
      <c r="B37" s="172" t="s">
        <v>181</v>
      </c>
      <c r="C37" s="172" t="s">
        <v>80</v>
      </c>
      <c r="D37" s="172" t="s">
        <v>221</v>
      </c>
      <c r="E37" s="172">
        <v>6.6965394502843303E-3</v>
      </c>
      <c r="F37" s="172">
        <v>5.9055189200543897E-3</v>
      </c>
      <c r="G37" s="172">
        <v>1.1339459818753199</v>
      </c>
    </row>
    <row r="38" spans="2:7" hidden="1" x14ac:dyDescent="0.3">
      <c r="B38" s="172" t="s">
        <v>179</v>
      </c>
      <c r="C38" s="172" t="s">
        <v>80</v>
      </c>
      <c r="D38" s="172" t="s">
        <v>218</v>
      </c>
      <c r="E38" s="172">
        <v>1.7350926051536202E-2</v>
      </c>
      <c r="F38" s="172">
        <v>1.6677014162665899E-2</v>
      </c>
      <c r="G38" s="172">
        <v>1.04040962502622</v>
      </c>
    </row>
    <row r="39" spans="2:7" hidden="1" x14ac:dyDescent="0.3">
      <c r="B39" s="172" t="s">
        <v>179</v>
      </c>
      <c r="C39" s="172" t="s">
        <v>80</v>
      </c>
      <c r="D39" s="172" t="s">
        <v>221</v>
      </c>
      <c r="E39" s="172">
        <v>6.0161934352465397E-3</v>
      </c>
      <c r="F39" s="172">
        <v>5.1649363124630096E-3</v>
      </c>
      <c r="G39" s="172">
        <v>1.16481464073999</v>
      </c>
    </row>
    <row r="40" spans="2:7" hidden="1" x14ac:dyDescent="0.3">
      <c r="B40" s="172" t="s">
        <v>39</v>
      </c>
      <c r="C40" s="172" t="s">
        <v>80</v>
      </c>
      <c r="D40" s="172" t="s">
        <v>218</v>
      </c>
      <c r="E40" s="172">
        <v>1.48663794695856E-2</v>
      </c>
      <c r="F40" s="172">
        <v>1.41888160464989E-2</v>
      </c>
      <c r="G40" s="172">
        <v>1.0477533446671099</v>
      </c>
    </row>
    <row r="41" spans="2:7" hidden="1" x14ac:dyDescent="0.3">
      <c r="B41" s="172" t="s">
        <v>39</v>
      </c>
      <c r="C41" s="172" t="s">
        <v>80</v>
      </c>
      <c r="D41" s="172" t="s">
        <v>221</v>
      </c>
      <c r="E41" s="172">
        <v>5.19959483848939E-3</v>
      </c>
      <c r="F41" s="172">
        <v>4.3437252514325004E-3</v>
      </c>
      <c r="G41" s="172">
        <v>1.19703584769194</v>
      </c>
    </row>
    <row r="42" spans="2:7" hidden="1" x14ac:dyDescent="0.3">
      <c r="B42" s="172" t="s">
        <v>26</v>
      </c>
      <c r="C42" s="172" t="s">
        <v>80</v>
      </c>
      <c r="D42" s="172" t="s">
        <v>218</v>
      </c>
      <c r="E42" s="172">
        <v>1.21017871035157E-2</v>
      </c>
      <c r="F42" s="172">
        <v>1.14784820350834E-2</v>
      </c>
      <c r="G42" s="172">
        <v>1.05430204677998</v>
      </c>
    </row>
    <row r="43" spans="2:7" hidden="1" x14ac:dyDescent="0.3">
      <c r="B43" s="172" t="s">
        <v>26</v>
      </c>
      <c r="C43" s="172" t="s">
        <v>80</v>
      </c>
      <c r="D43" s="172" t="s">
        <v>221</v>
      </c>
      <c r="E43" s="172">
        <v>4.2499036596093196E-3</v>
      </c>
      <c r="F43" s="172">
        <v>3.46257094158961E-3</v>
      </c>
      <c r="G43" s="172">
        <v>1.22738385185496</v>
      </c>
    </row>
    <row r="44" spans="2:7" hidden="1" x14ac:dyDescent="0.3">
      <c r="B44" s="172" t="s">
        <v>25</v>
      </c>
      <c r="C44" s="172" t="s">
        <v>80</v>
      </c>
      <c r="D44" s="172" t="s">
        <v>218</v>
      </c>
      <c r="E44" s="172">
        <v>9.1118138726994993E-3</v>
      </c>
      <c r="F44" s="172">
        <v>8.6092556481042106E-3</v>
      </c>
      <c r="G44" s="172">
        <v>1.0583741783421099</v>
      </c>
    </row>
    <row r="45" spans="2:7" hidden="1" x14ac:dyDescent="0.3">
      <c r="B45" s="172" t="s">
        <v>25</v>
      </c>
      <c r="C45" s="172" t="s">
        <v>80</v>
      </c>
      <c r="D45" s="172" t="s">
        <v>221</v>
      </c>
      <c r="E45" s="172">
        <v>3.1785309393335599E-3</v>
      </c>
      <c r="F45" s="172">
        <v>2.5437205503711E-3</v>
      </c>
      <c r="G45" s="172">
        <v>1.24955979888194</v>
      </c>
    </row>
    <row r="46" spans="2:7" hidden="1" x14ac:dyDescent="0.3">
      <c r="B46" s="172" t="s">
        <v>24</v>
      </c>
      <c r="C46" s="172" t="s">
        <v>80</v>
      </c>
      <c r="D46" s="172" t="s">
        <v>218</v>
      </c>
      <c r="E46" s="172">
        <v>5.9569596340828803E-3</v>
      </c>
      <c r="F46" s="172">
        <v>5.6322767697037299E-3</v>
      </c>
      <c r="G46" s="172">
        <v>1.0576468234170699</v>
      </c>
    </row>
    <row r="47" spans="2:7" hidden="1" x14ac:dyDescent="0.3">
      <c r="B47" s="172" t="s">
        <v>24</v>
      </c>
      <c r="C47" s="172" t="s">
        <v>80</v>
      </c>
      <c r="D47" s="172" t="s">
        <v>221</v>
      </c>
      <c r="E47" s="172">
        <v>2.0209530954736999E-3</v>
      </c>
      <c r="F47" s="172">
        <v>1.6108273720474001E-3</v>
      </c>
      <c r="G47" s="172">
        <v>1.2546056334422799</v>
      </c>
    </row>
    <row r="48" spans="2:7" hidden="1" x14ac:dyDescent="0.3">
      <c r="B48" s="172" t="s">
        <v>22</v>
      </c>
      <c r="C48" s="172" t="s">
        <v>80</v>
      </c>
      <c r="D48" s="172" t="s">
        <v>218</v>
      </c>
      <c r="E48" s="172">
        <v>2.7543039032016901E-3</v>
      </c>
      <c r="F48" s="172">
        <v>2.64370703120906E-3</v>
      </c>
      <c r="G48" s="172">
        <v>1.0418340121227601</v>
      </c>
    </row>
    <row r="49" spans="2:7" hidden="1" x14ac:dyDescent="0.3">
      <c r="B49" s="172" t="s">
        <v>22</v>
      </c>
      <c r="C49" s="172" t="s">
        <v>80</v>
      </c>
      <c r="D49" s="172" t="s">
        <v>221</v>
      </c>
      <c r="E49" s="172">
        <v>8.5292829535253299E-4</v>
      </c>
      <c r="F49" s="172">
        <v>7.1322698336183702E-4</v>
      </c>
      <c r="G49" s="172">
        <v>1.1958721630696101</v>
      </c>
    </row>
    <row r="50" spans="2:7" hidden="1" x14ac:dyDescent="0.3">
      <c r="B50" s="172" t="s">
        <v>189</v>
      </c>
      <c r="C50" s="172" t="s">
        <v>81</v>
      </c>
      <c r="D50" s="172" t="s">
        <v>218</v>
      </c>
      <c r="E50" s="172">
        <v>6.8500470789404199E-3</v>
      </c>
      <c r="F50" s="172">
        <v>6.8497758623290803E-3</v>
      </c>
      <c r="G50" s="172">
        <v>1.00003959496147</v>
      </c>
    </row>
    <row r="51" spans="2:7" hidden="1" x14ac:dyDescent="0.3">
      <c r="B51" s="172" t="s">
        <v>189</v>
      </c>
      <c r="C51" s="172" t="s">
        <v>81</v>
      </c>
      <c r="D51" s="172" t="s">
        <v>221</v>
      </c>
      <c r="E51" s="172">
        <v>3.0362680361455799E-2</v>
      </c>
      <c r="F51" s="172">
        <v>3.0362341340691601E-2</v>
      </c>
      <c r="G51" s="172">
        <v>1.00001116583074</v>
      </c>
    </row>
    <row r="52" spans="2:7" hidden="1" x14ac:dyDescent="0.3">
      <c r="B52" s="172" t="s">
        <v>187</v>
      </c>
      <c r="C52" s="172" t="s">
        <v>81</v>
      </c>
      <c r="D52" s="172" t="s">
        <v>218</v>
      </c>
      <c r="E52" s="172">
        <v>7.13465271145721E-3</v>
      </c>
      <c r="F52" s="172">
        <v>6.7461343251900502E-3</v>
      </c>
      <c r="G52" s="172">
        <v>1.05759126153424</v>
      </c>
    </row>
    <row r="53" spans="2:7" hidden="1" x14ac:dyDescent="0.3">
      <c r="B53" s="172" t="s">
        <v>187</v>
      </c>
      <c r="C53" s="172" t="s">
        <v>81</v>
      </c>
      <c r="D53" s="172" t="s">
        <v>221</v>
      </c>
      <c r="E53" s="172">
        <v>2.97690128118661E-2</v>
      </c>
      <c r="F53" s="172">
        <v>2.9278252745002301E-2</v>
      </c>
      <c r="G53" s="172">
        <v>1.01676193149701</v>
      </c>
    </row>
    <row r="54" spans="2:7" hidden="1" x14ac:dyDescent="0.3">
      <c r="B54" s="172" t="s">
        <v>185</v>
      </c>
      <c r="C54" s="172" t="s">
        <v>81</v>
      </c>
      <c r="D54" s="172" t="s">
        <v>218</v>
      </c>
      <c r="E54" s="172">
        <v>7.1203652164162998E-3</v>
      </c>
      <c r="F54" s="172">
        <v>6.4735584055757803E-3</v>
      </c>
      <c r="G54" s="172">
        <v>1.09991518888335</v>
      </c>
    </row>
    <row r="55" spans="2:7" hidden="1" x14ac:dyDescent="0.3">
      <c r="B55" s="172" t="s">
        <v>185</v>
      </c>
      <c r="C55" s="172" t="s">
        <v>81</v>
      </c>
      <c r="D55" s="172" t="s">
        <v>221</v>
      </c>
      <c r="E55" s="172">
        <v>2.8772542959535099E-2</v>
      </c>
      <c r="F55" s="172">
        <v>2.7955523830052301E-2</v>
      </c>
      <c r="G55" s="172">
        <v>1.02922567770325</v>
      </c>
    </row>
    <row r="56" spans="2:7" hidden="1" x14ac:dyDescent="0.3">
      <c r="B56" s="172" t="s">
        <v>183</v>
      </c>
      <c r="C56" s="172" t="s">
        <v>81</v>
      </c>
      <c r="D56" s="172" t="s">
        <v>218</v>
      </c>
      <c r="E56" s="172">
        <v>6.9134257571668604E-3</v>
      </c>
      <c r="F56" s="172">
        <v>6.0659186027473798E-3</v>
      </c>
      <c r="G56" s="172">
        <v>1.1397162095178199</v>
      </c>
    </row>
    <row r="57" spans="2:7" hidden="1" x14ac:dyDescent="0.3">
      <c r="B57" s="172" t="s">
        <v>183</v>
      </c>
      <c r="C57" s="172" t="s">
        <v>81</v>
      </c>
      <c r="D57" s="172" t="s">
        <v>221</v>
      </c>
      <c r="E57" s="172">
        <v>2.7123418990232601E-2</v>
      </c>
      <c r="F57" s="172">
        <v>2.6052883637281699E-2</v>
      </c>
      <c r="G57" s="172">
        <v>1.04109085841918</v>
      </c>
    </row>
    <row r="58" spans="2:7" hidden="1" x14ac:dyDescent="0.3">
      <c r="B58" s="172" t="s">
        <v>181</v>
      </c>
      <c r="C58" s="172" t="s">
        <v>81</v>
      </c>
      <c r="D58" s="172" t="s">
        <v>218</v>
      </c>
      <c r="E58" s="172">
        <v>6.5093632537425701E-3</v>
      </c>
      <c r="F58" s="172">
        <v>5.5343599658156497E-3</v>
      </c>
      <c r="G58" s="172">
        <v>1.1761727270993001</v>
      </c>
    </row>
    <row r="59" spans="2:7" hidden="1" x14ac:dyDescent="0.3">
      <c r="B59" s="172" t="s">
        <v>181</v>
      </c>
      <c r="C59" s="172" t="s">
        <v>81</v>
      </c>
      <c r="D59" s="172" t="s">
        <v>221</v>
      </c>
      <c r="E59" s="172">
        <v>2.4863777716491599E-2</v>
      </c>
      <c r="F59" s="172">
        <v>2.3632194615952298E-2</v>
      </c>
      <c r="G59" s="172">
        <v>1.0521146309326601</v>
      </c>
    </row>
    <row r="60" spans="2:7" hidden="1" x14ac:dyDescent="0.3">
      <c r="B60" s="172" t="s">
        <v>179</v>
      </c>
      <c r="C60" s="172" t="s">
        <v>81</v>
      </c>
      <c r="D60" s="172" t="s">
        <v>218</v>
      </c>
      <c r="E60" s="172">
        <v>5.9336157882434E-3</v>
      </c>
      <c r="F60" s="172">
        <v>4.8987178591556203E-3</v>
      </c>
      <c r="G60" s="172">
        <v>1.21125893730613</v>
      </c>
    </row>
    <row r="61" spans="2:7" hidden="1" x14ac:dyDescent="0.3">
      <c r="B61" s="172" t="s">
        <v>179</v>
      </c>
      <c r="C61" s="172" t="s">
        <v>81</v>
      </c>
      <c r="D61" s="172" t="s">
        <v>221</v>
      </c>
      <c r="E61" s="172">
        <v>2.2089211051187999E-2</v>
      </c>
      <c r="F61" s="172">
        <v>2.0781971561814001E-2</v>
      </c>
      <c r="G61" s="172">
        <v>1.06290257329464</v>
      </c>
    </row>
    <row r="62" spans="2:7" hidden="1" x14ac:dyDescent="0.3">
      <c r="B62" s="172" t="s">
        <v>39</v>
      </c>
      <c r="C62" s="172" t="s">
        <v>81</v>
      </c>
      <c r="D62" s="172" t="s">
        <v>218</v>
      </c>
      <c r="E62" s="172">
        <v>5.2048183152533997E-3</v>
      </c>
      <c r="F62" s="172">
        <v>4.1761276751411903E-3</v>
      </c>
      <c r="G62" s="172">
        <v>1.2463264344707601</v>
      </c>
    </row>
    <row r="63" spans="2:7" hidden="1" x14ac:dyDescent="0.3">
      <c r="B63" s="172" t="s">
        <v>39</v>
      </c>
      <c r="C63" s="172" t="s">
        <v>81</v>
      </c>
      <c r="D63" s="172" t="s">
        <v>221</v>
      </c>
      <c r="E63" s="172">
        <v>1.8883880863196801E-2</v>
      </c>
      <c r="F63" s="172">
        <v>1.7584482159897202E-2</v>
      </c>
      <c r="G63" s="172">
        <v>1.0738946243332099</v>
      </c>
    </row>
    <row r="64" spans="2:7" hidden="1" x14ac:dyDescent="0.3">
      <c r="B64" s="172" t="s">
        <v>26</v>
      </c>
      <c r="C64" s="172" t="s">
        <v>81</v>
      </c>
      <c r="D64" s="172" t="s">
        <v>218</v>
      </c>
      <c r="E64" s="172">
        <v>4.32685027541343E-3</v>
      </c>
      <c r="F64" s="172">
        <v>3.3818293212718202E-3</v>
      </c>
      <c r="G64" s="172">
        <v>1.2794407595313499</v>
      </c>
    </row>
    <row r="65" spans="2:7" hidden="1" x14ac:dyDescent="0.3">
      <c r="B65" s="172" t="s">
        <v>26</v>
      </c>
      <c r="C65" s="172" t="s">
        <v>81</v>
      </c>
      <c r="D65" s="172" t="s">
        <v>221</v>
      </c>
      <c r="E65" s="172">
        <v>1.5312909879838001E-2</v>
      </c>
      <c r="F65" s="172">
        <v>1.41191992009223E-2</v>
      </c>
      <c r="G65" s="172">
        <v>1.08454521123533</v>
      </c>
    </row>
    <row r="66" spans="2:7" hidden="1" x14ac:dyDescent="0.3">
      <c r="B66" s="172" t="s">
        <v>25</v>
      </c>
      <c r="C66" s="172" t="s">
        <v>81</v>
      </c>
      <c r="D66" s="172" t="s">
        <v>218</v>
      </c>
      <c r="E66" s="172">
        <v>3.3097763365056302E-3</v>
      </c>
      <c r="F66" s="172">
        <v>2.5374282189558998E-3</v>
      </c>
      <c r="G66" s="172">
        <v>1.30438225277858</v>
      </c>
    </row>
    <row r="67" spans="2:7" hidden="1" x14ac:dyDescent="0.3">
      <c r="B67" s="172" t="s">
        <v>25</v>
      </c>
      <c r="C67" s="172" t="s">
        <v>81</v>
      </c>
      <c r="D67" s="172" t="s">
        <v>221</v>
      </c>
      <c r="E67" s="172">
        <v>1.1434369267416099E-2</v>
      </c>
      <c r="F67" s="172">
        <v>1.0458771645248E-2</v>
      </c>
      <c r="G67" s="172">
        <v>1.09328032538232</v>
      </c>
    </row>
    <row r="68" spans="2:7" hidden="1" x14ac:dyDescent="0.3">
      <c r="B68" s="172" t="s">
        <v>24</v>
      </c>
      <c r="C68" s="172" t="s">
        <v>81</v>
      </c>
      <c r="D68" s="172" t="s">
        <v>218</v>
      </c>
      <c r="E68" s="172">
        <v>2.1758717367042E-3</v>
      </c>
      <c r="F68" s="172">
        <v>1.6586955947220799E-3</v>
      </c>
      <c r="G68" s="172">
        <v>1.3117968984952699</v>
      </c>
    </row>
    <row r="69" spans="2:7" hidden="1" x14ac:dyDescent="0.3">
      <c r="B69" s="172" t="s">
        <v>24</v>
      </c>
      <c r="C69" s="172" t="s">
        <v>81</v>
      </c>
      <c r="D69" s="172" t="s">
        <v>221</v>
      </c>
      <c r="E69" s="172">
        <v>7.33899833834339E-3</v>
      </c>
      <c r="F69" s="172">
        <v>6.6857232116291302E-3</v>
      </c>
      <c r="G69" s="172">
        <v>1.0977119611499799</v>
      </c>
    </row>
    <row r="70" spans="2:7" hidden="1" x14ac:dyDescent="0.3">
      <c r="B70" s="172" t="s">
        <v>22</v>
      </c>
      <c r="C70" s="172" t="s">
        <v>81</v>
      </c>
      <c r="D70" s="172" t="s">
        <v>218</v>
      </c>
      <c r="E70" s="172">
        <v>9.8523227396761005E-4</v>
      </c>
      <c r="F70" s="172">
        <v>7.77674509727662E-4</v>
      </c>
      <c r="G70" s="172">
        <v>1.2668954191550299</v>
      </c>
    </row>
    <row r="71" spans="2:7" hidden="1" x14ac:dyDescent="0.3">
      <c r="B71" s="172" t="s">
        <v>22</v>
      </c>
      <c r="C71" s="172" t="s">
        <v>81</v>
      </c>
      <c r="D71" s="172" t="s">
        <v>221</v>
      </c>
      <c r="E71" s="172">
        <v>3.23981013052064E-3</v>
      </c>
      <c r="F71" s="172">
        <v>2.97763190200702E-3</v>
      </c>
      <c r="G71" s="172">
        <v>1.0880492408537501</v>
      </c>
    </row>
    <row r="72" spans="2:7" hidden="1" x14ac:dyDescent="0.3">
      <c r="B72" s="172" t="s">
        <v>189</v>
      </c>
      <c r="C72" s="172" t="s">
        <v>82</v>
      </c>
      <c r="D72" s="172" t="s">
        <v>218</v>
      </c>
      <c r="E72" s="172">
        <v>5.2411059062240899E-3</v>
      </c>
      <c r="F72" s="172">
        <v>4.4440504603325401E-3</v>
      </c>
      <c r="G72" s="172">
        <v>1.17935337436108</v>
      </c>
    </row>
    <row r="73" spans="2:7" hidden="1" x14ac:dyDescent="0.3">
      <c r="B73" s="172" t="s">
        <v>189</v>
      </c>
      <c r="C73" s="172" t="s">
        <v>82</v>
      </c>
      <c r="D73" s="172" t="s">
        <v>221</v>
      </c>
      <c r="E73" s="172">
        <v>2.7559086199904801E-2</v>
      </c>
      <c r="F73" s="172">
        <v>2.65627668925403E-2</v>
      </c>
      <c r="G73" s="172">
        <v>1.03750811470036</v>
      </c>
    </row>
    <row r="74" spans="2:7" hidden="1" x14ac:dyDescent="0.3">
      <c r="B74" s="172" t="s">
        <v>187</v>
      </c>
      <c r="C74" s="172" t="s">
        <v>82</v>
      </c>
      <c r="D74" s="172" t="s">
        <v>218</v>
      </c>
      <c r="E74" s="172">
        <v>1.1420526009482099E-2</v>
      </c>
      <c r="F74" s="172">
        <v>7.3386494255721999E-3</v>
      </c>
      <c r="G74" s="172">
        <v>1.5562163209058999</v>
      </c>
    </row>
    <row r="75" spans="2:7" hidden="1" x14ac:dyDescent="0.3">
      <c r="B75" s="172" t="s">
        <v>187</v>
      </c>
      <c r="C75" s="172" t="s">
        <v>82</v>
      </c>
      <c r="D75" s="172" t="s">
        <v>221</v>
      </c>
      <c r="E75" s="172">
        <v>3.4495728466798603E-2</v>
      </c>
      <c r="F75" s="172">
        <v>2.9339673834491299E-2</v>
      </c>
      <c r="G75" s="172">
        <v>1.17573660366483</v>
      </c>
    </row>
    <row r="76" spans="2:7" hidden="1" x14ac:dyDescent="0.3">
      <c r="B76" s="172" t="s">
        <v>185</v>
      </c>
      <c r="C76" s="172" t="s">
        <v>82</v>
      </c>
      <c r="D76" s="172" t="s">
        <v>218</v>
      </c>
      <c r="E76" s="172">
        <v>1.1253205024631001E-2</v>
      </c>
      <c r="F76" s="172">
        <v>7.0594712646941801E-3</v>
      </c>
      <c r="G76" s="172">
        <v>1.59405777043254</v>
      </c>
    </row>
    <row r="77" spans="2:7" hidden="1" x14ac:dyDescent="0.3">
      <c r="B77" s="172" t="s">
        <v>185</v>
      </c>
      <c r="C77" s="172" t="s">
        <v>82</v>
      </c>
      <c r="D77" s="172" t="s">
        <v>221</v>
      </c>
      <c r="E77" s="172">
        <v>3.3355164412766598E-2</v>
      </c>
      <c r="F77" s="172">
        <v>2.8057816505477999E-2</v>
      </c>
      <c r="G77" s="172">
        <v>1.1888011458858301</v>
      </c>
    </row>
    <row r="78" spans="2:7" hidden="1" x14ac:dyDescent="0.3">
      <c r="B78" s="172" t="s">
        <v>183</v>
      </c>
      <c r="C78" s="172" t="s">
        <v>82</v>
      </c>
      <c r="D78" s="172" t="s">
        <v>218</v>
      </c>
      <c r="E78" s="172">
        <v>1.08015960275858E-2</v>
      </c>
      <c r="F78" s="172">
        <v>6.6313542922016404E-3</v>
      </c>
      <c r="G78" s="172">
        <v>1.62886727983879</v>
      </c>
    </row>
    <row r="79" spans="2:7" hidden="1" x14ac:dyDescent="0.3">
      <c r="B79" s="172" t="s">
        <v>183</v>
      </c>
      <c r="C79" s="172" t="s">
        <v>82</v>
      </c>
      <c r="D79" s="172" t="s">
        <v>221</v>
      </c>
      <c r="E79" s="172">
        <v>3.1456624772371197E-2</v>
      </c>
      <c r="F79" s="172">
        <v>2.6188951001359699E-2</v>
      </c>
      <c r="G79" s="172">
        <v>1.20114107551456</v>
      </c>
    </row>
    <row r="80" spans="2:7" hidden="1" x14ac:dyDescent="0.3">
      <c r="B80" s="172" t="s">
        <v>181</v>
      </c>
      <c r="C80" s="172" t="s">
        <v>82</v>
      </c>
      <c r="D80" s="172" t="s">
        <v>218</v>
      </c>
      <c r="E80" s="172">
        <v>1.00694415583745E-2</v>
      </c>
      <c r="F80" s="172">
        <v>6.0643156942531496E-3</v>
      </c>
      <c r="G80" s="172">
        <v>1.6604415182271499</v>
      </c>
    </row>
    <row r="81" spans="2:7" hidden="1" x14ac:dyDescent="0.3">
      <c r="B81" s="172" t="s">
        <v>181</v>
      </c>
      <c r="C81" s="172" t="s">
        <v>82</v>
      </c>
      <c r="D81" s="172" t="s">
        <v>221</v>
      </c>
      <c r="E81" s="172">
        <v>2.8849811335247701E-2</v>
      </c>
      <c r="F81" s="172">
        <v>2.3790704980568199E-2</v>
      </c>
      <c r="G81" s="172">
        <v>1.21265054393351</v>
      </c>
    </row>
    <row r="82" spans="2:7" hidden="1" x14ac:dyDescent="0.3">
      <c r="B82" s="172" t="s">
        <v>179</v>
      </c>
      <c r="C82" s="172" t="s">
        <v>82</v>
      </c>
      <c r="D82" s="172" t="s">
        <v>218</v>
      </c>
      <c r="E82" s="172">
        <v>9.0958756269911498E-3</v>
      </c>
      <c r="F82" s="172">
        <v>5.3801426101704004E-3</v>
      </c>
      <c r="G82" s="172">
        <v>1.6906383875023501</v>
      </c>
    </row>
    <row r="83" spans="2:7" hidden="1" x14ac:dyDescent="0.3">
      <c r="B83" s="172" t="s">
        <v>179</v>
      </c>
      <c r="C83" s="172" t="s">
        <v>82</v>
      </c>
      <c r="D83" s="172" t="s">
        <v>221</v>
      </c>
      <c r="E83" s="172">
        <v>2.5645643443769899E-2</v>
      </c>
      <c r="F83" s="172">
        <v>2.0952085948838399E-2</v>
      </c>
      <c r="G83" s="172">
        <v>1.2240138526728299</v>
      </c>
    </row>
    <row r="84" spans="2:7" hidden="1" x14ac:dyDescent="0.3">
      <c r="B84" s="172" t="s">
        <v>39</v>
      </c>
      <c r="C84" s="172" t="s">
        <v>82</v>
      </c>
      <c r="D84" s="172" t="s">
        <v>218</v>
      </c>
      <c r="E84" s="172">
        <v>7.9113932941751609E-3</v>
      </c>
      <c r="F84" s="172">
        <v>4.5974892919712403E-3</v>
      </c>
      <c r="G84" s="172">
        <v>1.7208073345578201</v>
      </c>
    </row>
    <row r="85" spans="2:7" hidden="1" x14ac:dyDescent="0.3">
      <c r="B85" s="172" t="s">
        <v>39</v>
      </c>
      <c r="C85" s="172" t="s">
        <v>82</v>
      </c>
      <c r="D85" s="172" t="s">
        <v>221</v>
      </c>
      <c r="E85" s="172">
        <v>2.19413526192704E-2</v>
      </c>
      <c r="F85" s="172">
        <v>1.7755368616486501E-2</v>
      </c>
      <c r="G85" s="172">
        <v>1.2357587777083401</v>
      </c>
    </row>
    <row r="86" spans="2:7" hidden="1" x14ac:dyDescent="0.3">
      <c r="B86" s="172" t="s">
        <v>26</v>
      </c>
      <c r="C86" s="172" t="s">
        <v>82</v>
      </c>
      <c r="D86" s="172" t="s">
        <v>218</v>
      </c>
      <c r="E86" s="172">
        <v>6.5305614614088797E-3</v>
      </c>
      <c r="F86" s="172">
        <v>3.7313380069311699E-3</v>
      </c>
      <c r="G86" s="172">
        <v>1.7501929466797099</v>
      </c>
    </row>
    <row r="87" spans="2:7" hidden="1" x14ac:dyDescent="0.3">
      <c r="B87" s="172" t="s">
        <v>26</v>
      </c>
      <c r="C87" s="172" t="s">
        <v>82</v>
      </c>
      <c r="D87" s="172" t="s">
        <v>221</v>
      </c>
      <c r="E87" s="172">
        <v>1.7813866943928901E-2</v>
      </c>
      <c r="F87" s="172">
        <v>1.4278005738272899E-2</v>
      </c>
      <c r="G87" s="172">
        <v>1.24764391263536</v>
      </c>
    </row>
    <row r="88" spans="2:7" hidden="1" x14ac:dyDescent="0.3">
      <c r="B88" s="172" t="s">
        <v>25</v>
      </c>
      <c r="C88" s="172" t="s">
        <v>82</v>
      </c>
      <c r="D88" s="172" t="s">
        <v>218</v>
      </c>
      <c r="E88" s="172">
        <v>4.9722504300485802E-3</v>
      </c>
      <c r="F88" s="172">
        <v>2.8028199613223301E-3</v>
      </c>
      <c r="G88" s="172">
        <v>1.77401706091131</v>
      </c>
    </row>
    <row r="89" spans="2:7" hidden="1" x14ac:dyDescent="0.3">
      <c r="B89" s="172" t="s">
        <v>25</v>
      </c>
      <c r="C89" s="172" t="s">
        <v>82</v>
      </c>
      <c r="D89" s="172" t="s">
        <v>221</v>
      </c>
      <c r="E89" s="172">
        <v>1.3330906918656999E-2</v>
      </c>
      <c r="F89" s="172">
        <v>1.0590573695002801E-2</v>
      </c>
      <c r="G89" s="172">
        <v>1.25875210376443</v>
      </c>
    </row>
    <row r="90" spans="2:7" hidden="1" x14ac:dyDescent="0.3">
      <c r="B90" s="172" t="s">
        <v>24</v>
      </c>
      <c r="C90" s="172" t="s">
        <v>82</v>
      </c>
      <c r="D90" s="172" t="s">
        <v>218</v>
      </c>
      <c r="E90" s="172">
        <v>3.2683172162290101E-3</v>
      </c>
      <c r="F90" s="172">
        <v>1.8302061744217401E-3</v>
      </c>
      <c r="G90" s="172">
        <v>1.7857645012380301</v>
      </c>
    </row>
    <row r="91" spans="2:7" hidden="1" x14ac:dyDescent="0.3">
      <c r="B91" s="172" t="s">
        <v>24</v>
      </c>
      <c r="C91" s="172" t="s">
        <v>82</v>
      </c>
      <c r="D91" s="172" t="s">
        <v>221</v>
      </c>
      <c r="E91" s="172">
        <v>8.5922896298463603E-3</v>
      </c>
      <c r="F91" s="172">
        <v>6.7757283138792802E-3</v>
      </c>
      <c r="G91" s="172">
        <v>1.2680983108850501</v>
      </c>
    </row>
    <row r="92" spans="2:7" hidden="1" x14ac:dyDescent="0.3">
      <c r="B92" s="172" t="s">
        <v>22</v>
      </c>
      <c r="C92" s="172" t="s">
        <v>82</v>
      </c>
      <c r="D92" s="172" t="s">
        <v>218</v>
      </c>
      <c r="E92" s="172">
        <v>1.4994191596256199E-3</v>
      </c>
      <c r="F92" s="172">
        <v>8.5125039555591301E-4</v>
      </c>
      <c r="G92" s="172">
        <v>1.7614313807706601</v>
      </c>
    </row>
    <row r="93" spans="2:7" hidden="1" x14ac:dyDescent="0.3">
      <c r="B93" s="172" t="s">
        <v>22</v>
      </c>
      <c r="C93" s="172" t="s">
        <v>82</v>
      </c>
      <c r="D93" s="172" t="s">
        <v>221</v>
      </c>
      <c r="E93" s="172">
        <v>3.8332301085578602E-3</v>
      </c>
      <c r="F93" s="172">
        <v>3.0144906171013799E-3</v>
      </c>
      <c r="G93" s="172">
        <v>1.2716012737978699</v>
      </c>
    </row>
    <row r="94" spans="2:7" hidden="1" x14ac:dyDescent="0.3">
      <c r="B94" s="172" t="s">
        <v>189</v>
      </c>
      <c r="C94" s="172" t="s">
        <v>246</v>
      </c>
      <c r="D94" s="172" t="s">
        <v>218</v>
      </c>
      <c r="E94" s="172">
        <v>5.7493584188761902E-4</v>
      </c>
      <c r="F94" s="172">
        <v>4.6673106430350898E-4</v>
      </c>
      <c r="G94" s="172">
        <v>1.23183538842777</v>
      </c>
    </row>
    <row r="95" spans="2:7" hidden="1" x14ac:dyDescent="0.3">
      <c r="B95" s="172" t="s">
        <v>189</v>
      </c>
      <c r="C95" s="172" t="s">
        <v>246</v>
      </c>
      <c r="D95" s="172" t="s">
        <v>221</v>
      </c>
      <c r="E95" s="172">
        <v>2.8515380440846802E-4</v>
      </c>
      <c r="F95" s="172">
        <v>1.4989783242833201E-4</v>
      </c>
      <c r="G95" s="172">
        <v>1.9023210662155801</v>
      </c>
    </row>
    <row r="96" spans="2:7" hidden="1" x14ac:dyDescent="0.3">
      <c r="B96" s="172" t="s">
        <v>187</v>
      </c>
      <c r="C96" s="172" t="s">
        <v>246</v>
      </c>
      <c r="D96" s="172" t="s">
        <v>218</v>
      </c>
      <c r="E96" s="172">
        <v>6.4737251552048395E-4</v>
      </c>
      <c r="F96" s="172">
        <v>1.3600950768202899E-4</v>
      </c>
      <c r="G96" s="172">
        <v>4.7597592738439198</v>
      </c>
    </row>
    <row r="97" spans="2:7" hidden="1" x14ac:dyDescent="0.3">
      <c r="B97" s="172" t="s">
        <v>187</v>
      </c>
      <c r="C97" s="172" t="s">
        <v>246</v>
      </c>
      <c r="D97" s="172" t="s">
        <v>221</v>
      </c>
      <c r="E97" s="172">
        <v>1.1639146333051E-3</v>
      </c>
      <c r="F97" s="172">
        <v>5.1798241287757995E-4</v>
      </c>
      <c r="G97" s="172">
        <v>2.24701573715434</v>
      </c>
    </row>
    <row r="98" spans="2:7" hidden="1" x14ac:dyDescent="0.3">
      <c r="B98" s="172" t="s">
        <v>185</v>
      </c>
      <c r="C98" s="172" t="s">
        <v>246</v>
      </c>
      <c r="D98" s="172" t="s">
        <v>218</v>
      </c>
      <c r="E98" s="172">
        <v>6.1499788302905498E-4</v>
      </c>
      <c r="F98" s="172">
        <v>1.6372400348671799E-4</v>
      </c>
      <c r="G98" s="172">
        <v>3.7563086043088698</v>
      </c>
    </row>
    <row r="99" spans="2:7" hidden="1" x14ac:dyDescent="0.3">
      <c r="B99" s="172" t="s">
        <v>185</v>
      </c>
      <c r="C99" s="172" t="s">
        <v>246</v>
      </c>
      <c r="D99" s="172" t="s">
        <v>221</v>
      </c>
      <c r="E99" s="172">
        <v>1.0134879131647801E-3</v>
      </c>
      <c r="F99" s="172">
        <v>4.4345774953235699E-4</v>
      </c>
      <c r="G99" s="172">
        <v>2.2854215857847699</v>
      </c>
    </row>
    <row r="100" spans="2:7" hidden="1" x14ac:dyDescent="0.3">
      <c r="B100" s="172" t="s">
        <v>183</v>
      </c>
      <c r="C100" s="172" t="s">
        <v>246</v>
      </c>
      <c r="D100" s="172" t="s">
        <v>218</v>
      </c>
      <c r="E100" s="172">
        <v>5.8271599780080198E-4</v>
      </c>
      <c r="F100" s="172">
        <v>1.9470470687349E-4</v>
      </c>
      <c r="G100" s="172">
        <v>2.9928192654296</v>
      </c>
    </row>
    <row r="101" spans="2:7" hidden="1" x14ac:dyDescent="0.3">
      <c r="B101" s="172" t="s">
        <v>183</v>
      </c>
      <c r="C101" s="172" t="s">
        <v>246</v>
      </c>
      <c r="D101" s="172" t="s">
        <v>221</v>
      </c>
      <c r="E101" s="172">
        <v>8.6594317007260497E-4</v>
      </c>
      <c r="F101" s="172">
        <v>3.7582364469073603E-4</v>
      </c>
      <c r="G101" s="172">
        <v>2.3041210480122598</v>
      </c>
    </row>
    <row r="102" spans="2:7" hidden="1" x14ac:dyDescent="0.3">
      <c r="B102" s="172" t="s">
        <v>181</v>
      </c>
      <c r="C102" s="172" t="s">
        <v>246</v>
      </c>
      <c r="D102" s="172" t="s">
        <v>218</v>
      </c>
      <c r="E102" s="172">
        <v>5.4756503533422705E-4</v>
      </c>
      <c r="F102" s="172">
        <v>2.2041561832579501E-4</v>
      </c>
      <c r="G102" s="172">
        <v>2.4842388188883899</v>
      </c>
    </row>
    <row r="103" spans="2:7" hidden="1" x14ac:dyDescent="0.3">
      <c r="B103" s="172" t="s">
        <v>181</v>
      </c>
      <c r="C103" s="172" t="s">
        <v>246</v>
      </c>
      <c r="D103" s="172" t="s">
        <v>221</v>
      </c>
      <c r="E103" s="172">
        <v>7.2494618546652101E-4</v>
      </c>
      <c r="F103" s="172">
        <v>3.1170481661376602E-4</v>
      </c>
      <c r="G103" s="172">
        <v>2.32574585578126</v>
      </c>
    </row>
    <row r="104" spans="2:7" hidden="1" x14ac:dyDescent="0.3">
      <c r="B104" s="172" t="s">
        <v>179</v>
      </c>
      <c r="C104" s="172" t="s">
        <v>246</v>
      </c>
      <c r="D104" s="172" t="s">
        <v>218</v>
      </c>
      <c r="E104" s="172">
        <v>5.0929150336865799E-4</v>
      </c>
      <c r="F104" s="172">
        <v>2.3974163491243799E-4</v>
      </c>
      <c r="G104" s="172">
        <v>2.12433482217084</v>
      </c>
    </row>
    <row r="105" spans="2:7" hidden="1" x14ac:dyDescent="0.3">
      <c r="B105" s="172" t="s">
        <v>179</v>
      </c>
      <c r="C105" s="172" t="s">
        <v>246</v>
      </c>
      <c r="D105" s="172" t="s">
        <v>221</v>
      </c>
      <c r="E105" s="172">
        <v>5.9209716282231496E-4</v>
      </c>
      <c r="F105" s="172">
        <v>2.51613118456563E-4</v>
      </c>
      <c r="G105" s="172">
        <v>2.3532046598140002</v>
      </c>
    </row>
    <row r="106" spans="2:7" hidden="1" x14ac:dyDescent="0.3">
      <c r="B106" s="172" t="s">
        <v>39</v>
      </c>
      <c r="C106" s="172" t="s">
        <v>246</v>
      </c>
      <c r="D106" s="172" t="s">
        <v>218</v>
      </c>
      <c r="E106" s="172">
        <v>4.6654343578618501E-4</v>
      </c>
      <c r="F106" s="172">
        <v>2.50335060049393E-4</v>
      </c>
      <c r="G106" s="172">
        <v>1.8636759696948999</v>
      </c>
    </row>
    <row r="107" spans="2:7" hidden="1" x14ac:dyDescent="0.3">
      <c r="B107" s="172" t="s">
        <v>39</v>
      </c>
      <c r="C107" s="172" t="s">
        <v>246</v>
      </c>
      <c r="D107" s="172" t="s">
        <v>221</v>
      </c>
      <c r="E107" s="172">
        <v>4.6897541958758403E-4</v>
      </c>
      <c r="F107" s="172">
        <v>1.9587010286742701E-4</v>
      </c>
      <c r="G107" s="172">
        <v>2.3943185443926902</v>
      </c>
    </row>
    <row r="108" spans="2:7" hidden="1" x14ac:dyDescent="0.3">
      <c r="B108" s="172" t="s">
        <v>26</v>
      </c>
      <c r="C108" s="172" t="s">
        <v>246</v>
      </c>
      <c r="D108" s="172" t="s">
        <v>218</v>
      </c>
      <c r="E108" s="172">
        <v>4.12783277049594E-4</v>
      </c>
      <c r="F108" s="172">
        <v>2.45425906251586E-4</v>
      </c>
      <c r="G108" s="172">
        <v>1.68190588904844</v>
      </c>
    </row>
    <row r="109" spans="2:7" hidden="1" x14ac:dyDescent="0.3">
      <c r="B109" s="172" t="s">
        <v>26</v>
      </c>
      <c r="C109" s="172" t="s">
        <v>246</v>
      </c>
      <c r="D109" s="172" t="s">
        <v>221</v>
      </c>
      <c r="E109" s="172">
        <v>3.54704467558035E-4</v>
      </c>
      <c r="F109" s="172">
        <v>1.4330568339213001E-4</v>
      </c>
      <c r="G109" s="172">
        <v>2.4751598063801201</v>
      </c>
    </row>
    <row r="110" spans="2:7" hidden="1" x14ac:dyDescent="0.3">
      <c r="B110" s="172" t="s">
        <v>25</v>
      </c>
      <c r="C110" s="172" t="s">
        <v>246</v>
      </c>
      <c r="D110" s="172" t="s">
        <v>218</v>
      </c>
      <c r="E110" s="172">
        <v>3.4068213149131298E-4</v>
      </c>
      <c r="F110" s="172">
        <v>2.22753360154262E-4</v>
      </c>
      <c r="G110" s="172">
        <v>1.52941410740284</v>
      </c>
    </row>
    <row r="111" spans="2:7" hidden="1" x14ac:dyDescent="0.3">
      <c r="B111" s="172" t="s">
        <v>25</v>
      </c>
      <c r="C111" s="172" t="s">
        <v>246</v>
      </c>
      <c r="D111" s="172" t="s">
        <v>221</v>
      </c>
      <c r="E111" s="172">
        <v>2.4879477924088898E-4</v>
      </c>
      <c r="F111" s="172">
        <v>9.9832120709876802E-5</v>
      </c>
      <c r="G111" s="172">
        <v>2.4921315651894602</v>
      </c>
    </row>
    <row r="112" spans="2:7" hidden="1" x14ac:dyDescent="0.3">
      <c r="B112" s="172" t="s">
        <v>24</v>
      </c>
      <c r="C112" s="172" t="s">
        <v>246</v>
      </c>
      <c r="D112" s="172" t="s">
        <v>218</v>
      </c>
      <c r="E112" s="172">
        <v>2.58122333722153E-4</v>
      </c>
      <c r="F112" s="172">
        <v>1.83762241180898E-4</v>
      </c>
      <c r="G112" s="172">
        <v>1.40465381823491</v>
      </c>
    </row>
    <row r="113" spans="2:7" hidden="1" x14ac:dyDescent="0.3">
      <c r="B113" s="172" t="s">
        <v>24</v>
      </c>
      <c r="C113" s="172" t="s">
        <v>246</v>
      </c>
      <c r="D113" s="172" t="s">
        <v>221</v>
      </c>
      <c r="E113" s="172">
        <v>1.58121991547818E-4</v>
      </c>
      <c r="F113" s="172">
        <v>6.4193453600969205E-5</v>
      </c>
      <c r="G113" s="172">
        <v>2.4632105406061302</v>
      </c>
    </row>
    <row r="114" spans="2:7" hidden="1" x14ac:dyDescent="0.3">
      <c r="B114" s="172" t="s">
        <v>22</v>
      </c>
      <c r="C114" s="172" t="s">
        <v>246</v>
      </c>
      <c r="D114" s="172" t="s">
        <v>218</v>
      </c>
      <c r="E114" s="172">
        <v>1.52289212325515E-4</v>
      </c>
      <c r="F114" s="172">
        <v>1.14206382834512E-4</v>
      </c>
      <c r="G114" s="172">
        <v>1.3334562267521</v>
      </c>
    </row>
    <row r="115" spans="2:7" s="172" customFormat="1" hidden="1" x14ac:dyDescent="0.3">
      <c r="B115" s="172" t="s">
        <v>22</v>
      </c>
      <c r="C115" s="172" t="s">
        <v>246</v>
      </c>
      <c r="D115" s="172" t="s">
        <v>221</v>
      </c>
      <c r="E115" s="172">
        <v>8.0520664862105998E-5</v>
      </c>
      <c r="F115" s="172">
        <v>3.2416038136629498E-5</v>
      </c>
      <c r="G115" s="172">
        <v>2.4839761269628799</v>
      </c>
    </row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2.28283669440171E-2</v>
      </c>
      <c r="F138" s="172">
        <v>2.22085171325242E-2</v>
      </c>
      <c r="G138" s="172">
        <v>1.02791045470502</v>
      </c>
    </row>
    <row r="139" spans="2:7" hidden="1" x14ac:dyDescent="0.3">
      <c r="B139" s="172" t="s">
        <v>189</v>
      </c>
      <c r="C139" s="172" t="s">
        <v>79</v>
      </c>
      <c r="D139" s="172" t="s">
        <v>221</v>
      </c>
      <c r="E139" s="172">
        <v>5.7656237434118296E-3</v>
      </c>
      <c r="F139" s="172">
        <v>4.9908114790457201E-3</v>
      </c>
      <c r="G139" s="172">
        <v>1.15524775231828</v>
      </c>
    </row>
    <row r="140" spans="2:7" hidden="1" x14ac:dyDescent="0.3">
      <c r="B140" s="172" t="s">
        <v>187</v>
      </c>
      <c r="C140" s="172" t="s">
        <v>79</v>
      </c>
      <c r="D140" s="172" t="s">
        <v>218</v>
      </c>
      <c r="E140" s="172">
        <v>2.6399113753276499E-2</v>
      </c>
      <c r="F140" s="172">
        <v>2.34829742138177E-2</v>
      </c>
      <c r="G140" s="172">
        <v>1.1241810135678201</v>
      </c>
    </row>
    <row r="141" spans="2:7" hidden="1" x14ac:dyDescent="0.3">
      <c r="B141" s="172" t="s">
        <v>187</v>
      </c>
      <c r="C141" s="172" t="s">
        <v>79</v>
      </c>
      <c r="D141" s="172" t="s">
        <v>221</v>
      </c>
      <c r="E141" s="172">
        <v>1.11803413607115E-2</v>
      </c>
      <c r="F141" s="172">
        <v>7.4967966792898301E-3</v>
      </c>
      <c r="G141" s="172">
        <v>1.49134915071094</v>
      </c>
    </row>
    <row r="142" spans="2:7" hidden="1" x14ac:dyDescent="0.3">
      <c r="B142" s="172" t="s">
        <v>185</v>
      </c>
      <c r="C142" s="172" t="s">
        <v>79</v>
      </c>
      <c r="D142" s="172" t="s">
        <v>218</v>
      </c>
      <c r="E142" s="172">
        <v>2.5528547946055399E-2</v>
      </c>
      <c r="F142" s="172">
        <v>2.2542112625210799E-2</v>
      </c>
      <c r="G142" s="172">
        <v>1.13248249489733</v>
      </c>
    </row>
    <row r="143" spans="2:7" hidden="1" x14ac:dyDescent="0.3">
      <c r="B143" s="172" t="s">
        <v>185</v>
      </c>
      <c r="C143" s="172" t="s">
        <v>79</v>
      </c>
      <c r="D143" s="172" t="s">
        <v>221</v>
      </c>
      <c r="E143" s="172">
        <v>1.0915018134309101E-2</v>
      </c>
      <c r="F143" s="172">
        <v>7.1426787816633299E-3</v>
      </c>
      <c r="G143" s="172">
        <v>1.5281406973431499</v>
      </c>
    </row>
    <row r="144" spans="2:7" hidden="1" x14ac:dyDescent="0.3">
      <c r="B144" s="172" t="s">
        <v>183</v>
      </c>
      <c r="C144" s="172" t="s">
        <v>79</v>
      </c>
      <c r="D144" s="172" t="s">
        <v>218</v>
      </c>
      <c r="E144" s="172">
        <v>2.4085678439143499E-2</v>
      </c>
      <c r="F144" s="172">
        <v>2.1118661906518701E-2</v>
      </c>
      <c r="G144" s="172">
        <v>1.1404926384899901</v>
      </c>
    </row>
    <row r="145" spans="2:7" hidden="1" x14ac:dyDescent="0.3">
      <c r="B145" s="172" t="s">
        <v>183</v>
      </c>
      <c r="C145" s="172" t="s">
        <v>79</v>
      </c>
      <c r="D145" s="172" t="s">
        <v>221</v>
      </c>
      <c r="E145" s="172">
        <v>1.03951239719841E-2</v>
      </c>
      <c r="F145" s="172">
        <v>6.64731361498439E-3</v>
      </c>
      <c r="G145" s="172">
        <v>1.5638082651240399</v>
      </c>
    </row>
    <row r="146" spans="2:7" hidden="1" x14ac:dyDescent="0.3">
      <c r="B146" s="172" t="s">
        <v>181</v>
      </c>
      <c r="C146" s="172" t="s">
        <v>79</v>
      </c>
      <c r="D146" s="172" t="s">
        <v>218</v>
      </c>
      <c r="E146" s="172">
        <v>2.2108624070903801E-2</v>
      </c>
      <c r="F146" s="172">
        <v>1.9259457382068999E-2</v>
      </c>
      <c r="G146" s="172">
        <v>1.1479359793120401</v>
      </c>
    </row>
    <row r="147" spans="2:7" hidden="1" x14ac:dyDescent="0.3">
      <c r="B147" s="172" t="s">
        <v>181</v>
      </c>
      <c r="C147" s="172" t="s">
        <v>79</v>
      </c>
      <c r="D147" s="172" t="s">
        <v>221</v>
      </c>
      <c r="E147" s="172">
        <v>9.6222960422882794E-3</v>
      </c>
      <c r="F147" s="172">
        <v>6.0233486458652896E-3</v>
      </c>
      <c r="G147" s="172">
        <v>1.5974994322956</v>
      </c>
    </row>
    <row r="148" spans="2:7" hidden="1" x14ac:dyDescent="0.3">
      <c r="B148" s="172" t="s">
        <v>179</v>
      </c>
      <c r="C148" s="172" t="s">
        <v>79</v>
      </c>
      <c r="D148" s="172" t="s">
        <v>218</v>
      </c>
      <c r="E148" s="172">
        <v>1.9675243984792399E-2</v>
      </c>
      <c r="F148" s="172">
        <v>1.7031469614226E-2</v>
      </c>
      <c r="G148" s="172">
        <v>1.15522878708941</v>
      </c>
    </row>
    <row r="149" spans="2:7" hidden="1" x14ac:dyDescent="0.3">
      <c r="B149" s="172" t="s">
        <v>179</v>
      </c>
      <c r="C149" s="172" t="s">
        <v>79</v>
      </c>
      <c r="D149" s="172" t="s">
        <v>221</v>
      </c>
      <c r="E149" s="172">
        <v>8.6308131064541608E-3</v>
      </c>
      <c r="F149" s="172">
        <v>5.2913086383702401E-3</v>
      </c>
      <c r="G149" s="172">
        <v>1.63113016010204</v>
      </c>
    </row>
    <row r="150" spans="2:7" hidden="1" x14ac:dyDescent="0.3">
      <c r="B150" s="172" t="s">
        <v>39</v>
      </c>
      <c r="C150" s="172" t="s">
        <v>79</v>
      </c>
      <c r="D150" s="172" t="s">
        <v>218</v>
      </c>
      <c r="E150" s="172">
        <v>1.6857692875099799E-2</v>
      </c>
      <c r="F150" s="172">
        <v>1.44993012711538E-2</v>
      </c>
      <c r="G150" s="172">
        <v>1.1626555349007099</v>
      </c>
    </row>
    <row r="151" spans="2:7" hidden="1" x14ac:dyDescent="0.3">
      <c r="B151" s="172" t="s">
        <v>39</v>
      </c>
      <c r="C151" s="172" t="s">
        <v>79</v>
      </c>
      <c r="D151" s="172" t="s">
        <v>221</v>
      </c>
      <c r="E151" s="172">
        <v>7.4495240704356598E-3</v>
      </c>
      <c r="F151" s="172">
        <v>4.4705030970301502E-3</v>
      </c>
      <c r="G151" s="172">
        <v>1.66637264503508</v>
      </c>
    </row>
    <row r="152" spans="2:7" hidden="1" x14ac:dyDescent="0.3">
      <c r="B152" s="172" t="s">
        <v>26</v>
      </c>
      <c r="C152" s="172" t="s">
        <v>79</v>
      </c>
      <c r="D152" s="172" t="s">
        <v>218</v>
      </c>
      <c r="E152" s="172">
        <v>1.37236088358304E-2</v>
      </c>
      <c r="F152" s="172">
        <v>1.1736039985723401E-2</v>
      </c>
      <c r="G152" s="172">
        <v>1.1693560053071499</v>
      </c>
    </row>
    <row r="153" spans="2:7" hidden="1" x14ac:dyDescent="0.3">
      <c r="B153" s="172" t="s">
        <v>26</v>
      </c>
      <c r="C153" s="172" t="s">
        <v>79</v>
      </c>
      <c r="D153" s="172" t="s">
        <v>221</v>
      </c>
      <c r="E153" s="172">
        <v>6.0907835255217197E-3</v>
      </c>
      <c r="F153" s="172">
        <v>3.58017024117596E-3</v>
      </c>
      <c r="G153" s="172">
        <v>1.70125527983862</v>
      </c>
    </row>
    <row r="154" spans="2:7" hidden="1" x14ac:dyDescent="0.3">
      <c r="B154" s="172" t="s">
        <v>25</v>
      </c>
      <c r="C154" s="172" t="s">
        <v>79</v>
      </c>
      <c r="D154" s="172" t="s">
        <v>218</v>
      </c>
      <c r="E154" s="172">
        <v>1.03350345715618E-2</v>
      </c>
      <c r="F154" s="172">
        <v>8.8047316404746504E-3</v>
      </c>
      <c r="G154" s="172">
        <v>1.17380460797379</v>
      </c>
    </row>
    <row r="155" spans="2:7" hidden="1" x14ac:dyDescent="0.3">
      <c r="B155" s="172" t="s">
        <v>25</v>
      </c>
      <c r="C155" s="172" t="s">
        <v>79</v>
      </c>
      <c r="D155" s="172" t="s">
        <v>221</v>
      </c>
      <c r="E155" s="172">
        <v>4.5741412585777099E-3</v>
      </c>
      <c r="F155" s="172">
        <v>2.6411270298360499E-3</v>
      </c>
      <c r="G155" s="172">
        <v>1.73188991173274</v>
      </c>
    </row>
    <row r="156" spans="2:7" hidden="1" x14ac:dyDescent="0.3">
      <c r="B156" s="172" t="s">
        <v>24</v>
      </c>
      <c r="C156" s="172" t="s">
        <v>79</v>
      </c>
      <c r="D156" s="172" t="s">
        <v>218</v>
      </c>
      <c r="E156" s="172">
        <v>6.7603597407013697E-3</v>
      </c>
      <c r="F156" s="172">
        <v>5.7585115402487702E-3</v>
      </c>
      <c r="G156" s="172">
        <v>1.17397693717382</v>
      </c>
    </row>
    <row r="157" spans="2:7" hidden="1" x14ac:dyDescent="0.3">
      <c r="B157" s="172" t="s">
        <v>24</v>
      </c>
      <c r="C157" s="172" t="s">
        <v>79</v>
      </c>
      <c r="D157" s="172" t="s">
        <v>221</v>
      </c>
      <c r="E157" s="172">
        <v>2.9427173351514401E-3</v>
      </c>
      <c r="F157" s="172">
        <v>1.67722487142183E-3</v>
      </c>
      <c r="G157" s="172">
        <v>1.75451567961594</v>
      </c>
    </row>
    <row r="158" spans="2:7" hidden="1" x14ac:dyDescent="0.3">
      <c r="B158" s="172" t="s">
        <v>22</v>
      </c>
      <c r="C158" s="172" t="s">
        <v>79</v>
      </c>
      <c r="D158" s="172" t="s">
        <v>218</v>
      </c>
      <c r="E158" s="172">
        <v>3.1322723132893898E-3</v>
      </c>
      <c r="F158" s="172">
        <v>2.6978264176782999E-3</v>
      </c>
      <c r="G158" s="172">
        <v>1.1610355257715099</v>
      </c>
    </row>
    <row r="159" spans="2:7" hidden="1" x14ac:dyDescent="0.3">
      <c r="B159" s="172" t="s">
        <v>22</v>
      </c>
      <c r="C159" s="172" t="s">
        <v>79</v>
      </c>
      <c r="D159" s="172" t="s">
        <v>221</v>
      </c>
      <c r="E159" s="172">
        <v>1.28915875962696E-3</v>
      </c>
      <c r="F159" s="172">
        <v>7.4038499674978803E-4</v>
      </c>
      <c r="G159" s="172">
        <v>1.7412005446979999</v>
      </c>
    </row>
    <row r="160" spans="2:7" x14ac:dyDescent="0.3">
      <c r="B160" s="172" t="s">
        <v>189</v>
      </c>
      <c r="C160" s="172" t="s">
        <v>80</v>
      </c>
      <c r="D160" s="172" t="s">
        <v>218</v>
      </c>
      <c r="E160" s="172">
        <v>2.40037306457619E-2</v>
      </c>
      <c r="F160" s="172">
        <v>2.3963356377019799E-2</v>
      </c>
      <c r="G160" s="172">
        <v>1.00168483363127</v>
      </c>
    </row>
    <row r="161" spans="2:7" hidden="1" x14ac:dyDescent="0.3">
      <c r="B161" s="172" t="s">
        <v>189</v>
      </c>
      <c r="C161" s="172" t="s">
        <v>80</v>
      </c>
      <c r="D161" s="172" t="s">
        <v>221</v>
      </c>
      <c r="E161" s="172">
        <v>7.8109989016943004E-3</v>
      </c>
      <c r="F161" s="172">
        <v>7.7605310657666397E-3</v>
      </c>
      <c r="G161" s="172">
        <v>1.0065031420530299</v>
      </c>
    </row>
    <row r="162" spans="2:7" x14ac:dyDescent="0.3">
      <c r="B162" s="172" t="s">
        <v>187</v>
      </c>
      <c r="C162" s="172" t="s">
        <v>80</v>
      </c>
      <c r="D162" s="172" t="s">
        <v>218</v>
      </c>
      <c r="E162" s="172">
        <v>2.3269864903158001E-2</v>
      </c>
      <c r="F162" s="172">
        <v>2.3049676153291999E-2</v>
      </c>
      <c r="G162" s="172">
        <v>1.00955279147532</v>
      </c>
    </row>
    <row r="163" spans="2:7" hidden="1" x14ac:dyDescent="0.3">
      <c r="B163" s="172" t="s">
        <v>187</v>
      </c>
      <c r="C163" s="172" t="s">
        <v>80</v>
      </c>
      <c r="D163" s="172" t="s">
        <v>221</v>
      </c>
      <c r="E163" s="172">
        <v>7.7285238434445496E-3</v>
      </c>
      <c r="F163" s="172">
        <v>7.4503906857190799E-3</v>
      </c>
      <c r="G163" s="172">
        <v>1.03733135206703</v>
      </c>
    </row>
    <row r="164" spans="2:7" x14ac:dyDescent="0.3">
      <c r="B164" s="172" t="s">
        <v>185</v>
      </c>
      <c r="C164" s="172" t="s">
        <v>80</v>
      </c>
      <c r="D164" s="172" t="s">
        <v>218</v>
      </c>
      <c r="E164" s="172">
        <v>2.25073034412667E-2</v>
      </c>
      <c r="F164" s="172">
        <v>2.2113078377506298E-2</v>
      </c>
      <c r="G164" s="172">
        <v>1.0178276880780801</v>
      </c>
    </row>
    <row r="165" spans="2:7" hidden="1" x14ac:dyDescent="0.3">
      <c r="B165" s="172" t="s">
        <v>185</v>
      </c>
      <c r="C165" s="172" t="s">
        <v>80</v>
      </c>
      <c r="D165" s="172" t="s">
        <v>221</v>
      </c>
      <c r="E165" s="172">
        <v>7.5643284510098496E-3</v>
      </c>
      <c r="F165" s="172">
        <v>7.06635994941776E-3</v>
      </c>
      <c r="G165" s="172">
        <v>1.07047029944082</v>
      </c>
    </row>
    <row r="166" spans="2:7" x14ac:dyDescent="0.3">
      <c r="B166" s="172" t="s">
        <v>183</v>
      </c>
      <c r="C166" s="172" t="s">
        <v>80</v>
      </c>
      <c r="D166" s="172" t="s">
        <v>218</v>
      </c>
      <c r="E166" s="172">
        <v>2.1237993570816599E-2</v>
      </c>
      <c r="F166" s="172">
        <v>2.0703822987484799E-2</v>
      </c>
      <c r="G166" s="172">
        <v>1.02580057720039</v>
      </c>
    </row>
    <row r="167" spans="2:7" hidden="1" x14ac:dyDescent="0.3">
      <c r="B167" s="172" t="s">
        <v>183</v>
      </c>
      <c r="C167" s="172" t="s">
        <v>80</v>
      </c>
      <c r="D167" s="172" t="s">
        <v>221</v>
      </c>
      <c r="E167" s="172">
        <v>7.2208468957943098E-3</v>
      </c>
      <c r="F167" s="172">
        <v>6.5461051063225601E-3</v>
      </c>
      <c r="G167" s="172">
        <v>1.1030753063864001</v>
      </c>
    </row>
    <row r="168" spans="2:7" x14ac:dyDescent="0.3">
      <c r="B168" s="172" t="s">
        <v>181</v>
      </c>
      <c r="C168" s="172" t="s">
        <v>80</v>
      </c>
      <c r="D168" s="172" t="s">
        <v>218</v>
      </c>
      <c r="E168" s="172">
        <v>1.9496096144599899E-2</v>
      </c>
      <c r="F168" s="172">
        <v>1.8869871558167901E-2</v>
      </c>
      <c r="G168" s="172">
        <v>1.03318647848247</v>
      </c>
    </row>
    <row r="169" spans="2:7" hidden="1" x14ac:dyDescent="0.3">
      <c r="B169" s="172" t="s">
        <v>181</v>
      </c>
      <c r="C169" s="172" t="s">
        <v>80</v>
      </c>
      <c r="D169" s="172" t="s">
        <v>221</v>
      </c>
      <c r="E169" s="172">
        <v>6.6965394502843303E-3</v>
      </c>
      <c r="F169" s="172">
        <v>5.9055189200543897E-3</v>
      </c>
      <c r="G169" s="172">
        <v>1.1339459818753199</v>
      </c>
    </row>
    <row r="170" spans="2:7" x14ac:dyDescent="0.3">
      <c r="B170" s="172" t="s">
        <v>179</v>
      </c>
      <c r="C170" s="172" t="s">
        <v>80</v>
      </c>
      <c r="D170" s="172" t="s">
        <v>218</v>
      </c>
      <c r="E170" s="172">
        <v>1.7350926051536202E-2</v>
      </c>
      <c r="F170" s="172">
        <v>1.6677014162665899E-2</v>
      </c>
      <c r="G170" s="172">
        <v>1.04040962502622</v>
      </c>
    </row>
    <row r="171" spans="2:7" hidden="1" x14ac:dyDescent="0.3">
      <c r="B171" s="172" t="s">
        <v>179</v>
      </c>
      <c r="C171" s="172" t="s">
        <v>80</v>
      </c>
      <c r="D171" s="172" t="s">
        <v>221</v>
      </c>
      <c r="E171" s="172">
        <v>6.0161934352465397E-3</v>
      </c>
      <c r="F171" s="172">
        <v>5.1649363124630096E-3</v>
      </c>
      <c r="G171" s="172">
        <v>1.16481464073999</v>
      </c>
    </row>
    <row r="172" spans="2:7" x14ac:dyDescent="0.3">
      <c r="B172" s="172" t="s">
        <v>39</v>
      </c>
      <c r="C172" s="172" t="s">
        <v>80</v>
      </c>
      <c r="D172" s="172" t="s">
        <v>218</v>
      </c>
      <c r="E172" s="172">
        <v>1.48663794695856E-2</v>
      </c>
      <c r="F172" s="172">
        <v>1.41888160464989E-2</v>
      </c>
      <c r="G172" s="172">
        <v>1.0477533446671099</v>
      </c>
    </row>
    <row r="173" spans="2:7" hidden="1" x14ac:dyDescent="0.3">
      <c r="B173" s="172" t="s">
        <v>39</v>
      </c>
      <c r="C173" s="172" t="s">
        <v>80</v>
      </c>
      <c r="D173" s="172" t="s">
        <v>221</v>
      </c>
      <c r="E173" s="172">
        <v>5.19959483848939E-3</v>
      </c>
      <c r="F173" s="172">
        <v>4.3437252514325004E-3</v>
      </c>
      <c r="G173" s="172">
        <v>1.19703584769194</v>
      </c>
    </row>
    <row r="174" spans="2:7" x14ac:dyDescent="0.3">
      <c r="B174" s="172" t="s">
        <v>26</v>
      </c>
      <c r="C174" s="172" t="s">
        <v>80</v>
      </c>
      <c r="D174" s="172" t="s">
        <v>218</v>
      </c>
      <c r="E174" s="172">
        <v>1.21017871035157E-2</v>
      </c>
      <c r="F174" s="172">
        <v>1.14784820350834E-2</v>
      </c>
      <c r="G174" s="172">
        <v>1.05430204677998</v>
      </c>
    </row>
    <row r="175" spans="2:7" hidden="1" x14ac:dyDescent="0.3">
      <c r="B175" s="172" t="s">
        <v>26</v>
      </c>
      <c r="C175" s="172" t="s">
        <v>80</v>
      </c>
      <c r="D175" s="172" t="s">
        <v>221</v>
      </c>
      <c r="E175" s="172">
        <v>4.2499036596093196E-3</v>
      </c>
      <c r="F175" s="172">
        <v>3.46257094158961E-3</v>
      </c>
      <c r="G175" s="172">
        <v>1.22738385185496</v>
      </c>
    </row>
    <row r="176" spans="2:7" x14ac:dyDescent="0.3">
      <c r="B176" s="172" t="s">
        <v>25</v>
      </c>
      <c r="C176" s="172" t="s">
        <v>80</v>
      </c>
      <c r="D176" s="172" t="s">
        <v>218</v>
      </c>
      <c r="E176" s="172">
        <v>9.1118138726994993E-3</v>
      </c>
      <c r="F176" s="172">
        <v>8.6092556481042106E-3</v>
      </c>
      <c r="G176" s="172">
        <v>1.0583741783421099</v>
      </c>
    </row>
    <row r="177" spans="2:7" hidden="1" x14ac:dyDescent="0.3">
      <c r="B177" s="172" t="s">
        <v>25</v>
      </c>
      <c r="C177" s="172" t="s">
        <v>80</v>
      </c>
      <c r="D177" s="172" t="s">
        <v>221</v>
      </c>
      <c r="E177" s="172">
        <v>3.1785309393335599E-3</v>
      </c>
      <c r="F177" s="172">
        <v>2.5437205503711E-3</v>
      </c>
      <c r="G177" s="172">
        <v>1.24955979888194</v>
      </c>
    </row>
    <row r="178" spans="2:7" x14ac:dyDescent="0.3">
      <c r="B178" s="172" t="s">
        <v>24</v>
      </c>
      <c r="C178" s="172" t="s">
        <v>80</v>
      </c>
      <c r="D178" s="172" t="s">
        <v>218</v>
      </c>
      <c r="E178" s="172">
        <v>5.9569596340828803E-3</v>
      </c>
      <c r="F178" s="172">
        <v>5.6322767697037299E-3</v>
      </c>
      <c r="G178" s="172">
        <v>1.0576468234170699</v>
      </c>
    </row>
    <row r="179" spans="2:7" hidden="1" x14ac:dyDescent="0.3">
      <c r="B179" s="172" t="s">
        <v>24</v>
      </c>
      <c r="C179" s="172" t="s">
        <v>80</v>
      </c>
      <c r="D179" s="172" t="s">
        <v>221</v>
      </c>
      <c r="E179" s="172">
        <v>2.0209530954736999E-3</v>
      </c>
      <c r="F179" s="172">
        <v>1.6108273720474001E-3</v>
      </c>
      <c r="G179" s="172">
        <v>1.2546056334422799</v>
      </c>
    </row>
    <row r="180" spans="2:7" x14ac:dyDescent="0.3">
      <c r="B180" s="172" t="s">
        <v>22</v>
      </c>
      <c r="C180" s="172" t="s">
        <v>80</v>
      </c>
      <c r="D180" s="172" t="s">
        <v>218</v>
      </c>
      <c r="E180" s="172">
        <v>2.7543039032016901E-3</v>
      </c>
      <c r="F180" s="172">
        <v>2.64370703120906E-3</v>
      </c>
      <c r="G180" s="172">
        <v>1.0418340121227601</v>
      </c>
    </row>
    <row r="181" spans="2:7" hidden="1" x14ac:dyDescent="0.3">
      <c r="B181" s="172" t="s">
        <v>22</v>
      </c>
      <c r="C181" s="172" t="s">
        <v>80</v>
      </c>
      <c r="D181" s="172" t="s">
        <v>221</v>
      </c>
      <c r="E181" s="172">
        <v>8.5292829535253299E-4</v>
      </c>
      <c r="F181" s="172">
        <v>7.1322698336183702E-4</v>
      </c>
      <c r="G181" s="172">
        <v>1.1958721630696101</v>
      </c>
    </row>
    <row r="182" spans="2:7" hidden="1" x14ac:dyDescent="0.3">
      <c r="B182" s="172" t="s">
        <v>189</v>
      </c>
      <c r="C182" s="172" t="s">
        <v>81</v>
      </c>
      <c r="D182" s="172" t="s">
        <v>218</v>
      </c>
      <c r="E182" s="172">
        <v>6.8500470789404199E-3</v>
      </c>
      <c r="F182" s="172">
        <v>6.8497758623290803E-3</v>
      </c>
      <c r="G182" s="172">
        <v>1.00003959496147</v>
      </c>
    </row>
    <row r="183" spans="2:7" hidden="1" x14ac:dyDescent="0.3">
      <c r="B183" s="172" t="s">
        <v>189</v>
      </c>
      <c r="C183" s="172" t="s">
        <v>81</v>
      </c>
      <c r="D183" s="172" t="s">
        <v>221</v>
      </c>
      <c r="E183" s="172">
        <v>3.0362680361455799E-2</v>
      </c>
      <c r="F183" s="172">
        <v>3.0362341340691601E-2</v>
      </c>
      <c r="G183" s="172">
        <v>1.00001116583074</v>
      </c>
    </row>
    <row r="184" spans="2:7" hidden="1" x14ac:dyDescent="0.3">
      <c r="B184" s="172" t="s">
        <v>187</v>
      </c>
      <c r="C184" s="172" t="s">
        <v>81</v>
      </c>
      <c r="D184" s="172" t="s">
        <v>218</v>
      </c>
      <c r="E184" s="172">
        <v>7.13465271145721E-3</v>
      </c>
      <c r="F184" s="172">
        <v>6.7461343251900502E-3</v>
      </c>
      <c r="G184" s="172">
        <v>1.05759126153424</v>
      </c>
    </row>
    <row r="185" spans="2:7" hidden="1" x14ac:dyDescent="0.3">
      <c r="B185" s="172" t="s">
        <v>187</v>
      </c>
      <c r="C185" s="172" t="s">
        <v>81</v>
      </c>
      <c r="D185" s="172" t="s">
        <v>221</v>
      </c>
      <c r="E185" s="172">
        <v>2.97690128118661E-2</v>
      </c>
      <c r="F185" s="172">
        <v>2.9278252745002301E-2</v>
      </c>
      <c r="G185" s="172">
        <v>1.01676193149701</v>
      </c>
    </row>
    <row r="186" spans="2:7" hidden="1" x14ac:dyDescent="0.3">
      <c r="B186" s="172" t="s">
        <v>185</v>
      </c>
      <c r="C186" s="172" t="s">
        <v>81</v>
      </c>
      <c r="D186" s="172" t="s">
        <v>218</v>
      </c>
      <c r="E186" s="172">
        <v>7.1203652164162998E-3</v>
      </c>
      <c r="F186" s="172">
        <v>6.4735584055757803E-3</v>
      </c>
      <c r="G186" s="172">
        <v>1.09991518888335</v>
      </c>
    </row>
    <row r="187" spans="2:7" hidden="1" x14ac:dyDescent="0.3">
      <c r="B187" s="172" t="s">
        <v>185</v>
      </c>
      <c r="C187" s="172" t="s">
        <v>81</v>
      </c>
      <c r="D187" s="172" t="s">
        <v>221</v>
      </c>
      <c r="E187" s="172">
        <v>2.8772542959535099E-2</v>
      </c>
      <c r="F187" s="172">
        <v>2.7955523830052301E-2</v>
      </c>
      <c r="G187" s="172">
        <v>1.02922567770325</v>
      </c>
    </row>
    <row r="188" spans="2:7" hidden="1" x14ac:dyDescent="0.3">
      <c r="B188" s="172" t="s">
        <v>183</v>
      </c>
      <c r="C188" s="172" t="s">
        <v>81</v>
      </c>
      <c r="D188" s="172" t="s">
        <v>218</v>
      </c>
      <c r="E188" s="172">
        <v>6.9134257571668604E-3</v>
      </c>
      <c r="F188" s="172">
        <v>6.0659186027473798E-3</v>
      </c>
      <c r="G188" s="172">
        <v>1.1397162095178199</v>
      </c>
    </row>
    <row r="189" spans="2:7" hidden="1" x14ac:dyDescent="0.3">
      <c r="B189" s="172" t="s">
        <v>183</v>
      </c>
      <c r="C189" s="172" t="s">
        <v>81</v>
      </c>
      <c r="D189" s="172" t="s">
        <v>221</v>
      </c>
      <c r="E189" s="172">
        <v>2.7123418990232601E-2</v>
      </c>
      <c r="F189" s="172">
        <v>2.6052883637281699E-2</v>
      </c>
      <c r="G189" s="172">
        <v>1.04109085841918</v>
      </c>
    </row>
    <row r="190" spans="2:7" hidden="1" x14ac:dyDescent="0.3">
      <c r="B190" s="172" t="s">
        <v>181</v>
      </c>
      <c r="C190" s="172" t="s">
        <v>81</v>
      </c>
      <c r="D190" s="172" t="s">
        <v>218</v>
      </c>
      <c r="E190" s="172">
        <v>6.5093632537425701E-3</v>
      </c>
      <c r="F190" s="172">
        <v>5.5343599658156497E-3</v>
      </c>
      <c r="G190" s="172">
        <v>1.1761727270993001</v>
      </c>
    </row>
    <row r="191" spans="2:7" hidden="1" x14ac:dyDescent="0.3">
      <c r="B191" s="172" t="s">
        <v>181</v>
      </c>
      <c r="C191" s="172" t="s">
        <v>81</v>
      </c>
      <c r="D191" s="172" t="s">
        <v>221</v>
      </c>
      <c r="E191" s="172">
        <v>2.4863777716491599E-2</v>
      </c>
      <c r="F191" s="172">
        <v>2.3632194615952298E-2</v>
      </c>
      <c r="G191" s="172">
        <v>1.0521146309326601</v>
      </c>
    </row>
    <row r="192" spans="2:7" hidden="1" x14ac:dyDescent="0.3">
      <c r="B192" s="172" t="s">
        <v>179</v>
      </c>
      <c r="C192" s="172" t="s">
        <v>81</v>
      </c>
      <c r="D192" s="172" t="s">
        <v>218</v>
      </c>
      <c r="E192" s="172">
        <v>5.9336157882434E-3</v>
      </c>
      <c r="F192" s="172">
        <v>4.8987178591556203E-3</v>
      </c>
      <c r="G192" s="172">
        <v>1.21125893730613</v>
      </c>
    </row>
    <row r="193" spans="2:7" hidden="1" x14ac:dyDescent="0.3">
      <c r="B193" s="172" t="s">
        <v>179</v>
      </c>
      <c r="C193" s="172" t="s">
        <v>81</v>
      </c>
      <c r="D193" s="172" t="s">
        <v>221</v>
      </c>
      <c r="E193" s="172">
        <v>2.2089211051187999E-2</v>
      </c>
      <c r="F193" s="172">
        <v>2.0781971561814001E-2</v>
      </c>
      <c r="G193" s="172">
        <v>1.06290257329464</v>
      </c>
    </row>
    <row r="194" spans="2:7" hidden="1" x14ac:dyDescent="0.3">
      <c r="B194" s="172" t="s">
        <v>39</v>
      </c>
      <c r="C194" s="172" t="s">
        <v>81</v>
      </c>
      <c r="D194" s="172" t="s">
        <v>218</v>
      </c>
      <c r="E194" s="172">
        <v>5.2048183152533997E-3</v>
      </c>
      <c r="F194" s="172">
        <v>4.1761276751411903E-3</v>
      </c>
      <c r="G194" s="172">
        <v>1.2463264344707601</v>
      </c>
    </row>
    <row r="195" spans="2:7" hidden="1" x14ac:dyDescent="0.3">
      <c r="B195" s="172" t="s">
        <v>39</v>
      </c>
      <c r="C195" s="172" t="s">
        <v>81</v>
      </c>
      <c r="D195" s="172" t="s">
        <v>221</v>
      </c>
      <c r="E195" s="172">
        <v>1.8883880863196801E-2</v>
      </c>
      <c r="F195" s="172">
        <v>1.7584482159897202E-2</v>
      </c>
      <c r="G195" s="172">
        <v>1.0738946243332099</v>
      </c>
    </row>
    <row r="196" spans="2:7" hidden="1" x14ac:dyDescent="0.3">
      <c r="B196" s="172" t="s">
        <v>26</v>
      </c>
      <c r="C196" s="172" t="s">
        <v>81</v>
      </c>
      <c r="D196" s="172" t="s">
        <v>218</v>
      </c>
      <c r="E196" s="172">
        <v>4.32685027541343E-3</v>
      </c>
      <c r="F196" s="172">
        <v>3.3818293212718202E-3</v>
      </c>
      <c r="G196" s="172">
        <v>1.2794407595313499</v>
      </c>
    </row>
    <row r="197" spans="2:7" hidden="1" x14ac:dyDescent="0.3">
      <c r="B197" s="172" t="s">
        <v>26</v>
      </c>
      <c r="C197" s="172" t="s">
        <v>81</v>
      </c>
      <c r="D197" s="172" t="s">
        <v>221</v>
      </c>
      <c r="E197" s="172">
        <v>1.5312909879838001E-2</v>
      </c>
      <c r="F197" s="172">
        <v>1.41191992009223E-2</v>
      </c>
      <c r="G197" s="172">
        <v>1.08454521123533</v>
      </c>
    </row>
    <row r="198" spans="2:7" hidden="1" x14ac:dyDescent="0.3">
      <c r="B198" s="172" t="s">
        <v>25</v>
      </c>
      <c r="C198" s="172" t="s">
        <v>81</v>
      </c>
      <c r="D198" s="172" t="s">
        <v>218</v>
      </c>
      <c r="E198" s="172">
        <v>3.3097763365056302E-3</v>
      </c>
      <c r="F198" s="172">
        <v>2.5374282189558998E-3</v>
      </c>
      <c r="G198" s="172">
        <v>1.30438225277858</v>
      </c>
    </row>
    <row r="199" spans="2:7" hidden="1" x14ac:dyDescent="0.3">
      <c r="B199" s="172" t="s">
        <v>25</v>
      </c>
      <c r="C199" s="172" t="s">
        <v>81</v>
      </c>
      <c r="D199" s="172" t="s">
        <v>221</v>
      </c>
      <c r="E199" s="172">
        <v>1.1434369267416099E-2</v>
      </c>
      <c r="F199" s="172">
        <v>1.0458771645248E-2</v>
      </c>
      <c r="G199" s="172">
        <v>1.09328032538232</v>
      </c>
    </row>
    <row r="200" spans="2:7" hidden="1" x14ac:dyDescent="0.3">
      <c r="B200" s="172" t="s">
        <v>24</v>
      </c>
      <c r="C200" s="172" t="s">
        <v>81</v>
      </c>
      <c r="D200" s="172" t="s">
        <v>218</v>
      </c>
      <c r="E200" s="172">
        <v>2.1758717367042E-3</v>
      </c>
      <c r="F200" s="172">
        <v>1.6586955947220799E-3</v>
      </c>
      <c r="G200" s="172">
        <v>1.3117968984952699</v>
      </c>
    </row>
    <row r="201" spans="2:7" hidden="1" x14ac:dyDescent="0.3">
      <c r="B201" s="172" t="s">
        <v>24</v>
      </c>
      <c r="C201" s="172" t="s">
        <v>81</v>
      </c>
      <c r="D201" s="172" t="s">
        <v>221</v>
      </c>
      <c r="E201" s="172">
        <v>7.33899833834339E-3</v>
      </c>
      <c r="F201" s="172">
        <v>6.6857232116291302E-3</v>
      </c>
      <c r="G201" s="172">
        <v>1.0977119611499799</v>
      </c>
    </row>
    <row r="202" spans="2:7" hidden="1" x14ac:dyDescent="0.3">
      <c r="B202" s="172" t="s">
        <v>22</v>
      </c>
      <c r="C202" s="172" t="s">
        <v>81</v>
      </c>
      <c r="D202" s="172" t="s">
        <v>218</v>
      </c>
      <c r="E202" s="172">
        <v>9.8523227396761005E-4</v>
      </c>
      <c r="F202" s="172">
        <v>7.77674509727662E-4</v>
      </c>
      <c r="G202" s="172">
        <v>1.2668954191550299</v>
      </c>
    </row>
    <row r="203" spans="2:7" hidden="1" x14ac:dyDescent="0.3">
      <c r="B203" s="172" t="s">
        <v>22</v>
      </c>
      <c r="C203" s="172" t="s">
        <v>81</v>
      </c>
      <c r="D203" s="172" t="s">
        <v>221</v>
      </c>
      <c r="E203" s="172">
        <v>3.23981013052064E-3</v>
      </c>
      <c r="F203" s="172">
        <v>2.97763190200702E-3</v>
      </c>
      <c r="G203" s="172">
        <v>1.0880492408537501</v>
      </c>
    </row>
    <row r="204" spans="2:7" hidden="1" x14ac:dyDescent="0.3">
      <c r="B204" s="172" t="s">
        <v>189</v>
      </c>
      <c r="C204" s="172" t="s">
        <v>82</v>
      </c>
      <c r="D204" s="172" t="s">
        <v>218</v>
      </c>
      <c r="E204" s="172">
        <v>5.2411059062240899E-3</v>
      </c>
      <c r="F204" s="172">
        <v>4.4440504603325401E-3</v>
      </c>
      <c r="G204" s="172">
        <v>1.17935337436108</v>
      </c>
    </row>
    <row r="205" spans="2:7" hidden="1" x14ac:dyDescent="0.3">
      <c r="B205" s="172" t="s">
        <v>189</v>
      </c>
      <c r="C205" s="172" t="s">
        <v>82</v>
      </c>
      <c r="D205" s="172" t="s">
        <v>221</v>
      </c>
      <c r="E205" s="172">
        <v>2.7559086199904801E-2</v>
      </c>
      <c r="F205" s="172">
        <v>2.65627668925403E-2</v>
      </c>
      <c r="G205" s="172">
        <v>1.03750811470036</v>
      </c>
    </row>
    <row r="206" spans="2:7" hidden="1" x14ac:dyDescent="0.3">
      <c r="B206" s="172" t="s">
        <v>187</v>
      </c>
      <c r="C206" s="172" t="s">
        <v>82</v>
      </c>
      <c r="D206" s="172" t="s">
        <v>218</v>
      </c>
      <c r="E206" s="172">
        <v>1.1420526009482099E-2</v>
      </c>
      <c r="F206" s="172">
        <v>7.3386494255721999E-3</v>
      </c>
      <c r="G206" s="172">
        <v>1.5562163209058999</v>
      </c>
    </row>
    <row r="207" spans="2:7" hidden="1" x14ac:dyDescent="0.3">
      <c r="B207" s="172" t="s">
        <v>187</v>
      </c>
      <c r="C207" s="172" t="s">
        <v>82</v>
      </c>
      <c r="D207" s="172" t="s">
        <v>221</v>
      </c>
      <c r="E207" s="172">
        <v>3.4495728466798603E-2</v>
      </c>
      <c r="F207" s="172">
        <v>2.9339673834491299E-2</v>
      </c>
      <c r="G207" s="172">
        <v>1.17573660366483</v>
      </c>
    </row>
    <row r="208" spans="2:7" hidden="1" x14ac:dyDescent="0.3">
      <c r="B208" s="172" t="s">
        <v>185</v>
      </c>
      <c r="C208" s="172" t="s">
        <v>82</v>
      </c>
      <c r="D208" s="172" t="s">
        <v>218</v>
      </c>
      <c r="E208" s="172">
        <v>1.1253205024631001E-2</v>
      </c>
      <c r="F208" s="172">
        <v>7.0594712646941801E-3</v>
      </c>
      <c r="G208" s="172">
        <v>1.59405777043254</v>
      </c>
    </row>
    <row r="209" spans="2:7" hidden="1" x14ac:dyDescent="0.3">
      <c r="B209" s="172" t="s">
        <v>185</v>
      </c>
      <c r="C209" s="172" t="s">
        <v>82</v>
      </c>
      <c r="D209" s="172" t="s">
        <v>221</v>
      </c>
      <c r="E209" s="172">
        <v>3.3355164412766598E-2</v>
      </c>
      <c r="F209" s="172">
        <v>2.8057816505477999E-2</v>
      </c>
      <c r="G209" s="172">
        <v>1.1888011458858301</v>
      </c>
    </row>
    <row r="210" spans="2:7" hidden="1" x14ac:dyDescent="0.3">
      <c r="B210" s="172" t="s">
        <v>183</v>
      </c>
      <c r="C210" s="172" t="s">
        <v>82</v>
      </c>
      <c r="D210" s="172" t="s">
        <v>218</v>
      </c>
      <c r="E210" s="172">
        <v>1.08015960275858E-2</v>
      </c>
      <c r="F210" s="172">
        <v>6.6313542922016404E-3</v>
      </c>
      <c r="G210" s="172">
        <v>1.62886727983879</v>
      </c>
    </row>
    <row r="211" spans="2:7" hidden="1" x14ac:dyDescent="0.3">
      <c r="B211" s="172" t="s">
        <v>183</v>
      </c>
      <c r="C211" s="172" t="s">
        <v>82</v>
      </c>
      <c r="D211" s="172" t="s">
        <v>221</v>
      </c>
      <c r="E211" s="172">
        <v>3.1456624772371197E-2</v>
      </c>
      <c r="F211" s="172">
        <v>2.6188951001359699E-2</v>
      </c>
      <c r="G211" s="172">
        <v>1.20114107551456</v>
      </c>
    </row>
    <row r="212" spans="2:7" hidden="1" x14ac:dyDescent="0.3">
      <c r="B212" s="172" t="s">
        <v>181</v>
      </c>
      <c r="C212" s="172" t="s">
        <v>82</v>
      </c>
      <c r="D212" s="172" t="s">
        <v>218</v>
      </c>
      <c r="E212" s="172">
        <v>1.00694415583745E-2</v>
      </c>
      <c r="F212" s="172">
        <v>6.0643156942531496E-3</v>
      </c>
      <c r="G212" s="172">
        <v>1.6604415182271499</v>
      </c>
    </row>
    <row r="213" spans="2:7" hidden="1" x14ac:dyDescent="0.3">
      <c r="B213" s="172" t="s">
        <v>181</v>
      </c>
      <c r="C213" s="172" t="s">
        <v>82</v>
      </c>
      <c r="D213" s="172" t="s">
        <v>221</v>
      </c>
      <c r="E213" s="172">
        <v>2.8849811335247701E-2</v>
      </c>
      <c r="F213" s="172">
        <v>2.3790704980568199E-2</v>
      </c>
      <c r="G213" s="172">
        <v>1.21265054393351</v>
      </c>
    </row>
    <row r="214" spans="2:7" hidden="1" x14ac:dyDescent="0.3">
      <c r="B214" s="172" t="s">
        <v>179</v>
      </c>
      <c r="C214" s="172" t="s">
        <v>82</v>
      </c>
      <c r="D214" s="172" t="s">
        <v>218</v>
      </c>
      <c r="E214" s="172">
        <v>9.0958756269911498E-3</v>
      </c>
      <c r="F214" s="172">
        <v>5.3801426101704004E-3</v>
      </c>
      <c r="G214" s="172">
        <v>1.6906383875023501</v>
      </c>
    </row>
    <row r="215" spans="2:7" hidden="1" x14ac:dyDescent="0.3">
      <c r="B215" s="172" t="s">
        <v>179</v>
      </c>
      <c r="C215" s="172" t="s">
        <v>82</v>
      </c>
      <c r="D215" s="172" t="s">
        <v>221</v>
      </c>
      <c r="E215" s="172">
        <v>2.5645643443769899E-2</v>
      </c>
      <c r="F215" s="172">
        <v>2.0952085948838399E-2</v>
      </c>
      <c r="G215" s="172">
        <v>1.2240138526728299</v>
      </c>
    </row>
    <row r="216" spans="2:7" hidden="1" x14ac:dyDescent="0.3">
      <c r="B216" s="172" t="s">
        <v>39</v>
      </c>
      <c r="C216" s="172" t="s">
        <v>82</v>
      </c>
      <c r="D216" s="172" t="s">
        <v>218</v>
      </c>
      <c r="E216" s="172">
        <v>7.9113932941751609E-3</v>
      </c>
      <c r="F216" s="172">
        <v>4.5974892919712403E-3</v>
      </c>
      <c r="G216" s="172">
        <v>1.7208073345578201</v>
      </c>
    </row>
    <row r="217" spans="2:7" hidden="1" x14ac:dyDescent="0.3">
      <c r="B217" s="172" t="s">
        <v>39</v>
      </c>
      <c r="C217" s="172" t="s">
        <v>82</v>
      </c>
      <c r="D217" s="172" t="s">
        <v>221</v>
      </c>
      <c r="E217" s="172">
        <v>2.19413526192704E-2</v>
      </c>
      <c r="F217" s="172">
        <v>1.7755368616486501E-2</v>
      </c>
      <c r="G217" s="172">
        <v>1.2357587777083401</v>
      </c>
    </row>
    <row r="218" spans="2:7" hidden="1" x14ac:dyDescent="0.3">
      <c r="B218" s="172" t="s">
        <v>26</v>
      </c>
      <c r="C218" s="172" t="s">
        <v>82</v>
      </c>
      <c r="D218" s="172" t="s">
        <v>218</v>
      </c>
      <c r="E218" s="172">
        <v>6.5305614614088797E-3</v>
      </c>
      <c r="F218" s="172">
        <v>3.7313380069311699E-3</v>
      </c>
      <c r="G218" s="172">
        <v>1.7501929466797099</v>
      </c>
    </row>
    <row r="219" spans="2:7" hidden="1" x14ac:dyDescent="0.3">
      <c r="B219" s="172" t="s">
        <v>26</v>
      </c>
      <c r="C219" s="172" t="s">
        <v>82</v>
      </c>
      <c r="D219" s="172" t="s">
        <v>221</v>
      </c>
      <c r="E219" s="172">
        <v>1.7813866943928901E-2</v>
      </c>
      <c r="F219" s="172">
        <v>1.4278005738272899E-2</v>
      </c>
      <c r="G219" s="172">
        <v>1.24764391263536</v>
      </c>
    </row>
    <row r="220" spans="2:7" hidden="1" x14ac:dyDescent="0.3">
      <c r="B220" s="172" t="s">
        <v>25</v>
      </c>
      <c r="C220" s="172" t="s">
        <v>82</v>
      </c>
      <c r="D220" s="172" t="s">
        <v>218</v>
      </c>
      <c r="E220" s="172">
        <v>4.9722504300485802E-3</v>
      </c>
      <c r="F220" s="172">
        <v>2.8028199613223301E-3</v>
      </c>
      <c r="G220" s="172">
        <v>1.77401706091131</v>
      </c>
    </row>
    <row r="221" spans="2:7" hidden="1" x14ac:dyDescent="0.3">
      <c r="B221" s="172" t="s">
        <v>25</v>
      </c>
      <c r="C221" s="172" t="s">
        <v>82</v>
      </c>
      <c r="D221" s="172" t="s">
        <v>221</v>
      </c>
      <c r="E221" s="172">
        <v>1.3330906918656999E-2</v>
      </c>
      <c r="F221" s="172">
        <v>1.0590573695002801E-2</v>
      </c>
      <c r="G221" s="172">
        <v>1.25875210376443</v>
      </c>
    </row>
    <row r="222" spans="2:7" hidden="1" x14ac:dyDescent="0.3">
      <c r="B222" s="172" t="s">
        <v>24</v>
      </c>
      <c r="C222" s="172" t="s">
        <v>82</v>
      </c>
      <c r="D222" s="172" t="s">
        <v>218</v>
      </c>
      <c r="E222" s="172">
        <v>3.2683172162290101E-3</v>
      </c>
      <c r="F222" s="172">
        <v>1.8302061744217401E-3</v>
      </c>
      <c r="G222" s="172">
        <v>1.7857645012380301</v>
      </c>
    </row>
    <row r="223" spans="2:7" hidden="1" x14ac:dyDescent="0.3">
      <c r="B223" s="172" t="s">
        <v>24</v>
      </c>
      <c r="C223" s="172" t="s">
        <v>82</v>
      </c>
      <c r="D223" s="172" t="s">
        <v>221</v>
      </c>
      <c r="E223" s="172">
        <v>8.5922896298463603E-3</v>
      </c>
      <c r="F223" s="172">
        <v>6.7757283138792802E-3</v>
      </c>
      <c r="G223" s="172">
        <v>1.2680983108850501</v>
      </c>
    </row>
    <row r="224" spans="2:7" hidden="1" x14ac:dyDescent="0.3">
      <c r="B224" s="172" t="s">
        <v>22</v>
      </c>
      <c r="C224" s="172" t="s">
        <v>82</v>
      </c>
      <c r="D224" s="172" t="s">
        <v>218</v>
      </c>
      <c r="E224" s="172">
        <v>1.4994191596256199E-3</v>
      </c>
      <c r="F224" s="172">
        <v>8.5125039555591301E-4</v>
      </c>
      <c r="G224" s="172">
        <v>1.7614313807706601</v>
      </c>
    </row>
    <row r="225" spans="2:7" hidden="1" x14ac:dyDescent="0.3">
      <c r="B225" s="172" t="s">
        <v>22</v>
      </c>
      <c r="C225" s="172" t="s">
        <v>82</v>
      </c>
      <c r="D225" s="172" t="s">
        <v>221</v>
      </c>
      <c r="E225" s="172">
        <v>3.8332301085578602E-3</v>
      </c>
      <c r="F225" s="172">
        <v>3.0144906171013799E-3</v>
      </c>
      <c r="G225" s="172">
        <v>1.2716012737978699</v>
      </c>
    </row>
    <row r="226" spans="2:7" hidden="1" x14ac:dyDescent="0.3">
      <c r="B226" s="172" t="s">
        <v>189</v>
      </c>
      <c r="C226" s="172" t="s">
        <v>246</v>
      </c>
      <c r="D226" s="172" t="s">
        <v>218</v>
      </c>
      <c r="E226" s="172">
        <v>5.7493584188761902E-4</v>
      </c>
      <c r="F226" s="172">
        <v>4.6673106430350898E-4</v>
      </c>
      <c r="G226" s="172">
        <v>1.23183538842777</v>
      </c>
    </row>
    <row r="227" spans="2:7" s="172" customFormat="1" hidden="1" x14ac:dyDescent="0.3">
      <c r="B227" s="172" t="s">
        <v>189</v>
      </c>
      <c r="C227" s="172" t="s">
        <v>246</v>
      </c>
      <c r="D227" s="172" t="s">
        <v>221</v>
      </c>
      <c r="E227" s="172">
        <v>2.8515380440846802E-4</v>
      </c>
      <c r="F227" s="172">
        <v>1.4989783242833201E-4</v>
      </c>
      <c r="G227" s="172">
        <v>1.9023210662155801</v>
      </c>
    </row>
    <row r="228" spans="2:7" hidden="1" x14ac:dyDescent="0.3">
      <c r="B228" s="172" t="s">
        <v>187</v>
      </c>
      <c r="C228" s="172" t="s">
        <v>246</v>
      </c>
      <c r="D228" s="172" t="s">
        <v>218</v>
      </c>
      <c r="E228" s="172">
        <v>6.4737251552048395E-4</v>
      </c>
      <c r="F228" s="172">
        <v>1.3600950768202899E-4</v>
      </c>
      <c r="G228" s="172">
        <v>4.7597592738439198</v>
      </c>
    </row>
    <row r="229" spans="2:7" hidden="1" x14ac:dyDescent="0.3">
      <c r="B229" s="172" t="s">
        <v>187</v>
      </c>
      <c r="C229" s="172" t="s">
        <v>246</v>
      </c>
      <c r="D229" s="172" t="s">
        <v>221</v>
      </c>
      <c r="E229" s="172">
        <v>1.1639146333051E-3</v>
      </c>
      <c r="F229" s="172">
        <v>5.1798241287757995E-4</v>
      </c>
      <c r="G229" s="172">
        <v>2.24701573715434</v>
      </c>
    </row>
    <row r="230" spans="2:7" s="172" customFormat="1" hidden="1" x14ac:dyDescent="0.3">
      <c r="B230" s="172" t="s">
        <v>185</v>
      </c>
      <c r="C230" s="172" t="s">
        <v>246</v>
      </c>
      <c r="D230" s="172" t="s">
        <v>218</v>
      </c>
      <c r="E230" s="172">
        <v>6.1499788302905498E-4</v>
      </c>
      <c r="F230" s="172">
        <v>1.6372400348671799E-4</v>
      </c>
      <c r="G230" s="172">
        <v>3.7563086043088698</v>
      </c>
    </row>
    <row r="231" spans="2:7" hidden="1" x14ac:dyDescent="0.3">
      <c r="B231" s="172" t="s">
        <v>185</v>
      </c>
      <c r="C231" s="172" t="s">
        <v>246</v>
      </c>
      <c r="D231" s="172" t="s">
        <v>221</v>
      </c>
      <c r="E231" s="172">
        <v>1.0134879131647801E-3</v>
      </c>
      <c r="F231" s="172">
        <v>4.4345774953235699E-4</v>
      </c>
      <c r="G231" s="172">
        <v>2.2854215857847699</v>
      </c>
    </row>
    <row r="232" spans="2:7" hidden="1" x14ac:dyDescent="0.3">
      <c r="B232" s="172" t="s">
        <v>183</v>
      </c>
      <c r="C232" s="172" t="s">
        <v>246</v>
      </c>
      <c r="D232" s="172" t="s">
        <v>218</v>
      </c>
      <c r="E232" s="172">
        <v>5.8271599780080198E-4</v>
      </c>
      <c r="F232" s="172">
        <v>1.9470470687349E-4</v>
      </c>
      <c r="G232" s="172">
        <v>2.9928192654296</v>
      </c>
    </row>
    <row r="233" spans="2:7" s="172" customFormat="1" hidden="1" x14ac:dyDescent="0.3">
      <c r="B233" s="172" t="s">
        <v>183</v>
      </c>
      <c r="C233" s="172" t="s">
        <v>246</v>
      </c>
      <c r="D233" s="172" t="s">
        <v>221</v>
      </c>
      <c r="E233" s="172">
        <v>8.6594317007260497E-4</v>
      </c>
      <c r="F233" s="172">
        <v>3.7582364469073603E-4</v>
      </c>
      <c r="G233" s="172">
        <v>2.3041210480122598</v>
      </c>
    </row>
    <row r="234" spans="2:7" hidden="1" x14ac:dyDescent="0.3">
      <c r="B234" s="172" t="s">
        <v>181</v>
      </c>
      <c r="C234" s="172" t="s">
        <v>246</v>
      </c>
      <c r="D234" s="172" t="s">
        <v>218</v>
      </c>
      <c r="E234" s="172">
        <v>5.4756503533422705E-4</v>
      </c>
      <c r="F234" s="172">
        <v>2.2041561832579501E-4</v>
      </c>
      <c r="G234" s="172">
        <v>2.4842388188883899</v>
      </c>
    </row>
    <row r="235" spans="2:7" hidden="1" x14ac:dyDescent="0.3">
      <c r="B235" s="172" t="s">
        <v>181</v>
      </c>
      <c r="C235" s="172" t="s">
        <v>246</v>
      </c>
      <c r="D235" s="172" t="s">
        <v>221</v>
      </c>
      <c r="E235" s="172">
        <v>7.2494618546652101E-4</v>
      </c>
      <c r="F235" s="172">
        <v>3.1170481661376602E-4</v>
      </c>
      <c r="G235" s="172">
        <v>2.32574585578126</v>
      </c>
    </row>
    <row r="236" spans="2:7" s="172" customFormat="1" hidden="1" x14ac:dyDescent="0.3">
      <c r="B236" s="172" t="s">
        <v>179</v>
      </c>
      <c r="C236" s="172" t="s">
        <v>246</v>
      </c>
      <c r="D236" s="172" t="s">
        <v>218</v>
      </c>
      <c r="E236" s="172">
        <v>5.0929150336865799E-4</v>
      </c>
      <c r="F236" s="172">
        <v>2.3974163491243799E-4</v>
      </c>
      <c r="G236" s="172">
        <v>2.12433482217084</v>
      </c>
    </row>
    <row r="237" spans="2:7" hidden="1" x14ac:dyDescent="0.3">
      <c r="B237" s="172" t="s">
        <v>179</v>
      </c>
      <c r="C237" s="172" t="s">
        <v>246</v>
      </c>
      <c r="D237" s="172" t="s">
        <v>221</v>
      </c>
      <c r="E237" s="172">
        <v>5.9209716282231496E-4</v>
      </c>
      <c r="F237" s="172">
        <v>2.51613118456563E-4</v>
      </c>
      <c r="G237" s="172">
        <v>2.3532046598140002</v>
      </c>
    </row>
    <row r="238" spans="2:7" hidden="1" x14ac:dyDescent="0.3">
      <c r="B238" s="172" t="s">
        <v>39</v>
      </c>
      <c r="C238" s="172" t="s">
        <v>246</v>
      </c>
      <c r="D238" s="172" t="s">
        <v>218</v>
      </c>
      <c r="E238" s="172">
        <v>4.6654343578618501E-4</v>
      </c>
      <c r="F238" s="172">
        <v>2.50335060049393E-4</v>
      </c>
      <c r="G238" s="172">
        <v>1.8636759696948999</v>
      </c>
    </row>
    <row r="239" spans="2:7" s="172" customFormat="1" hidden="1" x14ac:dyDescent="0.3">
      <c r="B239" s="172" t="s">
        <v>39</v>
      </c>
      <c r="C239" s="172" t="s">
        <v>246</v>
      </c>
      <c r="D239" s="172" t="s">
        <v>221</v>
      </c>
      <c r="E239" s="172">
        <v>4.6897541958758403E-4</v>
      </c>
      <c r="F239" s="172">
        <v>1.9587010286742701E-4</v>
      </c>
      <c r="G239" s="172">
        <v>2.3943185443926902</v>
      </c>
    </row>
    <row r="240" spans="2:7" hidden="1" x14ac:dyDescent="0.3">
      <c r="B240" s="172" t="s">
        <v>26</v>
      </c>
      <c r="C240" s="172" t="s">
        <v>246</v>
      </c>
      <c r="D240" s="172" t="s">
        <v>218</v>
      </c>
      <c r="E240" s="172">
        <v>4.12783277049594E-4</v>
      </c>
      <c r="F240" s="172">
        <v>2.45425906251586E-4</v>
      </c>
      <c r="G240" s="172">
        <v>1.68190588904844</v>
      </c>
    </row>
    <row r="241" spans="2:7" hidden="1" x14ac:dyDescent="0.3">
      <c r="B241" s="172" t="s">
        <v>26</v>
      </c>
      <c r="C241" s="172" t="s">
        <v>246</v>
      </c>
      <c r="D241" s="172" t="s">
        <v>221</v>
      </c>
      <c r="E241" s="172">
        <v>3.54704467558035E-4</v>
      </c>
      <c r="F241" s="172">
        <v>1.4330568339213001E-4</v>
      </c>
      <c r="G241" s="172">
        <v>2.4751598063801201</v>
      </c>
    </row>
    <row r="242" spans="2:7" s="172" customFormat="1" hidden="1" x14ac:dyDescent="0.3">
      <c r="B242" s="172" t="s">
        <v>25</v>
      </c>
      <c r="C242" s="172" t="s">
        <v>246</v>
      </c>
      <c r="D242" s="172" t="s">
        <v>218</v>
      </c>
      <c r="E242" s="172">
        <v>3.4068213149131298E-4</v>
      </c>
      <c r="F242" s="172">
        <v>2.22753360154262E-4</v>
      </c>
      <c r="G242" s="172">
        <v>1.52941410740284</v>
      </c>
    </row>
    <row r="243" spans="2:7" hidden="1" x14ac:dyDescent="0.3">
      <c r="B243" s="172" t="s">
        <v>25</v>
      </c>
      <c r="C243" s="172" t="s">
        <v>246</v>
      </c>
      <c r="D243" s="172" t="s">
        <v>221</v>
      </c>
      <c r="E243" s="172">
        <v>2.4879477924088898E-4</v>
      </c>
      <c r="F243" s="172">
        <v>9.9832120709876802E-5</v>
      </c>
      <c r="G243" s="172">
        <v>2.4921315651894602</v>
      </c>
    </row>
    <row r="244" spans="2:7" hidden="1" x14ac:dyDescent="0.3">
      <c r="B244" s="172" t="s">
        <v>24</v>
      </c>
      <c r="C244" s="172" t="s">
        <v>246</v>
      </c>
      <c r="D244" s="172" t="s">
        <v>218</v>
      </c>
      <c r="E244" s="172">
        <v>2.58122333722153E-4</v>
      </c>
      <c r="F244" s="172">
        <v>1.83762241180898E-4</v>
      </c>
      <c r="G244" s="172">
        <v>1.40465381823491</v>
      </c>
    </row>
    <row r="245" spans="2:7" hidden="1" x14ac:dyDescent="0.3">
      <c r="B245" s="172" t="s">
        <v>24</v>
      </c>
      <c r="C245" s="172" t="s">
        <v>246</v>
      </c>
      <c r="D245" s="172" t="s">
        <v>221</v>
      </c>
      <c r="E245" s="172">
        <v>1.58121991547818E-4</v>
      </c>
      <c r="F245" s="172">
        <v>6.4193453600969205E-5</v>
      </c>
      <c r="G245" s="172">
        <v>2.4632105406061302</v>
      </c>
    </row>
    <row r="246" spans="2:7" hidden="1" x14ac:dyDescent="0.3">
      <c r="B246" s="172" t="s">
        <v>22</v>
      </c>
      <c r="C246" s="172" t="s">
        <v>246</v>
      </c>
      <c r="D246" s="172" t="s">
        <v>218</v>
      </c>
      <c r="E246" s="172">
        <v>1.52289212325515E-4</v>
      </c>
      <c r="F246" s="172">
        <v>1.14206382834512E-4</v>
      </c>
      <c r="G246" s="172">
        <v>1.3334562267521</v>
      </c>
    </row>
    <row r="247" spans="2:7" hidden="1" x14ac:dyDescent="0.3">
      <c r="B247" s="172" t="s">
        <v>22</v>
      </c>
      <c r="C247" s="172" t="s">
        <v>246</v>
      </c>
      <c r="D247" s="172" t="s">
        <v>221</v>
      </c>
      <c r="E247" s="172">
        <v>8.0520664862105998E-5</v>
      </c>
      <c r="F247" s="172">
        <v>3.2416038136629498E-5</v>
      </c>
      <c r="G247" s="172">
        <v>2.4839761269628799</v>
      </c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2.28283669440171E-2</v>
      </c>
      <c r="F270" s="172">
        <v>2.22085171325242E-2</v>
      </c>
      <c r="G270" s="172">
        <v>1.02791045470502</v>
      </c>
    </row>
    <row r="271" spans="2:7" hidden="1" x14ac:dyDescent="0.3">
      <c r="B271" s="172" t="s">
        <v>189</v>
      </c>
      <c r="C271" s="172" t="s">
        <v>79</v>
      </c>
      <c r="D271" s="172" t="s">
        <v>221</v>
      </c>
      <c r="E271" s="172">
        <v>5.7656237434118296E-3</v>
      </c>
      <c r="F271" s="172">
        <v>4.9908114790457201E-3</v>
      </c>
      <c r="G271" s="172">
        <v>1.15524775231828</v>
      </c>
    </row>
    <row r="272" spans="2:7" hidden="1" x14ac:dyDescent="0.3">
      <c r="B272" s="172" t="s">
        <v>187</v>
      </c>
      <c r="C272" s="172" t="s">
        <v>79</v>
      </c>
      <c r="D272" s="172" t="s">
        <v>218</v>
      </c>
      <c r="E272" s="172">
        <v>2.6399113753276499E-2</v>
      </c>
      <c r="F272" s="172">
        <v>2.34829742138177E-2</v>
      </c>
      <c r="G272" s="172">
        <v>1.1241810135678201</v>
      </c>
    </row>
    <row r="273" spans="2:7" hidden="1" x14ac:dyDescent="0.3">
      <c r="B273" s="172" t="s">
        <v>187</v>
      </c>
      <c r="C273" s="172" t="s">
        <v>79</v>
      </c>
      <c r="D273" s="172" t="s">
        <v>221</v>
      </c>
      <c r="E273" s="172">
        <v>1.11803413607115E-2</v>
      </c>
      <c r="F273" s="172">
        <v>7.4967966792898301E-3</v>
      </c>
      <c r="G273" s="172">
        <v>1.49134915071094</v>
      </c>
    </row>
    <row r="274" spans="2:7" hidden="1" x14ac:dyDescent="0.3">
      <c r="B274" s="172" t="s">
        <v>185</v>
      </c>
      <c r="C274" s="172" t="s">
        <v>79</v>
      </c>
      <c r="D274" s="172" t="s">
        <v>218</v>
      </c>
      <c r="E274" s="172">
        <v>2.5528547946055399E-2</v>
      </c>
      <c r="F274" s="172">
        <v>2.2542112625210799E-2</v>
      </c>
      <c r="G274" s="172">
        <v>1.13248249489733</v>
      </c>
    </row>
    <row r="275" spans="2:7" hidden="1" x14ac:dyDescent="0.3">
      <c r="B275" s="172" t="s">
        <v>185</v>
      </c>
      <c r="C275" s="172" t="s">
        <v>79</v>
      </c>
      <c r="D275" s="172" t="s">
        <v>221</v>
      </c>
      <c r="E275" s="172">
        <v>1.0915018134309101E-2</v>
      </c>
      <c r="F275" s="172">
        <v>7.1426787816633299E-3</v>
      </c>
      <c r="G275" s="172">
        <v>1.5281406973431499</v>
      </c>
    </row>
    <row r="276" spans="2:7" hidden="1" x14ac:dyDescent="0.3">
      <c r="B276" s="172" t="s">
        <v>183</v>
      </c>
      <c r="C276" s="172" t="s">
        <v>79</v>
      </c>
      <c r="D276" s="172" t="s">
        <v>218</v>
      </c>
      <c r="E276" s="172">
        <v>2.4085678439143499E-2</v>
      </c>
      <c r="F276" s="172">
        <v>2.1118661906518701E-2</v>
      </c>
      <c r="G276" s="172">
        <v>1.1404926384899901</v>
      </c>
    </row>
    <row r="277" spans="2:7" hidden="1" x14ac:dyDescent="0.3">
      <c r="B277" s="172" t="s">
        <v>183</v>
      </c>
      <c r="C277" s="172" t="s">
        <v>79</v>
      </c>
      <c r="D277" s="172" t="s">
        <v>221</v>
      </c>
      <c r="E277" s="172">
        <v>1.03951239719841E-2</v>
      </c>
      <c r="F277" s="172">
        <v>6.64731361498439E-3</v>
      </c>
      <c r="G277" s="172">
        <v>1.5638082651240399</v>
      </c>
    </row>
    <row r="278" spans="2:7" hidden="1" x14ac:dyDescent="0.3">
      <c r="B278" s="172" t="s">
        <v>181</v>
      </c>
      <c r="C278" s="172" t="s">
        <v>79</v>
      </c>
      <c r="D278" s="172" t="s">
        <v>218</v>
      </c>
      <c r="E278" s="172">
        <v>2.2108624070903801E-2</v>
      </c>
      <c r="F278" s="172">
        <v>1.9259457382068999E-2</v>
      </c>
      <c r="G278" s="172">
        <v>1.1479359793120401</v>
      </c>
    </row>
    <row r="279" spans="2:7" hidden="1" x14ac:dyDescent="0.3">
      <c r="B279" s="172" t="s">
        <v>181</v>
      </c>
      <c r="C279" s="172" t="s">
        <v>79</v>
      </c>
      <c r="D279" s="172" t="s">
        <v>221</v>
      </c>
      <c r="E279" s="172">
        <v>9.6222960422882794E-3</v>
      </c>
      <c r="F279" s="172">
        <v>6.0233486458652896E-3</v>
      </c>
      <c r="G279" s="172">
        <v>1.5974994322956</v>
      </c>
    </row>
    <row r="280" spans="2:7" hidden="1" x14ac:dyDescent="0.3">
      <c r="B280" s="172" t="s">
        <v>179</v>
      </c>
      <c r="C280" s="172" t="s">
        <v>79</v>
      </c>
      <c r="D280" s="172" t="s">
        <v>218</v>
      </c>
      <c r="E280" s="172">
        <v>1.9675243984792399E-2</v>
      </c>
      <c r="F280" s="172">
        <v>1.7031469614226E-2</v>
      </c>
      <c r="G280" s="172">
        <v>1.15522878708941</v>
      </c>
    </row>
    <row r="281" spans="2:7" hidden="1" x14ac:dyDescent="0.3">
      <c r="B281" s="172" t="s">
        <v>179</v>
      </c>
      <c r="C281" s="172" t="s">
        <v>79</v>
      </c>
      <c r="D281" s="172" t="s">
        <v>221</v>
      </c>
      <c r="E281" s="172">
        <v>8.6308131064541608E-3</v>
      </c>
      <c r="F281" s="172">
        <v>5.2913086383702401E-3</v>
      </c>
      <c r="G281" s="172">
        <v>1.63113016010204</v>
      </c>
    </row>
    <row r="282" spans="2:7" hidden="1" x14ac:dyDescent="0.3">
      <c r="B282" s="172" t="s">
        <v>39</v>
      </c>
      <c r="C282" s="172" t="s">
        <v>79</v>
      </c>
      <c r="D282" s="172" t="s">
        <v>218</v>
      </c>
      <c r="E282" s="172">
        <v>1.6857692875099799E-2</v>
      </c>
      <c r="F282" s="172">
        <v>1.44993012711538E-2</v>
      </c>
      <c r="G282" s="172">
        <v>1.1626555349007099</v>
      </c>
    </row>
    <row r="283" spans="2:7" hidden="1" x14ac:dyDescent="0.3">
      <c r="B283" s="172" t="s">
        <v>39</v>
      </c>
      <c r="C283" s="172" t="s">
        <v>79</v>
      </c>
      <c r="D283" s="172" t="s">
        <v>221</v>
      </c>
      <c r="E283" s="172">
        <v>7.4495240704356598E-3</v>
      </c>
      <c r="F283" s="172">
        <v>4.4705030970301502E-3</v>
      </c>
      <c r="G283" s="172">
        <v>1.66637264503508</v>
      </c>
    </row>
    <row r="284" spans="2:7" hidden="1" x14ac:dyDescent="0.3">
      <c r="B284" s="172" t="s">
        <v>26</v>
      </c>
      <c r="C284" s="172" t="s">
        <v>79</v>
      </c>
      <c r="D284" s="172" t="s">
        <v>218</v>
      </c>
      <c r="E284" s="172">
        <v>1.37236088358304E-2</v>
      </c>
      <c r="F284" s="172">
        <v>1.1736039985723401E-2</v>
      </c>
      <c r="G284" s="172">
        <v>1.1693560053071499</v>
      </c>
    </row>
    <row r="285" spans="2:7" hidden="1" x14ac:dyDescent="0.3">
      <c r="B285" s="172" t="s">
        <v>26</v>
      </c>
      <c r="C285" s="172" t="s">
        <v>79</v>
      </c>
      <c r="D285" s="172" t="s">
        <v>221</v>
      </c>
      <c r="E285" s="172">
        <v>6.0907835255217197E-3</v>
      </c>
      <c r="F285" s="172">
        <v>3.58017024117596E-3</v>
      </c>
      <c r="G285" s="172">
        <v>1.70125527983862</v>
      </c>
    </row>
    <row r="286" spans="2:7" hidden="1" x14ac:dyDescent="0.3">
      <c r="B286" s="172" t="s">
        <v>25</v>
      </c>
      <c r="C286" s="172" t="s">
        <v>79</v>
      </c>
      <c r="D286" s="172" t="s">
        <v>218</v>
      </c>
      <c r="E286" s="172">
        <v>1.03350345715618E-2</v>
      </c>
      <c r="F286" s="172">
        <v>8.8047316404746504E-3</v>
      </c>
      <c r="G286" s="172">
        <v>1.17380460797379</v>
      </c>
    </row>
    <row r="287" spans="2:7" hidden="1" x14ac:dyDescent="0.3">
      <c r="B287" s="172" t="s">
        <v>25</v>
      </c>
      <c r="C287" s="172" t="s">
        <v>79</v>
      </c>
      <c r="D287" s="172" t="s">
        <v>221</v>
      </c>
      <c r="E287" s="172">
        <v>4.5741412585777099E-3</v>
      </c>
      <c r="F287" s="172">
        <v>2.6411270298360499E-3</v>
      </c>
      <c r="G287" s="172">
        <v>1.73188991173274</v>
      </c>
    </row>
    <row r="288" spans="2:7" hidden="1" x14ac:dyDescent="0.3">
      <c r="B288" s="172" t="s">
        <v>24</v>
      </c>
      <c r="C288" s="172" t="s">
        <v>79</v>
      </c>
      <c r="D288" s="172" t="s">
        <v>218</v>
      </c>
      <c r="E288" s="172">
        <v>6.7603597407013697E-3</v>
      </c>
      <c r="F288" s="172">
        <v>5.7585115402487702E-3</v>
      </c>
      <c r="G288" s="172">
        <v>1.17397693717382</v>
      </c>
    </row>
    <row r="289" spans="2:7" hidden="1" x14ac:dyDescent="0.3">
      <c r="B289" s="172" t="s">
        <v>24</v>
      </c>
      <c r="C289" s="172" t="s">
        <v>79</v>
      </c>
      <c r="D289" s="172" t="s">
        <v>221</v>
      </c>
      <c r="E289" s="172">
        <v>2.9427173351514401E-3</v>
      </c>
      <c r="F289" s="172">
        <v>1.67722487142183E-3</v>
      </c>
      <c r="G289" s="172">
        <v>1.75451567961594</v>
      </c>
    </row>
    <row r="290" spans="2:7" hidden="1" x14ac:dyDescent="0.3">
      <c r="B290" s="172" t="s">
        <v>22</v>
      </c>
      <c r="C290" s="172" t="s">
        <v>79</v>
      </c>
      <c r="D290" s="172" t="s">
        <v>218</v>
      </c>
      <c r="E290" s="172">
        <v>3.1322723132893898E-3</v>
      </c>
      <c r="F290" s="172">
        <v>2.6978264176782999E-3</v>
      </c>
      <c r="G290" s="172">
        <v>1.1610355257715099</v>
      </c>
    </row>
    <row r="291" spans="2:7" hidden="1" x14ac:dyDescent="0.3">
      <c r="B291" s="172" t="s">
        <v>22</v>
      </c>
      <c r="C291" s="172" t="s">
        <v>79</v>
      </c>
      <c r="D291" s="172" t="s">
        <v>221</v>
      </c>
      <c r="E291" s="172">
        <v>1.28915875962696E-3</v>
      </c>
      <c r="F291" s="172">
        <v>7.4038499674978803E-4</v>
      </c>
      <c r="G291" s="172">
        <v>1.7412005446979999</v>
      </c>
    </row>
    <row r="292" spans="2:7" hidden="1" x14ac:dyDescent="0.3">
      <c r="B292" s="172" t="s">
        <v>189</v>
      </c>
      <c r="C292" s="172" t="s">
        <v>80</v>
      </c>
      <c r="D292" s="172" t="s">
        <v>218</v>
      </c>
      <c r="E292" s="172">
        <v>2.40037306457619E-2</v>
      </c>
      <c r="F292" s="172">
        <v>2.3963356377019799E-2</v>
      </c>
      <c r="G292" s="172">
        <v>1.00168483363127</v>
      </c>
    </row>
    <row r="293" spans="2:7" hidden="1" x14ac:dyDescent="0.3">
      <c r="B293" s="172" t="s">
        <v>189</v>
      </c>
      <c r="C293" s="172" t="s">
        <v>80</v>
      </c>
      <c r="D293" s="172" t="s">
        <v>221</v>
      </c>
      <c r="E293" s="172">
        <v>7.8109989016943004E-3</v>
      </c>
      <c r="F293" s="172">
        <v>7.7605310657666397E-3</v>
      </c>
      <c r="G293" s="172">
        <v>1.0065031420530299</v>
      </c>
    </row>
    <row r="294" spans="2:7" hidden="1" x14ac:dyDescent="0.3">
      <c r="B294" s="172" t="s">
        <v>187</v>
      </c>
      <c r="C294" s="172" t="s">
        <v>80</v>
      </c>
      <c r="D294" s="172" t="s">
        <v>218</v>
      </c>
      <c r="E294" s="172">
        <v>2.3269864903158001E-2</v>
      </c>
      <c r="F294" s="172">
        <v>2.3049676153291999E-2</v>
      </c>
      <c r="G294" s="172">
        <v>1.00955279147532</v>
      </c>
    </row>
    <row r="295" spans="2:7" hidden="1" x14ac:dyDescent="0.3">
      <c r="B295" s="172" t="s">
        <v>187</v>
      </c>
      <c r="C295" s="172" t="s">
        <v>80</v>
      </c>
      <c r="D295" s="172" t="s">
        <v>221</v>
      </c>
      <c r="E295" s="172">
        <v>7.7285238434445496E-3</v>
      </c>
      <c r="F295" s="172">
        <v>7.4503906857190799E-3</v>
      </c>
      <c r="G295" s="172">
        <v>1.03733135206703</v>
      </c>
    </row>
    <row r="296" spans="2:7" hidden="1" x14ac:dyDescent="0.3">
      <c r="B296" s="172" t="s">
        <v>185</v>
      </c>
      <c r="C296" s="172" t="s">
        <v>80</v>
      </c>
      <c r="D296" s="172" t="s">
        <v>218</v>
      </c>
      <c r="E296" s="172">
        <v>2.25073034412667E-2</v>
      </c>
      <c r="F296" s="172">
        <v>2.2113078377506298E-2</v>
      </c>
      <c r="G296" s="172">
        <v>1.0178276880780801</v>
      </c>
    </row>
    <row r="297" spans="2:7" hidden="1" x14ac:dyDescent="0.3">
      <c r="B297" s="172" t="s">
        <v>185</v>
      </c>
      <c r="C297" s="172" t="s">
        <v>80</v>
      </c>
      <c r="D297" s="172" t="s">
        <v>221</v>
      </c>
      <c r="E297" s="172">
        <v>7.5643284510098496E-3</v>
      </c>
      <c r="F297" s="172">
        <v>7.06635994941776E-3</v>
      </c>
      <c r="G297" s="172">
        <v>1.07047029944082</v>
      </c>
    </row>
    <row r="298" spans="2:7" hidden="1" x14ac:dyDescent="0.3">
      <c r="B298" s="172" t="s">
        <v>183</v>
      </c>
      <c r="C298" s="172" t="s">
        <v>80</v>
      </c>
      <c r="D298" s="172" t="s">
        <v>218</v>
      </c>
      <c r="E298" s="172">
        <v>2.1237993570816599E-2</v>
      </c>
      <c r="F298" s="172">
        <v>2.0703822987484799E-2</v>
      </c>
      <c r="G298" s="172">
        <v>1.02580057720039</v>
      </c>
    </row>
    <row r="299" spans="2:7" hidden="1" x14ac:dyDescent="0.3">
      <c r="B299" s="172" t="s">
        <v>183</v>
      </c>
      <c r="C299" s="172" t="s">
        <v>80</v>
      </c>
      <c r="D299" s="172" t="s">
        <v>221</v>
      </c>
      <c r="E299" s="172">
        <v>7.2208468957943098E-3</v>
      </c>
      <c r="F299" s="172">
        <v>6.5461051063225601E-3</v>
      </c>
      <c r="G299" s="172">
        <v>1.1030753063864001</v>
      </c>
    </row>
    <row r="300" spans="2:7" hidden="1" x14ac:dyDescent="0.3">
      <c r="B300" s="172" t="s">
        <v>181</v>
      </c>
      <c r="C300" s="172" t="s">
        <v>80</v>
      </c>
      <c r="D300" s="172" t="s">
        <v>218</v>
      </c>
      <c r="E300" s="172">
        <v>1.9496096144599899E-2</v>
      </c>
      <c r="F300" s="172">
        <v>1.8869871558167901E-2</v>
      </c>
      <c r="G300" s="172">
        <v>1.03318647848247</v>
      </c>
    </row>
    <row r="301" spans="2:7" hidden="1" x14ac:dyDescent="0.3">
      <c r="B301" s="172" t="s">
        <v>181</v>
      </c>
      <c r="C301" s="172" t="s">
        <v>80</v>
      </c>
      <c r="D301" s="172" t="s">
        <v>221</v>
      </c>
      <c r="E301" s="172">
        <v>6.6965394502843303E-3</v>
      </c>
      <c r="F301" s="172">
        <v>5.9055189200543897E-3</v>
      </c>
      <c r="G301" s="172">
        <v>1.1339459818753199</v>
      </c>
    </row>
    <row r="302" spans="2:7" hidden="1" x14ac:dyDescent="0.3">
      <c r="B302" s="172" t="s">
        <v>179</v>
      </c>
      <c r="C302" s="172" t="s">
        <v>80</v>
      </c>
      <c r="D302" s="172" t="s">
        <v>218</v>
      </c>
      <c r="E302" s="172">
        <v>1.7350926051536202E-2</v>
      </c>
      <c r="F302" s="172">
        <v>1.6677014162665899E-2</v>
      </c>
      <c r="G302" s="172">
        <v>1.04040962502622</v>
      </c>
    </row>
    <row r="303" spans="2:7" hidden="1" x14ac:dyDescent="0.3">
      <c r="B303" s="172" t="s">
        <v>179</v>
      </c>
      <c r="C303" s="172" t="s">
        <v>80</v>
      </c>
      <c r="D303" s="172" t="s">
        <v>221</v>
      </c>
      <c r="E303" s="172">
        <v>6.0161934352465397E-3</v>
      </c>
      <c r="F303" s="172">
        <v>5.1649363124630096E-3</v>
      </c>
      <c r="G303" s="172">
        <v>1.16481464073999</v>
      </c>
    </row>
    <row r="304" spans="2:7" hidden="1" x14ac:dyDescent="0.3">
      <c r="B304" s="172" t="s">
        <v>39</v>
      </c>
      <c r="C304" s="172" t="s">
        <v>80</v>
      </c>
      <c r="D304" s="172" t="s">
        <v>218</v>
      </c>
      <c r="E304" s="172">
        <v>1.48663794695856E-2</v>
      </c>
      <c r="F304" s="172">
        <v>1.41888160464989E-2</v>
      </c>
      <c r="G304" s="172">
        <v>1.0477533446671099</v>
      </c>
    </row>
    <row r="305" spans="2:7" hidden="1" x14ac:dyDescent="0.3">
      <c r="B305" s="172" t="s">
        <v>39</v>
      </c>
      <c r="C305" s="172" t="s">
        <v>80</v>
      </c>
      <c r="D305" s="172" t="s">
        <v>221</v>
      </c>
      <c r="E305" s="172">
        <v>5.19959483848939E-3</v>
      </c>
      <c r="F305" s="172">
        <v>4.3437252514325004E-3</v>
      </c>
      <c r="G305" s="172">
        <v>1.19703584769194</v>
      </c>
    </row>
    <row r="306" spans="2:7" hidden="1" x14ac:dyDescent="0.3">
      <c r="B306" s="172" t="s">
        <v>26</v>
      </c>
      <c r="C306" s="172" t="s">
        <v>80</v>
      </c>
      <c r="D306" s="172" t="s">
        <v>218</v>
      </c>
      <c r="E306" s="172">
        <v>1.21017871035157E-2</v>
      </c>
      <c r="F306" s="172">
        <v>1.14784820350834E-2</v>
      </c>
      <c r="G306" s="172">
        <v>1.05430204677998</v>
      </c>
    </row>
    <row r="307" spans="2:7" hidden="1" x14ac:dyDescent="0.3">
      <c r="B307" s="172" t="s">
        <v>26</v>
      </c>
      <c r="C307" s="172" t="s">
        <v>80</v>
      </c>
      <c r="D307" s="172" t="s">
        <v>221</v>
      </c>
      <c r="E307" s="172">
        <v>4.2499036596093196E-3</v>
      </c>
      <c r="F307" s="172">
        <v>3.46257094158961E-3</v>
      </c>
      <c r="G307" s="172">
        <v>1.22738385185496</v>
      </c>
    </row>
    <row r="308" spans="2:7" hidden="1" x14ac:dyDescent="0.3">
      <c r="B308" s="172" t="s">
        <v>25</v>
      </c>
      <c r="C308" s="172" t="s">
        <v>80</v>
      </c>
      <c r="D308" s="172" t="s">
        <v>218</v>
      </c>
      <c r="E308" s="172">
        <v>9.1118138726994993E-3</v>
      </c>
      <c r="F308" s="172">
        <v>8.6092556481042106E-3</v>
      </c>
      <c r="G308" s="172">
        <v>1.0583741783421099</v>
      </c>
    </row>
    <row r="309" spans="2:7" hidden="1" x14ac:dyDescent="0.3">
      <c r="B309" s="172" t="s">
        <v>25</v>
      </c>
      <c r="C309" s="172" t="s">
        <v>80</v>
      </c>
      <c r="D309" s="172" t="s">
        <v>221</v>
      </c>
      <c r="E309" s="172">
        <v>3.1785309393335599E-3</v>
      </c>
      <c r="F309" s="172">
        <v>2.5437205503711E-3</v>
      </c>
      <c r="G309" s="172">
        <v>1.24955979888194</v>
      </c>
    </row>
    <row r="310" spans="2:7" hidden="1" x14ac:dyDescent="0.3">
      <c r="B310" s="172" t="s">
        <v>24</v>
      </c>
      <c r="C310" s="172" t="s">
        <v>80</v>
      </c>
      <c r="D310" s="172" t="s">
        <v>218</v>
      </c>
      <c r="E310" s="172">
        <v>5.9569596340828803E-3</v>
      </c>
      <c r="F310" s="172">
        <v>5.6322767697037299E-3</v>
      </c>
      <c r="G310" s="172">
        <v>1.0576468234170699</v>
      </c>
    </row>
    <row r="311" spans="2:7" hidden="1" x14ac:dyDescent="0.3">
      <c r="B311" s="172" t="s">
        <v>24</v>
      </c>
      <c r="C311" s="172" t="s">
        <v>80</v>
      </c>
      <c r="D311" s="172" t="s">
        <v>221</v>
      </c>
      <c r="E311" s="172">
        <v>2.0209530954736999E-3</v>
      </c>
      <c r="F311" s="172">
        <v>1.6108273720474001E-3</v>
      </c>
      <c r="G311" s="172">
        <v>1.2546056334422799</v>
      </c>
    </row>
    <row r="312" spans="2:7" hidden="1" x14ac:dyDescent="0.3">
      <c r="B312" s="172" t="s">
        <v>22</v>
      </c>
      <c r="C312" s="172" t="s">
        <v>80</v>
      </c>
      <c r="D312" s="172" t="s">
        <v>218</v>
      </c>
      <c r="E312" s="172">
        <v>2.7543039032016901E-3</v>
      </c>
      <c r="F312" s="172">
        <v>2.64370703120906E-3</v>
      </c>
      <c r="G312" s="172">
        <v>1.0418340121227601</v>
      </c>
    </row>
    <row r="313" spans="2:7" hidden="1" x14ac:dyDescent="0.3">
      <c r="B313" s="172" t="s">
        <v>22</v>
      </c>
      <c r="C313" s="172" t="s">
        <v>80</v>
      </c>
      <c r="D313" s="172" t="s">
        <v>221</v>
      </c>
      <c r="E313" s="172">
        <v>8.5292829535253299E-4</v>
      </c>
      <c r="F313" s="172">
        <v>7.1322698336183702E-4</v>
      </c>
      <c r="G313" s="172">
        <v>1.1958721630696101</v>
      </c>
    </row>
    <row r="314" spans="2:7" hidden="1" x14ac:dyDescent="0.3">
      <c r="B314" s="172" t="s">
        <v>189</v>
      </c>
      <c r="C314" s="172" t="s">
        <v>81</v>
      </c>
      <c r="D314" s="172" t="s">
        <v>218</v>
      </c>
      <c r="E314" s="172">
        <v>6.8500470789404199E-3</v>
      </c>
      <c r="F314" s="172">
        <v>6.8497758623290803E-3</v>
      </c>
      <c r="G314" s="172">
        <v>1.00003959496147</v>
      </c>
    </row>
    <row r="315" spans="2:7" x14ac:dyDescent="0.3">
      <c r="B315" s="172" t="s">
        <v>189</v>
      </c>
      <c r="C315" s="172" t="s">
        <v>81</v>
      </c>
      <c r="D315" s="172" t="s">
        <v>221</v>
      </c>
      <c r="E315" s="172">
        <v>3.0362680361455799E-2</v>
      </c>
      <c r="F315" s="172">
        <v>3.0362341340691601E-2</v>
      </c>
      <c r="G315" s="172">
        <v>1.00001116583074</v>
      </c>
    </row>
    <row r="316" spans="2:7" hidden="1" x14ac:dyDescent="0.3">
      <c r="B316" s="172" t="s">
        <v>187</v>
      </c>
      <c r="C316" s="172" t="s">
        <v>81</v>
      </c>
      <c r="D316" s="172" t="s">
        <v>218</v>
      </c>
      <c r="E316" s="172">
        <v>7.13465271145721E-3</v>
      </c>
      <c r="F316" s="172">
        <v>6.7461343251900502E-3</v>
      </c>
      <c r="G316" s="172">
        <v>1.05759126153424</v>
      </c>
    </row>
    <row r="317" spans="2:7" x14ac:dyDescent="0.3">
      <c r="B317" s="172" t="s">
        <v>187</v>
      </c>
      <c r="C317" s="172" t="s">
        <v>81</v>
      </c>
      <c r="D317" s="172" t="s">
        <v>221</v>
      </c>
      <c r="E317" s="172">
        <v>2.97690128118661E-2</v>
      </c>
      <c r="F317" s="172">
        <v>2.9278252745002301E-2</v>
      </c>
      <c r="G317" s="172">
        <v>1.01676193149701</v>
      </c>
    </row>
    <row r="318" spans="2:7" hidden="1" x14ac:dyDescent="0.3">
      <c r="B318" s="172" t="s">
        <v>185</v>
      </c>
      <c r="C318" s="172" t="s">
        <v>81</v>
      </c>
      <c r="D318" s="172" t="s">
        <v>218</v>
      </c>
      <c r="E318" s="172">
        <v>7.1203652164162998E-3</v>
      </c>
      <c r="F318" s="172">
        <v>6.4735584055757803E-3</v>
      </c>
      <c r="G318" s="172">
        <v>1.09991518888335</v>
      </c>
    </row>
    <row r="319" spans="2:7" x14ac:dyDescent="0.3">
      <c r="B319" s="172" t="s">
        <v>185</v>
      </c>
      <c r="C319" s="172" t="s">
        <v>81</v>
      </c>
      <c r="D319" s="172" t="s">
        <v>221</v>
      </c>
      <c r="E319" s="172">
        <v>2.8772542959535099E-2</v>
      </c>
      <c r="F319" s="172">
        <v>2.7955523830052301E-2</v>
      </c>
      <c r="G319" s="172">
        <v>1.02922567770325</v>
      </c>
    </row>
    <row r="320" spans="2:7" hidden="1" x14ac:dyDescent="0.3">
      <c r="B320" s="172" t="s">
        <v>183</v>
      </c>
      <c r="C320" s="172" t="s">
        <v>81</v>
      </c>
      <c r="D320" s="172" t="s">
        <v>218</v>
      </c>
      <c r="E320" s="172">
        <v>6.9134257571668604E-3</v>
      </c>
      <c r="F320" s="172">
        <v>6.0659186027473798E-3</v>
      </c>
      <c r="G320" s="172">
        <v>1.1397162095178199</v>
      </c>
    </row>
    <row r="321" spans="2:7" x14ac:dyDescent="0.3">
      <c r="B321" s="172" t="s">
        <v>183</v>
      </c>
      <c r="C321" s="172" t="s">
        <v>81</v>
      </c>
      <c r="D321" s="172" t="s">
        <v>221</v>
      </c>
      <c r="E321" s="172">
        <v>2.7123418990232601E-2</v>
      </c>
      <c r="F321" s="172">
        <v>2.6052883637281699E-2</v>
      </c>
      <c r="G321" s="172">
        <v>1.04109085841918</v>
      </c>
    </row>
    <row r="322" spans="2:7" hidden="1" x14ac:dyDescent="0.3">
      <c r="B322" s="172" t="s">
        <v>181</v>
      </c>
      <c r="C322" s="172" t="s">
        <v>81</v>
      </c>
      <c r="D322" s="172" t="s">
        <v>218</v>
      </c>
      <c r="E322" s="172">
        <v>6.5093632537425701E-3</v>
      </c>
      <c r="F322" s="172">
        <v>5.5343599658156497E-3</v>
      </c>
      <c r="G322" s="172">
        <v>1.1761727270993001</v>
      </c>
    </row>
    <row r="323" spans="2:7" x14ac:dyDescent="0.3">
      <c r="B323" s="172" t="s">
        <v>181</v>
      </c>
      <c r="C323" s="172" t="s">
        <v>81</v>
      </c>
      <c r="D323" s="172" t="s">
        <v>221</v>
      </c>
      <c r="E323" s="172">
        <v>2.4863777716491599E-2</v>
      </c>
      <c r="F323" s="172">
        <v>2.3632194615952298E-2</v>
      </c>
      <c r="G323" s="172">
        <v>1.0521146309326601</v>
      </c>
    </row>
    <row r="324" spans="2:7" hidden="1" x14ac:dyDescent="0.3">
      <c r="B324" s="172" t="s">
        <v>179</v>
      </c>
      <c r="C324" s="172" t="s">
        <v>81</v>
      </c>
      <c r="D324" s="172" t="s">
        <v>218</v>
      </c>
      <c r="E324" s="172">
        <v>5.9336157882434E-3</v>
      </c>
      <c r="F324" s="172">
        <v>4.8987178591556203E-3</v>
      </c>
      <c r="G324" s="172">
        <v>1.21125893730613</v>
      </c>
    </row>
    <row r="325" spans="2:7" x14ac:dyDescent="0.3">
      <c r="B325" s="172" t="s">
        <v>179</v>
      </c>
      <c r="C325" s="172" t="s">
        <v>81</v>
      </c>
      <c r="D325" s="172" t="s">
        <v>221</v>
      </c>
      <c r="E325" s="172">
        <v>2.2089211051187999E-2</v>
      </c>
      <c r="F325" s="172">
        <v>2.0781971561814001E-2</v>
      </c>
      <c r="G325" s="172">
        <v>1.06290257329464</v>
      </c>
    </row>
    <row r="326" spans="2:7" hidden="1" x14ac:dyDescent="0.3">
      <c r="B326" s="172" t="s">
        <v>39</v>
      </c>
      <c r="C326" s="172" t="s">
        <v>81</v>
      </c>
      <c r="D326" s="172" t="s">
        <v>218</v>
      </c>
      <c r="E326" s="172">
        <v>5.2048183152533997E-3</v>
      </c>
      <c r="F326" s="172">
        <v>4.1761276751411903E-3</v>
      </c>
      <c r="G326" s="172">
        <v>1.2463264344707601</v>
      </c>
    </row>
    <row r="327" spans="2:7" x14ac:dyDescent="0.3">
      <c r="B327" s="172" t="s">
        <v>39</v>
      </c>
      <c r="C327" s="172" t="s">
        <v>81</v>
      </c>
      <c r="D327" s="172" t="s">
        <v>221</v>
      </c>
      <c r="E327" s="172">
        <v>1.8883880863196801E-2</v>
      </c>
      <c r="F327" s="172">
        <v>1.7584482159897202E-2</v>
      </c>
      <c r="G327" s="172">
        <v>1.0738946243332099</v>
      </c>
    </row>
    <row r="328" spans="2:7" hidden="1" x14ac:dyDescent="0.3">
      <c r="B328" s="172" t="s">
        <v>26</v>
      </c>
      <c r="C328" s="172" t="s">
        <v>81</v>
      </c>
      <c r="D328" s="172" t="s">
        <v>218</v>
      </c>
      <c r="E328" s="172">
        <v>4.32685027541343E-3</v>
      </c>
      <c r="F328" s="172">
        <v>3.3818293212718202E-3</v>
      </c>
      <c r="G328" s="172">
        <v>1.2794407595313499</v>
      </c>
    </row>
    <row r="329" spans="2:7" x14ac:dyDescent="0.3">
      <c r="B329" s="172" t="s">
        <v>26</v>
      </c>
      <c r="C329" s="172" t="s">
        <v>81</v>
      </c>
      <c r="D329" s="172" t="s">
        <v>221</v>
      </c>
      <c r="E329" s="172">
        <v>1.5312909879838001E-2</v>
      </c>
      <c r="F329" s="172">
        <v>1.41191992009223E-2</v>
      </c>
      <c r="G329" s="172">
        <v>1.08454521123533</v>
      </c>
    </row>
    <row r="330" spans="2:7" hidden="1" x14ac:dyDescent="0.3">
      <c r="B330" s="172" t="s">
        <v>25</v>
      </c>
      <c r="C330" s="172" t="s">
        <v>81</v>
      </c>
      <c r="D330" s="172" t="s">
        <v>218</v>
      </c>
      <c r="E330" s="172">
        <v>3.3097763365056302E-3</v>
      </c>
      <c r="F330" s="172">
        <v>2.5374282189558998E-3</v>
      </c>
      <c r="G330" s="172">
        <v>1.30438225277858</v>
      </c>
    </row>
    <row r="331" spans="2:7" x14ac:dyDescent="0.3">
      <c r="B331" s="172" t="s">
        <v>25</v>
      </c>
      <c r="C331" s="172" t="s">
        <v>81</v>
      </c>
      <c r="D331" s="172" t="s">
        <v>221</v>
      </c>
      <c r="E331" s="172">
        <v>1.1434369267416099E-2</v>
      </c>
      <c r="F331" s="172">
        <v>1.0458771645248E-2</v>
      </c>
      <c r="G331" s="172">
        <v>1.09328032538232</v>
      </c>
    </row>
    <row r="332" spans="2:7" hidden="1" x14ac:dyDescent="0.3">
      <c r="B332" s="172" t="s">
        <v>24</v>
      </c>
      <c r="C332" s="172" t="s">
        <v>81</v>
      </c>
      <c r="D332" s="172" t="s">
        <v>218</v>
      </c>
      <c r="E332" s="172">
        <v>2.1758717367042E-3</v>
      </c>
      <c r="F332" s="172">
        <v>1.6586955947220799E-3</v>
      </c>
      <c r="G332" s="172">
        <v>1.3117968984952699</v>
      </c>
    </row>
    <row r="333" spans="2:7" x14ac:dyDescent="0.3">
      <c r="B333" s="172" t="s">
        <v>24</v>
      </c>
      <c r="C333" s="172" t="s">
        <v>81</v>
      </c>
      <c r="D333" s="172" t="s">
        <v>221</v>
      </c>
      <c r="E333" s="172">
        <v>7.33899833834339E-3</v>
      </c>
      <c r="F333" s="172">
        <v>6.6857232116291302E-3</v>
      </c>
      <c r="G333" s="172">
        <v>1.0977119611499799</v>
      </c>
    </row>
    <row r="334" spans="2:7" hidden="1" x14ac:dyDescent="0.3">
      <c r="B334" s="172" t="s">
        <v>22</v>
      </c>
      <c r="C334" s="172" t="s">
        <v>81</v>
      </c>
      <c r="D334" s="172" t="s">
        <v>218</v>
      </c>
      <c r="E334" s="172">
        <v>9.8523227396761005E-4</v>
      </c>
      <c r="F334" s="172">
        <v>7.77674509727662E-4</v>
      </c>
      <c r="G334" s="172">
        <v>1.2668954191550299</v>
      </c>
    </row>
    <row r="335" spans="2:7" x14ac:dyDescent="0.3">
      <c r="B335" s="172" t="s">
        <v>22</v>
      </c>
      <c r="C335" s="172" t="s">
        <v>81</v>
      </c>
      <c r="D335" s="172" t="s">
        <v>221</v>
      </c>
      <c r="E335" s="172">
        <v>3.23981013052064E-3</v>
      </c>
      <c r="F335" s="172">
        <v>2.97763190200702E-3</v>
      </c>
      <c r="G335" s="172">
        <v>1.0880492408537501</v>
      </c>
    </row>
    <row r="336" spans="2:7" hidden="1" x14ac:dyDescent="0.3">
      <c r="B336" s="172" t="s">
        <v>189</v>
      </c>
      <c r="C336" s="172" t="s">
        <v>82</v>
      </c>
      <c r="D336" s="172" t="s">
        <v>218</v>
      </c>
      <c r="E336" s="172">
        <v>5.2411059062240899E-3</v>
      </c>
      <c r="F336" s="172">
        <v>4.4440504603325401E-3</v>
      </c>
      <c r="G336" s="172">
        <v>1.17935337436108</v>
      </c>
    </row>
    <row r="337" spans="2:7" hidden="1" x14ac:dyDescent="0.3">
      <c r="B337" s="172" t="s">
        <v>189</v>
      </c>
      <c r="C337" s="172" t="s">
        <v>82</v>
      </c>
      <c r="D337" s="172" t="s">
        <v>221</v>
      </c>
      <c r="E337" s="172">
        <v>2.7559086199904801E-2</v>
      </c>
      <c r="F337" s="172">
        <v>2.65627668925403E-2</v>
      </c>
      <c r="G337" s="172">
        <v>1.03750811470036</v>
      </c>
    </row>
    <row r="338" spans="2:7" hidden="1" x14ac:dyDescent="0.3">
      <c r="B338" s="172" t="s">
        <v>187</v>
      </c>
      <c r="C338" s="172" t="s">
        <v>82</v>
      </c>
      <c r="D338" s="172" t="s">
        <v>218</v>
      </c>
      <c r="E338" s="172">
        <v>1.1420526009482099E-2</v>
      </c>
      <c r="F338" s="172">
        <v>7.3386494255721999E-3</v>
      </c>
      <c r="G338" s="172">
        <v>1.5562163209058999</v>
      </c>
    </row>
    <row r="339" spans="2:7" s="172" customFormat="1" hidden="1" x14ac:dyDescent="0.3">
      <c r="B339" s="172" t="s">
        <v>187</v>
      </c>
      <c r="C339" s="172" t="s">
        <v>82</v>
      </c>
      <c r="D339" s="172" t="s">
        <v>221</v>
      </c>
      <c r="E339" s="172">
        <v>3.4495728466798603E-2</v>
      </c>
      <c r="F339" s="172">
        <v>2.9339673834491299E-2</v>
      </c>
      <c r="G339" s="172">
        <v>1.17573660366483</v>
      </c>
    </row>
    <row r="340" spans="2:7" hidden="1" x14ac:dyDescent="0.3">
      <c r="B340" s="172" t="s">
        <v>185</v>
      </c>
      <c r="C340" s="172" t="s">
        <v>82</v>
      </c>
      <c r="D340" s="172" t="s">
        <v>218</v>
      </c>
      <c r="E340" s="172">
        <v>1.1253205024631001E-2</v>
      </c>
      <c r="F340" s="172">
        <v>7.0594712646941801E-3</v>
      </c>
      <c r="G340" s="172">
        <v>1.59405777043254</v>
      </c>
    </row>
    <row r="341" spans="2:7" hidden="1" x14ac:dyDescent="0.3">
      <c r="B341" s="172" t="s">
        <v>185</v>
      </c>
      <c r="C341" s="172" t="s">
        <v>82</v>
      </c>
      <c r="D341" s="172" t="s">
        <v>221</v>
      </c>
      <c r="E341" s="172">
        <v>3.3355164412766598E-2</v>
      </c>
      <c r="F341" s="172">
        <v>2.8057816505477999E-2</v>
      </c>
      <c r="G341" s="172">
        <v>1.1888011458858301</v>
      </c>
    </row>
    <row r="342" spans="2:7" hidden="1" x14ac:dyDescent="0.3">
      <c r="B342" s="172" t="s">
        <v>183</v>
      </c>
      <c r="C342" s="172" t="s">
        <v>82</v>
      </c>
      <c r="D342" s="172" t="s">
        <v>218</v>
      </c>
      <c r="E342" s="172">
        <v>1.08015960275858E-2</v>
      </c>
      <c r="F342" s="172">
        <v>6.6313542922016404E-3</v>
      </c>
      <c r="G342" s="172">
        <v>1.62886727983879</v>
      </c>
    </row>
    <row r="343" spans="2:7" s="172" customFormat="1" hidden="1" x14ac:dyDescent="0.3">
      <c r="B343" s="172" t="s">
        <v>183</v>
      </c>
      <c r="C343" s="172" t="s">
        <v>82</v>
      </c>
      <c r="D343" s="172" t="s">
        <v>221</v>
      </c>
      <c r="E343" s="172">
        <v>3.1456624772371197E-2</v>
      </c>
      <c r="F343" s="172">
        <v>2.6188951001359699E-2</v>
      </c>
      <c r="G343" s="172">
        <v>1.20114107551456</v>
      </c>
    </row>
    <row r="344" spans="2:7" hidden="1" x14ac:dyDescent="0.3">
      <c r="B344" s="172" t="s">
        <v>181</v>
      </c>
      <c r="C344" s="172" t="s">
        <v>82</v>
      </c>
      <c r="D344" s="172" t="s">
        <v>218</v>
      </c>
      <c r="E344" s="172">
        <v>1.00694415583745E-2</v>
      </c>
      <c r="F344" s="172">
        <v>6.0643156942531496E-3</v>
      </c>
      <c r="G344" s="172">
        <v>1.6604415182271499</v>
      </c>
    </row>
    <row r="345" spans="2:7" hidden="1" x14ac:dyDescent="0.3">
      <c r="B345" s="172" t="s">
        <v>181</v>
      </c>
      <c r="C345" s="172" t="s">
        <v>82</v>
      </c>
      <c r="D345" s="172" t="s">
        <v>221</v>
      </c>
      <c r="E345" s="172">
        <v>2.8849811335247701E-2</v>
      </c>
      <c r="F345" s="172">
        <v>2.3790704980568199E-2</v>
      </c>
      <c r="G345" s="172">
        <v>1.21265054393351</v>
      </c>
    </row>
    <row r="346" spans="2:7" hidden="1" x14ac:dyDescent="0.3">
      <c r="B346" s="172" t="s">
        <v>179</v>
      </c>
      <c r="C346" s="172" t="s">
        <v>82</v>
      </c>
      <c r="D346" s="172" t="s">
        <v>218</v>
      </c>
      <c r="E346" s="172">
        <v>9.0958756269911498E-3</v>
      </c>
      <c r="F346" s="172">
        <v>5.3801426101704004E-3</v>
      </c>
      <c r="G346" s="172">
        <v>1.6906383875023501</v>
      </c>
    </row>
    <row r="347" spans="2:7" s="172" customFormat="1" hidden="1" x14ac:dyDescent="0.3">
      <c r="B347" s="172" t="s">
        <v>179</v>
      </c>
      <c r="C347" s="172" t="s">
        <v>82</v>
      </c>
      <c r="D347" s="172" t="s">
        <v>221</v>
      </c>
      <c r="E347" s="172">
        <v>2.5645643443769899E-2</v>
      </c>
      <c r="F347" s="172">
        <v>2.0952085948838399E-2</v>
      </c>
      <c r="G347" s="172">
        <v>1.2240138526728299</v>
      </c>
    </row>
    <row r="348" spans="2:7" hidden="1" x14ac:dyDescent="0.3">
      <c r="B348" s="172" t="s">
        <v>39</v>
      </c>
      <c r="C348" s="172" t="s">
        <v>82</v>
      </c>
      <c r="D348" s="172" t="s">
        <v>218</v>
      </c>
      <c r="E348" s="172">
        <v>7.9113932941751609E-3</v>
      </c>
      <c r="F348" s="172">
        <v>4.5974892919712403E-3</v>
      </c>
      <c r="G348" s="172">
        <v>1.7208073345578201</v>
      </c>
    </row>
    <row r="349" spans="2:7" hidden="1" x14ac:dyDescent="0.3">
      <c r="B349" s="172" t="s">
        <v>39</v>
      </c>
      <c r="C349" s="172" t="s">
        <v>82</v>
      </c>
      <c r="D349" s="172" t="s">
        <v>221</v>
      </c>
      <c r="E349" s="172">
        <v>2.19413526192704E-2</v>
      </c>
      <c r="F349" s="172">
        <v>1.7755368616486501E-2</v>
      </c>
      <c r="G349" s="172">
        <v>1.2357587777083401</v>
      </c>
    </row>
    <row r="350" spans="2:7" hidden="1" x14ac:dyDescent="0.3">
      <c r="B350" s="172" t="s">
        <v>26</v>
      </c>
      <c r="C350" s="172" t="s">
        <v>82</v>
      </c>
      <c r="D350" s="172" t="s">
        <v>218</v>
      </c>
      <c r="E350" s="172">
        <v>6.5305614614088797E-3</v>
      </c>
      <c r="F350" s="172">
        <v>3.7313380069311699E-3</v>
      </c>
      <c r="G350" s="172">
        <v>1.7501929466797099</v>
      </c>
    </row>
    <row r="351" spans="2:7" s="172" customFormat="1" hidden="1" x14ac:dyDescent="0.3">
      <c r="B351" s="172" t="s">
        <v>26</v>
      </c>
      <c r="C351" s="172" t="s">
        <v>82</v>
      </c>
      <c r="D351" s="172" t="s">
        <v>221</v>
      </c>
      <c r="E351" s="172">
        <v>1.7813866943928901E-2</v>
      </c>
      <c r="F351" s="172">
        <v>1.4278005738272899E-2</v>
      </c>
      <c r="G351" s="172">
        <v>1.24764391263536</v>
      </c>
    </row>
    <row r="352" spans="2:7" hidden="1" x14ac:dyDescent="0.3">
      <c r="B352" s="172" t="s">
        <v>25</v>
      </c>
      <c r="C352" s="172" t="s">
        <v>82</v>
      </c>
      <c r="D352" s="172" t="s">
        <v>218</v>
      </c>
      <c r="E352" s="172">
        <v>4.9722504300485802E-3</v>
      </c>
      <c r="F352" s="172">
        <v>2.8028199613223301E-3</v>
      </c>
      <c r="G352" s="172">
        <v>1.77401706091131</v>
      </c>
    </row>
    <row r="353" spans="2:7" hidden="1" x14ac:dyDescent="0.3">
      <c r="B353" s="172" t="s">
        <v>25</v>
      </c>
      <c r="C353" s="172" t="s">
        <v>82</v>
      </c>
      <c r="D353" s="172" t="s">
        <v>221</v>
      </c>
      <c r="E353" s="172">
        <v>1.3330906918656999E-2</v>
      </c>
      <c r="F353" s="172">
        <v>1.0590573695002801E-2</v>
      </c>
      <c r="G353" s="172">
        <v>1.25875210376443</v>
      </c>
    </row>
    <row r="354" spans="2:7" hidden="1" x14ac:dyDescent="0.3">
      <c r="B354" s="172" t="s">
        <v>24</v>
      </c>
      <c r="C354" s="172" t="s">
        <v>82</v>
      </c>
      <c r="D354" s="172" t="s">
        <v>218</v>
      </c>
      <c r="E354" s="172">
        <v>3.2683172162290101E-3</v>
      </c>
      <c r="F354" s="172">
        <v>1.8302061744217401E-3</v>
      </c>
      <c r="G354" s="172">
        <v>1.7857645012380301</v>
      </c>
    </row>
    <row r="355" spans="2:7" s="172" customFormat="1" hidden="1" x14ac:dyDescent="0.3">
      <c r="B355" s="172" t="s">
        <v>24</v>
      </c>
      <c r="C355" s="172" t="s">
        <v>82</v>
      </c>
      <c r="D355" s="172" t="s">
        <v>221</v>
      </c>
      <c r="E355" s="172">
        <v>8.5922896298463603E-3</v>
      </c>
      <c r="F355" s="172">
        <v>6.7757283138792802E-3</v>
      </c>
      <c r="G355" s="172">
        <v>1.2680983108850501</v>
      </c>
    </row>
    <row r="356" spans="2:7" hidden="1" x14ac:dyDescent="0.3">
      <c r="B356" s="172" t="s">
        <v>22</v>
      </c>
      <c r="C356" s="172" t="s">
        <v>82</v>
      </c>
      <c r="D356" s="172" t="s">
        <v>218</v>
      </c>
      <c r="E356" s="172">
        <v>1.4994191596256199E-3</v>
      </c>
      <c r="F356" s="172">
        <v>8.5125039555591301E-4</v>
      </c>
      <c r="G356" s="172">
        <v>1.7614313807706601</v>
      </c>
    </row>
    <row r="357" spans="2:7" hidden="1" x14ac:dyDescent="0.3">
      <c r="B357" s="172" t="s">
        <v>22</v>
      </c>
      <c r="C357" s="172" t="s">
        <v>82</v>
      </c>
      <c r="D357" s="172" t="s">
        <v>221</v>
      </c>
      <c r="E357" s="172">
        <v>3.8332301085578602E-3</v>
      </c>
      <c r="F357" s="172">
        <v>3.0144906171013799E-3</v>
      </c>
      <c r="G357" s="172">
        <v>1.2716012737978699</v>
      </c>
    </row>
    <row r="358" spans="2:7" hidden="1" x14ac:dyDescent="0.3">
      <c r="B358" s="172" t="s">
        <v>189</v>
      </c>
      <c r="C358" s="172" t="s">
        <v>246</v>
      </c>
      <c r="D358" s="172" t="s">
        <v>218</v>
      </c>
      <c r="E358" s="172">
        <v>5.7493584188761902E-4</v>
      </c>
      <c r="F358" s="172">
        <v>4.6673106430350898E-4</v>
      </c>
      <c r="G358" s="172">
        <v>1.23183538842777</v>
      </c>
    </row>
    <row r="359" spans="2:7" s="172" customFormat="1" hidden="1" x14ac:dyDescent="0.3">
      <c r="B359" s="172" t="s">
        <v>189</v>
      </c>
      <c r="C359" s="172" t="s">
        <v>246</v>
      </c>
      <c r="D359" s="172" t="s">
        <v>221</v>
      </c>
      <c r="E359" s="172">
        <v>2.8515380440846802E-4</v>
      </c>
      <c r="F359" s="172">
        <v>1.4989783242833201E-4</v>
      </c>
      <c r="G359" s="172">
        <v>1.9023210662155801</v>
      </c>
    </row>
    <row r="360" spans="2:7" hidden="1" x14ac:dyDescent="0.3">
      <c r="B360" s="172" t="s">
        <v>187</v>
      </c>
      <c r="C360" s="172" t="s">
        <v>246</v>
      </c>
      <c r="D360" s="172" t="s">
        <v>218</v>
      </c>
      <c r="E360" s="172">
        <v>6.4737251552048395E-4</v>
      </c>
      <c r="F360" s="172">
        <v>1.3600950768202899E-4</v>
      </c>
      <c r="G360" s="172">
        <v>4.7597592738439198</v>
      </c>
    </row>
    <row r="361" spans="2:7" hidden="1" x14ac:dyDescent="0.3">
      <c r="B361" s="172" t="s">
        <v>187</v>
      </c>
      <c r="C361" s="172" t="s">
        <v>246</v>
      </c>
      <c r="D361" s="172" t="s">
        <v>221</v>
      </c>
      <c r="E361" s="172">
        <v>1.1639146333051E-3</v>
      </c>
      <c r="F361" s="172">
        <v>5.1798241287757995E-4</v>
      </c>
      <c r="G361" s="172">
        <v>2.24701573715434</v>
      </c>
    </row>
    <row r="362" spans="2:7" hidden="1" x14ac:dyDescent="0.3">
      <c r="B362" s="172" t="s">
        <v>185</v>
      </c>
      <c r="C362" s="172" t="s">
        <v>246</v>
      </c>
      <c r="D362" s="172" t="s">
        <v>218</v>
      </c>
      <c r="E362" s="172">
        <v>6.1499788302905498E-4</v>
      </c>
      <c r="F362" s="172">
        <v>1.6372400348671799E-4</v>
      </c>
      <c r="G362" s="172">
        <v>3.7563086043088698</v>
      </c>
    </row>
    <row r="363" spans="2:7" hidden="1" x14ac:dyDescent="0.3">
      <c r="B363" s="172" t="s">
        <v>185</v>
      </c>
      <c r="C363" s="172" t="s">
        <v>246</v>
      </c>
      <c r="D363" s="172" t="s">
        <v>221</v>
      </c>
      <c r="E363" s="172">
        <v>1.0134879131647801E-3</v>
      </c>
      <c r="F363" s="172">
        <v>4.4345774953235699E-4</v>
      </c>
      <c r="G363" s="172">
        <v>2.2854215857847699</v>
      </c>
    </row>
    <row r="364" spans="2:7" hidden="1" x14ac:dyDescent="0.3">
      <c r="B364" s="172" t="s">
        <v>183</v>
      </c>
      <c r="C364" s="172" t="s">
        <v>246</v>
      </c>
      <c r="D364" s="172" t="s">
        <v>218</v>
      </c>
      <c r="E364" s="172">
        <v>5.8271599780080198E-4</v>
      </c>
      <c r="F364" s="172">
        <v>1.9470470687349E-4</v>
      </c>
      <c r="G364" s="172">
        <v>2.9928192654296</v>
      </c>
    </row>
    <row r="365" spans="2:7" hidden="1" x14ac:dyDescent="0.3">
      <c r="B365" s="172" t="s">
        <v>183</v>
      </c>
      <c r="C365" s="172" t="s">
        <v>246</v>
      </c>
      <c r="D365" s="172" t="s">
        <v>221</v>
      </c>
      <c r="E365" s="172">
        <v>8.6594317007260497E-4</v>
      </c>
      <c r="F365" s="172">
        <v>3.7582364469073603E-4</v>
      </c>
      <c r="G365" s="172">
        <v>2.3041210480122598</v>
      </c>
    </row>
    <row r="366" spans="2:7" hidden="1" x14ac:dyDescent="0.3">
      <c r="B366" s="172" t="s">
        <v>181</v>
      </c>
      <c r="C366" s="172" t="s">
        <v>246</v>
      </c>
      <c r="D366" s="172" t="s">
        <v>218</v>
      </c>
      <c r="E366" s="172">
        <v>5.4756503533422705E-4</v>
      </c>
      <c r="F366" s="172">
        <v>2.2041561832579501E-4</v>
      </c>
      <c r="G366" s="172">
        <v>2.4842388188883899</v>
      </c>
    </row>
    <row r="367" spans="2:7" hidden="1" x14ac:dyDescent="0.3">
      <c r="B367" s="172" t="s">
        <v>181</v>
      </c>
      <c r="C367" s="172" t="s">
        <v>246</v>
      </c>
      <c r="D367" s="172" t="s">
        <v>221</v>
      </c>
      <c r="E367" s="172">
        <v>7.2494618546652101E-4</v>
      </c>
      <c r="F367" s="172">
        <v>3.1170481661376602E-4</v>
      </c>
      <c r="G367" s="172">
        <v>2.32574585578126</v>
      </c>
    </row>
    <row r="368" spans="2:7" hidden="1" x14ac:dyDescent="0.3">
      <c r="B368" s="172" t="s">
        <v>179</v>
      </c>
      <c r="C368" s="172" t="s">
        <v>246</v>
      </c>
      <c r="D368" s="172" t="s">
        <v>218</v>
      </c>
      <c r="E368" s="172">
        <v>5.0929150336865799E-4</v>
      </c>
      <c r="F368" s="172">
        <v>2.3974163491243799E-4</v>
      </c>
      <c r="G368" s="172">
        <v>2.12433482217084</v>
      </c>
    </row>
    <row r="369" spans="2:7" hidden="1" x14ac:dyDescent="0.3">
      <c r="B369" s="172" t="s">
        <v>179</v>
      </c>
      <c r="C369" s="172" t="s">
        <v>246</v>
      </c>
      <c r="D369" s="172" t="s">
        <v>221</v>
      </c>
      <c r="E369" s="172">
        <v>5.9209716282231496E-4</v>
      </c>
      <c r="F369" s="172">
        <v>2.51613118456563E-4</v>
      </c>
      <c r="G369" s="172">
        <v>2.3532046598140002</v>
      </c>
    </row>
    <row r="370" spans="2:7" hidden="1" x14ac:dyDescent="0.3">
      <c r="B370" s="172" t="s">
        <v>39</v>
      </c>
      <c r="C370" s="172" t="s">
        <v>246</v>
      </c>
      <c r="D370" s="172" t="s">
        <v>218</v>
      </c>
      <c r="E370" s="172">
        <v>4.6654343578618501E-4</v>
      </c>
      <c r="F370" s="172">
        <v>2.50335060049393E-4</v>
      </c>
      <c r="G370" s="172">
        <v>1.8636759696948999</v>
      </c>
    </row>
    <row r="371" spans="2:7" hidden="1" x14ac:dyDescent="0.3">
      <c r="B371" s="172" t="s">
        <v>39</v>
      </c>
      <c r="C371" s="172" t="s">
        <v>246</v>
      </c>
      <c r="D371" s="172" t="s">
        <v>221</v>
      </c>
      <c r="E371" s="172">
        <v>4.6897541958758403E-4</v>
      </c>
      <c r="F371" s="172">
        <v>1.9587010286742701E-4</v>
      </c>
      <c r="G371" s="172">
        <v>2.3943185443926902</v>
      </c>
    </row>
    <row r="372" spans="2:7" hidden="1" x14ac:dyDescent="0.3">
      <c r="B372" s="172" t="s">
        <v>26</v>
      </c>
      <c r="C372" s="172" t="s">
        <v>246</v>
      </c>
      <c r="D372" s="172" t="s">
        <v>218</v>
      </c>
      <c r="E372" s="172">
        <v>4.12783277049594E-4</v>
      </c>
      <c r="F372" s="172">
        <v>2.45425906251586E-4</v>
      </c>
      <c r="G372" s="172">
        <v>1.68190588904844</v>
      </c>
    </row>
    <row r="373" spans="2:7" hidden="1" x14ac:dyDescent="0.3">
      <c r="B373" s="172" t="s">
        <v>26</v>
      </c>
      <c r="C373" s="172" t="s">
        <v>246</v>
      </c>
      <c r="D373" s="172" t="s">
        <v>221</v>
      </c>
      <c r="E373" s="172">
        <v>3.54704467558035E-4</v>
      </c>
      <c r="F373" s="172">
        <v>1.4330568339213001E-4</v>
      </c>
      <c r="G373" s="172">
        <v>2.4751598063801201</v>
      </c>
    </row>
    <row r="374" spans="2:7" hidden="1" x14ac:dyDescent="0.3">
      <c r="B374" s="172" t="s">
        <v>25</v>
      </c>
      <c r="C374" s="172" t="s">
        <v>246</v>
      </c>
      <c r="D374" s="172" t="s">
        <v>218</v>
      </c>
      <c r="E374" s="172">
        <v>3.4068213149131298E-4</v>
      </c>
      <c r="F374" s="172">
        <v>2.22753360154262E-4</v>
      </c>
      <c r="G374" s="172">
        <v>1.52941410740284</v>
      </c>
    </row>
    <row r="375" spans="2:7" hidden="1" x14ac:dyDescent="0.3">
      <c r="B375" s="172" t="s">
        <v>25</v>
      </c>
      <c r="C375" s="172" t="s">
        <v>246</v>
      </c>
      <c r="D375" s="172" t="s">
        <v>221</v>
      </c>
      <c r="E375" s="172">
        <v>2.4879477924088898E-4</v>
      </c>
      <c r="F375" s="172">
        <v>9.9832120709876802E-5</v>
      </c>
      <c r="G375" s="172">
        <v>2.4921315651894602</v>
      </c>
    </row>
    <row r="376" spans="2:7" hidden="1" x14ac:dyDescent="0.3">
      <c r="B376" s="172" t="s">
        <v>24</v>
      </c>
      <c r="C376" s="172" t="s">
        <v>246</v>
      </c>
      <c r="D376" s="172" t="s">
        <v>218</v>
      </c>
      <c r="E376" s="172">
        <v>2.58122333722153E-4</v>
      </c>
      <c r="F376" s="172">
        <v>1.83762241180898E-4</v>
      </c>
      <c r="G376" s="172">
        <v>1.40465381823491</v>
      </c>
    </row>
    <row r="377" spans="2:7" hidden="1" x14ac:dyDescent="0.3">
      <c r="B377" s="172" t="s">
        <v>24</v>
      </c>
      <c r="C377" s="172" t="s">
        <v>246</v>
      </c>
      <c r="D377" s="172" t="s">
        <v>221</v>
      </c>
      <c r="E377" s="172">
        <v>1.58121991547818E-4</v>
      </c>
      <c r="F377" s="172">
        <v>6.4193453600969205E-5</v>
      </c>
      <c r="G377" s="172">
        <v>2.4632105406061302</v>
      </c>
    </row>
    <row r="378" spans="2:7" hidden="1" x14ac:dyDescent="0.3">
      <c r="B378" s="172" t="s">
        <v>22</v>
      </c>
      <c r="C378" s="172" t="s">
        <v>246</v>
      </c>
      <c r="D378" s="172" t="s">
        <v>218</v>
      </c>
      <c r="E378" s="172">
        <v>1.52289212325515E-4</v>
      </c>
      <c r="F378" s="172">
        <v>1.14206382834512E-4</v>
      </c>
      <c r="G378" s="172">
        <v>1.3334562267521</v>
      </c>
    </row>
    <row r="379" spans="2:7" hidden="1" x14ac:dyDescent="0.3">
      <c r="B379" s="172" t="s">
        <v>22</v>
      </c>
      <c r="C379" s="172" t="s">
        <v>246</v>
      </c>
      <c r="D379" s="172" t="s">
        <v>221</v>
      </c>
      <c r="E379" s="172">
        <v>8.0520664862105998E-5</v>
      </c>
      <c r="F379" s="172">
        <v>3.2416038136629498E-5</v>
      </c>
      <c r="G379" s="172">
        <v>2.4839761269628799</v>
      </c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2.28283669440171E-2</v>
      </c>
      <c r="F402" s="172">
        <v>2.22085171325242E-2</v>
      </c>
      <c r="G402" s="172">
        <v>1.02791045470502</v>
      </c>
    </row>
    <row r="403" spans="2:7" hidden="1" x14ac:dyDescent="0.3">
      <c r="B403" s="172" t="s">
        <v>189</v>
      </c>
      <c r="C403" s="172" t="s">
        <v>79</v>
      </c>
      <c r="D403" s="172" t="s">
        <v>221</v>
      </c>
      <c r="E403" s="172">
        <v>5.7656237434118296E-3</v>
      </c>
      <c r="F403" s="172">
        <v>4.9908114790457201E-3</v>
      </c>
      <c r="G403" s="172">
        <v>1.15524775231828</v>
      </c>
    </row>
    <row r="404" spans="2:7" hidden="1" x14ac:dyDescent="0.3">
      <c r="B404" s="172" t="s">
        <v>187</v>
      </c>
      <c r="C404" s="172" t="s">
        <v>79</v>
      </c>
      <c r="D404" s="172" t="s">
        <v>218</v>
      </c>
      <c r="E404" s="172">
        <v>2.6399113753276499E-2</v>
      </c>
      <c r="F404" s="172">
        <v>2.34829742138177E-2</v>
      </c>
      <c r="G404" s="172">
        <v>1.1241810135678201</v>
      </c>
    </row>
    <row r="405" spans="2:7" hidden="1" x14ac:dyDescent="0.3">
      <c r="B405" s="172" t="s">
        <v>187</v>
      </c>
      <c r="C405" s="172" t="s">
        <v>79</v>
      </c>
      <c r="D405" s="172" t="s">
        <v>221</v>
      </c>
      <c r="E405" s="172">
        <v>1.11803413607115E-2</v>
      </c>
      <c r="F405" s="172">
        <v>7.4967966792898301E-3</v>
      </c>
      <c r="G405" s="172">
        <v>1.49134915071094</v>
      </c>
    </row>
    <row r="406" spans="2:7" hidden="1" x14ac:dyDescent="0.3">
      <c r="B406" s="172" t="s">
        <v>185</v>
      </c>
      <c r="C406" s="172" t="s">
        <v>79</v>
      </c>
      <c r="D406" s="172" t="s">
        <v>218</v>
      </c>
      <c r="E406" s="172">
        <v>2.5528547946055399E-2</v>
      </c>
      <c r="F406" s="172">
        <v>2.2542112625210799E-2</v>
      </c>
      <c r="G406" s="172">
        <v>1.13248249489733</v>
      </c>
    </row>
    <row r="407" spans="2:7" hidden="1" x14ac:dyDescent="0.3">
      <c r="B407" s="172" t="s">
        <v>185</v>
      </c>
      <c r="C407" s="172" t="s">
        <v>79</v>
      </c>
      <c r="D407" s="172" t="s">
        <v>221</v>
      </c>
      <c r="E407" s="172">
        <v>1.0915018134309101E-2</v>
      </c>
      <c r="F407" s="172">
        <v>7.1426787816633299E-3</v>
      </c>
      <c r="G407" s="172">
        <v>1.5281406973431499</v>
      </c>
    </row>
    <row r="408" spans="2:7" hidden="1" x14ac:dyDescent="0.3">
      <c r="B408" s="172" t="s">
        <v>183</v>
      </c>
      <c r="C408" s="172" t="s">
        <v>79</v>
      </c>
      <c r="D408" s="172" t="s">
        <v>218</v>
      </c>
      <c r="E408" s="172">
        <v>2.4085678439143499E-2</v>
      </c>
      <c r="F408" s="172">
        <v>2.1118661906518701E-2</v>
      </c>
      <c r="G408" s="172">
        <v>1.1404926384899901</v>
      </c>
    </row>
    <row r="409" spans="2:7" hidden="1" x14ac:dyDescent="0.3">
      <c r="B409" s="172" t="s">
        <v>183</v>
      </c>
      <c r="C409" s="172" t="s">
        <v>79</v>
      </c>
      <c r="D409" s="172" t="s">
        <v>221</v>
      </c>
      <c r="E409" s="172">
        <v>1.03951239719841E-2</v>
      </c>
      <c r="F409" s="172">
        <v>6.64731361498439E-3</v>
      </c>
      <c r="G409" s="172">
        <v>1.5638082651240399</v>
      </c>
    </row>
    <row r="410" spans="2:7" hidden="1" x14ac:dyDescent="0.3">
      <c r="B410" s="172" t="s">
        <v>181</v>
      </c>
      <c r="C410" s="172" t="s">
        <v>79</v>
      </c>
      <c r="D410" s="172" t="s">
        <v>218</v>
      </c>
      <c r="E410" s="172">
        <v>2.2108624070903801E-2</v>
      </c>
      <c r="F410" s="172">
        <v>1.9259457382068999E-2</v>
      </c>
      <c r="G410" s="172">
        <v>1.1479359793120401</v>
      </c>
    </row>
    <row r="411" spans="2:7" hidden="1" x14ac:dyDescent="0.3">
      <c r="B411" s="172" t="s">
        <v>181</v>
      </c>
      <c r="C411" s="172" t="s">
        <v>79</v>
      </c>
      <c r="D411" s="172" t="s">
        <v>221</v>
      </c>
      <c r="E411" s="172">
        <v>9.6222960422882794E-3</v>
      </c>
      <c r="F411" s="172">
        <v>6.0233486458652896E-3</v>
      </c>
      <c r="G411" s="172">
        <v>1.5974994322956</v>
      </c>
    </row>
    <row r="412" spans="2:7" hidden="1" x14ac:dyDescent="0.3">
      <c r="B412" s="172" t="s">
        <v>179</v>
      </c>
      <c r="C412" s="172" t="s">
        <v>79</v>
      </c>
      <c r="D412" s="172" t="s">
        <v>218</v>
      </c>
      <c r="E412" s="172">
        <v>1.9675243984792399E-2</v>
      </c>
      <c r="F412" s="172">
        <v>1.7031469614226E-2</v>
      </c>
      <c r="G412" s="172">
        <v>1.15522878708941</v>
      </c>
    </row>
    <row r="413" spans="2:7" hidden="1" x14ac:dyDescent="0.3">
      <c r="B413" s="172" t="s">
        <v>179</v>
      </c>
      <c r="C413" s="172" t="s">
        <v>79</v>
      </c>
      <c r="D413" s="172" t="s">
        <v>221</v>
      </c>
      <c r="E413" s="172">
        <v>8.6308131064541608E-3</v>
      </c>
      <c r="F413" s="172">
        <v>5.2913086383702401E-3</v>
      </c>
      <c r="G413" s="172">
        <v>1.63113016010204</v>
      </c>
    </row>
    <row r="414" spans="2:7" hidden="1" x14ac:dyDescent="0.3">
      <c r="B414" s="172" t="s">
        <v>39</v>
      </c>
      <c r="C414" s="172" t="s">
        <v>79</v>
      </c>
      <c r="D414" s="172" t="s">
        <v>218</v>
      </c>
      <c r="E414" s="172">
        <v>1.6857692875099799E-2</v>
      </c>
      <c r="F414" s="172">
        <v>1.44993012711538E-2</v>
      </c>
      <c r="G414" s="172">
        <v>1.1626555349007099</v>
      </c>
    </row>
    <row r="415" spans="2:7" hidden="1" x14ac:dyDescent="0.3">
      <c r="B415" s="172" t="s">
        <v>39</v>
      </c>
      <c r="C415" s="172" t="s">
        <v>79</v>
      </c>
      <c r="D415" s="172" t="s">
        <v>221</v>
      </c>
      <c r="E415" s="172">
        <v>7.4495240704356598E-3</v>
      </c>
      <c r="F415" s="172">
        <v>4.4705030970301502E-3</v>
      </c>
      <c r="G415" s="172">
        <v>1.66637264503508</v>
      </c>
    </row>
    <row r="416" spans="2:7" hidden="1" x14ac:dyDescent="0.3">
      <c r="B416" s="172" t="s">
        <v>26</v>
      </c>
      <c r="C416" s="172" t="s">
        <v>79</v>
      </c>
      <c r="D416" s="172" t="s">
        <v>218</v>
      </c>
      <c r="E416" s="172">
        <v>1.37236088358304E-2</v>
      </c>
      <c r="F416" s="172">
        <v>1.1736039985723401E-2</v>
      </c>
      <c r="G416" s="172">
        <v>1.1693560053071499</v>
      </c>
    </row>
    <row r="417" spans="2:7" hidden="1" x14ac:dyDescent="0.3">
      <c r="B417" s="172" t="s">
        <v>26</v>
      </c>
      <c r="C417" s="172" t="s">
        <v>79</v>
      </c>
      <c r="D417" s="172" t="s">
        <v>221</v>
      </c>
      <c r="E417" s="172">
        <v>6.0907835255217197E-3</v>
      </c>
      <c r="F417" s="172">
        <v>3.58017024117596E-3</v>
      </c>
      <c r="G417" s="172">
        <v>1.70125527983862</v>
      </c>
    </row>
    <row r="418" spans="2:7" hidden="1" x14ac:dyDescent="0.3">
      <c r="B418" s="172" t="s">
        <v>25</v>
      </c>
      <c r="C418" s="172" t="s">
        <v>79</v>
      </c>
      <c r="D418" s="172" t="s">
        <v>218</v>
      </c>
      <c r="E418" s="172">
        <v>1.03350345715618E-2</v>
      </c>
      <c r="F418" s="172">
        <v>8.8047316404746504E-3</v>
      </c>
      <c r="G418" s="172">
        <v>1.17380460797379</v>
      </c>
    </row>
    <row r="419" spans="2:7" hidden="1" x14ac:dyDescent="0.3">
      <c r="B419" s="172" t="s">
        <v>25</v>
      </c>
      <c r="C419" s="172" t="s">
        <v>79</v>
      </c>
      <c r="D419" s="172" t="s">
        <v>221</v>
      </c>
      <c r="E419" s="172">
        <v>4.5741412585777099E-3</v>
      </c>
      <c r="F419" s="172">
        <v>2.6411270298360499E-3</v>
      </c>
      <c r="G419" s="172">
        <v>1.73188991173274</v>
      </c>
    </row>
    <row r="420" spans="2:7" hidden="1" x14ac:dyDescent="0.3">
      <c r="B420" s="172" t="s">
        <v>24</v>
      </c>
      <c r="C420" s="172" t="s">
        <v>79</v>
      </c>
      <c r="D420" s="172" t="s">
        <v>218</v>
      </c>
      <c r="E420" s="172">
        <v>6.7603597407013697E-3</v>
      </c>
      <c r="F420" s="172">
        <v>5.7585115402487702E-3</v>
      </c>
      <c r="G420" s="172">
        <v>1.17397693717382</v>
      </c>
    </row>
    <row r="421" spans="2:7" hidden="1" x14ac:dyDescent="0.3">
      <c r="B421" s="172" t="s">
        <v>24</v>
      </c>
      <c r="C421" s="172" t="s">
        <v>79</v>
      </c>
      <c r="D421" s="172" t="s">
        <v>221</v>
      </c>
      <c r="E421" s="172">
        <v>2.9427173351514401E-3</v>
      </c>
      <c r="F421" s="172">
        <v>1.67722487142183E-3</v>
      </c>
      <c r="G421" s="172">
        <v>1.75451567961594</v>
      </c>
    </row>
    <row r="422" spans="2:7" hidden="1" x14ac:dyDescent="0.3">
      <c r="B422" s="172" t="s">
        <v>22</v>
      </c>
      <c r="C422" s="172" t="s">
        <v>79</v>
      </c>
      <c r="D422" s="172" t="s">
        <v>218</v>
      </c>
      <c r="E422" s="172">
        <v>3.1322723132893898E-3</v>
      </c>
      <c r="F422" s="172">
        <v>2.6978264176782999E-3</v>
      </c>
      <c r="G422" s="172">
        <v>1.1610355257715099</v>
      </c>
    </row>
    <row r="423" spans="2:7" hidden="1" x14ac:dyDescent="0.3">
      <c r="B423" s="172" t="s">
        <v>22</v>
      </c>
      <c r="C423" s="172" t="s">
        <v>79</v>
      </c>
      <c r="D423" s="172" t="s">
        <v>221</v>
      </c>
      <c r="E423" s="172">
        <v>1.28915875962696E-3</v>
      </c>
      <c r="F423" s="172">
        <v>7.4038499674978803E-4</v>
      </c>
      <c r="G423" s="172">
        <v>1.7412005446979999</v>
      </c>
    </row>
    <row r="424" spans="2:7" hidden="1" x14ac:dyDescent="0.3">
      <c r="B424" s="172" t="s">
        <v>189</v>
      </c>
      <c r="C424" s="172" t="s">
        <v>80</v>
      </c>
      <c r="D424" s="172" t="s">
        <v>218</v>
      </c>
      <c r="E424" s="172">
        <v>2.40037306457619E-2</v>
      </c>
      <c r="F424" s="172">
        <v>2.3963356377019799E-2</v>
      </c>
      <c r="G424" s="172">
        <v>1.00168483363127</v>
      </c>
    </row>
    <row r="425" spans="2:7" hidden="1" x14ac:dyDescent="0.3">
      <c r="B425" s="172" t="s">
        <v>189</v>
      </c>
      <c r="C425" s="172" t="s">
        <v>80</v>
      </c>
      <c r="D425" s="172" t="s">
        <v>221</v>
      </c>
      <c r="E425" s="172">
        <v>7.8109989016943004E-3</v>
      </c>
      <c r="F425" s="172">
        <v>7.7605310657666397E-3</v>
      </c>
      <c r="G425" s="172">
        <v>1.0065031420530299</v>
      </c>
    </row>
    <row r="426" spans="2:7" hidden="1" x14ac:dyDescent="0.3">
      <c r="B426" s="172" t="s">
        <v>187</v>
      </c>
      <c r="C426" s="172" t="s">
        <v>80</v>
      </c>
      <c r="D426" s="172" t="s">
        <v>218</v>
      </c>
      <c r="E426" s="172">
        <v>2.3269864903158001E-2</v>
      </c>
      <c r="F426" s="172">
        <v>2.3049676153291999E-2</v>
      </c>
      <c r="G426" s="172">
        <v>1.00955279147532</v>
      </c>
    </row>
    <row r="427" spans="2:7" hidden="1" x14ac:dyDescent="0.3">
      <c r="B427" s="172" t="s">
        <v>187</v>
      </c>
      <c r="C427" s="172" t="s">
        <v>80</v>
      </c>
      <c r="D427" s="172" t="s">
        <v>221</v>
      </c>
      <c r="E427" s="172">
        <v>7.7285238434445496E-3</v>
      </c>
      <c r="F427" s="172">
        <v>7.4503906857190799E-3</v>
      </c>
      <c r="G427" s="172">
        <v>1.03733135206703</v>
      </c>
    </row>
    <row r="428" spans="2:7" hidden="1" x14ac:dyDescent="0.3">
      <c r="B428" s="172" t="s">
        <v>185</v>
      </c>
      <c r="C428" s="172" t="s">
        <v>80</v>
      </c>
      <c r="D428" s="172" t="s">
        <v>218</v>
      </c>
      <c r="E428" s="172">
        <v>2.25073034412667E-2</v>
      </c>
      <c r="F428" s="172">
        <v>2.2113078377506298E-2</v>
      </c>
      <c r="G428" s="172">
        <v>1.0178276880780801</v>
      </c>
    </row>
    <row r="429" spans="2:7" hidden="1" x14ac:dyDescent="0.3">
      <c r="B429" s="172" t="s">
        <v>185</v>
      </c>
      <c r="C429" s="172" t="s">
        <v>80</v>
      </c>
      <c r="D429" s="172" t="s">
        <v>221</v>
      </c>
      <c r="E429" s="172">
        <v>7.5643284510098496E-3</v>
      </c>
      <c r="F429" s="172">
        <v>7.06635994941776E-3</v>
      </c>
      <c r="G429" s="172">
        <v>1.07047029944082</v>
      </c>
    </row>
    <row r="430" spans="2:7" hidden="1" x14ac:dyDescent="0.3">
      <c r="B430" s="172" t="s">
        <v>183</v>
      </c>
      <c r="C430" s="172" t="s">
        <v>80</v>
      </c>
      <c r="D430" s="172" t="s">
        <v>218</v>
      </c>
      <c r="E430" s="172">
        <v>2.1237993570816599E-2</v>
      </c>
      <c r="F430" s="172">
        <v>2.0703822987484799E-2</v>
      </c>
      <c r="G430" s="172">
        <v>1.02580057720039</v>
      </c>
    </row>
    <row r="431" spans="2:7" hidden="1" x14ac:dyDescent="0.3">
      <c r="B431" s="172" t="s">
        <v>183</v>
      </c>
      <c r="C431" s="172" t="s">
        <v>80</v>
      </c>
      <c r="D431" s="172" t="s">
        <v>221</v>
      </c>
      <c r="E431" s="172">
        <v>7.2208468957943098E-3</v>
      </c>
      <c r="F431" s="172">
        <v>6.5461051063225601E-3</v>
      </c>
      <c r="G431" s="172">
        <v>1.1030753063864001</v>
      </c>
    </row>
    <row r="432" spans="2:7" hidden="1" x14ac:dyDescent="0.3">
      <c r="B432" s="172" t="s">
        <v>181</v>
      </c>
      <c r="C432" s="172" t="s">
        <v>80</v>
      </c>
      <c r="D432" s="172" t="s">
        <v>218</v>
      </c>
      <c r="E432" s="172">
        <v>1.9496096144599899E-2</v>
      </c>
      <c r="F432" s="172">
        <v>1.8869871558167901E-2</v>
      </c>
      <c r="G432" s="172">
        <v>1.03318647848247</v>
      </c>
    </row>
    <row r="433" spans="2:7" hidden="1" x14ac:dyDescent="0.3">
      <c r="B433" s="172" t="s">
        <v>181</v>
      </c>
      <c r="C433" s="172" t="s">
        <v>80</v>
      </c>
      <c r="D433" s="172" t="s">
        <v>221</v>
      </c>
      <c r="E433" s="172">
        <v>6.6965394502843303E-3</v>
      </c>
      <c r="F433" s="172">
        <v>5.9055189200543897E-3</v>
      </c>
      <c r="G433" s="172">
        <v>1.1339459818753199</v>
      </c>
    </row>
    <row r="434" spans="2:7" hidden="1" x14ac:dyDescent="0.3">
      <c r="B434" s="172" t="s">
        <v>179</v>
      </c>
      <c r="C434" s="172" t="s">
        <v>80</v>
      </c>
      <c r="D434" s="172" t="s">
        <v>218</v>
      </c>
      <c r="E434" s="172">
        <v>1.7350926051536202E-2</v>
      </c>
      <c r="F434" s="172">
        <v>1.6677014162665899E-2</v>
      </c>
      <c r="G434" s="172">
        <v>1.04040962502622</v>
      </c>
    </row>
    <row r="435" spans="2:7" hidden="1" x14ac:dyDescent="0.3">
      <c r="B435" s="172" t="s">
        <v>179</v>
      </c>
      <c r="C435" s="172" t="s">
        <v>80</v>
      </c>
      <c r="D435" s="172" t="s">
        <v>221</v>
      </c>
      <c r="E435" s="172">
        <v>6.0161934352465397E-3</v>
      </c>
      <c r="F435" s="172">
        <v>5.1649363124630096E-3</v>
      </c>
      <c r="G435" s="172">
        <v>1.16481464073999</v>
      </c>
    </row>
    <row r="436" spans="2:7" hidden="1" x14ac:dyDescent="0.3">
      <c r="B436" s="172" t="s">
        <v>39</v>
      </c>
      <c r="C436" s="172" t="s">
        <v>80</v>
      </c>
      <c r="D436" s="172" t="s">
        <v>218</v>
      </c>
      <c r="E436" s="172">
        <v>1.48663794695856E-2</v>
      </c>
      <c r="F436" s="172">
        <v>1.41888160464989E-2</v>
      </c>
      <c r="G436" s="172">
        <v>1.0477533446671099</v>
      </c>
    </row>
    <row r="437" spans="2:7" hidden="1" x14ac:dyDescent="0.3">
      <c r="B437" s="172" t="s">
        <v>39</v>
      </c>
      <c r="C437" s="172" t="s">
        <v>80</v>
      </c>
      <c r="D437" s="172" t="s">
        <v>221</v>
      </c>
      <c r="E437" s="172">
        <v>5.19959483848939E-3</v>
      </c>
      <c r="F437" s="172">
        <v>4.3437252514325004E-3</v>
      </c>
      <c r="G437" s="172">
        <v>1.19703584769194</v>
      </c>
    </row>
    <row r="438" spans="2:7" hidden="1" x14ac:dyDescent="0.3">
      <c r="B438" s="172" t="s">
        <v>26</v>
      </c>
      <c r="C438" s="172" t="s">
        <v>80</v>
      </c>
      <c r="D438" s="172" t="s">
        <v>218</v>
      </c>
      <c r="E438" s="172">
        <v>1.21017871035157E-2</v>
      </c>
      <c r="F438" s="172">
        <v>1.14784820350834E-2</v>
      </c>
      <c r="G438" s="172">
        <v>1.05430204677998</v>
      </c>
    </row>
    <row r="439" spans="2:7" hidden="1" x14ac:dyDescent="0.3">
      <c r="B439" s="172" t="s">
        <v>26</v>
      </c>
      <c r="C439" s="172" t="s">
        <v>80</v>
      </c>
      <c r="D439" s="172" t="s">
        <v>221</v>
      </c>
      <c r="E439" s="172">
        <v>4.2499036596093196E-3</v>
      </c>
      <c r="F439" s="172">
        <v>3.46257094158961E-3</v>
      </c>
      <c r="G439" s="172">
        <v>1.22738385185496</v>
      </c>
    </row>
    <row r="440" spans="2:7" hidden="1" x14ac:dyDescent="0.3">
      <c r="B440" s="172" t="s">
        <v>25</v>
      </c>
      <c r="C440" s="172" t="s">
        <v>80</v>
      </c>
      <c r="D440" s="172" t="s">
        <v>218</v>
      </c>
      <c r="E440" s="172">
        <v>9.1118138726994993E-3</v>
      </c>
      <c r="F440" s="172">
        <v>8.6092556481042106E-3</v>
      </c>
      <c r="G440" s="172">
        <v>1.0583741783421099</v>
      </c>
    </row>
    <row r="441" spans="2:7" hidden="1" x14ac:dyDescent="0.3">
      <c r="B441" s="172" t="s">
        <v>25</v>
      </c>
      <c r="C441" s="172" t="s">
        <v>80</v>
      </c>
      <c r="D441" s="172" t="s">
        <v>221</v>
      </c>
      <c r="E441" s="172">
        <v>3.1785309393335599E-3</v>
      </c>
      <c r="F441" s="172">
        <v>2.5437205503711E-3</v>
      </c>
      <c r="G441" s="172">
        <v>1.24955979888194</v>
      </c>
    </row>
    <row r="442" spans="2:7" hidden="1" x14ac:dyDescent="0.3">
      <c r="B442" s="172" t="s">
        <v>24</v>
      </c>
      <c r="C442" s="172" t="s">
        <v>80</v>
      </c>
      <c r="D442" s="172" t="s">
        <v>218</v>
      </c>
      <c r="E442" s="172">
        <v>5.9569596340828803E-3</v>
      </c>
      <c r="F442" s="172">
        <v>5.6322767697037299E-3</v>
      </c>
      <c r="G442" s="172">
        <v>1.0576468234170699</v>
      </c>
    </row>
    <row r="443" spans="2:7" hidden="1" x14ac:dyDescent="0.3">
      <c r="B443" s="172" t="s">
        <v>24</v>
      </c>
      <c r="C443" s="172" t="s">
        <v>80</v>
      </c>
      <c r="D443" s="172" t="s">
        <v>221</v>
      </c>
      <c r="E443" s="172">
        <v>2.0209530954736999E-3</v>
      </c>
      <c r="F443" s="172">
        <v>1.6108273720474001E-3</v>
      </c>
      <c r="G443" s="172">
        <v>1.2546056334422799</v>
      </c>
    </row>
    <row r="444" spans="2:7" hidden="1" x14ac:dyDescent="0.3">
      <c r="B444" s="172" t="s">
        <v>22</v>
      </c>
      <c r="C444" s="172" t="s">
        <v>80</v>
      </c>
      <c r="D444" s="172" t="s">
        <v>218</v>
      </c>
      <c r="E444" s="172">
        <v>2.7543039032016901E-3</v>
      </c>
      <c r="F444" s="172">
        <v>2.64370703120906E-3</v>
      </c>
      <c r="G444" s="172">
        <v>1.0418340121227601</v>
      </c>
    </row>
    <row r="445" spans="2:7" hidden="1" x14ac:dyDescent="0.3">
      <c r="B445" s="172" t="s">
        <v>22</v>
      </c>
      <c r="C445" s="172" t="s">
        <v>80</v>
      </c>
      <c r="D445" s="172" t="s">
        <v>221</v>
      </c>
      <c r="E445" s="172">
        <v>8.5292829535253299E-4</v>
      </c>
      <c r="F445" s="172">
        <v>7.1322698336183702E-4</v>
      </c>
      <c r="G445" s="172">
        <v>1.1958721630696101</v>
      </c>
    </row>
    <row r="446" spans="2:7" hidden="1" x14ac:dyDescent="0.3">
      <c r="B446" s="172" t="s">
        <v>189</v>
      </c>
      <c r="C446" s="172" t="s">
        <v>81</v>
      </c>
      <c r="D446" s="172" t="s">
        <v>218</v>
      </c>
      <c r="E446" s="172">
        <v>6.8500470789404199E-3</v>
      </c>
      <c r="F446" s="172">
        <v>6.8497758623290803E-3</v>
      </c>
      <c r="G446" s="172">
        <v>1.00003959496147</v>
      </c>
    </row>
    <row r="447" spans="2:7" hidden="1" x14ac:dyDescent="0.3">
      <c r="B447" s="172" t="s">
        <v>189</v>
      </c>
      <c r="C447" s="172" t="s">
        <v>81</v>
      </c>
      <c r="D447" s="172" t="s">
        <v>221</v>
      </c>
      <c r="E447" s="172">
        <v>3.0362680361455799E-2</v>
      </c>
      <c r="F447" s="172">
        <v>3.0362341340691601E-2</v>
      </c>
      <c r="G447" s="172">
        <v>1.00001116583074</v>
      </c>
    </row>
    <row r="448" spans="2:7" hidden="1" x14ac:dyDescent="0.3">
      <c r="B448" s="172" t="s">
        <v>187</v>
      </c>
      <c r="C448" s="172" t="s">
        <v>81</v>
      </c>
      <c r="D448" s="172" t="s">
        <v>218</v>
      </c>
      <c r="E448" s="172">
        <v>7.13465271145721E-3</v>
      </c>
      <c r="F448" s="172">
        <v>6.7461343251900502E-3</v>
      </c>
      <c r="G448" s="172">
        <v>1.05759126153424</v>
      </c>
    </row>
    <row r="449" spans="2:7" hidden="1" x14ac:dyDescent="0.3">
      <c r="B449" s="172" t="s">
        <v>187</v>
      </c>
      <c r="C449" s="172" t="s">
        <v>81</v>
      </c>
      <c r="D449" s="172" t="s">
        <v>221</v>
      </c>
      <c r="E449" s="172">
        <v>2.97690128118661E-2</v>
      </c>
      <c r="F449" s="172">
        <v>2.9278252745002301E-2</v>
      </c>
      <c r="G449" s="172">
        <v>1.01676193149701</v>
      </c>
    </row>
    <row r="450" spans="2:7" hidden="1" x14ac:dyDescent="0.3">
      <c r="B450" s="172" t="s">
        <v>185</v>
      </c>
      <c r="C450" s="172" t="s">
        <v>81</v>
      </c>
      <c r="D450" s="172" t="s">
        <v>218</v>
      </c>
      <c r="E450" s="172">
        <v>7.1203652164162998E-3</v>
      </c>
      <c r="F450" s="172">
        <v>6.4735584055757803E-3</v>
      </c>
      <c r="G450" s="172">
        <v>1.09991518888335</v>
      </c>
    </row>
    <row r="451" spans="2:7" hidden="1" x14ac:dyDescent="0.3">
      <c r="B451" s="172" t="s">
        <v>185</v>
      </c>
      <c r="C451" s="172" t="s">
        <v>81</v>
      </c>
      <c r="D451" s="172" t="s">
        <v>221</v>
      </c>
      <c r="E451" s="172">
        <v>2.8772542959535099E-2</v>
      </c>
      <c r="F451" s="172">
        <v>2.7955523830052301E-2</v>
      </c>
      <c r="G451" s="172">
        <v>1.02922567770325</v>
      </c>
    </row>
    <row r="452" spans="2:7" hidden="1" x14ac:dyDescent="0.3">
      <c r="B452" s="172" t="s">
        <v>183</v>
      </c>
      <c r="C452" s="172" t="s">
        <v>81</v>
      </c>
      <c r="D452" s="172" t="s">
        <v>218</v>
      </c>
      <c r="E452" s="172">
        <v>6.9134257571668604E-3</v>
      </c>
      <c r="F452" s="172">
        <v>6.0659186027473798E-3</v>
      </c>
      <c r="G452" s="172">
        <v>1.1397162095178199</v>
      </c>
    </row>
    <row r="453" spans="2:7" hidden="1" x14ac:dyDescent="0.3">
      <c r="B453" s="172" t="s">
        <v>183</v>
      </c>
      <c r="C453" s="172" t="s">
        <v>81</v>
      </c>
      <c r="D453" s="172" t="s">
        <v>221</v>
      </c>
      <c r="E453" s="172">
        <v>2.7123418990232601E-2</v>
      </c>
      <c r="F453" s="172">
        <v>2.6052883637281699E-2</v>
      </c>
      <c r="G453" s="172">
        <v>1.04109085841918</v>
      </c>
    </row>
    <row r="454" spans="2:7" hidden="1" x14ac:dyDescent="0.3">
      <c r="B454" s="172" t="s">
        <v>181</v>
      </c>
      <c r="C454" s="172" t="s">
        <v>81</v>
      </c>
      <c r="D454" s="172" t="s">
        <v>218</v>
      </c>
      <c r="E454" s="172">
        <v>6.5093632537425701E-3</v>
      </c>
      <c r="F454" s="172">
        <v>5.5343599658156497E-3</v>
      </c>
      <c r="G454" s="172">
        <v>1.1761727270993001</v>
      </c>
    </row>
    <row r="455" spans="2:7" hidden="1" x14ac:dyDescent="0.3">
      <c r="B455" s="172" t="s">
        <v>181</v>
      </c>
      <c r="C455" s="172" t="s">
        <v>81</v>
      </c>
      <c r="D455" s="172" t="s">
        <v>221</v>
      </c>
      <c r="E455" s="172">
        <v>2.4863777716491599E-2</v>
      </c>
      <c r="F455" s="172">
        <v>2.3632194615952298E-2</v>
      </c>
      <c r="G455" s="172">
        <v>1.0521146309326601</v>
      </c>
    </row>
    <row r="456" spans="2:7" hidden="1" x14ac:dyDescent="0.3">
      <c r="B456" s="172" t="s">
        <v>179</v>
      </c>
      <c r="C456" s="172" t="s">
        <v>81</v>
      </c>
      <c r="D456" s="172" t="s">
        <v>218</v>
      </c>
      <c r="E456" s="172">
        <v>5.9336157882434E-3</v>
      </c>
      <c r="F456" s="172">
        <v>4.8987178591556203E-3</v>
      </c>
      <c r="G456" s="172">
        <v>1.21125893730613</v>
      </c>
    </row>
    <row r="457" spans="2:7" hidden="1" x14ac:dyDescent="0.3">
      <c r="B457" s="172" t="s">
        <v>179</v>
      </c>
      <c r="C457" s="172" t="s">
        <v>81</v>
      </c>
      <c r="D457" s="172" t="s">
        <v>221</v>
      </c>
      <c r="E457" s="172">
        <v>2.2089211051187999E-2</v>
      </c>
      <c r="F457" s="172">
        <v>2.0781971561814001E-2</v>
      </c>
      <c r="G457" s="172">
        <v>1.06290257329464</v>
      </c>
    </row>
    <row r="458" spans="2:7" hidden="1" x14ac:dyDescent="0.3">
      <c r="B458" s="172" t="s">
        <v>39</v>
      </c>
      <c r="C458" s="172" t="s">
        <v>81</v>
      </c>
      <c r="D458" s="172" t="s">
        <v>218</v>
      </c>
      <c r="E458" s="172">
        <v>5.2048183152533997E-3</v>
      </c>
      <c r="F458" s="172">
        <v>4.1761276751411903E-3</v>
      </c>
      <c r="G458" s="172">
        <v>1.2463264344707601</v>
      </c>
    </row>
    <row r="459" spans="2:7" hidden="1" x14ac:dyDescent="0.3">
      <c r="B459" s="172" t="s">
        <v>39</v>
      </c>
      <c r="C459" s="172" t="s">
        <v>81</v>
      </c>
      <c r="D459" s="172" t="s">
        <v>221</v>
      </c>
      <c r="E459" s="172">
        <v>1.8883880863196801E-2</v>
      </c>
      <c r="F459" s="172">
        <v>1.7584482159897202E-2</v>
      </c>
      <c r="G459" s="172">
        <v>1.0738946243332099</v>
      </c>
    </row>
    <row r="460" spans="2:7" hidden="1" x14ac:dyDescent="0.3">
      <c r="B460" s="172" t="s">
        <v>26</v>
      </c>
      <c r="C460" s="172" t="s">
        <v>81</v>
      </c>
      <c r="D460" s="172" t="s">
        <v>218</v>
      </c>
      <c r="E460" s="172">
        <v>4.32685027541343E-3</v>
      </c>
      <c r="F460" s="172">
        <v>3.3818293212718202E-3</v>
      </c>
      <c r="G460" s="172">
        <v>1.2794407595313499</v>
      </c>
    </row>
    <row r="461" spans="2:7" hidden="1" x14ac:dyDescent="0.3">
      <c r="B461" s="172" t="s">
        <v>26</v>
      </c>
      <c r="C461" s="172" t="s">
        <v>81</v>
      </c>
      <c r="D461" s="172" t="s">
        <v>221</v>
      </c>
      <c r="E461" s="172">
        <v>1.5312909879838001E-2</v>
      </c>
      <c r="F461" s="172">
        <v>1.41191992009223E-2</v>
      </c>
      <c r="G461" s="172">
        <v>1.08454521123533</v>
      </c>
    </row>
    <row r="462" spans="2:7" hidden="1" x14ac:dyDescent="0.3">
      <c r="B462" s="172" t="s">
        <v>25</v>
      </c>
      <c r="C462" s="172" t="s">
        <v>81</v>
      </c>
      <c r="D462" s="172" t="s">
        <v>218</v>
      </c>
      <c r="E462" s="172">
        <v>3.3097763365056302E-3</v>
      </c>
      <c r="F462" s="172">
        <v>2.5374282189558998E-3</v>
      </c>
      <c r="G462" s="172">
        <v>1.30438225277858</v>
      </c>
    </row>
    <row r="463" spans="2:7" hidden="1" x14ac:dyDescent="0.3">
      <c r="B463" s="172" t="s">
        <v>25</v>
      </c>
      <c r="C463" s="172" t="s">
        <v>81</v>
      </c>
      <c r="D463" s="172" t="s">
        <v>221</v>
      </c>
      <c r="E463" s="172">
        <v>1.1434369267416099E-2</v>
      </c>
      <c r="F463" s="172">
        <v>1.0458771645248E-2</v>
      </c>
      <c r="G463" s="172">
        <v>1.09328032538232</v>
      </c>
    </row>
    <row r="464" spans="2:7" hidden="1" x14ac:dyDescent="0.3">
      <c r="B464" s="172" t="s">
        <v>24</v>
      </c>
      <c r="C464" s="172" t="s">
        <v>81</v>
      </c>
      <c r="D464" s="172" t="s">
        <v>218</v>
      </c>
      <c r="E464" s="172">
        <v>2.1758717367042E-3</v>
      </c>
      <c r="F464" s="172">
        <v>1.6586955947220799E-3</v>
      </c>
      <c r="G464" s="172">
        <v>1.3117968984952699</v>
      </c>
    </row>
    <row r="465" spans="2:7" hidden="1" x14ac:dyDescent="0.3">
      <c r="B465" s="172" t="s">
        <v>24</v>
      </c>
      <c r="C465" s="172" t="s">
        <v>81</v>
      </c>
      <c r="D465" s="172" t="s">
        <v>221</v>
      </c>
      <c r="E465" s="172">
        <v>7.33899833834339E-3</v>
      </c>
      <c r="F465" s="172">
        <v>6.6857232116291302E-3</v>
      </c>
      <c r="G465" s="172">
        <v>1.0977119611499799</v>
      </c>
    </row>
    <row r="466" spans="2:7" hidden="1" x14ac:dyDescent="0.3">
      <c r="B466" s="172" t="s">
        <v>22</v>
      </c>
      <c r="C466" s="172" t="s">
        <v>81</v>
      </c>
      <c r="D466" s="172" t="s">
        <v>218</v>
      </c>
      <c r="E466" s="172">
        <v>9.8523227396761005E-4</v>
      </c>
      <c r="F466" s="172">
        <v>7.77674509727662E-4</v>
      </c>
      <c r="G466" s="172">
        <v>1.2668954191550299</v>
      </c>
    </row>
    <row r="467" spans="2:7" hidden="1" x14ac:dyDescent="0.3">
      <c r="B467" s="172" t="s">
        <v>22</v>
      </c>
      <c r="C467" s="172" t="s">
        <v>81</v>
      </c>
      <c r="D467" s="172" t="s">
        <v>221</v>
      </c>
      <c r="E467" s="172">
        <v>3.23981013052064E-3</v>
      </c>
      <c r="F467" s="172">
        <v>2.97763190200702E-3</v>
      </c>
      <c r="G467" s="172">
        <v>1.0880492408537501</v>
      </c>
    </row>
    <row r="468" spans="2:7" hidden="1" x14ac:dyDescent="0.3">
      <c r="B468" s="172" t="s">
        <v>189</v>
      </c>
      <c r="C468" s="172" t="s">
        <v>82</v>
      </c>
      <c r="D468" s="172" t="s">
        <v>218</v>
      </c>
      <c r="E468" s="172">
        <v>5.2411059062240899E-3</v>
      </c>
      <c r="F468" s="172">
        <v>4.4440504603325401E-3</v>
      </c>
      <c r="G468" s="172">
        <v>1.17935337436108</v>
      </c>
    </row>
    <row r="469" spans="2:7" x14ac:dyDescent="0.3">
      <c r="B469" s="172" t="s">
        <v>189</v>
      </c>
      <c r="C469" s="172" t="s">
        <v>82</v>
      </c>
      <c r="D469" s="172" t="s">
        <v>221</v>
      </c>
      <c r="E469" s="172">
        <v>2.7559086199904801E-2</v>
      </c>
      <c r="F469" s="172">
        <v>2.65627668925403E-2</v>
      </c>
      <c r="G469" s="172">
        <v>1.03750811470036</v>
      </c>
    </row>
    <row r="470" spans="2:7" hidden="1" x14ac:dyDescent="0.3">
      <c r="B470" s="172" t="s">
        <v>187</v>
      </c>
      <c r="C470" s="172" t="s">
        <v>82</v>
      </c>
      <c r="D470" s="172" t="s">
        <v>218</v>
      </c>
      <c r="E470" s="172">
        <v>1.1420526009482099E-2</v>
      </c>
      <c r="F470" s="172">
        <v>7.3386494255721999E-3</v>
      </c>
      <c r="G470" s="172">
        <v>1.5562163209058999</v>
      </c>
    </row>
    <row r="471" spans="2:7" x14ac:dyDescent="0.3">
      <c r="B471" s="172" t="s">
        <v>187</v>
      </c>
      <c r="C471" s="172" t="s">
        <v>82</v>
      </c>
      <c r="D471" s="172" t="s">
        <v>221</v>
      </c>
      <c r="E471" s="172">
        <v>3.4495728466798603E-2</v>
      </c>
      <c r="F471" s="172">
        <v>2.9339673834491299E-2</v>
      </c>
      <c r="G471" s="172">
        <v>1.17573660366483</v>
      </c>
    </row>
    <row r="472" spans="2:7" hidden="1" x14ac:dyDescent="0.3">
      <c r="B472" s="172" t="s">
        <v>185</v>
      </c>
      <c r="C472" s="172" t="s">
        <v>82</v>
      </c>
      <c r="D472" s="172" t="s">
        <v>218</v>
      </c>
      <c r="E472" s="172">
        <v>1.1253205024631001E-2</v>
      </c>
      <c r="F472" s="172">
        <v>7.0594712646941801E-3</v>
      </c>
      <c r="G472" s="172">
        <v>1.59405777043254</v>
      </c>
    </row>
    <row r="473" spans="2:7" x14ac:dyDescent="0.3">
      <c r="B473" s="172" t="s">
        <v>185</v>
      </c>
      <c r="C473" s="172" t="s">
        <v>82</v>
      </c>
      <c r="D473" s="172" t="s">
        <v>221</v>
      </c>
      <c r="E473" s="172">
        <v>3.3355164412766598E-2</v>
      </c>
      <c r="F473" s="172">
        <v>2.8057816505477999E-2</v>
      </c>
      <c r="G473" s="172">
        <v>1.1888011458858301</v>
      </c>
    </row>
    <row r="474" spans="2:7" hidden="1" x14ac:dyDescent="0.3">
      <c r="B474" s="172" t="s">
        <v>183</v>
      </c>
      <c r="C474" s="172" t="s">
        <v>82</v>
      </c>
      <c r="D474" s="172" t="s">
        <v>218</v>
      </c>
      <c r="E474" s="172">
        <v>1.08015960275858E-2</v>
      </c>
      <c r="F474" s="172">
        <v>6.6313542922016404E-3</v>
      </c>
      <c r="G474" s="172">
        <v>1.62886727983879</v>
      </c>
    </row>
    <row r="475" spans="2:7" x14ac:dyDescent="0.3">
      <c r="B475" s="172" t="s">
        <v>183</v>
      </c>
      <c r="C475" s="172" t="s">
        <v>82</v>
      </c>
      <c r="D475" s="172" t="s">
        <v>221</v>
      </c>
      <c r="E475" s="172">
        <v>3.1456624772371197E-2</v>
      </c>
      <c r="F475" s="172">
        <v>2.6188951001359699E-2</v>
      </c>
      <c r="G475" s="172">
        <v>1.20114107551456</v>
      </c>
    </row>
    <row r="476" spans="2:7" hidden="1" x14ac:dyDescent="0.3">
      <c r="B476" s="172" t="s">
        <v>181</v>
      </c>
      <c r="C476" s="172" t="s">
        <v>82</v>
      </c>
      <c r="D476" s="172" t="s">
        <v>218</v>
      </c>
      <c r="E476" s="172">
        <v>1.00694415583745E-2</v>
      </c>
      <c r="F476" s="172">
        <v>6.0643156942531496E-3</v>
      </c>
      <c r="G476" s="172">
        <v>1.6604415182271499</v>
      </c>
    </row>
    <row r="477" spans="2:7" x14ac:dyDescent="0.3">
      <c r="B477" s="172" t="s">
        <v>181</v>
      </c>
      <c r="C477" s="172" t="s">
        <v>82</v>
      </c>
      <c r="D477" s="172" t="s">
        <v>221</v>
      </c>
      <c r="E477" s="172">
        <v>2.8849811335247701E-2</v>
      </c>
      <c r="F477" s="172">
        <v>2.3790704980568199E-2</v>
      </c>
      <c r="G477" s="172">
        <v>1.21265054393351</v>
      </c>
    </row>
    <row r="478" spans="2:7" hidden="1" x14ac:dyDescent="0.3">
      <c r="B478" s="172" t="s">
        <v>179</v>
      </c>
      <c r="C478" s="172" t="s">
        <v>82</v>
      </c>
      <c r="D478" s="172" t="s">
        <v>218</v>
      </c>
      <c r="E478" s="172">
        <v>9.0958756269911498E-3</v>
      </c>
      <c r="F478" s="172">
        <v>5.3801426101704004E-3</v>
      </c>
      <c r="G478" s="172">
        <v>1.6906383875023501</v>
      </c>
    </row>
    <row r="479" spans="2:7" x14ac:dyDescent="0.3">
      <c r="B479" s="172" t="s">
        <v>179</v>
      </c>
      <c r="C479" s="172" t="s">
        <v>82</v>
      </c>
      <c r="D479" s="172" t="s">
        <v>221</v>
      </c>
      <c r="E479" s="172">
        <v>2.5645643443769899E-2</v>
      </c>
      <c r="F479" s="172">
        <v>2.0952085948838399E-2</v>
      </c>
      <c r="G479" s="172">
        <v>1.2240138526728299</v>
      </c>
    </row>
    <row r="480" spans="2:7" hidden="1" x14ac:dyDescent="0.3">
      <c r="B480" s="172" t="s">
        <v>39</v>
      </c>
      <c r="C480" s="172" t="s">
        <v>82</v>
      </c>
      <c r="D480" s="172" t="s">
        <v>218</v>
      </c>
      <c r="E480" s="172">
        <v>7.9113932941751609E-3</v>
      </c>
      <c r="F480" s="172">
        <v>4.5974892919712403E-3</v>
      </c>
      <c r="G480" s="172">
        <v>1.7208073345578201</v>
      </c>
    </row>
    <row r="481" spans="2:7" x14ac:dyDescent="0.3">
      <c r="B481" s="172" t="s">
        <v>39</v>
      </c>
      <c r="C481" s="172" t="s">
        <v>82</v>
      </c>
      <c r="D481" s="172" t="s">
        <v>221</v>
      </c>
      <c r="E481" s="172">
        <v>2.19413526192704E-2</v>
      </c>
      <c r="F481" s="172">
        <v>1.7755368616486501E-2</v>
      </c>
      <c r="G481" s="172">
        <v>1.2357587777083401</v>
      </c>
    </row>
    <row r="482" spans="2:7" hidden="1" x14ac:dyDescent="0.3">
      <c r="B482" s="172" t="s">
        <v>26</v>
      </c>
      <c r="C482" s="172" t="s">
        <v>82</v>
      </c>
      <c r="D482" s="172" t="s">
        <v>218</v>
      </c>
      <c r="E482" s="172">
        <v>6.5305614614088797E-3</v>
      </c>
      <c r="F482" s="172">
        <v>3.7313380069311699E-3</v>
      </c>
      <c r="G482" s="172">
        <v>1.7501929466797099</v>
      </c>
    </row>
    <row r="483" spans="2:7" x14ac:dyDescent="0.3">
      <c r="B483" s="172" t="s">
        <v>26</v>
      </c>
      <c r="C483" s="172" t="s">
        <v>82</v>
      </c>
      <c r="D483" s="172" t="s">
        <v>221</v>
      </c>
      <c r="E483" s="172">
        <v>1.7813866943928901E-2</v>
      </c>
      <c r="F483" s="172">
        <v>1.4278005738272899E-2</v>
      </c>
      <c r="G483" s="172">
        <v>1.24764391263536</v>
      </c>
    </row>
    <row r="484" spans="2:7" hidden="1" x14ac:dyDescent="0.3">
      <c r="B484" s="172" t="s">
        <v>25</v>
      </c>
      <c r="C484" s="172" t="s">
        <v>82</v>
      </c>
      <c r="D484" s="172" t="s">
        <v>218</v>
      </c>
      <c r="E484" s="172">
        <v>4.9722504300485802E-3</v>
      </c>
      <c r="F484" s="172">
        <v>2.8028199613223301E-3</v>
      </c>
      <c r="G484" s="172">
        <v>1.77401706091131</v>
      </c>
    </row>
    <row r="485" spans="2:7" x14ac:dyDescent="0.3">
      <c r="B485" s="172" t="s">
        <v>25</v>
      </c>
      <c r="C485" s="172" t="s">
        <v>82</v>
      </c>
      <c r="D485" s="172" t="s">
        <v>221</v>
      </c>
      <c r="E485" s="172">
        <v>1.3330906918656999E-2</v>
      </c>
      <c r="F485" s="172">
        <v>1.0590573695002801E-2</v>
      </c>
      <c r="G485" s="172">
        <v>1.25875210376443</v>
      </c>
    </row>
    <row r="486" spans="2:7" hidden="1" x14ac:dyDescent="0.3">
      <c r="B486" s="172" t="s">
        <v>24</v>
      </c>
      <c r="C486" s="172" t="s">
        <v>82</v>
      </c>
      <c r="D486" s="172" t="s">
        <v>218</v>
      </c>
      <c r="E486" s="172">
        <v>3.2683172162290101E-3</v>
      </c>
      <c r="F486" s="172">
        <v>1.8302061744217401E-3</v>
      </c>
      <c r="G486" s="172">
        <v>1.7857645012380301</v>
      </c>
    </row>
    <row r="487" spans="2:7" x14ac:dyDescent="0.3">
      <c r="B487" s="172" t="s">
        <v>24</v>
      </c>
      <c r="C487" s="172" t="s">
        <v>82</v>
      </c>
      <c r="D487" s="172" t="s">
        <v>221</v>
      </c>
      <c r="E487" s="172">
        <v>8.5922896298463603E-3</v>
      </c>
      <c r="F487" s="172">
        <v>6.7757283138792802E-3</v>
      </c>
      <c r="G487" s="172">
        <v>1.2680983108850501</v>
      </c>
    </row>
    <row r="488" spans="2:7" hidden="1" x14ac:dyDescent="0.3">
      <c r="B488" s="172" t="s">
        <v>22</v>
      </c>
      <c r="C488" s="172" t="s">
        <v>82</v>
      </c>
      <c r="D488" s="172" t="s">
        <v>218</v>
      </c>
      <c r="E488" s="172">
        <v>1.4994191596256199E-3</v>
      </c>
      <c r="F488" s="172">
        <v>8.5125039555591301E-4</v>
      </c>
      <c r="G488" s="172">
        <v>1.7614313807706601</v>
      </c>
    </row>
    <row r="489" spans="2:7" x14ac:dyDescent="0.3">
      <c r="B489" s="172" t="s">
        <v>22</v>
      </c>
      <c r="C489" s="172" t="s">
        <v>82</v>
      </c>
      <c r="D489" s="172" t="s">
        <v>221</v>
      </c>
      <c r="E489" s="172">
        <v>3.8332301085578602E-3</v>
      </c>
      <c r="F489" s="172">
        <v>3.0144906171013799E-3</v>
      </c>
      <c r="G489" s="172">
        <v>1.2716012737978699</v>
      </c>
    </row>
    <row r="490" spans="2:7" hidden="1" x14ac:dyDescent="0.3">
      <c r="B490" s="172" t="s">
        <v>189</v>
      </c>
      <c r="C490" s="172" t="s">
        <v>246</v>
      </c>
      <c r="D490" s="172" t="s">
        <v>218</v>
      </c>
      <c r="E490" s="172">
        <v>5.7493584188761902E-4</v>
      </c>
      <c r="F490" s="172">
        <v>4.6673106430350898E-4</v>
      </c>
      <c r="G490" s="172">
        <v>1.23183538842777</v>
      </c>
    </row>
    <row r="491" spans="2:7" hidden="1" x14ac:dyDescent="0.3">
      <c r="B491" s="172" t="s">
        <v>189</v>
      </c>
      <c r="C491" s="172" t="s">
        <v>246</v>
      </c>
      <c r="D491" s="172" t="s">
        <v>221</v>
      </c>
      <c r="E491" s="172">
        <v>2.8515380440846802E-4</v>
      </c>
      <c r="F491" s="172">
        <v>1.4989783242833201E-4</v>
      </c>
      <c r="G491" s="172">
        <v>1.9023210662155801</v>
      </c>
    </row>
    <row r="492" spans="2:7" hidden="1" x14ac:dyDescent="0.3">
      <c r="B492" s="172" t="s">
        <v>187</v>
      </c>
      <c r="C492" s="172" t="s">
        <v>246</v>
      </c>
      <c r="D492" s="172" t="s">
        <v>218</v>
      </c>
      <c r="E492" s="172">
        <v>6.4737251552048395E-4</v>
      </c>
      <c r="F492" s="172">
        <v>1.3600950768202899E-4</v>
      </c>
      <c r="G492" s="172">
        <v>4.7597592738439198</v>
      </c>
    </row>
    <row r="493" spans="2:7" hidden="1" x14ac:dyDescent="0.3">
      <c r="B493" s="172" t="s">
        <v>187</v>
      </c>
      <c r="C493" s="172" t="s">
        <v>246</v>
      </c>
      <c r="D493" s="172" t="s">
        <v>221</v>
      </c>
      <c r="E493" s="172">
        <v>1.1639146333051E-3</v>
      </c>
      <c r="F493" s="172">
        <v>5.1798241287757995E-4</v>
      </c>
      <c r="G493" s="172">
        <v>2.24701573715434</v>
      </c>
    </row>
    <row r="494" spans="2:7" hidden="1" x14ac:dyDescent="0.3">
      <c r="B494" s="172" t="s">
        <v>185</v>
      </c>
      <c r="C494" s="172" t="s">
        <v>246</v>
      </c>
      <c r="D494" s="172" t="s">
        <v>218</v>
      </c>
      <c r="E494" s="172">
        <v>6.1499788302905498E-4</v>
      </c>
      <c r="F494" s="172">
        <v>1.6372400348671799E-4</v>
      </c>
      <c r="G494" s="172">
        <v>3.7563086043088698</v>
      </c>
    </row>
    <row r="495" spans="2:7" hidden="1" x14ac:dyDescent="0.3">
      <c r="B495" s="172" t="s">
        <v>185</v>
      </c>
      <c r="C495" s="172" t="s">
        <v>246</v>
      </c>
      <c r="D495" s="172" t="s">
        <v>221</v>
      </c>
      <c r="E495" s="172">
        <v>1.0134879131647801E-3</v>
      </c>
      <c r="F495" s="172">
        <v>4.4345774953235699E-4</v>
      </c>
      <c r="G495" s="172">
        <v>2.2854215857847699</v>
      </c>
    </row>
    <row r="496" spans="2:7" hidden="1" x14ac:dyDescent="0.3">
      <c r="B496" s="172" t="s">
        <v>183</v>
      </c>
      <c r="C496" s="172" t="s">
        <v>246</v>
      </c>
      <c r="D496" s="172" t="s">
        <v>218</v>
      </c>
      <c r="E496" s="172">
        <v>5.8271599780080198E-4</v>
      </c>
      <c r="F496" s="172">
        <v>1.9470470687349E-4</v>
      </c>
      <c r="G496" s="172">
        <v>2.9928192654296</v>
      </c>
    </row>
    <row r="497" spans="2:7" hidden="1" x14ac:dyDescent="0.3">
      <c r="B497" s="172" t="s">
        <v>183</v>
      </c>
      <c r="C497" s="172" t="s">
        <v>246</v>
      </c>
      <c r="D497" s="172" t="s">
        <v>221</v>
      </c>
      <c r="E497" s="172">
        <v>8.6594317007260497E-4</v>
      </c>
      <c r="F497" s="172">
        <v>3.7582364469073603E-4</v>
      </c>
      <c r="G497" s="172">
        <v>2.3041210480122598</v>
      </c>
    </row>
    <row r="498" spans="2:7" hidden="1" x14ac:dyDescent="0.3">
      <c r="B498" s="172" t="s">
        <v>181</v>
      </c>
      <c r="C498" s="172" t="s">
        <v>246</v>
      </c>
      <c r="D498" s="172" t="s">
        <v>218</v>
      </c>
      <c r="E498" s="172">
        <v>5.4756503533422705E-4</v>
      </c>
      <c r="F498" s="172">
        <v>2.2041561832579501E-4</v>
      </c>
      <c r="G498" s="172">
        <v>2.4842388188883899</v>
      </c>
    </row>
    <row r="499" spans="2:7" hidden="1" x14ac:dyDescent="0.3">
      <c r="B499" s="172" t="s">
        <v>181</v>
      </c>
      <c r="C499" s="172" t="s">
        <v>246</v>
      </c>
      <c r="D499" s="172" t="s">
        <v>221</v>
      </c>
      <c r="E499" s="172">
        <v>7.2494618546652101E-4</v>
      </c>
      <c r="F499" s="172">
        <v>3.1170481661376602E-4</v>
      </c>
      <c r="G499" s="172">
        <v>2.32574585578126</v>
      </c>
    </row>
    <row r="500" spans="2:7" hidden="1" x14ac:dyDescent="0.3">
      <c r="B500" s="172" t="s">
        <v>179</v>
      </c>
      <c r="C500" s="172" t="s">
        <v>246</v>
      </c>
      <c r="D500" s="172" t="s">
        <v>218</v>
      </c>
      <c r="E500" s="172">
        <v>5.0929150336865799E-4</v>
      </c>
      <c r="F500" s="172">
        <v>2.3974163491243799E-4</v>
      </c>
      <c r="G500" s="172">
        <v>2.12433482217084</v>
      </c>
    </row>
    <row r="501" spans="2:7" hidden="1" x14ac:dyDescent="0.3">
      <c r="B501" s="172" t="s">
        <v>179</v>
      </c>
      <c r="C501" s="172" t="s">
        <v>246</v>
      </c>
      <c r="D501" s="172" t="s">
        <v>221</v>
      </c>
      <c r="E501" s="172">
        <v>5.9209716282231496E-4</v>
      </c>
      <c r="F501" s="172">
        <v>2.51613118456563E-4</v>
      </c>
      <c r="G501" s="172">
        <v>2.3532046598140002</v>
      </c>
    </row>
    <row r="502" spans="2:7" hidden="1" x14ac:dyDescent="0.3">
      <c r="B502" s="172" t="s">
        <v>39</v>
      </c>
      <c r="C502" s="172" t="s">
        <v>246</v>
      </c>
      <c r="D502" s="172" t="s">
        <v>218</v>
      </c>
      <c r="E502" s="172">
        <v>4.6654343578618501E-4</v>
      </c>
      <c r="F502" s="172">
        <v>2.50335060049393E-4</v>
      </c>
      <c r="G502" s="172">
        <v>1.8636759696948999</v>
      </c>
    </row>
    <row r="503" spans="2:7" hidden="1" x14ac:dyDescent="0.3">
      <c r="B503" s="172" t="s">
        <v>39</v>
      </c>
      <c r="C503" s="172" t="s">
        <v>246</v>
      </c>
      <c r="D503" s="172" t="s">
        <v>221</v>
      </c>
      <c r="E503" s="172">
        <v>4.6897541958758403E-4</v>
      </c>
      <c r="F503" s="172">
        <v>1.9587010286742701E-4</v>
      </c>
      <c r="G503" s="172">
        <v>2.3943185443926902</v>
      </c>
    </row>
    <row r="504" spans="2:7" hidden="1" x14ac:dyDescent="0.3">
      <c r="B504" s="172" t="s">
        <v>26</v>
      </c>
      <c r="C504" s="172" t="s">
        <v>246</v>
      </c>
      <c r="D504" s="172" t="s">
        <v>218</v>
      </c>
      <c r="E504" s="172">
        <v>4.12783277049594E-4</v>
      </c>
      <c r="F504" s="172">
        <v>2.45425906251586E-4</v>
      </c>
      <c r="G504" s="172">
        <v>1.68190588904844</v>
      </c>
    </row>
    <row r="505" spans="2:7" hidden="1" x14ac:dyDescent="0.3">
      <c r="B505" s="172" t="s">
        <v>26</v>
      </c>
      <c r="C505" s="172" t="s">
        <v>246</v>
      </c>
      <c r="D505" s="172" t="s">
        <v>221</v>
      </c>
      <c r="E505" s="172">
        <v>3.54704467558035E-4</v>
      </c>
      <c r="F505" s="172">
        <v>1.4330568339213001E-4</v>
      </c>
      <c r="G505" s="172">
        <v>2.4751598063801201</v>
      </c>
    </row>
    <row r="506" spans="2:7" hidden="1" x14ac:dyDescent="0.3">
      <c r="B506" s="172" t="s">
        <v>25</v>
      </c>
      <c r="C506" s="172" t="s">
        <v>246</v>
      </c>
      <c r="D506" s="172" t="s">
        <v>218</v>
      </c>
      <c r="E506" s="172">
        <v>3.4068213149131298E-4</v>
      </c>
      <c r="F506" s="172">
        <v>2.22753360154262E-4</v>
      </c>
      <c r="G506" s="172">
        <v>1.52941410740284</v>
      </c>
    </row>
    <row r="507" spans="2:7" hidden="1" x14ac:dyDescent="0.3">
      <c r="B507" s="172" t="s">
        <v>25</v>
      </c>
      <c r="C507" s="172" t="s">
        <v>246</v>
      </c>
      <c r="D507" s="172" t="s">
        <v>221</v>
      </c>
      <c r="E507" s="172">
        <v>2.4879477924088898E-4</v>
      </c>
      <c r="F507" s="172">
        <v>9.9832120709876802E-5</v>
      </c>
      <c r="G507" s="172">
        <v>2.4921315651894602</v>
      </c>
    </row>
    <row r="508" spans="2:7" hidden="1" x14ac:dyDescent="0.3">
      <c r="B508" s="172" t="s">
        <v>24</v>
      </c>
      <c r="C508" s="172" t="s">
        <v>246</v>
      </c>
      <c r="D508" s="172" t="s">
        <v>218</v>
      </c>
      <c r="E508" s="172">
        <v>2.58122333722153E-4</v>
      </c>
      <c r="F508" s="172">
        <v>1.83762241180898E-4</v>
      </c>
      <c r="G508" s="172">
        <v>1.40465381823491</v>
      </c>
    </row>
    <row r="509" spans="2:7" hidden="1" x14ac:dyDescent="0.3">
      <c r="B509" s="172" t="s">
        <v>24</v>
      </c>
      <c r="C509" s="172" t="s">
        <v>246</v>
      </c>
      <c r="D509" s="172" t="s">
        <v>221</v>
      </c>
      <c r="E509" s="172">
        <v>1.58121991547818E-4</v>
      </c>
      <c r="F509" s="172">
        <v>6.4193453600969205E-5</v>
      </c>
      <c r="G509" s="172">
        <v>2.4632105406061302</v>
      </c>
    </row>
    <row r="510" spans="2:7" hidden="1" x14ac:dyDescent="0.3">
      <c r="B510" s="172" t="s">
        <v>22</v>
      </c>
      <c r="C510" s="172" t="s">
        <v>246</v>
      </c>
      <c r="D510" s="172" t="s">
        <v>218</v>
      </c>
      <c r="E510" s="172">
        <v>1.52289212325515E-4</v>
      </c>
      <c r="F510" s="172">
        <v>1.14206382834512E-4</v>
      </c>
      <c r="G510" s="172">
        <v>1.3334562267521</v>
      </c>
    </row>
    <row r="511" spans="2:7" hidden="1" x14ac:dyDescent="0.3">
      <c r="B511" s="172" t="s">
        <v>22</v>
      </c>
      <c r="C511" s="172" t="s">
        <v>246</v>
      </c>
      <c r="D511" s="172" t="s">
        <v>221</v>
      </c>
      <c r="E511" s="172">
        <v>8.0520664862105998E-5</v>
      </c>
      <c r="F511" s="172">
        <v>3.2416038136629498E-5</v>
      </c>
      <c r="G511" s="172">
        <v>2.4839761269628799</v>
      </c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325" workbookViewId="0">
      <selection activeCell="E409" sqref="E409:E508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3.4456134750587998E-4</v>
      </c>
      <c r="F6" s="172">
        <v>42</v>
      </c>
      <c r="G6" s="172">
        <v>24</v>
      </c>
      <c r="H6" s="172">
        <v>4</v>
      </c>
      <c r="I6" s="172">
        <v>38.5</v>
      </c>
    </row>
    <row r="7" spans="2:9" s="172" customFormat="1" hidden="1" x14ac:dyDescent="0.3">
      <c r="B7" s="172" t="s">
        <v>189</v>
      </c>
      <c r="C7" s="172" t="s">
        <v>79</v>
      </c>
      <c r="D7" s="172" t="s">
        <v>221</v>
      </c>
      <c r="E7" s="172">
        <v>1.3918715387265299E-4</v>
      </c>
      <c r="F7" s="172">
        <v>39</v>
      </c>
      <c r="G7" s="172">
        <v>19</v>
      </c>
      <c r="H7" s="172">
        <v>4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218</v>
      </c>
      <c r="E8" s="172">
        <v>3.6449823495054903E-4</v>
      </c>
      <c r="F8" s="172">
        <v>48</v>
      </c>
      <c r="G8" s="172">
        <v>24</v>
      </c>
      <c r="H8" s="172">
        <v>0</v>
      </c>
      <c r="I8" s="172">
        <v>38.5</v>
      </c>
    </row>
    <row r="9" spans="2:9" s="172" customFormat="1" hidden="1" x14ac:dyDescent="0.3">
      <c r="B9" s="172" t="s">
        <v>189</v>
      </c>
      <c r="C9" s="172" t="s">
        <v>80</v>
      </c>
      <c r="D9" s="172" t="s">
        <v>221</v>
      </c>
      <c r="E9" s="172">
        <v>1.7926856728178999E-4</v>
      </c>
      <c r="F9" s="172">
        <v>48</v>
      </c>
      <c r="G9" s="172">
        <v>24</v>
      </c>
      <c r="H9" s="172">
        <v>0</v>
      </c>
      <c r="I9" s="172">
        <v>38.5</v>
      </c>
    </row>
    <row r="10" spans="2:9" s="172" customFormat="1" hidden="1" x14ac:dyDescent="0.3">
      <c r="B10" s="172" t="s">
        <v>189</v>
      </c>
      <c r="C10" s="172" t="s">
        <v>81</v>
      </c>
      <c r="D10" s="172" t="s">
        <v>218</v>
      </c>
      <c r="E10" s="172">
        <v>1.6396290226494499E-4</v>
      </c>
      <c r="F10" s="172">
        <v>48</v>
      </c>
      <c r="G10" s="172">
        <v>24</v>
      </c>
      <c r="H10" s="172">
        <v>0</v>
      </c>
      <c r="I10" s="172">
        <v>38.5</v>
      </c>
    </row>
    <row r="11" spans="2:9" s="172" customFormat="1" hidden="1" x14ac:dyDescent="0.3">
      <c r="B11" s="172" t="s">
        <v>189</v>
      </c>
      <c r="C11" s="172" t="s">
        <v>81</v>
      </c>
      <c r="D11" s="172" t="s">
        <v>221</v>
      </c>
      <c r="E11" s="172">
        <v>5.24836547262959E-4</v>
      </c>
      <c r="F11" s="172">
        <v>48</v>
      </c>
      <c r="G11" s="172">
        <v>24</v>
      </c>
      <c r="H11" s="172">
        <v>0</v>
      </c>
      <c r="I11" s="172">
        <v>38.5</v>
      </c>
    </row>
    <row r="12" spans="2:9" s="172" customFormat="1" hidden="1" x14ac:dyDescent="0.3">
      <c r="B12" s="172" t="s">
        <v>189</v>
      </c>
      <c r="C12" s="172" t="s">
        <v>82</v>
      </c>
      <c r="D12" s="172" t="s">
        <v>218</v>
      </c>
      <c r="E12" s="172">
        <v>1.3007405759291301E-4</v>
      </c>
      <c r="F12" s="172">
        <v>48</v>
      </c>
      <c r="G12" s="172">
        <v>24</v>
      </c>
      <c r="H12" s="172">
        <v>0</v>
      </c>
      <c r="I12" s="172">
        <v>38.5</v>
      </c>
    </row>
    <row r="13" spans="2:9" s="172" customFormat="1" hidden="1" x14ac:dyDescent="0.3">
      <c r="B13" s="172" t="s">
        <v>189</v>
      </c>
      <c r="C13" s="172" t="s">
        <v>82</v>
      </c>
      <c r="D13" s="172" t="s">
        <v>221</v>
      </c>
      <c r="E13" s="172">
        <v>4.60942794330633E-4</v>
      </c>
      <c r="F13" s="172">
        <v>48</v>
      </c>
      <c r="G13" s="172">
        <v>24</v>
      </c>
      <c r="H13" s="172">
        <v>0</v>
      </c>
      <c r="I13" s="172">
        <v>38.5</v>
      </c>
    </row>
    <row r="14" spans="2:9" hidden="1" x14ac:dyDescent="0.3">
      <c r="B14" s="172" t="s">
        <v>189</v>
      </c>
      <c r="C14" s="172" t="s">
        <v>246</v>
      </c>
      <c r="D14" s="172" t="s">
        <v>218</v>
      </c>
      <c r="E14" s="172">
        <v>2.4511829552858798E-5</v>
      </c>
      <c r="F14" s="172">
        <v>42</v>
      </c>
      <c r="G14" s="172">
        <v>24</v>
      </c>
      <c r="H14" s="172">
        <v>4</v>
      </c>
      <c r="I14" s="172">
        <v>38.5</v>
      </c>
    </row>
    <row r="15" spans="2:9" hidden="1" x14ac:dyDescent="0.3">
      <c r="B15" s="172" t="s">
        <v>189</v>
      </c>
      <c r="C15" s="172" t="s">
        <v>246</v>
      </c>
      <c r="D15" s="172" t="s">
        <v>221</v>
      </c>
      <c r="E15" s="172">
        <v>5.3327659888677799E-5</v>
      </c>
      <c r="F15" s="172">
        <v>76</v>
      </c>
      <c r="G15" s="172">
        <v>19</v>
      </c>
      <c r="H15" s="172">
        <v>0</v>
      </c>
      <c r="I15" s="172">
        <v>38.5</v>
      </c>
    </row>
    <row r="16" spans="2:9" x14ac:dyDescent="0.3">
      <c r="B16" s="172" t="s">
        <v>187</v>
      </c>
      <c r="C16" s="172" t="s">
        <v>79</v>
      </c>
      <c r="D16" s="172" t="s">
        <v>218</v>
      </c>
      <c r="E16" s="172">
        <v>2.88902105712214E-4</v>
      </c>
      <c r="F16" s="172">
        <v>48</v>
      </c>
      <c r="G16" s="172">
        <v>24</v>
      </c>
      <c r="H16" s="172">
        <v>0</v>
      </c>
      <c r="I16" s="172">
        <v>35.5</v>
      </c>
    </row>
    <row r="17" spans="2:9" hidden="1" x14ac:dyDescent="0.3">
      <c r="B17" s="172" t="s">
        <v>187</v>
      </c>
      <c r="C17" s="172" t="s">
        <v>79</v>
      </c>
      <c r="D17" s="172" t="s">
        <v>221</v>
      </c>
      <c r="E17" s="172">
        <v>1.26546448243042E-4</v>
      </c>
      <c r="F17" s="172">
        <v>48</v>
      </c>
      <c r="G17" s="172">
        <v>24</v>
      </c>
      <c r="H17" s="172">
        <v>0</v>
      </c>
      <c r="I17" s="172">
        <v>35.5</v>
      </c>
    </row>
    <row r="18" spans="2:9" hidden="1" x14ac:dyDescent="0.3">
      <c r="B18" s="172" t="s">
        <v>187</v>
      </c>
      <c r="C18" s="172" t="s">
        <v>80</v>
      </c>
      <c r="D18" s="172" t="s">
        <v>218</v>
      </c>
      <c r="E18" s="172">
        <v>3.17324025622901E-4</v>
      </c>
      <c r="F18" s="172">
        <v>48</v>
      </c>
      <c r="G18" s="172">
        <v>24</v>
      </c>
      <c r="H18" s="172">
        <v>0</v>
      </c>
      <c r="I18" s="172">
        <v>35.5</v>
      </c>
    </row>
    <row r="19" spans="2:9" hidden="1" x14ac:dyDescent="0.3">
      <c r="B19" s="172" t="s">
        <v>187</v>
      </c>
      <c r="C19" s="172" t="s">
        <v>80</v>
      </c>
      <c r="D19" s="172" t="s">
        <v>221</v>
      </c>
      <c r="E19" s="172">
        <v>1.72533165762267E-4</v>
      </c>
      <c r="F19" s="172">
        <v>48</v>
      </c>
      <c r="G19" s="172">
        <v>24</v>
      </c>
      <c r="H19" s="172">
        <v>0</v>
      </c>
      <c r="I19" s="172">
        <v>35.5</v>
      </c>
    </row>
    <row r="20" spans="2:9" hidden="1" x14ac:dyDescent="0.3">
      <c r="B20" s="172" t="s">
        <v>187</v>
      </c>
      <c r="C20" s="172" t="s">
        <v>81</v>
      </c>
      <c r="D20" s="172" t="s">
        <v>218</v>
      </c>
      <c r="E20" s="172">
        <v>1.51675526910752E-4</v>
      </c>
      <c r="F20" s="172">
        <v>48</v>
      </c>
      <c r="G20" s="172">
        <v>24</v>
      </c>
      <c r="H20" s="172">
        <v>0</v>
      </c>
      <c r="I20" s="172">
        <v>35.5</v>
      </c>
    </row>
    <row r="21" spans="2:9" hidden="1" x14ac:dyDescent="0.3">
      <c r="B21" s="172" t="s">
        <v>187</v>
      </c>
      <c r="C21" s="172" t="s">
        <v>81</v>
      </c>
      <c r="D21" s="172" t="s">
        <v>221</v>
      </c>
      <c r="E21" s="172">
        <v>4.7113942216257001E-4</v>
      </c>
      <c r="F21" s="172">
        <v>48</v>
      </c>
      <c r="G21" s="172">
        <v>24</v>
      </c>
      <c r="H21" s="172">
        <v>0</v>
      </c>
      <c r="I21" s="172">
        <v>35.5</v>
      </c>
    </row>
    <row r="22" spans="2:9" hidden="1" x14ac:dyDescent="0.3">
      <c r="B22" s="172" t="s">
        <v>187</v>
      </c>
      <c r="C22" s="172" t="s">
        <v>82</v>
      </c>
      <c r="D22" s="172" t="s">
        <v>218</v>
      </c>
      <c r="E22" s="172">
        <v>1.1172438197281901E-4</v>
      </c>
      <c r="F22" s="172">
        <v>48</v>
      </c>
      <c r="G22" s="172">
        <v>24</v>
      </c>
      <c r="H22" s="172">
        <v>0</v>
      </c>
      <c r="I22" s="172">
        <v>35.5</v>
      </c>
    </row>
    <row r="23" spans="2:9" hidden="1" x14ac:dyDescent="0.3">
      <c r="B23" s="172" t="s">
        <v>187</v>
      </c>
      <c r="C23" s="172" t="s">
        <v>82</v>
      </c>
      <c r="D23" s="172" t="s">
        <v>221</v>
      </c>
      <c r="E23" s="172">
        <v>4.0661445828416801E-4</v>
      </c>
      <c r="F23" s="172">
        <v>48</v>
      </c>
      <c r="G23" s="172">
        <v>24</v>
      </c>
      <c r="H23" s="172">
        <v>0</v>
      </c>
      <c r="I23" s="172">
        <v>35.5</v>
      </c>
    </row>
    <row r="24" spans="2:9" hidden="1" x14ac:dyDescent="0.3">
      <c r="B24" s="172" t="s">
        <v>187</v>
      </c>
      <c r="C24" s="172" t="s">
        <v>246</v>
      </c>
      <c r="D24" s="172" t="s">
        <v>218</v>
      </c>
      <c r="E24" s="172">
        <v>2.5538543176415699E-5</v>
      </c>
      <c r="F24" s="172">
        <v>19</v>
      </c>
      <c r="G24" s="172">
        <v>19.25</v>
      </c>
      <c r="H24" s="172">
        <v>19.25</v>
      </c>
      <c r="I24" s="172">
        <v>35.5</v>
      </c>
    </row>
    <row r="25" spans="2:9" hidden="1" x14ac:dyDescent="0.3">
      <c r="B25" s="172" t="s">
        <v>187</v>
      </c>
      <c r="C25" s="172" t="s">
        <v>246</v>
      </c>
      <c r="D25" s="172" t="s">
        <v>221</v>
      </c>
      <c r="E25" s="172">
        <v>4.2979062897234197E-5</v>
      </c>
      <c r="F25" s="172">
        <v>61</v>
      </c>
      <c r="G25" s="172">
        <v>0</v>
      </c>
      <c r="H25" s="172">
        <v>0</v>
      </c>
      <c r="I25" s="172">
        <v>35.5</v>
      </c>
    </row>
    <row r="26" spans="2:9" x14ac:dyDescent="0.3">
      <c r="B26" s="172" t="s">
        <v>185</v>
      </c>
      <c r="C26" s="172" t="s">
        <v>79</v>
      </c>
      <c r="D26" s="172" t="s">
        <v>218</v>
      </c>
      <c r="E26" s="172">
        <v>4.12394436964304E-4</v>
      </c>
      <c r="F26" s="172">
        <v>19</v>
      </c>
      <c r="G26" s="172">
        <v>19.25</v>
      </c>
      <c r="H26" s="172">
        <v>19.25</v>
      </c>
      <c r="I26" s="172">
        <v>32</v>
      </c>
    </row>
    <row r="27" spans="2:9" hidden="1" x14ac:dyDescent="0.3">
      <c r="B27" s="172" t="s">
        <v>185</v>
      </c>
      <c r="C27" s="172" t="s">
        <v>79</v>
      </c>
      <c r="D27" s="172" t="s">
        <v>221</v>
      </c>
      <c r="E27" s="172">
        <v>1.4854118923571599E-4</v>
      </c>
      <c r="F27" s="172">
        <v>64</v>
      </c>
      <c r="G27" s="172">
        <v>0</v>
      </c>
      <c r="H27" s="172">
        <v>19</v>
      </c>
      <c r="I27" s="172">
        <v>32</v>
      </c>
    </row>
    <row r="28" spans="2:9" hidden="1" x14ac:dyDescent="0.3">
      <c r="B28" s="172" t="s">
        <v>185</v>
      </c>
      <c r="C28" s="172" t="s">
        <v>80</v>
      </c>
      <c r="D28" s="172" t="s">
        <v>218</v>
      </c>
      <c r="E28" s="172">
        <v>4.4262883131223501E-4</v>
      </c>
      <c r="F28" s="172">
        <v>48</v>
      </c>
      <c r="G28" s="172">
        <v>24</v>
      </c>
      <c r="H28" s="172">
        <v>0</v>
      </c>
      <c r="I28" s="172">
        <v>32</v>
      </c>
    </row>
    <row r="29" spans="2:9" hidden="1" x14ac:dyDescent="0.3">
      <c r="B29" s="172" t="s">
        <v>185</v>
      </c>
      <c r="C29" s="172" t="s">
        <v>80</v>
      </c>
      <c r="D29" s="172" t="s">
        <v>221</v>
      </c>
      <c r="E29" s="172">
        <v>1.9915089456424499E-4</v>
      </c>
      <c r="F29" s="172">
        <v>48</v>
      </c>
      <c r="G29" s="172">
        <v>24</v>
      </c>
      <c r="H29" s="172">
        <v>0</v>
      </c>
      <c r="I29" s="172">
        <v>32</v>
      </c>
    </row>
    <row r="30" spans="2:9" hidden="1" x14ac:dyDescent="0.3">
      <c r="B30" s="172" t="s">
        <v>185</v>
      </c>
      <c r="C30" s="172" t="s">
        <v>81</v>
      </c>
      <c r="D30" s="172" t="s">
        <v>218</v>
      </c>
      <c r="E30" s="172">
        <v>1.73811470402106E-4</v>
      </c>
      <c r="F30" s="172">
        <v>48</v>
      </c>
      <c r="G30" s="172">
        <v>24</v>
      </c>
      <c r="H30" s="172">
        <v>0</v>
      </c>
      <c r="I30" s="172">
        <v>32</v>
      </c>
    </row>
    <row r="31" spans="2:9" hidden="1" x14ac:dyDescent="0.3">
      <c r="B31" s="172" t="s">
        <v>185</v>
      </c>
      <c r="C31" s="172" t="s">
        <v>81</v>
      </c>
      <c r="D31" s="172" t="s">
        <v>221</v>
      </c>
      <c r="E31" s="172">
        <v>6.1604469035393802E-4</v>
      </c>
      <c r="F31" s="172">
        <v>48</v>
      </c>
      <c r="G31" s="172">
        <v>24</v>
      </c>
      <c r="H31" s="172">
        <v>0</v>
      </c>
      <c r="I31" s="172">
        <v>32</v>
      </c>
    </row>
    <row r="32" spans="2:9" hidden="1" x14ac:dyDescent="0.3">
      <c r="B32" s="172" t="s">
        <v>185</v>
      </c>
      <c r="C32" s="172" t="s">
        <v>82</v>
      </c>
      <c r="D32" s="172" t="s">
        <v>218</v>
      </c>
      <c r="E32" s="172">
        <v>1.2920777300399401E-4</v>
      </c>
      <c r="F32" s="172">
        <v>19</v>
      </c>
      <c r="G32" s="172">
        <v>19.25</v>
      </c>
      <c r="H32" s="172">
        <v>19.25</v>
      </c>
      <c r="I32" s="172">
        <v>32</v>
      </c>
    </row>
    <row r="33" spans="2:9" hidden="1" x14ac:dyDescent="0.3">
      <c r="B33" s="172" t="s">
        <v>185</v>
      </c>
      <c r="C33" s="172" t="s">
        <v>82</v>
      </c>
      <c r="D33" s="172" t="s">
        <v>221</v>
      </c>
      <c r="E33" s="172">
        <v>5.4243989725581904E-4</v>
      </c>
      <c r="F33" s="172">
        <v>64</v>
      </c>
      <c r="G33" s="172">
        <v>0</v>
      </c>
      <c r="H33" s="172">
        <v>19</v>
      </c>
      <c r="I33" s="172">
        <v>32</v>
      </c>
    </row>
    <row r="34" spans="2:9" hidden="1" x14ac:dyDescent="0.3">
      <c r="B34" s="172" t="s">
        <v>185</v>
      </c>
      <c r="C34" s="172" t="s">
        <v>246</v>
      </c>
      <c r="D34" s="172" t="s">
        <v>218</v>
      </c>
      <c r="E34" s="172">
        <v>2.7402314363015599E-5</v>
      </c>
      <c r="F34" s="172">
        <v>19</v>
      </c>
      <c r="G34" s="172">
        <v>19.25</v>
      </c>
      <c r="H34" s="172">
        <v>19.25</v>
      </c>
      <c r="I34" s="172">
        <v>32</v>
      </c>
    </row>
    <row r="35" spans="2:9" hidden="1" x14ac:dyDescent="0.3">
      <c r="B35" s="172" t="s">
        <v>185</v>
      </c>
      <c r="C35" s="172" t="s">
        <v>246</v>
      </c>
      <c r="D35" s="172" t="s">
        <v>221</v>
      </c>
      <c r="E35" s="172">
        <v>4.2155640883479199E-5</v>
      </c>
      <c r="F35" s="172">
        <v>64</v>
      </c>
      <c r="G35" s="172">
        <v>0</v>
      </c>
      <c r="H35" s="172">
        <v>19</v>
      </c>
      <c r="I35" s="172">
        <v>32</v>
      </c>
    </row>
    <row r="36" spans="2:9" x14ac:dyDescent="0.3">
      <c r="B36" s="172" t="s">
        <v>183</v>
      </c>
      <c r="C36" s="172" t="s">
        <v>79</v>
      </c>
      <c r="D36" s="172" t="s">
        <v>218</v>
      </c>
      <c r="E36" s="172">
        <v>5.6575876593640705E-4</v>
      </c>
      <c r="F36" s="172">
        <v>19</v>
      </c>
      <c r="G36" s="172">
        <v>19.25</v>
      </c>
      <c r="H36" s="172">
        <v>19.25</v>
      </c>
      <c r="I36" s="172">
        <v>28.5</v>
      </c>
    </row>
    <row r="37" spans="2:9" hidden="1" x14ac:dyDescent="0.3">
      <c r="B37" s="172" t="s">
        <v>183</v>
      </c>
      <c r="C37" s="172" t="s">
        <v>79</v>
      </c>
      <c r="D37" s="172" t="s">
        <v>221</v>
      </c>
      <c r="E37" s="172">
        <v>2.2080797991309701E-4</v>
      </c>
      <c r="F37" s="172">
        <v>64</v>
      </c>
      <c r="G37" s="172">
        <v>0</v>
      </c>
      <c r="H37" s="172">
        <v>19</v>
      </c>
      <c r="I37" s="172">
        <v>28.5</v>
      </c>
    </row>
    <row r="38" spans="2:9" hidden="1" x14ac:dyDescent="0.3">
      <c r="B38" s="172" t="s">
        <v>183</v>
      </c>
      <c r="C38" s="172" t="s">
        <v>80</v>
      </c>
      <c r="D38" s="172" t="s">
        <v>218</v>
      </c>
      <c r="E38" s="172">
        <v>5.5028726640490497E-4</v>
      </c>
      <c r="F38" s="172">
        <v>48</v>
      </c>
      <c r="G38" s="172">
        <v>24</v>
      </c>
      <c r="H38" s="172">
        <v>0</v>
      </c>
      <c r="I38" s="172">
        <v>28.5</v>
      </c>
    </row>
    <row r="39" spans="2:9" hidden="1" x14ac:dyDescent="0.3">
      <c r="B39" s="172" t="s">
        <v>183</v>
      </c>
      <c r="C39" s="172" t="s">
        <v>80</v>
      </c>
      <c r="D39" s="172" t="s">
        <v>221</v>
      </c>
      <c r="E39" s="172">
        <v>2.1624712200753001E-4</v>
      </c>
      <c r="F39" s="172">
        <v>48</v>
      </c>
      <c r="G39" s="172">
        <v>24</v>
      </c>
      <c r="H39" s="172">
        <v>0</v>
      </c>
      <c r="I39" s="172">
        <v>28.5</v>
      </c>
    </row>
    <row r="40" spans="2:9" hidden="1" x14ac:dyDescent="0.3">
      <c r="B40" s="172" t="s">
        <v>183</v>
      </c>
      <c r="C40" s="172" t="s">
        <v>81</v>
      </c>
      <c r="D40" s="172" t="s">
        <v>218</v>
      </c>
      <c r="E40" s="172">
        <v>1.8830136298261799E-4</v>
      </c>
      <c r="F40" s="172">
        <v>48</v>
      </c>
      <c r="G40" s="172">
        <v>24</v>
      </c>
      <c r="H40" s="172">
        <v>0</v>
      </c>
      <c r="I40" s="172">
        <v>28.5</v>
      </c>
    </row>
    <row r="41" spans="2:9" hidden="1" x14ac:dyDescent="0.3">
      <c r="B41" s="172" t="s">
        <v>183</v>
      </c>
      <c r="C41" s="172" t="s">
        <v>81</v>
      </c>
      <c r="D41" s="172" t="s">
        <v>221</v>
      </c>
      <c r="E41" s="172">
        <v>7.3763907683364503E-4</v>
      </c>
      <c r="F41" s="172">
        <v>48</v>
      </c>
      <c r="G41" s="172">
        <v>24</v>
      </c>
      <c r="H41" s="172">
        <v>0</v>
      </c>
      <c r="I41" s="172">
        <v>28.5</v>
      </c>
    </row>
    <row r="42" spans="2:9" hidden="1" x14ac:dyDescent="0.3">
      <c r="B42" s="172" t="s">
        <v>183</v>
      </c>
      <c r="C42" s="172" t="s">
        <v>82</v>
      </c>
      <c r="D42" s="172" t="s">
        <v>218</v>
      </c>
      <c r="E42" s="172">
        <v>2.1042846340135499E-4</v>
      </c>
      <c r="F42" s="172">
        <v>19</v>
      </c>
      <c r="G42" s="172">
        <v>19.25</v>
      </c>
      <c r="H42" s="172">
        <v>19.25</v>
      </c>
      <c r="I42" s="172">
        <v>28.5</v>
      </c>
    </row>
    <row r="43" spans="2:9" hidden="1" x14ac:dyDescent="0.3">
      <c r="B43" s="172" t="s">
        <v>183</v>
      </c>
      <c r="C43" s="172" t="s">
        <v>82</v>
      </c>
      <c r="D43" s="172" t="s">
        <v>221</v>
      </c>
      <c r="E43" s="172">
        <v>7.4480383917813805E-4</v>
      </c>
      <c r="F43" s="172">
        <v>64</v>
      </c>
      <c r="G43" s="172">
        <v>0</v>
      </c>
      <c r="H43" s="172">
        <v>19</v>
      </c>
      <c r="I43" s="172">
        <v>28.5</v>
      </c>
    </row>
    <row r="44" spans="2:9" hidden="1" x14ac:dyDescent="0.3">
      <c r="B44" s="172" t="s">
        <v>183</v>
      </c>
      <c r="C44" s="172" t="s">
        <v>246</v>
      </c>
      <c r="D44" s="172" t="s">
        <v>218</v>
      </c>
      <c r="E44" s="172">
        <v>2.5192690158737399E-5</v>
      </c>
      <c r="F44" s="172">
        <v>19</v>
      </c>
      <c r="G44" s="172">
        <v>19.25</v>
      </c>
      <c r="H44" s="172">
        <v>19.25</v>
      </c>
      <c r="I44" s="172">
        <v>28.5</v>
      </c>
    </row>
    <row r="45" spans="2:9" hidden="1" x14ac:dyDescent="0.3">
      <c r="B45" s="172" t="s">
        <v>183</v>
      </c>
      <c r="C45" s="172" t="s">
        <v>246</v>
      </c>
      <c r="D45" s="172" t="s">
        <v>221</v>
      </c>
      <c r="E45" s="172">
        <v>4.0284852744595398E-5</v>
      </c>
      <c r="F45" s="172">
        <v>64</v>
      </c>
      <c r="G45" s="172">
        <v>0</v>
      </c>
      <c r="H45" s="172">
        <v>19</v>
      </c>
      <c r="I45" s="172">
        <v>28.5</v>
      </c>
    </row>
    <row r="46" spans="2:9" x14ac:dyDescent="0.3">
      <c r="B46" s="172" t="s">
        <v>181</v>
      </c>
      <c r="C46" s="172" t="s">
        <v>79</v>
      </c>
      <c r="D46" s="172" t="s">
        <v>218</v>
      </c>
      <c r="E46" s="172">
        <v>6.9679575649527403E-4</v>
      </c>
      <c r="F46" s="172">
        <v>19</v>
      </c>
      <c r="G46" s="172">
        <v>19.25</v>
      </c>
      <c r="H46" s="172">
        <v>19.25</v>
      </c>
      <c r="I46" s="172">
        <v>25</v>
      </c>
    </row>
    <row r="47" spans="2:9" hidden="1" x14ac:dyDescent="0.3">
      <c r="B47" s="172" t="s">
        <v>181</v>
      </c>
      <c r="C47" s="172" t="s">
        <v>79</v>
      </c>
      <c r="D47" s="172" t="s">
        <v>221</v>
      </c>
      <c r="E47" s="172">
        <v>2.8328083880974699E-4</v>
      </c>
      <c r="F47" s="172">
        <v>64</v>
      </c>
      <c r="G47" s="172">
        <v>0</v>
      </c>
      <c r="H47" s="172">
        <v>19</v>
      </c>
      <c r="I47" s="172">
        <v>25</v>
      </c>
    </row>
    <row r="48" spans="2:9" hidden="1" x14ac:dyDescent="0.3">
      <c r="B48" s="172" t="s">
        <v>181</v>
      </c>
      <c r="C48" s="172" t="s">
        <v>80</v>
      </c>
      <c r="D48" s="172" t="s">
        <v>218</v>
      </c>
      <c r="E48" s="172">
        <v>6.4015562798291903E-4</v>
      </c>
      <c r="F48" s="172">
        <v>48</v>
      </c>
      <c r="G48" s="172">
        <v>24</v>
      </c>
      <c r="H48" s="172">
        <v>0</v>
      </c>
      <c r="I48" s="172">
        <v>25</v>
      </c>
    </row>
    <row r="49" spans="2:9" hidden="1" x14ac:dyDescent="0.3">
      <c r="B49" s="172" t="s">
        <v>181</v>
      </c>
      <c r="C49" s="172" t="s">
        <v>80</v>
      </c>
      <c r="D49" s="172" t="s">
        <v>221</v>
      </c>
      <c r="E49" s="172">
        <v>2.2880548575570601E-4</v>
      </c>
      <c r="F49" s="172">
        <v>48</v>
      </c>
      <c r="G49" s="172">
        <v>24</v>
      </c>
      <c r="H49" s="172">
        <v>0</v>
      </c>
      <c r="I49" s="172">
        <v>25</v>
      </c>
    </row>
    <row r="50" spans="2:9" hidden="1" x14ac:dyDescent="0.3">
      <c r="B50" s="172" t="s">
        <v>181</v>
      </c>
      <c r="C50" s="172" t="s">
        <v>81</v>
      </c>
      <c r="D50" s="172" t="s">
        <v>218</v>
      </c>
      <c r="E50" s="172">
        <v>1.98724785091687E-4</v>
      </c>
      <c r="F50" s="172">
        <v>48</v>
      </c>
      <c r="G50" s="172">
        <v>24</v>
      </c>
      <c r="H50" s="172">
        <v>0</v>
      </c>
      <c r="I50" s="172">
        <v>25</v>
      </c>
    </row>
    <row r="51" spans="2:9" hidden="1" x14ac:dyDescent="0.3">
      <c r="B51" s="172" t="s">
        <v>181</v>
      </c>
      <c r="C51" s="172" t="s">
        <v>81</v>
      </c>
      <c r="D51" s="172" t="s">
        <v>221</v>
      </c>
      <c r="E51" s="172">
        <v>8.35965555135164E-4</v>
      </c>
      <c r="F51" s="172">
        <v>48</v>
      </c>
      <c r="G51" s="172">
        <v>24</v>
      </c>
      <c r="H51" s="172">
        <v>0</v>
      </c>
      <c r="I51" s="172">
        <v>25</v>
      </c>
    </row>
    <row r="52" spans="2:9" hidden="1" x14ac:dyDescent="0.3">
      <c r="B52" s="172" t="s">
        <v>181</v>
      </c>
      <c r="C52" s="172" t="s">
        <v>82</v>
      </c>
      <c r="D52" s="172" t="s">
        <v>218</v>
      </c>
      <c r="E52" s="172">
        <v>2.80337580326394E-4</v>
      </c>
      <c r="F52" s="172">
        <v>19</v>
      </c>
      <c r="G52" s="172">
        <v>19.25</v>
      </c>
      <c r="H52" s="172">
        <v>19.25</v>
      </c>
      <c r="I52" s="172">
        <v>25</v>
      </c>
    </row>
    <row r="53" spans="2:9" hidden="1" x14ac:dyDescent="0.3">
      <c r="B53" s="172" t="s">
        <v>181</v>
      </c>
      <c r="C53" s="172" t="s">
        <v>82</v>
      </c>
      <c r="D53" s="172" t="s">
        <v>221</v>
      </c>
      <c r="E53" s="172">
        <v>9.1547654042222696E-4</v>
      </c>
      <c r="F53" s="172">
        <v>64</v>
      </c>
      <c r="G53" s="172">
        <v>0</v>
      </c>
      <c r="H53" s="172">
        <v>19</v>
      </c>
      <c r="I53" s="172">
        <v>25</v>
      </c>
    </row>
    <row r="54" spans="2:9" hidden="1" x14ac:dyDescent="0.3">
      <c r="B54" s="172" t="s">
        <v>181</v>
      </c>
      <c r="C54" s="172" t="s">
        <v>246</v>
      </c>
      <c r="D54" s="172" t="s">
        <v>218</v>
      </c>
      <c r="E54" s="172">
        <v>2.2411812789606401E-5</v>
      </c>
      <c r="F54" s="172">
        <v>19</v>
      </c>
      <c r="G54" s="172">
        <v>19.25</v>
      </c>
      <c r="H54" s="172">
        <v>19.25</v>
      </c>
      <c r="I54" s="172">
        <v>25</v>
      </c>
    </row>
    <row r="55" spans="2:9" hidden="1" x14ac:dyDescent="0.3">
      <c r="B55" s="172" t="s">
        <v>181</v>
      </c>
      <c r="C55" s="172" t="s">
        <v>246</v>
      </c>
      <c r="D55" s="172" t="s">
        <v>221</v>
      </c>
      <c r="E55" s="172">
        <v>3.7956863612630302E-5</v>
      </c>
      <c r="F55" s="172">
        <v>64</v>
      </c>
      <c r="G55" s="172">
        <v>0</v>
      </c>
      <c r="H55" s="172">
        <v>19</v>
      </c>
      <c r="I55" s="172">
        <v>25</v>
      </c>
    </row>
    <row r="56" spans="2:9" x14ac:dyDescent="0.3">
      <c r="B56" s="172" t="s">
        <v>179</v>
      </c>
      <c r="C56" s="172" t="s">
        <v>79</v>
      </c>
      <c r="D56" s="172" t="s">
        <v>218</v>
      </c>
      <c r="E56" s="172">
        <v>8.0716033783490601E-4</v>
      </c>
      <c r="F56" s="172">
        <v>19</v>
      </c>
      <c r="G56" s="172">
        <v>19.25</v>
      </c>
      <c r="H56" s="172">
        <v>19.25</v>
      </c>
      <c r="I56" s="172">
        <v>21.5</v>
      </c>
    </row>
    <row r="57" spans="2:9" hidden="1" x14ac:dyDescent="0.3">
      <c r="B57" s="172" t="s">
        <v>179</v>
      </c>
      <c r="C57" s="172" t="s">
        <v>79</v>
      </c>
      <c r="D57" s="172" t="s">
        <v>221</v>
      </c>
      <c r="E57" s="172">
        <v>3.3751115314814399E-4</v>
      </c>
      <c r="F57" s="172">
        <v>64</v>
      </c>
      <c r="G57" s="172">
        <v>0</v>
      </c>
      <c r="H57" s="172">
        <v>19</v>
      </c>
      <c r="I57" s="172">
        <v>21.5</v>
      </c>
    </row>
    <row r="58" spans="2:9" hidden="1" x14ac:dyDescent="0.3">
      <c r="B58" s="172" t="s">
        <v>179</v>
      </c>
      <c r="C58" s="172" t="s">
        <v>80</v>
      </c>
      <c r="D58" s="172" t="s">
        <v>218</v>
      </c>
      <c r="E58" s="172">
        <v>7.1195704296669199E-4</v>
      </c>
      <c r="F58" s="172">
        <v>48</v>
      </c>
      <c r="G58" s="172">
        <v>24</v>
      </c>
      <c r="H58" s="172">
        <v>0</v>
      </c>
      <c r="I58" s="172">
        <v>21.5</v>
      </c>
    </row>
    <row r="59" spans="2:9" hidden="1" x14ac:dyDescent="0.3">
      <c r="B59" s="172" t="s">
        <v>179</v>
      </c>
      <c r="C59" s="172" t="s">
        <v>80</v>
      </c>
      <c r="D59" s="172" t="s">
        <v>221</v>
      </c>
      <c r="E59" s="172">
        <v>2.35949578658247E-4</v>
      </c>
      <c r="F59" s="172">
        <v>48</v>
      </c>
      <c r="G59" s="172">
        <v>24</v>
      </c>
      <c r="H59" s="172">
        <v>0</v>
      </c>
      <c r="I59" s="172">
        <v>21.5</v>
      </c>
    </row>
    <row r="60" spans="2:9" hidden="1" x14ac:dyDescent="0.3">
      <c r="B60" s="172" t="s">
        <v>179</v>
      </c>
      <c r="C60" s="172" t="s">
        <v>81</v>
      </c>
      <c r="D60" s="172" t="s">
        <v>218</v>
      </c>
      <c r="E60" s="172">
        <v>2.08274520370344E-4</v>
      </c>
      <c r="F60" s="172">
        <v>19</v>
      </c>
      <c r="G60" s="172">
        <v>19.25</v>
      </c>
      <c r="H60" s="172">
        <v>19.25</v>
      </c>
      <c r="I60" s="172">
        <v>21.5</v>
      </c>
    </row>
    <row r="61" spans="2:9" hidden="1" x14ac:dyDescent="0.3">
      <c r="B61" s="172" t="s">
        <v>179</v>
      </c>
      <c r="C61" s="172" t="s">
        <v>81</v>
      </c>
      <c r="D61" s="172" t="s">
        <v>221</v>
      </c>
      <c r="E61" s="172">
        <v>9.1580862514034395E-4</v>
      </c>
      <c r="F61" s="172">
        <v>64</v>
      </c>
      <c r="G61" s="172">
        <v>0</v>
      </c>
      <c r="H61" s="172">
        <v>19</v>
      </c>
      <c r="I61" s="172">
        <v>21.5</v>
      </c>
    </row>
    <row r="62" spans="2:9" hidden="1" x14ac:dyDescent="0.3">
      <c r="B62" s="172" t="s">
        <v>179</v>
      </c>
      <c r="C62" s="172" t="s">
        <v>82</v>
      </c>
      <c r="D62" s="172" t="s">
        <v>218</v>
      </c>
      <c r="E62" s="172">
        <v>3.41444794158286E-4</v>
      </c>
      <c r="F62" s="172">
        <v>19</v>
      </c>
      <c r="G62" s="172">
        <v>19.25</v>
      </c>
      <c r="H62" s="172">
        <v>19.25</v>
      </c>
      <c r="I62" s="172">
        <v>21.5</v>
      </c>
    </row>
    <row r="63" spans="2:9" hidden="1" x14ac:dyDescent="0.3">
      <c r="B63" s="172" t="s">
        <v>179</v>
      </c>
      <c r="C63" s="172" t="s">
        <v>82</v>
      </c>
      <c r="D63" s="172" t="s">
        <v>221</v>
      </c>
      <c r="E63" s="172">
        <v>1.05836880699987E-3</v>
      </c>
      <c r="F63" s="172">
        <v>64</v>
      </c>
      <c r="G63" s="172">
        <v>0</v>
      </c>
      <c r="H63" s="172">
        <v>19</v>
      </c>
      <c r="I63" s="172">
        <v>21.5</v>
      </c>
    </row>
    <row r="64" spans="2:9" hidden="1" x14ac:dyDescent="0.3">
      <c r="B64" s="172" t="s">
        <v>179</v>
      </c>
      <c r="C64" s="172" t="s">
        <v>246</v>
      </c>
      <c r="D64" s="172" t="s">
        <v>218</v>
      </c>
      <c r="E64" s="172">
        <v>1.8668183907497698E-5</v>
      </c>
      <c r="F64" s="172">
        <v>19</v>
      </c>
      <c r="G64" s="172">
        <v>19.25</v>
      </c>
      <c r="H64" s="172">
        <v>19.25</v>
      </c>
      <c r="I64" s="172">
        <v>21.5</v>
      </c>
    </row>
    <row r="65" spans="2:9" hidden="1" x14ac:dyDescent="0.3">
      <c r="B65" s="172" t="s">
        <v>179</v>
      </c>
      <c r="C65" s="172" t="s">
        <v>246</v>
      </c>
      <c r="D65" s="172" t="s">
        <v>221</v>
      </c>
      <c r="E65" s="172">
        <v>3.51776409242089E-5</v>
      </c>
      <c r="F65" s="172">
        <v>64</v>
      </c>
      <c r="G65" s="172">
        <v>0</v>
      </c>
      <c r="H65" s="172">
        <v>19</v>
      </c>
      <c r="I65" s="172">
        <v>21.5</v>
      </c>
    </row>
    <row r="66" spans="2:9" x14ac:dyDescent="0.3">
      <c r="B66" s="172" t="s">
        <v>39</v>
      </c>
      <c r="C66" s="172" t="s">
        <v>79</v>
      </c>
      <c r="D66" s="172" t="s">
        <v>218</v>
      </c>
      <c r="E66" s="172">
        <v>8.9824072285145395E-4</v>
      </c>
      <c r="F66" s="172">
        <v>19</v>
      </c>
      <c r="G66" s="172">
        <v>19.25</v>
      </c>
      <c r="H66" s="172">
        <v>19.25</v>
      </c>
      <c r="I66" s="172">
        <v>18</v>
      </c>
    </row>
    <row r="67" spans="2:9" hidden="1" x14ac:dyDescent="0.3">
      <c r="B67" s="172" t="s">
        <v>39</v>
      </c>
      <c r="C67" s="172" t="s">
        <v>79</v>
      </c>
      <c r="D67" s="172" t="s">
        <v>221</v>
      </c>
      <c r="E67" s="172">
        <v>3.8821158426112501E-4</v>
      </c>
      <c r="F67" s="172">
        <v>64</v>
      </c>
      <c r="G67" s="172">
        <v>0</v>
      </c>
      <c r="H67" s="172">
        <v>19</v>
      </c>
      <c r="I67" s="172">
        <v>18</v>
      </c>
    </row>
    <row r="68" spans="2:9" hidden="1" x14ac:dyDescent="0.3">
      <c r="B68" s="172" t="s">
        <v>39</v>
      </c>
      <c r="C68" s="172" t="s">
        <v>80</v>
      </c>
      <c r="D68" s="172" t="s">
        <v>218</v>
      </c>
      <c r="E68" s="172">
        <v>7.9029148975945504E-4</v>
      </c>
      <c r="F68" s="172">
        <v>19</v>
      </c>
      <c r="G68" s="172">
        <v>19.25</v>
      </c>
      <c r="H68" s="172">
        <v>19.25</v>
      </c>
      <c r="I68" s="172">
        <v>18</v>
      </c>
    </row>
    <row r="69" spans="2:9" hidden="1" x14ac:dyDescent="0.3">
      <c r="B69" s="172" t="s">
        <v>39</v>
      </c>
      <c r="C69" s="172" t="s">
        <v>80</v>
      </c>
      <c r="D69" s="172" t="s">
        <v>221</v>
      </c>
      <c r="E69" s="172">
        <v>2.7134033682287597E-4</v>
      </c>
      <c r="F69" s="172">
        <v>64</v>
      </c>
      <c r="G69" s="172">
        <v>0</v>
      </c>
      <c r="H69" s="172">
        <v>19</v>
      </c>
      <c r="I69" s="172">
        <v>18</v>
      </c>
    </row>
    <row r="70" spans="2:9" hidden="1" x14ac:dyDescent="0.3">
      <c r="B70" s="172" t="s">
        <v>39</v>
      </c>
      <c r="C70" s="172" t="s">
        <v>81</v>
      </c>
      <c r="D70" s="172" t="s">
        <v>218</v>
      </c>
      <c r="E70" s="172">
        <v>2.5147710535895702E-4</v>
      </c>
      <c r="F70" s="172">
        <v>19</v>
      </c>
      <c r="G70" s="172">
        <v>19.25</v>
      </c>
      <c r="H70" s="172">
        <v>19.25</v>
      </c>
      <c r="I70" s="172">
        <v>18</v>
      </c>
    </row>
    <row r="71" spans="2:9" hidden="1" x14ac:dyDescent="0.3">
      <c r="B71" s="172" t="s">
        <v>39</v>
      </c>
      <c r="C71" s="172" t="s">
        <v>81</v>
      </c>
      <c r="D71" s="172" t="s">
        <v>221</v>
      </c>
      <c r="E71" s="172">
        <v>1.02027742381681E-3</v>
      </c>
      <c r="F71" s="172">
        <v>64</v>
      </c>
      <c r="G71" s="172">
        <v>0</v>
      </c>
      <c r="H71" s="172">
        <v>19</v>
      </c>
      <c r="I71" s="172">
        <v>18</v>
      </c>
    </row>
    <row r="72" spans="2:9" hidden="1" x14ac:dyDescent="0.3">
      <c r="B72" s="172" t="s">
        <v>39</v>
      </c>
      <c r="C72" s="172" t="s">
        <v>82</v>
      </c>
      <c r="D72" s="172" t="s">
        <v>218</v>
      </c>
      <c r="E72" s="172">
        <v>3.9839315814357601E-4</v>
      </c>
      <c r="F72" s="172">
        <v>19</v>
      </c>
      <c r="G72" s="172">
        <v>19.25</v>
      </c>
      <c r="H72" s="172">
        <v>19.25</v>
      </c>
      <c r="I72" s="172">
        <v>18</v>
      </c>
    </row>
    <row r="73" spans="2:9" hidden="1" x14ac:dyDescent="0.3">
      <c r="B73" s="172" t="s">
        <v>39</v>
      </c>
      <c r="C73" s="172" t="s">
        <v>82</v>
      </c>
      <c r="D73" s="172" t="s">
        <v>221</v>
      </c>
      <c r="E73" s="172">
        <v>1.17928162152612E-3</v>
      </c>
      <c r="F73" s="172">
        <v>64</v>
      </c>
      <c r="G73" s="172">
        <v>0</v>
      </c>
      <c r="H73" s="172">
        <v>19</v>
      </c>
      <c r="I73" s="172">
        <v>18</v>
      </c>
    </row>
    <row r="74" spans="2:9" hidden="1" x14ac:dyDescent="0.3">
      <c r="B74" s="172" t="s">
        <v>39</v>
      </c>
      <c r="C74" s="172" t="s">
        <v>246</v>
      </c>
      <c r="D74" s="172" t="s">
        <v>221</v>
      </c>
      <c r="E74" s="172">
        <v>3.2648843437014102E-5</v>
      </c>
      <c r="F74" s="172">
        <v>64</v>
      </c>
      <c r="G74" s="172">
        <v>0</v>
      </c>
      <c r="H74" s="172">
        <v>19</v>
      </c>
      <c r="I74" s="172">
        <v>18</v>
      </c>
    </row>
    <row r="75" spans="2:9" x14ac:dyDescent="0.3">
      <c r="B75" s="172" t="s">
        <v>26</v>
      </c>
      <c r="C75" s="172" t="s">
        <v>79</v>
      </c>
      <c r="D75" s="172" t="s">
        <v>218</v>
      </c>
      <c r="E75" s="172">
        <v>9.7160216531185395E-4</v>
      </c>
      <c r="F75" s="172">
        <v>19</v>
      </c>
      <c r="G75" s="172">
        <v>19.25</v>
      </c>
      <c r="H75" s="172">
        <v>19.25</v>
      </c>
      <c r="I75" s="172">
        <v>14.5</v>
      </c>
    </row>
    <row r="76" spans="2:9" hidden="1" x14ac:dyDescent="0.3">
      <c r="B76" s="172" t="s">
        <v>26</v>
      </c>
      <c r="C76" s="172" t="s">
        <v>79</v>
      </c>
      <c r="D76" s="172" t="s">
        <v>221</v>
      </c>
      <c r="E76" s="172">
        <v>4.3332636198400401E-4</v>
      </c>
      <c r="F76" s="172">
        <v>64</v>
      </c>
      <c r="G76" s="172">
        <v>0</v>
      </c>
      <c r="H76" s="172">
        <v>19</v>
      </c>
      <c r="I76" s="172">
        <v>14.5</v>
      </c>
    </row>
    <row r="77" spans="2:9" hidden="1" x14ac:dyDescent="0.3">
      <c r="B77" s="172" t="s">
        <v>26</v>
      </c>
      <c r="C77" s="172" t="s">
        <v>80</v>
      </c>
      <c r="D77" s="172" t="s">
        <v>218</v>
      </c>
      <c r="E77" s="172">
        <v>8.5518593709007498E-4</v>
      </c>
      <c r="F77" s="172">
        <v>19</v>
      </c>
      <c r="G77" s="172">
        <v>19.25</v>
      </c>
      <c r="H77" s="172">
        <v>19.25</v>
      </c>
      <c r="I77" s="172">
        <v>14.5</v>
      </c>
    </row>
    <row r="78" spans="2:9" hidden="1" x14ac:dyDescent="0.3">
      <c r="B78" s="172" t="s">
        <v>26</v>
      </c>
      <c r="C78" s="172" t="s">
        <v>80</v>
      </c>
      <c r="D78" s="172" t="s">
        <v>221</v>
      </c>
      <c r="E78" s="172">
        <v>3.0610649150736102E-4</v>
      </c>
      <c r="F78" s="172">
        <v>64</v>
      </c>
      <c r="G78" s="172">
        <v>0</v>
      </c>
      <c r="H78" s="172">
        <v>19</v>
      </c>
      <c r="I78" s="172">
        <v>14.5</v>
      </c>
    </row>
    <row r="79" spans="2:9" hidden="1" x14ac:dyDescent="0.3">
      <c r="B79" s="172" t="s">
        <v>26</v>
      </c>
      <c r="C79" s="172" t="s">
        <v>81</v>
      </c>
      <c r="D79" s="172" t="s">
        <v>218</v>
      </c>
      <c r="E79" s="172">
        <v>2.9189084569117301E-4</v>
      </c>
      <c r="F79" s="172">
        <v>19</v>
      </c>
      <c r="G79" s="172">
        <v>19.25</v>
      </c>
      <c r="H79" s="172">
        <v>19.25</v>
      </c>
      <c r="I79" s="172">
        <v>14.5</v>
      </c>
    </row>
    <row r="80" spans="2:9" hidden="1" x14ac:dyDescent="0.3">
      <c r="B80" s="172" t="s">
        <v>26</v>
      </c>
      <c r="C80" s="172" t="s">
        <v>81</v>
      </c>
      <c r="D80" s="172" t="s">
        <v>221</v>
      </c>
      <c r="E80" s="172">
        <v>1.1081544606919801E-3</v>
      </c>
      <c r="F80" s="172">
        <v>64</v>
      </c>
      <c r="G80" s="172">
        <v>0</v>
      </c>
      <c r="H80" s="172">
        <v>19</v>
      </c>
      <c r="I80" s="172">
        <v>14.5</v>
      </c>
    </row>
    <row r="81" spans="2:9" hidden="1" x14ac:dyDescent="0.3">
      <c r="B81" s="172" t="s">
        <v>26</v>
      </c>
      <c r="C81" s="172" t="s">
        <v>82</v>
      </c>
      <c r="D81" s="172" t="s">
        <v>218</v>
      </c>
      <c r="E81" s="172">
        <v>4.4996700863898201E-4</v>
      </c>
      <c r="F81" s="172">
        <v>19</v>
      </c>
      <c r="G81" s="172">
        <v>19.25</v>
      </c>
      <c r="H81" s="172">
        <v>19.25</v>
      </c>
      <c r="I81" s="172">
        <v>14.5</v>
      </c>
    </row>
    <row r="82" spans="2:9" hidden="1" x14ac:dyDescent="0.3">
      <c r="B82" s="172" t="s">
        <v>26</v>
      </c>
      <c r="C82" s="172" t="s">
        <v>82</v>
      </c>
      <c r="D82" s="172" t="s">
        <v>221</v>
      </c>
      <c r="E82" s="172">
        <v>1.28084572150626E-3</v>
      </c>
      <c r="F82" s="172">
        <v>64</v>
      </c>
      <c r="G82" s="172">
        <v>0</v>
      </c>
      <c r="H82" s="172">
        <v>19</v>
      </c>
      <c r="I82" s="172">
        <v>14.5</v>
      </c>
    </row>
    <row r="83" spans="2:9" hidden="1" x14ac:dyDescent="0.3">
      <c r="B83" s="172" t="s">
        <v>26</v>
      </c>
      <c r="C83" s="172" t="s">
        <v>246</v>
      </c>
      <c r="D83" s="172" t="s">
        <v>218</v>
      </c>
      <c r="E83" s="172">
        <v>2.06003273023661E-5</v>
      </c>
      <c r="F83" s="172">
        <v>48</v>
      </c>
      <c r="G83" s="172">
        <v>24</v>
      </c>
      <c r="H83" s="172">
        <v>0</v>
      </c>
      <c r="I83" s="172">
        <v>14.5</v>
      </c>
    </row>
    <row r="84" spans="2:9" hidden="1" x14ac:dyDescent="0.3">
      <c r="B84" s="172" t="s">
        <v>26</v>
      </c>
      <c r="C84" s="172" t="s">
        <v>246</v>
      </c>
      <c r="D84" s="172" t="s">
        <v>221</v>
      </c>
      <c r="E84" s="172">
        <v>3.02599109477561E-5</v>
      </c>
      <c r="F84" s="172">
        <v>62</v>
      </c>
      <c r="G84" s="172">
        <v>0</v>
      </c>
      <c r="H84" s="172">
        <v>6</v>
      </c>
      <c r="I84" s="172">
        <v>14.5</v>
      </c>
    </row>
    <row r="85" spans="2:9" x14ac:dyDescent="0.3">
      <c r="B85" s="172" t="s">
        <v>25</v>
      </c>
      <c r="C85" s="172" t="s">
        <v>79</v>
      </c>
      <c r="D85" s="172" t="s">
        <v>218</v>
      </c>
      <c r="E85" s="172">
        <v>1.0253090097566101E-3</v>
      </c>
      <c r="F85" s="172">
        <v>19</v>
      </c>
      <c r="G85" s="172">
        <v>19.25</v>
      </c>
      <c r="H85" s="172">
        <v>19.25</v>
      </c>
      <c r="I85" s="172">
        <v>11</v>
      </c>
    </row>
    <row r="86" spans="2:9" hidden="1" x14ac:dyDescent="0.3">
      <c r="B86" s="172" t="s">
        <v>25</v>
      </c>
      <c r="C86" s="172" t="s">
        <v>79</v>
      </c>
      <c r="D86" s="172" t="s">
        <v>221</v>
      </c>
      <c r="E86" s="172">
        <v>4.6612112097893499E-4</v>
      </c>
      <c r="F86" s="172">
        <v>64</v>
      </c>
      <c r="G86" s="172">
        <v>0</v>
      </c>
      <c r="H86" s="172">
        <v>19</v>
      </c>
      <c r="I86" s="172">
        <v>11</v>
      </c>
    </row>
    <row r="87" spans="2:9" hidden="1" x14ac:dyDescent="0.3">
      <c r="B87" s="172" t="s">
        <v>25</v>
      </c>
      <c r="C87" s="172" t="s">
        <v>80</v>
      </c>
      <c r="D87" s="172" t="s">
        <v>218</v>
      </c>
      <c r="E87" s="172">
        <v>9.0272433394041496E-4</v>
      </c>
      <c r="F87" s="172">
        <v>19</v>
      </c>
      <c r="G87" s="172">
        <v>19.25</v>
      </c>
      <c r="H87" s="172">
        <v>19.25</v>
      </c>
      <c r="I87" s="172">
        <v>11</v>
      </c>
    </row>
    <row r="88" spans="2:9" hidden="1" x14ac:dyDescent="0.3">
      <c r="B88" s="172" t="s">
        <v>25</v>
      </c>
      <c r="C88" s="172" t="s">
        <v>80</v>
      </c>
      <c r="D88" s="172" t="s">
        <v>221</v>
      </c>
      <c r="E88" s="172">
        <v>3.30736526817103E-4</v>
      </c>
      <c r="F88" s="172">
        <v>64</v>
      </c>
      <c r="G88" s="172">
        <v>0</v>
      </c>
      <c r="H88" s="172">
        <v>19</v>
      </c>
      <c r="I88" s="172">
        <v>11</v>
      </c>
    </row>
    <row r="89" spans="2:9" hidden="1" x14ac:dyDescent="0.3">
      <c r="B89" s="172" t="s">
        <v>25</v>
      </c>
      <c r="C89" s="172" t="s">
        <v>81</v>
      </c>
      <c r="D89" s="172" t="s">
        <v>218</v>
      </c>
      <c r="E89" s="172">
        <v>3.2589132880199803E-4</v>
      </c>
      <c r="F89" s="172">
        <v>19</v>
      </c>
      <c r="G89" s="172">
        <v>19.25</v>
      </c>
      <c r="H89" s="172">
        <v>19.25</v>
      </c>
      <c r="I89" s="172">
        <v>11</v>
      </c>
    </row>
    <row r="90" spans="2:9" hidden="1" x14ac:dyDescent="0.3">
      <c r="B90" s="172" t="s">
        <v>25</v>
      </c>
      <c r="C90" s="172" t="s">
        <v>81</v>
      </c>
      <c r="D90" s="172" t="s">
        <v>221</v>
      </c>
      <c r="E90" s="172">
        <v>1.1701059797350501E-3</v>
      </c>
      <c r="F90" s="172">
        <v>64</v>
      </c>
      <c r="G90" s="172">
        <v>0</v>
      </c>
      <c r="H90" s="172">
        <v>19</v>
      </c>
      <c r="I90" s="172">
        <v>11</v>
      </c>
    </row>
    <row r="91" spans="2:9" hidden="1" x14ac:dyDescent="0.3">
      <c r="B91" s="172" t="s">
        <v>25</v>
      </c>
      <c r="C91" s="172" t="s">
        <v>82</v>
      </c>
      <c r="D91" s="172" t="s">
        <v>218</v>
      </c>
      <c r="E91" s="172">
        <v>4.9233670320025899E-4</v>
      </c>
      <c r="F91" s="172">
        <v>19</v>
      </c>
      <c r="G91" s="172">
        <v>19.25</v>
      </c>
      <c r="H91" s="172">
        <v>19.25</v>
      </c>
      <c r="I91" s="172">
        <v>11</v>
      </c>
    </row>
    <row r="92" spans="2:9" hidden="1" x14ac:dyDescent="0.3">
      <c r="B92" s="172" t="s">
        <v>25</v>
      </c>
      <c r="C92" s="172" t="s">
        <v>82</v>
      </c>
      <c r="D92" s="172" t="s">
        <v>221</v>
      </c>
      <c r="E92" s="172">
        <v>1.3538906539459E-3</v>
      </c>
      <c r="F92" s="172">
        <v>64</v>
      </c>
      <c r="G92" s="172">
        <v>0</v>
      </c>
      <c r="H92" s="172">
        <v>19</v>
      </c>
      <c r="I92" s="172">
        <v>11</v>
      </c>
    </row>
    <row r="93" spans="2:9" hidden="1" x14ac:dyDescent="0.3">
      <c r="B93" s="172" t="s">
        <v>25</v>
      </c>
      <c r="C93" s="172" t="s">
        <v>246</v>
      </c>
      <c r="D93" s="172" t="s">
        <v>218</v>
      </c>
      <c r="E93" s="172">
        <v>2.35885136483314E-5</v>
      </c>
      <c r="F93" s="172">
        <v>48</v>
      </c>
      <c r="G93" s="172">
        <v>24</v>
      </c>
      <c r="H93" s="172">
        <v>0</v>
      </c>
      <c r="I93" s="172">
        <v>11</v>
      </c>
    </row>
    <row r="94" spans="2:9" hidden="1" x14ac:dyDescent="0.3">
      <c r="B94" s="172" t="s">
        <v>25</v>
      </c>
      <c r="C94" s="172" t="s">
        <v>246</v>
      </c>
      <c r="D94" s="172" t="s">
        <v>221</v>
      </c>
      <c r="E94" s="172">
        <v>2.5906510769448799E-5</v>
      </c>
      <c r="F94" s="172">
        <v>64</v>
      </c>
      <c r="G94" s="172">
        <v>0</v>
      </c>
      <c r="H94" s="172">
        <v>19</v>
      </c>
      <c r="I94" s="172">
        <v>11</v>
      </c>
    </row>
    <row r="95" spans="2:9" x14ac:dyDescent="0.3">
      <c r="B95" s="172" t="s">
        <v>24</v>
      </c>
      <c r="C95" s="172" t="s">
        <v>79</v>
      </c>
      <c r="D95" s="172" t="s">
        <v>218</v>
      </c>
      <c r="E95" s="172">
        <v>1.04086259268613E-3</v>
      </c>
      <c r="F95" s="172">
        <v>19</v>
      </c>
      <c r="G95" s="172">
        <v>19.25</v>
      </c>
      <c r="H95" s="172">
        <v>19.25</v>
      </c>
      <c r="I95" s="172">
        <v>7.5</v>
      </c>
    </row>
    <row r="96" spans="2:9" hidden="1" x14ac:dyDescent="0.3">
      <c r="B96" s="172" t="s">
        <v>24</v>
      </c>
      <c r="C96" s="172" t="s">
        <v>79</v>
      </c>
      <c r="D96" s="172" t="s">
        <v>221</v>
      </c>
      <c r="E96" s="172">
        <v>4.7244530729270798E-4</v>
      </c>
      <c r="F96" s="172">
        <v>64</v>
      </c>
      <c r="G96" s="172">
        <v>0</v>
      </c>
      <c r="H96" s="172">
        <v>19</v>
      </c>
      <c r="I96" s="172">
        <v>7.5</v>
      </c>
    </row>
    <row r="97" spans="2:9" hidden="1" x14ac:dyDescent="0.3">
      <c r="B97" s="172" t="s">
        <v>24</v>
      </c>
      <c r="C97" s="172" t="s">
        <v>80</v>
      </c>
      <c r="D97" s="172" t="s">
        <v>218</v>
      </c>
      <c r="E97" s="172">
        <v>9.1665416588746797E-4</v>
      </c>
      <c r="F97" s="172">
        <v>19</v>
      </c>
      <c r="G97" s="172">
        <v>19.25</v>
      </c>
      <c r="H97" s="172">
        <v>19.25</v>
      </c>
      <c r="I97" s="172">
        <v>7.5</v>
      </c>
    </row>
    <row r="98" spans="2:9" hidden="1" x14ac:dyDescent="0.3">
      <c r="B98" s="172" t="s">
        <v>24</v>
      </c>
      <c r="C98" s="172" t="s">
        <v>80</v>
      </c>
      <c r="D98" s="172" t="s">
        <v>221</v>
      </c>
      <c r="E98" s="172">
        <v>3.3372137146319E-4</v>
      </c>
      <c r="F98" s="172">
        <v>62</v>
      </c>
      <c r="G98" s="172">
        <v>0</v>
      </c>
      <c r="H98" s="172">
        <v>6</v>
      </c>
      <c r="I98" s="172">
        <v>7.5</v>
      </c>
    </row>
    <row r="99" spans="2:9" hidden="1" x14ac:dyDescent="0.3">
      <c r="B99" s="172" t="s">
        <v>24</v>
      </c>
      <c r="C99" s="172" t="s">
        <v>81</v>
      </c>
      <c r="D99" s="172" t="s">
        <v>218</v>
      </c>
      <c r="E99" s="172">
        <v>3.4251066181170399E-4</v>
      </c>
      <c r="F99" s="172">
        <v>19</v>
      </c>
      <c r="G99" s="172">
        <v>19.25</v>
      </c>
      <c r="H99" s="172">
        <v>19.25</v>
      </c>
      <c r="I99" s="172">
        <v>7.5</v>
      </c>
    </row>
    <row r="100" spans="2:9" hidden="1" x14ac:dyDescent="0.3">
      <c r="B100" s="172" t="s">
        <v>24</v>
      </c>
      <c r="C100" s="172" t="s">
        <v>81</v>
      </c>
      <c r="D100" s="172" t="s">
        <v>221</v>
      </c>
      <c r="E100" s="172">
        <v>1.1711966308064999E-3</v>
      </c>
      <c r="F100" s="172">
        <v>64</v>
      </c>
      <c r="G100" s="172">
        <v>0</v>
      </c>
      <c r="H100" s="172">
        <v>19</v>
      </c>
      <c r="I100" s="172">
        <v>7.5</v>
      </c>
    </row>
    <row r="101" spans="2:9" hidden="1" x14ac:dyDescent="0.3">
      <c r="B101" s="172" t="s">
        <v>24</v>
      </c>
      <c r="C101" s="172" t="s">
        <v>82</v>
      </c>
      <c r="D101" s="172" t="s">
        <v>218</v>
      </c>
      <c r="E101" s="172">
        <v>5.1133886064469404E-4</v>
      </c>
      <c r="F101" s="172">
        <v>19</v>
      </c>
      <c r="G101" s="172">
        <v>19.25</v>
      </c>
      <c r="H101" s="172">
        <v>19.25</v>
      </c>
      <c r="I101" s="172">
        <v>7.5</v>
      </c>
    </row>
    <row r="102" spans="2:9" hidden="1" x14ac:dyDescent="0.3">
      <c r="B102" s="172" t="s">
        <v>24</v>
      </c>
      <c r="C102" s="172" t="s">
        <v>82</v>
      </c>
      <c r="D102" s="172" t="s">
        <v>221</v>
      </c>
      <c r="E102" s="172">
        <v>1.3597312917967099E-3</v>
      </c>
      <c r="F102" s="172">
        <v>64</v>
      </c>
      <c r="G102" s="172">
        <v>0</v>
      </c>
      <c r="H102" s="172">
        <v>19</v>
      </c>
      <c r="I102" s="172">
        <v>7.5</v>
      </c>
    </row>
    <row r="103" spans="2:9" hidden="1" x14ac:dyDescent="0.3">
      <c r="B103" s="172" t="s">
        <v>24</v>
      </c>
      <c r="C103" s="172" t="s">
        <v>246</v>
      </c>
      <c r="D103" s="172" t="s">
        <v>218</v>
      </c>
      <c r="E103" s="172">
        <v>3.02380346847539E-5</v>
      </c>
      <c r="F103" s="172">
        <v>48</v>
      </c>
      <c r="G103" s="172">
        <v>24</v>
      </c>
      <c r="H103" s="172">
        <v>0</v>
      </c>
      <c r="I103" s="172">
        <v>7.5</v>
      </c>
    </row>
    <row r="104" spans="2:9" hidden="1" x14ac:dyDescent="0.3">
      <c r="B104" s="172" t="s">
        <v>24</v>
      </c>
      <c r="C104" s="172" t="s">
        <v>246</v>
      </c>
      <c r="D104" s="172" t="s">
        <v>221</v>
      </c>
      <c r="E104" s="172">
        <v>2.21718076244891E-5</v>
      </c>
      <c r="F104" s="172">
        <v>64</v>
      </c>
      <c r="G104" s="172">
        <v>0</v>
      </c>
      <c r="H104" s="172">
        <v>19</v>
      </c>
      <c r="I104" s="172">
        <v>7.5</v>
      </c>
    </row>
    <row r="105" spans="2:9" x14ac:dyDescent="0.3">
      <c r="B105" s="172" t="s">
        <v>22</v>
      </c>
      <c r="C105" s="172" t="s">
        <v>79</v>
      </c>
      <c r="D105" s="172" t="s">
        <v>218</v>
      </c>
      <c r="E105" s="172">
        <v>7.8306807832234703E-4</v>
      </c>
      <c r="F105" s="172">
        <v>14</v>
      </c>
      <c r="G105" s="172">
        <v>19</v>
      </c>
      <c r="H105" s="172">
        <v>19</v>
      </c>
      <c r="I105" s="172">
        <v>4</v>
      </c>
    </row>
    <row r="106" spans="2:9" hidden="1" x14ac:dyDescent="0.3">
      <c r="B106" s="172" t="s">
        <v>22</v>
      </c>
      <c r="C106" s="172" t="s">
        <v>79</v>
      </c>
      <c r="D106" s="172" t="s">
        <v>221</v>
      </c>
      <c r="E106" s="172">
        <v>3.2228968990673901E-4</v>
      </c>
      <c r="F106" s="172">
        <v>64</v>
      </c>
      <c r="G106" s="172">
        <v>0</v>
      </c>
      <c r="H106" s="172">
        <v>19</v>
      </c>
      <c r="I106" s="172">
        <v>4</v>
      </c>
    </row>
    <row r="107" spans="2:9" hidden="1" x14ac:dyDescent="0.3">
      <c r="B107" s="172" t="s">
        <v>22</v>
      </c>
      <c r="C107" s="172" t="s">
        <v>80</v>
      </c>
      <c r="D107" s="172" t="s">
        <v>218</v>
      </c>
      <c r="E107" s="172">
        <v>6.8857597580042297E-4</v>
      </c>
      <c r="F107" s="172">
        <v>14</v>
      </c>
      <c r="G107" s="172">
        <v>19</v>
      </c>
      <c r="H107" s="172">
        <v>19</v>
      </c>
      <c r="I107" s="172">
        <v>4</v>
      </c>
    </row>
    <row r="108" spans="2:9" hidden="1" x14ac:dyDescent="0.3">
      <c r="B108" s="172" t="s">
        <v>22</v>
      </c>
      <c r="C108" s="172" t="s">
        <v>80</v>
      </c>
      <c r="D108" s="172" t="s">
        <v>221</v>
      </c>
      <c r="E108" s="172">
        <v>2.13232073838133E-4</v>
      </c>
      <c r="F108" s="172">
        <v>64</v>
      </c>
      <c r="G108" s="172">
        <v>0</v>
      </c>
      <c r="H108" s="172">
        <v>19</v>
      </c>
      <c r="I108" s="172">
        <v>4</v>
      </c>
    </row>
    <row r="109" spans="2:9" hidden="1" x14ac:dyDescent="0.3">
      <c r="B109" s="172" t="s">
        <v>22</v>
      </c>
      <c r="C109" s="172" t="s">
        <v>81</v>
      </c>
      <c r="D109" s="172" t="s">
        <v>218</v>
      </c>
      <c r="E109" s="172">
        <v>2.46308068491903E-4</v>
      </c>
      <c r="F109" s="172">
        <v>14</v>
      </c>
      <c r="G109" s="172">
        <v>19</v>
      </c>
      <c r="H109" s="172">
        <v>19</v>
      </c>
      <c r="I109" s="172">
        <v>4</v>
      </c>
    </row>
    <row r="110" spans="2:9" hidden="1" x14ac:dyDescent="0.3">
      <c r="B110" s="172" t="s">
        <v>22</v>
      </c>
      <c r="C110" s="172" t="s">
        <v>81</v>
      </c>
      <c r="D110" s="172" t="s">
        <v>221</v>
      </c>
      <c r="E110" s="172">
        <v>8.0995253263015999E-4</v>
      </c>
      <c r="F110" s="172">
        <v>64</v>
      </c>
      <c r="G110" s="172">
        <v>0</v>
      </c>
      <c r="H110" s="172">
        <v>19</v>
      </c>
      <c r="I110" s="172">
        <v>4</v>
      </c>
    </row>
    <row r="111" spans="2:9" hidden="1" x14ac:dyDescent="0.3">
      <c r="B111" s="172" t="s">
        <v>22</v>
      </c>
      <c r="C111" s="172" t="s">
        <v>82</v>
      </c>
      <c r="D111" s="172" t="s">
        <v>218</v>
      </c>
      <c r="E111" s="172">
        <v>3.74854789906406E-4</v>
      </c>
      <c r="F111" s="172">
        <v>14</v>
      </c>
      <c r="G111" s="172">
        <v>19</v>
      </c>
      <c r="H111" s="172">
        <v>19</v>
      </c>
      <c r="I111" s="172">
        <v>4</v>
      </c>
    </row>
    <row r="112" spans="2:9" hidden="1" x14ac:dyDescent="0.3">
      <c r="B112" s="172" t="s">
        <v>22</v>
      </c>
      <c r="C112" s="172" t="s">
        <v>82</v>
      </c>
      <c r="D112" s="172" t="s">
        <v>221</v>
      </c>
      <c r="E112" s="172">
        <v>9.5830752713946504E-4</v>
      </c>
      <c r="F112" s="172">
        <v>64</v>
      </c>
      <c r="G112" s="172">
        <v>0</v>
      </c>
      <c r="H112" s="172">
        <v>19</v>
      </c>
      <c r="I112" s="172">
        <v>4</v>
      </c>
    </row>
    <row r="113" spans="2:9" hidden="1" x14ac:dyDescent="0.3">
      <c r="B113" s="172" t="s">
        <v>22</v>
      </c>
      <c r="C113" s="172" t="s">
        <v>246</v>
      </c>
      <c r="D113" s="172" t="s">
        <v>218</v>
      </c>
      <c r="E113" s="172">
        <v>3.8072303081378602E-5</v>
      </c>
      <c r="F113" s="172">
        <v>48</v>
      </c>
      <c r="G113" s="172">
        <v>24</v>
      </c>
      <c r="H113" s="172">
        <v>0</v>
      </c>
      <c r="I113" s="172">
        <v>4</v>
      </c>
    </row>
    <row r="114" spans="2:9" hidden="1" x14ac:dyDescent="0.3">
      <c r="B114" s="172" t="s">
        <v>22</v>
      </c>
      <c r="C114" s="172" t="s">
        <v>246</v>
      </c>
      <c r="D114" s="172" t="s">
        <v>221</v>
      </c>
      <c r="E114" s="172">
        <v>2.01301662155265E-5</v>
      </c>
      <c r="F114" s="172">
        <v>64</v>
      </c>
      <c r="G114" s="172">
        <v>0</v>
      </c>
      <c r="H114" s="172">
        <v>19</v>
      </c>
      <c r="I114" s="172">
        <v>4</v>
      </c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3.4456134750587998E-4</v>
      </c>
      <c r="F138" s="172">
        <v>42</v>
      </c>
      <c r="G138" s="172">
        <v>24</v>
      </c>
      <c r="H138" s="172">
        <v>4</v>
      </c>
      <c r="I138" s="172">
        <v>38.5</v>
      </c>
    </row>
    <row r="139" spans="2:9" hidden="1" x14ac:dyDescent="0.3">
      <c r="B139" s="172" t="s">
        <v>189</v>
      </c>
      <c r="C139" s="172" t="s">
        <v>79</v>
      </c>
      <c r="D139" s="172" t="s">
        <v>221</v>
      </c>
      <c r="E139" s="172">
        <v>1.3918715387265299E-4</v>
      </c>
      <c r="F139" s="172">
        <v>39</v>
      </c>
      <c r="G139" s="172">
        <v>19</v>
      </c>
      <c r="H139" s="172">
        <v>4</v>
      </c>
      <c r="I139" s="172">
        <v>38.5</v>
      </c>
    </row>
    <row r="140" spans="2:9" x14ac:dyDescent="0.3">
      <c r="B140" s="172" t="s">
        <v>189</v>
      </c>
      <c r="C140" s="172" t="s">
        <v>80</v>
      </c>
      <c r="D140" s="172" t="s">
        <v>218</v>
      </c>
      <c r="E140" s="172">
        <v>3.6449823495054903E-4</v>
      </c>
      <c r="F140" s="172">
        <v>48</v>
      </c>
      <c r="G140" s="172">
        <v>24</v>
      </c>
      <c r="H140" s="172">
        <v>0</v>
      </c>
      <c r="I140" s="172">
        <v>38.5</v>
      </c>
    </row>
    <row r="141" spans="2:9" hidden="1" x14ac:dyDescent="0.3">
      <c r="B141" s="172" t="s">
        <v>189</v>
      </c>
      <c r="C141" s="172" t="s">
        <v>80</v>
      </c>
      <c r="D141" s="172" t="s">
        <v>221</v>
      </c>
      <c r="E141" s="172">
        <v>1.7926856728178999E-4</v>
      </c>
      <c r="F141" s="172">
        <v>48</v>
      </c>
      <c r="G141" s="172">
        <v>24</v>
      </c>
      <c r="H141" s="172">
        <v>0</v>
      </c>
      <c r="I141" s="172">
        <v>38.5</v>
      </c>
    </row>
    <row r="142" spans="2:9" hidden="1" x14ac:dyDescent="0.3">
      <c r="B142" s="172" t="s">
        <v>189</v>
      </c>
      <c r="C142" s="172" t="s">
        <v>81</v>
      </c>
      <c r="D142" s="172" t="s">
        <v>218</v>
      </c>
      <c r="E142" s="172">
        <v>1.6396290226494499E-4</v>
      </c>
      <c r="F142" s="172">
        <v>48</v>
      </c>
      <c r="G142" s="172">
        <v>24</v>
      </c>
      <c r="H142" s="172">
        <v>0</v>
      </c>
      <c r="I142" s="172">
        <v>38.5</v>
      </c>
    </row>
    <row r="143" spans="2:9" hidden="1" x14ac:dyDescent="0.3">
      <c r="B143" s="172" t="s">
        <v>189</v>
      </c>
      <c r="C143" s="172" t="s">
        <v>81</v>
      </c>
      <c r="D143" s="172" t="s">
        <v>221</v>
      </c>
      <c r="E143" s="172">
        <v>5.24836547262959E-4</v>
      </c>
      <c r="F143" s="172">
        <v>48</v>
      </c>
      <c r="G143" s="172">
        <v>24</v>
      </c>
      <c r="H143" s="172">
        <v>0</v>
      </c>
      <c r="I143" s="172">
        <v>38.5</v>
      </c>
    </row>
    <row r="144" spans="2:9" hidden="1" x14ac:dyDescent="0.3">
      <c r="B144" s="172" t="s">
        <v>189</v>
      </c>
      <c r="C144" s="172" t="s">
        <v>82</v>
      </c>
      <c r="D144" s="172" t="s">
        <v>218</v>
      </c>
      <c r="E144" s="172">
        <v>1.3007405759291301E-4</v>
      </c>
      <c r="F144" s="172">
        <v>48</v>
      </c>
      <c r="G144" s="172">
        <v>24</v>
      </c>
      <c r="H144" s="172">
        <v>0</v>
      </c>
      <c r="I144" s="172">
        <v>38.5</v>
      </c>
    </row>
    <row r="145" spans="2:9" hidden="1" x14ac:dyDescent="0.3">
      <c r="B145" s="172" t="s">
        <v>189</v>
      </c>
      <c r="C145" s="172" t="s">
        <v>82</v>
      </c>
      <c r="D145" s="172" t="s">
        <v>221</v>
      </c>
      <c r="E145" s="172">
        <v>4.60942794330633E-4</v>
      </c>
      <c r="F145" s="172">
        <v>48</v>
      </c>
      <c r="G145" s="172">
        <v>24</v>
      </c>
      <c r="H145" s="172">
        <v>0</v>
      </c>
      <c r="I145" s="172">
        <v>38.5</v>
      </c>
    </row>
    <row r="146" spans="2:9" hidden="1" x14ac:dyDescent="0.3">
      <c r="B146" s="172" t="s">
        <v>189</v>
      </c>
      <c r="C146" s="172" t="s">
        <v>246</v>
      </c>
      <c r="D146" s="172" t="s">
        <v>218</v>
      </c>
      <c r="E146" s="172">
        <v>2.4511829552858798E-5</v>
      </c>
      <c r="F146" s="172">
        <v>42</v>
      </c>
      <c r="G146" s="172">
        <v>24</v>
      </c>
      <c r="H146" s="172">
        <v>4</v>
      </c>
      <c r="I146" s="172">
        <v>38.5</v>
      </c>
    </row>
    <row r="147" spans="2:9" hidden="1" x14ac:dyDescent="0.3">
      <c r="B147" s="172" t="s">
        <v>189</v>
      </c>
      <c r="C147" s="172" t="s">
        <v>246</v>
      </c>
      <c r="D147" s="172" t="s">
        <v>221</v>
      </c>
      <c r="E147" s="172">
        <v>5.3327659888677799E-5</v>
      </c>
      <c r="F147" s="172">
        <v>76</v>
      </c>
      <c r="G147" s="172">
        <v>19</v>
      </c>
      <c r="H147" s="172">
        <v>0</v>
      </c>
      <c r="I147" s="172">
        <v>38.5</v>
      </c>
    </row>
    <row r="148" spans="2:9" hidden="1" x14ac:dyDescent="0.3">
      <c r="B148" s="172" t="s">
        <v>187</v>
      </c>
      <c r="C148" s="172" t="s">
        <v>79</v>
      </c>
      <c r="D148" s="172" t="s">
        <v>218</v>
      </c>
      <c r="E148" s="172">
        <v>2.88902105712214E-4</v>
      </c>
      <c r="F148" s="172">
        <v>48</v>
      </c>
      <c r="G148" s="172">
        <v>24</v>
      </c>
      <c r="H148" s="172">
        <v>0</v>
      </c>
      <c r="I148" s="172">
        <v>35.5</v>
      </c>
    </row>
    <row r="149" spans="2:9" hidden="1" x14ac:dyDescent="0.3">
      <c r="B149" s="172" t="s">
        <v>187</v>
      </c>
      <c r="C149" s="172" t="s">
        <v>79</v>
      </c>
      <c r="D149" s="172" t="s">
        <v>221</v>
      </c>
      <c r="E149" s="172">
        <v>1.26546448243042E-4</v>
      </c>
      <c r="F149" s="172">
        <v>48</v>
      </c>
      <c r="G149" s="172">
        <v>24</v>
      </c>
      <c r="H149" s="172">
        <v>0</v>
      </c>
      <c r="I149" s="172">
        <v>35.5</v>
      </c>
    </row>
    <row r="150" spans="2:9" x14ac:dyDescent="0.3">
      <c r="B150" s="172" t="s">
        <v>187</v>
      </c>
      <c r="C150" s="172" t="s">
        <v>80</v>
      </c>
      <c r="D150" s="172" t="s">
        <v>218</v>
      </c>
      <c r="E150" s="172">
        <v>3.17324025622901E-4</v>
      </c>
      <c r="F150" s="172">
        <v>48</v>
      </c>
      <c r="G150" s="172">
        <v>24</v>
      </c>
      <c r="H150" s="172">
        <v>0</v>
      </c>
      <c r="I150" s="172">
        <v>35.5</v>
      </c>
    </row>
    <row r="151" spans="2:9" hidden="1" x14ac:dyDescent="0.3">
      <c r="B151" s="172" t="s">
        <v>187</v>
      </c>
      <c r="C151" s="172" t="s">
        <v>80</v>
      </c>
      <c r="D151" s="172" t="s">
        <v>221</v>
      </c>
      <c r="E151" s="172">
        <v>1.72533165762267E-4</v>
      </c>
      <c r="F151" s="172">
        <v>48</v>
      </c>
      <c r="G151" s="172">
        <v>24</v>
      </c>
      <c r="H151" s="172">
        <v>0</v>
      </c>
      <c r="I151" s="172">
        <v>35.5</v>
      </c>
    </row>
    <row r="152" spans="2:9" hidden="1" x14ac:dyDescent="0.3">
      <c r="B152" s="172" t="s">
        <v>187</v>
      </c>
      <c r="C152" s="172" t="s">
        <v>81</v>
      </c>
      <c r="D152" s="172" t="s">
        <v>218</v>
      </c>
      <c r="E152" s="172">
        <v>1.51675526910752E-4</v>
      </c>
      <c r="F152" s="172">
        <v>48</v>
      </c>
      <c r="G152" s="172">
        <v>24</v>
      </c>
      <c r="H152" s="172">
        <v>0</v>
      </c>
      <c r="I152" s="172">
        <v>35.5</v>
      </c>
    </row>
    <row r="153" spans="2:9" hidden="1" x14ac:dyDescent="0.3">
      <c r="B153" s="172" t="s">
        <v>187</v>
      </c>
      <c r="C153" s="172" t="s">
        <v>81</v>
      </c>
      <c r="D153" s="172" t="s">
        <v>221</v>
      </c>
      <c r="E153" s="172">
        <v>4.7113942216257001E-4</v>
      </c>
      <c r="F153" s="172">
        <v>48</v>
      </c>
      <c r="G153" s="172">
        <v>24</v>
      </c>
      <c r="H153" s="172">
        <v>0</v>
      </c>
      <c r="I153" s="172">
        <v>35.5</v>
      </c>
    </row>
    <row r="154" spans="2:9" hidden="1" x14ac:dyDescent="0.3">
      <c r="B154" s="172" t="s">
        <v>187</v>
      </c>
      <c r="C154" s="172" t="s">
        <v>82</v>
      </c>
      <c r="D154" s="172" t="s">
        <v>218</v>
      </c>
      <c r="E154" s="172">
        <v>1.1172438197281901E-4</v>
      </c>
      <c r="F154" s="172">
        <v>48</v>
      </c>
      <c r="G154" s="172">
        <v>24</v>
      </c>
      <c r="H154" s="172">
        <v>0</v>
      </c>
      <c r="I154" s="172">
        <v>35.5</v>
      </c>
    </row>
    <row r="155" spans="2:9" hidden="1" x14ac:dyDescent="0.3">
      <c r="B155" s="172" t="s">
        <v>187</v>
      </c>
      <c r="C155" s="172" t="s">
        <v>82</v>
      </c>
      <c r="D155" s="172" t="s">
        <v>221</v>
      </c>
      <c r="E155" s="172">
        <v>4.0661445828416801E-4</v>
      </c>
      <c r="F155" s="172">
        <v>48</v>
      </c>
      <c r="G155" s="172">
        <v>24</v>
      </c>
      <c r="H155" s="172">
        <v>0</v>
      </c>
      <c r="I155" s="172">
        <v>35.5</v>
      </c>
    </row>
    <row r="156" spans="2:9" hidden="1" x14ac:dyDescent="0.3">
      <c r="B156" s="172" t="s">
        <v>187</v>
      </c>
      <c r="C156" s="172" t="s">
        <v>246</v>
      </c>
      <c r="D156" s="172" t="s">
        <v>218</v>
      </c>
      <c r="E156" s="172">
        <v>2.5538543176415699E-5</v>
      </c>
      <c r="F156" s="172">
        <v>19</v>
      </c>
      <c r="G156" s="172">
        <v>19.25</v>
      </c>
      <c r="H156" s="172">
        <v>19.25</v>
      </c>
      <c r="I156" s="172">
        <v>35.5</v>
      </c>
    </row>
    <row r="157" spans="2:9" hidden="1" x14ac:dyDescent="0.3">
      <c r="B157" s="172" t="s">
        <v>187</v>
      </c>
      <c r="C157" s="172" t="s">
        <v>246</v>
      </c>
      <c r="D157" s="172" t="s">
        <v>221</v>
      </c>
      <c r="E157" s="172">
        <v>4.2979062897234197E-5</v>
      </c>
      <c r="F157" s="172">
        <v>61</v>
      </c>
      <c r="G157" s="172">
        <v>0</v>
      </c>
      <c r="H157" s="172">
        <v>0</v>
      </c>
      <c r="I157" s="172">
        <v>35.5</v>
      </c>
    </row>
    <row r="158" spans="2:9" hidden="1" x14ac:dyDescent="0.3">
      <c r="B158" s="172" t="s">
        <v>185</v>
      </c>
      <c r="C158" s="172" t="s">
        <v>79</v>
      </c>
      <c r="D158" s="172" t="s">
        <v>218</v>
      </c>
      <c r="E158" s="172">
        <v>4.12394436964304E-4</v>
      </c>
      <c r="F158" s="172">
        <v>19</v>
      </c>
      <c r="G158" s="172">
        <v>19.25</v>
      </c>
      <c r="H158" s="172">
        <v>19.25</v>
      </c>
      <c r="I158" s="172">
        <v>32</v>
      </c>
    </row>
    <row r="159" spans="2:9" hidden="1" x14ac:dyDescent="0.3">
      <c r="B159" s="172" t="s">
        <v>185</v>
      </c>
      <c r="C159" s="172" t="s">
        <v>79</v>
      </c>
      <c r="D159" s="172" t="s">
        <v>221</v>
      </c>
      <c r="E159" s="172">
        <v>1.4854118923571599E-4</v>
      </c>
      <c r="F159" s="172">
        <v>64</v>
      </c>
      <c r="G159" s="172">
        <v>0</v>
      </c>
      <c r="H159" s="172">
        <v>19</v>
      </c>
      <c r="I159" s="172">
        <v>32</v>
      </c>
    </row>
    <row r="160" spans="2:9" x14ac:dyDescent="0.3">
      <c r="B160" s="172" t="s">
        <v>185</v>
      </c>
      <c r="C160" s="172" t="s">
        <v>80</v>
      </c>
      <c r="D160" s="172" t="s">
        <v>218</v>
      </c>
      <c r="E160" s="172">
        <v>4.4262883131223501E-4</v>
      </c>
      <c r="F160" s="172">
        <v>48</v>
      </c>
      <c r="G160" s="172">
        <v>24</v>
      </c>
      <c r="H160" s="172">
        <v>0</v>
      </c>
      <c r="I160" s="172">
        <v>32</v>
      </c>
    </row>
    <row r="161" spans="2:9" hidden="1" x14ac:dyDescent="0.3">
      <c r="B161" s="172" t="s">
        <v>185</v>
      </c>
      <c r="C161" s="172" t="s">
        <v>80</v>
      </c>
      <c r="D161" s="172" t="s">
        <v>221</v>
      </c>
      <c r="E161" s="172">
        <v>1.9915089456424499E-4</v>
      </c>
      <c r="F161" s="172">
        <v>48</v>
      </c>
      <c r="G161" s="172">
        <v>24</v>
      </c>
      <c r="H161" s="172">
        <v>0</v>
      </c>
      <c r="I161" s="172">
        <v>32</v>
      </c>
    </row>
    <row r="162" spans="2:9" hidden="1" x14ac:dyDescent="0.3">
      <c r="B162" s="172" t="s">
        <v>185</v>
      </c>
      <c r="C162" s="172" t="s">
        <v>81</v>
      </c>
      <c r="D162" s="172" t="s">
        <v>218</v>
      </c>
      <c r="E162" s="172">
        <v>1.73811470402106E-4</v>
      </c>
      <c r="F162" s="172">
        <v>48</v>
      </c>
      <c r="G162" s="172">
        <v>24</v>
      </c>
      <c r="H162" s="172">
        <v>0</v>
      </c>
      <c r="I162" s="172">
        <v>32</v>
      </c>
    </row>
    <row r="163" spans="2:9" hidden="1" x14ac:dyDescent="0.3">
      <c r="B163" s="172" t="s">
        <v>185</v>
      </c>
      <c r="C163" s="172" t="s">
        <v>81</v>
      </c>
      <c r="D163" s="172" t="s">
        <v>221</v>
      </c>
      <c r="E163" s="172">
        <v>6.1604469035393802E-4</v>
      </c>
      <c r="F163" s="172">
        <v>48</v>
      </c>
      <c r="G163" s="172">
        <v>24</v>
      </c>
      <c r="H163" s="172">
        <v>0</v>
      </c>
      <c r="I163" s="172">
        <v>32</v>
      </c>
    </row>
    <row r="164" spans="2:9" hidden="1" x14ac:dyDescent="0.3">
      <c r="B164" s="172" t="s">
        <v>185</v>
      </c>
      <c r="C164" s="172" t="s">
        <v>82</v>
      </c>
      <c r="D164" s="172" t="s">
        <v>218</v>
      </c>
      <c r="E164" s="172">
        <v>1.2920777300399401E-4</v>
      </c>
      <c r="F164" s="172">
        <v>19</v>
      </c>
      <c r="G164" s="172">
        <v>19.25</v>
      </c>
      <c r="H164" s="172">
        <v>19.25</v>
      </c>
      <c r="I164" s="172">
        <v>32</v>
      </c>
    </row>
    <row r="165" spans="2:9" hidden="1" x14ac:dyDescent="0.3">
      <c r="B165" s="172" t="s">
        <v>185</v>
      </c>
      <c r="C165" s="172" t="s">
        <v>82</v>
      </c>
      <c r="D165" s="172" t="s">
        <v>221</v>
      </c>
      <c r="E165" s="172">
        <v>5.4243989725581904E-4</v>
      </c>
      <c r="F165" s="172">
        <v>64</v>
      </c>
      <c r="G165" s="172">
        <v>0</v>
      </c>
      <c r="H165" s="172">
        <v>19</v>
      </c>
      <c r="I165" s="172">
        <v>32</v>
      </c>
    </row>
    <row r="166" spans="2:9" hidden="1" x14ac:dyDescent="0.3">
      <c r="B166" s="172" t="s">
        <v>185</v>
      </c>
      <c r="C166" s="172" t="s">
        <v>246</v>
      </c>
      <c r="D166" s="172" t="s">
        <v>218</v>
      </c>
      <c r="E166" s="172">
        <v>2.7402314363015599E-5</v>
      </c>
      <c r="F166" s="172">
        <v>19</v>
      </c>
      <c r="G166" s="172">
        <v>19.25</v>
      </c>
      <c r="H166" s="172">
        <v>19.25</v>
      </c>
      <c r="I166" s="172">
        <v>32</v>
      </c>
    </row>
    <row r="167" spans="2:9" hidden="1" x14ac:dyDescent="0.3">
      <c r="B167" s="172" t="s">
        <v>185</v>
      </c>
      <c r="C167" s="172" t="s">
        <v>246</v>
      </c>
      <c r="D167" s="172" t="s">
        <v>221</v>
      </c>
      <c r="E167" s="172">
        <v>4.2155640883479199E-5</v>
      </c>
      <c r="F167" s="172">
        <v>64</v>
      </c>
      <c r="G167" s="172">
        <v>0</v>
      </c>
      <c r="H167" s="172">
        <v>19</v>
      </c>
      <c r="I167" s="172">
        <v>32</v>
      </c>
    </row>
    <row r="168" spans="2:9" hidden="1" x14ac:dyDescent="0.3">
      <c r="B168" s="172" t="s">
        <v>183</v>
      </c>
      <c r="C168" s="172" t="s">
        <v>79</v>
      </c>
      <c r="D168" s="172" t="s">
        <v>218</v>
      </c>
      <c r="E168" s="172">
        <v>5.6575876593640705E-4</v>
      </c>
      <c r="F168" s="172">
        <v>19</v>
      </c>
      <c r="G168" s="172">
        <v>19.25</v>
      </c>
      <c r="H168" s="172">
        <v>19.25</v>
      </c>
      <c r="I168" s="172">
        <v>28.5</v>
      </c>
    </row>
    <row r="169" spans="2:9" hidden="1" x14ac:dyDescent="0.3">
      <c r="B169" s="172" t="s">
        <v>183</v>
      </c>
      <c r="C169" s="172" t="s">
        <v>79</v>
      </c>
      <c r="D169" s="172" t="s">
        <v>221</v>
      </c>
      <c r="E169" s="172">
        <v>2.2080797991309701E-4</v>
      </c>
      <c r="F169" s="172">
        <v>64</v>
      </c>
      <c r="G169" s="172">
        <v>0</v>
      </c>
      <c r="H169" s="172">
        <v>19</v>
      </c>
      <c r="I169" s="172">
        <v>28.5</v>
      </c>
    </row>
    <row r="170" spans="2:9" x14ac:dyDescent="0.3">
      <c r="B170" s="172" t="s">
        <v>183</v>
      </c>
      <c r="C170" s="172" t="s">
        <v>80</v>
      </c>
      <c r="D170" s="172" t="s">
        <v>218</v>
      </c>
      <c r="E170" s="172">
        <v>5.5028726640490497E-4</v>
      </c>
      <c r="F170" s="172">
        <v>48</v>
      </c>
      <c r="G170" s="172">
        <v>24</v>
      </c>
      <c r="H170" s="172">
        <v>0</v>
      </c>
      <c r="I170" s="172">
        <v>28.5</v>
      </c>
    </row>
    <row r="171" spans="2:9" hidden="1" x14ac:dyDescent="0.3">
      <c r="B171" s="172" t="s">
        <v>183</v>
      </c>
      <c r="C171" s="172" t="s">
        <v>80</v>
      </c>
      <c r="D171" s="172" t="s">
        <v>221</v>
      </c>
      <c r="E171" s="172">
        <v>2.1624712200753001E-4</v>
      </c>
      <c r="F171" s="172">
        <v>48</v>
      </c>
      <c r="G171" s="172">
        <v>24</v>
      </c>
      <c r="H171" s="172">
        <v>0</v>
      </c>
      <c r="I171" s="172">
        <v>28.5</v>
      </c>
    </row>
    <row r="172" spans="2:9" hidden="1" x14ac:dyDescent="0.3">
      <c r="B172" s="172" t="s">
        <v>183</v>
      </c>
      <c r="C172" s="172" t="s">
        <v>81</v>
      </c>
      <c r="D172" s="172" t="s">
        <v>218</v>
      </c>
      <c r="E172" s="172">
        <v>1.8830136298261799E-4</v>
      </c>
      <c r="F172" s="172">
        <v>48</v>
      </c>
      <c r="G172" s="172">
        <v>24</v>
      </c>
      <c r="H172" s="172">
        <v>0</v>
      </c>
      <c r="I172" s="172">
        <v>28.5</v>
      </c>
    </row>
    <row r="173" spans="2:9" hidden="1" x14ac:dyDescent="0.3">
      <c r="B173" s="172" t="s">
        <v>183</v>
      </c>
      <c r="C173" s="172" t="s">
        <v>81</v>
      </c>
      <c r="D173" s="172" t="s">
        <v>221</v>
      </c>
      <c r="E173" s="172">
        <v>7.3763907683364503E-4</v>
      </c>
      <c r="F173" s="172">
        <v>48</v>
      </c>
      <c r="G173" s="172">
        <v>24</v>
      </c>
      <c r="H173" s="172">
        <v>0</v>
      </c>
      <c r="I173" s="172">
        <v>28.5</v>
      </c>
    </row>
    <row r="174" spans="2:9" hidden="1" x14ac:dyDescent="0.3">
      <c r="B174" s="172" t="s">
        <v>183</v>
      </c>
      <c r="C174" s="172" t="s">
        <v>82</v>
      </c>
      <c r="D174" s="172" t="s">
        <v>218</v>
      </c>
      <c r="E174" s="172">
        <v>2.1042846340135499E-4</v>
      </c>
      <c r="F174" s="172">
        <v>19</v>
      </c>
      <c r="G174" s="172">
        <v>19.25</v>
      </c>
      <c r="H174" s="172">
        <v>19.25</v>
      </c>
      <c r="I174" s="172">
        <v>28.5</v>
      </c>
    </row>
    <row r="175" spans="2:9" hidden="1" x14ac:dyDescent="0.3">
      <c r="B175" s="172" t="s">
        <v>183</v>
      </c>
      <c r="C175" s="172" t="s">
        <v>82</v>
      </c>
      <c r="D175" s="172" t="s">
        <v>221</v>
      </c>
      <c r="E175" s="172">
        <v>7.4480383917813805E-4</v>
      </c>
      <c r="F175" s="172">
        <v>64</v>
      </c>
      <c r="G175" s="172">
        <v>0</v>
      </c>
      <c r="H175" s="172">
        <v>19</v>
      </c>
      <c r="I175" s="172">
        <v>28.5</v>
      </c>
    </row>
    <row r="176" spans="2:9" hidden="1" x14ac:dyDescent="0.3">
      <c r="B176" s="172" t="s">
        <v>183</v>
      </c>
      <c r="C176" s="172" t="s">
        <v>246</v>
      </c>
      <c r="D176" s="172" t="s">
        <v>218</v>
      </c>
      <c r="E176" s="172">
        <v>2.5192690158737399E-5</v>
      </c>
      <c r="F176" s="172">
        <v>19</v>
      </c>
      <c r="G176" s="172">
        <v>19.25</v>
      </c>
      <c r="H176" s="172">
        <v>19.25</v>
      </c>
      <c r="I176" s="172">
        <v>28.5</v>
      </c>
    </row>
    <row r="177" spans="2:9" hidden="1" x14ac:dyDescent="0.3">
      <c r="B177" s="172" t="s">
        <v>183</v>
      </c>
      <c r="C177" s="172" t="s">
        <v>246</v>
      </c>
      <c r="D177" s="172" t="s">
        <v>221</v>
      </c>
      <c r="E177" s="172">
        <v>4.0284852744595398E-5</v>
      </c>
      <c r="F177" s="172">
        <v>64</v>
      </c>
      <c r="G177" s="172">
        <v>0</v>
      </c>
      <c r="H177" s="172">
        <v>19</v>
      </c>
      <c r="I177" s="172">
        <v>28.5</v>
      </c>
    </row>
    <row r="178" spans="2:9" hidden="1" x14ac:dyDescent="0.3">
      <c r="B178" s="172" t="s">
        <v>181</v>
      </c>
      <c r="C178" s="172" t="s">
        <v>79</v>
      </c>
      <c r="D178" s="172" t="s">
        <v>218</v>
      </c>
      <c r="E178" s="172">
        <v>6.9679575649527403E-4</v>
      </c>
      <c r="F178" s="172">
        <v>19</v>
      </c>
      <c r="G178" s="172">
        <v>19.25</v>
      </c>
      <c r="H178" s="172">
        <v>19.25</v>
      </c>
      <c r="I178" s="172">
        <v>25</v>
      </c>
    </row>
    <row r="179" spans="2:9" hidden="1" x14ac:dyDescent="0.3">
      <c r="B179" s="172" t="s">
        <v>181</v>
      </c>
      <c r="C179" s="172" t="s">
        <v>79</v>
      </c>
      <c r="D179" s="172" t="s">
        <v>221</v>
      </c>
      <c r="E179" s="172">
        <v>2.8328083880974699E-4</v>
      </c>
      <c r="F179" s="172">
        <v>64</v>
      </c>
      <c r="G179" s="172">
        <v>0</v>
      </c>
      <c r="H179" s="172">
        <v>19</v>
      </c>
      <c r="I179" s="172">
        <v>25</v>
      </c>
    </row>
    <row r="180" spans="2:9" x14ac:dyDescent="0.3">
      <c r="B180" s="172" t="s">
        <v>181</v>
      </c>
      <c r="C180" s="172" t="s">
        <v>80</v>
      </c>
      <c r="D180" s="172" t="s">
        <v>218</v>
      </c>
      <c r="E180" s="172">
        <v>6.4015562798291903E-4</v>
      </c>
      <c r="F180" s="172">
        <v>48</v>
      </c>
      <c r="G180" s="172">
        <v>24</v>
      </c>
      <c r="H180" s="172">
        <v>0</v>
      </c>
      <c r="I180" s="172">
        <v>25</v>
      </c>
    </row>
    <row r="181" spans="2:9" hidden="1" x14ac:dyDescent="0.3">
      <c r="B181" s="172" t="s">
        <v>181</v>
      </c>
      <c r="C181" s="172" t="s">
        <v>80</v>
      </c>
      <c r="D181" s="172" t="s">
        <v>221</v>
      </c>
      <c r="E181" s="172">
        <v>2.2880548575570601E-4</v>
      </c>
      <c r="F181" s="172">
        <v>48</v>
      </c>
      <c r="G181" s="172">
        <v>24</v>
      </c>
      <c r="H181" s="172">
        <v>0</v>
      </c>
      <c r="I181" s="172">
        <v>25</v>
      </c>
    </row>
    <row r="182" spans="2:9" hidden="1" x14ac:dyDescent="0.3">
      <c r="B182" s="172" t="s">
        <v>181</v>
      </c>
      <c r="C182" s="172" t="s">
        <v>81</v>
      </c>
      <c r="D182" s="172" t="s">
        <v>218</v>
      </c>
      <c r="E182" s="172">
        <v>1.98724785091687E-4</v>
      </c>
      <c r="F182" s="172">
        <v>48</v>
      </c>
      <c r="G182" s="172">
        <v>24</v>
      </c>
      <c r="H182" s="172">
        <v>0</v>
      </c>
      <c r="I182" s="172">
        <v>25</v>
      </c>
    </row>
    <row r="183" spans="2:9" hidden="1" x14ac:dyDescent="0.3">
      <c r="B183" s="172" t="s">
        <v>181</v>
      </c>
      <c r="C183" s="172" t="s">
        <v>81</v>
      </c>
      <c r="D183" s="172" t="s">
        <v>221</v>
      </c>
      <c r="E183" s="172">
        <v>8.35965555135164E-4</v>
      </c>
      <c r="F183" s="172">
        <v>48</v>
      </c>
      <c r="G183" s="172">
        <v>24</v>
      </c>
      <c r="H183" s="172">
        <v>0</v>
      </c>
      <c r="I183" s="172">
        <v>25</v>
      </c>
    </row>
    <row r="184" spans="2:9" hidden="1" x14ac:dyDescent="0.3">
      <c r="B184" s="172" t="s">
        <v>181</v>
      </c>
      <c r="C184" s="172" t="s">
        <v>82</v>
      </c>
      <c r="D184" s="172" t="s">
        <v>218</v>
      </c>
      <c r="E184" s="172">
        <v>2.80337580326394E-4</v>
      </c>
      <c r="F184" s="172">
        <v>19</v>
      </c>
      <c r="G184" s="172">
        <v>19.25</v>
      </c>
      <c r="H184" s="172">
        <v>19.25</v>
      </c>
      <c r="I184" s="172">
        <v>25</v>
      </c>
    </row>
    <row r="185" spans="2:9" hidden="1" x14ac:dyDescent="0.3">
      <c r="B185" s="172" t="s">
        <v>181</v>
      </c>
      <c r="C185" s="172" t="s">
        <v>82</v>
      </c>
      <c r="D185" s="172" t="s">
        <v>221</v>
      </c>
      <c r="E185" s="172">
        <v>9.1547654042222696E-4</v>
      </c>
      <c r="F185" s="172">
        <v>64</v>
      </c>
      <c r="G185" s="172">
        <v>0</v>
      </c>
      <c r="H185" s="172">
        <v>19</v>
      </c>
      <c r="I185" s="172">
        <v>25</v>
      </c>
    </row>
    <row r="186" spans="2:9" hidden="1" x14ac:dyDescent="0.3">
      <c r="B186" s="172" t="s">
        <v>181</v>
      </c>
      <c r="C186" s="172" t="s">
        <v>246</v>
      </c>
      <c r="D186" s="172" t="s">
        <v>218</v>
      </c>
      <c r="E186" s="172">
        <v>2.2411812789606401E-5</v>
      </c>
      <c r="F186" s="172">
        <v>19</v>
      </c>
      <c r="G186" s="172">
        <v>19.25</v>
      </c>
      <c r="H186" s="172">
        <v>19.25</v>
      </c>
      <c r="I186" s="172">
        <v>25</v>
      </c>
    </row>
    <row r="187" spans="2:9" hidden="1" x14ac:dyDescent="0.3">
      <c r="B187" s="172" t="s">
        <v>181</v>
      </c>
      <c r="C187" s="172" t="s">
        <v>246</v>
      </c>
      <c r="D187" s="172" t="s">
        <v>221</v>
      </c>
      <c r="E187" s="172">
        <v>3.7956863612630302E-5</v>
      </c>
      <c r="F187" s="172">
        <v>64</v>
      </c>
      <c r="G187" s="172">
        <v>0</v>
      </c>
      <c r="H187" s="172">
        <v>19</v>
      </c>
      <c r="I187" s="172">
        <v>25</v>
      </c>
    </row>
    <row r="188" spans="2:9" hidden="1" x14ac:dyDescent="0.3">
      <c r="B188" s="172" t="s">
        <v>179</v>
      </c>
      <c r="C188" s="172" t="s">
        <v>79</v>
      </c>
      <c r="D188" s="172" t="s">
        <v>218</v>
      </c>
      <c r="E188" s="172">
        <v>8.0716033783490601E-4</v>
      </c>
      <c r="F188" s="172">
        <v>19</v>
      </c>
      <c r="G188" s="172">
        <v>19.25</v>
      </c>
      <c r="H188" s="172">
        <v>19.25</v>
      </c>
      <c r="I188" s="172">
        <v>21.5</v>
      </c>
    </row>
    <row r="189" spans="2:9" hidden="1" x14ac:dyDescent="0.3">
      <c r="B189" s="172" t="s">
        <v>179</v>
      </c>
      <c r="C189" s="172" t="s">
        <v>79</v>
      </c>
      <c r="D189" s="172" t="s">
        <v>221</v>
      </c>
      <c r="E189" s="172">
        <v>3.3751115314814399E-4</v>
      </c>
      <c r="F189" s="172">
        <v>64</v>
      </c>
      <c r="G189" s="172">
        <v>0</v>
      </c>
      <c r="H189" s="172">
        <v>19</v>
      </c>
      <c r="I189" s="172">
        <v>21.5</v>
      </c>
    </row>
    <row r="190" spans="2:9" x14ac:dyDescent="0.3">
      <c r="B190" s="172" t="s">
        <v>179</v>
      </c>
      <c r="C190" s="172" t="s">
        <v>80</v>
      </c>
      <c r="D190" s="172" t="s">
        <v>218</v>
      </c>
      <c r="E190" s="172">
        <v>7.1195704296669199E-4</v>
      </c>
      <c r="F190" s="172">
        <v>48</v>
      </c>
      <c r="G190" s="172">
        <v>24</v>
      </c>
      <c r="H190" s="172">
        <v>0</v>
      </c>
      <c r="I190" s="172">
        <v>21.5</v>
      </c>
    </row>
    <row r="191" spans="2:9" hidden="1" x14ac:dyDescent="0.3">
      <c r="B191" s="172" t="s">
        <v>179</v>
      </c>
      <c r="C191" s="172" t="s">
        <v>80</v>
      </c>
      <c r="D191" s="172" t="s">
        <v>221</v>
      </c>
      <c r="E191" s="172">
        <v>2.35949578658247E-4</v>
      </c>
      <c r="F191" s="172">
        <v>48</v>
      </c>
      <c r="G191" s="172">
        <v>24</v>
      </c>
      <c r="H191" s="172">
        <v>0</v>
      </c>
      <c r="I191" s="172">
        <v>21.5</v>
      </c>
    </row>
    <row r="192" spans="2:9" hidden="1" x14ac:dyDescent="0.3">
      <c r="B192" s="172" t="s">
        <v>179</v>
      </c>
      <c r="C192" s="172" t="s">
        <v>81</v>
      </c>
      <c r="D192" s="172" t="s">
        <v>218</v>
      </c>
      <c r="E192" s="172">
        <v>2.08274520370344E-4</v>
      </c>
      <c r="F192" s="172">
        <v>19</v>
      </c>
      <c r="G192" s="172">
        <v>19.25</v>
      </c>
      <c r="H192" s="172">
        <v>19.25</v>
      </c>
      <c r="I192" s="172">
        <v>21.5</v>
      </c>
    </row>
    <row r="193" spans="2:9" hidden="1" x14ac:dyDescent="0.3">
      <c r="B193" s="172" t="s">
        <v>179</v>
      </c>
      <c r="C193" s="172" t="s">
        <v>81</v>
      </c>
      <c r="D193" s="172" t="s">
        <v>221</v>
      </c>
      <c r="E193" s="172">
        <v>9.1580862514034395E-4</v>
      </c>
      <c r="F193" s="172">
        <v>64</v>
      </c>
      <c r="G193" s="172">
        <v>0</v>
      </c>
      <c r="H193" s="172">
        <v>19</v>
      </c>
      <c r="I193" s="172">
        <v>21.5</v>
      </c>
    </row>
    <row r="194" spans="2:9" hidden="1" x14ac:dyDescent="0.3">
      <c r="B194" s="172" t="s">
        <v>179</v>
      </c>
      <c r="C194" s="172" t="s">
        <v>82</v>
      </c>
      <c r="D194" s="172" t="s">
        <v>218</v>
      </c>
      <c r="E194" s="172">
        <v>3.41444794158286E-4</v>
      </c>
      <c r="F194" s="172">
        <v>19</v>
      </c>
      <c r="G194" s="172">
        <v>19.25</v>
      </c>
      <c r="H194" s="172">
        <v>19.25</v>
      </c>
      <c r="I194" s="172">
        <v>21.5</v>
      </c>
    </row>
    <row r="195" spans="2:9" hidden="1" x14ac:dyDescent="0.3">
      <c r="B195" s="172" t="s">
        <v>179</v>
      </c>
      <c r="C195" s="172" t="s">
        <v>82</v>
      </c>
      <c r="D195" s="172" t="s">
        <v>221</v>
      </c>
      <c r="E195" s="172">
        <v>1.05836880699987E-3</v>
      </c>
      <c r="F195" s="172">
        <v>64</v>
      </c>
      <c r="G195" s="172">
        <v>0</v>
      </c>
      <c r="H195" s="172">
        <v>19</v>
      </c>
      <c r="I195" s="172">
        <v>21.5</v>
      </c>
    </row>
    <row r="196" spans="2:9" hidden="1" x14ac:dyDescent="0.3">
      <c r="B196" s="172" t="s">
        <v>179</v>
      </c>
      <c r="C196" s="172" t="s">
        <v>246</v>
      </c>
      <c r="D196" s="172" t="s">
        <v>218</v>
      </c>
      <c r="E196" s="172">
        <v>1.8668183907497698E-5</v>
      </c>
      <c r="F196" s="172">
        <v>19</v>
      </c>
      <c r="G196" s="172">
        <v>19.25</v>
      </c>
      <c r="H196" s="172">
        <v>19.25</v>
      </c>
      <c r="I196" s="172">
        <v>21.5</v>
      </c>
    </row>
    <row r="197" spans="2:9" hidden="1" x14ac:dyDescent="0.3">
      <c r="B197" s="172" t="s">
        <v>179</v>
      </c>
      <c r="C197" s="172" t="s">
        <v>246</v>
      </c>
      <c r="D197" s="172" t="s">
        <v>221</v>
      </c>
      <c r="E197" s="172">
        <v>3.51776409242089E-5</v>
      </c>
      <c r="F197" s="172">
        <v>64</v>
      </c>
      <c r="G197" s="172">
        <v>0</v>
      </c>
      <c r="H197" s="172">
        <v>19</v>
      </c>
      <c r="I197" s="172">
        <v>21.5</v>
      </c>
    </row>
    <row r="198" spans="2:9" hidden="1" x14ac:dyDescent="0.3">
      <c r="B198" s="172" t="s">
        <v>39</v>
      </c>
      <c r="C198" s="172" t="s">
        <v>79</v>
      </c>
      <c r="D198" s="172" t="s">
        <v>218</v>
      </c>
      <c r="E198" s="172">
        <v>8.9824072285145395E-4</v>
      </c>
      <c r="F198" s="172">
        <v>19</v>
      </c>
      <c r="G198" s="172">
        <v>19.25</v>
      </c>
      <c r="H198" s="172">
        <v>19.25</v>
      </c>
      <c r="I198" s="172">
        <v>18</v>
      </c>
    </row>
    <row r="199" spans="2:9" hidden="1" x14ac:dyDescent="0.3">
      <c r="B199" s="172" t="s">
        <v>39</v>
      </c>
      <c r="C199" s="172" t="s">
        <v>79</v>
      </c>
      <c r="D199" s="172" t="s">
        <v>221</v>
      </c>
      <c r="E199" s="172">
        <v>3.8821158426112501E-4</v>
      </c>
      <c r="F199" s="172">
        <v>64</v>
      </c>
      <c r="G199" s="172">
        <v>0</v>
      </c>
      <c r="H199" s="172">
        <v>19</v>
      </c>
      <c r="I199" s="172">
        <v>18</v>
      </c>
    </row>
    <row r="200" spans="2:9" x14ac:dyDescent="0.3">
      <c r="B200" s="172" t="s">
        <v>39</v>
      </c>
      <c r="C200" s="172" t="s">
        <v>80</v>
      </c>
      <c r="D200" s="172" t="s">
        <v>218</v>
      </c>
      <c r="E200" s="172">
        <v>7.9029148975945504E-4</v>
      </c>
      <c r="F200" s="172">
        <v>19</v>
      </c>
      <c r="G200" s="172">
        <v>19.25</v>
      </c>
      <c r="H200" s="172">
        <v>19.25</v>
      </c>
      <c r="I200" s="172">
        <v>18</v>
      </c>
    </row>
    <row r="201" spans="2:9" hidden="1" x14ac:dyDescent="0.3">
      <c r="B201" s="172" t="s">
        <v>39</v>
      </c>
      <c r="C201" s="172" t="s">
        <v>80</v>
      </c>
      <c r="D201" s="172" t="s">
        <v>221</v>
      </c>
      <c r="E201" s="172">
        <v>2.7134033682287597E-4</v>
      </c>
      <c r="F201" s="172">
        <v>64</v>
      </c>
      <c r="G201" s="172">
        <v>0</v>
      </c>
      <c r="H201" s="172">
        <v>19</v>
      </c>
      <c r="I201" s="172">
        <v>18</v>
      </c>
    </row>
    <row r="202" spans="2:9" hidden="1" x14ac:dyDescent="0.3">
      <c r="B202" s="172" t="s">
        <v>39</v>
      </c>
      <c r="C202" s="172" t="s">
        <v>81</v>
      </c>
      <c r="D202" s="172" t="s">
        <v>218</v>
      </c>
      <c r="E202" s="172">
        <v>2.5147710535895702E-4</v>
      </c>
      <c r="F202" s="172">
        <v>19</v>
      </c>
      <c r="G202" s="172">
        <v>19.25</v>
      </c>
      <c r="H202" s="172">
        <v>19.25</v>
      </c>
      <c r="I202" s="172">
        <v>18</v>
      </c>
    </row>
    <row r="203" spans="2:9" hidden="1" x14ac:dyDescent="0.3">
      <c r="B203" s="172" t="s">
        <v>39</v>
      </c>
      <c r="C203" s="172" t="s">
        <v>81</v>
      </c>
      <c r="D203" s="172" t="s">
        <v>221</v>
      </c>
      <c r="E203" s="172">
        <v>1.02027742381681E-3</v>
      </c>
      <c r="F203" s="172">
        <v>64</v>
      </c>
      <c r="G203" s="172">
        <v>0</v>
      </c>
      <c r="H203" s="172">
        <v>19</v>
      </c>
      <c r="I203" s="172">
        <v>18</v>
      </c>
    </row>
    <row r="204" spans="2:9" hidden="1" x14ac:dyDescent="0.3">
      <c r="B204" s="172" t="s">
        <v>39</v>
      </c>
      <c r="C204" s="172" t="s">
        <v>82</v>
      </c>
      <c r="D204" s="172" t="s">
        <v>218</v>
      </c>
      <c r="E204" s="172">
        <v>3.9839315814357601E-4</v>
      </c>
      <c r="F204" s="172">
        <v>19</v>
      </c>
      <c r="G204" s="172">
        <v>19.25</v>
      </c>
      <c r="H204" s="172">
        <v>19.25</v>
      </c>
      <c r="I204" s="172">
        <v>18</v>
      </c>
    </row>
    <row r="205" spans="2:9" hidden="1" x14ac:dyDescent="0.3">
      <c r="B205" s="172" t="s">
        <v>39</v>
      </c>
      <c r="C205" s="172" t="s">
        <v>82</v>
      </c>
      <c r="D205" s="172" t="s">
        <v>221</v>
      </c>
      <c r="E205" s="172">
        <v>1.17928162152612E-3</v>
      </c>
      <c r="F205" s="172">
        <v>64</v>
      </c>
      <c r="G205" s="172">
        <v>0</v>
      </c>
      <c r="H205" s="172">
        <v>19</v>
      </c>
      <c r="I205" s="172">
        <v>18</v>
      </c>
    </row>
    <row r="206" spans="2:9" hidden="1" x14ac:dyDescent="0.3">
      <c r="B206" s="172" t="s">
        <v>39</v>
      </c>
      <c r="C206" s="172" t="s">
        <v>246</v>
      </c>
      <c r="D206" s="172" t="s">
        <v>221</v>
      </c>
      <c r="E206" s="172">
        <v>3.2648843437014102E-5</v>
      </c>
      <c r="F206" s="172">
        <v>64</v>
      </c>
      <c r="G206" s="172">
        <v>0</v>
      </c>
      <c r="H206" s="172">
        <v>19</v>
      </c>
      <c r="I206" s="172">
        <v>18</v>
      </c>
    </row>
    <row r="207" spans="2:9" hidden="1" x14ac:dyDescent="0.3">
      <c r="B207" s="172" t="s">
        <v>26</v>
      </c>
      <c r="C207" s="172" t="s">
        <v>79</v>
      </c>
      <c r="D207" s="172" t="s">
        <v>218</v>
      </c>
      <c r="E207" s="172">
        <v>9.7160216531185395E-4</v>
      </c>
      <c r="F207" s="172">
        <v>19</v>
      </c>
      <c r="G207" s="172">
        <v>19.25</v>
      </c>
      <c r="H207" s="172">
        <v>19.25</v>
      </c>
      <c r="I207" s="172">
        <v>14.5</v>
      </c>
    </row>
    <row r="208" spans="2:9" hidden="1" x14ac:dyDescent="0.3">
      <c r="B208" s="172" t="s">
        <v>26</v>
      </c>
      <c r="C208" s="172" t="s">
        <v>79</v>
      </c>
      <c r="D208" s="172" t="s">
        <v>221</v>
      </c>
      <c r="E208" s="172">
        <v>4.3332636198400401E-4</v>
      </c>
      <c r="F208" s="172">
        <v>64</v>
      </c>
      <c r="G208" s="172">
        <v>0</v>
      </c>
      <c r="H208" s="172">
        <v>19</v>
      </c>
      <c r="I208" s="172">
        <v>14.5</v>
      </c>
    </row>
    <row r="209" spans="2:9" x14ac:dyDescent="0.3">
      <c r="B209" s="172" t="s">
        <v>26</v>
      </c>
      <c r="C209" s="172" t="s">
        <v>80</v>
      </c>
      <c r="D209" s="172" t="s">
        <v>218</v>
      </c>
      <c r="E209" s="172">
        <v>8.5518593709007498E-4</v>
      </c>
      <c r="F209" s="172">
        <v>19</v>
      </c>
      <c r="G209" s="172">
        <v>19.25</v>
      </c>
      <c r="H209" s="172">
        <v>19.25</v>
      </c>
      <c r="I209" s="172">
        <v>14.5</v>
      </c>
    </row>
    <row r="210" spans="2:9" hidden="1" x14ac:dyDescent="0.3">
      <c r="B210" s="172" t="s">
        <v>26</v>
      </c>
      <c r="C210" s="172" t="s">
        <v>80</v>
      </c>
      <c r="D210" s="172" t="s">
        <v>221</v>
      </c>
      <c r="E210" s="172">
        <v>3.0610649150736102E-4</v>
      </c>
      <c r="F210" s="172">
        <v>64</v>
      </c>
      <c r="G210" s="172">
        <v>0</v>
      </c>
      <c r="H210" s="172">
        <v>19</v>
      </c>
      <c r="I210" s="172">
        <v>14.5</v>
      </c>
    </row>
    <row r="211" spans="2:9" hidden="1" x14ac:dyDescent="0.3">
      <c r="B211" s="172" t="s">
        <v>26</v>
      </c>
      <c r="C211" s="172" t="s">
        <v>81</v>
      </c>
      <c r="D211" s="172" t="s">
        <v>218</v>
      </c>
      <c r="E211" s="172">
        <v>2.9189084569117301E-4</v>
      </c>
      <c r="F211" s="172">
        <v>19</v>
      </c>
      <c r="G211" s="172">
        <v>19.25</v>
      </c>
      <c r="H211" s="172">
        <v>19.25</v>
      </c>
      <c r="I211" s="172">
        <v>14.5</v>
      </c>
    </row>
    <row r="212" spans="2:9" hidden="1" x14ac:dyDescent="0.3">
      <c r="B212" s="172" t="s">
        <v>26</v>
      </c>
      <c r="C212" s="172" t="s">
        <v>81</v>
      </c>
      <c r="D212" s="172" t="s">
        <v>221</v>
      </c>
      <c r="E212" s="172">
        <v>1.1081544606919801E-3</v>
      </c>
      <c r="F212" s="172">
        <v>64</v>
      </c>
      <c r="G212" s="172">
        <v>0</v>
      </c>
      <c r="H212" s="172">
        <v>19</v>
      </c>
      <c r="I212" s="172">
        <v>14.5</v>
      </c>
    </row>
    <row r="213" spans="2:9" hidden="1" x14ac:dyDescent="0.3">
      <c r="B213" s="172" t="s">
        <v>26</v>
      </c>
      <c r="C213" s="172" t="s">
        <v>82</v>
      </c>
      <c r="D213" s="172" t="s">
        <v>218</v>
      </c>
      <c r="E213" s="172">
        <v>4.4996700863898201E-4</v>
      </c>
      <c r="F213" s="172">
        <v>19</v>
      </c>
      <c r="G213" s="172">
        <v>19.25</v>
      </c>
      <c r="H213" s="172">
        <v>19.25</v>
      </c>
      <c r="I213" s="172">
        <v>14.5</v>
      </c>
    </row>
    <row r="214" spans="2:9" hidden="1" x14ac:dyDescent="0.3">
      <c r="B214" s="172" t="s">
        <v>26</v>
      </c>
      <c r="C214" s="172" t="s">
        <v>82</v>
      </c>
      <c r="D214" s="172" t="s">
        <v>221</v>
      </c>
      <c r="E214" s="172">
        <v>1.28084572150626E-3</v>
      </c>
      <c r="F214" s="172">
        <v>64</v>
      </c>
      <c r="G214" s="172">
        <v>0</v>
      </c>
      <c r="H214" s="172">
        <v>19</v>
      </c>
      <c r="I214" s="172">
        <v>14.5</v>
      </c>
    </row>
    <row r="215" spans="2:9" hidden="1" x14ac:dyDescent="0.3">
      <c r="B215" s="172" t="s">
        <v>26</v>
      </c>
      <c r="C215" s="172" t="s">
        <v>246</v>
      </c>
      <c r="D215" s="172" t="s">
        <v>218</v>
      </c>
      <c r="E215" s="172">
        <v>2.06003273023661E-5</v>
      </c>
      <c r="F215" s="172">
        <v>48</v>
      </c>
      <c r="G215" s="172">
        <v>24</v>
      </c>
      <c r="H215" s="172">
        <v>0</v>
      </c>
      <c r="I215" s="172">
        <v>14.5</v>
      </c>
    </row>
    <row r="216" spans="2:9" hidden="1" x14ac:dyDescent="0.3">
      <c r="B216" s="172" t="s">
        <v>26</v>
      </c>
      <c r="C216" s="172" t="s">
        <v>246</v>
      </c>
      <c r="D216" s="172" t="s">
        <v>221</v>
      </c>
      <c r="E216" s="172">
        <v>3.02599109477561E-5</v>
      </c>
      <c r="F216" s="172">
        <v>62</v>
      </c>
      <c r="G216" s="172">
        <v>0</v>
      </c>
      <c r="H216" s="172">
        <v>6</v>
      </c>
      <c r="I216" s="172">
        <v>14.5</v>
      </c>
    </row>
    <row r="217" spans="2:9" hidden="1" x14ac:dyDescent="0.3">
      <c r="B217" s="172" t="s">
        <v>25</v>
      </c>
      <c r="C217" s="172" t="s">
        <v>79</v>
      </c>
      <c r="D217" s="172" t="s">
        <v>218</v>
      </c>
      <c r="E217" s="172">
        <v>1.0253090097566101E-3</v>
      </c>
      <c r="F217" s="172">
        <v>19</v>
      </c>
      <c r="G217" s="172">
        <v>19.25</v>
      </c>
      <c r="H217" s="172">
        <v>19.25</v>
      </c>
      <c r="I217" s="172">
        <v>11</v>
      </c>
    </row>
    <row r="218" spans="2:9" hidden="1" x14ac:dyDescent="0.3">
      <c r="B218" s="172" t="s">
        <v>25</v>
      </c>
      <c r="C218" s="172" t="s">
        <v>79</v>
      </c>
      <c r="D218" s="172" t="s">
        <v>221</v>
      </c>
      <c r="E218" s="172">
        <v>4.6612112097893499E-4</v>
      </c>
      <c r="F218" s="172">
        <v>64</v>
      </c>
      <c r="G218" s="172">
        <v>0</v>
      </c>
      <c r="H218" s="172">
        <v>19</v>
      </c>
      <c r="I218" s="172">
        <v>11</v>
      </c>
    </row>
    <row r="219" spans="2:9" x14ac:dyDescent="0.3">
      <c r="B219" s="172" t="s">
        <v>25</v>
      </c>
      <c r="C219" s="172" t="s">
        <v>80</v>
      </c>
      <c r="D219" s="172" t="s">
        <v>218</v>
      </c>
      <c r="E219" s="172">
        <v>9.0272433394041496E-4</v>
      </c>
      <c r="F219" s="172">
        <v>19</v>
      </c>
      <c r="G219" s="172">
        <v>19.25</v>
      </c>
      <c r="H219" s="172">
        <v>19.25</v>
      </c>
      <c r="I219" s="172">
        <v>11</v>
      </c>
    </row>
    <row r="220" spans="2:9" hidden="1" x14ac:dyDescent="0.3">
      <c r="B220" s="172" t="s">
        <v>25</v>
      </c>
      <c r="C220" s="172" t="s">
        <v>80</v>
      </c>
      <c r="D220" s="172" t="s">
        <v>221</v>
      </c>
      <c r="E220" s="172">
        <v>3.30736526817103E-4</v>
      </c>
      <c r="F220" s="172">
        <v>64</v>
      </c>
      <c r="G220" s="172">
        <v>0</v>
      </c>
      <c r="H220" s="172">
        <v>19</v>
      </c>
      <c r="I220" s="172">
        <v>11</v>
      </c>
    </row>
    <row r="221" spans="2:9" hidden="1" x14ac:dyDescent="0.3">
      <c r="B221" s="172" t="s">
        <v>25</v>
      </c>
      <c r="C221" s="172" t="s">
        <v>81</v>
      </c>
      <c r="D221" s="172" t="s">
        <v>218</v>
      </c>
      <c r="E221" s="172">
        <v>3.2589132880199803E-4</v>
      </c>
      <c r="F221" s="172">
        <v>19</v>
      </c>
      <c r="G221" s="172">
        <v>19.25</v>
      </c>
      <c r="H221" s="172">
        <v>19.25</v>
      </c>
      <c r="I221" s="172">
        <v>11</v>
      </c>
    </row>
    <row r="222" spans="2:9" hidden="1" x14ac:dyDescent="0.3">
      <c r="B222" s="172" t="s">
        <v>25</v>
      </c>
      <c r="C222" s="172" t="s">
        <v>81</v>
      </c>
      <c r="D222" s="172" t="s">
        <v>221</v>
      </c>
      <c r="E222" s="172">
        <v>1.1701059797350501E-3</v>
      </c>
      <c r="F222" s="172">
        <v>64</v>
      </c>
      <c r="G222" s="172">
        <v>0</v>
      </c>
      <c r="H222" s="172">
        <v>19</v>
      </c>
      <c r="I222" s="172">
        <v>11</v>
      </c>
    </row>
    <row r="223" spans="2:9" hidden="1" x14ac:dyDescent="0.3">
      <c r="B223" s="172" t="s">
        <v>25</v>
      </c>
      <c r="C223" s="172" t="s">
        <v>82</v>
      </c>
      <c r="D223" s="172" t="s">
        <v>218</v>
      </c>
      <c r="E223" s="172">
        <v>4.9233670320025899E-4</v>
      </c>
      <c r="F223" s="172">
        <v>19</v>
      </c>
      <c r="G223" s="172">
        <v>19.25</v>
      </c>
      <c r="H223" s="172">
        <v>19.25</v>
      </c>
      <c r="I223" s="172">
        <v>11</v>
      </c>
    </row>
    <row r="224" spans="2:9" hidden="1" x14ac:dyDescent="0.3">
      <c r="B224" s="172" t="s">
        <v>25</v>
      </c>
      <c r="C224" s="172" t="s">
        <v>82</v>
      </c>
      <c r="D224" s="172" t="s">
        <v>221</v>
      </c>
      <c r="E224" s="172">
        <v>1.3538906539459E-3</v>
      </c>
      <c r="F224" s="172">
        <v>64</v>
      </c>
      <c r="G224" s="172">
        <v>0</v>
      </c>
      <c r="H224" s="172">
        <v>19</v>
      </c>
      <c r="I224" s="172">
        <v>11</v>
      </c>
    </row>
    <row r="225" spans="2:9" hidden="1" x14ac:dyDescent="0.3">
      <c r="B225" s="172" t="s">
        <v>25</v>
      </c>
      <c r="C225" s="172" t="s">
        <v>246</v>
      </c>
      <c r="D225" s="172" t="s">
        <v>218</v>
      </c>
      <c r="E225" s="172">
        <v>2.35885136483314E-5</v>
      </c>
      <c r="F225" s="172">
        <v>48</v>
      </c>
      <c r="G225" s="172">
        <v>24</v>
      </c>
      <c r="H225" s="172">
        <v>0</v>
      </c>
      <c r="I225" s="172">
        <v>11</v>
      </c>
    </row>
    <row r="226" spans="2:9" hidden="1" x14ac:dyDescent="0.3">
      <c r="B226" s="172" t="s">
        <v>25</v>
      </c>
      <c r="C226" s="172" t="s">
        <v>246</v>
      </c>
      <c r="D226" s="172" t="s">
        <v>221</v>
      </c>
      <c r="E226" s="172">
        <v>2.5906510769448799E-5</v>
      </c>
      <c r="F226" s="172">
        <v>64</v>
      </c>
      <c r="G226" s="172">
        <v>0</v>
      </c>
      <c r="H226" s="172">
        <v>19</v>
      </c>
      <c r="I226" s="172">
        <v>11</v>
      </c>
    </row>
    <row r="227" spans="2:9" s="172" customFormat="1" hidden="1" x14ac:dyDescent="0.3">
      <c r="B227" s="172" t="s">
        <v>24</v>
      </c>
      <c r="C227" s="172" t="s">
        <v>79</v>
      </c>
      <c r="D227" s="172" t="s">
        <v>218</v>
      </c>
      <c r="E227" s="172">
        <v>1.04086259268613E-3</v>
      </c>
      <c r="F227" s="172">
        <v>19</v>
      </c>
      <c r="G227" s="172">
        <v>19.25</v>
      </c>
      <c r="H227" s="172">
        <v>19.25</v>
      </c>
      <c r="I227" s="172">
        <v>7.5</v>
      </c>
    </row>
    <row r="228" spans="2:9" hidden="1" x14ac:dyDescent="0.3">
      <c r="B228" s="172" t="s">
        <v>24</v>
      </c>
      <c r="C228" s="172" t="s">
        <v>79</v>
      </c>
      <c r="D228" s="172" t="s">
        <v>221</v>
      </c>
      <c r="E228" s="172">
        <v>4.7244530729270798E-4</v>
      </c>
      <c r="F228" s="172">
        <v>64</v>
      </c>
      <c r="G228" s="172">
        <v>0</v>
      </c>
      <c r="H228" s="172">
        <v>19</v>
      </c>
      <c r="I228" s="172">
        <v>7.5</v>
      </c>
    </row>
    <row r="229" spans="2:9" x14ac:dyDescent="0.3">
      <c r="B229" s="172" t="s">
        <v>24</v>
      </c>
      <c r="C229" s="172" t="s">
        <v>80</v>
      </c>
      <c r="D229" s="172" t="s">
        <v>218</v>
      </c>
      <c r="E229" s="172">
        <v>9.1665416588746797E-4</v>
      </c>
      <c r="F229" s="172">
        <v>19</v>
      </c>
      <c r="G229" s="172">
        <v>19.25</v>
      </c>
      <c r="H229" s="172">
        <v>19.25</v>
      </c>
      <c r="I229" s="172">
        <v>7.5</v>
      </c>
    </row>
    <row r="230" spans="2:9" s="172" customFormat="1" hidden="1" x14ac:dyDescent="0.3">
      <c r="B230" s="172" t="s">
        <v>24</v>
      </c>
      <c r="C230" s="172" t="s">
        <v>80</v>
      </c>
      <c r="D230" s="172" t="s">
        <v>221</v>
      </c>
      <c r="E230" s="172">
        <v>3.3372137146319E-4</v>
      </c>
      <c r="F230" s="172">
        <v>62</v>
      </c>
      <c r="G230" s="172">
        <v>0</v>
      </c>
      <c r="H230" s="172">
        <v>6</v>
      </c>
      <c r="I230" s="172">
        <v>7.5</v>
      </c>
    </row>
    <row r="231" spans="2:9" hidden="1" x14ac:dyDescent="0.3">
      <c r="B231" s="172" t="s">
        <v>24</v>
      </c>
      <c r="C231" s="172" t="s">
        <v>81</v>
      </c>
      <c r="D231" s="172" t="s">
        <v>218</v>
      </c>
      <c r="E231" s="172">
        <v>3.4251066181170399E-4</v>
      </c>
      <c r="F231" s="172">
        <v>19</v>
      </c>
      <c r="G231" s="172">
        <v>19.25</v>
      </c>
      <c r="H231" s="172">
        <v>19.25</v>
      </c>
      <c r="I231" s="172">
        <v>7.5</v>
      </c>
    </row>
    <row r="232" spans="2:9" hidden="1" x14ac:dyDescent="0.3">
      <c r="B232" s="172" t="s">
        <v>24</v>
      </c>
      <c r="C232" s="172" t="s">
        <v>81</v>
      </c>
      <c r="D232" s="172" t="s">
        <v>221</v>
      </c>
      <c r="E232" s="172">
        <v>1.1711966308064999E-3</v>
      </c>
      <c r="F232" s="172">
        <v>64</v>
      </c>
      <c r="G232" s="172">
        <v>0</v>
      </c>
      <c r="H232" s="172">
        <v>19</v>
      </c>
      <c r="I232" s="172">
        <v>7.5</v>
      </c>
    </row>
    <row r="233" spans="2:9" s="172" customFormat="1" hidden="1" x14ac:dyDescent="0.3">
      <c r="B233" s="172" t="s">
        <v>24</v>
      </c>
      <c r="C233" s="172" t="s">
        <v>82</v>
      </c>
      <c r="D233" s="172" t="s">
        <v>218</v>
      </c>
      <c r="E233" s="172">
        <v>5.1133886064469404E-4</v>
      </c>
      <c r="F233" s="172">
        <v>19</v>
      </c>
      <c r="G233" s="172">
        <v>19.25</v>
      </c>
      <c r="H233" s="172">
        <v>19.25</v>
      </c>
      <c r="I233" s="172">
        <v>7.5</v>
      </c>
    </row>
    <row r="234" spans="2:9" hidden="1" x14ac:dyDescent="0.3">
      <c r="B234" s="172" t="s">
        <v>24</v>
      </c>
      <c r="C234" s="172" t="s">
        <v>82</v>
      </c>
      <c r="D234" s="172" t="s">
        <v>221</v>
      </c>
      <c r="E234" s="172">
        <v>1.3597312917967099E-3</v>
      </c>
      <c r="F234" s="172">
        <v>64</v>
      </c>
      <c r="G234" s="172">
        <v>0</v>
      </c>
      <c r="H234" s="172">
        <v>19</v>
      </c>
      <c r="I234" s="172">
        <v>7.5</v>
      </c>
    </row>
    <row r="235" spans="2:9" hidden="1" x14ac:dyDescent="0.3">
      <c r="B235" s="172" t="s">
        <v>24</v>
      </c>
      <c r="C235" s="172" t="s">
        <v>246</v>
      </c>
      <c r="D235" s="172" t="s">
        <v>218</v>
      </c>
      <c r="E235" s="172">
        <v>3.02380346847539E-5</v>
      </c>
      <c r="F235" s="172">
        <v>48</v>
      </c>
      <c r="G235" s="172">
        <v>24</v>
      </c>
      <c r="H235" s="172">
        <v>0</v>
      </c>
      <c r="I235" s="172">
        <v>7.5</v>
      </c>
    </row>
    <row r="236" spans="2:9" s="172" customFormat="1" hidden="1" x14ac:dyDescent="0.3">
      <c r="B236" s="172" t="s">
        <v>24</v>
      </c>
      <c r="C236" s="172" t="s">
        <v>246</v>
      </c>
      <c r="D236" s="172" t="s">
        <v>221</v>
      </c>
      <c r="E236" s="172">
        <v>2.21718076244891E-5</v>
      </c>
      <c r="F236" s="172">
        <v>64</v>
      </c>
      <c r="G236" s="172">
        <v>0</v>
      </c>
      <c r="H236" s="172">
        <v>19</v>
      </c>
      <c r="I236" s="172">
        <v>7.5</v>
      </c>
    </row>
    <row r="237" spans="2:9" hidden="1" x14ac:dyDescent="0.3">
      <c r="B237" s="172" t="s">
        <v>22</v>
      </c>
      <c r="C237" s="172" t="s">
        <v>79</v>
      </c>
      <c r="D237" s="172" t="s">
        <v>218</v>
      </c>
      <c r="E237" s="172">
        <v>7.8306807832234703E-4</v>
      </c>
      <c r="F237" s="172">
        <v>14</v>
      </c>
      <c r="G237" s="172">
        <v>19</v>
      </c>
      <c r="H237" s="172">
        <v>19</v>
      </c>
      <c r="I237" s="172">
        <v>4</v>
      </c>
    </row>
    <row r="238" spans="2:9" hidden="1" x14ac:dyDescent="0.3">
      <c r="B238" s="172" t="s">
        <v>22</v>
      </c>
      <c r="C238" s="172" t="s">
        <v>79</v>
      </c>
      <c r="D238" s="172" t="s">
        <v>221</v>
      </c>
      <c r="E238" s="172">
        <v>3.2228968990673901E-4</v>
      </c>
      <c r="F238" s="172">
        <v>64</v>
      </c>
      <c r="G238" s="172">
        <v>0</v>
      </c>
      <c r="H238" s="172">
        <v>19</v>
      </c>
      <c r="I238" s="172">
        <v>4</v>
      </c>
    </row>
    <row r="239" spans="2:9" s="172" customFormat="1" x14ac:dyDescent="0.3">
      <c r="B239" s="172" t="s">
        <v>22</v>
      </c>
      <c r="C239" s="172" t="s">
        <v>80</v>
      </c>
      <c r="D239" s="172" t="s">
        <v>218</v>
      </c>
      <c r="E239" s="172">
        <v>6.8857597580042297E-4</v>
      </c>
      <c r="F239" s="172">
        <v>14</v>
      </c>
      <c r="G239" s="172">
        <v>19</v>
      </c>
      <c r="H239" s="172">
        <v>19</v>
      </c>
      <c r="I239" s="172">
        <v>4</v>
      </c>
    </row>
    <row r="240" spans="2:9" hidden="1" x14ac:dyDescent="0.3">
      <c r="B240" s="172" t="s">
        <v>22</v>
      </c>
      <c r="C240" s="172" t="s">
        <v>80</v>
      </c>
      <c r="D240" s="172" t="s">
        <v>221</v>
      </c>
      <c r="E240" s="172">
        <v>2.13232073838133E-4</v>
      </c>
      <c r="F240" s="172">
        <v>64</v>
      </c>
      <c r="G240" s="172">
        <v>0</v>
      </c>
      <c r="H240" s="172">
        <v>19</v>
      </c>
      <c r="I240" s="172">
        <v>4</v>
      </c>
    </row>
    <row r="241" spans="2:9" hidden="1" x14ac:dyDescent="0.3">
      <c r="B241" s="172" t="s">
        <v>22</v>
      </c>
      <c r="C241" s="172" t="s">
        <v>81</v>
      </c>
      <c r="D241" s="172" t="s">
        <v>218</v>
      </c>
      <c r="E241" s="172">
        <v>2.46308068491903E-4</v>
      </c>
      <c r="F241" s="172">
        <v>14</v>
      </c>
      <c r="G241" s="172">
        <v>19</v>
      </c>
      <c r="H241" s="172">
        <v>19</v>
      </c>
      <c r="I241" s="172">
        <v>4</v>
      </c>
    </row>
    <row r="242" spans="2:9" s="172" customFormat="1" hidden="1" x14ac:dyDescent="0.3">
      <c r="B242" s="172" t="s">
        <v>22</v>
      </c>
      <c r="C242" s="172" t="s">
        <v>81</v>
      </c>
      <c r="D242" s="172" t="s">
        <v>221</v>
      </c>
      <c r="E242" s="172">
        <v>8.0995253263015999E-4</v>
      </c>
      <c r="F242" s="172">
        <v>64</v>
      </c>
      <c r="G242" s="172">
        <v>0</v>
      </c>
      <c r="H242" s="172">
        <v>19</v>
      </c>
      <c r="I242" s="172">
        <v>4</v>
      </c>
    </row>
    <row r="243" spans="2:9" hidden="1" x14ac:dyDescent="0.3">
      <c r="B243" s="172" t="s">
        <v>22</v>
      </c>
      <c r="C243" s="172" t="s">
        <v>82</v>
      </c>
      <c r="D243" s="172" t="s">
        <v>218</v>
      </c>
      <c r="E243" s="172">
        <v>3.74854789906406E-4</v>
      </c>
      <c r="F243" s="172">
        <v>14</v>
      </c>
      <c r="G243" s="172">
        <v>19</v>
      </c>
      <c r="H243" s="172">
        <v>19</v>
      </c>
      <c r="I243" s="172">
        <v>4</v>
      </c>
    </row>
    <row r="244" spans="2:9" hidden="1" x14ac:dyDescent="0.3">
      <c r="B244" s="172" t="s">
        <v>22</v>
      </c>
      <c r="C244" s="172" t="s">
        <v>82</v>
      </c>
      <c r="D244" s="172" t="s">
        <v>221</v>
      </c>
      <c r="E244" s="172">
        <v>9.5830752713946504E-4</v>
      </c>
      <c r="F244" s="172">
        <v>64</v>
      </c>
      <c r="G244" s="172">
        <v>0</v>
      </c>
      <c r="H244" s="172">
        <v>19</v>
      </c>
      <c r="I244" s="172">
        <v>4</v>
      </c>
    </row>
    <row r="245" spans="2:9" hidden="1" x14ac:dyDescent="0.3">
      <c r="B245" s="172" t="s">
        <v>22</v>
      </c>
      <c r="C245" s="172" t="s">
        <v>246</v>
      </c>
      <c r="D245" s="172" t="s">
        <v>218</v>
      </c>
      <c r="E245" s="172">
        <v>3.8072303081378602E-5</v>
      </c>
      <c r="F245" s="172">
        <v>48</v>
      </c>
      <c r="G245" s="172">
        <v>24</v>
      </c>
      <c r="H245" s="172">
        <v>0</v>
      </c>
      <c r="I245" s="172">
        <v>4</v>
      </c>
    </row>
    <row r="246" spans="2:9" hidden="1" x14ac:dyDescent="0.3">
      <c r="B246" s="172" t="s">
        <v>22</v>
      </c>
      <c r="C246" s="172" t="s">
        <v>246</v>
      </c>
      <c r="D246" s="172" t="s">
        <v>221</v>
      </c>
      <c r="E246" s="172">
        <v>2.01301662155265E-5</v>
      </c>
      <c r="F246" s="172">
        <v>64</v>
      </c>
      <c r="G246" s="172">
        <v>0</v>
      </c>
      <c r="H246" s="172">
        <v>19</v>
      </c>
      <c r="I246" s="172">
        <v>4</v>
      </c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3.4456134750587998E-4</v>
      </c>
      <c r="F270" s="172">
        <v>42</v>
      </c>
      <c r="G270" s="172">
        <v>24</v>
      </c>
      <c r="H270" s="172">
        <v>4</v>
      </c>
      <c r="I270" s="172">
        <v>38.5</v>
      </c>
    </row>
    <row r="271" spans="2:9" hidden="1" x14ac:dyDescent="0.3">
      <c r="B271" s="172" t="s">
        <v>189</v>
      </c>
      <c r="C271" s="172" t="s">
        <v>79</v>
      </c>
      <c r="D271" s="172" t="s">
        <v>221</v>
      </c>
      <c r="E271" s="172">
        <v>1.3918715387265299E-4</v>
      </c>
      <c r="F271" s="172">
        <v>39</v>
      </c>
      <c r="G271" s="172">
        <v>19</v>
      </c>
      <c r="H271" s="172">
        <v>4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218</v>
      </c>
      <c r="E272" s="172">
        <v>3.6449823495054903E-4</v>
      </c>
      <c r="F272" s="172">
        <v>48</v>
      </c>
      <c r="G272" s="172">
        <v>24</v>
      </c>
      <c r="H272" s="172">
        <v>0</v>
      </c>
      <c r="I272" s="172">
        <v>38.5</v>
      </c>
    </row>
    <row r="273" spans="2:9" hidden="1" x14ac:dyDescent="0.3">
      <c r="B273" s="172" t="s">
        <v>189</v>
      </c>
      <c r="C273" s="172" t="s">
        <v>80</v>
      </c>
      <c r="D273" s="172" t="s">
        <v>221</v>
      </c>
      <c r="E273" s="172">
        <v>1.7926856728178999E-4</v>
      </c>
      <c r="F273" s="172">
        <v>48</v>
      </c>
      <c r="G273" s="172">
        <v>24</v>
      </c>
      <c r="H273" s="172">
        <v>0</v>
      </c>
      <c r="I273" s="172">
        <v>38.5</v>
      </c>
    </row>
    <row r="274" spans="2:9" hidden="1" x14ac:dyDescent="0.3">
      <c r="B274" s="172" t="s">
        <v>189</v>
      </c>
      <c r="C274" s="172" t="s">
        <v>81</v>
      </c>
      <c r="D274" s="172" t="s">
        <v>218</v>
      </c>
      <c r="E274" s="172">
        <v>1.6396290226494499E-4</v>
      </c>
      <c r="F274" s="172">
        <v>48</v>
      </c>
      <c r="G274" s="172">
        <v>24</v>
      </c>
      <c r="H274" s="172">
        <v>0</v>
      </c>
      <c r="I274" s="172">
        <v>38.5</v>
      </c>
    </row>
    <row r="275" spans="2:9" x14ac:dyDescent="0.3">
      <c r="B275" s="172" t="s">
        <v>189</v>
      </c>
      <c r="C275" s="172" t="s">
        <v>81</v>
      </c>
      <c r="D275" s="172" t="s">
        <v>221</v>
      </c>
      <c r="E275" s="172">
        <v>5.24836547262959E-4</v>
      </c>
      <c r="F275" s="172">
        <v>48</v>
      </c>
      <c r="G275" s="172">
        <v>24</v>
      </c>
      <c r="H275" s="172">
        <v>0</v>
      </c>
      <c r="I275" s="172">
        <v>38.5</v>
      </c>
    </row>
    <row r="276" spans="2:9" hidden="1" x14ac:dyDescent="0.3">
      <c r="B276" s="172" t="s">
        <v>189</v>
      </c>
      <c r="C276" s="172" t="s">
        <v>82</v>
      </c>
      <c r="D276" s="172" t="s">
        <v>218</v>
      </c>
      <c r="E276" s="172">
        <v>1.3007405759291301E-4</v>
      </c>
      <c r="F276" s="172">
        <v>48</v>
      </c>
      <c r="G276" s="172">
        <v>24</v>
      </c>
      <c r="H276" s="172">
        <v>0</v>
      </c>
      <c r="I276" s="172">
        <v>38.5</v>
      </c>
    </row>
    <row r="277" spans="2:9" hidden="1" x14ac:dyDescent="0.3">
      <c r="B277" s="172" t="s">
        <v>189</v>
      </c>
      <c r="C277" s="172" t="s">
        <v>82</v>
      </c>
      <c r="D277" s="172" t="s">
        <v>221</v>
      </c>
      <c r="E277" s="172">
        <v>4.60942794330633E-4</v>
      </c>
      <c r="F277" s="172">
        <v>48</v>
      </c>
      <c r="G277" s="172">
        <v>24</v>
      </c>
      <c r="H277" s="172">
        <v>0</v>
      </c>
      <c r="I277" s="172">
        <v>38.5</v>
      </c>
    </row>
    <row r="278" spans="2:9" hidden="1" x14ac:dyDescent="0.3">
      <c r="B278" s="172" t="s">
        <v>189</v>
      </c>
      <c r="C278" s="172" t="s">
        <v>246</v>
      </c>
      <c r="D278" s="172" t="s">
        <v>218</v>
      </c>
      <c r="E278" s="172">
        <v>2.4511829552858798E-5</v>
      </c>
      <c r="F278" s="172">
        <v>42</v>
      </c>
      <c r="G278" s="172">
        <v>24</v>
      </c>
      <c r="H278" s="172">
        <v>4</v>
      </c>
      <c r="I278" s="172">
        <v>38.5</v>
      </c>
    </row>
    <row r="279" spans="2:9" hidden="1" x14ac:dyDescent="0.3">
      <c r="B279" s="172" t="s">
        <v>189</v>
      </c>
      <c r="C279" s="172" t="s">
        <v>246</v>
      </c>
      <c r="D279" s="172" t="s">
        <v>221</v>
      </c>
      <c r="E279" s="172">
        <v>5.3327659888677799E-5</v>
      </c>
      <c r="F279" s="172">
        <v>76</v>
      </c>
      <c r="G279" s="172">
        <v>19</v>
      </c>
      <c r="H279" s="172">
        <v>0</v>
      </c>
      <c r="I279" s="172">
        <v>38.5</v>
      </c>
    </row>
    <row r="280" spans="2:9" hidden="1" x14ac:dyDescent="0.3">
      <c r="B280" s="172" t="s">
        <v>187</v>
      </c>
      <c r="C280" s="172" t="s">
        <v>79</v>
      </c>
      <c r="D280" s="172" t="s">
        <v>218</v>
      </c>
      <c r="E280" s="172">
        <v>2.88902105712214E-4</v>
      </c>
      <c r="F280" s="172">
        <v>48</v>
      </c>
      <c r="G280" s="172">
        <v>24</v>
      </c>
      <c r="H280" s="172">
        <v>0</v>
      </c>
      <c r="I280" s="172">
        <v>35.5</v>
      </c>
    </row>
    <row r="281" spans="2:9" hidden="1" x14ac:dyDescent="0.3">
      <c r="B281" s="172" t="s">
        <v>187</v>
      </c>
      <c r="C281" s="172" t="s">
        <v>79</v>
      </c>
      <c r="D281" s="172" t="s">
        <v>221</v>
      </c>
      <c r="E281" s="172">
        <v>1.26546448243042E-4</v>
      </c>
      <c r="F281" s="172">
        <v>48</v>
      </c>
      <c r="G281" s="172">
        <v>24</v>
      </c>
      <c r="H281" s="172">
        <v>0</v>
      </c>
      <c r="I281" s="172">
        <v>35.5</v>
      </c>
    </row>
    <row r="282" spans="2:9" hidden="1" x14ac:dyDescent="0.3">
      <c r="B282" s="172" t="s">
        <v>187</v>
      </c>
      <c r="C282" s="172" t="s">
        <v>80</v>
      </c>
      <c r="D282" s="172" t="s">
        <v>218</v>
      </c>
      <c r="E282" s="172">
        <v>3.17324025622901E-4</v>
      </c>
      <c r="F282" s="172">
        <v>48</v>
      </c>
      <c r="G282" s="172">
        <v>24</v>
      </c>
      <c r="H282" s="172">
        <v>0</v>
      </c>
      <c r="I282" s="172">
        <v>35.5</v>
      </c>
    </row>
    <row r="283" spans="2:9" hidden="1" x14ac:dyDescent="0.3">
      <c r="B283" s="172" t="s">
        <v>187</v>
      </c>
      <c r="C283" s="172" t="s">
        <v>80</v>
      </c>
      <c r="D283" s="172" t="s">
        <v>221</v>
      </c>
      <c r="E283" s="172">
        <v>1.72533165762267E-4</v>
      </c>
      <c r="F283" s="172">
        <v>48</v>
      </c>
      <c r="G283" s="172">
        <v>24</v>
      </c>
      <c r="H283" s="172">
        <v>0</v>
      </c>
      <c r="I283" s="172">
        <v>35.5</v>
      </c>
    </row>
    <row r="284" spans="2:9" hidden="1" x14ac:dyDescent="0.3">
      <c r="B284" s="172" t="s">
        <v>187</v>
      </c>
      <c r="C284" s="172" t="s">
        <v>81</v>
      </c>
      <c r="D284" s="172" t="s">
        <v>218</v>
      </c>
      <c r="E284" s="172">
        <v>1.51675526910752E-4</v>
      </c>
      <c r="F284" s="172">
        <v>48</v>
      </c>
      <c r="G284" s="172">
        <v>24</v>
      </c>
      <c r="H284" s="172">
        <v>0</v>
      </c>
      <c r="I284" s="172">
        <v>35.5</v>
      </c>
    </row>
    <row r="285" spans="2:9" x14ac:dyDescent="0.3">
      <c r="B285" s="172" t="s">
        <v>187</v>
      </c>
      <c r="C285" s="172" t="s">
        <v>81</v>
      </c>
      <c r="D285" s="172" t="s">
        <v>221</v>
      </c>
      <c r="E285" s="172">
        <v>4.7113942216257001E-4</v>
      </c>
      <c r="F285" s="172">
        <v>48</v>
      </c>
      <c r="G285" s="172">
        <v>24</v>
      </c>
      <c r="H285" s="172">
        <v>0</v>
      </c>
      <c r="I285" s="172">
        <v>35.5</v>
      </c>
    </row>
    <row r="286" spans="2:9" hidden="1" x14ac:dyDescent="0.3">
      <c r="B286" s="172" t="s">
        <v>187</v>
      </c>
      <c r="C286" s="172" t="s">
        <v>82</v>
      </c>
      <c r="D286" s="172" t="s">
        <v>218</v>
      </c>
      <c r="E286" s="172">
        <v>1.1172438197281901E-4</v>
      </c>
      <c r="F286" s="172">
        <v>48</v>
      </c>
      <c r="G286" s="172">
        <v>24</v>
      </c>
      <c r="H286" s="172">
        <v>0</v>
      </c>
      <c r="I286" s="172">
        <v>35.5</v>
      </c>
    </row>
    <row r="287" spans="2:9" hidden="1" x14ac:dyDescent="0.3">
      <c r="B287" s="172" t="s">
        <v>187</v>
      </c>
      <c r="C287" s="172" t="s">
        <v>82</v>
      </c>
      <c r="D287" s="172" t="s">
        <v>221</v>
      </c>
      <c r="E287" s="172">
        <v>4.0661445828416801E-4</v>
      </c>
      <c r="F287" s="172">
        <v>48</v>
      </c>
      <c r="G287" s="172">
        <v>24</v>
      </c>
      <c r="H287" s="172">
        <v>0</v>
      </c>
      <c r="I287" s="172">
        <v>35.5</v>
      </c>
    </row>
    <row r="288" spans="2:9" hidden="1" x14ac:dyDescent="0.3">
      <c r="B288" s="172" t="s">
        <v>187</v>
      </c>
      <c r="C288" s="172" t="s">
        <v>246</v>
      </c>
      <c r="D288" s="172" t="s">
        <v>218</v>
      </c>
      <c r="E288" s="172">
        <v>2.5538543176415699E-5</v>
      </c>
      <c r="F288" s="172">
        <v>19</v>
      </c>
      <c r="G288" s="172">
        <v>19.25</v>
      </c>
      <c r="H288" s="172">
        <v>19.25</v>
      </c>
      <c r="I288" s="172">
        <v>35.5</v>
      </c>
    </row>
    <row r="289" spans="2:9" hidden="1" x14ac:dyDescent="0.3">
      <c r="B289" s="172" t="s">
        <v>187</v>
      </c>
      <c r="C289" s="172" t="s">
        <v>246</v>
      </c>
      <c r="D289" s="172" t="s">
        <v>221</v>
      </c>
      <c r="E289" s="172">
        <v>4.2979062897234197E-5</v>
      </c>
      <c r="F289" s="172">
        <v>61</v>
      </c>
      <c r="G289" s="172">
        <v>0</v>
      </c>
      <c r="H289" s="172">
        <v>0</v>
      </c>
      <c r="I289" s="172">
        <v>35.5</v>
      </c>
    </row>
    <row r="290" spans="2:9" hidden="1" x14ac:dyDescent="0.3">
      <c r="B290" s="172" t="s">
        <v>185</v>
      </c>
      <c r="C290" s="172" t="s">
        <v>79</v>
      </c>
      <c r="D290" s="172" t="s">
        <v>218</v>
      </c>
      <c r="E290" s="172">
        <v>4.12394436964304E-4</v>
      </c>
      <c r="F290" s="172">
        <v>19</v>
      </c>
      <c r="G290" s="172">
        <v>19.25</v>
      </c>
      <c r="H290" s="172">
        <v>19.25</v>
      </c>
      <c r="I290" s="172">
        <v>32</v>
      </c>
    </row>
    <row r="291" spans="2:9" hidden="1" x14ac:dyDescent="0.3">
      <c r="B291" s="172" t="s">
        <v>185</v>
      </c>
      <c r="C291" s="172" t="s">
        <v>79</v>
      </c>
      <c r="D291" s="172" t="s">
        <v>221</v>
      </c>
      <c r="E291" s="172">
        <v>1.4854118923571599E-4</v>
      </c>
      <c r="F291" s="172">
        <v>64</v>
      </c>
      <c r="G291" s="172">
        <v>0</v>
      </c>
      <c r="H291" s="172">
        <v>19</v>
      </c>
      <c r="I291" s="172">
        <v>32</v>
      </c>
    </row>
    <row r="292" spans="2:9" hidden="1" x14ac:dyDescent="0.3">
      <c r="B292" s="172" t="s">
        <v>185</v>
      </c>
      <c r="C292" s="172" t="s">
        <v>80</v>
      </c>
      <c r="D292" s="172" t="s">
        <v>218</v>
      </c>
      <c r="E292" s="172">
        <v>4.4262883131223501E-4</v>
      </c>
      <c r="F292" s="172">
        <v>48</v>
      </c>
      <c r="G292" s="172">
        <v>24</v>
      </c>
      <c r="H292" s="172">
        <v>0</v>
      </c>
      <c r="I292" s="172">
        <v>32</v>
      </c>
    </row>
    <row r="293" spans="2:9" hidden="1" x14ac:dyDescent="0.3">
      <c r="B293" s="172" t="s">
        <v>185</v>
      </c>
      <c r="C293" s="172" t="s">
        <v>80</v>
      </c>
      <c r="D293" s="172" t="s">
        <v>221</v>
      </c>
      <c r="E293" s="172">
        <v>1.9915089456424499E-4</v>
      </c>
      <c r="F293" s="172">
        <v>48</v>
      </c>
      <c r="G293" s="172">
        <v>24</v>
      </c>
      <c r="H293" s="172">
        <v>0</v>
      </c>
      <c r="I293" s="172">
        <v>32</v>
      </c>
    </row>
    <row r="294" spans="2:9" hidden="1" x14ac:dyDescent="0.3">
      <c r="B294" s="172" t="s">
        <v>185</v>
      </c>
      <c r="C294" s="172" t="s">
        <v>81</v>
      </c>
      <c r="D294" s="172" t="s">
        <v>218</v>
      </c>
      <c r="E294" s="172">
        <v>1.73811470402106E-4</v>
      </c>
      <c r="F294" s="172">
        <v>48</v>
      </c>
      <c r="G294" s="172">
        <v>24</v>
      </c>
      <c r="H294" s="172">
        <v>0</v>
      </c>
      <c r="I294" s="172">
        <v>32</v>
      </c>
    </row>
    <row r="295" spans="2:9" x14ac:dyDescent="0.3">
      <c r="B295" s="172" t="s">
        <v>185</v>
      </c>
      <c r="C295" s="172" t="s">
        <v>81</v>
      </c>
      <c r="D295" s="172" t="s">
        <v>221</v>
      </c>
      <c r="E295" s="172">
        <v>6.1604469035393802E-4</v>
      </c>
      <c r="F295" s="172">
        <v>48</v>
      </c>
      <c r="G295" s="172">
        <v>24</v>
      </c>
      <c r="H295" s="172">
        <v>0</v>
      </c>
      <c r="I295" s="172">
        <v>32</v>
      </c>
    </row>
    <row r="296" spans="2:9" hidden="1" x14ac:dyDescent="0.3">
      <c r="B296" s="172" t="s">
        <v>185</v>
      </c>
      <c r="C296" s="172" t="s">
        <v>82</v>
      </c>
      <c r="D296" s="172" t="s">
        <v>218</v>
      </c>
      <c r="E296" s="172">
        <v>1.2920777300399401E-4</v>
      </c>
      <c r="F296" s="172">
        <v>19</v>
      </c>
      <c r="G296" s="172">
        <v>19.25</v>
      </c>
      <c r="H296" s="172">
        <v>19.25</v>
      </c>
      <c r="I296" s="172">
        <v>32</v>
      </c>
    </row>
    <row r="297" spans="2:9" hidden="1" x14ac:dyDescent="0.3">
      <c r="B297" s="172" t="s">
        <v>185</v>
      </c>
      <c r="C297" s="172" t="s">
        <v>82</v>
      </c>
      <c r="D297" s="172" t="s">
        <v>221</v>
      </c>
      <c r="E297" s="172">
        <v>5.4243989725581904E-4</v>
      </c>
      <c r="F297" s="172">
        <v>64</v>
      </c>
      <c r="G297" s="172">
        <v>0</v>
      </c>
      <c r="H297" s="172">
        <v>19</v>
      </c>
      <c r="I297" s="172">
        <v>32</v>
      </c>
    </row>
    <row r="298" spans="2:9" hidden="1" x14ac:dyDescent="0.3">
      <c r="B298" s="172" t="s">
        <v>185</v>
      </c>
      <c r="C298" s="172" t="s">
        <v>246</v>
      </c>
      <c r="D298" s="172" t="s">
        <v>218</v>
      </c>
      <c r="E298" s="172">
        <v>2.7402314363015599E-5</v>
      </c>
      <c r="F298" s="172">
        <v>19</v>
      </c>
      <c r="G298" s="172">
        <v>19.25</v>
      </c>
      <c r="H298" s="172">
        <v>19.25</v>
      </c>
      <c r="I298" s="172">
        <v>32</v>
      </c>
    </row>
    <row r="299" spans="2:9" hidden="1" x14ac:dyDescent="0.3">
      <c r="B299" s="172" t="s">
        <v>185</v>
      </c>
      <c r="C299" s="172" t="s">
        <v>246</v>
      </c>
      <c r="D299" s="172" t="s">
        <v>221</v>
      </c>
      <c r="E299" s="172">
        <v>4.2155640883479199E-5</v>
      </c>
      <c r="F299" s="172">
        <v>64</v>
      </c>
      <c r="G299" s="172">
        <v>0</v>
      </c>
      <c r="H299" s="172">
        <v>19</v>
      </c>
      <c r="I299" s="172">
        <v>32</v>
      </c>
    </row>
    <row r="300" spans="2:9" hidden="1" x14ac:dyDescent="0.3">
      <c r="B300" s="172" t="s">
        <v>183</v>
      </c>
      <c r="C300" s="172" t="s">
        <v>79</v>
      </c>
      <c r="D300" s="172" t="s">
        <v>218</v>
      </c>
      <c r="E300" s="172">
        <v>5.6575876593640705E-4</v>
      </c>
      <c r="F300" s="172">
        <v>19</v>
      </c>
      <c r="G300" s="172">
        <v>19.25</v>
      </c>
      <c r="H300" s="172">
        <v>19.25</v>
      </c>
      <c r="I300" s="172">
        <v>28.5</v>
      </c>
    </row>
    <row r="301" spans="2:9" hidden="1" x14ac:dyDescent="0.3">
      <c r="B301" s="172" t="s">
        <v>183</v>
      </c>
      <c r="C301" s="172" t="s">
        <v>79</v>
      </c>
      <c r="D301" s="172" t="s">
        <v>221</v>
      </c>
      <c r="E301" s="172">
        <v>2.2080797991309701E-4</v>
      </c>
      <c r="F301" s="172">
        <v>64</v>
      </c>
      <c r="G301" s="172">
        <v>0</v>
      </c>
      <c r="H301" s="172">
        <v>19</v>
      </c>
      <c r="I301" s="172">
        <v>28.5</v>
      </c>
    </row>
    <row r="302" spans="2:9" hidden="1" x14ac:dyDescent="0.3">
      <c r="B302" s="172" t="s">
        <v>183</v>
      </c>
      <c r="C302" s="172" t="s">
        <v>80</v>
      </c>
      <c r="D302" s="172" t="s">
        <v>218</v>
      </c>
      <c r="E302" s="172">
        <v>5.5028726640490497E-4</v>
      </c>
      <c r="F302" s="172">
        <v>48</v>
      </c>
      <c r="G302" s="172">
        <v>24</v>
      </c>
      <c r="H302" s="172">
        <v>0</v>
      </c>
      <c r="I302" s="172">
        <v>28.5</v>
      </c>
    </row>
    <row r="303" spans="2:9" hidden="1" x14ac:dyDescent="0.3">
      <c r="B303" s="172" t="s">
        <v>183</v>
      </c>
      <c r="C303" s="172" t="s">
        <v>80</v>
      </c>
      <c r="D303" s="172" t="s">
        <v>221</v>
      </c>
      <c r="E303" s="172">
        <v>2.1624712200753001E-4</v>
      </c>
      <c r="F303" s="172">
        <v>48</v>
      </c>
      <c r="G303" s="172">
        <v>24</v>
      </c>
      <c r="H303" s="172">
        <v>0</v>
      </c>
      <c r="I303" s="172">
        <v>28.5</v>
      </c>
    </row>
    <row r="304" spans="2:9" hidden="1" x14ac:dyDescent="0.3">
      <c r="B304" s="172" t="s">
        <v>183</v>
      </c>
      <c r="C304" s="172" t="s">
        <v>81</v>
      </c>
      <c r="D304" s="172" t="s">
        <v>218</v>
      </c>
      <c r="E304" s="172">
        <v>1.8830136298261799E-4</v>
      </c>
      <c r="F304" s="172">
        <v>48</v>
      </c>
      <c r="G304" s="172">
        <v>24</v>
      </c>
      <c r="H304" s="172">
        <v>0</v>
      </c>
      <c r="I304" s="172">
        <v>28.5</v>
      </c>
    </row>
    <row r="305" spans="2:9" x14ac:dyDescent="0.3">
      <c r="B305" s="172" t="s">
        <v>183</v>
      </c>
      <c r="C305" s="172" t="s">
        <v>81</v>
      </c>
      <c r="D305" s="172" t="s">
        <v>221</v>
      </c>
      <c r="E305" s="172">
        <v>7.3763907683364503E-4</v>
      </c>
      <c r="F305" s="172">
        <v>48</v>
      </c>
      <c r="G305" s="172">
        <v>24</v>
      </c>
      <c r="H305" s="172">
        <v>0</v>
      </c>
      <c r="I305" s="172">
        <v>28.5</v>
      </c>
    </row>
    <row r="306" spans="2:9" hidden="1" x14ac:dyDescent="0.3">
      <c r="B306" s="172" t="s">
        <v>183</v>
      </c>
      <c r="C306" s="172" t="s">
        <v>82</v>
      </c>
      <c r="D306" s="172" t="s">
        <v>218</v>
      </c>
      <c r="E306" s="172">
        <v>2.1042846340135499E-4</v>
      </c>
      <c r="F306" s="172">
        <v>19</v>
      </c>
      <c r="G306" s="172">
        <v>19.25</v>
      </c>
      <c r="H306" s="172">
        <v>19.25</v>
      </c>
      <c r="I306" s="172">
        <v>28.5</v>
      </c>
    </row>
    <row r="307" spans="2:9" hidden="1" x14ac:dyDescent="0.3">
      <c r="B307" s="172" t="s">
        <v>183</v>
      </c>
      <c r="C307" s="172" t="s">
        <v>82</v>
      </c>
      <c r="D307" s="172" t="s">
        <v>221</v>
      </c>
      <c r="E307" s="172">
        <v>7.4480383917813805E-4</v>
      </c>
      <c r="F307" s="172">
        <v>64</v>
      </c>
      <c r="G307" s="172">
        <v>0</v>
      </c>
      <c r="H307" s="172">
        <v>19</v>
      </c>
      <c r="I307" s="172">
        <v>28.5</v>
      </c>
    </row>
    <row r="308" spans="2:9" hidden="1" x14ac:dyDescent="0.3">
      <c r="B308" s="172" t="s">
        <v>183</v>
      </c>
      <c r="C308" s="172" t="s">
        <v>246</v>
      </c>
      <c r="D308" s="172" t="s">
        <v>218</v>
      </c>
      <c r="E308" s="172">
        <v>2.5192690158737399E-5</v>
      </c>
      <c r="F308" s="172">
        <v>19</v>
      </c>
      <c r="G308" s="172">
        <v>19.25</v>
      </c>
      <c r="H308" s="172">
        <v>19.25</v>
      </c>
      <c r="I308" s="172">
        <v>28.5</v>
      </c>
    </row>
    <row r="309" spans="2:9" hidden="1" x14ac:dyDescent="0.3">
      <c r="B309" s="172" t="s">
        <v>183</v>
      </c>
      <c r="C309" s="172" t="s">
        <v>246</v>
      </c>
      <c r="D309" s="172" t="s">
        <v>221</v>
      </c>
      <c r="E309" s="172">
        <v>4.0284852744595398E-5</v>
      </c>
      <c r="F309" s="172">
        <v>64</v>
      </c>
      <c r="G309" s="172">
        <v>0</v>
      </c>
      <c r="H309" s="172">
        <v>19</v>
      </c>
      <c r="I309" s="172">
        <v>28.5</v>
      </c>
    </row>
    <row r="310" spans="2:9" hidden="1" x14ac:dyDescent="0.3">
      <c r="B310" s="172" t="s">
        <v>181</v>
      </c>
      <c r="C310" s="172" t="s">
        <v>79</v>
      </c>
      <c r="D310" s="172" t="s">
        <v>218</v>
      </c>
      <c r="E310" s="172">
        <v>6.9679575649527403E-4</v>
      </c>
      <c r="F310" s="172">
        <v>19</v>
      </c>
      <c r="G310" s="172">
        <v>19.25</v>
      </c>
      <c r="H310" s="172">
        <v>19.25</v>
      </c>
      <c r="I310" s="172">
        <v>25</v>
      </c>
    </row>
    <row r="311" spans="2:9" hidden="1" x14ac:dyDescent="0.3">
      <c r="B311" s="172" t="s">
        <v>181</v>
      </c>
      <c r="C311" s="172" t="s">
        <v>79</v>
      </c>
      <c r="D311" s="172" t="s">
        <v>221</v>
      </c>
      <c r="E311" s="172">
        <v>2.8328083880974699E-4</v>
      </c>
      <c r="F311" s="172">
        <v>64</v>
      </c>
      <c r="G311" s="172">
        <v>0</v>
      </c>
      <c r="H311" s="172">
        <v>19</v>
      </c>
      <c r="I311" s="172">
        <v>25</v>
      </c>
    </row>
    <row r="312" spans="2:9" hidden="1" x14ac:dyDescent="0.3">
      <c r="B312" s="172" t="s">
        <v>181</v>
      </c>
      <c r="C312" s="172" t="s">
        <v>80</v>
      </c>
      <c r="D312" s="172" t="s">
        <v>218</v>
      </c>
      <c r="E312" s="172">
        <v>6.4015562798291903E-4</v>
      </c>
      <c r="F312" s="172">
        <v>48</v>
      </c>
      <c r="G312" s="172">
        <v>24</v>
      </c>
      <c r="H312" s="172">
        <v>0</v>
      </c>
      <c r="I312" s="172">
        <v>25</v>
      </c>
    </row>
    <row r="313" spans="2:9" hidden="1" x14ac:dyDescent="0.3">
      <c r="B313" s="172" t="s">
        <v>181</v>
      </c>
      <c r="C313" s="172" t="s">
        <v>80</v>
      </c>
      <c r="D313" s="172" t="s">
        <v>221</v>
      </c>
      <c r="E313" s="172">
        <v>2.2880548575570601E-4</v>
      </c>
      <c r="F313" s="172">
        <v>48</v>
      </c>
      <c r="G313" s="172">
        <v>24</v>
      </c>
      <c r="H313" s="172">
        <v>0</v>
      </c>
      <c r="I313" s="172">
        <v>25</v>
      </c>
    </row>
    <row r="314" spans="2:9" hidden="1" x14ac:dyDescent="0.3">
      <c r="B314" s="172" t="s">
        <v>181</v>
      </c>
      <c r="C314" s="172" t="s">
        <v>81</v>
      </c>
      <c r="D314" s="172" t="s">
        <v>218</v>
      </c>
      <c r="E314" s="172">
        <v>1.98724785091687E-4</v>
      </c>
      <c r="F314" s="172">
        <v>48</v>
      </c>
      <c r="G314" s="172">
        <v>24</v>
      </c>
      <c r="H314" s="172">
        <v>0</v>
      </c>
      <c r="I314" s="172">
        <v>25</v>
      </c>
    </row>
    <row r="315" spans="2:9" x14ac:dyDescent="0.3">
      <c r="B315" s="172" t="s">
        <v>181</v>
      </c>
      <c r="C315" s="172" t="s">
        <v>81</v>
      </c>
      <c r="D315" s="172" t="s">
        <v>221</v>
      </c>
      <c r="E315" s="172">
        <v>8.35965555135164E-4</v>
      </c>
      <c r="F315" s="172">
        <v>48</v>
      </c>
      <c r="G315" s="172">
        <v>24</v>
      </c>
      <c r="H315" s="172">
        <v>0</v>
      </c>
      <c r="I315" s="172">
        <v>25</v>
      </c>
    </row>
    <row r="316" spans="2:9" hidden="1" x14ac:dyDescent="0.3">
      <c r="B316" s="172" t="s">
        <v>181</v>
      </c>
      <c r="C316" s="172" t="s">
        <v>82</v>
      </c>
      <c r="D316" s="172" t="s">
        <v>218</v>
      </c>
      <c r="E316" s="172">
        <v>2.80337580326394E-4</v>
      </c>
      <c r="F316" s="172">
        <v>19</v>
      </c>
      <c r="G316" s="172">
        <v>19.25</v>
      </c>
      <c r="H316" s="172">
        <v>19.25</v>
      </c>
      <c r="I316" s="172">
        <v>25</v>
      </c>
    </row>
    <row r="317" spans="2:9" hidden="1" x14ac:dyDescent="0.3">
      <c r="B317" s="172" t="s">
        <v>181</v>
      </c>
      <c r="C317" s="172" t="s">
        <v>82</v>
      </c>
      <c r="D317" s="172" t="s">
        <v>221</v>
      </c>
      <c r="E317" s="172">
        <v>9.1547654042222696E-4</v>
      </c>
      <c r="F317" s="172">
        <v>64</v>
      </c>
      <c r="G317" s="172">
        <v>0</v>
      </c>
      <c r="H317" s="172">
        <v>19</v>
      </c>
      <c r="I317" s="172">
        <v>25</v>
      </c>
    </row>
    <row r="318" spans="2:9" hidden="1" x14ac:dyDescent="0.3">
      <c r="B318" s="172" t="s">
        <v>181</v>
      </c>
      <c r="C318" s="172" t="s">
        <v>246</v>
      </c>
      <c r="D318" s="172" t="s">
        <v>218</v>
      </c>
      <c r="E318" s="172">
        <v>2.2411812789606401E-5</v>
      </c>
      <c r="F318" s="172">
        <v>19</v>
      </c>
      <c r="G318" s="172">
        <v>19.25</v>
      </c>
      <c r="H318" s="172">
        <v>19.25</v>
      </c>
      <c r="I318" s="172">
        <v>25</v>
      </c>
    </row>
    <row r="319" spans="2:9" hidden="1" x14ac:dyDescent="0.3">
      <c r="B319" s="172" t="s">
        <v>181</v>
      </c>
      <c r="C319" s="172" t="s">
        <v>246</v>
      </c>
      <c r="D319" s="172" t="s">
        <v>221</v>
      </c>
      <c r="E319" s="172">
        <v>3.7956863612630302E-5</v>
      </c>
      <c r="F319" s="172">
        <v>64</v>
      </c>
      <c r="G319" s="172">
        <v>0</v>
      </c>
      <c r="H319" s="172">
        <v>19</v>
      </c>
      <c r="I319" s="172">
        <v>25</v>
      </c>
    </row>
    <row r="320" spans="2:9" hidden="1" x14ac:dyDescent="0.3">
      <c r="B320" s="172" t="s">
        <v>179</v>
      </c>
      <c r="C320" s="172" t="s">
        <v>79</v>
      </c>
      <c r="D320" s="172" t="s">
        <v>218</v>
      </c>
      <c r="E320" s="172">
        <v>8.0716033783490601E-4</v>
      </c>
      <c r="F320" s="172">
        <v>19</v>
      </c>
      <c r="G320" s="172">
        <v>19.25</v>
      </c>
      <c r="H320" s="172">
        <v>19.25</v>
      </c>
      <c r="I320" s="172">
        <v>21.5</v>
      </c>
    </row>
    <row r="321" spans="2:9" hidden="1" x14ac:dyDescent="0.3">
      <c r="B321" s="172" t="s">
        <v>179</v>
      </c>
      <c r="C321" s="172" t="s">
        <v>79</v>
      </c>
      <c r="D321" s="172" t="s">
        <v>221</v>
      </c>
      <c r="E321" s="172">
        <v>3.3751115314814399E-4</v>
      </c>
      <c r="F321" s="172">
        <v>64</v>
      </c>
      <c r="G321" s="172">
        <v>0</v>
      </c>
      <c r="H321" s="172">
        <v>19</v>
      </c>
      <c r="I321" s="172">
        <v>21.5</v>
      </c>
    </row>
    <row r="322" spans="2:9" hidden="1" x14ac:dyDescent="0.3">
      <c r="B322" s="172" t="s">
        <v>179</v>
      </c>
      <c r="C322" s="172" t="s">
        <v>80</v>
      </c>
      <c r="D322" s="172" t="s">
        <v>218</v>
      </c>
      <c r="E322" s="172">
        <v>7.1195704296669199E-4</v>
      </c>
      <c r="F322" s="172">
        <v>48</v>
      </c>
      <c r="G322" s="172">
        <v>24</v>
      </c>
      <c r="H322" s="172">
        <v>0</v>
      </c>
      <c r="I322" s="172">
        <v>21.5</v>
      </c>
    </row>
    <row r="323" spans="2:9" hidden="1" x14ac:dyDescent="0.3">
      <c r="B323" s="172" t="s">
        <v>179</v>
      </c>
      <c r="C323" s="172" t="s">
        <v>80</v>
      </c>
      <c r="D323" s="172" t="s">
        <v>221</v>
      </c>
      <c r="E323" s="172">
        <v>2.35949578658247E-4</v>
      </c>
      <c r="F323" s="172">
        <v>48</v>
      </c>
      <c r="G323" s="172">
        <v>24</v>
      </c>
      <c r="H323" s="172">
        <v>0</v>
      </c>
      <c r="I323" s="172">
        <v>21.5</v>
      </c>
    </row>
    <row r="324" spans="2:9" hidden="1" x14ac:dyDescent="0.3">
      <c r="B324" s="172" t="s">
        <v>179</v>
      </c>
      <c r="C324" s="172" t="s">
        <v>81</v>
      </c>
      <c r="D324" s="172" t="s">
        <v>218</v>
      </c>
      <c r="E324" s="172">
        <v>2.08274520370344E-4</v>
      </c>
      <c r="F324" s="172">
        <v>19</v>
      </c>
      <c r="G324" s="172">
        <v>19.25</v>
      </c>
      <c r="H324" s="172">
        <v>19.25</v>
      </c>
      <c r="I324" s="172">
        <v>21.5</v>
      </c>
    </row>
    <row r="325" spans="2:9" x14ac:dyDescent="0.3">
      <c r="B325" s="172" t="s">
        <v>179</v>
      </c>
      <c r="C325" s="172" t="s">
        <v>81</v>
      </c>
      <c r="D325" s="172" t="s">
        <v>221</v>
      </c>
      <c r="E325" s="172">
        <v>9.1580862514034395E-4</v>
      </c>
      <c r="F325" s="172">
        <v>64</v>
      </c>
      <c r="G325" s="172">
        <v>0</v>
      </c>
      <c r="H325" s="172">
        <v>19</v>
      </c>
      <c r="I325" s="172">
        <v>21.5</v>
      </c>
    </row>
    <row r="326" spans="2:9" hidden="1" x14ac:dyDescent="0.3">
      <c r="B326" s="172" t="s">
        <v>179</v>
      </c>
      <c r="C326" s="172" t="s">
        <v>82</v>
      </c>
      <c r="D326" s="172" t="s">
        <v>218</v>
      </c>
      <c r="E326" s="172">
        <v>3.41444794158286E-4</v>
      </c>
      <c r="F326" s="172">
        <v>19</v>
      </c>
      <c r="G326" s="172">
        <v>19.25</v>
      </c>
      <c r="H326" s="172">
        <v>19.25</v>
      </c>
      <c r="I326" s="172">
        <v>21.5</v>
      </c>
    </row>
    <row r="327" spans="2:9" hidden="1" x14ac:dyDescent="0.3">
      <c r="B327" s="172" t="s">
        <v>179</v>
      </c>
      <c r="C327" s="172" t="s">
        <v>82</v>
      </c>
      <c r="D327" s="172" t="s">
        <v>221</v>
      </c>
      <c r="E327" s="172">
        <v>1.05836880699987E-3</v>
      </c>
      <c r="F327" s="172">
        <v>64</v>
      </c>
      <c r="G327" s="172">
        <v>0</v>
      </c>
      <c r="H327" s="172">
        <v>19</v>
      </c>
      <c r="I327" s="172">
        <v>21.5</v>
      </c>
    </row>
    <row r="328" spans="2:9" hidden="1" x14ac:dyDescent="0.3">
      <c r="B328" s="172" t="s">
        <v>179</v>
      </c>
      <c r="C328" s="172" t="s">
        <v>246</v>
      </c>
      <c r="D328" s="172" t="s">
        <v>218</v>
      </c>
      <c r="E328" s="172">
        <v>1.8668183907497698E-5</v>
      </c>
      <c r="F328" s="172">
        <v>19</v>
      </c>
      <c r="G328" s="172">
        <v>19.25</v>
      </c>
      <c r="H328" s="172">
        <v>19.25</v>
      </c>
      <c r="I328" s="172">
        <v>21.5</v>
      </c>
    </row>
    <row r="329" spans="2:9" hidden="1" x14ac:dyDescent="0.3">
      <c r="B329" s="172" t="s">
        <v>179</v>
      </c>
      <c r="C329" s="172" t="s">
        <v>246</v>
      </c>
      <c r="D329" s="172" t="s">
        <v>221</v>
      </c>
      <c r="E329" s="172">
        <v>3.51776409242089E-5</v>
      </c>
      <c r="F329" s="172">
        <v>64</v>
      </c>
      <c r="G329" s="172">
        <v>0</v>
      </c>
      <c r="H329" s="172">
        <v>19</v>
      </c>
      <c r="I329" s="172">
        <v>21.5</v>
      </c>
    </row>
    <row r="330" spans="2:9" hidden="1" x14ac:dyDescent="0.3">
      <c r="B330" s="172" t="s">
        <v>39</v>
      </c>
      <c r="C330" s="172" t="s">
        <v>79</v>
      </c>
      <c r="D330" s="172" t="s">
        <v>218</v>
      </c>
      <c r="E330" s="172">
        <v>8.9824072285145395E-4</v>
      </c>
      <c r="F330" s="172">
        <v>19</v>
      </c>
      <c r="G330" s="172">
        <v>19.25</v>
      </c>
      <c r="H330" s="172">
        <v>19.25</v>
      </c>
      <c r="I330" s="172">
        <v>18</v>
      </c>
    </row>
    <row r="331" spans="2:9" hidden="1" x14ac:dyDescent="0.3">
      <c r="B331" s="172" t="s">
        <v>39</v>
      </c>
      <c r="C331" s="172" t="s">
        <v>79</v>
      </c>
      <c r="D331" s="172" t="s">
        <v>221</v>
      </c>
      <c r="E331" s="172">
        <v>3.8821158426112501E-4</v>
      </c>
      <c r="F331" s="172">
        <v>64</v>
      </c>
      <c r="G331" s="172">
        <v>0</v>
      </c>
      <c r="H331" s="172">
        <v>19</v>
      </c>
      <c r="I331" s="172">
        <v>18</v>
      </c>
    </row>
    <row r="332" spans="2:9" hidden="1" x14ac:dyDescent="0.3">
      <c r="B332" s="172" t="s">
        <v>39</v>
      </c>
      <c r="C332" s="172" t="s">
        <v>80</v>
      </c>
      <c r="D332" s="172" t="s">
        <v>218</v>
      </c>
      <c r="E332" s="172">
        <v>7.9029148975945504E-4</v>
      </c>
      <c r="F332" s="172">
        <v>19</v>
      </c>
      <c r="G332" s="172">
        <v>19.25</v>
      </c>
      <c r="H332" s="172">
        <v>19.25</v>
      </c>
      <c r="I332" s="172">
        <v>18</v>
      </c>
    </row>
    <row r="333" spans="2:9" hidden="1" x14ac:dyDescent="0.3">
      <c r="B333" s="172" t="s">
        <v>39</v>
      </c>
      <c r="C333" s="172" t="s">
        <v>80</v>
      </c>
      <c r="D333" s="172" t="s">
        <v>221</v>
      </c>
      <c r="E333" s="172">
        <v>2.7134033682287597E-4</v>
      </c>
      <c r="F333" s="172">
        <v>64</v>
      </c>
      <c r="G333" s="172">
        <v>0</v>
      </c>
      <c r="H333" s="172">
        <v>19</v>
      </c>
      <c r="I333" s="172">
        <v>18</v>
      </c>
    </row>
    <row r="334" spans="2:9" hidden="1" x14ac:dyDescent="0.3">
      <c r="B334" s="172" t="s">
        <v>39</v>
      </c>
      <c r="C334" s="172" t="s">
        <v>81</v>
      </c>
      <c r="D334" s="172" t="s">
        <v>218</v>
      </c>
      <c r="E334" s="172">
        <v>2.5147710535895702E-4</v>
      </c>
      <c r="F334" s="172">
        <v>19</v>
      </c>
      <c r="G334" s="172">
        <v>19.25</v>
      </c>
      <c r="H334" s="172">
        <v>19.25</v>
      </c>
      <c r="I334" s="172">
        <v>18</v>
      </c>
    </row>
    <row r="335" spans="2:9" x14ac:dyDescent="0.3">
      <c r="B335" s="172" t="s">
        <v>39</v>
      </c>
      <c r="C335" s="172" t="s">
        <v>81</v>
      </c>
      <c r="D335" s="172" t="s">
        <v>221</v>
      </c>
      <c r="E335" s="172">
        <v>1.02027742381681E-3</v>
      </c>
      <c r="F335" s="172">
        <v>64</v>
      </c>
      <c r="G335" s="172">
        <v>0</v>
      </c>
      <c r="H335" s="172">
        <v>19</v>
      </c>
      <c r="I335" s="172">
        <v>18</v>
      </c>
    </row>
    <row r="336" spans="2:9" hidden="1" x14ac:dyDescent="0.3">
      <c r="B336" s="172" t="s">
        <v>39</v>
      </c>
      <c r="C336" s="172" t="s">
        <v>82</v>
      </c>
      <c r="D336" s="172" t="s">
        <v>218</v>
      </c>
      <c r="E336" s="172">
        <v>3.9839315814357601E-4</v>
      </c>
      <c r="F336" s="172">
        <v>19</v>
      </c>
      <c r="G336" s="172">
        <v>19.25</v>
      </c>
      <c r="H336" s="172">
        <v>19.25</v>
      </c>
      <c r="I336" s="172">
        <v>18</v>
      </c>
    </row>
    <row r="337" spans="2:9" hidden="1" x14ac:dyDescent="0.3">
      <c r="B337" s="172" t="s">
        <v>39</v>
      </c>
      <c r="C337" s="172" t="s">
        <v>82</v>
      </c>
      <c r="D337" s="172" t="s">
        <v>221</v>
      </c>
      <c r="E337" s="172">
        <v>1.17928162152612E-3</v>
      </c>
      <c r="F337" s="172">
        <v>64</v>
      </c>
      <c r="G337" s="172">
        <v>0</v>
      </c>
      <c r="H337" s="172">
        <v>19</v>
      </c>
      <c r="I337" s="172">
        <v>18</v>
      </c>
    </row>
    <row r="338" spans="2:9" hidden="1" x14ac:dyDescent="0.3">
      <c r="B338" s="172" t="s">
        <v>39</v>
      </c>
      <c r="C338" s="172" t="s">
        <v>246</v>
      </c>
      <c r="D338" s="172" t="s">
        <v>221</v>
      </c>
      <c r="E338" s="172">
        <v>3.2648843437014102E-5</v>
      </c>
      <c r="F338" s="172">
        <v>64</v>
      </c>
      <c r="G338" s="172">
        <v>0</v>
      </c>
      <c r="H338" s="172">
        <v>19</v>
      </c>
      <c r="I338" s="172">
        <v>18</v>
      </c>
    </row>
    <row r="339" spans="2:9" s="172" customFormat="1" hidden="1" x14ac:dyDescent="0.3">
      <c r="B339" s="172" t="s">
        <v>26</v>
      </c>
      <c r="C339" s="172" t="s">
        <v>79</v>
      </c>
      <c r="D339" s="172" t="s">
        <v>218</v>
      </c>
      <c r="E339" s="172">
        <v>9.7160216531185395E-4</v>
      </c>
      <c r="F339" s="172">
        <v>19</v>
      </c>
      <c r="G339" s="172">
        <v>19.25</v>
      </c>
      <c r="H339" s="172">
        <v>19.25</v>
      </c>
      <c r="I339" s="172">
        <v>14.5</v>
      </c>
    </row>
    <row r="340" spans="2:9" hidden="1" x14ac:dyDescent="0.3">
      <c r="B340" s="172" t="s">
        <v>26</v>
      </c>
      <c r="C340" s="172" t="s">
        <v>79</v>
      </c>
      <c r="D340" s="172" t="s">
        <v>221</v>
      </c>
      <c r="E340" s="172">
        <v>4.3332636198400401E-4</v>
      </c>
      <c r="F340" s="172">
        <v>64</v>
      </c>
      <c r="G340" s="172">
        <v>0</v>
      </c>
      <c r="H340" s="172">
        <v>19</v>
      </c>
      <c r="I340" s="172">
        <v>14.5</v>
      </c>
    </row>
    <row r="341" spans="2:9" hidden="1" x14ac:dyDescent="0.3">
      <c r="B341" s="172" t="s">
        <v>26</v>
      </c>
      <c r="C341" s="172" t="s">
        <v>80</v>
      </c>
      <c r="D341" s="172" t="s">
        <v>218</v>
      </c>
      <c r="E341" s="172">
        <v>8.5518593709007498E-4</v>
      </c>
      <c r="F341" s="172">
        <v>19</v>
      </c>
      <c r="G341" s="172">
        <v>19.25</v>
      </c>
      <c r="H341" s="172">
        <v>19.25</v>
      </c>
      <c r="I341" s="172">
        <v>14.5</v>
      </c>
    </row>
    <row r="342" spans="2:9" hidden="1" x14ac:dyDescent="0.3">
      <c r="B342" s="172" t="s">
        <v>26</v>
      </c>
      <c r="C342" s="172" t="s">
        <v>80</v>
      </c>
      <c r="D342" s="172" t="s">
        <v>221</v>
      </c>
      <c r="E342" s="172">
        <v>3.0610649150736102E-4</v>
      </c>
      <c r="F342" s="172">
        <v>64</v>
      </c>
      <c r="G342" s="172">
        <v>0</v>
      </c>
      <c r="H342" s="172">
        <v>19</v>
      </c>
      <c r="I342" s="172">
        <v>14.5</v>
      </c>
    </row>
    <row r="343" spans="2:9" s="172" customFormat="1" hidden="1" x14ac:dyDescent="0.3">
      <c r="B343" s="172" t="s">
        <v>26</v>
      </c>
      <c r="C343" s="172" t="s">
        <v>81</v>
      </c>
      <c r="D343" s="172" t="s">
        <v>218</v>
      </c>
      <c r="E343" s="172">
        <v>2.9189084569117301E-4</v>
      </c>
      <c r="F343" s="172">
        <v>19</v>
      </c>
      <c r="G343" s="172">
        <v>19.25</v>
      </c>
      <c r="H343" s="172">
        <v>19.25</v>
      </c>
      <c r="I343" s="172">
        <v>14.5</v>
      </c>
    </row>
    <row r="344" spans="2:9" x14ac:dyDescent="0.3">
      <c r="B344" s="172" t="s">
        <v>26</v>
      </c>
      <c r="C344" s="172" t="s">
        <v>81</v>
      </c>
      <c r="D344" s="172" t="s">
        <v>221</v>
      </c>
      <c r="E344" s="172">
        <v>1.1081544606919801E-3</v>
      </c>
      <c r="F344" s="172">
        <v>64</v>
      </c>
      <c r="G344" s="172">
        <v>0</v>
      </c>
      <c r="H344" s="172">
        <v>19</v>
      </c>
      <c r="I344" s="172">
        <v>14.5</v>
      </c>
    </row>
    <row r="345" spans="2:9" hidden="1" x14ac:dyDescent="0.3">
      <c r="B345" s="172" t="s">
        <v>26</v>
      </c>
      <c r="C345" s="172" t="s">
        <v>82</v>
      </c>
      <c r="D345" s="172" t="s">
        <v>218</v>
      </c>
      <c r="E345" s="172">
        <v>4.4996700863898201E-4</v>
      </c>
      <c r="F345" s="172">
        <v>19</v>
      </c>
      <c r="G345" s="172">
        <v>19.25</v>
      </c>
      <c r="H345" s="172">
        <v>19.25</v>
      </c>
      <c r="I345" s="172">
        <v>14.5</v>
      </c>
    </row>
    <row r="346" spans="2:9" hidden="1" x14ac:dyDescent="0.3">
      <c r="B346" s="172" t="s">
        <v>26</v>
      </c>
      <c r="C346" s="172" t="s">
        <v>82</v>
      </c>
      <c r="D346" s="172" t="s">
        <v>221</v>
      </c>
      <c r="E346" s="172">
        <v>1.28084572150626E-3</v>
      </c>
      <c r="F346" s="172">
        <v>64</v>
      </c>
      <c r="G346" s="172">
        <v>0</v>
      </c>
      <c r="H346" s="172">
        <v>19</v>
      </c>
      <c r="I346" s="172">
        <v>14.5</v>
      </c>
    </row>
    <row r="347" spans="2:9" s="172" customFormat="1" hidden="1" x14ac:dyDescent="0.3">
      <c r="B347" s="172" t="s">
        <v>26</v>
      </c>
      <c r="C347" s="172" t="s">
        <v>246</v>
      </c>
      <c r="D347" s="172" t="s">
        <v>218</v>
      </c>
      <c r="E347" s="172">
        <v>2.06003273023661E-5</v>
      </c>
      <c r="F347" s="172">
        <v>48</v>
      </c>
      <c r="G347" s="172">
        <v>24</v>
      </c>
      <c r="H347" s="172">
        <v>0</v>
      </c>
      <c r="I347" s="172">
        <v>14.5</v>
      </c>
    </row>
    <row r="348" spans="2:9" hidden="1" x14ac:dyDescent="0.3">
      <c r="B348" s="172" t="s">
        <v>26</v>
      </c>
      <c r="C348" s="172" t="s">
        <v>246</v>
      </c>
      <c r="D348" s="172" t="s">
        <v>221</v>
      </c>
      <c r="E348" s="172">
        <v>3.02599109477561E-5</v>
      </c>
      <c r="F348" s="172">
        <v>62</v>
      </c>
      <c r="G348" s="172">
        <v>0</v>
      </c>
      <c r="H348" s="172">
        <v>6</v>
      </c>
      <c r="I348" s="172">
        <v>14.5</v>
      </c>
    </row>
    <row r="349" spans="2:9" hidden="1" x14ac:dyDescent="0.3">
      <c r="B349" s="172" t="s">
        <v>25</v>
      </c>
      <c r="C349" s="172" t="s">
        <v>79</v>
      </c>
      <c r="D349" s="172" t="s">
        <v>218</v>
      </c>
      <c r="E349" s="172">
        <v>1.0253090097566101E-3</v>
      </c>
      <c r="F349" s="172">
        <v>19</v>
      </c>
      <c r="G349" s="172">
        <v>19.25</v>
      </c>
      <c r="H349" s="172">
        <v>19.25</v>
      </c>
      <c r="I349" s="172">
        <v>11</v>
      </c>
    </row>
    <row r="350" spans="2:9" hidden="1" x14ac:dyDescent="0.3">
      <c r="B350" s="172" t="s">
        <v>25</v>
      </c>
      <c r="C350" s="172" t="s">
        <v>79</v>
      </c>
      <c r="D350" s="172" t="s">
        <v>221</v>
      </c>
      <c r="E350" s="172">
        <v>4.6612112097893499E-4</v>
      </c>
      <c r="F350" s="172">
        <v>64</v>
      </c>
      <c r="G350" s="172">
        <v>0</v>
      </c>
      <c r="H350" s="172">
        <v>19</v>
      </c>
      <c r="I350" s="172">
        <v>11</v>
      </c>
    </row>
    <row r="351" spans="2:9" s="172" customFormat="1" hidden="1" x14ac:dyDescent="0.3">
      <c r="B351" s="172" t="s">
        <v>25</v>
      </c>
      <c r="C351" s="172" t="s">
        <v>80</v>
      </c>
      <c r="D351" s="172" t="s">
        <v>218</v>
      </c>
      <c r="E351" s="172">
        <v>9.0272433394041496E-4</v>
      </c>
      <c r="F351" s="172">
        <v>19</v>
      </c>
      <c r="G351" s="172">
        <v>19.25</v>
      </c>
      <c r="H351" s="172">
        <v>19.25</v>
      </c>
      <c r="I351" s="172">
        <v>11</v>
      </c>
    </row>
    <row r="352" spans="2:9" hidden="1" x14ac:dyDescent="0.3">
      <c r="B352" s="172" t="s">
        <v>25</v>
      </c>
      <c r="C352" s="172" t="s">
        <v>80</v>
      </c>
      <c r="D352" s="172" t="s">
        <v>221</v>
      </c>
      <c r="E352" s="172">
        <v>3.30736526817103E-4</v>
      </c>
      <c r="F352" s="172">
        <v>64</v>
      </c>
      <c r="G352" s="172">
        <v>0</v>
      </c>
      <c r="H352" s="172">
        <v>19</v>
      </c>
      <c r="I352" s="172">
        <v>11</v>
      </c>
    </row>
    <row r="353" spans="2:9" hidden="1" x14ac:dyDescent="0.3">
      <c r="B353" s="172" t="s">
        <v>25</v>
      </c>
      <c r="C353" s="172" t="s">
        <v>81</v>
      </c>
      <c r="D353" s="172" t="s">
        <v>218</v>
      </c>
      <c r="E353" s="172">
        <v>3.2589132880199803E-4</v>
      </c>
      <c r="F353" s="172">
        <v>19</v>
      </c>
      <c r="G353" s="172">
        <v>19.25</v>
      </c>
      <c r="H353" s="172">
        <v>19.25</v>
      </c>
      <c r="I353" s="172">
        <v>11</v>
      </c>
    </row>
    <row r="354" spans="2:9" x14ac:dyDescent="0.3">
      <c r="B354" s="172" t="s">
        <v>25</v>
      </c>
      <c r="C354" s="172" t="s">
        <v>81</v>
      </c>
      <c r="D354" s="172" t="s">
        <v>221</v>
      </c>
      <c r="E354" s="172">
        <v>1.1701059797350501E-3</v>
      </c>
      <c r="F354" s="172">
        <v>64</v>
      </c>
      <c r="G354" s="172">
        <v>0</v>
      </c>
      <c r="H354" s="172">
        <v>19</v>
      </c>
      <c r="I354" s="172">
        <v>11</v>
      </c>
    </row>
    <row r="355" spans="2:9" s="172" customFormat="1" hidden="1" x14ac:dyDescent="0.3">
      <c r="B355" s="172" t="s">
        <v>25</v>
      </c>
      <c r="C355" s="172" t="s">
        <v>82</v>
      </c>
      <c r="D355" s="172" t="s">
        <v>218</v>
      </c>
      <c r="E355" s="172">
        <v>4.9233670320025899E-4</v>
      </c>
      <c r="F355" s="172">
        <v>19</v>
      </c>
      <c r="G355" s="172">
        <v>19.25</v>
      </c>
      <c r="H355" s="172">
        <v>19.25</v>
      </c>
      <c r="I355" s="172">
        <v>11</v>
      </c>
    </row>
    <row r="356" spans="2:9" hidden="1" x14ac:dyDescent="0.3">
      <c r="B356" s="172" t="s">
        <v>25</v>
      </c>
      <c r="C356" s="172" t="s">
        <v>82</v>
      </c>
      <c r="D356" s="172" t="s">
        <v>221</v>
      </c>
      <c r="E356" s="172">
        <v>1.3538906539459E-3</v>
      </c>
      <c r="F356" s="172">
        <v>64</v>
      </c>
      <c r="G356" s="172">
        <v>0</v>
      </c>
      <c r="H356" s="172">
        <v>19</v>
      </c>
      <c r="I356" s="172">
        <v>11</v>
      </c>
    </row>
    <row r="357" spans="2:9" hidden="1" x14ac:dyDescent="0.3">
      <c r="B357" s="172" t="s">
        <v>25</v>
      </c>
      <c r="C357" s="172" t="s">
        <v>246</v>
      </c>
      <c r="D357" s="172" t="s">
        <v>218</v>
      </c>
      <c r="E357" s="172">
        <v>2.35885136483314E-5</v>
      </c>
      <c r="F357" s="172">
        <v>48</v>
      </c>
      <c r="G357" s="172">
        <v>24</v>
      </c>
      <c r="H357" s="172">
        <v>0</v>
      </c>
      <c r="I357" s="172">
        <v>11</v>
      </c>
    </row>
    <row r="358" spans="2:9" hidden="1" x14ac:dyDescent="0.3">
      <c r="B358" s="172" t="s">
        <v>25</v>
      </c>
      <c r="C358" s="172" t="s">
        <v>246</v>
      </c>
      <c r="D358" s="172" t="s">
        <v>221</v>
      </c>
      <c r="E358" s="172">
        <v>2.5906510769448799E-5</v>
      </c>
      <c r="F358" s="172">
        <v>64</v>
      </c>
      <c r="G358" s="172">
        <v>0</v>
      </c>
      <c r="H358" s="172">
        <v>19</v>
      </c>
      <c r="I358" s="172">
        <v>11</v>
      </c>
    </row>
    <row r="359" spans="2:9" s="172" customFormat="1" hidden="1" x14ac:dyDescent="0.3">
      <c r="B359" s="172" t="s">
        <v>24</v>
      </c>
      <c r="C359" s="172" t="s">
        <v>79</v>
      </c>
      <c r="D359" s="172" t="s">
        <v>218</v>
      </c>
      <c r="E359" s="172">
        <v>1.04086259268613E-3</v>
      </c>
      <c r="F359" s="172">
        <v>19</v>
      </c>
      <c r="G359" s="172">
        <v>19.25</v>
      </c>
      <c r="H359" s="172">
        <v>19.25</v>
      </c>
      <c r="I359" s="172">
        <v>7.5</v>
      </c>
    </row>
    <row r="360" spans="2:9" hidden="1" x14ac:dyDescent="0.3">
      <c r="B360" s="172" t="s">
        <v>24</v>
      </c>
      <c r="C360" s="172" t="s">
        <v>79</v>
      </c>
      <c r="D360" s="172" t="s">
        <v>221</v>
      </c>
      <c r="E360" s="172">
        <v>4.7244530729270798E-4</v>
      </c>
      <c r="F360" s="172">
        <v>64</v>
      </c>
      <c r="G360" s="172">
        <v>0</v>
      </c>
      <c r="H360" s="172">
        <v>19</v>
      </c>
      <c r="I360" s="172">
        <v>7.5</v>
      </c>
    </row>
    <row r="361" spans="2:9" hidden="1" x14ac:dyDescent="0.3">
      <c r="B361" s="172" t="s">
        <v>24</v>
      </c>
      <c r="C361" s="172" t="s">
        <v>80</v>
      </c>
      <c r="D361" s="172" t="s">
        <v>218</v>
      </c>
      <c r="E361" s="172">
        <v>9.1665416588746797E-4</v>
      </c>
      <c r="F361" s="172">
        <v>19</v>
      </c>
      <c r="G361" s="172">
        <v>19.25</v>
      </c>
      <c r="H361" s="172">
        <v>19.25</v>
      </c>
      <c r="I361" s="172">
        <v>7.5</v>
      </c>
    </row>
    <row r="362" spans="2:9" hidden="1" x14ac:dyDescent="0.3">
      <c r="B362" s="172" t="s">
        <v>24</v>
      </c>
      <c r="C362" s="172" t="s">
        <v>80</v>
      </c>
      <c r="D362" s="172" t="s">
        <v>221</v>
      </c>
      <c r="E362" s="172">
        <v>3.3372137146319E-4</v>
      </c>
      <c r="F362" s="172">
        <v>62</v>
      </c>
      <c r="G362" s="172">
        <v>0</v>
      </c>
      <c r="H362" s="172">
        <v>6</v>
      </c>
      <c r="I362" s="172">
        <v>7.5</v>
      </c>
    </row>
    <row r="363" spans="2:9" hidden="1" x14ac:dyDescent="0.3">
      <c r="B363" s="172" t="s">
        <v>24</v>
      </c>
      <c r="C363" s="172" t="s">
        <v>81</v>
      </c>
      <c r="D363" s="172" t="s">
        <v>218</v>
      </c>
      <c r="E363" s="172">
        <v>3.4251066181170399E-4</v>
      </c>
      <c r="F363" s="172">
        <v>19</v>
      </c>
      <c r="G363" s="172">
        <v>19.25</v>
      </c>
      <c r="H363" s="172">
        <v>19.25</v>
      </c>
      <c r="I363" s="172">
        <v>7.5</v>
      </c>
    </row>
    <row r="364" spans="2:9" x14ac:dyDescent="0.3">
      <c r="B364" s="172" t="s">
        <v>24</v>
      </c>
      <c r="C364" s="172" t="s">
        <v>81</v>
      </c>
      <c r="D364" s="172" t="s">
        <v>221</v>
      </c>
      <c r="E364" s="172">
        <v>1.1711966308064999E-3</v>
      </c>
      <c r="F364" s="172">
        <v>64</v>
      </c>
      <c r="G364" s="172">
        <v>0</v>
      </c>
      <c r="H364" s="172">
        <v>19</v>
      </c>
      <c r="I364" s="172">
        <v>7.5</v>
      </c>
    </row>
    <row r="365" spans="2:9" hidden="1" x14ac:dyDescent="0.3">
      <c r="B365" s="172" t="s">
        <v>24</v>
      </c>
      <c r="C365" s="172" t="s">
        <v>82</v>
      </c>
      <c r="D365" s="172" t="s">
        <v>218</v>
      </c>
      <c r="E365" s="172">
        <v>5.1133886064469404E-4</v>
      </c>
      <c r="F365" s="172">
        <v>19</v>
      </c>
      <c r="G365" s="172">
        <v>19.25</v>
      </c>
      <c r="H365" s="172">
        <v>19.25</v>
      </c>
      <c r="I365" s="172">
        <v>7.5</v>
      </c>
    </row>
    <row r="366" spans="2:9" hidden="1" x14ac:dyDescent="0.3">
      <c r="B366" s="172" t="s">
        <v>24</v>
      </c>
      <c r="C366" s="172" t="s">
        <v>82</v>
      </c>
      <c r="D366" s="172" t="s">
        <v>221</v>
      </c>
      <c r="E366" s="172">
        <v>1.3597312917967099E-3</v>
      </c>
      <c r="F366" s="172">
        <v>64</v>
      </c>
      <c r="G366" s="172">
        <v>0</v>
      </c>
      <c r="H366" s="172">
        <v>19</v>
      </c>
      <c r="I366" s="172">
        <v>7.5</v>
      </c>
    </row>
    <row r="367" spans="2:9" hidden="1" x14ac:dyDescent="0.3">
      <c r="B367" s="172" t="s">
        <v>24</v>
      </c>
      <c r="C367" s="172" t="s">
        <v>246</v>
      </c>
      <c r="D367" s="172" t="s">
        <v>218</v>
      </c>
      <c r="E367" s="172">
        <v>3.02380346847539E-5</v>
      </c>
      <c r="F367" s="172">
        <v>48</v>
      </c>
      <c r="G367" s="172">
        <v>24</v>
      </c>
      <c r="H367" s="172">
        <v>0</v>
      </c>
      <c r="I367" s="172">
        <v>7.5</v>
      </c>
    </row>
    <row r="368" spans="2:9" hidden="1" x14ac:dyDescent="0.3">
      <c r="B368" s="172" t="s">
        <v>24</v>
      </c>
      <c r="C368" s="172" t="s">
        <v>246</v>
      </c>
      <c r="D368" s="172" t="s">
        <v>221</v>
      </c>
      <c r="E368" s="172">
        <v>2.21718076244891E-5</v>
      </c>
      <c r="F368" s="172">
        <v>64</v>
      </c>
      <c r="G368" s="172">
        <v>0</v>
      </c>
      <c r="H368" s="172">
        <v>19</v>
      </c>
      <c r="I368" s="172">
        <v>7.5</v>
      </c>
    </row>
    <row r="369" spans="2:9" hidden="1" x14ac:dyDescent="0.3">
      <c r="B369" s="172" t="s">
        <v>22</v>
      </c>
      <c r="C369" s="172" t="s">
        <v>79</v>
      </c>
      <c r="D369" s="172" t="s">
        <v>218</v>
      </c>
      <c r="E369" s="172">
        <v>7.8306807832234703E-4</v>
      </c>
      <c r="F369" s="172">
        <v>14</v>
      </c>
      <c r="G369" s="172">
        <v>19</v>
      </c>
      <c r="H369" s="172">
        <v>19</v>
      </c>
      <c r="I369" s="172">
        <v>4</v>
      </c>
    </row>
    <row r="370" spans="2:9" hidden="1" x14ac:dyDescent="0.3">
      <c r="B370" s="172" t="s">
        <v>22</v>
      </c>
      <c r="C370" s="172" t="s">
        <v>79</v>
      </c>
      <c r="D370" s="172" t="s">
        <v>221</v>
      </c>
      <c r="E370" s="172">
        <v>3.2228968990673901E-4</v>
      </c>
      <c r="F370" s="172">
        <v>64</v>
      </c>
      <c r="G370" s="172">
        <v>0</v>
      </c>
      <c r="H370" s="172">
        <v>19</v>
      </c>
      <c r="I370" s="172">
        <v>4</v>
      </c>
    </row>
    <row r="371" spans="2:9" hidden="1" x14ac:dyDescent="0.3">
      <c r="B371" s="172" t="s">
        <v>22</v>
      </c>
      <c r="C371" s="172" t="s">
        <v>80</v>
      </c>
      <c r="D371" s="172" t="s">
        <v>218</v>
      </c>
      <c r="E371" s="172">
        <v>6.8857597580042297E-4</v>
      </c>
      <c r="F371" s="172">
        <v>14</v>
      </c>
      <c r="G371" s="172">
        <v>19</v>
      </c>
      <c r="H371" s="172">
        <v>19</v>
      </c>
      <c r="I371" s="172">
        <v>4</v>
      </c>
    </row>
    <row r="372" spans="2:9" hidden="1" x14ac:dyDescent="0.3">
      <c r="B372" s="172" t="s">
        <v>22</v>
      </c>
      <c r="C372" s="172" t="s">
        <v>80</v>
      </c>
      <c r="D372" s="172" t="s">
        <v>221</v>
      </c>
      <c r="E372" s="172">
        <v>2.13232073838133E-4</v>
      </c>
      <c r="F372" s="172">
        <v>64</v>
      </c>
      <c r="G372" s="172">
        <v>0</v>
      </c>
      <c r="H372" s="172">
        <v>19</v>
      </c>
      <c r="I372" s="172">
        <v>4</v>
      </c>
    </row>
    <row r="373" spans="2:9" hidden="1" x14ac:dyDescent="0.3">
      <c r="B373" s="172" t="s">
        <v>22</v>
      </c>
      <c r="C373" s="172" t="s">
        <v>81</v>
      </c>
      <c r="D373" s="172" t="s">
        <v>218</v>
      </c>
      <c r="E373" s="172">
        <v>2.46308068491903E-4</v>
      </c>
      <c r="F373" s="172">
        <v>14</v>
      </c>
      <c r="G373" s="172">
        <v>19</v>
      </c>
      <c r="H373" s="172">
        <v>19</v>
      </c>
      <c r="I373" s="172">
        <v>4</v>
      </c>
    </row>
    <row r="374" spans="2:9" x14ac:dyDescent="0.3">
      <c r="B374" s="172" t="s">
        <v>22</v>
      </c>
      <c r="C374" s="172" t="s">
        <v>81</v>
      </c>
      <c r="D374" s="172" t="s">
        <v>221</v>
      </c>
      <c r="E374" s="172">
        <v>8.0995253263015999E-4</v>
      </c>
      <c r="F374" s="172">
        <v>64</v>
      </c>
      <c r="G374" s="172">
        <v>0</v>
      </c>
      <c r="H374" s="172">
        <v>19</v>
      </c>
      <c r="I374" s="172">
        <v>4</v>
      </c>
    </row>
    <row r="375" spans="2:9" hidden="1" x14ac:dyDescent="0.3">
      <c r="B375" s="172" t="s">
        <v>22</v>
      </c>
      <c r="C375" s="172" t="s">
        <v>82</v>
      </c>
      <c r="D375" s="172" t="s">
        <v>218</v>
      </c>
      <c r="E375" s="172">
        <v>3.74854789906406E-4</v>
      </c>
      <c r="F375" s="172">
        <v>14</v>
      </c>
      <c r="G375" s="172">
        <v>19</v>
      </c>
      <c r="H375" s="172">
        <v>19</v>
      </c>
      <c r="I375" s="172">
        <v>4</v>
      </c>
    </row>
    <row r="376" spans="2:9" hidden="1" x14ac:dyDescent="0.3">
      <c r="B376" s="172" t="s">
        <v>22</v>
      </c>
      <c r="C376" s="172" t="s">
        <v>82</v>
      </c>
      <c r="D376" s="172" t="s">
        <v>221</v>
      </c>
      <c r="E376" s="172">
        <v>9.5830752713946504E-4</v>
      </c>
      <c r="F376" s="172">
        <v>64</v>
      </c>
      <c r="G376" s="172">
        <v>0</v>
      </c>
      <c r="H376" s="172">
        <v>19</v>
      </c>
      <c r="I376" s="172">
        <v>4</v>
      </c>
    </row>
    <row r="377" spans="2:9" hidden="1" x14ac:dyDescent="0.3">
      <c r="B377" s="172" t="s">
        <v>22</v>
      </c>
      <c r="C377" s="172" t="s">
        <v>246</v>
      </c>
      <c r="D377" s="172" t="s">
        <v>218</v>
      </c>
      <c r="E377" s="172">
        <v>3.8072303081378602E-5</v>
      </c>
      <c r="F377" s="172">
        <v>48</v>
      </c>
      <c r="G377" s="172">
        <v>24</v>
      </c>
      <c r="H377" s="172">
        <v>0</v>
      </c>
      <c r="I377" s="172">
        <v>4</v>
      </c>
    </row>
    <row r="378" spans="2:9" hidden="1" x14ac:dyDescent="0.3">
      <c r="B378" s="172" t="s">
        <v>22</v>
      </c>
      <c r="C378" s="172" t="s">
        <v>246</v>
      </c>
      <c r="D378" s="172" t="s">
        <v>221</v>
      </c>
      <c r="E378" s="172">
        <v>2.01301662155265E-5</v>
      </c>
      <c r="F378" s="172">
        <v>64</v>
      </c>
      <c r="G378" s="172">
        <v>0</v>
      </c>
      <c r="H378" s="172">
        <v>19</v>
      </c>
      <c r="I378" s="172">
        <v>4</v>
      </c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3.4456134750587998E-4</v>
      </c>
      <c r="F402" s="172">
        <v>42</v>
      </c>
      <c r="G402" s="172">
        <v>24</v>
      </c>
      <c r="H402" s="172">
        <v>4</v>
      </c>
      <c r="I402" s="172">
        <v>38.5</v>
      </c>
    </row>
    <row r="403" spans="2:9" hidden="1" x14ac:dyDescent="0.3">
      <c r="B403" s="172" t="s">
        <v>189</v>
      </c>
      <c r="C403" s="172" t="s">
        <v>79</v>
      </c>
      <c r="D403" s="172" t="s">
        <v>221</v>
      </c>
      <c r="E403" s="172">
        <v>1.3918715387265299E-4</v>
      </c>
      <c r="F403" s="172">
        <v>39</v>
      </c>
      <c r="G403" s="172">
        <v>19</v>
      </c>
      <c r="H403" s="172">
        <v>4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218</v>
      </c>
      <c r="E404" s="172">
        <v>3.6449823495054903E-4</v>
      </c>
      <c r="F404" s="172">
        <v>48</v>
      </c>
      <c r="G404" s="172">
        <v>24</v>
      </c>
      <c r="H404" s="172">
        <v>0</v>
      </c>
      <c r="I404" s="172">
        <v>38.5</v>
      </c>
    </row>
    <row r="405" spans="2:9" hidden="1" x14ac:dyDescent="0.3">
      <c r="B405" s="172" t="s">
        <v>189</v>
      </c>
      <c r="C405" s="172" t="s">
        <v>80</v>
      </c>
      <c r="D405" s="172" t="s">
        <v>221</v>
      </c>
      <c r="E405" s="172">
        <v>1.7926856728178999E-4</v>
      </c>
      <c r="F405" s="172">
        <v>48</v>
      </c>
      <c r="G405" s="172">
        <v>24</v>
      </c>
      <c r="H405" s="172">
        <v>0</v>
      </c>
      <c r="I405" s="172">
        <v>38.5</v>
      </c>
    </row>
    <row r="406" spans="2:9" hidden="1" x14ac:dyDescent="0.3">
      <c r="B406" s="172" t="s">
        <v>189</v>
      </c>
      <c r="C406" s="172" t="s">
        <v>81</v>
      </c>
      <c r="D406" s="172" t="s">
        <v>218</v>
      </c>
      <c r="E406" s="172">
        <v>1.6396290226494499E-4</v>
      </c>
      <c r="F406" s="172">
        <v>48</v>
      </c>
      <c r="G406" s="172">
        <v>24</v>
      </c>
      <c r="H406" s="172">
        <v>0</v>
      </c>
      <c r="I406" s="172">
        <v>38.5</v>
      </c>
    </row>
    <row r="407" spans="2:9" hidden="1" x14ac:dyDescent="0.3">
      <c r="B407" s="172" t="s">
        <v>189</v>
      </c>
      <c r="C407" s="172" t="s">
        <v>81</v>
      </c>
      <c r="D407" s="172" t="s">
        <v>221</v>
      </c>
      <c r="E407" s="172">
        <v>5.24836547262959E-4</v>
      </c>
      <c r="F407" s="172">
        <v>48</v>
      </c>
      <c r="G407" s="172">
        <v>24</v>
      </c>
      <c r="H407" s="172">
        <v>0</v>
      </c>
      <c r="I407" s="172">
        <v>38.5</v>
      </c>
    </row>
    <row r="408" spans="2:9" hidden="1" x14ac:dyDescent="0.3">
      <c r="B408" s="172" t="s">
        <v>189</v>
      </c>
      <c r="C408" s="172" t="s">
        <v>82</v>
      </c>
      <c r="D408" s="172" t="s">
        <v>218</v>
      </c>
      <c r="E408" s="172">
        <v>1.3007405759291301E-4</v>
      </c>
      <c r="F408" s="172">
        <v>48</v>
      </c>
      <c r="G408" s="172">
        <v>24</v>
      </c>
      <c r="H408" s="172">
        <v>0</v>
      </c>
      <c r="I408" s="172">
        <v>38.5</v>
      </c>
    </row>
    <row r="409" spans="2:9" x14ac:dyDescent="0.3">
      <c r="B409" s="172" t="s">
        <v>189</v>
      </c>
      <c r="C409" s="172" t="s">
        <v>82</v>
      </c>
      <c r="D409" s="172" t="s">
        <v>221</v>
      </c>
      <c r="E409" s="172">
        <v>4.60942794330633E-4</v>
      </c>
      <c r="F409" s="172">
        <v>48</v>
      </c>
      <c r="G409" s="172">
        <v>24</v>
      </c>
      <c r="H409" s="172">
        <v>0</v>
      </c>
      <c r="I409" s="172">
        <v>38.5</v>
      </c>
    </row>
    <row r="410" spans="2:9" hidden="1" x14ac:dyDescent="0.3">
      <c r="B410" s="172" t="s">
        <v>189</v>
      </c>
      <c r="C410" s="172" t="s">
        <v>246</v>
      </c>
      <c r="D410" s="172" t="s">
        <v>218</v>
      </c>
      <c r="E410" s="172">
        <v>2.4511829552858798E-5</v>
      </c>
      <c r="F410" s="172">
        <v>42</v>
      </c>
      <c r="G410" s="172">
        <v>24</v>
      </c>
      <c r="H410" s="172">
        <v>4</v>
      </c>
      <c r="I410" s="172">
        <v>38.5</v>
      </c>
    </row>
    <row r="411" spans="2:9" hidden="1" x14ac:dyDescent="0.3">
      <c r="B411" s="172" t="s">
        <v>189</v>
      </c>
      <c r="C411" s="172" t="s">
        <v>246</v>
      </c>
      <c r="D411" s="172" t="s">
        <v>221</v>
      </c>
      <c r="E411" s="172">
        <v>5.3327659888677799E-5</v>
      </c>
      <c r="F411" s="172">
        <v>76</v>
      </c>
      <c r="G411" s="172">
        <v>19</v>
      </c>
      <c r="H411" s="172">
        <v>0</v>
      </c>
      <c r="I411" s="172">
        <v>38.5</v>
      </c>
    </row>
    <row r="412" spans="2:9" hidden="1" x14ac:dyDescent="0.3">
      <c r="B412" s="172" t="s">
        <v>187</v>
      </c>
      <c r="C412" s="172" t="s">
        <v>79</v>
      </c>
      <c r="D412" s="172" t="s">
        <v>218</v>
      </c>
      <c r="E412" s="172">
        <v>2.88902105712214E-4</v>
      </c>
      <c r="F412" s="172">
        <v>48</v>
      </c>
      <c r="G412" s="172">
        <v>24</v>
      </c>
      <c r="H412" s="172">
        <v>0</v>
      </c>
      <c r="I412" s="172">
        <v>35.5</v>
      </c>
    </row>
    <row r="413" spans="2:9" hidden="1" x14ac:dyDescent="0.3">
      <c r="B413" s="172" t="s">
        <v>187</v>
      </c>
      <c r="C413" s="172" t="s">
        <v>79</v>
      </c>
      <c r="D413" s="172" t="s">
        <v>221</v>
      </c>
      <c r="E413" s="172">
        <v>1.26546448243042E-4</v>
      </c>
      <c r="F413" s="172">
        <v>48</v>
      </c>
      <c r="G413" s="172">
        <v>24</v>
      </c>
      <c r="H413" s="172">
        <v>0</v>
      </c>
      <c r="I413" s="172">
        <v>35.5</v>
      </c>
    </row>
    <row r="414" spans="2:9" hidden="1" x14ac:dyDescent="0.3">
      <c r="B414" s="172" t="s">
        <v>187</v>
      </c>
      <c r="C414" s="172" t="s">
        <v>80</v>
      </c>
      <c r="D414" s="172" t="s">
        <v>218</v>
      </c>
      <c r="E414" s="172">
        <v>3.17324025622901E-4</v>
      </c>
      <c r="F414" s="172">
        <v>48</v>
      </c>
      <c r="G414" s="172">
        <v>24</v>
      </c>
      <c r="H414" s="172">
        <v>0</v>
      </c>
      <c r="I414" s="172">
        <v>35.5</v>
      </c>
    </row>
    <row r="415" spans="2:9" hidden="1" x14ac:dyDescent="0.3">
      <c r="B415" s="172" t="s">
        <v>187</v>
      </c>
      <c r="C415" s="172" t="s">
        <v>80</v>
      </c>
      <c r="D415" s="172" t="s">
        <v>221</v>
      </c>
      <c r="E415" s="172">
        <v>1.72533165762267E-4</v>
      </c>
      <c r="F415" s="172">
        <v>48</v>
      </c>
      <c r="G415" s="172">
        <v>24</v>
      </c>
      <c r="H415" s="172">
        <v>0</v>
      </c>
      <c r="I415" s="172">
        <v>35.5</v>
      </c>
    </row>
    <row r="416" spans="2:9" hidden="1" x14ac:dyDescent="0.3">
      <c r="B416" s="172" t="s">
        <v>187</v>
      </c>
      <c r="C416" s="172" t="s">
        <v>81</v>
      </c>
      <c r="D416" s="172" t="s">
        <v>218</v>
      </c>
      <c r="E416" s="172">
        <v>1.51675526910752E-4</v>
      </c>
      <c r="F416" s="172">
        <v>48</v>
      </c>
      <c r="G416" s="172">
        <v>24</v>
      </c>
      <c r="H416" s="172">
        <v>0</v>
      </c>
      <c r="I416" s="172">
        <v>35.5</v>
      </c>
    </row>
    <row r="417" spans="2:9" hidden="1" x14ac:dyDescent="0.3">
      <c r="B417" s="172" t="s">
        <v>187</v>
      </c>
      <c r="C417" s="172" t="s">
        <v>81</v>
      </c>
      <c r="D417" s="172" t="s">
        <v>221</v>
      </c>
      <c r="E417" s="172">
        <v>4.7113942216257001E-4</v>
      </c>
      <c r="F417" s="172">
        <v>48</v>
      </c>
      <c r="G417" s="172">
        <v>24</v>
      </c>
      <c r="H417" s="172">
        <v>0</v>
      </c>
      <c r="I417" s="172">
        <v>35.5</v>
      </c>
    </row>
    <row r="418" spans="2:9" hidden="1" x14ac:dyDescent="0.3">
      <c r="B418" s="172" t="s">
        <v>187</v>
      </c>
      <c r="C418" s="172" t="s">
        <v>82</v>
      </c>
      <c r="D418" s="172" t="s">
        <v>218</v>
      </c>
      <c r="E418" s="172">
        <v>1.1172438197281901E-4</v>
      </c>
      <c r="F418" s="172">
        <v>48</v>
      </c>
      <c r="G418" s="172">
        <v>24</v>
      </c>
      <c r="H418" s="172">
        <v>0</v>
      </c>
      <c r="I418" s="172">
        <v>35.5</v>
      </c>
    </row>
    <row r="419" spans="2:9" x14ac:dyDescent="0.3">
      <c r="B419" s="172" t="s">
        <v>187</v>
      </c>
      <c r="C419" s="172" t="s">
        <v>82</v>
      </c>
      <c r="D419" s="172" t="s">
        <v>221</v>
      </c>
      <c r="E419" s="172">
        <v>4.0661445828416801E-4</v>
      </c>
      <c r="F419" s="172">
        <v>48</v>
      </c>
      <c r="G419" s="172">
        <v>24</v>
      </c>
      <c r="H419" s="172">
        <v>0</v>
      </c>
      <c r="I419" s="172">
        <v>35.5</v>
      </c>
    </row>
    <row r="420" spans="2:9" hidden="1" x14ac:dyDescent="0.3">
      <c r="B420" s="172" t="s">
        <v>187</v>
      </c>
      <c r="C420" s="172" t="s">
        <v>246</v>
      </c>
      <c r="D420" s="172" t="s">
        <v>218</v>
      </c>
      <c r="E420" s="172">
        <v>2.5538543176415699E-5</v>
      </c>
      <c r="F420" s="172">
        <v>19</v>
      </c>
      <c r="G420" s="172">
        <v>19.25</v>
      </c>
      <c r="H420" s="172">
        <v>19.25</v>
      </c>
      <c r="I420" s="172">
        <v>35.5</v>
      </c>
    </row>
    <row r="421" spans="2:9" hidden="1" x14ac:dyDescent="0.3">
      <c r="B421" s="172" t="s">
        <v>187</v>
      </c>
      <c r="C421" s="172" t="s">
        <v>246</v>
      </c>
      <c r="D421" s="172" t="s">
        <v>221</v>
      </c>
      <c r="E421" s="172">
        <v>4.2979062897234197E-5</v>
      </c>
      <c r="F421" s="172">
        <v>61</v>
      </c>
      <c r="G421" s="172">
        <v>0</v>
      </c>
      <c r="H421" s="172">
        <v>0</v>
      </c>
      <c r="I421" s="172">
        <v>35.5</v>
      </c>
    </row>
    <row r="422" spans="2:9" hidden="1" x14ac:dyDescent="0.3">
      <c r="B422" s="172" t="s">
        <v>185</v>
      </c>
      <c r="C422" s="172" t="s">
        <v>79</v>
      </c>
      <c r="D422" s="172" t="s">
        <v>218</v>
      </c>
      <c r="E422" s="172">
        <v>4.12394436964304E-4</v>
      </c>
      <c r="F422" s="172">
        <v>19</v>
      </c>
      <c r="G422" s="172">
        <v>19.25</v>
      </c>
      <c r="H422" s="172">
        <v>19.25</v>
      </c>
      <c r="I422" s="172">
        <v>32</v>
      </c>
    </row>
    <row r="423" spans="2:9" hidden="1" x14ac:dyDescent="0.3">
      <c r="B423" s="172" t="s">
        <v>185</v>
      </c>
      <c r="C423" s="172" t="s">
        <v>79</v>
      </c>
      <c r="D423" s="172" t="s">
        <v>221</v>
      </c>
      <c r="E423" s="172">
        <v>1.4854118923571599E-4</v>
      </c>
      <c r="F423" s="172">
        <v>64</v>
      </c>
      <c r="G423" s="172">
        <v>0</v>
      </c>
      <c r="H423" s="172">
        <v>19</v>
      </c>
      <c r="I423" s="172">
        <v>32</v>
      </c>
    </row>
    <row r="424" spans="2:9" hidden="1" x14ac:dyDescent="0.3">
      <c r="B424" s="172" t="s">
        <v>185</v>
      </c>
      <c r="C424" s="172" t="s">
        <v>80</v>
      </c>
      <c r="D424" s="172" t="s">
        <v>218</v>
      </c>
      <c r="E424" s="172">
        <v>4.4262883131223501E-4</v>
      </c>
      <c r="F424" s="172">
        <v>48</v>
      </c>
      <c r="G424" s="172">
        <v>24</v>
      </c>
      <c r="H424" s="172">
        <v>0</v>
      </c>
      <c r="I424" s="172">
        <v>32</v>
      </c>
    </row>
    <row r="425" spans="2:9" hidden="1" x14ac:dyDescent="0.3">
      <c r="B425" s="172" t="s">
        <v>185</v>
      </c>
      <c r="C425" s="172" t="s">
        <v>80</v>
      </c>
      <c r="D425" s="172" t="s">
        <v>221</v>
      </c>
      <c r="E425" s="172">
        <v>1.9915089456424499E-4</v>
      </c>
      <c r="F425" s="172">
        <v>48</v>
      </c>
      <c r="G425" s="172">
        <v>24</v>
      </c>
      <c r="H425" s="172">
        <v>0</v>
      </c>
      <c r="I425" s="172">
        <v>32</v>
      </c>
    </row>
    <row r="426" spans="2:9" hidden="1" x14ac:dyDescent="0.3">
      <c r="B426" s="172" t="s">
        <v>185</v>
      </c>
      <c r="C426" s="172" t="s">
        <v>81</v>
      </c>
      <c r="D426" s="172" t="s">
        <v>218</v>
      </c>
      <c r="E426" s="172">
        <v>1.73811470402106E-4</v>
      </c>
      <c r="F426" s="172">
        <v>48</v>
      </c>
      <c r="G426" s="172">
        <v>24</v>
      </c>
      <c r="H426" s="172">
        <v>0</v>
      </c>
      <c r="I426" s="172">
        <v>32</v>
      </c>
    </row>
    <row r="427" spans="2:9" hidden="1" x14ac:dyDescent="0.3">
      <c r="B427" s="172" t="s">
        <v>185</v>
      </c>
      <c r="C427" s="172" t="s">
        <v>81</v>
      </c>
      <c r="D427" s="172" t="s">
        <v>221</v>
      </c>
      <c r="E427" s="172">
        <v>6.1604469035393802E-4</v>
      </c>
      <c r="F427" s="172">
        <v>48</v>
      </c>
      <c r="G427" s="172">
        <v>24</v>
      </c>
      <c r="H427" s="172">
        <v>0</v>
      </c>
      <c r="I427" s="172">
        <v>32</v>
      </c>
    </row>
    <row r="428" spans="2:9" hidden="1" x14ac:dyDescent="0.3">
      <c r="B428" s="172" t="s">
        <v>185</v>
      </c>
      <c r="C428" s="172" t="s">
        <v>82</v>
      </c>
      <c r="D428" s="172" t="s">
        <v>218</v>
      </c>
      <c r="E428" s="172">
        <v>1.2920777300399401E-4</v>
      </c>
      <c r="F428" s="172">
        <v>19</v>
      </c>
      <c r="G428" s="172">
        <v>19.25</v>
      </c>
      <c r="H428" s="172">
        <v>19.25</v>
      </c>
      <c r="I428" s="172">
        <v>32</v>
      </c>
    </row>
    <row r="429" spans="2:9" x14ac:dyDescent="0.3">
      <c r="B429" s="172" t="s">
        <v>185</v>
      </c>
      <c r="C429" s="172" t="s">
        <v>82</v>
      </c>
      <c r="D429" s="172" t="s">
        <v>221</v>
      </c>
      <c r="E429" s="172">
        <v>5.4243989725581904E-4</v>
      </c>
      <c r="F429" s="172">
        <v>64</v>
      </c>
      <c r="G429" s="172">
        <v>0</v>
      </c>
      <c r="H429" s="172">
        <v>19</v>
      </c>
      <c r="I429" s="172">
        <v>32</v>
      </c>
    </row>
    <row r="430" spans="2:9" hidden="1" x14ac:dyDescent="0.3">
      <c r="B430" s="172" t="s">
        <v>185</v>
      </c>
      <c r="C430" s="172" t="s">
        <v>246</v>
      </c>
      <c r="D430" s="172" t="s">
        <v>218</v>
      </c>
      <c r="E430" s="172">
        <v>2.7402314363015599E-5</v>
      </c>
      <c r="F430" s="172">
        <v>19</v>
      </c>
      <c r="G430" s="172">
        <v>19.25</v>
      </c>
      <c r="H430" s="172">
        <v>19.25</v>
      </c>
      <c r="I430" s="172">
        <v>32</v>
      </c>
    </row>
    <row r="431" spans="2:9" hidden="1" x14ac:dyDescent="0.3">
      <c r="B431" s="172" t="s">
        <v>185</v>
      </c>
      <c r="C431" s="172" t="s">
        <v>246</v>
      </c>
      <c r="D431" s="172" t="s">
        <v>221</v>
      </c>
      <c r="E431" s="172">
        <v>4.2155640883479199E-5</v>
      </c>
      <c r="F431" s="172">
        <v>64</v>
      </c>
      <c r="G431" s="172">
        <v>0</v>
      </c>
      <c r="H431" s="172">
        <v>19</v>
      </c>
      <c r="I431" s="172">
        <v>32</v>
      </c>
    </row>
    <row r="432" spans="2:9" hidden="1" x14ac:dyDescent="0.3">
      <c r="B432" s="172" t="s">
        <v>183</v>
      </c>
      <c r="C432" s="172" t="s">
        <v>79</v>
      </c>
      <c r="D432" s="172" t="s">
        <v>218</v>
      </c>
      <c r="E432" s="172">
        <v>5.6575876593640705E-4</v>
      </c>
      <c r="F432" s="172">
        <v>19</v>
      </c>
      <c r="G432" s="172">
        <v>19.25</v>
      </c>
      <c r="H432" s="172">
        <v>19.25</v>
      </c>
      <c r="I432" s="172">
        <v>28.5</v>
      </c>
    </row>
    <row r="433" spans="2:9" hidden="1" x14ac:dyDescent="0.3">
      <c r="B433" s="172" t="s">
        <v>183</v>
      </c>
      <c r="C433" s="172" t="s">
        <v>79</v>
      </c>
      <c r="D433" s="172" t="s">
        <v>221</v>
      </c>
      <c r="E433" s="172">
        <v>2.2080797991309701E-4</v>
      </c>
      <c r="F433" s="172">
        <v>64</v>
      </c>
      <c r="G433" s="172">
        <v>0</v>
      </c>
      <c r="H433" s="172">
        <v>19</v>
      </c>
      <c r="I433" s="172">
        <v>28.5</v>
      </c>
    </row>
    <row r="434" spans="2:9" hidden="1" x14ac:dyDescent="0.3">
      <c r="B434" s="172" t="s">
        <v>183</v>
      </c>
      <c r="C434" s="172" t="s">
        <v>80</v>
      </c>
      <c r="D434" s="172" t="s">
        <v>218</v>
      </c>
      <c r="E434" s="172">
        <v>5.5028726640490497E-4</v>
      </c>
      <c r="F434" s="172">
        <v>48</v>
      </c>
      <c r="G434" s="172">
        <v>24</v>
      </c>
      <c r="H434" s="172">
        <v>0</v>
      </c>
      <c r="I434" s="172">
        <v>28.5</v>
      </c>
    </row>
    <row r="435" spans="2:9" hidden="1" x14ac:dyDescent="0.3">
      <c r="B435" s="172" t="s">
        <v>183</v>
      </c>
      <c r="C435" s="172" t="s">
        <v>80</v>
      </c>
      <c r="D435" s="172" t="s">
        <v>221</v>
      </c>
      <c r="E435" s="172">
        <v>2.1624712200753001E-4</v>
      </c>
      <c r="F435" s="172">
        <v>48</v>
      </c>
      <c r="G435" s="172">
        <v>24</v>
      </c>
      <c r="H435" s="172">
        <v>0</v>
      </c>
      <c r="I435" s="172">
        <v>28.5</v>
      </c>
    </row>
    <row r="436" spans="2:9" hidden="1" x14ac:dyDescent="0.3">
      <c r="B436" s="172" t="s">
        <v>183</v>
      </c>
      <c r="C436" s="172" t="s">
        <v>81</v>
      </c>
      <c r="D436" s="172" t="s">
        <v>218</v>
      </c>
      <c r="E436" s="172">
        <v>1.8830136298261799E-4</v>
      </c>
      <c r="F436" s="172">
        <v>48</v>
      </c>
      <c r="G436" s="172">
        <v>24</v>
      </c>
      <c r="H436" s="172">
        <v>0</v>
      </c>
      <c r="I436" s="172">
        <v>28.5</v>
      </c>
    </row>
    <row r="437" spans="2:9" hidden="1" x14ac:dyDescent="0.3">
      <c r="B437" s="172" t="s">
        <v>183</v>
      </c>
      <c r="C437" s="172" t="s">
        <v>81</v>
      </c>
      <c r="D437" s="172" t="s">
        <v>221</v>
      </c>
      <c r="E437" s="172">
        <v>7.3763907683364503E-4</v>
      </c>
      <c r="F437" s="172">
        <v>48</v>
      </c>
      <c r="G437" s="172">
        <v>24</v>
      </c>
      <c r="H437" s="172">
        <v>0</v>
      </c>
      <c r="I437" s="172">
        <v>28.5</v>
      </c>
    </row>
    <row r="438" spans="2:9" hidden="1" x14ac:dyDescent="0.3">
      <c r="B438" s="172" t="s">
        <v>183</v>
      </c>
      <c r="C438" s="172" t="s">
        <v>82</v>
      </c>
      <c r="D438" s="172" t="s">
        <v>218</v>
      </c>
      <c r="E438" s="172">
        <v>2.1042846340135499E-4</v>
      </c>
      <c r="F438" s="172">
        <v>19</v>
      </c>
      <c r="G438" s="172">
        <v>19.25</v>
      </c>
      <c r="H438" s="172">
        <v>19.25</v>
      </c>
      <c r="I438" s="172">
        <v>28.5</v>
      </c>
    </row>
    <row r="439" spans="2:9" x14ac:dyDescent="0.3">
      <c r="B439" s="172" t="s">
        <v>183</v>
      </c>
      <c r="C439" s="172" t="s">
        <v>82</v>
      </c>
      <c r="D439" s="172" t="s">
        <v>221</v>
      </c>
      <c r="E439" s="172">
        <v>7.4480383917813805E-4</v>
      </c>
      <c r="F439" s="172">
        <v>64</v>
      </c>
      <c r="G439" s="172">
        <v>0</v>
      </c>
      <c r="H439" s="172">
        <v>19</v>
      </c>
      <c r="I439" s="172">
        <v>28.5</v>
      </c>
    </row>
    <row r="440" spans="2:9" hidden="1" x14ac:dyDescent="0.3">
      <c r="B440" s="172" t="s">
        <v>183</v>
      </c>
      <c r="C440" s="172" t="s">
        <v>246</v>
      </c>
      <c r="D440" s="172" t="s">
        <v>218</v>
      </c>
      <c r="E440" s="172">
        <v>2.5192690158737399E-5</v>
      </c>
      <c r="F440" s="172">
        <v>19</v>
      </c>
      <c r="G440" s="172">
        <v>19.25</v>
      </c>
      <c r="H440" s="172">
        <v>19.25</v>
      </c>
      <c r="I440" s="172">
        <v>28.5</v>
      </c>
    </row>
    <row r="441" spans="2:9" hidden="1" x14ac:dyDescent="0.3">
      <c r="B441" s="172" t="s">
        <v>183</v>
      </c>
      <c r="C441" s="172" t="s">
        <v>246</v>
      </c>
      <c r="D441" s="172" t="s">
        <v>221</v>
      </c>
      <c r="E441" s="172">
        <v>4.0284852744595398E-5</v>
      </c>
      <c r="F441" s="172">
        <v>64</v>
      </c>
      <c r="G441" s="172">
        <v>0</v>
      </c>
      <c r="H441" s="172">
        <v>19</v>
      </c>
      <c r="I441" s="172">
        <v>28.5</v>
      </c>
    </row>
    <row r="442" spans="2:9" hidden="1" x14ac:dyDescent="0.3">
      <c r="B442" s="172" t="s">
        <v>181</v>
      </c>
      <c r="C442" s="172" t="s">
        <v>79</v>
      </c>
      <c r="D442" s="172" t="s">
        <v>218</v>
      </c>
      <c r="E442" s="172">
        <v>6.9679575649527403E-4</v>
      </c>
      <c r="F442" s="172">
        <v>19</v>
      </c>
      <c r="G442" s="172">
        <v>19.25</v>
      </c>
      <c r="H442" s="172">
        <v>19.25</v>
      </c>
      <c r="I442" s="172">
        <v>25</v>
      </c>
    </row>
    <row r="443" spans="2:9" hidden="1" x14ac:dyDescent="0.3">
      <c r="B443" s="172" t="s">
        <v>181</v>
      </c>
      <c r="C443" s="172" t="s">
        <v>79</v>
      </c>
      <c r="D443" s="172" t="s">
        <v>221</v>
      </c>
      <c r="E443" s="172">
        <v>2.8328083880974699E-4</v>
      </c>
      <c r="F443" s="172">
        <v>64</v>
      </c>
      <c r="G443" s="172">
        <v>0</v>
      </c>
      <c r="H443" s="172">
        <v>19</v>
      </c>
      <c r="I443" s="172">
        <v>25</v>
      </c>
    </row>
    <row r="444" spans="2:9" hidden="1" x14ac:dyDescent="0.3">
      <c r="B444" s="172" t="s">
        <v>181</v>
      </c>
      <c r="C444" s="172" t="s">
        <v>80</v>
      </c>
      <c r="D444" s="172" t="s">
        <v>218</v>
      </c>
      <c r="E444" s="172">
        <v>6.4015562798291903E-4</v>
      </c>
      <c r="F444" s="172">
        <v>48</v>
      </c>
      <c r="G444" s="172">
        <v>24</v>
      </c>
      <c r="H444" s="172">
        <v>0</v>
      </c>
      <c r="I444" s="172">
        <v>25</v>
      </c>
    </row>
    <row r="445" spans="2:9" hidden="1" x14ac:dyDescent="0.3">
      <c r="B445" s="172" t="s">
        <v>181</v>
      </c>
      <c r="C445" s="172" t="s">
        <v>80</v>
      </c>
      <c r="D445" s="172" t="s">
        <v>221</v>
      </c>
      <c r="E445" s="172">
        <v>2.2880548575570601E-4</v>
      </c>
      <c r="F445" s="172">
        <v>48</v>
      </c>
      <c r="G445" s="172">
        <v>24</v>
      </c>
      <c r="H445" s="172">
        <v>0</v>
      </c>
      <c r="I445" s="172">
        <v>25</v>
      </c>
    </row>
    <row r="446" spans="2:9" hidden="1" x14ac:dyDescent="0.3">
      <c r="B446" s="172" t="s">
        <v>181</v>
      </c>
      <c r="C446" s="172" t="s">
        <v>81</v>
      </c>
      <c r="D446" s="172" t="s">
        <v>218</v>
      </c>
      <c r="E446" s="172">
        <v>1.98724785091687E-4</v>
      </c>
      <c r="F446" s="172">
        <v>48</v>
      </c>
      <c r="G446" s="172">
        <v>24</v>
      </c>
      <c r="H446" s="172">
        <v>0</v>
      </c>
      <c r="I446" s="172">
        <v>25</v>
      </c>
    </row>
    <row r="447" spans="2:9" hidden="1" x14ac:dyDescent="0.3">
      <c r="B447" s="172" t="s">
        <v>181</v>
      </c>
      <c r="C447" s="172" t="s">
        <v>81</v>
      </c>
      <c r="D447" s="172" t="s">
        <v>221</v>
      </c>
      <c r="E447" s="172">
        <v>8.35965555135164E-4</v>
      </c>
      <c r="F447" s="172">
        <v>48</v>
      </c>
      <c r="G447" s="172">
        <v>24</v>
      </c>
      <c r="H447" s="172">
        <v>0</v>
      </c>
      <c r="I447" s="172">
        <v>25</v>
      </c>
    </row>
    <row r="448" spans="2:9" hidden="1" x14ac:dyDescent="0.3">
      <c r="B448" s="172" t="s">
        <v>181</v>
      </c>
      <c r="C448" s="172" t="s">
        <v>82</v>
      </c>
      <c r="D448" s="172" t="s">
        <v>218</v>
      </c>
      <c r="E448" s="172">
        <v>2.80337580326394E-4</v>
      </c>
      <c r="F448" s="172">
        <v>19</v>
      </c>
      <c r="G448" s="172">
        <v>19.25</v>
      </c>
      <c r="H448" s="172">
        <v>19.25</v>
      </c>
      <c r="I448" s="172">
        <v>25</v>
      </c>
    </row>
    <row r="449" spans="2:9" x14ac:dyDescent="0.3">
      <c r="B449" s="172" t="s">
        <v>181</v>
      </c>
      <c r="C449" s="172" t="s">
        <v>82</v>
      </c>
      <c r="D449" s="172" t="s">
        <v>221</v>
      </c>
      <c r="E449" s="172">
        <v>9.1547654042222696E-4</v>
      </c>
      <c r="F449" s="172">
        <v>64</v>
      </c>
      <c r="G449" s="172">
        <v>0</v>
      </c>
      <c r="H449" s="172">
        <v>19</v>
      </c>
      <c r="I449" s="172">
        <v>25</v>
      </c>
    </row>
    <row r="450" spans="2:9" hidden="1" x14ac:dyDescent="0.3">
      <c r="B450" s="172" t="s">
        <v>181</v>
      </c>
      <c r="C450" s="172" t="s">
        <v>246</v>
      </c>
      <c r="D450" s="172" t="s">
        <v>218</v>
      </c>
      <c r="E450" s="172">
        <v>2.2411812789606401E-5</v>
      </c>
      <c r="F450" s="172">
        <v>19</v>
      </c>
      <c r="G450" s="172">
        <v>19.25</v>
      </c>
      <c r="H450" s="172">
        <v>19.25</v>
      </c>
      <c r="I450" s="172">
        <v>25</v>
      </c>
    </row>
    <row r="451" spans="2:9" hidden="1" x14ac:dyDescent="0.3">
      <c r="B451" s="172" t="s">
        <v>181</v>
      </c>
      <c r="C451" s="172" t="s">
        <v>246</v>
      </c>
      <c r="D451" s="172" t="s">
        <v>221</v>
      </c>
      <c r="E451" s="172">
        <v>3.7956863612630302E-5</v>
      </c>
      <c r="F451" s="172">
        <v>64</v>
      </c>
      <c r="G451" s="172">
        <v>0</v>
      </c>
      <c r="H451" s="172">
        <v>19</v>
      </c>
      <c r="I451" s="172">
        <v>25</v>
      </c>
    </row>
    <row r="452" spans="2:9" hidden="1" x14ac:dyDescent="0.3">
      <c r="B452" s="172" t="s">
        <v>179</v>
      </c>
      <c r="C452" s="172" t="s">
        <v>79</v>
      </c>
      <c r="D452" s="172" t="s">
        <v>218</v>
      </c>
      <c r="E452" s="172">
        <v>8.0716033783490601E-4</v>
      </c>
      <c r="F452" s="172">
        <v>19</v>
      </c>
      <c r="G452" s="172">
        <v>19.25</v>
      </c>
      <c r="H452" s="172">
        <v>19.25</v>
      </c>
      <c r="I452" s="172">
        <v>21.5</v>
      </c>
    </row>
    <row r="453" spans="2:9" hidden="1" x14ac:dyDescent="0.3">
      <c r="B453" s="172" t="s">
        <v>179</v>
      </c>
      <c r="C453" s="172" t="s">
        <v>79</v>
      </c>
      <c r="D453" s="172" t="s">
        <v>221</v>
      </c>
      <c r="E453" s="172">
        <v>3.3751115314814399E-4</v>
      </c>
      <c r="F453" s="172">
        <v>64</v>
      </c>
      <c r="G453" s="172">
        <v>0</v>
      </c>
      <c r="H453" s="172">
        <v>19</v>
      </c>
      <c r="I453" s="172">
        <v>21.5</v>
      </c>
    </row>
    <row r="454" spans="2:9" hidden="1" x14ac:dyDescent="0.3">
      <c r="B454" s="172" t="s">
        <v>179</v>
      </c>
      <c r="C454" s="172" t="s">
        <v>80</v>
      </c>
      <c r="D454" s="172" t="s">
        <v>218</v>
      </c>
      <c r="E454" s="172">
        <v>7.1195704296669199E-4</v>
      </c>
      <c r="F454" s="172">
        <v>48</v>
      </c>
      <c r="G454" s="172">
        <v>24</v>
      </c>
      <c r="H454" s="172">
        <v>0</v>
      </c>
      <c r="I454" s="172">
        <v>21.5</v>
      </c>
    </row>
    <row r="455" spans="2:9" hidden="1" x14ac:dyDescent="0.3">
      <c r="B455" s="172" t="s">
        <v>179</v>
      </c>
      <c r="C455" s="172" t="s">
        <v>80</v>
      </c>
      <c r="D455" s="172" t="s">
        <v>221</v>
      </c>
      <c r="E455" s="172">
        <v>2.35949578658247E-4</v>
      </c>
      <c r="F455" s="172">
        <v>48</v>
      </c>
      <c r="G455" s="172">
        <v>24</v>
      </c>
      <c r="H455" s="172">
        <v>0</v>
      </c>
      <c r="I455" s="172">
        <v>21.5</v>
      </c>
    </row>
    <row r="456" spans="2:9" hidden="1" x14ac:dyDescent="0.3">
      <c r="B456" s="172" t="s">
        <v>179</v>
      </c>
      <c r="C456" s="172" t="s">
        <v>81</v>
      </c>
      <c r="D456" s="172" t="s">
        <v>218</v>
      </c>
      <c r="E456" s="172">
        <v>2.08274520370344E-4</v>
      </c>
      <c r="F456" s="172">
        <v>19</v>
      </c>
      <c r="G456" s="172">
        <v>19.25</v>
      </c>
      <c r="H456" s="172">
        <v>19.25</v>
      </c>
      <c r="I456" s="172">
        <v>21.5</v>
      </c>
    </row>
    <row r="457" spans="2:9" hidden="1" x14ac:dyDescent="0.3">
      <c r="B457" s="172" t="s">
        <v>179</v>
      </c>
      <c r="C457" s="172" t="s">
        <v>81</v>
      </c>
      <c r="D457" s="172" t="s">
        <v>221</v>
      </c>
      <c r="E457" s="172">
        <v>9.1580862514034395E-4</v>
      </c>
      <c r="F457" s="172">
        <v>64</v>
      </c>
      <c r="G457" s="172">
        <v>0</v>
      </c>
      <c r="H457" s="172">
        <v>19</v>
      </c>
      <c r="I457" s="172">
        <v>21.5</v>
      </c>
    </row>
    <row r="458" spans="2:9" hidden="1" x14ac:dyDescent="0.3">
      <c r="B458" s="172" t="s">
        <v>179</v>
      </c>
      <c r="C458" s="172" t="s">
        <v>82</v>
      </c>
      <c r="D458" s="172" t="s">
        <v>218</v>
      </c>
      <c r="E458" s="172">
        <v>3.41444794158286E-4</v>
      </c>
      <c r="F458" s="172">
        <v>19</v>
      </c>
      <c r="G458" s="172">
        <v>19.25</v>
      </c>
      <c r="H458" s="172">
        <v>19.25</v>
      </c>
      <c r="I458" s="172">
        <v>21.5</v>
      </c>
    </row>
    <row r="459" spans="2:9" x14ac:dyDescent="0.3">
      <c r="B459" s="172" t="s">
        <v>179</v>
      </c>
      <c r="C459" s="172" t="s">
        <v>82</v>
      </c>
      <c r="D459" s="172" t="s">
        <v>221</v>
      </c>
      <c r="E459" s="172">
        <v>1.05836880699987E-3</v>
      </c>
      <c r="F459" s="172">
        <v>64</v>
      </c>
      <c r="G459" s="172">
        <v>0</v>
      </c>
      <c r="H459" s="172">
        <v>19</v>
      </c>
      <c r="I459" s="172">
        <v>21.5</v>
      </c>
    </row>
    <row r="460" spans="2:9" hidden="1" x14ac:dyDescent="0.3">
      <c r="B460" s="172" t="s">
        <v>179</v>
      </c>
      <c r="C460" s="172" t="s">
        <v>246</v>
      </c>
      <c r="D460" s="172" t="s">
        <v>218</v>
      </c>
      <c r="E460" s="172">
        <v>1.8668183907497698E-5</v>
      </c>
      <c r="F460" s="172">
        <v>19</v>
      </c>
      <c r="G460" s="172">
        <v>19.25</v>
      </c>
      <c r="H460" s="172">
        <v>19.25</v>
      </c>
      <c r="I460" s="172">
        <v>21.5</v>
      </c>
    </row>
    <row r="461" spans="2:9" hidden="1" x14ac:dyDescent="0.3">
      <c r="B461" s="172" t="s">
        <v>179</v>
      </c>
      <c r="C461" s="172" t="s">
        <v>246</v>
      </c>
      <c r="D461" s="172" t="s">
        <v>221</v>
      </c>
      <c r="E461" s="172">
        <v>3.51776409242089E-5</v>
      </c>
      <c r="F461" s="172">
        <v>64</v>
      </c>
      <c r="G461" s="172">
        <v>0</v>
      </c>
      <c r="H461" s="172">
        <v>19</v>
      </c>
      <c r="I461" s="172">
        <v>21.5</v>
      </c>
    </row>
    <row r="462" spans="2:9" hidden="1" x14ac:dyDescent="0.3">
      <c r="B462" s="172" t="s">
        <v>39</v>
      </c>
      <c r="C462" s="172" t="s">
        <v>79</v>
      </c>
      <c r="D462" s="172" t="s">
        <v>218</v>
      </c>
      <c r="E462" s="172">
        <v>8.9824072285145395E-4</v>
      </c>
      <c r="F462" s="172">
        <v>19</v>
      </c>
      <c r="G462" s="172">
        <v>19.25</v>
      </c>
      <c r="H462" s="172">
        <v>19.25</v>
      </c>
      <c r="I462" s="172">
        <v>18</v>
      </c>
    </row>
    <row r="463" spans="2:9" hidden="1" x14ac:dyDescent="0.3">
      <c r="B463" s="172" t="s">
        <v>39</v>
      </c>
      <c r="C463" s="172" t="s">
        <v>79</v>
      </c>
      <c r="D463" s="172" t="s">
        <v>221</v>
      </c>
      <c r="E463" s="172">
        <v>3.8821158426112501E-4</v>
      </c>
      <c r="F463" s="172">
        <v>64</v>
      </c>
      <c r="G463" s="172">
        <v>0</v>
      </c>
      <c r="H463" s="172">
        <v>19</v>
      </c>
      <c r="I463" s="172">
        <v>18</v>
      </c>
    </row>
    <row r="464" spans="2:9" hidden="1" x14ac:dyDescent="0.3">
      <c r="B464" s="172" t="s">
        <v>39</v>
      </c>
      <c r="C464" s="172" t="s">
        <v>80</v>
      </c>
      <c r="D464" s="172" t="s">
        <v>218</v>
      </c>
      <c r="E464" s="172">
        <v>7.9029148975945504E-4</v>
      </c>
      <c r="F464" s="172">
        <v>19</v>
      </c>
      <c r="G464" s="172">
        <v>19.25</v>
      </c>
      <c r="H464" s="172">
        <v>19.25</v>
      </c>
      <c r="I464" s="172">
        <v>18</v>
      </c>
    </row>
    <row r="465" spans="2:9" hidden="1" x14ac:dyDescent="0.3">
      <c r="B465" s="172" t="s">
        <v>39</v>
      </c>
      <c r="C465" s="172" t="s">
        <v>80</v>
      </c>
      <c r="D465" s="172" t="s">
        <v>221</v>
      </c>
      <c r="E465" s="172">
        <v>2.7134033682287597E-4</v>
      </c>
      <c r="F465" s="172">
        <v>64</v>
      </c>
      <c r="G465" s="172">
        <v>0</v>
      </c>
      <c r="H465" s="172">
        <v>19</v>
      </c>
      <c r="I465" s="172">
        <v>18</v>
      </c>
    </row>
    <row r="466" spans="2:9" hidden="1" x14ac:dyDescent="0.3">
      <c r="B466" s="172" t="s">
        <v>39</v>
      </c>
      <c r="C466" s="172" t="s">
        <v>81</v>
      </c>
      <c r="D466" s="172" t="s">
        <v>218</v>
      </c>
      <c r="E466" s="172">
        <v>2.5147710535895702E-4</v>
      </c>
      <c r="F466" s="172">
        <v>19</v>
      </c>
      <c r="G466" s="172">
        <v>19.25</v>
      </c>
      <c r="H466" s="172">
        <v>19.25</v>
      </c>
      <c r="I466" s="172">
        <v>18</v>
      </c>
    </row>
    <row r="467" spans="2:9" hidden="1" x14ac:dyDescent="0.3">
      <c r="B467" s="172" t="s">
        <v>39</v>
      </c>
      <c r="C467" s="172" t="s">
        <v>81</v>
      </c>
      <c r="D467" s="172" t="s">
        <v>221</v>
      </c>
      <c r="E467" s="172">
        <v>1.02027742381681E-3</v>
      </c>
      <c r="F467" s="172">
        <v>64</v>
      </c>
      <c r="G467" s="172">
        <v>0</v>
      </c>
      <c r="H467" s="172">
        <v>19</v>
      </c>
      <c r="I467" s="172">
        <v>18</v>
      </c>
    </row>
    <row r="468" spans="2:9" hidden="1" x14ac:dyDescent="0.3">
      <c r="B468" s="172" t="s">
        <v>39</v>
      </c>
      <c r="C468" s="172" t="s">
        <v>82</v>
      </c>
      <c r="D468" s="172" t="s">
        <v>218</v>
      </c>
      <c r="E468" s="172">
        <v>3.9839315814357601E-4</v>
      </c>
      <c r="F468" s="172">
        <v>19</v>
      </c>
      <c r="G468" s="172">
        <v>19.25</v>
      </c>
      <c r="H468" s="172">
        <v>19.25</v>
      </c>
      <c r="I468" s="172">
        <v>18</v>
      </c>
    </row>
    <row r="469" spans="2:9" x14ac:dyDescent="0.3">
      <c r="B469" s="172" t="s">
        <v>39</v>
      </c>
      <c r="C469" s="172" t="s">
        <v>82</v>
      </c>
      <c r="D469" s="172" t="s">
        <v>221</v>
      </c>
      <c r="E469" s="172">
        <v>1.17928162152612E-3</v>
      </c>
      <c r="F469" s="172">
        <v>64</v>
      </c>
      <c r="G469" s="172">
        <v>0</v>
      </c>
      <c r="H469" s="172">
        <v>19</v>
      </c>
      <c r="I469" s="172">
        <v>18</v>
      </c>
    </row>
    <row r="470" spans="2:9" hidden="1" x14ac:dyDescent="0.3">
      <c r="B470" s="172" t="s">
        <v>39</v>
      </c>
      <c r="C470" s="172" t="s">
        <v>246</v>
      </c>
      <c r="D470" s="172" t="s">
        <v>221</v>
      </c>
      <c r="E470" s="172">
        <v>3.2648843437014102E-5</v>
      </c>
      <c r="F470" s="172">
        <v>64</v>
      </c>
      <c r="G470" s="172">
        <v>0</v>
      </c>
      <c r="H470" s="172">
        <v>19</v>
      </c>
      <c r="I470" s="172">
        <v>18</v>
      </c>
    </row>
    <row r="471" spans="2:9" hidden="1" x14ac:dyDescent="0.3">
      <c r="B471" s="172" t="s">
        <v>26</v>
      </c>
      <c r="C471" s="172" t="s">
        <v>79</v>
      </c>
      <c r="D471" s="172" t="s">
        <v>218</v>
      </c>
      <c r="E471" s="172">
        <v>9.7160216531185395E-4</v>
      </c>
      <c r="F471" s="172">
        <v>19</v>
      </c>
      <c r="G471" s="172">
        <v>19.25</v>
      </c>
      <c r="H471" s="172">
        <v>19.25</v>
      </c>
      <c r="I471" s="172">
        <v>14.5</v>
      </c>
    </row>
    <row r="472" spans="2:9" hidden="1" x14ac:dyDescent="0.3">
      <c r="B472" s="172" t="s">
        <v>26</v>
      </c>
      <c r="C472" s="172" t="s">
        <v>79</v>
      </c>
      <c r="D472" s="172" t="s">
        <v>221</v>
      </c>
      <c r="E472" s="172">
        <v>4.3332636198400401E-4</v>
      </c>
      <c r="F472" s="172">
        <v>64</v>
      </c>
      <c r="G472" s="172">
        <v>0</v>
      </c>
      <c r="H472" s="172">
        <v>19</v>
      </c>
      <c r="I472" s="172">
        <v>14.5</v>
      </c>
    </row>
    <row r="473" spans="2:9" hidden="1" x14ac:dyDescent="0.3">
      <c r="B473" s="172" t="s">
        <v>26</v>
      </c>
      <c r="C473" s="172" t="s">
        <v>80</v>
      </c>
      <c r="D473" s="172" t="s">
        <v>218</v>
      </c>
      <c r="E473" s="172">
        <v>8.5518593709007498E-4</v>
      </c>
      <c r="F473" s="172">
        <v>19</v>
      </c>
      <c r="G473" s="172">
        <v>19.25</v>
      </c>
      <c r="H473" s="172">
        <v>19.25</v>
      </c>
      <c r="I473" s="172">
        <v>14.5</v>
      </c>
    </row>
    <row r="474" spans="2:9" hidden="1" x14ac:dyDescent="0.3">
      <c r="B474" s="172" t="s">
        <v>26</v>
      </c>
      <c r="C474" s="172" t="s">
        <v>80</v>
      </c>
      <c r="D474" s="172" t="s">
        <v>221</v>
      </c>
      <c r="E474" s="172">
        <v>3.0610649150736102E-4</v>
      </c>
      <c r="F474" s="172">
        <v>64</v>
      </c>
      <c r="G474" s="172">
        <v>0</v>
      </c>
      <c r="H474" s="172">
        <v>19</v>
      </c>
      <c r="I474" s="172">
        <v>14.5</v>
      </c>
    </row>
    <row r="475" spans="2:9" hidden="1" x14ac:dyDescent="0.3">
      <c r="B475" s="172" t="s">
        <v>26</v>
      </c>
      <c r="C475" s="172" t="s">
        <v>81</v>
      </c>
      <c r="D475" s="172" t="s">
        <v>218</v>
      </c>
      <c r="E475" s="172">
        <v>2.9189084569117301E-4</v>
      </c>
      <c r="F475" s="172">
        <v>19</v>
      </c>
      <c r="G475" s="172">
        <v>19.25</v>
      </c>
      <c r="H475" s="172">
        <v>19.25</v>
      </c>
      <c r="I475" s="172">
        <v>14.5</v>
      </c>
    </row>
    <row r="476" spans="2:9" hidden="1" x14ac:dyDescent="0.3">
      <c r="B476" s="172" t="s">
        <v>26</v>
      </c>
      <c r="C476" s="172" t="s">
        <v>81</v>
      </c>
      <c r="D476" s="172" t="s">
        <v>221</v>
      </c>
      <c r="E476" s="172">
        <v>1.1081544606919801E-3</v>
      </c>
      <c r="F476" s="172">
        <v>64</v>
      </c>
      <c r="G476" s="172">
        <v>0</v>
      </c>
      <c r="H476" s="172">
        <v>19</v>
      </c>
      <c r="I476" s="172">
        <v>14.5</v>
      </c>
    </row>
    <row r="477" spans="2:9" hidden="1" x14ac:dyDescent="0.3">
      <c r="B477" s="172" t="s">
        <v>26</v>
      </c>
      <c r="C477" s="172" t="s">
        <v>82</v>
      </c>
      <c r="D477" s="172" t="s">
        <v>218</v>
      </c>
      <c r="E477" s="172">
        <v>4.4996700863898201E-4</v>
      </c>
      <c r="F477" s="172">
        <v>19</v>
      </c>
      <c r="G477" s="172">
        <v>19.25</v>
      </c>
      <c r="H477" s="172">
        <v>19.25</v>
      </c>
      <c r="I477" s="172">
        <v>14.5</v>
      </c>
    </row>
    <row r="478" spans="2:9" x14ac:dyDescent="0.3">
      <c r="B478" s="172" t="s">
        <v>26</v>
      </c>
      <c r="C478" s="172" t="s">
        <v>82</v>
      </c>
      <c r="D478" s="172" t="s">
        <v>221</v>
      </c>
      <c r="E478" s="172">
        <v>1.28084572150626E-3</v>
      </c>
      <c r="F478" s="172">
        <v>64</v>
      </c>
      <c r="G478" s="172">
        <v>0</v>
      </c>
      <c r="H478" s="172">
        <v>19</v>
      </c>
      <c r="I478" s="172">
        <v>14.5</v>
      </c>
    </row>
    <row r="479" spans="2:9" hidden="1" x14ac:dyDescent="0.3">
      <c r="B479" s="172" t="s">
        <v>26</v>
      </c>
      <c r="C479" s="172" t="s">
        <v>246</v>
      </c>
      <c r="D479" s="172" t="s">
        <v>218</v>
      </c>
      <c r="E479" s="172">
        <v>2.06003273023661E-5</v>
      </c>
      <c r="F479" s="172">
        <v>48</v>
      </c>
      <c r="G479" s="172">
        <v>24</v>
      </c>
      <c r="H479" s="172">
        <v>0</v>
      </c>
      <c r="I479" s="172">
        <v>14.5</v>
      </c>
    </row>
    <row r="480" spans="2:9" hidden="1" x14ac:dyDescent="0.3">
      <c r="B480" s="172" t="s">
        <v>26</v>
      </c>
      <c r="C480" s="172" t="s">
        <v>246</v>
      </c>
      <c r="D480" s="172" t="s">
        <v>221</v>
      </c>
      <c r="E480" s="172">
        <v>3.02599109477561E-5</v>
      </c>
      <c r="F480" s="172">
        <v>62</v>
      </c>
      <c r="G480" s="172">
        <v>0</v>
      </c>
      <c r="H480" s="172">
        <v>6</v>
      </c>
      <c r="I480" s="172">
        <v>14.5</v>
      </c>
    </row>
    <row r="481" spans="2:9" hidden="1" x14ac:dyDescent="0.3">
      <c r="B481" s="172" t="s">
        <v>25</v>
      </c>
      <c r="C481" s="172" t="s">
        <v>79</v>
      </c>
      <c r="D481" s="172" t="s">
        <v>218</v>
      </c>
      <c r="E481" s="172">
        <v>1.0253090097566101E-3</v>
      </c>
      <c r="F481" s="172">
        <v>19</v>
      </c>
      <c r="G481" s="172">
        <v>19.25</v>
      </c>
      <c r="H481" s="172">
        <v>19.25</v>
      </c>
      <c r="I481" s="172">
        <v>11</v>
      </c>
    </row>
    <row r="482" spans="2:9" hidden="1" x14ac:dyDescent="0.3">
      <c r="B482" s="172" t="s">
        <v>25</v>
      </c>
      <c r="C482" s="172" t="s">
        <v>79</v>
      </c>
      <c r="D482" s="172" t="s">
        <v>221</v>
      </c>
      <c r="E482" s="172">
        <v>4.6612112097893499E-4</v>
      </c>
      <c r="F482" s="172">
        <v>64</v>
      </c>
      <c r="G482" s="172">
        <v>0</v>
      </c>
      <c r="H482" s="172">
        <v>19</v>
      </c>
      <c r="I482" s="172">
        <v>11</v>
      </c>
    </row>
    <row r="483" spans="2:9" hidden="1" x14ac:dyDescent="0.3">
      <c r="B483" s="172" t="s">
        <v>25</v>
      </c>
      <c r="C483" s="172" t="s">
        <v>80</v>
      </c>
      <c r="D483" s="172" t="s">
        <v>218</v>
      </c>
      <c r="E483" s="172">
        <v>9.0272433394041496E-4</v>
      </c>
      <c r="F483" s="172">
        <v>19</v>
      </c>
      <c r="G483" s="172">
        <v>19.25</v>
      </c>
      <c r="H483" s="172">
        <v>19.25</v>
      </c>
      <c r="I483" s="172">
        <v>11</v>
      </c>
    </row>
    <row r="484" spans="2:9" hidden="1" x14ac:dyDescent="0.3">
      <c r="B484" s="172" t="s">
        <v>25</v>
      </c>
      <c r="C484" s="172" t="s">
        <v>80</v>
      </c>
      <c r="D484" s="172" t="s">
        <v>221</v>
      </c>
      <c r="E484" s="172">
        <v>3.30736526817103E-4</v>
      </c>
      <c r="F484" s="172">
        <v>64</v>
      </c>
      <c r="G484" s="172">
        <v>0</v>
      </c>
      <c r="H484" s="172">
        <v>19</v>
      </c>
      <c r="I484" s="172">
        <v>11</v>
      </c>
    </row>
    <row r="485" spans="2:9" hidden="1" x14ac:dyDescent="0.3">
      <c r="B485" s="172" t="s">
        <v>25</v>
      </c>
      <c r="C485" s="172" t="s">
        <v>81</v>
      </c>
      <c r="D485" s="172" t="s">
        <v>218</v>
      </c>
      <c r="E485" s="172">
        <v>3.2589132880199803E-4</v>
      </c>
      <c r="F485" s="172">
        <v>19</v>
      </c>
      <c r="G485" s="172">
        <v>19.25</v>
      </c>
      <c r="H485" s="172">
        <v>19.25</v>
      </c>
      <c r="I485" s="172">
        <v>11</v>
      </c>
    </row>
    <row r="486" spans="2:9" hidden="1" x14ac:dyDescent="0.3">
      <c r="B486" s="172" t="s">
        <v>25</v>
      </c>
      <c r="C486" s="172" t="s">
        <v>81</v>
      </c>
      <c r="D486" s="172" t="s">
        <v>221</v>
      </c>
      <c r="E486" s="172">
        <v>1.1701059797350501E-3</v>
      </c>
      <c r="F486" s="172">
        <v>64</v>
      </c>
      <c r="G486" s="172">
        <v>0</v>
      </c>
      <c r="H486" s="172">
        <v>19</v>
      </c>
      <c r="I486" s="172">
        <v>11</v>
      </c>
    </row>
    <row r="487" spans="2:9" hidden="1" x14ac:dyDescent="0.3">
      <c r="B487" s="172" t="s">
        <v>25</v>
      </c>
      <c r="C487" s="172" t="s">
        <v>82</v>
      </c>
      <c r="D487" s="172" t="s">
        <v>218</v>
      </c>
      <c r="E487" s="172">
        <v>4.9233670320025899E-4</v>
      </c>
      <c r="F487" s="172">
        <v>19</v>
      </c>
      <c r="G487" s="172">
        <v>19.25</v>
      </c>
      <c r="H487" s="172">
        <v>19.25</v>
      </c>
      <c r="I487" s="172">
        <v>11</v>
      </c>
    </row>
    <row r="488" spans="2:9" x14ac:dyDescent="0.3">
      <c r="B488" s="172" t="s">
        <v>25</v>
      </c>
      <c r="C488" s="172" t="s">
        <v>82</v>
      </c>
      <c r="D488" s="172" t="s">
        <v>221</v>
      </c>
      <c r="E488" s="172">
        <v>1.3538906539459E-3</v>
      </c>
      <c r="F488" s="172">
        <v>64</v>
      </c>
      <c r="G488" s="172">
        <v>0</v>
      </c>
      <c r="H488" s="172">
        <v>19</v>
      </c>
      <c r="I488" s="172">
        <v>11</v>
      </c>
    </row>
    <row r="489" spans="2:9" hidden="1" x14ac:dyDescent="0.3">
      <c r="B489" s="172" t="s">
        <v>25</v>
      </c>
      <c r="C489" s="172" t="s">
        <v>246</v>
      </c>
      <c r="D489" s="172" t="s">
        <v>218</v>
      </c>
      <c r="E489" s="172">
        <v>2.35885136483314E-5</v>
      </c>
      <c r="F489" s="172">
        <v>48</v>
      </c>
      <c r="G489" s="172">
        <v>24</v>
      </c>
      <c r="H489" s="172">
        <v>0</v>
      </c>
      <c r="I489" s="172">
        <v>11</v>
      </c>
    </row>
    <row r="490" spans="2:9" hidden="1" x14ac:dyDescent="0.3">
      <c r="B490" s="172" t="s">
        <v>25</v>
      </c>
      <c r="C490" s="172" t="s">
        <v>246</v>
      </c>
      <c r="D490" s="172" t="s">
        <v>221</v>
      </c>
      <c r="E490" s="172">
        <v>2.5906510769448799E-5</v>
      </c>
      <c r="F490" s="172">
        <v>64</v>
      </c>
      <c r="G490" s="172">
        <v>0</v>
      </c>
      <c r="H490" s="172">
        <v>19</v>
      </c>
      <c r="I490" s="172">
        <v>11</v>
      </c>
    </row>
    <row r="491" spans="2:9" hidden="1" x14ac:dyDescent="0.3">
      <c r="B491" s="172" t="s">
        <v>24</v>
      </c>
      <c r="C491" s="172" t="s">
        <v>79</v>
      </c>
      <c r="D491" s="172" t="s">
        <v>218</v>
      </c>
      <c r="E491" s="172">
        <v>1.04086259268613E-3</v>
      </c>
      <c r="F491" s="172">
        <v>19</v>
      </c>
      <c r="G491" s="172">
        <v>19.25</v>
      </c>
      <c r="H491" s="172">
        <v>19.25</v>
      </c>
      <c r="I491" s="172">
        <v>7.5</v>
      </c>
    </row>
    <row r="492" spans="2:9" hidden="1" x14ac:dyDescent="0.3">
      <c r="B492" s="172" t="s">
        <v>24</v>
      </c>
      <c r="C492" s="172" t="s">
        <v>79</v>
      </c>
      <c r="D492" s="172" t="s">
        <v>221</v>
      </c>
      <c r="E492" s="172">
        <v>4.7244530729270798E-4</v>
      </c>
      <c r="F492" s="172">
        <v>64</v>
      </c>
      <c r="G492" s="172">
        <v>0</v>
      </c>
      <c r="H492" s="172">
        <v>19</v>
      </c>
      <c r="I492" s="172">
        <v>7.5</v>
      </c>
    </row>
    <row r="493" spans="2:9" hidden="1" x14ac:dyDescent="0.3">
      <c r="B493" s="172" t="s">
        <v>24</v>
      </c>
      <c r="C493" s="172" t="s">
        <v>80</v>
      </c>
      <c r="D493" s="172" t="s">
        <v>218</v>
      </c>
      <c r="E493" s="172">
        <v>9.1665416588746797E-4</v>
      </c>
      <c r="F493" s="172">
        <v>19</v>
      </c>
      <c r="G493" s="172">
        <v>19.25</v>
      </c>
      <c r="H493" s="172">
        <v>19.25</v>
      </c>
      <c r="I493" s="172">
        <v>7.5</v>
      </c>
    </row>
    <row r="494" spans="2:9" hidden="1" x14ac:dyDescent="0.3">
      <c r="B494" s="172" t="s">
        <v>24</v>
      </c>
      <c r="C494" s="172" t="s">
        <v>80</v>
      </c>
      <c r="D494" s="172" t="s">
        <v>221</v>
      </c>
      <c r="E494" s="172">
        <v>3.3372137146319E-4</v>
      </c>
      <c r="F494" s="172">
        <v>62</v>
      </c>
      <c r="G494" s="172">
        <v>0</v>
      </c>
      <c r="H494" s="172">
        <v>6</v>
      </c>
      <c r="I494" s="172">
        <v>7.5</v>
      </c>
    </row>
    <row r="495" spans="2:9" hidden="1" x14ac:dyDescent="0.3">
      <c r="B495" s="172" t="s">
        <v>24</v>
      </c>
      <c r="C495" s="172" t="s">
        <v>81</v>
      </c>
      <c r="D495" s="172" t="s">
        <v>218</v>
      </c>
      <c r="E495" s="172">
        <v>3.4251066181170399E-4</v>
      </c>
      <c r="F495" s="172">
        <v>19</v>
      </c>
      <c r="G495" s="172">
        <v>19.25</v>
      </c>
      <c r="H495" s="172">
        <v>19.25</v>
      </c>
      <c r="I495" s="172">
        <v>7.5</v>
      </c>
    </row>
    <row r="496" spans="2:9" hidden="1" x14ac:dyDescent="0.3">
      <c r="B496" s="172" t="s">
        <v>24</v>
      </c>
      <c r="C496" s="172" t="s">
        <v>81</v>
      </c>
      <c r="D496" s="172" t="s">
        <v>221</v>
      </c>
      <c r="E496" s="172">
        <v>1.1711966308064999E-3</v>
      </c>
      <c r="F496" s="172">
        <v>64</v>
      </c>
      <c r="G496" s="172">
        <v>0</v>
      </c>
      <c r="H496" s="172">
        <v>19</v>
      </c>
      <c r="I496" s="172">
        <v>7.5</v>
      </c>
    </row>
    <row r="497" spans="2:9" hidden="1" x14ac:dyDescent="0.3">
      <c r="B497" s="172" t="s">
        <v>24</v>
      </c>
      <c r="C497" s="172" t="s">
        <v>82</v>
      </c>
      <c r="D497" s="172" t="s">
        <v>218</v>
      </c>
      <c r="E497" s="172">
        <v>5.1133886064469404E-4</v>
      </c>
      <c r="F497" s="172">
        <v>19</v>
      </c>
      <c r="G497" s="172">
        <v>19.25</v>
      </c>
      <c r="H497" s="172">
        <v>19.25</v>
      </c>
      <c r="I497" s="172">
        <v>7.5</v>
      </c>
    </row>
    <row r="498" spans="2:9" x14ac:dyDescent="0.3">
      <c r="B498" s="172" t="s">
        <v>24</v>
      </c>
      <c r="C498" s="172" t="s">
        <v>82</v>
      </c>
      <c r="D498" s="172" t="s">
        <v>221</v>
      </c>
      <c r="E498" s="172">
        <v>1.3597312917967099E-3</v>
      </c>
      <c r="F498" s="172">
        <v>64</v>
      </c>
      <c r="G498" s="172">
        <v>0</v>
      </c>
      <c r="H498" s="172">
        <v>19</v>
      </c>
      <c r="I498" s="172">
        <v>7.5</v>
      </c>
    </row>
    <row r="499" spans="2:9" hidden="1" x14ac:dyDescent="0.3">
      <c r="B499" s="172" t="s">
        <v>24</v>
      </c>
      <c r="C499" s="172" t="s">
        <v>246</v>
      </c>
      <c r="D499" s="172" t="s">
        <v>218</v>
      </c>
      <c r="E499" s="172">
        <v>3.02380346847539E-5</v>
      </c>
      <c r="F499" s="172">
        <v>48</v>
      </c>
      <c r="G499" s="172">
        <v>24</v>
      </c>
      <c r="H499" s="172">
        <v>0</v>
      </c>
      <c r="I499" s="172">
        <v>7.5</v>
      </c>
    </row>
    <row r="500" spans="2:9" hidden="1" x14ac:dyDescent="0.3">
      <c r="B500" s="172" t="s">
        <v>24</v>
      </c>
      <c r="C500" s="172" t="s">
        <v>246</v>
      </c>
      <c r="D500" s="172" t="s">
        <v>221</v>
      </c>
      <c r="E500" s="172">
        <v>2.21718076244891E-5</v>
      </c>
      <c r="F500" s="172">
        <v>64</v>
      </c>
      <c r="G500" s="172">
        <v>0</v>
      </c>
      <c r="H500" s="172">
        <v>19</v>
      </c>
      <c r="I500" s="172">
        <v>7.5</v>
      </c>
    </row>
    <row r="501" spans="2:9" hidden="1" x14ac:dyDescent="0.3">
      <c r="B501" s="172" t="s">
        <v>22</v>
      </c>
      <c r="C501" s="172" t="s">
        <v>79</v>
      </c>
      <c r="D501" s="172" t="s">
        <v>218</v>
      </c>
      <c r="E501" s="172">
        <v>7.8306807832234703E-4</v>
      </c>
      <c r="F501" s="172">
        <v>14</v>
      </c>
      <c r="G501" s="172">
        <v>19</v>
      </c>
      <c r="H501" s="172">
        <v>19</v>
      </c>
      <c r="I501" s="172">
        <v>4</v>
      </c>
    </row>
    <row r="502" spans="2:9" hidden="1" x14ac:dyDescent="0.3">
      <c r="B502" s="172" t="s">
        <v>22</v>
      </c>
      <c r="C502" s="172" t="s">
        <v>79</v>
      </c>
      <c r="D502" s="172" t="s">
        <v>221</v>
      </c>
      <c r="E502" s="172">
        <v>3.2228968990673901E-4</v>
      </c>
      <c r="F502" s="172">
        <v>64</v>
      </c>
      <c r="G502" s="172">
        <v>0</v>
      </c>
      <c r="H502" s="172">
        <v>19</v>
      </c>
      <c r="I502" s="172">
        <v>4</v>
      </c>
    </row>
    <row r="503" spans="2:9" hidden="1" x14ac:dyDescent="0.3">
      <c r="B503" s="172" t="s">
        <v>22</v>
      </c>
      <c r="C503" s="172" t="s">
        <v>80</v>
      </c>
      <c r="D503" s="172" t="s">
        <v>218</v>
      </c>
      <c r="E503" s="172">
        <v>6.8857597580042297E-4</v>
      </c>
      <c r="F503" s="172">
        <v>14</v>
      </c>
      <c r="G503" s="172">
        <v>19</v>
      </c>
      <c r="H503" s="172">
        <v>19</v>
      </c>
      <c r="I503" s="172">
        <v>4</v>
      </c>
    </row>
    <row r="504" spans="2:9" hidden="1" x14ac:dyDescent="0.3">
      <c r="B504" s="172" t="s">
        <v>22</v>
      </c>
      <c r="C504" s="172" t="s">
        <v>80</v>
      </c>
      <c r="D504" s="172" t="s">
        <v>221</v>
      </c>
      <c r="E504" s="172">
        <v>2.13232073838133E-4</v>
      </c>
      <c r="F504" s="172">
        <v>64</v>
      </c>
      <c r="G504" s="172">
        <v>0</v>
      </c>
      <c r="H504" s="172">
        <v>19</v>
      </c>
      <c r="I504" s="172">
        <v>4</v>
      </c>
    </row>
    <row r="505" spans="2:9" hidden="1" x14ac:dyDescent="0.3">
      <c r="B505" s="172" t="s">
        <v>22</v>
      </c>
      <c r="C505" s="172" t="s">
        <v>81</v>
      </c>
      <c r="D505" s="172" t="s">
        <v>218</v>
      </c>
      <c r="E505" s="172">
        <v>2.46308068491903E-4</v>
      </c>
      <c r="F505" s="172">
        <v>14</v>
      </c>
      <c r="G505" s="172">
        <v>19</v>
      </c>
      <c r="H505" s="172">
        <v>19</v>
      </c>
      <c r="I505" s="172">
        <v>4</v>
      </c>
    </row>
    <row r="506" spans="2:9" hidden="1" x14ac:dyDescent="0.3">
      <c r="B506" s="172" t="s">
        <v>22</v>
      </c>
      <c r="C506" s="172" t="s">
        <v>81</v>
      </c>
      <c r="D506" s="172" t="s">
        <v>221</v>
      </c>
      <c r="E506" s="172">
        <v>8.0995253263015999E-4</v>
      </c>
      <c r="F506" s="172">
        <v>64</v>
      </c>
      <c r="G506" s="172">
        <v>0</v>
      </c>
      <c r="H506" s="172">
        <v>19</v>
      </c>
      <c r="I506" s="172">
        <v>4</v>
      </c>
    </row>
    <row r="507" spans="2:9" hidden="1" x14ac:dyDescent="0.3">
      <c r="B507" s="172" t="s">
        <v>22</v>
      </c>
      <c r="C507" s="172" t="s">
        <v>82</v>
      </c>
      <c r="D507" s="172" t="s">
        <v>218</v>
      </c>
      <c r="E507" s="172">
        <v>3.74854789906406E-4</v>
      </c>
      <c r="F507" s="172">
        <v>14</v>
      </c>
      <c r="G507" s="172">
        <v>19</v>
      </c>
      <c r="H507" s="172">
        <v>19</v>
      </c>
      <c r="I507" s="172">
        <v>4</v>
      </c>
    </row>
    <row r="508" spans="2:9" x14ac:dyDescent="0.3">
      <c r="B508" s="172" t="s">
        <v>22</v>
      </c>
      <c r="C508" s="172" t="s">
        <v>82</v>
      </c>
      <c r="D508" s="172" t="s">
        <v>221</v>
      </c>
      <c r="E508" s="172">
        <v>9.5830752713946504E-4</v>
      </c>
      <c r="F508" s="172">
        <v>64</v>
      </c>
      <c r="G508" s="172">
        <v>0</v>
      </c>
      <c r="H508" s="172">
        <v>19</v>
      </c>
      <c r="I508" s="172">
        <v>4</v>
      </c>
    </row>
    <row r="509" spans="2:9" hidden="1" x14ac:dyDescent="0.3">
      <c r="B509" s="172" t="s">
        <v>22</v>
      </c>
      <c r="C509" s="172" t="s">
        <v>246</v>
      </c>
      <c r="D509" s="172" t="s">
        <v>218</v>
      </c>
      <c r="E509" s="172">
        <v>3.8072303081378602E-5</v>
      </c>
      <c r="F509" s="172">
        <v>48</v>
      </c>
      <c r="G509" s="172">
        <v>24</v>
      </c>
      <c r="H509" s="172">
        <v>0</v>
      </c>
      <c r="I509" s="172">
        <v>4</v>
      </c>
    </row>
    <row r="510" spans="2:9" hidden="1" x14ac:dyDescent="0.3">
      <c r="B510" s="172" t="s">
        <v>22</v>
      </c>
      <c r="C510" s="172" t="s">
        <v>246</v>
      </c>
      <c r="D510" s="172" t="s">
        <v>221</v>
      </c>
      <c r="E510" s="172">
        <v>2.01301662155265E-5</v>
      </c>
      <c r="F510" s="172">
        <v>64</v>
      </c>
      <c r="G510" s="172">
        <v>0</v>
      </c>
      <c r="H510" s="172">
        <v>19</v>
      </c>
      <c r="I510" s="172">
        <v>4</v>
      </c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="80" zoomScaleNormal="80" workbookViewId="0">
      <selection activeCell="M71" sqref="M71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3.4456134750587998E-4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2.88902105712214E-4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4.12394436964304E-4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5.6575876593640705E-4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6.9679575649527403E-4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8.0716033783490601E-4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8.9824072285145395E-4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9.7160216531185395E-4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1.0253090097566101E-3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1.04086259268613E-3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7.8306807832234703E-4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3.6449823495054903E-4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3.17324025622901E-4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4.4262883131223501E-4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5.5028726640490497E-4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6.4015562798291903E-4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7.1195704296669199E-4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7.9029148975945504E-4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8.5518593709007498E-4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9.0272433394041496E-4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9.1665416588746797E-4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6.8857597580042297E-4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5.24836547262959E-4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4.7113942216257001E-4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6.1604469035393802E-4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7.3763907683364503E-4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8.35965555135164E-4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9.1580862514034395E-4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1.02027742381681E-3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1.1081544606919801E-3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1.1701059797350501E-3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1.1711966308064999E-3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8.0995253263015999E-4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4.60942794330633E-4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4.0661445828416801E-4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5.4243989725581904E-4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7.4480383917813805E-4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9.1547654042222696E-4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1.05836880699987E-3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1.17928162152612E-3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1.28084572150626E-3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1.3538906539459E-3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1.3597312917967099E-3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9.5830752713946504E-4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topLeftCell="A46" zoomScale="80" zoomScaleNormal="80" workbookViewId="0">
      <selection activeCell="R63" sqref="R63:R70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19</v>
      </c>
      <c r="O3" s="183">
        <v>19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2.28283669440171E-2</v>
      </c>
      <c r="F6" s="185">
        <v>2.22085171325242E-2</v>
      </c>
      <c r="G6" s="186">
        <v>1.02791045470502</v>
      </c>
      <c r="H6" s="42">
        <f>+E6/(1.2*F6)</f>
        <v>0.85659204558751378</v>
      </c>
      <c r="I6" s="47">
        <f>+'Centers of Mass and Rigidity'!L5-'Centers of Mass and Rigidity'!F5</f>
        <v>-2.9326111983040981</v>
      </c>
      <c r="J6" s="47">
        <f>+'Centers of Mass and Rigidity'!M5-'Centers of Mass and Rigidity'!G5</f>
        <v>-2.0365818403189628E-2</v>
      </c>
      <c r="K6" s="172">
        <f>IF(+'Sismo UBC-94 y Dinamico'!O15=0,'Sismo UBC-94 y Dinamico'!M15,'Sismo UBC-94 y Dinamico'!O15)</f>
        <v>1037.7171762931614</v>
      </c>
      <c r="L6" s="172">
        <f>IF(+'Sismo UBC-94 y Dinamico'!P15=0,'Sismo UBC-94 y Dinamico'!N15,'Sismo UBC-94 y Dinamico'!P15)</f>
        <v>621.62539631352035</v>
      </c>
      <c r="M6" s="52">
        <f>0.05*N6*K6*(H6-1)+0.05*O6*L6*(H6-1)</f>
        <v>-226.06477780672279</v>
      </c>
      <c r="N6">
        <f>+$N$3</f>
        <v>19</v>
      </c>
      <c r="O6">
        <f>+$O$3</f>
        <v>19</v>
      </c>
      <c r="P6" s="95">
        <f>+K6*(J6+0.05*N6*H6)-K6*(J6+0.05*N6)</f>
        <v>-141.37605263535841</v>
      </c>
      <c r="Q6" s="95">
        <f>+L6*(I6+0.05*O6*H6)-L6*(I6+0.05*O6)</f>
        <v>-84.68872517136424</v>
      </c>
      <c r="R6" s="95">
        <f>+P6+Q6</f>
        <v>-226.06477780672265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2.6399113753276499E-2</v>
      </c>
      <c r="F7" s="185">
        <v>2.34829742138177E-2</v>
      </c>
      <c r="G7" s="186">
        <v>1.1241810135678201</v>
      </c>
      <c r="H7" s="42">
        <f t="shared" ref="H7:H16" si="0">+E7/(1.2*F7)</f>
        <v>0.93681751130651447</v>
      </c>
      <c r="I7" s="47">
        <f>+'Centers of Mass and Rigidity'!L6-'Centers of Mass and Rigidity'!F6</f>
        <v>0.8306439560845007</v>
      </c>
      <c r="J7" s="47">
        <f>+'Centers of Mass and Rigidity'!M6-'Centers of Mass and Rigidity'!G6</f>
        <v>-0.53550335238929136</v>
      </c>
      <c r="K7" s="172">
        <f>IF(+'Sismo UBC-94 y Dinamico'!O16=0,'Sismo UBC-94 y Dinamico'!M16,'Sismo UBC-94 y Dinamico'!O16)</f>
        <v>16812.04968410861</v>
      </c>
      <c r="L7" s="172">
        <f>IF(+'Sismo UBC-94 y Dinamico'!P16=0,'Sismo UBC-94 y Dinamico'!N16,'Sismo UBC-94 y Dinamico'!P16)</f>
        <v>3860.0577323503649</v>
      </c>
      <c r="M7" s="52">
        <f>0.05*N7*K7*(H7-1)+0.05*O7*L7*(H7-1)</f>
        <v>-1240.8094334553907</v>
      </c>
      <c r="N7" s="172">
        <f t="shared" ref="N7:N16" si="1">+$N$3</f>
        <v>19</v>
      </c>
      <c r="O7" s="172">
        <f t="shared" ref="O7:O16" si="2">+$O$3</f>
        <v>19</v>
      </c>
      <c r="P7" s="95">
        <f>+K7*(J7+0.05*N7*H7)-K7*(J7+0.05*N7)</f>
        <v>-1009.1157821264842</v>
      </c>
      <c r="Q7" s="95">
        <f>+L7*(I7+0.05*O7*H7)-L7*(I7+0.05*O7)</f>
        <v>-231.69365132890653</v>
      </c>
      <c r="R7" s="95">
        <f>+P7+Q7</f>
        <v>-1240.8094334553907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2.5528547946055399E-2</v>
      </c>
      <c r="F8" s="185">
        <v>2.2542112625210799E-2</v>
      </c>
      <c r="G8" s="186">
        <v>1.13248249489733</v>
      </c>
      <c r="H8" s="42">
        <f t="shared" si="0"/>
        <v>0.94373541241444425</v>
      </c>
      <c r="I8" s="47">
        <f>+'Centers of Mass and Rigidity'!L7-'Centers of Mass and Rigidity'!F7</f>
        <v>1.1589291342838006</v>
      </c>
      <c r="J8" s="47">
        <f>+'Centers of Mass and Rigidity'!M7-'Centers of Mass and Rigidity'!G7</f>
        <v>-0.75291679505645082</v>
      </c>
      <c r="K8" s="172">
        <f>IF(+'Sismo UBC-94 y Dinamico'!O17=0,'Sismo UBC-94 y Dinamico'!M17,'Sismo UBC-94 y Dinamico'!O17)</f>
        <v>19335.612627009203</v>
      </c>
      <c r="L8" s="172">
        <f>IF(+'Sismo UBC-94 y Dinamico'!P17=0,'Sismo UBC-94 y Dinamico'!N17,'Sismo UBC-94 y Dinamico'!P17)</f>
        <v>4537.2424515248886</v>
      </c>
      <c r="M8" s="52">
        <f>0.05*N8*K8*(H8-1)+0.05*O8*L8*(H8-1)</f>
        <v>-1276.0365282092878</v>
      </c>
      <c r="N8" s="172">
        <f t="shared" si="1"/>
        <v>19</v>
      </c>
      <c r="O8" s="172">
        <f t="shared" si="2"/>
        <v>19</v>
      </c>
      <c r="P8" s="95">
        <f>+K8*(J8+0.05*N8*H8)-K8*(J8+0.05*N8)</f>
        <v>-1033.5147566641008</v>
      </c>
      <c r="Q8" s="95">
        <f>+L8*(I8+0.05*O8*H8)-L8*(I8+0.05*O8)</f>
        <v>-242.52177154518722</v>
      </c>
      <c r="R8" s="95">
        <f>+P8+Q8</f>
        <v>-1276.036528209288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2.4085678439143499E-2</v>
      </c>
      <c r="F9" s="185">
        <v>2.1118661906518701E-2</v>
      </c>
      <c r="G9" s="186">
        <v>1.1404926384899901</v>
      </c>
      <c r="H9" s="42">
        <f t="shared" si="0"/>
        <v>0.95041053207498949</v>
      </c>
      <c r="I9" s="47">
        <f>+'Centers of Mass and Rigidity'!L8-'Centers of Mass and Rigidity'!F8</f>
        <v>1.3731798412113001</v>
      </c>
      <c r="J9" s="47">
        <f>+'Centers of Mass and Rigidity'!M8-'Centers of Mass and Rigidity'!G8</f>
        <v>-0.85023339119852093</v>
      </c>
      <c r="K9" s="172">
        <f>IF(+'Sismo UBC-94 y Dinamico'!O18=0,'Sismo UBC-94 y Dinamico'!M18,'Sismo UBC-94 y Dinamico'!O18)</f>
        <v>16435.911754547255</v>
      </c>
      <c r="L9" s="172">
        <f>IF(+'Sismo UBC-94 y Dinamico'!P18=0,'Sismo UBC-94 y Dinamico'!N18,'Sismo UBC-94 y Dinamico'!P18)</f>
        <v>3730.6589554849493</v>
      </c>
      <c r="M9" s="52">
        <f>0.05*N9*K9*(H9-1)+0.05*O9*L9*(H9-1)</f>
        <v>-950.0470358134686</v>
      </c>
      <c r="N9" s="172">
        <f t="shared" si="1"/>
        <v>19</v>
      </c>
      <c r="O9" s="172">
        <f t="shared" si="2"/>
        <v>19</v>
      </c>
      <c r="P9" s="95">
        <f>+K9*(J9+0.05*N9*H9)-K9*(J9+0.05*N9)</f>
        <v>-774.29571283190296</v>
      </c>
      <c r="Q9" s="95">
        <f>+L9*(I9+0.05*O9*H9)-L9*(I9+0.05*O9)</f>
        <v>-175.75132298156495</v>
      </c>
      <c r="R9" s="95">
        <f>+P9+Q9</f>
        <v>-950.04703581346791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2.2108624070903801E-2</v>
      </c>
      <c r="F10" s="185">
        <v>1.9259457382068999E-2</v>
      </c>
      <c r="G10" s="186">
        <v>1.1479359793120401</v>
      </c>
      <c r="H10" s="42">
        <f t="shared" si="0"/>
        <v>0.95661331609336342</v>
      </c>
      <c r="I10" s="47">
        <f>+'Centers of Mass and Rigidity'!L9-'Centers of Mass and Rigidity'!F9</f>
        <v>1.5703415868655011</v>
      </c>
      <c r="J10" s="47">
        <f>+'Centers of Mass and Rigidity'!M9-'Centers of Mass and Rigidity'!G9</f>
        <v>-0.94152007284358064</v>
      </c>
      <c r="K10" s="172">
        <f>IF(+'Sismo UBC-94 y Dinamico'!O19=0,'Sismo UBC-94 y Dinamico'!M19,'Sismo UBC-94 y Dinamico'!O19)</f>
        <v>13964.971650542104</v>
      </c>
      <c r="L10" s="172">
        <f>IF(+'Sismo UBC-94 y Dinamico'!P19=0,'Sismo UBC-94 y Dinamico'!N19,'Sismo UBC-94 y Dinamico'!P19)</f>
        <v>3123.8998133373148</v>
      </c>
      <c r="M10" s="52">
        <f>0.05*N10*K10*(H10-1)+0.05*O10*L10*(H10-1)</f>
        <v>-704.35799129825443</v>
      </c>
      <c r="N10" s="172">
        <f t="shared" si="1"/>
        <v>19</v>
      </c>
      <c r="O10" s="172">
        <f t="shared" si="2"/>
        <v>19</v>
      </c>
      <c r="P10" s="95">
        <f>+K10*(J10+0.05*N10*H10)-K10*(J10+0.05*N10)</f>
        <v>-575.59912022885055</v>
      </c>
      <c r="Q10" s="95">
        <f>+L10*(I10+0.05*O10*H10)-L10*(I10+0.05*O10)</f>
        <v>-128.75887106940445</v>
      </c>
      <c r="R10" s="95">
        <f>+P10+Q10</f>
        <v>-704.357991298255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1.9675243984792399E-2</v>
      </c>
      <c r="F11" s="185">
        <v>1.7031469614226E-2</v>
      </c>
      <c r="G11" s="186">
        <v>1.15522878708941</v>
      </c>
      <c r="H11" s="42">
        <f t="shared" si="0"/>
        <v>0.96269065590783942</v>
      </c>
      <c r="I11" s="47">
        <f>+'Centers of Mass and Rigidity'!L10-'Centers of Mass and Rigidity'!F10</f>
        <v>1.751961756783901</v>
      </c>
      <c r="J11" s="47">
        <f>+'Centers of Mass and Rigidity'!M10-'Centers of Mass and Rigidity'!G10</f>
        <v>-1.0279767814746608</v>
      </c>
      <c r="K11" s="172">
        <f>IF(+'Sismo UBC-94 y Dinamico'!O20=0,'Sismo UBC-94 y Dinamico'!M20,'Sismo UBC-94 y Dinamico'!O20)</f>
        <v>12008.958864465356</v>
      </c>
      <c r="L11" s="172">
        <f>IF(+'Sismo UBC-94 y Dinamico'!P20=0,'Sismo UBC-94 y Dinamico'!N20,'Sismo UBC-94 y Dinamico'!P20)</f>
        <v>2688.4845994320813</v>
      </c>
      <c r="M11" s="52">
        <f t="shared" ref="M11:M16" si="3">0.05*N11*K11*(H11-1)+0.05*O11*L11*(H11-1)</f>
        <v>-520.93437669614468</v>
      </c>
      <c r="N11" s="172">
        <f t="shared" si="1"/>
        <v>19</v>
      </c>
      <c r="O11" s="172">
        <f t="shared" si="2"/>
        <v>19</v>
      </c>
      <c r="P11" s="95">
        <f t="shared" ref="P11:P16" si="4">+K11*(J11+0.05*N11*H11)-K11*(J11+0.05*N11)</f>
        <v>-425.64405953979315</v>
      </c>
      <c r="Q11" s="95">
        <f t="shared" ref="Q11:Q16" si="5">+L11*(I11+0.05*O11*H11)-L11*(I11+0.05*O11)</f>
        <v>-95.290317156352103</v>
      </c>
      <c r="R11" s="95">
        <f t="shared" ref="R11:R16" si="6">+P11+Q11</f>
        <v>-520.93437669614525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1.6857692875099799E-2</v>
      </c>
      <c r="F12" s="185">
        <v>1.44993012711538E-2</v>
      </c>
      <c r="G12" s="186">
        <v>1.1626555349007099</v>
      </c>
      <c r="H12" s="42">
        <f t="shared" si="0"/>
        <v>0.96887961241725451</v>
      </c>
      <c r="I12" s="47">
        <f>+'Centers of Mass and Rigidity'!L11-'Centers of Mass and Rigidity'!F11</f>
        <v>1.9155766286876013</v>
      </c>
      <c r="J12" s="47">
        <f>+'Centers of Mass and Rigidity'!M11-'Centers of Mass and Rigidity'!G11</f>
        <v>-1.1086534845013007</v>
      </c>
      <c r="K12" s="172">
        <f>IF(+'Sismo UBC-94 y Dinamico'!O21=0,'Sismo UBC-94 y Dinamico'!M21,'Sismo UBC-94 y Dinamico'!O21)</f>
        <v>10414.460526033949</v>
      </c>
      <c r="L12" s="172">
        <f>IF(+'Sismo UBC-94 y Dinamico'!P21=0,'Sismo UBC-94 y Dinamico'!N21,'Sismo UBC-94 y Dinamico'!P21)</f>
        <v>2330.9018294483735</v>
      </c>
      <c r="M12" s="52">
        <f t="shared" si="3"/>
        <v>-376.80858556588669</v>
      </c>
      <c r="N12" s="172">
        <f t="shared" si="1"/>
        <v>19</v>
      </c>
      <c r="O12" s="172">
        <f t="shared" si="2"/>
        <v>19</v>
      </c>
      <c r="P12" s="95">
        <f t="shared" si="4"/>
        <v>-307.89694563361081</v>
      </c>
      <c r="Q12" s="95">
        <f t="shared" si="5"/>
        <v>-68.911639932275648</v>
      </c>
      <c r="R12" s="95">
        <f t="shared" si="6"/>
        <v>-376.80858556588646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1.37236088358304E-2</v>
      </c>
      <c r="F13" s="185">
        <v>1.1736039985723401E-2</v>
      </c>
      <c r="G13" s="186">
        <v>1.1693560053071499</v>
      </c>
      <c r="H13" s="42">
        <f t="shared" si="0"/>
        <v>0.9744633377559514</v>
      </c>
      <c r="I13" s="47">
        <f>+'Centers of Mass and Rigidity'!L12-'Centers of Mass and Rigidity'!F12</f>
        <v>1.9319410803118</v>
      </c>
      <c r="J13" s="47">
        <f>+'Centers of Mass and Rigidity'!M12-'Centers of Mass and Rigidity'!G12</f>
        <v>-1.0917835550246506</v>
      </c>
      <c r="K13" s="172">
        <f>IF(+'Sismo UBC-94 y Dinamico'!O22=0,'Sismo UBC-94 y Dinamico'!M22,'Sismo UBC-94 y Dinamico'!O22)</f>
        <v>9035.8206287538032</v>
      </c>
      <c r="L13" s="172">
        <f>IF(+'Sismo UBC-94 y Dinamico'!P22=0,'Sismo UBC-94 y Dinamico'!N22,'Sismo UBC-94 y Dinamico'!P22)</f>
        <v>2014.2696601478938</v>
      </c>
      <c r="M13" s="52">
        <f t="shared" si="3"/>
        <v>-268.07330230022791</v>
      </c>
      <c r="N13" s="172">
        <f t="shared" si="1"/>
        <v>19</v>
      </c>
      <c r="O13" s="172">
        <f t="shared" si="2"/>
        <v>19</v>
      </c>
      <c r="P13" s="95">
        <f t="shared" si="4"/>
        <v>-219.20746451957825</v>
      </c>
      <c r="Q13" s="95">
        <f t="shared" si="5"/>
        <v>-48.865837780650509</v>
      </c>
      <c r="R13" s="95">
        <f t="shared" si="6"/>
        <v>-268.07330230022876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1.03350345715618E-2</v>
      </c>
      <c r="F14" s="185">
        <v>8.8047316404746504E-3</v>
      </c>
      <c r="G14" s="186">
        <v>1.17380460797379</v>
      </c>
      <c r="H14" s="42">
        <f t="shared" si="0"/>
        <v>0.97817050664482774</v>
      </c>
      <c r="I14" s="47">
        <f>+'Centers of Mass and Rigidity'!L13-'Centers of Mass and Rigidity'!F13</f>
        <v>1.9766844151292986</v>
      </c>
      <c r="J14" s="47">
        <f>+'Centers of Mass and Rigidity'!M13-'Centers of Mass and Rigidity'!G13</f>
        <v>-1.0913482492031106</v>
      </c>
      <c r="K14" s="172">
        <f>IF(+'Sismo UBC-94 y Dinamico'!O23=0,'Sismo UBC-94 y Dinamico'!M23,'Sismo UBC-94 y Dinamico'!O23)</f>
        <v>7592.7212389283623</v>
      </c>
      <c r="L14" s="172">
        <f>IF(+'Sismo UBC-94 y Dinamico'!P23=0,'Sismo UBC-94 y Dinamico'!N23,'Sismo UBC-94 y Dinamico'!P23)</f>
        <v>1682.0182964470343</v>
      </c>
      <c r="M14" s="52">
        <f t="shared" si="3"/>
        <v>-192.33972180550916</v>
      </c>
      <c r="N14" s="172">
        <f t="shared" si="1"/>
        <v>19</v>
      </c>
      <c r="O14" s="172">
        <f t="shared" si="2"/>
        <v>19</v>
      </c>
      <c r="P14" s="95">
        <f t="shared" si="4"/>
        <v>-157.45799494121889</v>
      </c>
      <c r="Q14" s="95">
        <f t="shared" si="5"/>
        <v>-34.881726864290613</v>
      </c>
      <c r="R14" s="95">
        <f t="shared" si="6"/>
        <v>-192.3397218055095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6.7603597407013697E-3</v>
      </c>
      <c r="F15" s="185">
        <v>5.7585115402487702E-3</v>
      </c>
      <c r="G15" s="186">
        <v>1.17397693717382</v>
      </c>
      <c r="H15" s="42">
        <f t="shared" si="0"/>
        <v>0.97831411431151982</v>
      </c>
      <c r="I15" s="47">
        <f>+'Centers of Mass and Rigidity'!L14-'Centers of Mass and Rigidity'!F14</f>
        <v>1.8611501720357992</v>
      </c>
      <c r="J15" s="47">
        <f>+'Centers of Mass and Rigidity'!M14-'Centers of Mass and Rigidity'!G14</f>
        <v>-0.98459799742843046</v>
      </c>
      <c r="K15" s="172">
        <f>IF(+'Sismo UBC-94 y Dinamico'!O24=0,'Sismo UBC-94 y Dinamico'!M24,'Sismo UBC-94 y Dinamico'!O24)</f>
        <v>5797.2697998215472</v>
      </c>
      <c r="L15" s="172">
        <f>IF(+'Sismo UBC-94 y Dinamico'!P24=0,'Sismo UBC-94 y Dinamico'!N24,'Sismo UBC-94 y Dinamico'!P24)</f>
        <v>1301.2855012529678</v>
      </c>
      <c r="M15" s="52">
        <f t="shared" si="3"/>
        <v>-146.24153587183409</v>
      </c>
      <c r="N15" s="172">
        <f t="shared" si="1"/>
        <v>19</v>
      </c>
      <c r="O15" s="172">
        <f t="shared" si="2"/>
        <v>19</v>
      </c>
      <c r="P15" s="95">
        <f t="shared" si="4"/>
        <v>-119.4329836749979</v>
      </c>
      <c r="Q15" s="95">
        <f t="shared" si="5"/>
        <v>-26.808552196836445</v>
      </c>
      <c r="R15" s="95">
        <f t="shared" si="6"/>
        <v>-146.24153587183434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3.1322723132893898E-3</v>
      </c>
      <c r="F16" s="188">
        <v>2.6978264176782999E-3</v>
      </c>
      <c r="G16" s="189">
        <v>1.1610355257715099</v>
      </c>
      <c r="H16" s="42">
        <f t="shared" si="0"/>
        <v>0.96752960480959038</v>
      </c>
      <c r="I16" s="47">
        <f>+'Centers of Mass and Rigidity'!L15-'Centers of Mass and Rigidity'!F15</f>
        <v>1.2877602559370001</v>
      </c>
      <c r="J16" s="47">
        <f>+'Centers of Mass and Rigidity'!M15-'Centers of Mass and Rigidity'!G15</f>
        <v>-0.56696182439995013</v>
      </c>
      <c r="K16" s="172">
        <f>IF(+'Sismo UBC-94 y Dinamico'!O25=0,'Sismo UBC-94 y Dinamico'!M25,'Sismo UBC-94 y Dinamico'!O25)</f>
        <v>3284.1297755186702</v>
      </c>
      <c r="L16" s="172">
        <f>IF(+'Sismo UBC-94 y Dinamico'!P25=0,'Sismo UBC-94 y Dinamico'!N25,'Sismo UBC-94 y Dinamico'!P25)</f>
        <v>732.57933361123617</v>
      </c>
      <c r="M16" s="52">
        <f t="shared" si="3"/>
        <v>-123.90292553144791</v>
      </c>
      <c r="N16" s="172">
        <f t="shared" si="1"/>
        <v>19</v>
      </c>
      <c r="O16" s="172">
        <f t="shared" si="2"/>
        <v>19</v>
      </c>
      <c r="P16" s="95">
        <f t="shared" si="4"/>
        <v>-101.30514208429827</v>
      </c>
      <c r="Q16" s="95">
        <f t="shared" si="5"/>
        <v>-22.597783447149595</v>
      </c>
      <c r="R16" s="95">
        <f t="shared" si="6"/>
        <v>-123.90292553144786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2.40037306457619E-2</v>
      </c>
      <c r="F24" s="185">
        <v>2.3963356377019799E-2</v>
      </c>
      <c r="G24" s="186">
        <v>1.00168483363127</v>
      </c>
      <c r="H24" s="42">
        <f>+E24/(1.2*F24)</f>
        <v>0.83473736135939136</v>
      </c>
      <c r="I24" s="47">
        <f t="shared" ref="I24:L28" si="7">+I6</f>
        <v>-2.9326111983040981</v>
      </c>
      <c r="J24" s="47">
        <f t="shared" si="7"/>
        <v>-2.0365818403189628E-2</v>
      </c>
      <c r="K24" s="48">
        <f>+K6</f>
        <v>1037.7171762931614</v>
      </c>
      <c r="L24" s="48">
        <f>+L6</f>
        <v>621.62539631352035</v>
      </c>
      <c r="M24" s="52">
        <f>-0.05*N24*K24*(H24-1)-0.05*O24*L24*(H24-1)</f>
        <v>260.51596535979218</v>
      </c>
      <c r="N24" s="172">
        <f>+$N$3</f>
        <v>19</v>
      </c>
      <c r="O24" s="172">
        <f>+$O$3</f>
        <v>19</v>
      </c>
      <c r="P24" s="95">
        <f>+K24*(J24-0.05*N24*H24)-K24*(J24-0.05*N24)</f>
        <v>162.92108478104512</v>
      </c>
      <c r="Q24" s="95">
        <f>+L24*(I24-0.05*O24*H24)-L24*(I24-0.05*O24)</f>
        <v>97.594880578747052</v>
      </c>
      <c r="R24" s="95">
        <f>+P24+Q24</f>
        <v>260.51596535979218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2.3269864903158001E-2</v>
      </c>
      <c r="F25" s="185">
        <v>2.3049676153291999E-2</v>
      </c>
      <c r="G25" s="186">
        <v>1.00955279147532</v>
      </c>
      <c r="H25" s="42">
        <f>+E25/(1.2*F25)</f>
        <v>0.84129399289609819</v>
      </c>
      <c r="I25" s="47">
        <f t="shared" si="7"/>
        <v>0.8306439560845007</v>
      </c>
      <c r="J25" s="47">
        <f t="shared" si="7"/>
        <v>-0.53550335238929136</v>
      </c>
      <c r="K25" s="48">
        <f t="shared" si="7"/>
        <v>16812.04968410861</v>
      </c>
      <c r="L25" s="48">
        <f t="shared" si="7"/>
        <v>3860.0577323503649</v>
      </c>
      <c r="M25" s="52">
        <f>-0.05*N25*K25*(H25-1)-0.05*O25*L25*(H25-1)</f>
        <v>3116.748245164702</v>
      </c>
      <c r="N25" s="172">
        <f t="shared" ref="N25:N34" si="8">+$N$3</f>
        <v>19</v>
      </c>
      <c r="O25" s="172">
        <f t="shared" ref="O25:O34" si="9">+$O$3</f>
        <v>19</v>
      </c>
      <c r="P25" s="95">
        <f>+K25*(J25-0.05*N25*H25)-K25*(J25-0.05*N25)</f>
        <v>2534.764612767427</v>
      </c>
      <c r="Q25" s="95">
        <f>+L25*(I25-0.05*O25*H25)-L25*(I25-0.05*O25)</f>
        <v>581.98363239727485</v>
      </c>
      <c r="R25" s="95">
        <f>+P25+Q25</f>
        <v>3116.748245164702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2.25073034412667E-2</v>
      </c>
      <c r="F26" s="185">
        <v>2.2113078377506298E-2</v>
      </c>
      <c r="G26" s="186">
        <v>1.0178276880780801</v>
      </c>
      <c r="H26" s="42">
        <f>+E26/(1.2*F26)</f>
        <v>0.84818974006506975</v>
      </c>
      <c r="I26" s="47">
        <f t="shared" si="7"/>
        <v>1.1589291342838006</v>
      </c>
      <c r="J26" s="47">
        <f t="shared" si="7"/>
        <v>-0.75291679505645082</v>
      </c>
      <c r="K26" s="48">
        <f t="shared" si="7"/>
        <v>19335.612627009203</v>
      </c>
      <c r="L26" s="48">
        <f t="shared" si="7"/>
        <v>4537.2424515248886</v>
      </c>
      <c r="M26" s="52">
        <f>-0.05*N26*K26*(H26-1)-0.05*O26*L26*(H26-1)</f>
        <v>3442.9371181181214</v>
      </c>
      <c r="N26" s="172">
        <f t="shared" si="8"/>
        <v>19</v>
      </c>
      <c r="O26" s="172">
        <f t="shared" si="9"/>
        <v>19</v>
      </c>
      <c r="P26" s="95">
        <f>+K26*(J26-0.05*N26*H26)-K26*(J26-0.05*N26)</f>
        <v>2788.5771599620202</v>
      </c>
      <c r="Q26" s="95">
        <f>+L26*(I26-0.05*O26*H26)-L26*(I26-0.05*O26)</f>
        <v>654.35995815610374</v>
      </c>
      <c r="R26" s="95">
        <f>+P26+Q26</f>
        <v>3442.9371181181241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2.1237993570816599E-2</v>
      </c>
      <c r="F27" s="185">
        <v>2.0703822987484799E-2</v>
      </c>
      <c r="G27" s="186">
        <v>1.02580057720039</v>
      </c>
      <c r="H27" s="42">
        <f>+E27/(1.2*F27)</f>
        <v>0.8548338143336579</v>
      </c>
      <c r="I27" s="47">
        <f t="shared" si="7"/>
        <v>1.3731798412113001</v>
      </c>
      <c r="J27" s="47">
        <f t="shared" si="7"/>
        <v>-0.85023339119852093</v>
      </c>
      <c r="K27" s="48">
        <f t="shared" si="7"/>
        <v>16435.911754547255</v>
      </c>
      <c r="L27" s="48">
        <f t="shared" si="7"/>
        <v>3730.6589554849493</v>
      </c>
      <c r="M27" s="52">
        <f>-0.05*N27*K27*(H27-1)-0.05*O27*L27*(H27-1)</f>
        <v>2781.1289405486541</v>
      </c>
      <c r="N27" s="172">
        <f t="shared" si="8"/>
        <v>19</v>
      </c>
      <c r="O27" s="172">
        <f t="shared" si="9"/>
        <v>19</v>
      </c>
      <c r="P27" s="95">
        <f>+K27*(J27-0.05*N27*H27)-K27*(J27-0.05*N27)</f>
        <v>2266.6416864884122</v>
      </c>
      <c r="Q27" s="95">
        <f>+L27*(I27-0.05*O27*H27)-L27*(I27-0.05*O27)</f>
        <v>514.48725406024369</v>
      </c>
      <c r="R27" s="95">
        <f>+P27+Q27</f>
        <v>2781.1289405486559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1.9496096144599899E-2</v>
      </c>
      <c r="F28" s="185">
        <v>1.8869871558167901E-2</v>
      </c>
      <c r="G28" s="186">
        <v>1.03318647848247</v>
      </c>
      <c r="H28" s="42">
        <f>+E28/(1.2*F28)</f>
        <v>0.86098873206872006</v>
      </c>
      <c r="I28" s="47">
        <f t="shared" si="7"/>
        <v>1.5703415868655011</v>
      </c>
      <c r="J28" s="47">
        <f t="shared" si="7"/>
        <v>-0.94152007284358064</v>
      </c>
      <c r="K28" s="48">
        <f t="shared" si="7"/>
        <v>13964.971650542104</v>
      </c>
      <c r="L28" s="48">
        <f t="shared" si="7"/>
        <v>3123.8998133373148</v>
      </c>
      <c r="M28" s="52">
        <f>-0.05*N28*K28*(H28-1)-0.05*O28*L28*(H28-1)</f>
        <v>2256.7684052231189</v>
      </c>
      <c r="N28" s="172">
        <f t="shared" si="8"/>
        <v>19</v>
      </c>
      <c r="O28" s="172">
        <f t="shared" si="9"/>
        <v>19</v>
      </c>
      <c r="P28" s="95">
        <f>+K28*(J28-0.05*N28*H28)-K28*(J28-0.05*N28)</f>
        <v>1844.223994977925</v>
      </c>
      <c r="Q28" s="95">
        <f>+L28*(I28-0.05*O28*H28)-L28*(I28-0.05*O28)</f>
        <v>412.54441024519338</v>
      </c>
      <c r="R28" s="95">
        <f>+P28+Q28</f>
        <v>2256.7684052231184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1.7350926051536202E-2</v>
      </c>
      <c r="F29" s="185">
        <v>1.6677014162665899E-2</v>
      </c>
      <c r="G29" s="186">
        <v>1.04040962502622</v>
      </c>
      <c r="H29" s="42">
        <f t="shared" ref="H29:H34" si="10">+E29/(1.2*F29)</f>
        <v>0.86700802085518403</v>
      </c>
      <c r="I29" s="47">
        <f t="shared" ref="I29:L34" si="11">+I11</f>
        <v>1.751961756783901</v>
      </c>
      <c r="J29" s="47">
        <f t="shared" si="11"/>
        <v>-1.0279767814746608</v>
      </c>
      <c r="K29" s="48">
        <f t="shared" si="11"/>
        <v>12008.958864465356</v>
      </c>
      <c r="L29" s="48">
        <f t="shared" si="11"/>
        <v>2688.4845994320813</v>
      </c>
      <c r="M29" s="52">
        <f t="shared" ref="M29:M34" si="12">-0.05*N29*K29*(H29-1)-0.05*O29*L29*(H29-1)</f>
        <v>1856.9099899011219</v>
      </c>
      <c r="N29" s="172">
        <f t="shared" si="8"/>
        <v>19</v>
      </c>
      <c r="O29" s="172">
        <f t="shared" si="9"/>
        <v>19</v>
      </c>
      <c r="P29" s="95">
        <f t="shared" ref="P29:P34" si="13">+K29*(J29-0.05*N29*H29)-K29*(J29-0.05*N29)</f>
        <v>1517.240446511234</v>
      </c>
      <c r="Q29" s="95">
        <f t="shared" ref="Q29:Q34" si="14">+L29*(I29-0.05*O29*H29)-L29*(I29-0.05*O29)</f>
        <v>339.66954338988853</v>
      </c>
      <c r="R29" s="95">
        <f t="shared" ref="R29:R34" si="15">+P29+Q29</f>
        <v>1856.9099899011226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1.48663794695856E-2</v>
      </c>
      <c r="F30" s="185">
        <v>1.41888160464989E-2</v>
      </c>
      <c r="G30" s="186">
        <v>1.0477533446671099</v>
      </c>
      <c r="H30" s="42">
        <f t="shared" si="10"/>
        <v>0.87312778722259266</v>
      </c>
      <c r="I30" s="47">
        <f t="shared" si="11"/>
        <v>1.9155766286876013</v>
      </c>
      <c r="J30" s="47">
        <f t="shared" si="11"/>
        <v>-1.1086534845013007</v>
      </c>
      <c r="K30" s="48">
        <f t="shared" si="11"/>
        <v>10414.460526033949</v>
      </c>
      <c r="L30" s="48">
        <f t="shared" si="11"/>
        <v>2330.9018294483735</v>
      </c>
      <c r="M30" s="52">
        <f t="shared" si="12"/>
        <v>1536.1807084554155</v>
      </c>
      <c r="N30" s="172">
        <f t="shared" si="8"/>
        <v>19</v>
      </c>
      <c r="O30" s="172">
        <f t="shared" si="9"/>
        <v>19</v>
      </c>
      <c r="P30" s="95">
        <f t="shared" si="13"/>
        <v>1255.2403692298431</v>
      </c>
      <c r="Q30" s="95">
        <f t="shared" si="14"/>
        <v>280.94033922557082</v>
      </c>
      <c r="R30" s="95">
        <f t="shared" si="15"/>
        <v>1536.1807084554139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1.21017871035157E-2</v>
      </c>
      <c r="F31" s="185">
        <v>1.14784820350834E-2</v>
      </c>
      <c r="G31" s="186">
        <v>1.05430204677998</v>
      </c>
      <c r="H31" s="42">
        <f t="shared" si="10"/>
        <v>0.87858503898331974</v>
      </c>
      <c r="I31" s="47">
        <f t="shared" si="11"/>
        <v>1.9319410803118</v>
      </c>
      <c r="J31" s="47">
        <f t="shared" si="11"/>
        <v>-1.0917835550246506</v>
      </c>
      <c r="K31" s="48">
        <f t="shared" si="11"/>
        <v>9035.8206287538032</v>
      </c>
      <c r="L31" s="48">
        <f t="shared" si="11"/>
        <v>2014.2696601478938</v>
      </c>
      <c r="M31" s="52">
        <f t="shared" si="12"/>
        <v>1274.5639675749067</v>
      </c>
      <c r="N31" s="172">
        <f t="shared" si="8"/>
        <v>19</v>
      </c>
      <c r="O31" s="172">
        <f t="shared" si="9"/>
        <v>19</v>
      </c>
      <c r="P31" s="95">
        <f t="shared" si="13"/>
        <v>1042.2296189241679</v>
      </c>
      <c r="Q31" s="95">
        <f t="shared" si="14"/>
        <v>232.33434865074173</v>
      </c>
      <c r="R31" s="95">
        <f t="shared" si="15"/>
        <v>1274.5639675749096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9.1118138726994993E-3</v>
      </c>
      <c r="F32" s="185">
        <v>8.6092556481042106E-3</v>
      </c>
      <c r="G32" s="186">
        <v>1.0583741783421099</v>
      </c>
      <c r="H32" s="42">
        <f t="shared" si="10"/>
        <v>0.88197848195176187</v>
      </c>
      <c r="I32" s="47">
        <f t="shared" si="11"/>
        <v>1.9766844151292986</v>
      </c>
      <c r="J32" s="47">
        <f t="shared" si="11"/>
        <v>-1.0913482492031106</v>
      </c>
      <c r="K32" s="48">
        <f t="shared" si="11"/>
        <v>7592.7212389283623</v>
      </c>
      <c r="L32" s="48">
        <f t="shared" si="11"/>
        <v>1682.0182964470343</v>
      </c>
      <c r="M32" s="52">
        <f t="shared" si="12"/>
        <v>1039.8878974936645</v>
      </c>
      <c r="N32" s="172">
        <f t="shared" si="8"/>
        <v>19</v>
      </c>
      <c r="O32" s="172">
        <f t="shared" si="9"/>
        <v>19</v>
      </c>
      <c r="P32" s="95">
        <f t="shared" si="13"/>
        <v>851.29926239865563</v>
      </c>
      <c r="Q32" s="95">
        <f t="shared" si="14"/>
        <v>188.58863509501111</v>
      </c>
      <c r="R32" s="95">
        <f t="shared" si="15"/>
        <v>1039.8878974936667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5.9569596340828803E-3</v>
      </c>
      <c r="F33" s="185">
        <v>5.6322767697037299E-3</v>
      </c>
      <c r="G33" s="186">
        <v>1.0576468234170699</v>
      </c>
      <c r="H33" s="42">
        <f t="shared" si="10"/>
        <v>0.88137235284755455</v>
      </c>
      <c r="I33" s="47">
        <f t="shared" si="11"/>
        <v>1.8611501720357992</v>
      </c>
      <c r="J33" s="47">
        <f t="shared" si="11"/>
        <v>-0.98459799742843046</v>
      </c>
      <c r="K33" s="48">
        <f t="shared" si="11"/>
        <v>5797.2697998215472</v>
      </c>
      <c r="L33" s="48">
        <f t="shared" si="11"/>
        <v>1301.2855012529678</v>
      </c>
      <c r="M33" s="52">
        <f t="shared" si="12"/>
        <v>799.9806678705894</v>
      </c>
      <c r="N33" s="172">
        <f t="shared" si="8"/>
        <v>19</v>
      </c>
      <c r="O33" s="172">
        <f t="shared" si="9"/>
        <v>19</v>
      </c>
      <c r="P33" s="95">
        <f t="shared" si="13"/>
        <v>653.33065244772115</v>
      </c>
      <c r="Q33" s="95">
        <f t="shared" si="14"/>
        <v>146.65001542286882</v>
      </c>
      <c r="R33" s="95">
        <f t="shared" si="15"/>
        <v>799.98066787058997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2.7543039032016901E-3</v>
      </c>
      <c r="F34" s="188">
        <v>2.64370703120906E-3</v>
      </c>
      <c r="G34" s="189">
        <v>1.0418340121227601</v>
      </c>
      <c r="H34" s="42">
        <f t="shared" si="10"/>
        <v>0.86819501010230138</v>
      </c>
      <c r="I34" s="47">
        <f t="shared" si="11"/>
        <v>1.2877602559370001</v>
      </c>
      <c r="J34" s="47">
        <f t="shared" si="11"/>
        <v>-0.56696182439995013</v>
      </c>
      <c r="K34" s="48">
        <f t="shared" si="11"/>
        <v>3284.1297755186702</v>
      </c>
      <c r="L34" s="48">
        <f t="shared" si="11"/>
        <v>732.57933361123617</v>
      </c>
      <c r="M34" s="52">
        <f t="shared" si="12"/>
        <v>502.9511883733183</v>
      </c>
      <c r="N34" s="172">
        <f t="shared" si="8"/>
        <v>19</v>
      </c>
      <c r="O34" s="172">
        <f t="shared" si="9"/>
        <v>19</v>
      </c>
      <c r="P34" s="95">
        <f t="shared" si="13"/>
        <v>411.22145729072145</v>
      </c>
      <c r="Q34" s="95">
        <f t="shared" si="14"/>
        <v>91.729731082597198</v>
      </c>
      <c r="R34" s="95">
        <f t="shared" si="15"/>
        <v>502.95118837331864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3.0362680361455799E-2</v>
      </c>
      <c r="F42" s="185">
        <v>3.0362341340691601E-2</v>
      </c>
      <c r="G42" s="186">
        <v>1.00001116583074</v>
      </c>
      <c r="H42" s="42">
        <f>+E42/(1.2*F42)</f>
        <v>0.83334263819228105</v>
      </c>
      <c r="I42" s="181">
        <f>+I24</f>
        <v>-2.9326111983040981</v>
      </c>
      <c r="J42" s="181">
        <f>+J24</f>
        <v>-2.0365818403189628E-2</v>
      </c>
      <c r="K42" s="48">
        <f>IF(+'Sismo UBC-94 y Dinamico'!O34=0,'Sismo UBC-94 y Dinamico'!M34,'Sismo UBC-94 y Dinamico'!O34)</f>
        <v>518.82144344526705</v>
      </c>
      <c r="L42" s="48">
        <f>IF(+'Sismo UBC-94 y Dinamico'!P34=0,'Sismo UBC-94 y Dinamico'!N34,'Sismo UBC-94 y Dinamico'!P34)</f>
        <v>880.84539538764398</v>
      </c>
      <c r="M42" s="52">
        <f>0.05*N42*K42*(H42-1)+0.05*O42*L42*(H42-1)</f>
        <v>-221.60154363116058</v>
      </c>
      <c r="N42" s="172">
        <f>+$N$3</f>
        <v>19</v>
      </c>
      <c r="O42" s="172">
        <f>+$O$3</f>
        <v>19</v>
      </c>
      <c r="P42" s="95">
        <f>+K42*(J42+0.05*N42*H42)-K42*(J42+0.05*N42)</f>
        <v>-82.142142363167864</v>
      </c>
      <c r="Q42" s="95">
        <f>+L42*(I42+0.05*O42*H42)-L42*(I42+0.05*O42)</f>
        <v>-139.45940126799292</v>
      </c>
      <c r="R42" s="95">
        <f>+P42+Q42</f>
        <v>-221.60154363116078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2.97690128118661E-2</v>
      </c>
      <c r="F43" s="185">
        <v>2.9278252745002301E-2</v>
      </c>
      <c r="G43" s="186">
        <v>1.01676193149701</v>
      </c>
      <c r="H43" s="42">
        <f t="shared" ref="H43:H52" si="16">+E43/(1.2*F43)</f>
        <v>0.84730160958083955</v>
      </c>
      <c r="I43" s="181">
        <f t="shared" ref="I43:J43" si="17">+I25</f>
        <v>0.8306439560845007</v>
      </c>
      <c r="J43" s="181">
        <f t="shared" si="17"/>
        <v>-0.53550335238929136</v>
      </c>
      <c r="K43" s="48">
        <f>IF(+'Sismo UBC-94 y Dinamico'!O35=0,'Sismo UBC-94 y Dinamico'!M35,'Sismo UBC-94 y Dinamico'!O35)</f>
        <v>4434.7954514812045</v>
      </c>
      <c r="L43" s="48">
        <f>IF(+'Sismo UBC-94 y Dinamico'!P35=0,'Sismo UBC-94 y Dinamico'!N35,'Sismo UBC-94 y Dinamico'!P35)</f>
        <v>17441.004693917806</v>
      </c>
      <c r="M43" s="52">
        <f>0.05*N43*K43*(H43-1)+0.05*O43*L43*(H43-1)</f>
        <v>-3173.3794977669822</v>
      </c>
      <c r="N43" s="172">
        <f t="shared" ref="N43:N52" si="18">+$N$3</f>
        <v>19</v>
      </c>
      <c r="O43" s="172">
        <f t="shared" ref="O43:O52" si="19">+$O$3</f>
        <v>19</v>
      </c>
      <c r="P43" s="95">
        <f>+K43*(J43+0.05*N43*H43)-K43*(J43+0.05*N43)</f>
        <v>-643.32682091542438</v>
      </c>
      <c r="Q43" s="95">
        <f>+L43*(I43+0.05*O43*H43)-L43*(I43+0.05*O43)</f>
        <v>-2530.0526768515629</v>
      </c>
      <c r="R43" s="95">
        <f>+P43+Q43</f>
        <v>-3173.3794977669872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2.8772542959535099E-2</v>
      </c>
      <c r="F44" s="185">
        <v>2.7955523830052301E-2</v>
      </c>
      <c r="G44" s="186">
        <v>1.02922567770325</v>
      </c>
      <c r="H44" s="42">
        <f t="shared" si="16"/>
        <v>0.85768806475271331</v>
      </c>
      <c r="I44" s="181">
        <f t="shared" ref="I44:J44" si="20">+I26</f>
        <v>1.1589291342838006</v>
      </c>
      <c r="J44" s="181">
        <f t="shared" si="20"/>
        <v>-0.75291679505645082</v>
      </c>
      <c r="K44" s="48">
        <f>IF(+'Sismo UBC-94 y Dinamico'!O36=0,'Sismo UBC-94 y Dinamico'!M36,'Sismo UBC-94 y Dinamico'!O36)</f>
        <v>5218.6442443759042</v>
      </c>
      <c r="L44" s="48">
        <f>IF(+'Sismo UBC-94 y Dinamico'!P36=0,'Sismo UBC-94 y Dinamico'!N36,'Sismo UBC-94 y Dinamico'!P36)</f>
        <v>19584.522063025175</v>
      </c>
      <c r="M44" s="52">
        <f>0.05*N44*K44*(H44-1)+0.05*O44*L44*(H44-1)</f>
        <v>-3353.2972675932183</v>
      </c>
      <c r="N44" s="172">
        <f t="shared" si="18"/>
        <v>19</v>
      </c>
      <c r="O44" s="172">
        <f t="shared" si="19"/>
        <v>19</v>
      </c>
      <c r="P44" s="95">
        <f>+K44*(J44+0.05*N44*H44)-K44*(J44+0.05*N44)</f>
        <v>-705.54159369503691</v>
      </c>
      <c r="Q44" s="95">
        <f>+L44*(I44+0.05*O44*H44)-L44*(I44+0.05*O44)</f>
        <v>-2647.7556738981875</v>
      </c>
      <c r="R44" s="95">
        <f>+P44+Q44</f>
        <v>-3353.2972675932242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2.7123418990232601E-2</v>
      </c>
      <c r="F45" s="185">
        <v>2.6052883637281699E-2</v>
      </c>
      <c r="G45" s="186">
        <v>1.04109085841918</v>
      </c>
      <c r="H45" s="42">
        <f t="shared" si="16"/>
        <v>0.86757571534931632</v>
      </c>
      <c r="I45" s="181">
        <f t="shared" ref="I45:J45" si="21">+I27</f>
        <v>1.3731798412113001</v>
      </c>
      <c r="J45" s="181">
        <f t="shared" si="21"/>
        <v>-0.85023339119852093</v>
      </c>
      <c r="K45" s="48">
        <f>IF(+'Sismo UBC-94 y Dinamico'!O37=0,'Sismo UBC-94 y Dinamico'!M37,'Sismo UBC-94 y Dinamico'!O37)</f>
        <v>4316.0512328661625</v>
      </c>
      <c r="L45" s="48">
        <f>IF(+'Sismo UBC-94 y Dinamico'!P37=0,'Sismo UBC-94 y Dinamico'!N37,'Sismo UBC-94 y Dinamico'!P37)</f>
        <v>16237.01973335519</v>
      </c>
      <c r="M45" s="52">
        <f>0.05*N45*K45*(H45-1)+0.05*O45*L45*(H45-1)</f>
        <v>-2585.6394340727688</v>
      </c>
      <c r="N45" s="172">
        <f t="shared" si="18"/>
        <v>19</v>
      </c>
      <c r="O45" s="172">
        <f t="shared" si="19"/>
        <v>19</v>
      </c>
      <c r="P45" s="95">
        <f>+K45*(J45+0.05*N45*H45)-K45*(J45+0.05*N45)</f>
        <v>-542.97249717660293</v>
      </c>
      <c r="Q45" s="95">
        <f>+L45*(I45+0.05*O45*H45)-L45*(I45+0.05*O45)</f>
        <v>-2042.6669368961739</v>
      </c>
      <c r="R45" s="95">
        <f>+P45+Q45</f>
        <v>-2585.6394340727766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2.4863777716491599E-2</v>
      </c>
      <c r="F46" s="185">
        <v>2.3632194615952298E-2</v>
      </c>
      <c r="G46" s="186">
        <v>1.0521146309326601</v>
      </c>
      <c r="H46" s="42">
        <f t="shared" si="16"/>
        <v>0.87676219244388875</v>
      </c>
      <c r="I46" s="181">
        <f t="shared" ref="I46:J46" si="22">+I28</f>
        <v>1.5703415868655011</v>
      </c>
      <c r="J46" s="181">
        <f t="shared" si="22"/>
        <v>-0.94152007284358064</v>
      </c>
      <c r="K46" s="48">
        <f>IF(+'Sismo UBC-94 y Dinamico'!O38=0,'Sismo UBC-94 y Dinamico'!M38,'Sismo UBC-94 y Dinamico'!O38)</f>
        <v>3621.4152054156498</v>
      </c>
      <c r="L46" s="48">
        <f>IF(+'Sismo UBC-94 y Dinamico'!P38=0,'Sismo UBC-94 y Dinamico'!N38,'Sismo UBC-94 y Dinamico'!P38)</f>
        <v>13477.844014506596</v>
      </c>
      <c r="M46" s="52">
        <f>0.05*N46*K46*(H46-1)+0.05*O46*L46*(H46-1)</f>
        <v>-2001.9114562419968</v>
      </c>
      <c r="N46" s="172">
        <f t="shared" si="18"/>
        <v>19</v>
      </c>
      <c r="O46" s="172">
        <f t="shared" si="19"/>
        <v>19</v>
      </c>
      <c r="P46" s="95">
        <f>+K46*(J46+0.05*N46*H46)-K46*(J46+0.05*N46)</f>
        <v>-423.98050665749946</v>
      </c>
      <c r="Q46" s="95">
        <f>+L46*(I46+0.05*O46*H46)-L46*(I46+0.05*O46)</f>
        <v>-1577.9309495844973</v>
      </c>
      <c r="R46" s="95">
        <f>+P46+Q46</f>
        <v>-2001.9114562419968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2.2089211051187999E-2</v>
      </c>
      <c r="F47" s="185">
        <v>2.0781971561814001E-2</v>
      </c>
      <c r="G47" s="186">
        <v>1.06290257329464</v>
      </c>
      <c r="H47" s="42">
        <f t="shared" si="16"/>
        <v>0.88575214441219474</v>
      </c>
      <c r="I47" s="181">
        <f t="shared" ref="I47:J47" si="23">+I29</f>
        <v>1.751961756783901</v>
      </c>
      <c r="J47" s="181">
        <f t="shared" si="23"/>
        <v>-1.0279767814746608</v>
      </c>
      <c r="K47" s="48">
        <f>IF(+'Sismo UBC-94 y Dinamico'!O39=0,'Sismo UBC-94 y Dinamico'!M39,'Sismo UBC-94 y Dinamico'!O39)</f>
        <v>3119.3511560554543</v>
      </c>
      <c r="L47" s="48">
        <f>IF(+'Sismo UBC-94 y Dinamico'!P39=0,'Sismo UBC-94 y Dinamico'!N39,'Sismo UBC-94 y Dinamico'!P39)</f>
        <v>11448.845962470627</v>
      </c>
      <c r="M47" s="52">
        <f t="shared" ref="M47:M52" si="24">0.05*N47*K47*(H47-1)+0.05*O47*L47*(H47-1)</f>
        <v>-1581.1660165434459</v>
      </c>
      <c r="N47" s="172">
        <f t="shared" si="18"/>
        <v>19</v>
      </c>
      <c r="O47" s="172">
        <f t="shared" si="19"/>
        <v>19</v>
      </c>
      <c r="P47" s="95">
        <f t="shared" ref="P47:P52" si="25">+K47*(J47+0.05*N47*H47)-K47*(J47+0.05*N47)</f>
        <v>-338.56022138444297</v>
      </c>
      <c r="Q47" s="95">
        <f t="shared" ref="Q47:Q52" si="26">+L47*(I47+0.05*O47*H47)-L47*(I47+0.05*O47)</f>
        <v>-1242.605795159001</v>
      </c>
      <c r="R47" s="95">
        <f t="shared" ref="R47:R52" si="27">+P47+Q47</f>
        <v>-1581.1660165434439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1.8883880863196801E-2</v>
      </c>
      <c r="F48" s="185">
        <v>1.7584482159897202E-2</v>
      </c>
      <c r="G48" s="186">
        <v>1.0738946243332099</v>
      </c>
      <c r="H48" s="42">
        <f t="shared" si="16"/>
        <v>0.89491218694433994</v>
      </c>
      <c r="I48" s="181">
        <f t="shared" ref="I48:J48" si="28">+I30</f>
        <v>1.9155766286876013</v>
      </c>
      <c r="J48" s="181">
        <f t="shared" si="28"/>
        <v>-1.1086534845013007</v>
      </c>
      <c r="K48" s="48">
        <f>IF(+'Sismo UBC-94 y Dinamico'!O40=0,'Sismo UBC-94 y Dinamico'!M40,'Sismo UBC-94 y Dinamico'!O40)</f>
        <v>2723.1157046585117</v>
      </c>
      <c r="L48" s="48">
        <f>IF(+'Sismo UBC-94 y Dinamico'!P40=0,'Sismo UBC-94 y Dinamico'!N40,'Sismo UBC-94 y Dinamico'!P40)</f>
        <v>9996.0600420300052</v>
      </c>
      <c r="M48" s="52">
        <f t="shared" si="24"/>
        <v>-1269.7988449355839</v>
      </c>
      <c r="N48" s="172">
        <f t="shared" si="18"/>
        <v>19</v>
      </c>
      <c r="O48" s="172">
        <f t="shared" si="19"/>
        <v>19</v>
      </c>
      <c r="P48" s="95">
        <f t="shared" si="25"/>
        <v>-271.85796039508148</v>
      </c>
      <c r="Q48" s="95">
        <f t="shared" si="26"/>
        <v>-997.94088454050507</v>
      </c>
      <c r="R48" s="95">
        <f t="shared" si="27"/>
        <v>-1269.7988449355867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1.5312909879838001E-2</v>
      </c>
      <c r="F49" s="185">
        <v>1.41191992009223E-2</v>
      </c>
      <c r="G49" s="186">
        <v>1.08454521123533</v>
      </c>
      <c r="H49" s="42">
        <f t="shared" si="16"/>
        <v>0.90378767602944299</v>
      </c>
      <c r="I49" s="181">
        <f t="shared" ref="I49:J49" si="29">+I31</f>
        <v>1.9319410803118</v>
      </c>
      <c r="J49" s="181">
        <f t="shared" si="29"/>
        <v>-1.0917835550246506</v>
      </c>
      <c r="K49" s="48">
        <f>IF(+'Sismo UBC-94 y Dinamico'!O41=0,'Sismo UBC-94 y Dinamico'!M41,'Sismo UBC-94 y Dinamico'!O41)</f>
        <v>2371.6044731982324</v>
      </c>
      <c r="L49" s="48">
        <f>IF(+'Sismo UBC-94 y Dinamico'!P41=0,'Sismo UBC-94 y Dinamico'!N41,'Sismo UBC-94 y Dinamico'!P41)</f>
        <v>8854.5030030734179</v>
      </c>
      <c r="M49" s="52">
        <f t="shared" si="24"/>
        <v>-1026.0853949635732</v>
      </c>
      <c r="N49" s="172">
        <f t="shared" si="18"/>
        <v>19</v>
      </c>
      <c r="O49" s="172">
        <f t="shared" si="19"/>
        <v>19</v>
      </c>
      <c r="P49" s="95">
        <f t="shared" si="25"/>
        <v>-216.76869901010195</v>
      </c>
      <c r="Q49" s="95">
        <f t="shared" si="26"/>
        <v>-809.31669595347194</v>
      </c>
      <c r="R49" s="95">
        <f t="shared" si="27"/>
        <v>-1026.0853949635739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1.1434369267416099E-2</v>
      </c>
      <c r="F50" s="185">
        <v>1.0458771645248E-2</v>
      </c>
      <c r="G50" s="186">
        <v>1.09328032538232</v>
      </c>
      <c r="H50" s="42">
        <f t="shared" si="16"/>
        <v>0.91106693781859882</v>
      </c>
      <c r="I50" s="181">
        <f t="shared" ref="I50:J50" si="30">+I32</f>
        <v>1.9766844151292986</v>
      </c>
      <c r="J50" s="181">
        <f t="shared" si="30"/>
        <v>-1.0913482492031106</v>
      </c>
      <c r="K50" s="48">
        <f>IF(+'Sismo UBC-94 y Dinamico'!O42=0,'Sismo UBC-94 y Dinamico'!M42,'Sismo UBC-94 y Dinamico'!O42)</f>
        <v>2012.3940509882771</v>
      </c>
      <c r="L50" s="48">
        <f>IF(+'Sismo UBC-94 y Dinamico'!P42=0,'Sismo UBC-94 y Dinamico'!N42,'Sismo UBC-94 y Dinamico'!P42)</f>
        <v>7631.3656730182211</v>
      </c>
      <c r="M50" s="52">
        <f t="shared" si="24"/>
        <v>-814.7666290376842</v>
      </c>
      <c r="N50" s="172">
        <f t="shared" si="18"/>
        <v>19</v>
      </c>
      <c r="O50" s="172">
        <f t="shared" si="19"/>
        <v>19</v>
      </c>
      <c r="P50" s="95">
        <f t="shared" si="25"/>
        <v>-170.01994700652125</v>
      </c>
      <c r="Q50" s="95">
        <f t="shared" si="26"/>
        <v>-644.7466820311638</v>
      </c>
      <c r="R50" s="95">
        <f t="shared" si="27"/>
        <v>-814.76662903768511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7.33899833834339E-3</v>
      </c>
      <c r="F51" s="185">
        <v>6.6857232116291302E-3</v>
      </c>
      <c r="G51" s="186">
        <v>1.0977119611499799</v>
      </c>
      <c r="H51" s="42">
        <f t="shared" si="16"/>
        <v>0.91475996762498757</v>
      </c>
      <c r="I51" s="181">
        <f t="shared" ref="I51:J51" si="31">+I33</f>
        <v>1.8611501720357992</v>
      </c>
      <c r="J51" s="181">
        <f t="shared" si="31"/>
        <v>-0.98459799742843046</v>
      </c>
      <c r="K51" s="48">
        <f>IF(+'Sismo UBC-94 y Dinamico'!O43=0,'Sismo UBC-94 y Dinamico'!M43,'Sismo UBC-94 y Dinamico'!O43)</f>
        <v>1587.2889053534607</v>
      </c>
      <c r="L51" s="48">
        <f>IF(+'Sismo UBC-94 y Dinamico'!P43=0,'Sismo UBC-94 y Dinamico'!N43,'Sismo UBC-94 y Dinamico'!P43)</f>
        <v>5964.0945599098441</v>
      </c>
      <c r="M51" s="52">
        <f t="shared" si="24"/>
        <v>-611.49616250241877</v>
      </c>
      <c r="N51" s="172">
        <f t="shared" si="18"/>
        <v>19</v>
      </c>
      <c r="O51" s="172">
        <f t="shared" si="19"/>
        <v>19</v>
      </c>
      <c r="P51" s="95">
        <f t="shared" si="25"/>
        <v>-128.53552979678577</v>
      </c>
      <c r="Q51" s="95">
        <f t="shared" si="26"/>
        <v>-482.96063270563354</v>
      </c>
      <c r="R51" s="95">
        <f t="shared" si="27"/>
        <v>-611.49616250241934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3.23981013052064E-3</v>
      </c>
      <c r="F52" s="188">
        <v>2.97763190200702E-3</v>
      </c>
      <c r="G52" s="189">
        <v>1.0880492408537501</v>
      </c>
      <c r="H52" s="42">
        <f t="shared" si="16"/>
        <v>0.90670770071145679</v>
      </c>
      <c r="I52" s="181">
        <f t="shared" ref="I52:J52" si="32">+I34</f>
        <v>1.2877602559370001</v>
      </c>
      <c r="J52" s="181">
        <f t="shared" si="32"/>
        <v>-0.56696182439995013</v>
      </c>
      <c r="K52" s="48">
        <f>IF(+'Sismo UBC-94 y Dinamico'!O44=0,'Sismo UBC-94 y Dinamico'!M44,'Sismo UBC-94 y Dinamico'!O44)</f>
        <v>923.60305586278434</v>
      </c>
      <c r="L52" s="48">
        <f>IF(+'Sismo UBC-94 y Dinamico'!P44=0,'Sismo UBC-94 y Dinamico'!N44,'Sismo UBC-94 y Dinamico'!P44)</f>
        <v>3377.1438000201351</v>
      </c>
      <c r="M52" s="52">
        <f t="shared" si="24"/>
        <v>-381.16523470112605</v>
      </c>
      <c r="N52" s="172">
        <f t="shared" si="18"/>
        <v>19</v>
      </c>
      <c r="O52" s="172">
        <f t="shared" si="19"/>
        <v>19</v>
      </c>
      <c r="P52" s="95">
        <f t="shared" si="25"/>
        <v>-81.856800075795775</v>
      </c>
      <c r="Q52" s="95">
        <f t="shared" si="26"/>
        <v>-299.30843462533085</v>
      </c>
      <c r="R52" s="95">
        <f t="shared" si="27"/>
        <v>-381.16523470112662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2.7559086199904801E-2</v>
      </c>
      <c r="F60" s="185">
        <v>2.65627668925403E-2</v>
      </c>
      <c r="G60" s="186">
        <v>1.03750811470036</v>
      </c>
      <c r="H60" s="42">
        <f>+E60/(1.2*F60)</f>
        <v>0.86459009558363886</v>
      </c>
      <c r="I60" s="181">
        <f>+I42</f>
        <v>-2.9326111983040981</v>
      </c>
      <c r="J60" s="181">
        <f>+J42</f>
        <v>-2.0365818403189628E-2</v>
      </c>
      <c r="K60" s="48">
        <f>+K42</f>
        <v>518.82144344526705</v>
      </c>
      <c r="L60" s="48">
        <f>+L42</f>
        <v>880.84539538764398</v>
      </c>
      <c r="M60" s="52">
        <f>-0.05*N60*K60*(H60-1)-0.05*O60*L60*(H60-1)</f>
        <v>180.05231521805911</v>
      </c>
      <c r="N60" s="172">
        <f>+$N$3</f>
        <v>19</v>
      </c>
      <c r="O60" s="172">
        <f>+$O$3</f>
        <v>19</v>
      </c>
      <c r="P60" s="95">
        <f>+K60*(J60-0.05*N60*H60)-K60*(J60-0.05*N60)</f>
        <v>66.740883962778014</v>
      </c>
      <c r="Q60" s="95">
        <f>+L60*(I60-0.05*O60*H60)-L60*(I60-0.05*O60)</f>
        <v>113.31143125528115</v>
      </c>
      <c r="R60" s="95">
        <f>+P60+Q60</f>
        <v>180.05231521805916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3.4495728466798603E-2</v>
      </c>
      <c r="F61" s="185">
        <v>2.9339673834491299E-2</v>
      </c>
      <c r="G61" s="186">
        <v>1.17573660366483</v>
      </c>
      <c r="H61" s="42">
        <f t="shared" ref="H61:H70" si="33">+E61/(1.2*F61)</f>
        <v>0.97978050305402287</v>
      </c>
      <c r="I61" s="181">
        <f t="shared" ref="I61:J61" si="34">+I43</f>
        <v>0.8306439560845007</v>
      </c>
      <c r="J61" s="181">
        <f t="shared" si="34"/>
        <v>-0.53550335238929136</v>
      </c>
      <c r="K61" s="48">
        <f t="shared" ref="K61:L64" si="35">+K43</f>
        <v>4434.7954514812045</v>
      </c>
      <c r="L61" s="48">
        <f t="shared" si="35"/>
        <v>17441.004693917806</v>
      </c>
      <c r="M61" s="52">
        <f>-0.05*N61*K61*(H61-1)-0.05*O61*L61*(H61-1)</f>
        <v>420.20179051916637</v>
      </c>
      <c r="N61" s="172">
        <f t="shared" ref="N61:N70" si="36">+$N$3</f>
        <v>19</v>
      </c>
      <c r="O61" s="172">
        <f t="shared" ref="O61:O70" si="37">+$O$3</f>
        <v>19</v>
      </c>
      <c r="P61" s="95">
        <f>+K61*(J61-0.05*N61*H61)-K61*(J61-0.05*N61)</f>
        <v>85.185866432895637</v>
      </c>
      <c r="Q61" s="95">
        <f>+L61*(I61-0.05*O61*H61)-L61*(I61-0.05*O61)</f>
        <v>335.01592408627175</v>
      </c>
      <c r="R61" s="95">
        <f>+P61+Q61</f>
        <v>420.20179051916739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3.3355164412766598E-2</v>
      </c>
      <c r="F62" s="185">
        <v>2.8057816505477999E-2</v>
      </c>
      <c r="G62" s="186">
        <v>1.1888011458858301</v>
      </c>
      <c r="H62" s="42">
        <f t="shared" si="33"/>
        <v>0.99066762157152499</v>
      </c>
      <c r="I62" s="181">
        <f t="shared" ref="I62:J62" si="38">+I44</f>
        <v>1.1589291342838006</v>
      </c>
      <c r="J62" s="181">
        <f t="shared" si="38"/>
        <v>-0.75291679505645082</v>
      </c>
      <c r="K62" s="48">
        <f t="shared" si="35"/>
        <v>5218.6442443759042</v>
      </c>
      <c r="L62" s="48">
        <f t="shared" si="35"/>
        <v>19584.522063025175</v>
      </c>
      <c r="M62" s="52">
        <f>-0.05*N62*K62*(H62-1)-0.05*O62*L62*(H62-1)</f>
        <v>219.89890749481455</v>
      </c>
      <c r="N62" s="172">
        <f t="shared" si="36"/>
        <v>19</v>
      </c>
      <c r="O62" s="172">
        <f t="shared" si="37"/>
        <v>19</v>
      </c>
      <c r="P62" s="95">
        <f>+K62*(J62-0.05*N62*H62)-K62*(J62-0.05*N62)</f>
        <v>46.267244823493456</v>
      </c>
      <c r="Q62" s="95">
        <f>+L62*(I62-0.05*O62*H62)-L62*(I62-0.05*O62)</f>
        <v>173.63166267132056</v>
      </c>
      <c r="R62" s="95">
        <f>+P62+Q62</f>
        <v>219.89890749481401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3.1456624772371197E-2</v>
      </c>
      <c r="F63" s="185">
        <v>2.6188951001359699E-2</v>
      </c>
      <c r="G63" s="186">
        <v>1.20114107551456</v>
      </c>
      <c r="H63" s="42">
        <f t="shared" si="33"/>
        <v>1.0009508962621301</v>
      </c>
      <c r="I63" s="181">
        <f t="shared" ref="I63:J63" si="39">+I45</f>
        <v>1.3731798412113001</v>
      </c>
      <c r="J63" s="181">
        <f t="shared" si="39"/>
        <v>-0.85023339119852093</v>
      </c>
      <c r="K63" s="48">
        <f t="shared" si="35"/>
        <v>4316.0512328661625</v>
      </c>
      <c r="L63" s="48">
        <f t="shared" si="35"/>
        <v>16237.01973335519</v>
      </c>
      <c r="M63" s="52">
        <f>-0.05*N63*K63*(H63-1)-0.05*O63*L63*(H63-1)</f>
        <v>-18.566646439220339</v>
      </c>
      <c r="N63" s="172">
        <f t="shared" si="36"/>
        <v>19</v>
      </c>
      <c r="O63" s="172">
        <f t="shared" si="37"/>
        <v>19</v>
      </c>
      <c r="P63" s="95">
        <f>+K63*(J63-0.05*N63*H63)-K63*(J63-0.05*N63)</f>
        <v>-3.8989111352684631</v>
      </c>
      <c r="Q63" s="95">
        <f>+L63*(I63-0.05*O63*H63)-L63*(I63-0.05*O63)</f>
        <v>-14.667735303950394</v>
      </c>
      <c r="R63" s="95">
        <f>+P63+Q63</f>
        <v>-18.566646439218857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2.8849811335247701E-2</v>
      </c>
      <c r="F64" s="185">
        <v>2.3790704980568199E-2</v>
      </c>
      <c r="G64" s="186">
        <v>1.21265054393351</v>
      </c>
      <c r="H64" s="42">
        <f t="shared" si="33"/>
        <v>1.0105421199445921</v>
      </c>
      <c r="I64" s="181">
        <f t="shared" ref="I64:J64" si="40">+I46</f>
        <v>1.5703415868655011</v>
      </c>
      <c r="J64" s="181">
        <f t="shared" si="40"/>
        <v>-0.94152007284358064</v>
      </c>
      <c r="K64" s="48">
        <f t="shared" si="35"/>
        <v>3621.4152054156498</v>
      </c>
      <c r="L64" s="48">
        <f t="shared" si="35"/>
        <v>13477.844014506596</v>
      </c>
      <c r="M64" s="52">
        <f>-0.05*N64*K64*(H64-1)-0.05*O64*L64*(H64-1)</f>
        <v>-171.24931957708782</v>
      </c>
      <c r="N64" s="172">
        <f t="shared" si="36"/>
        <v>19</v>
      </c>
      <c r="O64" s="172">
        <f t="shared" si="37"/>
        <v>19</v>
      </c>
      <c r="P64" s="95">
        <f>+K64*(J64-0.05*N64*H64)-K64*(J64-0.05*N64)</f>
        <v>-36.268523791428379</v>
      </c>
      <c r="Q64" s="95">
        <f>+L64*(I64-0.05*O64*H64)-L64*(I64-0.05*O64)</f>
        <v>-134.98079578565921</v>
      </c>
      <c r="R64" s="95">
        <f>+P64+Q64</f>
        <v>-171.24931957708759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2.5645643443769899E-2</v>
      </c>
      <c r="F65" s="185">
        <v>2.0952085948838399E-2</v>
      </c>
      <c r="G65" s="186">
        <v>1.2240138526728299</v>
      </c>
      <c r="H65" s="42">
        <f t="shared" si="33"/>
        <v>1.0200115438940227</v>
      </c>
      <c r="I65" s="181">
        <f t="shared" ref="I65:J65" si="41">+I47</f>
        <v>1.751961756783901</v>
      </c>
      <c r="J65" s="181">
        <f t="shared" si="41"/>
        <v>-1.0279767814746608</v>
      </c>
      <c r="K65" s="48">
        <f t="shared" ref="K65:L70" si="42">+K47</f>
        <v>3119.3511560554543</v>
      </c>
      <c r="L65" s="48">
        <f t="shared" si="42"/>
        <v>11448.845962470627</v>
      </c>
      <c r="M65" s="52">
        <f t="shared" ref="M65:M70" si="43">-0.05*N65*K65*(H65-1)-0.05*O65*L65*(H65-1)</f>
        <v>-276.95551028945181</v>
      </c>
      <c r="N65" s="172">
        <f t="shared" si="36"/>
        <v>19</v>
      </c>
      <c r="O65" s="172">
        <f t="shared" si="37"/>
        <v>19</v>
      </c>
      <c r="P65" s="95">
        <f t="shared" ref="P65:P70" si="44">+K65*(J65-0.05*N65*H65)-K65*(J65-0.05*N65)</f>
        <v>-59.3018809512605</v>
      </c>
      <c r="Q65" s="95">
        <f t="shared" ref="Q65:Q70" si="45">+L65*(I65-0.05*O65*H65)-L65*(I65-0.05*O65)</f>
        <v>-217.65362933819233</v>
      </c>
      <c r="R65" s="95">
        <f t="shared" ref="R65:R70" si="46">+P65+Q65</f>
        <v>-276.95551028945283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2.19413526192704E-2</v>
      </c>
      <c r="F66" s="185">
        <v>1.7755368616486501E-2</v>
      </c>
      <c r="G66" s="186">
        <v>1.2357587777083401</v>
      </c>
      <c r="H66" s="42">
        <f t="shared" si="33"/>
        <v>1.0297989814236177</v>
      </c>
      <c r="I66" s="181">
        <f t="shared" ref="I66:J66" si="47">+I48</f>
        <v>1.9155766286876013</v>
      </c>
      <c r="J66" s="181">
        <f t="shared" si="47"/>
        <v>-1.1086534845013007</v>
      </c>
      <c r="K66" s="48">
        <f t="shared" si="42"/>
        <v>2723.1157046585117</v>
      </c>
      <c r="L66" s="48">
        <f t="shared" si="42"/>
        <v>9996.0600420300052</v>
      </c>
      <c r="M66" s="52">
        <f t="shared" si="43"/>
        <v>-360.06755770933489</v>
      </c>
      <c r="N66" s="172">
        <f t="shared" si="36"/>
        <v>19</v>
      </c>
      <c r="O66" s="172">
        <f t="shared" si="37"/>
        <v>19</v>
      </c>
      <c r="P66" s="95">
        <f t="shared" si="44"/>
        <v>-77.08877058260714</v>
      </c>
      <c r="Q66" s="95">
        <f t="shared" si="45"/>
        <v>-282.978787126729</v>
      </c>
      <c r="R66" s="95">
        <f t="shared" si="46"/>
        <v>-360.06755770933614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1.7813866943928901E-2</v>
      </c>
      <c r="F67" s="185">
        <v>1.4278005738272899E-2</v>
      </c>
      <c r="G67" s="186">
        <v>1.24764391263536</v>
      </c>
      <c r="H67" s="42">
        <f t="shared" si="33"/>
        <v>1.0397032605294654</v>
      </c>
      <c r="I67" s="181">
        <f t="shared" ref="I67:J67" si="48">+I49</f>
        <v>1.9319410803118</v>
      </c>
      <c r="J67" s="181">
        <f t="shared" si="48"/>
        <v>-1.0917835550246506</v>
      </c>
      <c r="K67" s="48">
        <f t="shared" si="42"/>
        <v>2371.6044731982324</v>
      </c>
      <c r="L67" s="48">
        <f t="shared" si="42"/>
        <v>8854.5030030734179</v>
      </c>
      <c r="M67" s="52">
        <f t="shared" si="43"/>
        <v>-423.42741636908283</v>
      </c>
      <c r="N67" s="172">
        <f t="shared" si="36"/>
        <v>19</v>
      </c>
      <c r="O67" s="172">
        <f t="shared" si="37"/>
        <v>19</v>
      </c>
      <c r="P67" s="95">
        <f t="shared" si="44"/>
        <v>-89.452408758623278</v>
      </c>
      <c r="Q67" s="95">
        <f t="shared" si="45"/>
        <v>-333.97500761045922</v>
      </c>
      <c r="R67" s="95">
        <f t="shared" si="46"/>
        <v>-423.42741636908249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1.3330906918656999E-2</v>
      </c>
      <c r="F68" s="185">
        <v>1.0590573695002801E-2</v>
      </c>
      <c r="G68" s="186">
        <v>1.25875210376443</v>
      </c>
      <c r="H68" s="42">
        <f t="shared" si="33"/>
        <v>1.0489600864703577</v>
      </c>
      <c r="I68" s="181">
        <f t="shared" ref="I68:J68" si="49">+I50</f>
        <v>1.9766844151292986</v>
      </c>
      <c r="J68" s="181">
        <f t="shared" si="49"/>
        <v>-1.0913482492031106</v>
      </c>
      <c r="K68" s="48">
        <f t="shared" si="42"/>
        <v>2012.3940509882771</v>
      </c>
      <c r="L68" s="48">
        <f t="shared" si="42"/>
        <v>7631.3656730182211</v>
      </c>
      <c r="M68" s="52">
        <f t="shared" si="43"/>
        <v>-448.5513444873751</v>
      </c>
      <c r="N68" s="172">
        <f t="shared" si="36"/>
        <v>19</v>
      </c>
      <c r="O68" s="172">
        <f t="shared" si="37"/>
        <v>19</v>
      </c>
      <c r="P68" s="95">
        <f t="shared" si="44"/>
        <v>-93.600637411377647</v>
      </c>
      <c r="Q68" s="95">
        <f t="shared" si="45"/>
        <v>-354.95070707599552</v>
      </c>
      <c r="R68" s="95">
        <f t="shared" si="46"/>
        <v>-448.55134448737317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8.5922896298463603E-3</v>
      </c>
      <c r="F69" s="185">
        <v>6.7757283138792802E-3</v>
      </c>
      <c r="G69" s="186">
        <v>1.2680983108850501</v>
      </c>
      <c r="H69" s="42">
        <f t="shared" si="33"/>
        <v>1.056748592404213</v>
      </c>
      <c r="I69" s="181">
        <f t="shared" ref="I69:J69" si="50">+I51</f>
        <v>1.8611501720357992</v>
      </c>
      <c r="J69" s="181">
        <f t="shared" si="50"/>
        <v>-0.98459799742843046</v>
      </c>
      <c r="K69" s="48">
        <f t="shared" si="42"/>
        <v>1587.2889053534607</v>
      </c>
      <c r="L69" s="48">
        <f t="shared" si="42"/>
        <v>5964.0945599098441</v>
      </c>
      <c r="M69" s="52">
        <f t="shared" si="43"/>
        <v>-407.10386324023403</v>
      </c>
      <c r="N69" s="172">
        <f t="shared" si="36"/>
        <v>19</v>
      </c>
      <c r="O69" s="172">
        <f t="shared" si="37"/>
        <v>19</v>
      </c>
      <c r="P69" s="95">
        <f t="shared" si="44"/>
        <v>-85.57259056175144</v>
      </c>
      <c r="Q69" s="95">
        <f t="shared" si="45"/>
        <v>-321.53127267848322</v>
      </c>
      <c r="R69" s="95">
        <f t="shared" si="46"/>
        <v>-407.10386324023466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3.8332301085578602E-3</v>
      </c>
      <c r="F70" s="188">
        <v>3.0144906171013799E-3</v>
      </c>
      <c r="G70" s="189">
        <v>1.2716012737978699</v>
      </c>
      <c r="H70" s="42">
        <f t="shared" si="33"/>
        <v>1.0596677281648967</v>
      </c>
      <c r="I70" s="181">
        <f t="shared" ref="I70:J70" si="51">+I52</f>
        <v>1.2877602559370001</v>
      </c>
      <c r="J70" s="181">
        <f t="shared" si="51"/>
        <v>-0.56696182439995013</v>
      </c>
      <c r="K70" s="48">
        <f t="shared" si="42"/>
        <v>923.60305586278434</v>
      </c>
      <c r="L70" s="48">
        <f t="shared" si="42"/>
        <v>3377.1438000201351</v>
      </c>
      <c r="M70" s="52">
        <f t="shared" si="43"/>
        <v>-243.78500458771356</v>
      </c>
      <c r="N70" s="172">
        <f t="shared" si="36"/>
        <v>19</v>
      </c>
      <c r="O70" s="172">
        <f t="shared" si="37"/>
        <v>19</v>
      </c>
      <c r="P70" s="95">
        <f t="shared" si="44"/>
        <v>-52.35383126601414</v>
      </c>
      <c r="Q70" s="95">
        <f t="shared" si="45"/>
        <v>-191.43117332169948</v>
      </c>
      <c r="R70" s="95">
        <f t="shared" si="46"/>
        <v>-243.78500458771362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1106380.88742396</v>
      </c>
      <c r="E6" s="53">
        <f>0.7*D6</f>
        <v>774466.62119677197</v>
      </c>
      <c r="F6" s="1" t="str">
        <f>+IF(D6&lt;E5,"piso suave","ok")</f>
        <v>ok</v>
      </c>
      <c r="G6" s="53">
        <f>0.9*D6</f>
        <v>995742.79868156405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16603706.497168301</v>
      </c>
      <c r="E7" s="53">
        <f>0.7*D7</f>
        <v>11622594.548017809</v>
      </c>
      <c r="F7" s="1" t="str">
        <f>+IF(D7&lt;E6,"piso suave","ok")</f>
        <v>ok</v>
      </c>
      <c r="G7" s="53">
        <f>0.9*D7</f>
        <v>14943335.847451471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24097147.871548899</v>
      </c>
      <c r="E8" s="53">
        <f>0.7*D8</f>
        <v>16868003.510084227</v>
      </c>
      <c r="F8" s="1" t="str">
        <f>+IF(D8&lt;E7,"piso suave","ok")</f>
        <v>ok</v>
      </c>
      <c r="G8" s="53">
        <f>0.9*D8</f>
        <v>21687433.084394008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28514224.098806798</v>
      </c>
      <c r="E9" s="53">
        <f>0.7*D9</f>
        <v>19959956.869164757</v>
      </c>
      <c r="F9" s="1" t="str">
        <f>+IF(D9&lt;E8,"piso suave","ok")</f>
        <v>ok</v>
      </c>
      <c r="G9" s="53">
        <f>0.9*D9</f>
        <v>25662801.688926119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30335117.2629948</v>
      </c>
      <c r="E10" s="53">
        <f>0.7*D10</f>
        <v>21234582.084096357</v>
      </c>
      <c r="F10" s="1" t="str">
        <f>+IF(D10&lt;E9,"piso suave","ok")</f>
        <v>ok</v>
      </c>
      <c r="G10" s="53">
        <f>0.9*D10</f>
        <v>27301605.53669532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31433623.662454698</v>
      </c>
      <c r="E11" s="53">
        <f t="shared" ref="E11:E16" si="0">0.7*D11</f>
        <v>22003536.563718289</v>
      </c>
      <c r="F11" s="1" t="str">
        <f t="shared" ref="F11:F16" si="1">+IF(D11&lt;E10,"piso suave","ok")</f>
        <v>ok</v>
      </c>
      <c r="G11" s="53">
        <f t="shared" ref="G11:G16" si="2">0.9*D11</f>
        <v>28290261.296209227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32597338.2957973</v>
      </c>
      <c r="E12" s="53">
        <f t="shared" si="0"/>
        <v>22818136.807058107</v>
      </c>
      <c r="F12" s="1" t="str">
        <f t="shared" si="1"/>
        <v>ok</v>
      </c>
      <c r="G12" s="53">
        <f t="shared" si="2"/>
        <v>29337604.46621757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33788841.017797597</v>
      </c>
      <c r="E13" s="53">
        <f t="shared" si="0"/>
        <v>23652188.712458316</v>
      </c>
      <c r="F13" s="1" t="str">
        <f t="shared" si="1"/>
        <v>ok</v>
      </c>
      <c r="G13" s="53">
        <f t="shared" si="2"/>
        <v>30409956.916017838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35111905.588752396</v>
      </c>
      <c r="E14" s="53">
        <f t="shared" si="0"/>
        <v>24578333.912126675</v>
      </c>
      <c r="F14" s="1" t="str">
        <f t="shared" si="1"/>
        <v>ok</v>
      </c>
      <c r="G14" s="53">
        <f t="shared" si="2"/>
        <v>31600715.029877156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38246361.762419596</v>
      </c>
      <c r="E15" s="53">
        <f t="shared" si="0"/>
        <v>26772453.233693715</v>
      </c>
      <c r="F15" s="1" t="str">
        <f t="shared" si="1"/>
        <v>ok</v>
      </c>
      <c r="G15" s="53">
        <f t="shared" si="2"/>
        <v>34421725.58617764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42893650.589128502</v>
      </c>
      <c r="E16" s="53">
        <f t="shared" si="0"/>
        <v>30025555.412389949</v>
      </c>
      <c r="F16" s="1" t="str">
        <f t="shared" si="1"/>
        <v>ok</v>
      </c>
      <c r="G16" s="53">
        <f t="shared" si="2"/>
        <v>38604285.530215651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1050335.2970997901</v>
      </c>
      <c r="E23" s="53">
        <f>0.7*D23</f>
        <v>735234.70796985296</v>
      </c>
      <c r="F23" s="1" t="str">
        <f>+IF(D23&lt;E22,"piso suave","ok")</f>
        <v>ok</v>
      </c>
      <c r="G23" s="53">
        <f>0.9*D23</f>
        <v>945301.76738981111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16923133.710463699</v>
      </c>
      <c r="E24" s="53">
        <f>0.7*D24</f>
        <v>11846193.597324589</v>
      </c>
      <c r="F24" s="1" t="str">
        <f>+IF(D24&lt;E23,"piso suave","ok")</f>
        <v>ok</v>
      </c>
      <c r="G24" s="53">
        <f>0.9*D24</f>
        <v>15230820.339417329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24497360.543968402</v>
      </c>
      <c r="E25" s="53">
        <f>0.7*D25</f>
        <v>17148152.380777881</v>
      </c>
      <c r="F25" s="1" t="str">
        <f>+IF(D25&lt;E24,"piso suave","ok")</f>
        <v>ok</v>
      </c>
      <c r="G25" s="53">
        <f>0.9*D25</f>
        <v>22047624.489571564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27747589.876608498</v>
      </c>
      <c r="E26" s="53">
        <f>0.7*D26</f>
        <v>19423312.913625948</v>
      </c>
      <c r="F26" s="1" t="str">
        <f>+IF(D26&lt;E25,"piso suave","ok")</f>
        <v>ok</v>
      </c>
      <c r="G26" s="53">
        <f>0.9*D26</f>
        <v>24972830.888947651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29645068.4241709</v>
      </c>
      <c r="E27" s="53">
        <f>0.7*D27</f>
        <v>20751547.89691963</v>
      </c>
      <c r="F27" s="1" t="str">
        <f>+IF(D27&lt;E26,"piso suave","ok")</f>
        <v>ok</v>
      </c>
      <c r="G27" s="53">
        <f>0.9*D27</f>
        <v>26680561.581753809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30879082.527857501</v>
      </c>
      <c r="E28" s="53">
        <f t="shared" ref="E28:E33" si="4">0.7*D28</f>
        <v>21615357.769500248</v>
      </c>
      <c r="F28" s="1" t="str">
        <f t="shared" ref="F28:F33" si="5">+IF(D28&lt;E27,"piso suave","ok")</f>
        <v>ok</v>
      </c>
      <c r="G28" s="53">
        <f t="shared" ref="G28:G33" si="6">0.9*D28</f>
        <v>27791174.275071751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33220821.153703</v>
      </c>
      <c r="E29" s="53">
        <f t="shared" si="4"/>
        <v>23254574.807592098</v>
      </c>
      <c r="F29" s="1" t="str">
        <f t="shared" si="5"/>
        <v>ok</v>
      </c>
      <c r="G29" s="53">
        <f t="shared" si="6"/>
        <v>29898739.038332701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34519936.197849497</v>
      </c>
      <c r="E30" s="53">
        <f t="shared" si="4"/>
        <v>24163955.338494647</v>
      </c>
      <c r="F30" s="1" t="str">
        <f t="shared" si="5"/>
        <v>ok</v>
      </c>
      <c r="G30" s="53">
        <f t="shared" si="6"/>
        <v>31067942.57806455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35937375.944862902</v>
      </c>
      <c r="E31" s="53">
        <f t="shared" si="4"/>
        <v>25156163.161404029</v>
      </c>
      <c r="F31" s="1" t="str">
        <f t="shared" si="5"/>
        <v>ok</v>
      </c>
      <c r="G31" s="53">
        <f t="shared" si="6"/>
        <v>32343638.350376613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39522045.410315499</v>
      </c>
      <c r="E32" s="53">
        <f t="shared" si="4"/>
        <v>27665431.787220847</v>
      </c>
      <c r="F32" s="1" t="str">
        <f t="shared" si="5"/>
        <v>ok</v>
      </c>
      <c r="G32" s="53">
        <f t="shared" si="6"/>
        <v>35569840.869283952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43771727.481194504</v>
      </c>
      <c r="E33" s="53">
        <f t="shared" si="4"/>
        <v>30640209.23683615</v>
      </c>
      <c r="F33" s="1" t="str">
        <f t="shared" si="5"/>
        <v>ok</v>
      </c>
      <c r="G33" s="53">
        <f t="shared" si="6"/>
        <v>39394554.733075052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598417.77458306495</v>
      </c>
      <c r="E40" s="53">
        <f>0.7*D40</f>
        <v>418892.44220814545</v>
      </c>
      <c r="F40" s="1" t="str">
        <f>+IF(D40&lt;E39,"piso suave","ok")</f>
        <v>ok</v>
      </c>
      <c r="G40" s="53">
        <f>0.9*D40</f>
        <v>538575.99712475843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12248441.575268</v>
      </c>
      <c r="E41" s="53">
        <f>0.7*D41</f>
        <v>8573909.1026875991</v>
      </c>
      <c r="F41" s="1" t="str">
        <f>+IF(D41&lt;E40,"piso suave","ok")</f>
        <v>ok</v>
      </c>
      <c r="G41" s="53">
        <f>0.9*D41</f>
        <v>11023597.4177412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18415564.7823838</v>
      </c>
      <c r="E42" s="53">
        <f>0.7*D42</f>
        <v>12890895.347668659</v>
      </c>
      <c r="F42" s="1" t="str">
        <f>+IF(D42&lt;E41,"piso suave","ok")</f>
        <v>ok</v>
      </c>
      <c r="G42" s="53">
        <f>0.9*D42</f>
        <v>16574008.30414542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21209238.242314301</v>
      </c>
      <c r="E43" s="53">
        <f>0.7*D43</f>
        <v>14846466.769620011</v>
      </c>
      <c r="F43" s="1" t="str">
        <f>+IF(D43&lt;E42,"piso suave","ok")</f>
        <v>ok</v>
      </c>
      <c r="G43" s="53">
        <f>0.9*D43</f>
        <v>19088314.418082871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22839722.9296268</v>
      </c>
      <c r="E44" s="53">
        <f>0.7*D44</f>
        <v>15987806.050738759</v>
      </c>
      <c r="F44" s="1" t="str">
        <f>+IF(D44&lt;E43,"piso suave","ok")</f>
        <v>ok</v>
      </c>
      <c r="G44" s="53">
        <f>0.9*D44</f>
        <v>20555750.636664122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24029819.054273199</v>
      </c>
      <c r="E45" s="53">
        <f t="shared" ref="E45:E50" si="8">0.7*D45</f>
        <v>16820873.337991238</v>
      </c>
      <c r="F45" s="1" t="str">
        <f t="shared" ref="F45:F50" si="9">+IF(D45&lt;E44,"piso suave","ok")</f>
        <v>ok</v>
      </c>
      <c r="G45" s="53">
        <f t="shared" ref="G45:G50" si="10">0.9*D45</f>
        <v>21626837.148845881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25694252.207013998</v>
      </c>
      <c r="E46" s="53">
        <f t="shared" si="8"/>
        <v>17985976.544909798</v>
      </c>
      <c r="F46" s="1" t="str">
        <f t="shared" si="9"/>
        <v>ok</v>
      </c>
      <c r="G46" s="53">
        <f t="shared" si="10"/>
        <v>23124826.986312598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26738838.8572722</v>
      </c>
      <c r="E47" s="53">
        <f t="shared" si="8"/>
        <v>18717187.200090539</v>
      </c>
      <c r="F47" s="1" t="str">
        <f t="shared" si="9"/>
        <v>ok</v>
      </c>
      <c r="G47" s="53">
        <f t="shared" si="10"/>
        <v>24064954.971544981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28264778.580724299</v>
      </c>
      <c r="E48" s="53">
        <f t="shared" si="8"/>
        <v>19785345.006507009</v>
      </c>
      <c r="F48" s="1" t="str">
        <f t="shared" si="9"/>
        <v>ok</v>
      </c>
      <c r="G48" s="53">
        <f t="shared" si="10"/>
        <v>25438300.722651869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32135373.3634676</v>
      </c>
      <c r="E49" s="53">
        <f t="shared" si="8"/>
        <v>22494761.354427319</v>
      </c>
      <c r="F49" s="1" t="str">
        <f t="shared" si="9"/>
        <v>ok</v>
      </c>
      <c r="G49" s="53">
        <f t="shared" si="10"/>
        <v>28921836.02712084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38585443.969245501</v>
      </c>
      <c r="E50" s="53">
        <f t="shared" si="8"/>
        <v>27009810.77847185</v>
      </c>
      <c r="F50" s="1" t="str">
        <f t="shared" si="9"/>
        <v>ok</v>
      </c>
      <c r="G50" s="53">
        <f t="shared" si="10"/>
        <v>34726899.572320953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675356.38655017805</v>
      </c>
      <c r="E57" s="53">
        <f>0.7*D57</f>
        <v>472749.47058512463</v>
      </c>
      <c r="F57" s="1" t="str">
        <f>+IF(D57&lt;E56,"piso suave","ok")</f>
        <v>ok</v>
      </c>
      <c r="G57" s="53">
        <f>0.9*D57</f>
        <v>607820.74789516022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12744147.911071699</v>
      </c>
      <c r="E58" s="53">
        <f>0.7*D58</f>
        <v>8920903.5377501883</v>
      </c>
      <c r="F58" s="1" t="str">
        <f>+IF(D58&lt;E57,"piso suave","ok")</f>
        <v>ok</v>
      </c>
      <c r="G58" s="53">
        <f>0.9*D58</f>
        <v>11469733.119964529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19052931.499418501</v>
      </c>
      <c r="E59" s="53">
        <f>0.7*D59</f>
        <v>13337052.049592949</v>
      </c>
      <c r="F59" s="1" t="str">
        <f>+IF(D59&lt;E58,"piso suave","ok")</f>
        <v>ok</v>
      </c>
      <c r="G59" s="53">
        <f>0.9*D59</f>
        <v>17147638.34947665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22555812.501114301</v>
      </c>
      <c r="E60" s="53">
        <f>0.7*D60</f>
        <v>15789068.750780011</v>
      </c>
      <c r="F60" s="1" t="str">
        <f>+IF(D60&lt;E59,"piso suave","ok")</f>
        <v>ok</v>
      </c>
      <c r="G60" s="53">
        <f>0.9*D60</f>
        <v>20300231.251002871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23789965.346103501</v>
      </c>
      <c r="E61" s="53">
        <f>0.7*D61</f>
        <v>16652975.74227245</v>
      </c>
      <c r="F61" s="1" t="str">
        <f>+IF(D61&lt;E60,"piso suave","ok")</f>
        <v>ok</v>
      </c>
      <c r="G61" s="53">
        <f>0.9*D61</f>
        <v>21410968.811493151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24693931.702385701</v>
      </c>
      <c r="E62" s="53">
        <f t="shared" ref="E62:E67" si="12">0.7*D62</f>
        <v>17285752.191669989</v>
      </c>
      <c r="F62" s="1" t="str">
        <f t="shared" ref="F62:F67" si="13">+IF(D62&lt;E61,"piso suave","ok")</f>
        <v>ok</v>
      </c>
      <c r="G62" s="53">
        <f t="shared" ref="G62:G67" si="14">0.9*D62</f>
        <v>22224538.532147132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25563344.082421001</v>
      </c>
      <c r="E63" s="53">
        <f t="shared" si="12"/>
        <v>17894340.8576947</v>
      </c>
      <c r="F63" s="1" t="str">
        <f t="shared" si="13"/>
        <v>ok</v>
      </c>
      <c r="G63" s="53">
        <f t="shared" si="14"/>
        <v>23007009.674178902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26548153.4305785</v>
      </c>
      <c r="E64" s="53">
        <f t="shared" si="12"/>
        <v>18583707.401404947</v>
      </c>
      <c r="F64" s="1" t="str">
        <f t="shared" si="13"/>
        <v>ok</v>
      </c>
      <c r="G64" s="53">
        <f t="shared" si="14"/>
        <v>23893338.087520652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27919695.505125899</v>
      </c>
      <c r="E65" s="53">
        <f t="shared" si="12"/>
        <v>19543786.853588127</v>
      </c>
      <c r="F65" s="1" t="str">
        <f t="shared" si="13"/>
        <v>ok</v>
      </c>
      <c r="G65" s="53">
        <f t="shared" si="14"/>
        <v>25127725.954613309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30964727.2705925</v>
      </c>
      <c r="E66" s="53">
        <f t="shared" si="12"/>
        <v>21675309.089414749</v>
      </c>
      <c r="F66" s="1" t="str">
        <f t="shared" si="13"/>
        <v>ok</v>
      </c>
      <c r="G66" s="53">
        <f t="shared" si="14"/>
        <v>27868254.543533251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38113652.855242804</v>
      </c>
      <c r="E67" s="53">
        <f t="shared" si="12"/>
        <v>26679556.99866996</v>
      </c>
      <c r="F67" s="1" t="str">
        <f t="shared" si="13"/>
        <v>ok</v>
      </c>
      <c r="G67" s="53">
        <f t="shared" si="14"/>
        <v>34302287.569718525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581.94183486763905</v>
      </c>
      <c r="E7" s="171">
        <f>+'Centers of Mass and Rigidity'!E5</f>
        <v>581.94183486763905</v>
      </c>
      <c r="F7" s="68">
        <f>+E7*9.807</f>
        <v>5707.1035745469362</v>
      </c>
      <c r="G7">
        <f>1.5*F7</f>
        <v>8560.6553618204052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10549.936926913701</v>
      </c>
      <c r="E8" s="171">
        <f>+'Centers of Mass and Rigidity'!E6</f>
        <v>10549.936926913701</v>
      </c>
      <c r="F8" s="68">
        <f t="shared" ref="F8:F17" si="0">+E8*9.807</f>
        <v>103463.23144224267</v>
      </c>
      <c r="G8" s="68">
        <f t="shared" ref="G8:G17" si="1">1.5*F8</f>
        <v>155194.847163364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13150.453431864</v>
      </c>
      <c r="E9" s="171">
        <f>+'Centers of Mass and Rigidity'!E7</f>
        <v>13150.453431864</v>
      </c>
      <c r="F9" s="68">
        <f t="shared" si="0"/>
        <v>128966.49680629025</v>
      </c>
      <c r="G9" s="68">
        <f t="shared" si="1"/>
        <v>193449.74520943538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13150.453431864</v>
      </c>
      <c r="E10" s="171">
        <f>+'Centers of Mass and Rigidity'!E8</f>
        <v>13150.453431864</v>
      </c>
      <c r="F10" s="68">
        <f t="shared" si="0"/>
        <v>128966.49680629025</v>
      </c>
      <c r="G10" s="68">
        <f t="shared" si="1"/>
        <v>193449.74520943538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13150.453431864</v>
      </c>
      <c r="E11" s="171">
        <f>+'Centers of Mass and Rigidity'!E9</f>
        <v>13150.453431864</v>
      </c>
      <c r="F11" s="68">
        <f t="shared" si="0"/>
        <v>128966.49680629025</v>
      </c>
      <c r="G11" s="68">
        <f t="shared" si="1"/>
        <v>193449.74520943538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13150.453431864</v>
      </c>
      <c r="E12" s="171">
        <f>+'Centers of Mass and Rigidity'!E10</f>
        <v>13150.453431864</v>
      </c>
      <c r="F12" s="158">
        <f t="shared" si="0"/>
        <v>128966.49680629025</v>
      </c>
      <c r="G12" s="158">
        <f t="shared" si="1"/>
        <v>193449.74520943538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13150.453431864</v>
      </c>
      <c r="E13" s="171">
        <f>+'Centers of Mass and Rigidity'!E11</f>
        <v>13150.453431864</v>
      </c>
      <c r="F13" s="158">
        <f t="shared" si="0"/>
        <v>128966.49680629025</v>
      </c>
      <c r="G13" s="158">
        <f t="shared" si="1"/>
        <v>193449.74520943538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13284.811237351199</v>
      </c>
      <c r="E14" s="171">
        <f>+'Centers of Mass and Rigidity'!E12</f>
        <v>13284.811237351199</v>
      </c>
      <c r="F14" s="158">
        <f t="shared" si="0"/>
        <v>130284.14380470321</v>
      </c>
      <c r="G14" s="158">
        <f t="shared" si="1"/>
        <v>195426.21570705483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13284.811237351199</v>
      </c>
      <c r="E15" s="171">
        <f>+'Centers of Mass and Rigidity'!E13</f>
        <v>13284.811237351199</v>
      </c>
      <c r="F15" s="158">
        <f t="shared" si="0"/>
        <v>130284.14380470321</v>
      </c>
      <c r="G15" s="158">
        <f t="shared" si="1"/>
        <v>195426.21570705483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13284.811237351199</v>
      </c>
      <c r="E16" s="171">
        <f>+'Centers of Mass and Rigidity'!E14</f>
        <v>13284.811237351199</v>
      </c>
      <c r="F16" s="158">
        <f t="shared" si="0"/>
        <v>130284.14380470321</v>
      </c>
      <c r="G16" s="158">
        <f t="shared" si="1"/>
        <v>195426.21570705483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13748.053220366901</v>
      </c>
      <c r="E17" s="171">
        <f>+'Centers of Mass and Rigidity'!E15</f>
        <v>13748.053220366901</v>
      </c>
      <c r="F17" s="158">
        <f t="shared" si="0"/>
        <v>134827.15793213822</v>
      </c>
      <c r="G17" s="158">
        <f t="shared" si="1"/>
        <v>202240.73689820734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1279682.4083944887</v>
      </c>
      <c r="G18">
        <f>1.5*F18</f>
        <v>1919523.6125917332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topLeftCell="A58"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17917.199999999499</v>
      </c>
      <c r="F5" s="172">
        <v>2.74980038739159E-11</v>
      </c>
      <c r="G5" s="172">
        <v>-1.79625203600153E-11</v>
      </c>
      <c r="H5" s="172">
        <v>-6.3391780713573098E-10</v>
      </c>
      <c r="I5" s="172">
        <v>34611.930000000502</v>
      </c>
      <c r="J5" s="172">
        <v>-381751.55999998801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473431.54764761298</v>
      </c>
      <c r="F6" s="172">
        <v>5.5234409046534003E-8</v>
      </c>
      <c r="G6" s="172">
        <v>-2.7646649414236898E-9</v>
      </c>
      <c r="H6" s="172">
        <v>-4.1863756905513599E-7</v>
      </c>
      <c r="I6" s="172">
        <v>4078417.7367637302</v>
      </c>
      <c r="J6" s="172">
        <v>-5206438.5918304101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921340.89529546897</v>
      </c>
      <c r="F7" s="172">
        <v>9.4412939688481896E-8</v>
      </c>
      <c r="G7" s="172">
        <v>-2.2530912247020801E-8</v>
      </c>
      <c r="H7" s="172">
        <v>-9.4124243332771595E-7</v>
      </c>
      <c r="I7" s="172">
        <v>8049976.0435277801</v>
      </c>
      <c r="J7" s="172">
        <v>-9958878.1236655302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1369250.2429432101</v>
      </c>
      <c r="F8" s="172">
        <v>1.1743867389668599E-7</v>
      </c>
      <c r="G8" s="172">
        <v>-5.7453377166893902E-8</v>
      </c>
      <c r="H8" s="172">
        <v>-1.37533800170786E-6</v>
      </c>
      <c r="I8" s="172">
        <v>12021534.3502918</v>
      </c>
      <c r="J8" s="172">
        <v>-14711317.6554986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1817159.5905907401</v>
      </c>
      <c r="F9" s="172">
        <v>2.0259085431462199E-7</v>
      </c>
      <c r="G9" s="172">
        <v>-6.5405032501075806E-8</v>
      </c>
      <c r="H9" s="172">
        <v>-1.9046572106162799E-6</v>
      </c>
      <c r="I9" s="172">
        <v>15993092.6570553</v>
      </c>
      <c r="J9" s="172">
        <v>-19463757.187327001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2265068.93823834</v>
      </c>
      <c r="F10" s="172">
        <v>2.35529796555056E-7</v>
      </c>
      <c r="G10" s="172">
        <v>-9.5899963525880594E-8</v>
      </c>
      <c r="H10" s="172">
        <v>-2.17257070289634E-6</v>
      </c>
      <c r="I10" s="172">
        <v>19964650.963819101</v>
      </c>
      <c r="J10" s="172">
        <v>-24216196.7191565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2712978.28588585</v>
      </c>
      <c r="F11" s="172">
        <v>2.2801202703703901E-7</v>
      </c>
      <c r="G11" s="172">
        <v>-9.69185975918663E-8</v>
      </c>
      <c r="H11" s="172">
        <v>-2.2402034574042798E-6</v>
      </c>
      <c r="I11" s="172">
        <v>23936209.270582698</v>
      </c>
      <c r="J11" s="172">
        <v>-28968636.250984199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3162205.5935336198</v>
      </c>
      <c r="F12" s="172">
        <v>2.3769518975313999E-7</v>
      </c>
      <c r="G12" s="172">
        <v>-1.09192058062035E-7</v>
      </c>
      <c r="H12" s="172">
        <v>-2.9126890694897199E-6</v>
      </c>
      <c r="I12" s="172">
        <v>27910417.1773469</v>
      </c>
      <c r="J12" s="172">
        <v>-33749427.492367603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3611432.9011813598</v>
      </c>
      <c r="F13" s="172">
        <v>2.5656083835201603E-7</v>
      </c>
      <c r="G13" s="172">
        <v>-1.0331501698601599E-7</v>
      </c>
      <c r="H13" s="172">
        <v>-3.27057568938471E-6</v>
      </c>
      <c r="I13" s="172">
        <v>31884625.0841108</v>
      </c>
      <c r="J13" s="172">
        <v>-38530218.733749896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4060660.2088290099</v>
      </c>
      <c r="F14" s="172">
        <v>3.2014736461860599E-7</v>
      </c>
      <c r="G14" s="172">
        <v>-1.0882843071158299E-7</v>
      </c>
      <c r="H14" s="172">
        <v>-3.6085011743125502E-6</v>
      </c>
      <c r="I14" s="172">
        <v>35858832.990874499</v>
      </c>
      <c r="J14" s="172">
        <v>-43311009.975130402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4631604.0094371503</v>
      </c>
      <c r="F15" s="172">
        <v>3.4072979815391601E-7</v>
      </c>
      <c r="G15" s="172">
        <v>-1.10666633190704E-7</v>
      </c>
      <c r="H15" s="172">
        <v>-3.7986515053489698E-6</v>
      </c>
      <c r="I15" s="172">
        <v>40984729.552807502</v>
      </c>
      <c r="J15" s="172">
        <v>-49261476.5785795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3" t="s">
        <v>73</v>
      </c>
      <c r="F19" s="203"/>
      <c r="G19" s="203"/>
      <c r="H19" s="203"/>
      <c r="I19" s="203"/>
      <c r="J19" s="203"/>
      <c r="K19" s="203"/>
      <c r="L19" s="203"/>
      <c r="M19" s="203"/>
      <c r="N19" s="203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2.28283669440171E-2</v>
      </c>
      <c r="F22" s="83">
        <f t="shared" ref="F22:F32" si="0">+E5</f>
        <v>17917.199999999499</v>
      </c>
      <c r="G22" s="83">
        <v>0</v>
      </c>
      <c r="H22" s="83">
        <f t="shared" ref="H22:H32" si="1">+E22</f>
        <v>2.28283669440171E-2</v>
      </c>
      <c r="I22" s="83">
        <f t="shared" ref="I22:I31" si="2">+H22-H23</f>
        <v>-3.5707468092593987E-3</v>
      </c>
      <c r="J22" s="83">
        <f>IF(+'Sismo UBC-94 y Dinamico'!O15=0,'Sismo UBC-94 y Dinamico'!M15,'Sismo UBC-94 y Dinamico'!O15)</f>
        <v>1037.7171762931614</v>
      </c>
      <c r="K22" s="83">
        <f t="shared" ref="K22:K32" si="3">+C22</f>
        <v>38.5</v>
      </c>
      <c r="L22" s="83">
        <f>+G22*I22</f>
        <v>0</v>
      </c>
      <c r="M22" s="83">
        <f>+J22*K22</f>
        <v>39952.111287286716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2.6399113753276499E-2</v>
      </c>
      <c r="F23" s="165">
        <f t="shared" si="0"/>
        <v>473431.54764761298</v>
      </c>
      <c r="G23" s="83">
        <f>+F23</f>
        <v>473431.54764761298</v>
      </c>
      <c r="H23" s="83">
        <f t="shared" si="1"/>
        <v>2.6399113753276499E-2</v>
      </c>
      <c r="I23" s="83">
        <f t="shared" si="2"/>
        <v>8.7056580722109922E-4</v>
      </c>
      <c r="J23" s="172">
        <f>IF(+'Sismo UBC-94 y Dinamico'!O16=0,'Sismo UBC-94 y Dinamico'!M16,'Sismo UBC-94 y Dinamico'!O16)</f>
        <v>16812.04968410861</v>
      </c>
      <c r="K23" s="172">
        <f t="shared" si="3"/>
        <v>35.5</v>
      </c>
      <c r="L23" s="83">
        <f t="shared" ref="L23:L32" si="4">+G23*I23</f>
        <v>412.15331744177848</v>
      </c>
      <c r="M23" s="83">
        <f t="shared" ref="M23:M32" si="5">+J23*K23</f>
        <v>596827.76378585561</v>
      </c>
      <c r="N23" s="83">
        <f t="shared" ref="N23:N32" si="6">+L23/M23</f>
        <v>6.9057329844605031E-4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2.5528547946055399E-2</v>
      </c>
      <c r="F24" s="165">
        <f t="shared" si="0"/>
        <v>921340.89529546897</v>
      </c>
      <c r="G24" s="83">
        <f>+F24-F23</f>
        <v>447909.34764785599</v>
      </c>
      <c r="H24" s="83">
        <f t="shared" si="1"/>
        <v>2.5528547946055399E-2</v>
      </c>
      <c r="I24" s="83">
        <f t="shared" si="2"/>
        <v>1.4428695069119007E-3</v>
      </c>
      <c r="J24" s="172">
        <f>IF(+'Sismo UBC-94 y Dinamico'!O17=0,'Sismo UBC-94 y Dinamico'!M17,'Sismo UBC-94 y Dinamico'!O17)</f>
        <v>19335.612627009203</v>
      </c>
      <c r="K24" s="172">
        <f t="shared" si="3"/>
        <v>32</v>
      </c>
      <c r="L24" s="83">
        <f t="shared" si="4"/>
        <v>646.27473958189307</v>
      </c>
      <c r="M24" s="83">
        <f t="shared" si="5"/>
        <v>618739.60406429449</v>
      </c>
      <c r="N24" s="83">
        <f t="shared" si="6"/>
        <v>1.04450197681986E-3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2.4085678439143499E-2</v>
      </c>
      <c r="F25" s="165">
        <f t="shared" si="0"/>
        <v>1369250.2429432101</v>
      </c>
      <c r="G25" s="83">
        <f>+F25-F24</f>
        <v>447909.34764774109</v>
      </c>
      <c r="H25" s="83">
        <f t="shared" si="1"/>
        <v>2.4085678439143499E-2</v>
      </c>
      <c r="I25" s="83">
        <f t="shared" si="2"/>
        <v>1.9770543682396981E-3</v>
      </c>
      <c r="J25" s="172">
        <f>IF(+'Sismo UBC-94 y Dinamico'!O18=0,'Sismo UBC-94 y Dinamico'!M18,'Sismo UBC-94 y Dinamico'!O18)</f>
        <v>16435.911754547255</v>
      </c>
      <c r="K25" s="172">
        <f t="shared" si="3"/>
        <v>28.5</v>
      </c>
      <c r="L25" s="83">
        <f t="shared" si="4"/>
        <v>885.54113234236002</v>
      </c>
      <c r="M25" s="83">
        <f t="shared" si="5"/>
        <v>468423.48500459676</v>
      </c>
      <c r="N25" s="83">
        <f t="shared" si="6"/>
        <v>1.890471252383236E-3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2.2108624070903801E-2</v>
      </c>
      <c r="F26" s="165">
        <f t="shared" si="0"/>
        <v>1817159.5905907401</v>
      </c>
      <c r="G26" s="83">
        <f>+F26-F25</f>
        <v>447909.34764753003</v>
      </c>
      <c r="H26" s="83">
        <f t="shared" si="1"/>
        <v>2.2108624070903801E-2</v>
      </c>
      <c r="I26" s="83">
        <f t="shared" si="2"/>
        <v>2.4333800861114016E-3</v>
      </c>
      <c r="J26" s="172">
        <f>IF(+'Sismo UBC-94 y Dinamico'!O19=0,'Sismo UBC-94 y Dinamico'!M19,'Sismo UBC-94 y Dinamico'!O19)</f>
        <v>13964.971650542104</v>
      </c>
      <c r="K26" s="172">
        <f t="shared" si="3"/>
        <v>25</v>
      </c>
      <c r="L26" s="83">
        <f t="shared" si="4"/>
        <v>1089.9336869486483</v>
      </c>
      <c r="M26" s="83">
        <f t="shared" si="5"/>
        <v>349124.29126355262</v>
      </c>
      <c r="N26" s="83">
        <f t="shared" si="6"/>
        <v>3.1219073385124652E-3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1.9675243984792399E-2</v>
      </c>
      <c r="F27" s="165">
        <f t="shared" si="0"/>
        <v>2265068.93823834</v>
      </c>
      <c r="G27" s="165">
        <f t="shared" ref="G27:G32" si="8">+F27-F26</f>
        <v>447909.34764759988</v>
      </c>
      <c r="H27" s="165">
        <f t="shared" si="1"/>
        <v>1.9675243984792399E-2</v>
      </c>
      <c r="I27" s="165">
        <f t="shared" si="2"/>
        <v>2.8175511096926002E-3</v>
      </c>
      <c r="J27" s="172">
        <f>IF(+'Sismo UBC-94 y Dinamico'!O20=0,'Sismo UBC-94 y Dinamico'!M20,'Sismo UBC-94 y Dinamico'!O20)</f>
        <v>12008.958864465356</v>
      </c>
      <c r="K27" s="172">
        <f t="shared" si="3"/>
        <v>21.5</v>
      </c>
      <c r="L27" s="165">
        <f t="shared" si="4"/>
        <v>1262.0074795061837</v>
      </c>
      <c r="M27" s="165">
        <f t="shared" si="5"/>
        <v>258192.61558600515</v>
      </c>
      <c r="N27" s="165">
        <f t="shared" si="6"/>
        <v>4.8878527243774068E-3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1.6857692875099799E-2</v>
      </c>
      <c r="F28" s="165">
        <f t="shared" si="0"/>
        <v>2712978.28588585</v>
      </c>
      <c r="G28" s="165">
        <f t="shared" si="8"/>
        <v>447909.34764751</v>
      </c>
      <c r="H28" s="165">
        <f t="shared" si="1"/>
        <v>1.6857692875099799E-2</v>
      </c>
      <c r="I28" s="165">
        <f t="shared" si="2"/>
        <v>3.134084039269399E-3</v>
      </c>
      <c r="J28" s="172">
        <f>IF(+'Sismo UBC-94 y Dinamico'!O21=0,'Sismo UBC-94 y Dinamico'!M21,'Sismo UBC-94 y Dinamico'!O21)</f>
        <v>10414.460526033949</v>
      </c>
      <c r="K28" s="172">
        <f t="shared" si="3"/>
        <v>18</v>
      </c>
      <c r="L28" s="165">
        <f t="shared" si="4"/>
        <v>1403.7855375016297</v>
      </c>
      <c r="M28" s="165">
        <f t="shared" si="5"/>
        <v>187460.28946861107</v>
      </c>
      <c r="N28" s="165">
        <f t="shared" si="6"/>
        <v>7.4884421734379321E-3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1.37236088358304E-2</v>
      </c>
      <c r="F29" s="165">
        <f t="shared" si="0"/>
        <v>3162205.5935336198</v>
      </c>
      <c r="G29" s="165">
        <f t="shared" si="8"/>
        <v>449227.30764776981</v>
      </c>
      <c r="H29" s="165">
        <f t="shared" si="1"/>
        <v>1.37236088358304E-2</v>
      </c>
      <c r="I29" s="165">
        <f t="shared" si="2"/>
        <v>3.3885742642686002E-3</v>
      </c>
      <c r="J29" s="172">
        <f>IF(+'Sismo UBC-94 y Dinamico'!O22=0,'Sismo UBC-94 y Dinamico'!M22,'Sismo UBC-94 y Dinamico'!O22)</f>
        <v>9035.8206287538032</v>
      </c>
      <c r="K29" s="172">
        <f t="shared" si="3"/>
        <v>14.5</v>
      </c>
      <c r="L29" s="165">
        <f t="shared" si="4"/>
        <v>1522.2400935019057</v>
      </c>
      <c r="M29" s="165">
        <f t="shared" si="5"/>
        <v>131019.39911693014</v>
      </c>
      <c r="N29" s="165">
        <f t="shared" si="6"/>
        <v>1.1618432871481578E-2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1.03350345715618E-2</v>
      </c>
      <c r="F30" s="165">
        <f t="shared" si="0"/>
        <v>3611432.9011813598</v>
      </c>
      <c r="G30" s="165">
        <f t="shared" si="8"/>
        <v>449227.30764774</v>
      </c>
      <c r="H30" s="165">
        <f t="shared" si="1"/>
        <v>1.03350345715618E-2</v>
      </c>
      <c r="I30" s="165">
        <f t="shared" si="2"/>
        <v>3.5746748308604298E-3</v>
      </c>
      <c r="J30" s="172">
        <f>IF(+'Sismo UBC-94 y Dinamico'!O23=0,'Sismo UBC-94 y Dinamico'!M23,'Sismo UBC-94 y Dinamico'!O23)</f>
        <v>7592.7212389283623</v>
      </c>
      <c r="K30" s="172">
        <f t="shared" si="3"/>
        <v>11</v>
      </c>
      <c r="L30" s="165">
        <f t="shared" si="4"/>
        <v>1605.8415499835712</v>
      </c>
      <c r="M30" s="165">
        <f t="shared" si="5"/>
        <v>83519.933628211991</v>
      </c>
      <c r="N30" s="165">
        <f t="shared" si="6"/>
        <v>1.922704533186001E-2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6.7603597407013697E-3</v>
      </c>
      <c r="F31" s="165">
        <f t="shared" si="0"/>
        <v>4060660.2088290099</v>
      </c>
      <c r="G31" s="165">
        <f t="shared" si="8"/>
        <v>449227.30764765013</v>
      </c>
      <c r="H31" s="165">
        <f t="shared" si="1"/>
        <v>6.7603597407013697E-3</v>
      </c>
      <c r="I31" s="165">
        <f t="shared" si="2"/>
        <v>3.6280874274119798E-3</v>
      </c>
      <c r="J31" s="172">
        <f>IF(+'Sismo UBC-94 y Dinamico'!O24=0,'Sismo UBC-94 y Dinamico'!M24,'Sismo UBC-94 y Dinamico'!O24)</f>
        <v>5797.2697998215472</v>
      </c>
      <c r="K31" s="172">
        <f t="shared" si="3"/>
        <v>7.5</v>
      </c>
      <c r="L31" s="165">
        <f t="shared" si="4"/>
        <v>1629.8359469265729</v>
      </c>
      <c r="M31" s="165">
        <f t="shared" si="5"/>
        <v>43479.523498661605</v>
      </c>
      <c r="N31" s="165">
        <f t="shared" si="6"/>
        <v>3.7485138193309384E-2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3.1322723132893898E-3</v>
      </c>
      <c r="F32" s="165">
        <f t="shared" si="0"/>
        <v>4631604.0094371503</v>
      </c>
      <c r="G32" s="165">
        <f t="shared" si="8"/>
        <v>570943.80060814042</v>
      </c>
      <c r="H32" s="165">
        <f t="shared" si="1"/>
        <v>3.1322723132893898E-3</v>
      </c>
      <c r="I32" s="165">
        <f>+H32-I33</f>
        <v>3.1322723132893898E-3</v>
      </c>
      <c r="J32" s="172">
        <f>IF(+'Sismo UBC-94 y Dinamico'!O25=0,'Sismo UBC-94 y Dinamico'!M25,'Sismo UBC-94 y Dinamico'!O25)</f>
        <v>3284.1297755186702</v>
      </c>
      <c r="K32" s="172">
        <f t="shared" si="3"/>
        <v>4</v>
      </c>
      <c r="L32" s="165">
        <f t="shared" si="4"/>
        <v>1788.3514590890961</v>
      </c>
      <c r="M32" s="165">
        <f t="shared" si="5"/>
        <v>13136.519102074681</v>
      </c>
      <c r="N32" s="165">
        <f t="shared" si="6"/>
        <v>0.13613587017938852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3" t="s">
        <v>73</v>
      </c>
      <c r="F37" s="203"/>
      <c r="G37" s="203"/>
      <c r="H37" s="203"/>
      <c r="I37" s="203"/>
      <c r="J37" s="203"/>
      <c r="K37" s="203"/>
      <c r="L37" s="203"/>
      <c r="M37" s="203"/>
      <c r="N37" s="203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2.40037306457619E-2</v>
      </c>
      <c r="F40" s="165">
        <f t="shared" ref="F40:F50" si="9">+E5</f>
        <v>17917.199999999499</v>
      </c>
      <c r="G40" s="165">
        <v>0</v>
      </c>
      <c r="H40" s="165">
        <f t="shared" ref="H40:H50" si="10">+E40</f>
        <v>2.40037306457619E-2</v>
      </c>
      <c r="I40" s="165">
        <f t="shared" ref="I40:I49" si="11">+H40-H41</f>
        <v>7.3386574260389872E-4</v>
      </c>
      <c r="J40" s="165">
        <f>+J22</f>
        <v>1037.7171762931614</v>
      </c>
      <c r="K40" s="165">
        <f t="shared" ref="K40:K50" si="12">+C40</f>
        <v>38.5</v>
      </c>
      <c r="L40" s="165">
        <f>+G40*I40</f>
        <v>0</v>
      </c>
      <c r="M40" s="165">
        <f>+J40*K40</f>
        <v>39952.111287286716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2.3269864903158001E-2</v>
      </c>
      <c r="F41" s="165">
        <f t="shared" si="9"/>
        <v>473431.54764761298</v>
      </c>
      <c r="G41" s="165">
        <f>+F41</f>
        <v>473431.54764761298</v>
      </c>
      <c r="H41" s="165">
        <f t="shared" si="10"/>
        <v>2.3269864903158001E-2</v>
      </c>
      <c r="I41" s="165">
        <f t="shared" si="11"/>
        <v>7.6256146189130139E-4</v>
      </c>
      <c r="J41" s="172">
        <f t="shared" ref="J41:J50" si="13">+J23</f>
        <v>16812.04968410861</v>
      </c>
      <c r="K41" s="172">
        <f t="shared" si="12"/>
        <v>35.5</v>
      </c>
      <c r="L41" s="165">
        <f t="shared" ref="L41:L50" si="14">+G41*I41</f>
        <v>361.02065307962505</v>
      </c>
      <c r="M41" s="165">
        <f t="shared" ref="M41:M50" si="15">+J41*K41</f>
        <v>596827.76378585561</v>
      </c>
      <c r="N41" s="165">
        <f t="shared" ref="N41:N50" si="16">+L41/M41</f>
        <v>6.0489922719004206E-4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2.25073034412667E-2</v>
      </c>
      <c r="F42" s="165">
        <f t="shared" si="9"/>
        <v>921340.89529546897</v>
      </c>
      <c r="G42" s="165">
        <f>+F42-F41</f>
        <v>447909.34764785599</v>
      </c>
      <c r="H42" s="165">
        <f t="shared" si="10"/>
        <v>2.25073034412667E-2</v>
      </c>
      <c r="I42" s="165">
        <f t="shared" si="11"/>
        <v>1.2693098704501006E-3</v>
      </c>
      <c r="J42" s="172">
        <f t="shared" si="13"/>
        <v>19335.612627009203</v>
      </c>
      <c r="K42" s="172">
        <f t="shared" si="12"/>
        <v>32</v>
      </c>
      <c r="L42" s="165">
        <f t="shared" si="14"/>
        <v>568.53575603628917</v>
      </c>
      <c r="M42" s="165">
        <f t="shared" si="15"/>
        <v>618739.60406429449</v>
      </c>
      <c r="N42" s="165">
        <f t="shared" si="16"/>
        <v>9.1886110457738124E-4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2.1237993570816599E-2</v>
      </c>
      <c r="F43" s="165">
        <f t="shared" si="9"/>
        <v>1369250.2429432101</v>
      </c>
      <c r="G43" s="165">
        <f t="shared" ref="G43:G50" si="18">+F43-F42</f>
        <v>447909.34764774109</v>
      </c>
      <c r="H43" s="165">
        <f t="shared" si="10"/>
        <v>2.1237993570816599E-2</v>
      </c>
      <c r="I43" s="165">
        <f t="shared" si="11"/>
        <v>1.7418974262167E-3</v>
      </c>
      <c r="J43" s="172">
        <f t="shared" si="13"/>
        <v>16435.911754547255</v>
      </c>
      <c r="K43" s="172">
        <f t="shared" si="12"/>
        <v>28.5</v>
      </c>
      <c r="L43" s="165">
        <f t="shared" si="14"/>
        <v>780.21213984600126</v>
      </c>
      <c r="M43" s="165">
        <f t="shared" si="15"/>
        <v>468423.48500459676</v>
      </c>
      <c r="N43" s="165">
        <f t="shared" si="16"/>
        <v>1.665612773104971E-3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1.9496096144599899E-2</v>
      </c>
      <c r="F44" s="165">
        <f t="shared" si="9"/>
        <v>1817159.5905907401</v>
      </c>
      <c r="G44" s="165">
        <f t="shared" si="18"/>
        <v>447909.34764753003</v>
      </c>
      <c r="H44" s="165">
        <f t="shared" si="10"/>
        <v>1.9496096144599899E-2</v>
      </c>
      <c r="I44" s="165">
        <f t="shared" si="11"/>
        <v>2.1451700930636974E-3</v>
      </c>
      <c r="J44" s="172">
        <f t="shared" si="13"/>
        <v>13964.971650542104</v>
      </c>
      <c r="K44" s="172">
        <f t="shared" si="12"/>
        <v>25</v>
      </c>
      <c r="L44" s="165">
        <f t="shared" si="14"/>
        <v>960.84173697715198</v>
      </c>
      <c r="M44" s="165">
        <f t="shared" si="15"/>
        <v>349124.29126355262</v>
      </c>
      <c r="N44" s="165">
        <f t="shared" si="16"/>
        <v>2.7521480487641466E-3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1.7350926051536202E-2</v>
      </c>
      <c r="F45" s="165">
        <f t="shared" si="9"/>
        <v>2265068.93823834</v>
      </c>
      <c r="G45" s="165">
        <f t="shared" si="18"/>
        <v>447909.34764759988</v>
      </c>
      <c r="H45" s="165">
        <f t="shared" si="10"/>
        <v>1.7350926051536202E-2</v>
      </c>
      <c r="I45" s="165">
        <f t="shared" si="11"/>
        <v>2.4845465819506012E-3</v>
      </c>
      <c r="J45" s="172">
        <f t="shared" si="13"/>
        <v>12008.958864465356</v>
      </c>
      <c r="K45" s="172">
        <f t="shared" si="12"/>
        <v>21.5</v>
      </c>
      <c r="L45" s="165">
        <f t="shared" si="14"/>
        <v>1112.851638721568</v>
      </c>
      <c r="M45" s="165">
        <f t="shared" si="15"/>
        <v>258192.61558600515</v>
      </c>
      <c r="N45" s="165">
        <f t="shared" si="16"/>
        <v>4.3101605992711747E-3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1.48663794695856E-2</v>
      </c>
      <c r="F46" s="165">
        <f t="shared" si="9"/>
        <v>2712978.28588585</v>
      </c>
      <c r="G46" s="165">
        <f t="shared" si="18"/>
        <v>447909.34764751</v>
      </c>
      <c r="H46" s="165">
        <f t="shared" si="10"/>
        <v>1.48663794695856E-2</v>
      </c>
      <c r="I46" s="165">
        <f t="shared" si="11"/>
        <v>2.7645923660698998E-3</v>
      </c>
      <c r="J46" s="172">
        <f t="shared" si="13"/>
        <v>10414.460526033949</v>
      </c>
      <c r="K46" s="172">
        <f t="shared" si="12"/>
        <v>18</v>
      </c>
      <c r="L46" s="165">
        <f t="shared" si="14"/>
        <v>1238.2867631976551</v>
      </c>
      <c r="M46" s="165">
        <f t="shared" si="15"/>
        <v>187460.28946861107</v>
      </c>
      <c r="N46" s="165">
        <f t="shared" si="16"/>
        <v>6.6055950660686338E-3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1.21017871035157E-2</v>
      </c>
      <c r="F47" s="165">
        <f t="shared" si="9"/>
        <v>3162205.5935336198</v>
      </c>
      <c r="G47" s="165">
        <f t="shared" si="18"/>
        <v>449227.30764776981</v>
      </c>
      <c r="H47" s="165">
        <f t="shared" si="10"/>
        <v>1.21017871035157E-2</v>
      </c>
      <c r="I47" s="165">
        <f t="shared" si="11"/>
        <v>2.9899732308162012E-3</v>
      </c>
      <c r="J47" s="172">
        <f t="shared" si="13"/>
        <v>9035.8206287538032</v>
      </c>
      <c r="K47" s="172">
        <f t="shared" si="12"/>
        <v>14.5</v>
      </c>
      <c r="L47" s="165">
        <f t="shared" si="14"/>
        <v>1343.1776244184659</v>
      </c>
      <c r="M47" s="165">
        <f t="shared" si="15"/>
        <v>131019.39911693014</v>
      </c>
      <c r="N47" s="165">
        <f t="shared" si="16"/>
        <v>1.0251746180118929E-2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9.1118138726994993E-3</v>
      </c>
      <c r="F48" s="165">
        <f t="shared" si="9"/>
        <v>3611432.9011813598</v>
      </c>
      <c r="G48" s="165">
        <f t="shared" si="18"/>
        <v>449227.30764774</v>
      </c>
      <c r="H48" s="165">
        <f t="shared" si="10"/>
        <v>9.1118138726994993E-3</v>
      </c>
      <c r="I48" s="165">
        <f t="shared" si="11"/>
        <v>3.154854238616619E-3</v>
      </c>
      <c r="J48" s="172">
        <f t="shared" si="13"/>
        <v>7592.7212389283623</v>
      </c>
      <c r="K48" s="172">
        <f t="shared" si="12"/>
        <v>11</v>
      </c>
      <c r="L48" s="165">
        <f t="shared" si="14"/>
        <v>1417.2466756348044</v>
      </c>
      <c r="M48" s="165">
        <f t="shared" si="15"/>
        <v>83519.933628211991</v>
      </c>
      <c r="N48" s="165">
        <f t="shared" si="16"/>
        <v>1.6968963145297281E-2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5.9569596340828803E-3</v>
      </c>
      <c r="F49" s="165">
        <f t="shared" si="9"/>
        <v>4060660.2088290099</v>
      </c>
      <c r="G49" s="165">
        <f t="shared" si="18"/>
        <v>449227.30764765013</v>
      </c>
      <c r="H49" s="165">
        <f t="shared" si="10"/>
        <v>5.9569596340828803E-3</v>
      </c>
      <c r="I49" s="165">
        <f t="shared" si="11"/>
        <v>3.2026557308811902E-3</v>
      </c>
      <c r="J49" s="172">
        <f t="shared" si="13"/>
        <v>5797.2697998215472</v>
      </c>
      <c r="K49" s="172">
        <f t="shared" si="12"/>
        <v>7.5</v>
      </c>
      <c r="L49" s="165">
        <f t="shared" si="14"/>
        <v>1438.7204113060743</v>
      </c>
      <c r="M49" s="165">
        <f t="shared" si="15"/>
        <v>43479.523498661605</v>
      </c>
      <c r="N49" s="165">
        <f t="shared" si="16"/>
        <v>3.3089608522282016E-2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2.7543039032016901E-3</v>
      </c>
      <c r="F50" s="165">
        <f t="shared" si="9"/>
        <v>4631604.0094371503</v>
      </c>
      <c r="G50" s="165">
        <f t="shared" si="18"/>
        <v>570943.80060814042</v>
      </c>
      <c r="H50" s="165">
        <f t="shared" si="10"/>
        <v>2.7543039032016901E-3</v>
      </c>
      <c r="I50" s="165">
        <f>+H50-I51</f>
        <v>2.7543039032016901E-3</v>
      </c>
      <c r="J50" s="172">
        <f t="shared" si="13"/>
        <v>3284.1297755186702</v>
      </c>
      <c r="K50" s="172">
        <f t="shared" si="12"/>
        <v>4</v>
      </c>
      <c r="L50" s="165">
        <f t="shared" si="14"/>
        <v>1572.5527385238086</v>
      </c>
      <c r="M50" s="165">
        <f t="shared" si="15"/>
        <v>13136.519102074681</v>
      </c>
      <c r="N50" s="165">
        <f t="shared" si="16"/>
        <v>0.11970848032911943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3" t="s">
        <v>73</v>
      </c>
      <c r="F55" s="203"/>
      <c r="G55" s="203"/>
      <c r="H55" s="203"/>
      <c r="I55" s="203"/>
      <c r="J55" s="203"/>
      <c r="K55" s="203"/>
      <c r="L55" s="203"/>
      <c r="M55" s="203"/>
      <c r="N55" s="203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3.0362680361455799E-2</v>
      </c>
      <c r="F58" s="83">
        <f t="shared" ref="F58:F68" si="19">+E5</f>
        <v>17917.199999999499</v>
      </c>
      <c r="G58" s="83">
        <v>0</v>
      </c>
      <c r="H58" s="83">
        <f>+E58</f>
        <v>3.0362680361455799E-2</v>
      </c>
      <c r="I58" s="83">
        <f>+H58-H59</f>
        <v>5.9366754958969925E-4</v>
      </c>
      <c r="J58" s="83">
        <f>IF(+'Sismo UBC-94 y Dinamico'!P34=0,'Sismo UBC-94 y Dinamico'!N34,'Sismo UBC-94 y Dinamico'!P34)</f>
        <v>880.84539538764398</v>
      </c>
      <c r="K58" s="83">
        <f t="shared" ref="K58:K68" si="20">+C58</f>
        <v>38.5</v>
      </c>
      <c r="L58" s="83">
        <f>+G58*I58</f>
        <v>0</v>
      </c>
      <c r="M58" s="83">
        <f>+J58*K58</f>
        <v>33912.547722424293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2.97690128118661E-2</v>
      </c>
      <c r="F59" s="165">
        <f t="shared" si="19"/>
        <v>473431.54764761298</v>
      </c>
      <c r="G59" s="83">
        <f>+F59</f>
        <v>473431.54764761298</v>
      </c>
      <c r="H59" s="83">
        <f t="shared" ref="H59:H68" si="21">+E59</f>
        <v>2.97690128118661E-2</v>
      </c>
      <c r="I59" s="83">
        <f>+H59-H60</f>
        <v>9.9646985233100074E-4</v>
      </c>
      <c r="J59" s="172">
        <f>IF(+'Sismo UBC-94 y Dinamico'!P35=0,'Sismo UBC-94 y Dinamico'!N35,'Sismo UBC-94 y Dinamico'!P35)</f>
        <v>17441.004693917806</v>
      </c>
      <c r="K59" s="172">
        <f t="shared" si="20"/>
        <v>35.5</v>
      </c>
      <c r="L59" s="83">
        <f>+G59*I59</f>
        <v>471.76026437325407</v>
      </c>
      <c r="M59" s="83">
        <f>+J59*K59</f>
        <v>619155.6666340821</v>
      </c>
      <c r="N59" s="83">
        <f>+L59/M59</f>
        <v>7.6194128519873824E-4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2.8772542959535099E-2</v>
      </c>
      <c r="F60" s="165">
        <f t="shared" si="19"/>
        <v>921340.89529546897</v>
      </c>
      <c r="G60" s="83">
        <f>+F60-F59</f>
        <v>447909.34764785599</v>
      </c>
      <c r="H60" s="83">
        <f t="shared" si="21"/>
        <v>2.8772542959535099E-2</v>
      </c>
      <c r="I60" s="83">
        <f>+H60-H61</f>
        <v>1.6491239693024982E-3</v>
      </c>
      <c r="J60" s="172">
        <f>IF(+'Sismo UBC-94 y Dinamico'!P36=0,'Sismo UBC-94 y Dinamico'!N36,'Sismo UBC-94 y Dinamico'!P36)</f>
        <v>19584.522063025175</v>
      </c>
      <c r="K60" s="172">
        <f t="shared" si="20"/>
        <v>32</v>
      </c>
      <c r="L60" s="83">
        <f>+G60*I60</f>
        <v>738.65804128072489</v>
      </c>
      <c r="M60" s="83">
        <f>+J60*K60</f>
        <v>626704.70601680561</v>
      </c>
      <c r="N60" s="83">
        <f>+L60/M60</f>
        <v>1.1786380957236934E-3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2.7123418990232601E-2</v>
      </c>
      <c r="F61" s="165">
        <f t="shared" si="19"/>
        <v>1369250.2429432101</v>
      </c>
      <c r="G61" s="83">
        <f t="shared" ref="G61:G68" si="22">+F61-F60</f>
        <v>447909.34764774109</v>
      </c>
      <c r="H61" s="83">
        <f t="shared" si="21"/>
        <v>2.7123418990232601E-2</v>
      </c>
      <c r="I61" s="83">
        <f>+H61-H62</f>
        <v>2.2596412737410018E-3</v>
      </c>
      <c r="J61" s="172">
        <f>IF(+'Sismo UBC-94 y Dinamico'!P37=0,'Sismo UBC-94 y Dinamico'!N37,'Sismo UBC-94 y Dinamico'!P37)</f>
        <v>16237.01973335519</v>
      </c>
      <c r="K61" s="172">
        <f t="shared" si="20"/>
        <v>28.5</v>
      </c>
      <c r="L61" s="83">
        <f>+G61*I61</f>
        <v>1012.1144488392429</v>
      </c>
      <c r="M61" s="83">
        <f>+J61*K61</f>
        <v>462755.06240062288</v>
      </c>
      <c r="N61" s="83">
        <f>+L61/M61</f>
        <v>2.1871493821995639E-3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2.4863777716491599E-2</v>
      </c>
      <c r="F62" s="165">
        <f t="shared" si="19"/>
        <v>1817159.5905907401</v>
      </c>
      <c r="G62" s="83">
        <f t="shared" si="22"/>
        <v>447909.34764753003</v>
      </c>
      <c r="H62" s="83">
        <f t="shared" si="21"/>
        <v>2.4863777716491599E-2</v>
      </c>
      <c r="I62" s="83">
        <f>+H62-H63</f>
        <v>2.7745666653035995E-3</v>
      </c>
      <c r="J62" s="172">
        <f>IF(+'Sismo UBC-94 y Dinamico'!P38=0,'Sismo UBC-94 y Dinamico'!N38,'Sismo UBC-94 y Dinamico'!P38)</f>
        <v>13477.844014506596</v>
      </c>
      <c r="K62" s="172">
        <f t="shared" si="20"/>
        <v>25</v>
      </c>
      <c r="L62" s="83">
        <f>+G62*I62</f>
        <v>1242.7543450607182</v>
      </c>
      <c r="M62" s="83">
        <f>+J62*K62</f>
        <v>336946.1003626649</v>
      </c>
      <c r="N62" s="83">
        <f>+L62/M62</f>
        <v>3.6882882565582608E-3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2.2089211051187999E-2</v>
      </c>
      <c r="F63" s="165">
        <f t="shared" si="19"/>
        <v>2265068.93823834</v>
      </c>
      <c r="G63" s="165">
        <f t="shared" si="22"/>
        <v>447909.34764759988</v>
      </c>
      <c r="H63" s="165">
        <f t="shared" si="21"/>
        <v>2.2089211051187999E-2</v>
      </c>
      <c r="I63" s="165">
        <f t="shared" ref="I63:I68" si="23">+H63-H64</f>
        <v>3.2053301879911983E-3</v>
      </c>
      <c r="J63" s="172">
        <f>IF(+'Sismo UBC-94 y Dinamico'!P39=0,'Sismo UBC-94 y Dinamico'!N39,'Sismo UBC-94 y Dinamico'!P39)</f>
        <v>11448.845962470627</v>
      </c>
      <c r="K63" s="172">
        <f t="shared" si="20"/>
        <v>21.5</v>
      </c>
      <c r="L63" s="165">
        <f t="shared" ref="L63:L68" si="24">+G63*I63</f>
        <v>1435.6973534982963</v>
      </c>
      <c r="M63" s="165">
        <f t="shared" ref="M63:M68" si="25">+J63*K63</f>
        <v>246150.18819311846</v>
      </c>
      <c r="N63" s="165">
        <f t="shared" ref="N63:N68" si="26">+L63/M63</f>
        <v>5.832607173844255E-3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1.8883880863196801E-2</v>
      </c>
      <c r="F64" s="165">
        <f t="shared" si="19"/>
        <v>2712978.28588585</v>
      </c>
      <c r="G64" s="165">
        <f t="shared" si="22"/>
        <v>447909.34764751</v>
      </c>
      <c r="H64" s="165">
        <f t="shared" si="21"/>
        <v>1.8883880863196801E-2</v>
      </c>
      <c r="I64" s="165">
        <f t="shared" si="23"/>
        <v>3.5709709833588003E-3</v>
      </c>
      <c r="J64" s="172">
        <f>IF(+'Sismo UBC-94 y Dinamico'!P40=0,'Sismo UBC-94 y Dinamico'!N40,'Sismo UBC-94 y Dinamico'!P40)</f>
        <v>9996.0600420300052</v>
      </c>
      <c r="K64" s="172">
        <f t="shared" si="20"/>
        <v>18</v>
      </c>
      <c r="L64" s="165">
        <f t="shared" si="24"/>
        <v>1599.4712836244275</v>
      </c>
      <c r="M64" s="165">
        <f t="shared" si="25"/>
        <v>179929.08075654009</v>
      </c>
      <c r="N64" s="165">
        <f t="shared" si="26"/>
        <v>8.8894539831982644E-3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1.5312909879838001E-2</v>
      </c>
      <c r="F65" s="165">
        <f t="shared" si="19"/>
        <v>3162205.5935336198</v>
      </c>
      <c r="G65" s="165">
        <f t="shared" si="22"/>
        <v>449227.30764776981</v>
      </c>
      <c r="H65" s="165">
        <f t="shared" si="21"/>
        <v>1.5312909879838001E-2</v>
      </c>
      <c r="I65" s="165">
        <f t="shared" si="23"/>
        <v>3.8785406124219012E-3</v>
      </c>
      <c r="J65" s="172">
        <f>IF(+'Sismo UBC-94 y Dinamico'!P41=0,'Sismo UBC-94 y Dinamico'!N41,'Sismo UBC-94 y Dinamico'!P41)</f>
        <v>8854.5030030734179</v>
      </c>
      <c r="K65" s="172">
        <f t="shared" si="20"/>
        <v>14.5</v>
      </c>
      <c r="L65" s="165">
        <f t="shared" si="24"/>
        <v>1742.3463569208229</v>
      </c>
      <c r="M65" s="165">
        <f t="shared" si="25"/>
        <v>128390.29354456456</v>
      </c>
      <c r="N65" s="165">
        <f t="shared" si="26"/>
        <v>1.3570701560208292E-2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1.1434369267416099E-2</v>
      </c>
      <c r="F66" s="165">
        <f t="shared" si="19"/>
        <v>3611432.9011813598</v>
      </c>
      <c r="G66" s="165">
        <f t="shared" si="22"/>
        <v>449227.30764774</v>
      </c>
      <c r="H66" s="165">
        <f t="shared" si="21"/>
        <v>1.1434369267416099E-2</v>
      </c>
      <c r="I66" s="165">
        <f t="shared" si="23"/>
        <v>4.0953709290727095E-3</v>
      </c>
      <c r="J66" s="172">
        <f>IF(+'Sismo UBC-94 y Dinamico'!P42=0,'Sismo UBC-94 y Dinamico'!N42,'Sismo UBC-94 y Dinamico'!P42)</f>
        <v>7631.3656730182211</v>
      </c>
      <c r="K66" s="172">
        <f t="shared" si="20"/>
        <v>11</v>
      </c>
      <c r="L66" s="165">
        <f t="shared" si="24"/>
        <v>1839.7524562861568</v>
      </c>
      <c r="M66" s="165">
        <f t="shared" si="25"/>
        <v>83945.022403200433</v>
      </c>
      <c r="N66" s="165">
        <f t="shared" si="26"/>
        <v>2.1916158976640114E-2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7.33899833834339E-3</v>
      </c>
      <c r="F67" s="165">
        <f t="shared" si="19"/>
        <v>4060660.2088290099</v>
      </c>
      <c r="G67" s="165">
        <f t="shared" si="22"/>
        <v>449227.30764765013</v>
      </c>
      <c r="H67" s="165">
        <f t="shared" si="21"/>
        <v>7.33899833834339E-3</v>
      </c>
      <c r="I67" s="165">
        <f t="shared" si="23"/>
        <v>4.0991882078227505E-3</v>
      </c>
      <c r="J67" s="172">
        <f>IF(+'Sismo UBC-94 y Dinamico'!P43=0,'Sismo UBC-94 y Dinamico'!N43,'Sismo UBC-94 y Dinamico'!P43)</f>
        <v>5964.0945599098441</v>
      </c>
      <c r="K67" s="172">
        <f t="shared" si="20"/>
        <v>7.5</v>
      </c>
      <c r="L67" s="165">
        <f t="shared" si="24"/>
        <v>1841.4672821412103</v>
      </c>
      <c r="M67" s="165">
        <f t="shared" si="25"/>
        <v>44730.709199323828</v>
      </c>
      <c r="N67" s="165">
        <f t="shared" si="26"/>
        <v>4.1167853474790128E-2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3.23981013052064E-3</v>
      </c>
      <c r="F68" s="165">
        <f t="shared" si="19"/>
        <v>4631604.0094371503</v>
      </c>
      <c r="G68" s="165">
        <f t="shared" si="22"/>
        <v>570943.80060814042</v>
      </c>
      <c r="H68" s="165">
        <f t="shared" si="21"/>
        <v>3.23981013052064E-3</v>
      </c>
      <c r="I68" s="165">
        <f t="shared" si="23"/>
        <v>3.23981013052064E-3</v>
      </c>
      <c r="J68" s="172">
        <f>IF(+'Sismo UBC-94 y Dinamico'!P44=0,'Sismo UBC-94 y Dinamico'!N44,'Sismo UBC-94 y Dinamico'!P44)</f>
        <v>3377.1438000201351</v>
      </c>
      <c r="K68" s="172">
        <f t="shared" si="20"/>
        <v>4</v>
      </c>
      <c r="L68" s="165">
        <f t="shared" si="24"/>
        <v>1849.7495091682097</v>
      </c>
      <c r="M68" s="165">
        <f t="shared" si="25"/>
        <v>13508.575200080541</v>
      </c>
      <c r="N68" s="165">
        <f t="shared" si="26"/>
        <v>0.13693150326891479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3" t="s">
        <v>73</v>
      </c>
      <c r="F73" s="203"/>
      <c r="G73" s="203"/>
      <c r="H73" s="203"/>
      <c r="I73" s="203"/>
      <c r="J73" s="203"/>
      <c r="K73" s="203"/>
      <c r="L73" s="203"/>
      <c r="M73" s="203"/>
      <c r="N73" s="203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2.7559086199904801E-2</v>
      </c>
      <c r="F76" s="83">
        <f t="shared" ref="F76:F86" si="28">+E5</f>
        <v>17917.199999999499</v>
      </c>
      <c r="G76" s="83">
        <v>0</v>
      </c>
      <c r="H76" s="83">
        <f>+E76</f>
        <v>2.7559086199904801E-2</v>
      </c>
      <c r="I76" s="83">
        <f>+H76-H77</f>
        <v>-6.936642266893802E-3</v>
      </c>
      <c r="J76" s="83">
        <f>+J58</f>
        <v>880.84539538764398</v>
      </c>
      <c r="K76" s="83">
        <f t="shared" ref="K76:K86" si="29">+C76</f>
        <v>38.5</v>
      </c>
      <c r="L76" s="83">
        <f>+G76*I76</f>
        <v>0</v>
      </c>
      <c r="M76" s="83">
        <f>+J76*K76</f>
        <v>33912.547722424293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3.4495728466798603E-2</v>
      </c>
      <c r="F77" s="165">
        <f t="shared" si="28"/>
        <v>473431.54764761298</v>
      </c>
      <c r="G77" s="83">
        <f>+F77</f>
        <v>473431.54764761298</v>
      </c>
      <c r="H77" s="83">
        <f>+E77</f>
        <v>3.4495728466798603E-2</v>
      </c>
      <c r="I77" s="83">
        <f>+H77-H78</f>
        <v>1.1405640540320047E-3</v>
      </c>
      <c r="J77" s="172">
        <f t="shared" ref="J77:J86" si="30">+J59</f>
        <v>17441.004693917806</v>
      </c>
      <c r="K77" s="172">
        <f t="shared" si="29"/>
        <v>35.5</v>
      </c>
      <c r="L77" s="83">
        <f>+G77*I77</f>
        <v>539.97900529160768</v>
      </c>
      <c r="M77" s="83">
        <f>+J77*K77</f>
        <v>619155.6666340821</v>
      </c>
      <c r="N77" s="83">
        <f>+L77/M77</f>
        <v>8.7212155906946185E-4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3.3355164412766598E-2</v>
      </c>
      <c r="F78" s="165">
        <f t="shared" si="28"/>
        <v>921340.89529546897</v>
      </c>
      <c r="G78" s="83">
        <f>+F78-F77</f>
        <v>447909.34764785599</v>
      </c>
      <c r="H78" s="83">
        <f>+E78</f>
        <v>3.3355164412766598E-2</v>
      </c>
      <c r="I78" s="83">
        <f>+H78-H79</f>
        <v>1.8985396403954011E-3</v>
      </c>
      <c r="J78" s="172">
        <f t="shared" si="30"/>
        <v>19584.522063025175</v>
      </c>
      <c r="K78" s="172">
        <f t="shared" si="29"/>
        <v>32</v>
      </c>
      <c r="L78" s="83">
        <f>+G78*I78</f>
        <v>850.37365181309917</v>
      </c>
      <c r="M78" s="83">
        <f>+J78*K78</f>
        <v>626704.70601680561</v>
      </c>
      <c r="N78" s="83">
        <f>+L78/M78</f>
        <v>1.3568968664969554E-3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3.1456624772371197E-2</v>
      </c>
      <c r="F79" s="165">
        <f t="shared" si="28"/>
        <v>1369250.2429432101</v>
      </c>
      <c r="G79" s="83">
        <f t="shared" ref="G79:G86" si="31">+F79-F78</f>
        <v>447909.34764774109</v>
      </c>
      <c r="H79" s="83">
        <f>+E79</f>
        <v>3.1456624772371197E-2</v>
      </c>
      <c r="I79" s="83">
        <f>+H79-H80</f>
        <v>2.6068134371234966E-3</v>
      </c>
      <c r="J79" s="172">
        <f t="shared" si="30"/>
        <v>16237.01973335519</v>
      </c>
      <c r="K79" s="172">
        <f t="shared" si="29"/>
        <v>28.5</v>
      </c>
      <c r="L79" s="83">
        <f>+G79*I79</f>
        <v>1167.616106061351</v>
      </c>
      <c r="M79" s="83">
        <f>+J79*K79</f>
        <v>462755.06240062288</v>
      </c>
      <c r="N79" s="83">
        <f>+L79/M79</f>
        <v>2.5231838631956573E-3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2.8849811335247701E-2</v>
      </c>
      <c r="F80" s="165">
        <f t="shared" si="28"/>
        <v>1817159.5905907401</v>
      </c>
      <c r="G80" s="83">
        <f t="shared" si="31"/>
        <v>447909.34764753003</v>
      </c>
      <c r="H80" s="83">
        <f>+E80</f>
        <v>2.8849811335247701E-2</v>
      </c>
      <c r="I80" s="83">
        <f>+H80-H81</f>
        <v>3.2041678914778021E-3</v>
      </c>
      <c r="J80" s="172">
        <f t="shared" si="30"/>
        <v>13477.844014506596</v>
      </c>
      <c r="K80" s="172">
        <f t="shared" si="29"/>
        <v>25</v>
      </c>
      <c r="L80" s="83">
        <f>+G80*I80</f>
        <v>1435.1767500249841</v>
      </c>
      <c r="M80" s="83">
        <f>+J80*K80</f>
        <v>336946.1003626649</v>
      </c>
      <c r="N80" s="83">
        <f>+L80/M80</f>
        <v>4.2593659593634162E-3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2.5645643443769899E-2</v>
      </c>
      <c r="F81" s="165">
        <f t="shared" si="28"/>
        <v>2265068.93823834</v>
      </c>
      <c r="G81" s="165">
        <f t="shared" si="31"/>
        <v>447909.34764759988</v>
      </c>
      <c r="H81" s="165">
        <f t="shared" ref="H81:H86" si="32">+E81</f>
        <v>2.5645643443769899E-2</v>
      </c>
      <c r="I81" s="165">
        <f t="shared" ref="I81:I86" si="33">+H81-H82</f>
        <v>3.7042908244994989E-3</v>
      </c>
      <c r="J81" s="172">
        <f t="shared" si="30"/>
        <v>11448.845962470627</v>
      </c>
      <c r="K81" s="172">
        <f t="shared" si="29"/>
        <v>21.5</v>
      </c>
      <c r="L81" s="165">
        <f t="shared" ref="L81:L86" si="34">+G81*I81</f>
        <v>1659.1864866985604</v>
      </c>
      <c r="M81" s="165">
        <f t="shared" ref="M81:M86" si="35">+J81*K81</f>
        <v>246150.18819311846</v>
      </c>
      <c r="N81" s="165">
        <f t="shared" ref="N81:N86" si="36">+L81/M81</f>
        <v>6.7405452698530407E-3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2.19413526192704E-2</v>
      </c>
      <c r="F82" s="165">
        <f t="shared" si="28"/>
        <v>2712978.28588585</v>
      </c>
      <c r="G82" s="165">
        <f t="shared" si="31"/>
        <v>447909.34764751</v>
      </c>
      <c r="H82" s="165">
        <f t="shared" si="32"/>
        <v>2.19413526192704E-2</v>
      </c>
      <c r="I82" s="165">
        <f t="shared" si="33"/>
        <v>4.1274856753414982E-3</v>
      </c>
      <c r="J82" s="172">
        <f t="shared" si="30"/>
        <v>9996.0600420300052</v>
      </c>
      <c r="K82" s="172">
        <f t="shared" si="29"/>
        <v>18</v>
      </c>
      <c r="L82" s="165">
        <f t="shared" si="34"/>
        <v>1848.7394162666528</v>
      </c>
      <c r="M82" s="165">
        <f t="shared" si="35"/>
        <v>179929.08075654009</v>
      </c>
      <c r="N82" s="165">
        <f t="shared" si="36"/>
        <v>1.0274822771801742E-2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1.7813866943928901E-2</v>
      </c>
      <c r="F83" s="165">
        <f t="shared" si="28"/>
        <v>3162205.5935336198</v>
      </c>
      <c r="G83" s="165">
        <f t="shared" si="31"/>
        <v>449227.30764776981</v>
      </c>
      <c r="H83" s="165">
        <f t="shared" si="32"/>
        <v>1.7813866943928901E-2</v>
      </c>
      <c r="I83" s="165">
        <f t="shared" si="33"/>
        <v>4.482960025271902E-3</v>
      </c>
      <c r="J83" s="172">
        <f t="shared" si="30"/>
        <v>8854.5030030734179</v>
      </c>
      <c r="K83" s="172">
        <f t="shared" si="29"/>
        <v>14.5</v>
      </c>
      <c r="L83" s="165">
        <f t="shared" si="34"/>
        <v>2013.8680624454746</v>
      </c>
      <c r="M83" s="165">
        <f t="shared" si="35"/>
        <v>128390.29354456456</v>
      </c>
      <c r="N83" s="165">
        <f t="shared" si="36"/>
        <v>1.5685516458037046E-2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1.3330906918656999E-2</v>
      </c>
      <c r="F84" s="165">
        <f t="shared" si="28"/>
        <v>3611432.9011813598</v>
      </c>
      <c r="G84" s="165">
        <f t="shared" si="31"/>
        <v>449227.30764774</v>
      </c>
      <c r="H84" s="165">
        <f t="shared" si="32"/>
        <v>1.3330906918656999E-2</v>
      </c>
      <c r="I84" s="165">
        <f t="shared" si="33"/>
        <v>4.7386172888106391E-3</v>
      </c>
      <c r="J84" s="172">
        <f t="shared" si="30"/>
        <v>7631.3656730182211</v>
      </c>
      <c r="K84" s="172">
        <f t="shared" si="29"/>
        <v>11</v>
      </c>
      <c r="L84" s="165">
        <f t="shared" si="34"/>
        <v>2128.7162866254366</v>
      </c>
      <c r="M84" s="165">
        <f t="shared" si="35"/>
        <v>83945.022403200433</v>
      </c>
      <c r="N84" s="165">
        <f t="shared" si="36"/>
        <v>2.5358457543806417E-2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8.5922896298463603E-3</v>
      </c>
      <c r="F85" s="165">
        <f t="shared" si="28"/>
        <v>4060660.2088290099</v>
      </c>
      <c r="G85" s="165">
        <f t="shared" si="31"/>
        <v>449227.30764765013</v>
      </c>
      <c r="H85" s="165">
        <f t="shared" si="32"/>
        <v>8.5922896298463603E-3</v>
      </c>
      <c r="I85" s="165">
        <f t="shared" si="33"/>
        <v>4.7590595212884997E-3</v>
      </c>
      <c r="J85" s="172">
        <f t="shared" si="30"/>
        <v>5964.0945599098441</v>
      </c>
      <c r="K85" s="172">
        <f t="shared" si="29"/>
        <v>7.5</v>
      </c>
      <c r="L85" s="165">
        <f t="shared" si="34"/>
        <v>2137.8994956833476</v>
      </c>
      <c r="M85" s="165">
        <f t="shared" si="35"/>
        <v>44730.709199323828</v>
      </c>
      <c r="N85" s="165">
        <f t="shared" si="36"/>
        <v>4.779489379783107E-2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3.8332301085578602E-3</v>
      </c>
      <c r="F86" s="165">
        <f t="shared" si="28"/>
        <v>4631604.0094371503</v>
      </c>
      <c r="G86" s="165">
        <f t="shared" si="31"/>
        <v>570943.80060814042</v>
      </c>
      <c r="H86" s="165">
        <f t="shared" si="32"/>
        <v>3.8332301085578602E-3</v>
      </c>
      <c r="I86" s="165">
        <f t="shared" si="33"/>
        <v>3.8332301085578602E-3</v>
      </c>
      <c r="J86" s="172">
        <f t="shared" si="30"/>
        <v>3377.1438000201351</v>
      </c>
      <c r="K86" s="172">
        <f t="shared" si="29"/>
        <v>4</v>
      </c>
      <c r="L86" s="165">
        <f t="shared" si="34"/>
        <v>2188.5589667855793</v>
      </c>
      <c r="M86" s="165">
        <f t="shared" si="35"/>
        <v>13508.575200080541</v>
      </c>
      <c r="N86" s="165">
        <f t="shared" si="36"/>
        <v>0.1620125686365895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4"/>
      <c r="D104" s="204"/>
      <c r="E104" s="204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C104:E104"/>
    <mergeCell ref="E19:F19"/>
    <mergeCell ref="E37:F37"/>
    <mergeCell ref="E55:F55"/>
    <mergeCell ref="E73:F73"/>
    <mergeCell ref="G19:H19"/>
    <mergeCell ref="I19:J19"/>
    <mergeCell ref="K19:L19"/>
    <mergeCell ref="M19:N19"/>
    <mergeCell ref="G37:H37"/>
    <mergeCell ref="I37:J37"/>
    <mergeCell ref="K37:L37"/>
    <mergeCell ref="M37:N37"/>
    <mergeCell ref="G55:H55"/>
    <mergeCell ref="I55:J55"/>
    <mergeCell ref="K55:L55"/>
    <mergeCell ref="M55:N55"/>
    <mergeCell ref="G73:H73"/>
    <mergeCell ref="I73:J73"/>
    <mergeCell ref="K73:L73"/>
    <mergeCell ref="M73:N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2021-05-25T03:05:14Z</dcterms:modified>
</cp:coreProperties>
</file>