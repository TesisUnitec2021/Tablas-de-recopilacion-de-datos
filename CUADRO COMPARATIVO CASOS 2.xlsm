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bmp" ContentType="image/bmp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Archivos Ing. Allan Flores\Maestria en Estructuras\TESIS\VOLUMENES DE EDIFICIOS\VOLUMENES DE EDIFICIOS\TABULACIONES\CASO 2\"/>
    </mc:Choice>
  </mc:AlternateContent>
  <xr:revisionPtr revIDLastSave="0" documentId="13_ncr:1_{D0F93D1A-5EBD-4F72-86D2-18ED6B0A987A}" xr6:coauthVersionLast="47" xr6:coauthVersionMax="47" xr10:uidLastSave="{00000000-0000-0000-0000-000000000000}"/>
  <bookViews>
    <workbookView xWindow="-120" yWindow="-120" windowWidth="20730" windowHeight="11310" tabRatio="938" activeTab="2" xr2:uid="{00000000-000D-0000-FFFF-FFFF00000000}"/>
  </bookViews>
  <sheets>
    <sheet name="Hoja1" sheetId="9" r:id="rId1"/>
    <sheet name="D-DERIVAS" sheetId="8" r:id="rId2"/>
    <sheet name="D-IRRE TORSIONAL" sheetId="7" r:id="rId3"/>
    <sheet name="D-PCMCR" sheetId="6" r:id="rId4"/>
    <sheet name="COLUMNAS N1" sheetId="5" r:id="rId5"/>
    <sheet name="IRRE TORSIONAL" sheetId="4" r:id="rId6"/>
    <sheet name="DERIVAS" sheetId="2" r:id="rId7"/>
    <sheet name="GENERALES" sheetId="1" r:id="rId8"/>
    <sheet name="DIRECTOR" sheetId="3" r:id="rId9"/>
  </sheets>
  <definedNames>
    <definedName name="_xlnm._FilterDatabase" localSheetId="4" hidden="1">'COLUMNAS N1'!#REF!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8" l="1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5" i="8"/>
  <c r="E6" i="8"/>
  <c r="F6" i="8"/>
  <c r="G6" i="8"/>
  <c r="E7" i="8"/>
  <c r="F7" i="8"/>
  <c r="G7" i="8"/>
  <c r="E8" i="8"/>
  <c r="F8" i="8"/>
  <c r="G8" i="8"/>
  <c r="E9" i="8"/>
  <c r="F9" i="8"/>
  <c r="G9" i="8"/>
  <c r="E10" i="8"/>
  <c r="F10" i="8"/>
  <c r="G10" i="8"/>
  <c r="E11" i="8"/>
  <c r="F11" i="8"/>
  <c r="G11" i="8"/>
  <c r="E12" i="8"/>
  <c r="F12" i="8"/>
  <c r="G12" i="8"/>
  <c r="E13" i="8"/>
  <c r="F13" i="8"/>
  <c r="G13" i="8"/>
  <c r="E14" i="8"/>
  <c r="F14" i="8"/>
  <c r="G14" i="8"/>
  <c r="E15" i="8"/>
  <c r="F15" i="8"/>
  <c r="G15" i="8"/>
  <c r="E16" i="8"/>
  <c r="F16" i="8"/>
  <c r="G16" i="8"/>
  <c r="E17" i="8"/>
  <c r="F17" i="8"/>
  <c r="G17" i="8"/>
  <c r="E18" i="8"/>
  <c r="F18" i="8"/>
  <c r="G18" i="8"/>
  <c r="E19" i="8"/>
  <c r="F19" i="8"/>
  <c r="G19" i="8"/>
  <c r="E20" i="8"/>
  <c r="F20" i="8"/>
  <c r="G20" i="8"/>
  <c r="E21" i="8"/>
  <c r="F21" i="8"/>
  <c r="G21" i="8"/>
  <c r="E22" i="8"/>
  <c r="F22" i="8"/>
  <c r="G22" i="8"/>
  <c r="E23" i="8"/>
  <c r="F23" i="8"/>
  <c r="G23" i="8"/>
  <c r="E24" i="8"/>
  <c r="F24" i="8"/>
  <c r="G24" i="8"/>
  <c r="E25" i="8"/>
  <c r="F25" i="8"/>
  <c r="G25" i="8"/>
  <c r="E26" i="8"/>
  <c r="F26" i="8"/>
  <c r="G26" i="8"/>
  <c r="E27" i="8"/>
  <c r="F27" i="8"/>
  <c r="G27" i="8"/>
  <c r="E28" i="8"/>
  <c r="F28" i="8"/>
  <c r="G28" i="8"/>
  <c r="E29" i="8"/>
  <c r="F29" i="8"/>
  <c r="G29" i="8"/>
  <c r="E30" i="8"/>
  <c r="F30" i="8"/>
  <c r="G30" i="8"/>
  <c r="E31" i="8"/>
  <c r="F31" i="8"/>
  <c r="G31" i="8"/>
  <c r="E32" i="8"/>
  <c r="F32" i="8"/>
  <c r="G32" i="8"/>
  <c r="E33" i="8"/>
  <c r="F33" i="8"/>
  <c r="G33" i="8"/>
  <c r="E34" i="8"/>
  <c r="F34" i="8"/>
  <c r="G34" i="8"/>
  <c r="E35" i="8"/>
  <c r="F35" i="8"/>
  <c r="G35" i="8"/>
  <c r="E36" i="8"/>
  <c r="F36" i="8"/>
  <c r="G36" i="8"/>
  <c r="E37" i="8"/>
  <c r="F37" i="8"/>
  <c r="G37" i="8"/>
  <c r="E38" i="8"/>
  <c r="F38" i="8"/>
  <c r="G38" i="8"/>
  <c r="E39" i="8"/>
  <c r="F39" i="8"/>
  <c r="G39" i="8"/>
  <c r="E40" i="8"/>
  <c r="F40" i="8"/>
  <c r="G40" i="8"/>
  <c r="E41" i="8"/>
  <c r="F41" i="8"/>
  <c r="G41" i="8"/>
  <c r="E42" i="8"/>
  <c r="F42" i="8"/>
  <c r="G42" i="8"/>
  <c r="E43" i="8"/>
  <c r="F43" i="8"/>
  <c r="G43" i="8"/>
  <c r="E44" i="8"/>
  <c r="F44" i="8"/>
  <c r="G44" i="8"/>
  <c r="E45" i="8"/>
  <c r="F45" i="8"/>
  <c r="G45" i="8"/>
  <c r="E46" i="8"/>
  <c r="F46" i="8"/>
  <c r="G46" i="8"/>
  <c r="E47" i="8"/>
  <c r="F47" i="8"/>
  <c r="G47" i="8"/>
  <c r="E48" i="8"/>
  <c r="F48" i="8"/>
  <c r="G48" i="8"/>
  <c r="G5" i="8"/>
  <c r="F5" i="8"/>
  <c r="E5" i="8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5" i="7"/>
  <c r="E6" i="7"/>
  <c r="F6" i="7"/>
  <c r="G6" i="7"/>
  <c r="E7" i="7"/>
  <c r="F7" i="7"/>
  <c r="G7" i="7"/>
  <c r="E8" i="7"/>
  <c r="F8" i="7"/>
  <c r="G8" i="7"/>
  <c r="E9" i="7"/>
  <c r="F9" i="7"/>
  <c r="G9" i="7"/>
  <c r="E10" i="7"/>
  <c r="F10" i="7"/>
  <c r="G10" i="7"/>
  <c r="E11" i="7"/>
  <c r="F11" i="7"/>
  <c r="G11" i="7"/>
  <c r="E12" i="7"/>
  <c r="F12" i="7"/>
  <c r="G12" i="7"/>
  <c r="E13" i="7"/>
  <c r="F13" i="7"/>
  <c r="G13" i="7"/>
  <c r="E14" i="7"/>
  <c r="F14" i="7"/>
  <c r="G14" i="7"/>
  <c r="E15" i="7"/>
  <c r="F15" i="7"/>
  <c r="G15" i="7"/>
  <c r="E16" i="7"/>
  <c r="F16" i="7"/>
  <c r="G16" i="7"/>
  <c r="E17" i="7"/>
  <c r="F17" i="7"/>
  <c r="G17" i="7"/>
  <c r="E18" i="7"/>
  <c r="F18" i="7"/>
  <c r="G18" i="7"/>
  <c r="E19" i="7"/>
  <c r="F19" i="7"/>
  <c r="G19" i="7"/>
  <c r="E20" i="7"/>
  <c r="F20" i="7"/>
  <c r="G20" i="7"/>
  <c r="E21" i="7"/>
  <c r="F21" i="7"/>
  <c r="G21" i="7"/>
  <c r="E22" i="7"/>
  <c r="F22" i="7"/>
  <c r="G22" i="7"/>
  <c r="E23" i="7"/>
  <c r="F23" i="7"/>
  <c r="G23" i="7"/>
  <c r="E24" i="7"/>
  <c r="F24" i="7"/>
  <c r="G24" i="7"/>
  <c r="E25" i="7"/>
  <c r="F25" i="7"/>
  <c r="G25" i="7"/>
  <c r="E26" i="7"/>
  <c r="F26" i="7"/>
  <c r="G26" i="7"/>
  <c r="E27" i="7"/>
  <c r="F27" i="7"/>
  <c r="G27" i="7"/>
  <c r="E28" i="7"/>
  <c r="F28" i="7"/>
  <c r="G28" i="7"/>
  <c r="E29" i="7"/>
  <c r="F29" i="7"/>
  <c r="G29" i="7"/>
  <c r="E30" i="7"/>
  <c r="F30" i="7"/>
  <c r="G30" i="7"/>
  <c r="E31" i="7"/>
  <c r="F31" i="7"/>
  <c r="G31" i="7"/>
  <c r="E32" i="7"/>
  <c r="F32" i="7"/>
  <c r="G32" i="7"/>
  <c r="E33" i="7"/>
  <c r="F33" i="7"/>
  <c r="G33" i="7"/>
  <c r="E34" i="7"/>
  <c r="F34" i="7"/>
  <c r="G34" i="7"/>
  <c r="E35" i="7"/>
  <c r="F35" i="7"/>
  <c r="G35" i="7"/>
  <c r="E36" i="7"/>
  <c r="F36" i="7"/>
  <c r="G36" i="7"/>
  <c r="E37" i="7"/>
  <c r="F37" i="7"/>
  <c r="G37" i="7"/>
  <c r="E38" i="7"/>
  <c r="F38" i="7"/>
  <c r="G38" i="7"/>
  <c r="E39" i="7"/>
  <c r="F39" i="7"/>
  <c r="G39" i="7"/>
  <c r="E40" i="7"/>
  <c r="F40" i="7"/>
  <c r="G40" i="7"/>
  <c r="E41" i="7"/>
  <c r="F41" i="7"/>
  <c r="G41" i="7"/>
  <c r="E42" i="7"/>
  <c r="F42" i="7"/>
  <c r="G42" i="7"/>
  <c r="E43" i="7"/>
  <c r="F43" i="7"/>
  <c r="G43" i="7"/>
  <c r="E44" i="7"/>
  <c r="F44" i="7"/>
  <c r="G44" i="7"/>
  <c r="E45" i="7"/>
  <c r="F45" i="7"/>
  <c r="G45" i="7"/>
  <c r="E46" i="7"/>
  <c r="F46" i="7"/>
  <c r="G46" i="7"/>
  <c r="E47" i="7"/>
  <c r="F47" i="7"/>
  <c r="G47" i="7"/>
  <c r="E48" i="7"/>
  <c r="F48" i="7"/>
  <c r="G48" i="7"/>
  <c r="G5" i="7"/>
  <c r="F5" i="7"/>
  <c r="E5" i="7"/>
  <c r="L10" i="6" l="1"/>
  <c r="M10" i="6"/>
  <c r="L11" i="6"/>
  <c r="M11" i="6"/>
  <c r="L12" i="6"/>
  <c r="M12" i="6"/>
  <c r="L13" i="6"/>
  <c r="M13" i="6"/>
  <c r="L14" i="6"/>
  <c r="M14" i="6"/>
  <c r="L15" i="6"/>
  <c r="M15" i="6"/>
  <c r="L16" i="6"/>
  <c r="M16" i="6"/>
  <c r="L17" i="6"/>
  <c r="M17" i="6"/>
  <c r="L18" i="6"/>
  <c r="M18" i="6"/>
  <c r="L19" i="6"/>
  <c r="M19" i="6"/>
  <c r="L20" i="6"/>
  <c r="M20" i="6"/>
  <c r="L21" i="6"/>
  <c r="M21" i="6"/>
  <c r="L22" i="6"/>
  <c r="M22" i="6"/>
  <c r="L23" i="6"/>
  <c r="M23" i="6"/>
  <c r="L24" i="6"/>
  <c r="M24" i="6"/>
  <c r="L25" i="6"/>
  <c r="M25" i="6"/>
  <c r="L26" i="6"/>
  <c r="M26" i="6"/>
  <c r="L27" i="6"/>
  <c r="M27" i="6"/>
  <c r="L28" i="6"/>
  <c r="M28" i="6"/>
  <c r="L29" i="6"/>
  <c r="M29" i="6"/>
  <c r="M9" i="6"/>
  <c r="L9" i="6"/>
  <c r="M8" i="6"/>
  <c r="L8" i="6"/>
  <c r="J10" i="6"/>
  <c r="K10" i="6"/>
  <c r="J11" i="6"/>
  <c r="K11" i="6"/>
  <c r="J12" i="6"/>
  <c r="K12" i="6"/>
  <c r="J13" i="6"/>
  <c r="K13" i="6"/>
  <c r="J14" i="6"/>
  <c r="K14" i="6"/>
  <c r="J15" i="6"/>
  <c r="K15" i="6"/>
  <c r="J16" i="6"/>
  <c r="K16" i="6"/>
  <c r="J17" i="6"/>
  <c r="K17" i="6"/>
  <c r="J18" i="6"/>
  <c r="K18" i="6"/>
  <c r="J19" i="6"/>
  <c r="K19" i="6"/>
  <c r="J20" i="6"/>
  <c r="K20" i="6"/>
  <c r="J21" i="6"/>
  <c r="K21" i="6"/>
  <c r="J22" i="6"/>
  <c r="K22" i="6"/>
  <c r="J23" i="6"/>
  <c r="K23" i="6"/>
  <c r="J24" i="6"/>
  <c r="K24" i="6"/>
  <c r="J25" i="6"/>
  <c r="K25" i="6"/>
  <c r="J26" i="6"/>
  <c r="K26" i="6"/>
  <c r="J27" i="6"/>
  <c r="K27" i="6"/>
  <c r="J28" i="6"/>
  <c r="K28" i="6"/>
  <c r="J29" i="6"/>
  <c r="K29" i="6"/>
  <c r="K9" i="6"/>
  <c r="J9" i="6"/>
  <c r="K8" i="6"/>
  <c r="J8" i="6"/>
  <c r="L6" i="6"/>
  <c r="M6" i="6"/>
  <c r="L5" i="6"/>
  <c r="J6" i="6"/>
  <c r="K6" i="6"/>
  <c r="J5" i="6"/>
  <c r="I6" i="6"/>
  <c r="H6" i="6"/>
  <c r="G6" i="6"/>
  <c r="F6" i="6"/>
  <c r="E6" i="6"/>
  <c r="D6" i="6"/>
  <c r="H5" i="6"/>
  <c r="F5" i="6"/>
  <c r="D5" i="6"/>
  <c r="H20" i="6"/>
  <c r="I20" i="6"/>
  <c r="H21" i="6"/>
  <c r="I21" i="6"/>
  <c r="H22" i="6"/>
  <c r="I22" i="6"/>
  <c r="H23" i="6"/>
  <c r="I23" i="6"/>
  <c r="H24" i="6"/>
  <c r="I24" i="6"/>
  <c r="H25" i="6"/>
  <c r="I25" i="6"/>
  <c r="H26" i="6"/>
  <c r="I26" i="6"/>
  <c r="H27" i="6"/>
  <c r="I27" i="6"/>
  <c r="H28" i="6"/>
  <c r="I28" i="6"/>
  <c r="H29" i="6"/>
  <c r="I29" i="6"/>
  <c r="I19" i="6"/>
  <c r="H19" i="6"/>
  <c r="F20" i="6"/>
  <c r="G20" i="6"/>
  <c r="F21" i="6"/>
  <c r="G21" i="6"/>
  <c r="F22" i="6"/>
  <c r="G22" i="6"/>
  <c r="F23" i="6"/>
  <c r="G23" i="6"/>
  <c r="F24" i="6"/>
  <c r="G24" i="6"/>
  <c r="F25" i="6"/>
  <c r="G25" i="6"/>
  <c r="F26" i="6"/>
  <c r="G26" i="6"/>
  <c r="F27" i="6"/>
  <c r="G27" i="6"/>
  <c r="F28" i="6"/>
  <c r="G28" i="6"/>
  <c r="F29" i="6"/>
  <c r="G29" i="6"/>
  <c r="G19" i="6"/>
  <c r="F19" i="6"/>
  <c r="D20" i="6"/>
  <c r="E20" i="6"/>
  <c r="D21" i="6"/>
  <c r="E21" i="6"/>
  <c r="D22" i="6"/>
  <c r="E22" i="6"/>
  <c r="D23" i="6"/>
  <c r="E23" i="6"/>
  <c r="D24" i="6"/>
  <c r="E24" i="6"/>
  <c r="D25" i="6"/>
  <c r="E25" i="6"/>
  <c r="D26" i="6"/>
  <c r="E26" i="6"/>
  <c r="D27" i="6"/>
  <c r="E27" i="6"/>
  <c r="D28" i="6"/>
  <c r="E28" i="6"/>
  <c r="D29" i="6"/>
  <c r="E29" i="6"/>
  <c r="E19" i="6"/>
  <c r="D19" i="6"/>
  <c r="H9" i="6"/>
  <c r="I9" i="6"/>
  <c r="H10" i="6"/>
  <c r="I10" i="6"/>
  <c r="H11" i="6"/>
  <c r="I11" i="6"/>
  <c r="H12" i="6"/>
  <c r="I12" i="6"/>
  <c r="H13" i="6"/>
  <c r="I13" i="6"/>
  <c r="H14" i="6"/>
  <c r="I14" i="6"/>
  <c r="H15" i="6"/>
  <c r="I15" i="6"/>
  <c r="H16" i="6"/>
  <c r="I16" i="6"/>
  <c r="H17" i="6"/>
  <c r="I17" i="6"/>
  <c r="H18" i="6"/>
  <c r="I18" i="6"/>
  <c r="I8" i="6"/>
  <c r="H8" i="6"/>
  <c r="F18" i="6"/>
  <c r="G18" i="6"/>
  <c r="F9" i="6"/>
  <c r="G9" i="6"/>
  <c r="F10" i="6"/>
  <c r="G10" i="6"/>
  <c r="F11" i="6"/>
  <c r="G11" i="6"/>
  <c r="F12" i="6"/>
  <c r="G12" i="6"/>
  <c r="F13" i="6"/>
  <c r="G13" i="6"/>
  <c r="F14" i="6"/>
  <c r="G14" i="6"/>
  <c r="F15" i="6"/>
  <c r="G15" i="6"/>
  <c r="F16" i="6"/>
  <c r="G16" i="6"/>
  <c r="F17" i="6"/>
  <c r="G17" i="6"/>
  <c r="G8" i="6"/>
  <c r="F8" i="6"/>
  <c r="D9" i="6"/>
  <c r="E9" i="6"/>
  <c r="D10" i="6"/>
  <c r="E10" i="6"/>
  <c r="D11" i="6"/>
  <c r="E11" i="6"/>
  <c r="D12" i="6"/>
  <c r="E12" i="6"/>
  <c r="D13" i="6"/>
  <c r="E13" i="6"/>
  <c r="D14" i="6"/>
  <c r="E14" i="6"/>
  <c r="D15" i="6"/>
  <c r="E15" i="6"/>
  <c r="D16" i="6"/>
  <c r="E16" i="6"/>
  <c r="D17" i="6"/>
  <c r="E17" i="6"/>
  <c r="D18" i="6"/>
  <c r="E18" i="6"/>
  <c r="E8" i="6"/>
  <c r="D8" i="6"/>
  <c r="O5" i="1" l="1"/>
  <c r="M5" i="1"/>
  <c r="K5" i="1"/>
  <c r="E5" i="6" s="1"/>
  <c r="I5" i="1"/>
  <c r="G5" i="1"/>
  <c r="E5" i="1"/>
  <c r="M5" i="6" l="1"/>
  <c r="I5" i="6"/>
  <c r="G5" i="6"/>
  <c r="K5" i="6"/>
</calcChain>
</file>

<file path=xl/sharedStrings.xml><?xml version="1.0" encoding="utf-8"?>
<sst xmlns="http://schemas.openxmlformats.org/spreadsheetml/2006/main" count="516" uniqueCount="89">
  <si>
    <t>PERIODO TA</t>
  </si>
  <si>
    <t>CENTRO DE MASAS</t>
  </si>
  <si>
    <t>VARIABLE</t>
  </si>
  <si>
    <t>STORY</t>
  </si>
  <si>
    <t>STORY 1</t>
  </si>
  <si>
    <t>STORY 11</t>
  </si>
  <si>
    <t>STORY 10</t>
  </si>
  <si>
    <t>STORY 9</t>
  </si>
  <si>
    <t>STORY 8</t>
  </si>
  <si>
    <t>STORY 7</t>
  </si>
  <si>
    <t>STORY 6</t>
  </si>
  <si>
    <t>STORY 5</t>
  </si>
  <si>
    <t>STORY 4</t>
  </si>
  <si>
    <t>STORY 3</t>
  </si>
  <si>
    <t>STORY 2</t>
  </si>
  <si>
    <t>CENTRO RIGIDEZ</t>
  </si>
  <si>
    <t>FUERZA</t>
  </si>
  <si>
    <t>DERIVAS</t>
  </si>
  <si>
    <t>EQXEP</t>
  </si>
  <si>
    <t>EQXEN</t>
  </si>
  <si>
    <t>EQYEP</t>
  </si>
  <si>
    <t>EQYEN</t>
  </si>
  <si>
    <t>SENTIDO</t>
  </si>
  <si>
    <t>X (m)</t>
  </si>
  <si>
    <t>Y (m)</t>
  </si>
  <si>
    <t>X (s)</t>
  </si>
  <si>
    <t>Y (s)</t>
  </si>
  <si>
    <t>PERIODO DINAMICO</t>
  </si>
  <si>
    <t>CASO 3.1 DENTRO</t>
  </si>
  <si>
    <t>CASO 3.2 LATERAL</t>
  </si>
  <si>
    <t>CASO 3.3 ESQUINA</t>
  </si>
  <si>
    <t>IRRE TORSIONAL</t>
  </si>
  <si>
    <t>RADIO DE DISEÑO</t>
  </si>
  <si>
    <t>C5</t>
  </si>
  <si>
    <t>C6</t>
  </si>
  <si>
    <t>C37</t>
  </si>
  <si>
    <t>C4</t>
  </si>
  <si>
    <t>C2</t>
  </si>
  <si>
    <t>C38</t>
  </si>
  <si>
    <t>C22</t>
  </si>
  <si>
    <t>C21</t>
  </si>
  <si>
    <t>C23</t>
  </si>
  <si>
    <t>C25</t>
  </si>
  <si>
    <t>C18</t>
  </si>
  <si>
    <t>C17</t>
  </si>
  <si>
    <t>C12</t>
  </si>
  <si>
    <t>C24</t>
  </si>
  <si>
    <t>C26</t>
  </si>
  <si>
    <t>SECCION</t>
  </si>
  <si>
    <t>C19</t>
  </si>
  <si>
    <t>C20</t>
  </si>
  <si>
    <t>C14</t>
  </si>
  <si>
    <t>C31</t>
  </si>
  <si>
    <t>C29</t>
  </si>
  <si>
    <t>COL.</t>
  </si>
  <si>
    <t>RADIO</t>
  </si>
  <si>
    <t>CASO 3.1 - 3.3</t>
  </si>
  <si>
    <t>CASO 3 CON GRADA - SIN GRADA/SIN GRADA</t>
  </si>
  <si>
    <t>DIFERENCIAS ENTRE CONSIDERAR MODULO DE GRADAS Y SIN GRADAS</t>
  </si>
  <si>
    <t>DIFERENCIAS POR UBICACIÓN DE MODULO DE GRADAS</t>
  </si>
  <si>
    <t>CASO 3 CON GRADA DENTRO - (LATERAL&amp;ESQUINA) / DENTRO</t>
  </si>
  <si>
    <t>ESTE BOTON SE DEBE PRESIONAR UNA VEZ LLENADAS TODAS LAS TABLAS DE CASOS, PARA IMPORTAR LAS VARIABLES QUE SE DESEAN MEDIR Y COMPARAR ENTRE ELLAS</t>
  </si>
  <si>
    <t>ESTE SE DEBE PRESIONAR UNA VEZ PRESIONADO EL BOTON "COMPARAR DATOS", SIRVE PARA DAR EL FORMATO DE TABLAS Y COLORES A LAS CELDAS</t>
  </si>
  <si>
    <t>NOTA: LA HOJA "COLUMNAS N1" DEBE SER LLENADA MANUALMENTE, COPIANDO LA INFORMACION DIRECTAMENTE DE ETABS, Y LA COMPARACION DE ESTAS SE DEBERA HACER VISUALIZANDO LA PLANTA DE COLUMNAS DE CADA MODELO (VER IMÁGENES ADJUNTAS)</t>
  </si>
  <si>
    <t>CASO 3.1 - 3.2</t>
  </si>
  <si>
    <t>CASO 2 CON GRADA</t>
  </si>
  <si>
    <t>CASO 2 SIN GRADA</t>
  </si>
  <si>
    <t>CASO 2.1 DENTRO</t>
  </si>
  <si>
    <t>CASO 2.2 LATERAL</t>
  </si>
  <si>
    <t>CASO 2.3 ESQUINA</t>
  </si>
  <si>
    <t>COL2/50X50CM-P0.02</t>
  </si>
  <si>
    <t>COL-5/60X60CM-P0.01</t>
  </si>
  <si>
    <t>C27</t>
  </si>
  <si>
    <t>C28</t>
  </si>
  <si>
    <t>C30</t>
  </si>
  <si>
    <t>C32</t>
  </si>
  <si>
    <t>C43</t>
  </si>
  <si>
    <t>C42</t>
  </si>
  <si>
    <t>COL-6/40X40CM-N1,2</t>
  </si>
  <si>
    <t>C39</t>
  </si>
  <si>
    <t>C53</t>
  </si>
  <si>
    <t>C40</t>
  </si>
  <si>
    <t>C36</t>
  </si>
  <si>
    <t>CASO  CON GRADA - SIN GRADA/SIN GRADA</t>
  </si>
  <si>
    <t>CASO 2 CON GRADA DENTRO - (LATERAL&amp;ESQUINA) / DENTRO</t>
  </si>
  <si>
    <t xml:space="preserve">CASO 2.1 - 2.2 </t>
  </si>
  <si>
    <t>CASO 2.1 - 2.3</t>
  </si>
  <si>
    <t>CASO 2 CON GRADA - SIN GRADA/SIN GRADA</t>
  </si>
  <si>
    <t>CASO 2.1 - 2.2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</si>
</sst>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%"/>
    <numFmt numFmtId="166" formatCode="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9" tint="0.79995117038483843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0" fontId="1" fillId="0" borderId="0"/>
  </cellStyleXfs>
  <cellXfs count="142">
    <xf numFmtId="0" fontId="0" fillId="0" borderId="0" xfId="0"/>
    <xf numFmtId="0" fontId="0" fillId="0" borderId="0" xfId="0" applyAlignment="1">
      <alignment vertical="center" wrapText="1"/>
    </xf>
    <xf numFmtId="0" fontId="0" fillId="2" borderId="4" xfId="0" applyFill="1" applyBorder="1"/>
    <xf numFmtId="0" fontId="4" fillId="2" borderId="4" xfId="0" applyFont="1" applyFill="1" applyBorder="1" applyAlignment="1">
      <alignment horizontal="center"/>
    </xf>
    <xf numFmtId="0" fontId="0" fillId="4" borderId="4" xfId="0" applyFill="1" applyBorder="1" applyAlignment="1"/>
    <xf numFmtId="0" fontId="0" fillId="5" borderId="4" xfId="0" applyFill="1" applyBorder="1" applyAlignment="1"/>
    <xf numFmtId="0" fontId="0" fillId="6" borderId="4" xfId="0" applyFill="1" applyBorder="1" applyAlignment="1"/>
    <xf numFmtId="0" fontId="0" fillId="4" borderId="8" xfId="0" applyFill="1" applyBorder="1" applyAlignment="1"/>
    <xf numFmtId="0" fontId="0" fillId="5" borderId="8" xfId="0" applyFill="1" applyBorder="1" applyAlignment="1"/>
    <xf numFmtId="0" fontId="0" fillId="6" borderId="8" xfId="0" applyFill="1" applyBorder="1" applyAlignment="1"/>
    <xf numFmtId="0" fontId="0" fillId="6" borderId="9" xfId="0" applyFill="1" applyBorder="1" applyAlignment="1"/>
    <xf numFmtId="0" fontId="0" fillId="6" borderId="10" xfId="0" applyFill="1" applyBorder="1" applyAlignment="1"/>
    <xf numFmtId="0" fontId="0" fillId="4" borderId="11" xfId="0" applyFill="1" applyBorder="1" applyAlignment="1"/>
    <xf numFmtId="0" fontId="0" fillId="5" borderId="11" xfId="0" applyFill="1" applyBorder="1" applyAlignment="1"/>
    <xf numFmtId="0" fontId="0" fillId="6" borderId="11" xfId="0" applyFill="1" applyBorder="1" applyAlignment="1"/>
    <xf numFmtId="0" fontId="0" fillId="6" borderId="12" xfId="0" applyFill="1" applyBorder="1" applyAlignment="1"/>
    <xf numFmtId="0" fontId="4" fillId="2" borderId="7" xfId="0" applyFont="1" applyFill="1" applyBorder="1" applyAlignment="1">
      <alignment horizontal="center"/>
    </xf>
    <xf numFmtId="0" fontId="3" fillId="3" borderId="4" xfId="0" applyFont="1" applyFill="1" applyBorder="1"/>
    <xf numFmtId="0" fontId="0" fillId="3" borderId="4" xfId="0" applyFill="1" applyBorder="1"/>
    <xf numFmtId="0" fontId="0" fillId="3" borderId="8" xfId="0" applyFill="1" applyBorder="1"/>
    <xf numFmtId="0" fontId="0" fillId="3" borderId="11" xfId="0" applyFill="1" applyBorder="1"/>
    <xf numFmtId="0" fontId="0" fillId="3" borderId="7" xfId="0" applyFill="1" applyBorder="1"/>
    <xf numFmtId="0" fontId="0" fillId="3" borderId="5" xfId="0" applyFill="1" applyBorder="1"/>
    <xf numFmtId="0" fontId="0" fillId="4" borderId="5" xfId="0" applyFill="1" applyBorder="1" applyAlignment="1"/>
    <xf numFmtId="0" fontId="0" fillId="5" borderId="5" xfId="0" applyFill="1" applyBorder="1" applyAlignment="1"/>
    <xf numFmtId="0" fontId="0" fillId="6" borderId="5" xfId="0" applyFill="1" applyBorder="1" applyAlignment="1"/>
    <xf numFmtId="0" fontId="0" fillId="6" borderId="20" xfId="0" applyFill="1" applyBorder="1" applyAlignment="1"/>
    <xf numFmtId="0" fontId="3" fillId="2" borderId="7" xfId="0" applyFont="1" applyFill="1" applyBorder="1" applyAlignment="1">
      <alignment horizontal="center"/>
    </xf>
    <xf numFmtId="164" fontId="0" fillId="0" borderId="0" xfId="0" applyNumberFormat="1"/>
    <xf numFmtId="164" fontId="0" fillId="7" borderId="8" xfId="0" applyNumberFormat="1" applyFont="1" applyFill="1" applyBorder="1"/>
    <xf numFmtId="164" fontId="0" fillId="8" borderId="8" xfId="0" applyNumberFormat="1" applyFont="1" applyFill="1" applyBorder="1"/>
    <xf numFmtId="164" fontId="0" fillId="9" borderId="8" xfId="0" applyNumberFormat="1" applyFont="1" applyFill="1" applyBorder="1"/>
    <xf numFmtId="164" fontId="0" fillId="9" borderId="9" xfId="0" applyNumberFormat="1" applyFont="1" applyFill="1" applyBorder="1"/>
    <xf numFmtId="164" fontId="0" fillId="7" borderId="4" xfId="0" applyNumberFormat="1" applyFont="1" applyFill="1" applyBorder="1"/>
    <xf numFmtId="164" fontId="0" fillId="8" borderId="4" xfId="0" applyNumberFormat="1" applyFont="1" applyFill="1" applyBorder="1"/>
    <xf numFmtId="164" fontId="0" fillId="9" borderId="4" xfId="0" applyNumberFormat="1" applyFont="1" applyFill="1" applyBorder="1"/>
    <xf numFmtId="164" fontId="0" fillId="9" borderId="10" xfId="0" applyNumberFormat="1" applyFont="1" applyFill="1" applyBorder="1"/>
    <xf numFmtId="164" fontId="0" fillId="7" borderId="7" xfId="0" applyNumberFormat="1" applyFont="1" applyFill="1" applyBorder="1"/>
    <xf numFmtId="164" fontId="0" fillId="8" borderId="7" xfId="0" applyNumberFormat="1" applyFont="1" applyFill="1" applyBorder="1"/>
    <xf numFmtId="164" fontId="0" fillId="9" borderId="7" xfId="0" applyNumberFormat="1" applyFont="1" applyFill="1" applyBorder="1"/>
    <xf numFmtId="164" fontId="0" fillId="9" borderId="21" xfId="0" applyNumberFormat="1" applyFont="1" applyFill="1" applyBorder="1"/>
    <xf numFmtId="164" fontId="0" fillId="7" borderId="11" xfId="0" applyNumberFormat="1" applyFont="1" applyFill="1" applyBorder="1"/>
    <xf numFmtId="164" fontId="0" fillId="8" borderId="11" xfId="0" applyNumberFormat="1" applyFont="1" applyFill="1" applyBorder="1"/>
    <xf numFmtId="164" fontId="0" fillId="9" borderId="11" xfId="0" applyNumberFormat="1" applyFont="1" applyFill="1" applyBorder="1"/>
    <xf numFmtId="164" fontId="0" fillId="9" borderId="12" xfId="0" applyNumberFormat="1" applyFont="1" applyFill="1" applyBorder="1"/>
    <xf numFmtId="2" fontId="0" fillId="7" borderId="8" xfId="0" applyNumberFormat="1" applyFont="1" applyFill="1" applyBorder="1"/>
    <xf numFmtId="2" fontId="0" fillId="8" borderId="8" xfId="0" applyNumberFormat="1" applyFont="1" applyFill="1" applyBorder="1"/>
    <xf numFmtId="2" fontId="0" fillId="9" borderId="8" xfId="0" applyNumberFormat="1" applyFont="1" applyFill="1" applyBorder="1"/>
    <xf numFmtId="2" fontId="0" fillId="9" borderId="9" xfId="0" applyNumberFormat="1" applyFont="1" applyFill="1" applyBorder="1"/>
    <xf numFmtId="2" fontId="0" fillId="7" borderId="4" xfId="0" applyNumberFormat="1" applyFont="1" applyFill="1" applyBorder="1"/>
    <xf numFmtId="2" fontId="0" fillId="8" borderId="4" xfId="0" applyNumberFormat="1" applyFont="1" applyFill="1" applyBorder="1"/>
    <xf numFmtId="2" fontId="0" fillId="9" borderId="4" xfId="0" applyNumberFormat="1" applyFont="1" applyFill="1" applyBorder="1"/>
    <xf numFmtId="2" fontId="0" fillId="9" borderId="10" xfId="0" applyNumberFormat="1" applyFont="1" applyFill="1" applyBorder="1"/>
    <xf numFmtId="2" fontId="0" fillId="7" borderId="7" xfId="0" applyNumberFormat="1" applyFont="1" applyFill="1" applyBorder="1"/>
    <xf numFmtId="2" fontId="0" fillId="8" borderId="7" xfId="0" applyNumberFormat="1" applyFont="1" applyFill="1" applyBorder="1"/>
    <xf numFmtId="2" fontId="0" fillId="9" borderId="7" xfId="0" applyNumberFormat="1" applyFont="1" applyFill="1" applyBorder="1"/>
    <xf numFmtId="2" fontId="0" fillId="9" borderId="21" xfId="0" applyNumberFormat="1" applyFont="1" applyFill="1" applyBorder="1"/>
    <xf numFmtId="2" fontId="0" fillId="7" borderId="11" xfId="0" applyNumberFormat="1" applyFont="1" applyFill="1" applyBorder="1"/>
    <xf numFmtId="2" fontId="0" fillId="8" borderId="11" xfId="0" applyNumberFormat="1" applyFont="1" applyFill="1" applyBorder="1"/>
    <xf numFmtId="2" fontId="0" fillId="9" borderId="11" xfId="0" applyNumberFormat="1" applyFont="1" applyFill="1" applyBorder="1"/>
    <xf numFmtId="2" fontId="0" fillId="9" borderId="12" xfId="0" applyNumberFormat="1" applyFont="1" applyFill="1" applyBorder="1"/>
    <xf numFmtId="0" fontId="0" fillId="5" borderId="4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165" fontId="0" fillId="4" borderId="4" xfId="1" applyNumberFormat="1" applyFont="1" applyFill="1" applyBorder="1" applyAlignment="1"/>
    <xf numFmtId="165" fontId="0" fillId="5" borderId="4" xfId="1" applyNumberFormat="1" applyFont="1" applyFill="1" applyBorder="1" applyAlignment="1"/>
    <xf numFmtId="165" fontId="0" fillId="6" borderId="4" xfId="1" applyNumberFormat="1" applyFont="1" applyFill="1" applyBorder="1" applyAlignment="1"/>
    <xf numFmtId="165" fontId="0" fillId="4" borderId="8" xfId="1" applyNumberFormat="1" applyFont="1" applyFill="1" applyBorder="1" applyAlignment="1"/>
    <xf numFmtId="165" fontId="0" fillId="5" borderId="8" xfId="1" applyNumberFormat="1" applyFont="1" applyFill="1" applyBorder="1" applyAlignment="1"/>
    <xf numFmtId="165" fontId="0" fillId="6" borderId="8" xfId="1" applyNumberFormat="1" applyFont="1" applyFill="1" applyBorder="1" applyAlignment="1"/>
    <xf numFmtId="165" fontId="0" fillId="6" borderId="9" xfId="1" applyNumberFormat="1" applyFont="1" applyFill="1" applyBorder="1" applyAlignment="1"/>
    <xf numFmtId="165" fontId="0" fillId="6" borderId="10" xfId="1" applyNumberFormat="1" applyFont="1" applyFill="1" applyBorder="1" applyAlignment="1"/>
    <xf numFmtId="165" fontId="0" fillId="4" borderId="11" xfId="1" applyNumberFormat="1" applyFont="1" applyFill="1" applyBorder="1" applyAlignment="1"/>
    <xf numFmtId="165" fontId="0" fillId="5" borderId="11" xfId="1" applyNumberFormat="1" applyFont="1" applyFill="1" applyBorder="1" applyAlignment="1"/>
    <xf numFmtId="165" fontId="0" fillId="6" borderId="11" xfId="1" applyNumberFormat="1" applyFont="1" applyFill="1" applyBorder="1" applyAlignment="1"/>
    <xf numFmtId="165" fontId="0" fillId="6" borderId="12" xfId="1" applyNumberFormat="1" applyFont="1" applyFill="1" applyBorder="1" applyAlignment="1"/>
    <xf numFmtId="0" fontId="0" fillId="2" borderId="6" xfId="0" applyFill="1" applyBorder="1"/>
    <xf numFmtId="0" fontId="0" fillId="3" borderId="6" xfId="0" applyFill="1" applyBorder="1"/>
    <xf numFmtId="0" fontId="0" fillId="3" borderId="23" xfId="0" applyFill="1" applyBorder="1"/>
    <xf numFmtId="0" fontId="0" fillId="3" borderId="24" xfId="0" applyFill="1" applyBorder="1"/>
    <xf numFmtId="0" fontId="4" fillId="2" borderId="26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165" fontId="0" fillId="4" borderId="26" xfId="1" applyNumberFormat="1" applyFont="1" applyFill="1" applyBorder="1" applyAlignment="1"/>
    <xf numFmtId="0" fontId="4" fillId="2" borderId="27" xfId="0" applyFont="1" applyFill="1" applyBorder="1" applyAlignment="1">
      <alignment horizontal="center"/>
    </xf>
    <xf numFmtId="0" fontId="4" fillId="2" borderId="21" xfId="0" applyFont="1" applyFill="1" applyBorder="1" applyAlignment="1">
      <alignment horizontal="center"/>
    </xf>
    <xf numFmtId="165" fontId="0" fillId="4" borderId="25" xfId="1" applyNumberFormat="1" applyFont="1" applyFill="1" applyBorder="1" applyAlignment="1"/>
    <xf numFmtId="165" fontId="0" fillId="4" borderId="28" xfId="1" applyNumberFormat="1" applyFont="1" applyFill="1" applyBorder="1" applyAlignment="1"/>
    <xf numFmtId="165" fontId="0" fillId="5" borderId="9" xfId="1" applyNumberFormat="1" applyFont="1" applyFill="1" applyBorder="1" applyAlignment="1"/>
    <xf numFmtId="165" fontId="0" fillId="5" borderId="10" xfId="1" applyNumberFormat="1" applyFont="1" applyFill="1" applyBorder="1" applyAlignment="1"/>
    <xf numFmtId="165" fontId="0" fillId="5" borderId="12" xfId="1" applyNumberFormat="1" applyFont="1" applyFill="1" applyBorder="1" applyAlignment="1"/>
    <xf numFmtId="0" fontId="0" fillId="0" borderId="0" xfId="0" applyBorder="1"/>
    <xf numFmtId="0" fontId="0" fillId="0" borderId="0" xfId="0" applyBorder="1" applyAlignment="1">
      <alignment vertical="center" wrapText="1"/>
    </xf>
    <xf numFmtId="10" fontId="0" fillId="7" borderId="8" xfId="1" applyNumberFormat="1" applyFont="1" applyFill="1" applyBorder="1"/>
    <xf numFmtId="10" fontId="0" fillId="8" borderId="8" xfId="1" applyNumberFormat="1" applyFont="1" applyFill="1" applyBorder="1"/>
    <xf numFmtId="10" fontId="0" fillId="9" borderId="8" xfId="1" applyNumberFormat="1" applyFont="1" applyFill="1" applyBorder="1"/>
    <xf numFmtId="10" fontId="0" fillId="8" borderId="9" xfId="1" applyNumberFormat="1" applyFont="1" applyFill="1" applyBorder="1"/>
    <xf numFmtId="10" fontId="0" fillId="7" borderId="4" xfId="1" applyNumberFormat="1" applyFont="1" applyFill="1" applyBorder="1"/>
    <xf numFmtId="10" fontId="0" fillId="8" borderId="4" xfId="1" applyNumberFormat="1" applyFont="1" applyFill="1" applyBorder="1"/>
    <xf numFmtId="10" fontId="0" fillId="9" borderId="4" xfId="1" applyNumberFormat="1" applyFont="1" applyFill="1" applyBorder="1"/>
    <xf numFmtId="10" fontId="0" fillId="8" borderId="10" xfId="1" applyNumberFormat="1" applyFont="1" applyFill="1" applyBorder="1"/>
    <xf numFmtId="10" fontId="0" fillId="7" borderId="11" xfId="1" applyNumberFormat="1" applyFont="1" applyFill="1" applyBorder="1"/>
    <xf numFmtId="10" fontId="0" fillId="8" borderId="11" xfId="1" applyNumberFormat="1" applyFont="1" applyFill="1" applyBorder="1"/>
    <xf numFmtId="10" fontId="0" fillId="9" borderId="11" xfId="1" applyNumberFormat="1" applyFont="1" applyFill="1" applyBorder="1"/>
    <xf numFmtId="10" fontId="0" fillId="8" borderId="12" xfId="1" applyNumberFormat="1" applyFont="1" applyFill="1" applyBorder="1"/>
    <xf numFmtId="0" fontId="3" fillId="2" borderId="4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/>
    </xf>
    <xf numFmtId="0" fontId="1" fillId="0" borderId="0" xfId="2"/>
    <xf numFmtId="0" fontId="1" fillId="0" borderId="4" xfId="2" applyBorder="1"/>
    <xf numFmtId="0" fontId="0" fillId="4" borderId="33" xfId="0" applyFill="1" applyBorder="1" applyAlignment="1">
      <alignment horizontal="center" vertical="center" wrapText="1"/>
    </xf>
    <xf numFmtId="166" fontId="0" fillId="4" borderId="4" xfId="0" applyNumberFormat="1" applyFill="1" applyBorder="1" applyAlignment="1">
      <alignment horizontal="center" vertical="center" wrapText="1"/>
    </xf>
    <xf numFmtId="166" fontId="0" fillId="5" borderId="4" xfId="0" applyNumberForma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31" xfId="0" applyFont="1" applyBorder="1" applyAlignment="1">
      <alignment horizontal="center"/>
    </xf>
    <xf numFmtId="0" fontId="6" fillId="0" borderId="32" xfId="0" applyFont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/>
    </xf>
    <xf numFmtId="0" fontId="4" fillId="2" borderId="16" xfId="0" applyFont="1" applyFill="1" applyBorder="1" applyAlignment="1">
      <alignment horizontal="center"/>
    </xf>
    <xf numFmtId="0" fontId="3" fillId="2" borderId="17" xfId="0" applyFont="1" applyFill="1" applyBorder="1" applyAlignment="1">
      <alignment horizontal="center"/>
    </xf>
    <xf numFmtId="0" fontId="3" fillId="2" borderId="29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3" fillId="2" borderId="25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 vertical="center"/>
    </xf>
    <xf numFmtId="0" fontId="3" fillId="2" borderId="26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 vertical="center" wrapText="1"/>
    </xf>
    <xf numFmtId="0" fontId="3" fillId="3" borderId="34" xfId="0" applyFont="1" applyFill="1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/>
    </xf>
    <xf numFmtId="0" fontId="0" fillId="3" borderId="34" xfId="0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4" fillId="2" borderId="14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</cellXfs>
  <cellStyles count="3">
    <cellStyle name="Normal" xfId="0" builtinId="0"/>
    <cellStyle name="Normal 2" xfId="2" xr:uid="{C1008416-B559-40EF-B6E7-81300EE1589A}"/>
    <cellStyle name="Porcentaje" xfId="1" builtinId="5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b="1"/>
              <a:t>EQXEP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'D-DERIVAS'!$E$4</c:f>
              <c:strCache>
                <c:ptCount val="1"/>
                <c:pt idx="0">
                  <c:v>CASO 3.1 DENTRO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'D-DERIVAS'!$D$5:$D$15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'D-DERIVAS'!$E$5:$E$15</c:f>
              <c:numCache>
                <c:formatCode>0.00%</c:formatCode>
                <c:ptCount val="11"/>
                <c:pt idx="0">
                  <c:v>0.26074393423679948</c:v>
                </c:pt>
                <c:pt idx="1">
                  <c:v>9.1793298252203739E-2</c:v>
                </c:pt>
                <c:pt idx="2">
                  <c:v>3.7842186065689863E-2</c:v>
                </c:pt>
                <c:pt idx="3">
                  <c:v>6.8035461129599614E-3</c:v>
                </c:pt>
                <c:pt idx="4">
                  <c:v>-1.1292707413877555E-2</c:v>
                </c:pt>
                <c:pt idx="5">
                  <c:v>-2.4221057592806686E-2</c:v>
                </c:pt>
                <c:pt idx="6">
                  <c:v>-3.5489367352816235E-2</c:v>
                </c:pt>
                <c:pt idx="7">
                  <c:v>-4.6905628937488543E-2</c:v>
                </c:pt>
                <c:pt idx="8">
                  <c:v>-5.9168950004315726E-2</c:v>
                </c:pt>
                <c:pt idx="9">
                  <c:v>-7.0298941317674321E-2</c:v>
                </c:pt>
                <c:pt idx="10">
                  <c:v>-7.4487101156138269E-2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CE-4932-9E8D-0144E559185A}"/>
            </c:ext>
          </c:extLst>
        </c:ser>
        <c:ser>
          <c:idx val="1"/>
          <c:order val="1"/>
          <c:tx>
            <c:strRef>
              <c:f>'D-DERIVAS'!$F$4</c:f>
              <c:strCache>
                <c:ptCount val="1"/>
                <c:pt idx="0">
                  <c:v>CASO 3.2 LATERAL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'D-DERIVAS'!$D$5:$D$15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'D-DERIVAS'!$F$5:$F$15</c:f>
              <c:numCache>
                <c:formatCode>0.00%</c:formatCode>
                <c:ptCount val="11"/>
                <c:pt idx="0">
                  <c:v>0.41820365879950022</c:v>
                </c:pt>
                <c:pt idx="1">
                  <c:v>0.10517992293981251</c:v>
                </c:pt>
                <c:pt idx="2">
                  <c:v>5.1191553167043616E-2</c:v>
                </c:pt>
                <c:pt idx="3">
                  <c:v>1.8627085862871526E-2</c:v>
                </c:pt>
                <c:pt idx="4">
                  <c:v>2.93137464161943E-5</c:v>
                </c:pt>
                <c:pt idx="5">
                  <c:v>-1.2867120115306595E-2</c:v>
                </c:pt>
                <c:pt idx="6">
                  <c:v>-2.1260083000778789E-2</c:v>
                </c:pt>
                <c:pt idx="7">
                  <c:v>-3.058045523443944E-2</c:v>
                </c:pt>
                <c:pt idx="8">
                  <c:v>-4.3511285025315663E-2</c:v>
                </c:pt>
                <c:pt idx="9">
                  <c:v>-5.3881542661061953E-2</c:v>
                </c:pt>
                <c:pt idx="10">
                  <c:v>-5.1646751999849382E-2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CE-4932-9E8D-0144E559185A}"/>
            </c:ext>
          </c:extLst>
        </c:ser>
        <c:ser>
          <c:idx val="2"/>
          <c:order val="2"/>
          <c:tx>
            <c:strRef>
              <c:f>'D-DERIVAS'!$G$4</c:f>
              <c:strCache>
                <c:ptCount val="1"/>
                <c:pt idx="0">
                  <c:v>CASO 3.3 ESQUINA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'D-DERIVAS'!$D$5:$D$15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'D-DERIVAS'!$G$5:$G$15</c:f>
              <c:numCache>
                <c:formatCode>0.00%</c:formatCode>
                <c:ptCount val="11"/>
                <c:pt idx="0">
                  <c:v>0.32417049754268817</c:v>
                </c:pt>
                <c:pt idx="1">
                  <c:v>0.14813848979295963</c:v>
                </c:pt>
                <c:pt idx="2">
                  <c:v>-1.1527536611171767E-3</c:v>
                </c:pt>
                <c:pt idx="3">
                  <c:v>1.8513734969675733E-3</c:v>
                </c:pt>
                <c:pt idx="4">
                  <c:v>2.8446491099392559E-3</c:v>
                </c:pt>
                <c:pt idx="5">
                  <c:v>3.2674896882106288E-3</c:v>
                </c:pt>
                <c:pt idx="6">
                  <c:v>4.3013400507794204E-3</c:v>
                </c:pt>
                <c:pt idx="7">
                  <c:v>4.5949900459646888E-3</c:v>
                </c:pt>
                <c:pt idx="8">
                  <c:v>3.0361652610081057E-3</c:v>
                </c:pt>
                <c:pt idx="9">
                  <c:v>1.953800072179563E-3</c:v>
                </c:pt>
                <c:pt idx="10">
                  <c:v>2.4672260242269512E-4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CE-4932-9E8D-0144E55918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1494784"/>
        <c:axId val="261492824"/>
      </c:lineChart>
      <c:catAx>
        <c:axId val="261494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261492824"/>
        <c:crosses val="autoZero"/>
        <c:auto val="1"/>
        <c:lblAlgn val="ctr"/>
        <c:lblOffset val="100"/>
        <c:noMultiLvlLbl val="0"/>
      </c:catAx>
      <c:valAx>
        <c:axId val="26149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>
            <c:manualLayout>
              <c:xMode val="edge"/>
              <c:yMode val="edge"/>
              <c:x val="5.9537212442515607E-2"/>
              <c:y val="0.262238273478813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261494784"/>
        <c:crosses val="autoZero"/>
        <c:crossBetween val="between"/>
        <c:majorUnit val="5.000000000000001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b="1"/>
              <a:t>EQXEN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DENTRO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'D-DERIVAS'!$D$16:$D$26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'D-DERIVAS'!$E$16:$E$26</c:f>
              <c:numCache>
                <c:formatCode>0.00%</c:formatCode>
                <c:ptCount val="11"/>
                <c:pt idx="0">
                  <c:v>0.25884825909959586</c:v>
                </c:pt>
                <c:pt idx="1">
                  <c:v>7.7523272839677138E-2</c:v>
                </c:pt>
                <c:pt idx="2">
                  <c:v>2.1352342994703202E-2</c:v>
                </c:pt>
                <c:pt idx="3">
                  <c:v>-1.1709335324327042E-2</c:v>
                </c:pt>
                <c:pt idx="4">
                  <c:v>-3.1492040848116555E-2</c:v>
                </c:pt>
                <c:pt idx="5">
                  <c:v>-4.585159836732753E-2</c:v>
                </c:pt>
                <c:pt idx="6">
                  <c:v>-5.8381270354760005E-2</c:v>
                </c:pt>
                <c:pt idx="7">
                  <c:v>-7.0891538262497389E-2</c:v>
                </c:pt>
                <c:pt idx="8">
                  <c:v>-8.3906220452589372E-2</c:v>
                </c:pt>
                <c:pt idx="9">
                  <c:v>-9.5773839778419328E-2</c:v>
                </c:pt>
                <c:pt idx="10">
                  <c:v>-0.10454930110227344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E9-43DC-A247-5720EE008C46}"/>
            </c:ext>
          </c:extLst>
        </c:ser>
        <c:ser>
          <c:idx val="1"/>
          <c:order val="1"/>
          <c:tx>
            <c:v>CASO 3.2 LATERAL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'D-DERIVAS'!$D$16:$D$26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'D-DERIVAS'!$F$16:$F$26</c:f>
              <c:numCache>
                <c:formatCode>0.00%</c:formatCode>
                <c:ptCount val="11"/>
                <c:pt idx="0">
                  <c:v>0.36814375612353267</c:v>
                </c:pt>
                <c:pt idx="1">
                  <c:v>0.12095612538039491</c:v>
                </c:pt>
                <c:pt idx="2">
                  <c:v>4.2774064606525899E-2</c:v>
                </c:pt>
                <c:pt idx="3">
                  <c:v>-6.4343092552167254E-3</c:v>
                </c:pt>
                <c:pt idx="4">
                  <c:v>-3.4653815466046838E-2</c:v>
                </c:pt>
                <c:pt idx="5">
                  <c:v>-5.4203536784792457E-2</c:v>
                </c:pt>
                <c:pt idx="6">
                  <c:v>-6.8267699821839473E-2</c:v>
                </c:pt>
                <c:pt idx="7">
                  <c:v>-8.4431306632784531E-2</c:v>
                </c:pt>
                <c:pt idx="8">
                  <c:v>-0.10333115764695013</c:v>
                </c:pt>
                <c:pt idx="9">
                  <c:v>-0.11673042362979368</c:v>
                </c:pt>
                <c:pt idx="10">
                  <c:v>-9.6894577783854033E-2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E9-43DC-A247-5720EE008C46}"/>
            </c:ext>
          </c:extLst>
        </c:ser>
        <c:ser>
          <c:idx val="2"/>
          <c:order val="2"/>
          <c:tx>
            <c:v>CASO 3.3 ESQUINA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'D-DERIVAS'!$D$16:$D$26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'D-DERIVAS'!$G$16:$G$26</c:f>
              <c:numCache>
                <c:formatCode>0.00%</c:formatCode>
                <c:ptCount val="11"/>
                <c:pt idx="0">
                  <c:v>0.33856991849912732</c:v>
                </c:pt>
                <c:pt idx="1">
                  <c:v>0.13025307890973914</c:v>
                </c:pt>
                <c:pt idx="2">
                  <c:v>1.6031987969742256E-2</c:v>
                </c:pt>
                <c:pt idx="3">
                  <c:v>-4.978997573830872E-2</c:v>
                </c:pt>
                <c:pt idx="4">
                  <c:v>-8.7163149201513426E-2</c:v>
                </c:pt>
                <c:pt idx="5">
                  <c:v>-0.11282372955406077</c:v>
                </c:pt>
                <c:pt idx="6">
                  <c:v>-9.3878259588448101E-2</c:v>
                </c:pt>
                <c:pt idx="7">
                  <c:v>-7.4129929814921822E-2</c:v>
                </c:pt>
                <c:pt idx="8">
                  <c:v>-6.7919083404579639E-2</c:v>
                </c:pt>
                <c:pt idx="9">
                  <c:v>-6.7876217665956307E-2</c:v>
                </c:pt>
                <c:pt idx="10">
                  <c:v>-0.10320715856209738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E9-43DC-A247-5720EE008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1494392"/>
        <c:axId val="261496352"/>
      </c:lineChart>
      <c:catAx>
        <c:axId val="261494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261496352"/>
        <c:crosses val="autoZero"/>
        <c:auto val="1"/>
        <c:lblAlgn val="ctr"/>
        <c:lblOffset val="100"/>
        <c:noMultiLvlLbl val="0"/>
      </c:catAx>
      <c:valAx>
        <c:axId val="26149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>
            <c:manualLayout>
              <c:xMode val="edge"/>
              <c:yMode val="edge"/>
              <c:x val="1.7692475057077724E-2"/>
              <c:y val="0.29131197074138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261494392"/>
        <c:crosses val="autoZero"/>
        <c:crossBetween val="between"/>
        <c:majorUnit val="5.000000000000001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ln>
                  <a:noFill/>
                </a:ln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b="1"/>
              <a:t>EQYEP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DENTRO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'D-DERIVAS'!$D$27:$D$37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'D-DERIVAS'!$E$27:$E$37</c:f>
              <c:numCache>
                <c:formatCode>0.00%</c:formatCode>
                <c:ptCount val="11"/>
                <c:pt idx="0">
                  <c:v>0.34351821018779577</c:v>
                </c:pt>
                <c:pt idx="1">
                  <c:v>-8.4810412783538694E-2</c:v>
                </c:pt>
                <c:pt idx="2">
                  <c:v>-7.7807501394587128E-2</c:v>
                </c:pt>
                <c:pt idx="3">
                  <c:v>-7.0191733446959129E-2</c:v>
                </c:pt>
                <c:pt idx="4">
                  <c:v>-6.6193750155113001E-2</c:v>
                </c:pt>
                <c:pt idx="5">
                  <c:v>-6.4210711909256826E-2</c:v>
                </c:pt>
                <c:pt idx="6">
                  <c:v>-6.3264006301776921E-2</c:v>
                </c:pt>
                <c:pt idx="7">
                  <c:v>-6.2767004404559221E-2</c:v>
                </c:pt>
                <c:pt idx="8">
                  <c:v>-6.2547163128997149E-2</c:v>
                </c:pt>
                <c:pt idx="9">
                  <c:v>-6.6687466941813656E-2</c:v>
                </c:pt>
                <c:pt idx="10">
                  <c:v>-0.11064919008776407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9E-4AF0-9D1A-AB339E14F77D}"/>
            </c:ext>
          </c:extLst>
        </c:ser>
        <c:ser>
          <c:idx val="1"/>
          <c:order val="1"/>
          <c:tx>
            <c:v>CASO 3.2 LATERAL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'D-DERIVAS'!$D$27:$D$37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'D-DERIVAS'!$F$27:$F$37</c:f>
              <c:numCache>
                <c:formatCode>0.00%</c:formatCode>
                <c:ptCount val="11"/>
                <c:pt idx="0">
                  <c:v>0.26786590145362504</c:v>
                </c:pt>
                <c:pt idx="1">
                  <c:v>2.6967593049084575E-2</c:v>
                </c:pt>
                <c:pt idx="2">
                  <c:v>-5.6550316184707676E-2</c:v>
                </c:pt>
                <c:pt idx="3">
                  <c:v>-0.10299706359443461</c:v>
                </c:pt>
                <c:pt idx="4">
                  <c:v>-0.12927852656797539</c:v>
                </c:pt>
                <c:pt idx="5">
                  <c:v>-0.116751050082427</c:v>
                </c:pt>
                <c:pt idx="6">
                  <c:v>-0.10115654518679673</c:v>
                </c:pt>
                <c:pt idx="7">
                  <c:v>-8.7471313335066928E-2</c:v>
                </c:pt>
                <c:pt idx="8">
                  <c:v>-7.8582680897815879E-2</c:v>
                </c:pt>
                <c:pt idx="9">
                  <c:v>-8.1467052986461161E-2</c:v>
                </c:pt>
                <c:pt idx="10">
                  <c:v>-0.13880627943852381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9E-4AF0-9D1A-AB339E14F77D}"/>
            </c:ext>
          </c:extLst>
        </c:ser>
        <c:ser>
          <c:idx val="2"/>
          <c:order val="2"/>
          <c:tx>
            <c:v>CASO 3.3 ESQUINA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'D-DERIVAS'!$D$27:$D$37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'D-DERIVAS'!$G$27:$G$37</c:f>
              <c:numCache>
                <c:formatCode>0.00%</c:formatCode>
                <c:ptCount val="11"/>
                <c:pt idx="0">
                  <c:v>0.16914449165660009</c:v>
                </c:pt>
                <c:pt idx="1">
                  <c:v>7.7398326453259697E-2</c:v>
                </c:pt>
                <c:pt idx="2">
                  <c:v>-1.7378851440306917E-2</c:v>
                </c:pt>
                <c:pt idx="3">
                  <c:v>-7.4150189140114037E-2</c:v>
                </c:pt>
                <c:pt idx="4">
                  <c:v>-0.1082873130095553</c:v>
                </c:pt>
                <c:pt idx="5">
                  <c:v>-0.12940960637821422</c:v>
                </c:pt>
                <c:pt idx="6">
                  <c:v>-0.10554908193780044</c:v>
                </c:pt>
                <c:pt idx="7">
                  <c:v>-8.2413277340392152E-2</c:v>
                </c:pt>
                <c:pt idx="8">
                  <c:v>-6.3624787036470648E-2</c:v>
                </c:pt>
                <c:pt idx="9">
                  <c:v>-5.5534516390343576E-2</c:v>
                </c:pt>
                <c:pt idx="10">
                  <c:v>-0.10983560742001812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9E-4AF0-9D1A-AB339E14F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1497528"/>
        <c:axId val="261497920"/>
      </c:lineChart>
      <c:catAx>
        <c:axId val="261497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261497920"/>
        <c:crosses val="autoZero"/>
        <c:auto val="1"/>
        <c:lblAlgn val="ctr"/>
        <c:lblOffset val="100"/>
        <c:noMultiLvlLbl val="0"/>
      </c:catAx>
      <c:valAx>
        <c:axId val="261497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>
            <c:manualLayout>
              <c:xMode val="edge"/>
              <c:yMode val="edge"/>
              <c:x val="1.7692475057077724E-2"/>
              <c:y val="0.29131197074138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261497528"/>
        <c:crosses val="autoZero"/>
        <c:crossBetween val="between"/>
        <c:majorUnit val="5.000000000000001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ln>
                  <a:noFill/>
                </a:ln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b="1"/>
              <a:t>EQYEN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DENTRO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'D-DERIVAS'!$D$38:$D$48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'D-DERIVAS'!$E$38:$E$48</c:f>
              <c:numCache>
                <c:formatCode>0.00%</c:formatCode>
                <c:ptCount val="11"/>
                <c:pt idx="0">
                  <c:v>0.31713679444883297</c:v>
                </c:pt>
                <c:pt idx="1">
                  <c:v>-4.1797519789136282E-2</c:v>
                </c:pt>
                <c:pt idx="2">
                  <c:v>-4.0129720902719393E-2</c:v>
                </c:pt>
                <c:pt idx="3">
                  <c:v>-3.9348182667614043E-2</c:v>
                </c:pt>
                <c:pt idx="4">
                  <c:v>-3.9176890141151825E-2</c:v>
                </c:pt>
                <c:pt idx="5">
                  <c:v>-3.9541064390673578E-2</c:v>
                </c:pt>
                <c:pt idx="6">
                  <c:v>-4.0352218490668446E-2</c:v>
                </c:pt>
                <c:pt idx="7">
                  <c:v>-4.1397173010256236E-2</c:v>
                </c:pt>
                <c:pt idx="8">
                  <c:v>-4.1680616200384719E-2</c:v>
                </c:pt>
                <c:pt idx="9">
                  <c:v>-3.7087049532995159E-2</c:v>
                </c:pt>
                <c:pt idx="10">
                  <c:v>-1.9873132726287556E-2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97-4B42-A876-D82549F56745}"/>
            </c:ext>
          </c:extLst>
        </c:ser>
        <c:ser>
          <c:idx val="1"/>
          <c:order val="1"/>
          <c:tx>
            <c:v>CASO 3.2 LATERAL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'D-DERIVAS'!$D$38:$D$48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'D-DERIVAS'!$F$38:$F$48</c:f>
              <c:numCache>
                <c:formatCode>0.00%</c:formatCode>
                <c:ptCount val="11"/>
                <c:pt idx="0">
                  <c:v>0.28359178633645477</c:v>
                </c:pt>
                <c:pt idx="1">
                  <c:v>4.1673969963581933E-3</c:v>
                </c:pt>
                <c:pt idx="2">
                  <c:v>1.6111848932186774E-2</c:v>
                </c:pt>
                <c:pt idx="3">
                  <c:v>2.0915535246488502E-2</c:v>
                </c:pt>
                <c:pt idx="4">
                  <c:v>2.266549459136509E-2</c:v>
                </c:pt>
                <c:pt idx="5">
                  <c:v>2.3211139057016383E-2</c:v>
                </c:pt>
                <c:pt idx="6">
                  <c:v>2.3437692180070958E-2</c:v>
                </c:pt>
                <c:pt idx="7">
                  <c:v>2.3771690561123833E-2</c:v>
                </c:pt>
                <c:pt idx="8">
                  <c:v>2.4094991322417537E-2</c:v>
                </c:pt>
                <c:pt idx="9">
                  <c:v>2.6225166479118548E-2</c:v>
                </c:pt>
                <c:pt idx="10">
                  <c:v>3.685965868474865E-2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97-4B42-A876-D82549F56745}"/>
            </c:ext>
          </c:extLst>
        </c:ser>
        <c:ser>
          <c:idx val="2"/>
          <c:order val="2"/>
          <c:tx>
            <c:v>CASO 3.3 ESQUINA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'D-DERIVAS'!$D$38:$D$48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'D-DERIVAS'!$G$38:$G$48</c:f>
              <c:numCache>
                <c:formatCode>0.00%</c:formatCode>
                <c:ptCount val="11"/>
                <c:pt idx="0">
                  <c:v>0.18954310414076239</c:v>
                </c:pt>
                <c:pt idx="1">
                  <c:v>0.10169312861204778</c:v>
                </c:pt>
                <c:pt idx="2">
                  <c:v>1.7530175171601339E-2</c:v>
                </c:pt>
                <c:pt idx="3">
                  <c:v>2.0967105675707916E-2</c:v>
                </c:pt>
                <c:pt idx="4">
                  <c:v>2.177307211201681E-2</c:v>
                </c:pt>
                <c:pt idx="5">
                  <c:v>2.1528859475788878E-2</c:v>
                </c:pt>
                <c:pt idx="6">
                  <c:v>2.1100509057142634E-2</c:v>
                </c:pt>
                <c:pt idx="7">
                  <c:v>2.1529274293860642E-2</c:v>
                </c:pt>
                <c:pt idx="8">
                  <c:v>2.1304915281635937E-2</c:v>
                </c:pt>
                <c:pt idx="9">
                  <c:v>2.2383282040324227E-2</c:v>
                </c:pt>
                <c:pt idx="10">
                  <c:v>2.7446039418979499E-2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97-4B42-A876-D82549F56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1499488"/>
        <c:axId val="261500272"/>
      </c:lineChart>
      <c:catAx>
        <c:axId val="261499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261500272"/>
        <c:crosses val="autoZero"/>
        <c:auto val="1"/>
        <c:lblAlgn val="ctr"/>
        <c:lblOffset val="100"/>
        <c:noMultiLvlLbl val="0"/>
      </c:catAx>
      <c:valAx>
        <c:axId val="26150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>
            <c:manualLayout>
              <c:xMode val="edge"/>
              <c:yMode val="edge"/>
              <c:x val="1.7692475057077724E-2"/>
              <c:y val="0.29131197074138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261499488"/>
        <c:crosses val="autoZero"/>
        <c:crossBetween val="between"/>
        <c:majorUnit val="5.000000000000001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ln>
                  <a:noFill/>
                </a:ln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CASOS POR UBICACION DE MODULO DE GRADAS (EQXEP)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3.1 - 3.2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'D-DERIVAS'!$D$5:$D$15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'D-DERIVAS'!$H$5:$H$15</c:f>
              <c:numCache>
                <c:formatCode>0.00%</c:formatCode>
                <c:ptCount val="11"/>
                <c:pt idx="0">
                  <c:v>-7.7188246380810515E-3</c:v>
                </c:pt>
                <c:pt idx="1">
                  <c:v>8.9590960397552627E-2</c:v>
                </c:pt>
                <c:pt idx="2">
                  <c:v>4.5385010066083656E-2</c:v>
                </c:pt>
                <c:pt idx="3">
                  <c:v>2.5962048621762324E-2</c:v>
                </c:pt>
                <c:pt idx="4">
                  <c:v>1.461799631929748E-2</c:v>
                </c:pt>
                <c:pt idx="5">
                  <c:v>7.818158507629314E-3</c:v>
                </c:pt>
                <c:pt idx="6">
                  <c:v>8.0671268094432511E-3</c:v>
                </c:pt>
                <c:pt idx="7">
                  <c:v>9.5303471145038992E-3</c:v>
                </c:pt>
                <c:pt idx="8">
                  <c:v>6.0421522870617566E-3</c:v>
                </c:pt>
                <c:pt idx="9">
                  <c:v>-2.2390817229482299E-3</c:v>
                </c:pt>
                <c:pt idx="10">
                  <c:v>-2.3035617836570682E-2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8B-4E2F-987F-D56D05A59D29}"/>
            </c:ext>
          </c:extLst>
        </c:ser>
        <c:ser>
          <c:idx val="1"/>
          <c:order val="1"/>
          <c:tx>
            <c:v>CASO 3.1 - 3.3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'D-DERIVAS'!$D$5:$D$15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'D-DERIVAS'!$I$5:$I$15</c:f>
              <c:numCache>
                <c:formatCode>0.00%</c:formatCode>
                <c:ptCount val="11"/>
                <c:pt idx="0">
                  <c:v>0.10298862375781558</c:v>
                </c:pt>
                <c:pt idx="1">
                  <c:v>0.10536646685114155</c:v>
                </c:pt>
                <c:pt idx="2">
                  <c:v>0.13303724592208038</c:v>
                </c:pt>
                <c:pt idx="3">
                  <c:v>6.1685445132520784E-2</c:v>
                </c:pt>
                <c:pt idx="4">
                  <c:v>2.3093932229773958E-2</c:v>
                </c:pt>
                <c:pt idx="5">
                  <c:v>-2.0947259613168165E-3</c:v>
                </c:pt>
                <c:pt idx="6">
                  <c:v>-2.0591805250786677E-2</c:v>
                </c:pt>
                <c:pt idx="7">
                  <c:v>-3.7234846961379645E-2</c:v>
                </c:pt>
                <c:pt idx="8">
                  <c:v>-5.5051900805381769E-2</c:v>
                </c:pt>
                <c:pt idx="9">
                  <c:v>-7.2073926953442585E-2</c:v>
                </c:pt>
                <c:pt idx="10">
                  <c:v>-7.4321428457327185E-2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8B-4E2F-987F-D56D05A59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624592"/>
        <c:axId val="323624200"/>
      </c:lineChart>
      <c:catAx>
        <c:axId val="323624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3624200"/>
        <c:crosses val="autoZero"/>
        <c:auto val="1"/>
        <c:lblAlgn val="ctr"/>
        <c:lblOffset val="100"/>
        <c:noMultiLvlLbl val="0"/>
      </c:catAx>
      <c:valAx>
        <c:axId val="323624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362459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CASOS POR UBICACION DE MODULO DE GRADAS (EQXEN)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3.1 - 3.2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'D-DERIVAS'!$D$16:$D$26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'D-DERIVAS'!$H$16:$H$26</c:f>
              <c:numCache>
                <c:formatCode>0.00%</c:formatCode>
                <c:ptCount val="11"/>
                <c:pt idx="0">
                  <c:v>-1.0598093278118659E-2</c:v>
                </c:pt>
                <c:pt idx="1">
                  <c:v>3.9249509467514918E-2</c:v>
                </c:pt>
                <c:pt idx="2">
                  <c:v>3.0452109966348822E-2</c:v>
                </c:pt>
                <c:pt idx="3">
                  <c:v>3.5350786914584639E-2</c:v>
                </c:pt>
                <c:pt idx="4">
                  <c:v>3.784009173595286E-2</c:v>
                </c:pt>
                <c:pt idx="5">
                  <c:v>4.0966176656346651E-2</c:v>
                </c:pt>
                <c:pt idx="6">
                  <c:v>5.3242346077015001E-2</c:v>
                </c:pt>
                <c:pt idx="7">
                  <c:v>6.8303666278438535E-2</c:v>
                </c:pt>
                <c:pt idx="8">
                  <c:v>7.5195516528188497E-2</c:v>
                </c:pt>
                <c:pt idx="9">
                  <c:v>7.2038366130749487E-2</c:v>
                </c:pt>
                <c:pt idx="10">
                  <c:v>1.5832748764927535E-2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16-4EE1-8120-93888069E032}"/>
            </c:ext>
          </c:extLst>
        </c:ser>
        <c:ser>
          <c:idx val="1"/>
          <c:order val="1"/>
          <c:tx>
            <c:v>CASO 3.1 - 3.3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'D-DERIVAS'!$D$16:$D$26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'D-DERIVAS'!$I$16:$I$26</c:f>
              <c:numCache>
                <c:formatCode>0.00%</c:formatCode>
                <c:ptCount val="11"/>
                <c:pt idx="0">
                  <c:v>1.6998650700033039E-2</c:v>
                </c:pt>
                <c:pt idx="1">
                  <c:v>1.0173973143929512E-2</c:v>
                </c:pt>
                <c:pt idx="2">
                  <c:v>5.5593732756806492E-2</c:v>
                </c:pt>
                <c:pt idx="3">
                  <c:v>8.9643787572289232E-2</c:v>
                </c:pt>
                <c:pt idx="4">
                  <c:v>0.11006301814365982</c:v>
                </c:pt>
                <c:pt idx="5">
                  <c:v>0.12642683728892476</c:v>
                </c:pt>
                <c:pt idx="6">
                  <c:v>0.10736965612390331</c:v>
                </c:pt>
                <c:pt idx="7">
                  <c:v>8.749659845855115E-2</c:v>
                </c:pt>
                <c:pt idx="8">
                  <c:v>6.7044046143008809E-2</c:v>
                </c:pt>
                <c:pt idx="9">
                  <c:v>4.7837378129912185E-2</c:v>
                </c:pt>
                <c:pt idx="10">
                  <c:v>4.3196616946476377E-2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16-4EE1-8120-93888069E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620280"/>
        <c:axId val="323624984"/>
      </c:lineChart>
      <c:catAx>
        <c:axId val="323620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3624984"/>
        <c:crosses val="autoZero"/>
        <c:auto val="1"/>
        <c:lblAlgn val="ctr"/>
        <c:lblOffset val="100"/>
        <c:noMultiLvlLbl val="0"/>
      </c:catAx>
      <c:valAx>
        <c:axId val="323624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36202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CASOS POR UBICACION DE MODULO DE GRADAS (EQYEP)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3.1 - 3.2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'D-DERIVAS'!$D$27:$D$37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'D-DERIVAS'!$H$27:$H$37</c:f>
              <c:numCache>
                <c:formatCode>0.00%</c:formatCode>
                <c:ptCount val="11"/>
                <c:pt idx="0">
                  <c:v>-0.44055945612516872</c:v>
                </c:pt>
                <c:pt idx="1">
                  <c:v>-0.34120848884479066</c:v>
                </c:pt>
                <c:pt idx="2">
                  <c:v>-0.24371294048254671</c:v>
                </c:pt>
                <c:pt idx="3">
                  <c:v>-0.17409920180398913</c:v>
                </c:pt>
                <c:pt idx="4">
                  <c:v>-0.1289491692006024</c:v>
                </c:pt>
                <c:pt idx="5">
                  <c:v>-0.12690119808067554</c:v>
                </c:pt>
                <c:pt idx="6">
                  <c:v>-0.12919747916852034</c:v>
                </c:pt>
                <c:pt idx="7">
                  <c:v>-0.13216451059284601</c:v>
                </c:pt>
                <c:pt idx="8">
                  <c:v>-0.13364295152250233</c:v>
                </c:pt>
                <c:pt idx="9">
                  <c:v>-0.12818492524853037</c:v>
                </c:pt>
                <c:pt idx="10">
                  <c:v>-0.10163695959525806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54-4DB7-A30C-958394A7859A}"/>
            </c:ext>
          </c:extLst>
        </c:ser>
        <c:ser>
          <c:idx val="1"/>
          <c:order val="1"/>
          <c:tx>
            <c:v>CASO 3.1 - 3.3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'D-DERIVAS'!$D$27:$D$37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'D-DERIVAS'!$I$27:$I$37</c:f>
              <c:numCache>
                <c:formatCode>0.00%</c:formatCode>
                <c:ptCount val="11"/>
                <c:pt idx="0">
                  <c:v>-0.53821987460690357</c:v>
                </c:pt>
                <c:pt idx="1">
                  <c:v>-0.45904419725443651</c:v>
                </c:pt>
                <c:pt idx="2">
                  <c:v>-0.34043240782406231</c:v>
                </c:pt>
                <c:pt idx="3">
                  <c:v>-0.25414991531548575</c:v>
                </c:pt>
                <c:pt idx="4">
                  <c:v>-0.19463286197449928</c:v>
                </c:pt>
                <c:pt idx="5">
                  <c:v>-0.1515968710372631</c:v>
                </c:pt>
                <c:pt idx="6">
                  <c:v>-0.15341911051164439</c:v>
                </c:pt>
                <c:pt idx="7">
                  <c:v>-0.15694883660799649</c:v>
                </c:pt>
                <c:pt idx="8">
                  <c:v>-0.15895373262690177</c:v>
                </c:pt>
                <c:pt idx="9">
                  <c:v>-0.15442212571498051</c:v>
                </c:pt>
                <c:pt idx="10">
                  <c:v>-0.12558210326647409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54-4DB7-A30C-958394A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619104"/>
        <c:axId val="323621064"/>
      </c:lineChart>
      <c:catAx>
        <c:axId val="323619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3621064"/>
        <c:crosses val="autoZero"/>
        <c:auto val="1"/>
        <c:lblAlgn val="ctr"/>
        <c:lblOffset val="100"/>
        <c:noMultiLvlLbl val="0"/>
      </c:catAx>
      <c:valAx>
        <c:axId val="323621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36191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CASOS POR UBICACION DE MODULO DE GRADAS (EQYEN)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3.1 - 3.2 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'D-DERIVAS'!$D$38:$D$48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'D-DERIVAS'!$H$38:$H$48</c:f>
              <c:numCache>
                <c:formatCode>0.00%</c:formatCode>
                <c:ptCount val="11"/>
                <c:pt idx="0">
                  <c:v>-0.36327056540169556</c:v>
                </c:pt>
                <c:pt idx="1">
                  <c:v>-0.10951914254707966</c:v>
                </c:pt>
                <c:pt idx="2">
                  <c:v>-0.12707788660808303</c:v>
                </c:pt>
                <c:pt idx="3">
                  <c:v>-0.13236703405773509</c:v>
                </c:pt>
                <c:pt idx="4">
                  <c:v>-0.13316241723397981</c:v>
                </c:pt>
                <c:pt idx="5">
                  <c:v>-0.13298483117638377</c:v>
                </c:pt>
                <c:pt idx="6">
                  <c:v>-0.13379799187860009</c:v>
                </c:pt>
                <c:pt idx="7">
                  <c:v>-0.135452628498028</c:v>
                </c:pt>
                <c:pt idx="8">
                  <c:v>-0.13631432865128462</c:v>
                </c:pt>
                <c:pt idx="9">
                  <c:v>-0.13153582354384361</c:v>
                </c:pt>
                <c:pt idx="10">
                  <c:v>-0.10984199165756831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30-4B45-929D-1767047BBA1D}"/>
            </c:ext>
          </c:extLst>
        </c:ser>
        <c:ser>
          <c:idx val="1"/>
          <c:order val="1"/>
          <c:tx>
            <c:v>CASO 3.1 - 3.3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'D-DERIVAS'!$D$38:$D$48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'D-DERIVAS'!$I$38:$I$48</c:f>
              <c:numCache>
                <c:formatCode>0.00%</c:formatCode>
                <c:ptCount val="11"/>
                <c:pt idx="0">
                  <c:v>-0.49078490740265768</c:v>
                </c:pt>
                <c:pt idx="1">
                  <c:v>-0.27609504143236013</c:v>
                </c:pt>
                <c:pt idx="2">
                  <c:v>-0.11645957893537182</c:v>
                </c:pt>
                <c:pt idx="3">
                  <c:v>-0.1203324307686581</c:v>
                </c:pt>
                <c:pt idx="4">
                  <c:v>-0.11961561804406043</c:v>
                </c:pt>
                <c:pt idx="5">
                  <c:v>-0.11800303036953387</c:v>
                </c:pt>
                <c:pt idx="6">
                  <c:v>-0.11743623499748783</c:v>
                </c:pt>
                <c:pt idx="7">
                  <c:v>-0.11868122052528322</c:v>
                </c:pt>
                <c:pt idx="8">
                  <c:v>-0.11916240399140587</c:v>
                </c:pt>
                <c:pt idx="9">
                  <c:v>-0.11379991097855412</c:v>
                </c:pt>
                <c:pt idx="10">
                  <c:v>-8.6657207826265334E-2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30-4B45-929D-1767047BB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622240"/>
        <c:axId val="323617928"/>
      </c:lineChart>
      <c:catAx>
        <c:axId val="32362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3617928"/>
        <c:crosses val="autoZero"/>
        <c:auto val="1"/>
        <c:lblAlgn val="ctr"/>
        <c:lblOffset val="100"/>
        <c:noMultiLvlLbl val="0"/>
      </c:catAx>
      <c:valAx>
        <c:axId val="323617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36222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b="1"/>
              <a:t>EQXEP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'D-IRRE TORSIONAL'!$E$4</c:f>
              <c:strCache>
                <c:ptCount val="1"/>
                <c:pt idx="0">
                  <c:v>CASO 2.1 DENTRO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TORSIONAL'!$D$5:$D$15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TORSIONAL'!$E$5:$E$15</c:f>
              <c:numCache>
                <c:formatCode>0.00%</c:formatCode>
                <c:ptCount val="11"/>
                <c:pt idx="0">
                  <c:v>2.6937535628909904E-3</c:v>
                </c:pt>
                <c:pt idx="1">
                  <c:v>1.0416409771569362E-2</c:v>
                </c:pt>
                <c:pt idx="2">
                  <c:v>1.1072219253970551E-2</c:v>
                </c:pt>
                <c:pt idx="3">
                  <c:v>1.1777713572932834E-2</c:v>
                </c:pt>
                <c:pt idx="4">
                  <c:v>1.2507773435534515E-2</c:v>
                </c:pt>
                <c:pt idx="5">
                  <c:v>1.3278421277177798E-2</c:v>
                </c:pt>
                <c:pt idx="6">
                  <c:v>1.4117335580358858E-2</c:v>
                </c:pt>
                <c:pt idx="7">
                  <c:v>1.5056455018888025E-2</c:v>
                </c:pt>
                <c:pt idx="8">
                  <c:v>1.6145920156104058E-2</c:v>
                </c:pt>
                <c:pt idx="9">
                  <c:v>1.7578959375191404E-2</c:v>
                </c:pt>
                <c:pt idx="10">
                  <c:v>2.0294801333716996E-2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7B-4FAF-A4C8-D83106B258C0}"/>
            </c:ext>
          </c:extLst>
        </c:ser>
        <c:ser>
          <c:idx val="1"/>
          <c:order val="1"/>
          <c:tx>
            <c:strRef>
              <c:f>'D-IRRE TORSIONAL'!$F$4</c:f>
              <c:strCache>
                <c:ptCount val="1"/>
                <c:pt idx="0">
                  <c:v>CASO 2.2 LATERAL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TORSIONAL'!$D$5:$D$15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TORSIONAL'!$F$5:$F$15</c:f>
              <c:numCache>
                <c:formatCode>0.00%</c:formatCode>
                <c:ptCount val="11"/>
                <c:pt idx="0">
                  <c:v>4.6078942201042356E-3</c:v>
                </c:pt>
                <c:pt idx="1">
                  <c:v>1.7598370894504362E-2</c:v>
                </c:pt>
                <c:pt idx="2">
                  <c:v>1.9110952293502324E-2</c:v>
                </c:pt>
                <c:pt idx="3">
                  <c:v>2.0684904002460865E-2</c:v>
                </c:pt>
                <c:pt idx="4">
                  <c:v>2.2094503989807789E-2</c:v>
                </c:pt>
                <c:pt idx="5">
                  <c:v>2.3381410135426162E-2</c:v>
                </c:pt>
                <c:pt idx="6">
                  <c:v>2.456129143794139E-2</c:v>
                </c:pt>
                <c:pt idx="7">
                  <c:v>2.5630762079500297E-2</c:v>
                </c:pt>
                <c:pt idx="8">
                  <c:v>2.6178064427862972E-2</c:v>
                </c:pt>
                <c:pt idx="9">
                  <c:v>2.5157986855847074E-2</c:v>
                </c:pt>
                <c:pt idx="10">
                  <c:v>1.9431069749226128E-2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7B-4FAF-A4C8-D83106B258C0}"/>
            </c:ext>
          </c:extLst>
        </c:ser>
        <c:ser>
          <c:idx val="2"/>
          <c:order val="2"/>
          <c:tx>
            <c:strRef>
              <c:f>'D-IRRE TORSIONAL'!$G$4</c:f>
              <c:strCache>
                <c:ptCount val="1"/>
                <c:pt idx="0">
                  <c:v>CASO 2.3 ESQUINA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TORSIONAL'!$D$5:$D$15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TORSIONAL'!$G$5:$G$15</c:f>
              <c:numCache>
                <c:formatCode>0.00%</c:formatCode>
                <c:ptCount val="11"/>
                <c:pt idx="0">
                  <c:v>1.0963898627858924E-2</c:v>
                </c:pt>
                <c:pt idx="1">
                  <c:v>4.7145200038906571E-2</c:v>
                </c:pt>
                <c:pt idx="2">
                  <c:v>5.2356726573542858E-2</c:v>
                </c:pt>
                <c:pt idx="3">
                  <c:v>5.7302697833217613E-2</c:v>
                </c:pt>
                <c:pt idx="4">
                  <c:v>6.1695932680403506E-2</c:v>
                </c:pt>
                <c:pt idx="5">
                  <c:v>6.5742352944543669E-2</c:v>
                </c:pt>
                <c:pt idx="6">
                  <c:v>6.9554782435813201E-2</c:v>
                </c:pt>
                <c:pt idx="7">
                  <c:v>7.3566491247568394E-2</c:v>
                </c:pt>
                <c:pt idx="8">
                  <c:v>7.7363753487022957E-2</c:v>
                </c:pt>
                <c:pt idx="9">
                  <c:v>7.9098225605699152E-2</c:v>
                </c:pt>
                <c:pt idx="10">
                  <c:v>7.3718521928882036E-2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7B-4FAF-A4C8-D83106B258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623416"/>
        <c:axId val="323620672"/>
      </c:lineChart>
      <c:catAx>
        <c:axId val="323623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3620672"/>
        <c:crosses val="autoZero"/>
        <c:auto val="1"/>
        <c:lblAlgn val="ctr"/>
        <c:lblOffset val="100"/>
        <c:noMultiLvlLbl val="0"/>
      </c:catAx>
      <c:valAx>
        <c:axId val="32362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>
            <c:manualLayout>
              <c:xMode val="edge"/>
              <c:yMode val="edge"/>
              <c:x val="5.9537212442515607E-2"/>
              <c:y val="0.262238273478813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3623416"/>
        <c:crosses val="autoZero"/>
        <c:crossBetween val="between"/>
        <c:majorUnit val="1.0000000000000002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b="1"/>
              <a:t>EQXEN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DENTRO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TORSIONAL'!$D$16:$D$26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TORSIONAL'!$E$16:$E$26</c:f>
              <c:numCache>
                <c:formatCode>0.00%</c:formatCode>
                <c:ptCount val="11"/>
                <c:pt idx="0">
                  <c:v>-3.5217501091438456E-3</c:v>
                </c:pt>
                <c:pt idx="1">
                  <c:v>-1.1957642033095654E-2</c:v>
                </c:pt>
                <c:pt idx="2">
                  <c:v>-1.1820965662018481E-2</c:v>
                </c:pt>
                <c:pt idx="3">
                  <c:v>-1.1735967768556184E-2</c:v>
                </c:pt>
                <c:pt idx="4">
                  <c:v>-1.1682780423421652E-2</c:v>
                </c:pt>
                <c:pt idx="5">
                  <c:v>-1.1628729931861577E-2</c:v>
                </c:pt>
                <c:pt idx="6">
                  <c:v>-1.1549644897267029E-2</c:v>
                </c:pt>
                <c:pt idx="7">
                  <c:v>-1.1429587966900851E-2</c:v>
                </c:pt>
                <c:pt idx="8">
                  <c:v>-1.1271822411848757E-2</c:v>
                </c:pt>
                <c:pt idx="9">
                  <c:v>-1.1166971439594709E-2</c:v>
                </c:pt>
                <c:pt idx="10">
                  <c:v>-1.1473288996540666E-2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C0-45AA-933E-9880730BBFDA}"/>
            </c:ext>
          </c:extLst>
        </c:ser>
        <c:ser>
          <c:idx val="1"/>
          <c:order val="1"/>
          <c:tx>
            <c:v>CASO 3.2 LATERAL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TORSIONAL'!$D$16:$D$26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TORSIONAL'!$F$16:$F$26</c:f>
              <c:numCache>
                <c:formatCode>0.00%</c:formatCode>
                <c:ptCount val="11"/>
                <c:pt idx="0">
                  <c:v>-6.310433313979835E-3</c:v>
                </c:pt>
                <c:pt idx="1">
                  <c:v>-2.3578748067147909E-2</c:v>
                </c:pt>
                <c:pt idx="2">
                  <c:v>-2.4709922134044195E-2</c:v>
                </c:pt>
                <c:pt idx="3">
                  <c:v>-2.5885302068420719E-2</c:v>
                </c:pt>
                <c:pt idx="4">
                  <c:v>-2.6985679100473139E-2</c:v>
                </c:pt>
                <c:pt idx="5">
                  <c:v>-2.8073539853793135E-2</c:v>
                </c:pt>
                <c:pt idx="6">
                  <c:v>-2.9192197771125528E-2</c:v>
                </c:pt>
                <c:pt idx="7">
                  <c:v>-3.0240555224281332E-2</c:v>
                </c:pt>
                <c:pt idx="8">
                  <c:v>-3.0865352580808973E-2</c:v>
                </c:pt>
                <c:pt idx="9">
                  <c:v>-3.0624217294841015E-2</c:v>
                </c:pt>
                <c:pt idx="10">
                  <c:v>-2.7549876651413154E-2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C0-45AA-933E-9880730BBFDA}"/>
            </c:ext>
          </c:extLst>
        </c:ser>
        <c:ser>
          <c:idx val="2"/>
          <c:order val="2"/>
          <c:tx>
            <c:v>CASO 3.3 ESQUINA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TORSIONAL'!$D$16:$D$26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TORSIONAL'!$G$16:$G$26</c:f>
              <c:numCache>
                <c:formatCode>0.00%</c:formatCode>
                <c:ptCount val="11"/>
                <c:pt idx="0">
                  <c:v>-1.2290019311426309E-2</c:v>
                </c:pt>
                <c:pt idx="1">
                  <c:v>-5.8949389298298349E-2</c:v>
                </c:pt>
                <c:pt idx="2">
                  <c:v>-4.9305649031215572E-2</c:v>
                </c:pt>
                <c:pt idx="3">
                  <c:v>-3.9890308550585708E-2</c:v>
                </c:pt>
                <c:pt idx="4">
                  <c:v>-3.1017908664108453E-2</c:v>
                </c:pt>
                <c:pt idx="5">
                  <c:v>-2.2171946938038884E-2</c:v>
                </c:pt>
                <c:pt idx="6">
                  <c:v>-1.2985216664513098E-2</c:v>
                </c:pt>
                <c:pt idx="7">
                  <c:v>-5.4907256992003332E-3</c:v>
                </c:pt>
                <c:pt idx="8">
                  <c:v>-2.3615358244760353E-3</c:v>
                </c:pt>
                <c:pt idx="9">
                  <c:v>-6.356572383173424E-3</c:v>
                </c:pt>
                <c:pt idx="10">
                  <c:v>-3.1547331384893497E-2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C0-45AA-933E-9880730BB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262376"/>
        <c:axId val="324263160"/>
      </c:lineChart>
      <c:catAx>
        <c:axId val="324262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4263160"/>
        <c:crosses val="autoZero"/>
        <c:auto val="1"/>
        <c:lblAlgn val="ctr"/>
        <c:lblOffset val="100"/>
        <c:noMultiLvlLbl val="0"/>
      </c:catAx>
      <c:valAx>
        <c:axId val="324263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>
            <c:manualLayout>
              <c:xMode val="edge"/>
              <c:yMode val="edge"/>
              <c:x val="1.7692475057077724E-2"/>
              <c:y val="0.29131197074138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4262376"/>
        <c:crosses val="autoZero"/>
        <c:crossBetween val="between"/>
        <c:majorUnit val="1.0000000000000002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ln>
                  <a:noFill/>
                </a:ln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b="1"/>
              <a:t>EQYEP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DENTRO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TORSIONAL'!$D$27:$D$37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TORSIONAL'!$E$27:$E$37</c:f>
              <c:numCache>
                <c:formatCode>0.00%</c:formatCode>
                <c:ptCount val="11"/>
                <c:pt idx="0">
                  <c:v>2.1229026595788389E-2</c:v>
                </c:pt>
                <c:pt idx="1">
                  <c:v>8.7609497858928853E-2</c:v>
                </c:pt>
                <c:pt idx="2">
                  <c:v>9.1259929722268943E-2</c:v>
                </c:pt>
                <c:pt idx="3">
                  <c:v>9.4836618402899628E-2</c:v>
                </c:pt>
                <c:pt idx="4">
                  <c:v>9.7398913933623238E-2</c:v>
                </c:pt>
                <c:pt idx="5">
                  <c:v>9.882658428759368E-2</c:v>
                </c:pt>
                <c:pt idx="6">
                  <c:v>9.877615378406511E-2</c:v>
                </c:pt>
                <c:pt idx="7">
                  <c:v>9.6308083681845874E-2</c:v>
                </c:pt>
                <c:pt idx="8">
                  <c:v>8.8959374712733658E-2</c:v>
                </c:pt>
                <c:pt idx="9">
                  <c:v>6.9619139369701766E-2</c:v>
                </c:pt>
                <c:pt idx="10">
                  <c:v>1.7949248837793436E-2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6C-4D5D-B0F4-CA273092EB97}"/>
            </c:ext>
          </c:extLst>
        </c:ser>
        <c:ser>
          <c:idx val="1"/>
          <c:order val="1"/>
          <c:tx>
            <c:v>CASO 3.2 LATERAL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TORSIONAL'!$D$27:$D$37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TORSIONAL'!$F$27:$F$37</c:f>
              <c:numCache>
                <c:formatCode>0.00%</c:formatCode>
                <c:ptCount val="11"/>
                <c:pt idx="0">
                  <c:v>-1.9550387934319933E-2</c:v>
                </c:pt>
                <c:pt idx="1">
                  <c:v>-4.628432343274691E-2</c:v>
                </c:pt>
                <c:pt idx="2">
                  <c:v>-3.6104699701628842E-2</c:v>
                </c:pt>
                <c:pt idx="3">
                  <c:v>-2.6078836029554905E-2</c:v>
                </c:pt>
                <c:pt idx="4">
                  <c:v>-1.7004644992723132E-2</c:v>
                </c:pt>
                <c:pt idx="5">
                  <c:v>-8.4808461037992645E-3</c:v>
                </c:pt>
                <c:pt idx="6">
                  <c:v>-3.3047336984943143E-4</c:v>
                </c:pt>
                <c:pt idx="7">
                  <c:v>6.1028657611894533E-3</c:v>
                </c:pt>
                <c:pt idx="8">
                  <c:v>8.41285291872001E-3</c:v>
                </c:pt>
                <c:pt idx="9">
                  <c:v>1.926160154136125E-3</c:v>
                </c:pt>
                <c:pt idx="10">
                  <c:v>-2.8503529522735278E-2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6C-4D5D-B0F4-CA273092EB97}"/>
            </c:ext>
          </c:extLst>
        </c:ser>
        <c:ser>
          <c:idx val="2"/>
          <c:order val="2"/>
          <c:tx>
            <c:v>CASO 3.3 ESQUINA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TORSIONAL'!$D$27:$D$37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TORSIONAL'!$G$27:$G$37</c:f>
              <c:numCache>
                <c:formatCode>0.00%</c:formatCode>
                <c:ptCount val="11"/>
                <c:pt idx="0">
                  <c:v>-2.0905136619517733E-2</c:v>
                </c:pt>
                <c:pt idx="1">
                  <c:v>-6.9482091168299953E-2</c:v>
                </c:pt>
                <c:pt idx="2">
                  <c:v>-5.3289793194787022E-2</c:v>
                </c:pt>
                <c:pt idx="3">
                  <c:v>-3.7841209065954444E-2</c:v>
                </c:pt>
                <c:pt idx="4">
                  <c:v>-2.3561222803159639E-2</c:v>
                </c:pt>
                <c:pt idx="5">
                  <c:v>-9.7989046642695584E-3</c:v>
                </c:pt>
                <c:pt idx="6">
                  <c:v>3.8542055143801495E-3</c:v>
                </c:pt>
                <c:pt idx="7">
                  <c:v>1.6249540474328552E-2</c:v>
                </c:pt>
                <c:pt idx="8">
                  <c:v>2.4775163759118247E-2</c:v>
                </c:pt>
                <c:pt idx="9">
                  <c:v>2.4443064869473709E-2</c:v>
                </c:pt>
                <c:pt idx="10">
                  <c:v>-2.7902806530178577E-3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6C-4D5D-B0F4-CA273092EB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267080"/>
        <c:axId val="324266296"/>
      </c:lineChart>
      <c:catAx>
        <c:axId val="324267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4266296"/>
        <c:crosses val="autoZero"/>
        <c:auto val="1"/>
        <c:lblAlgn val="ctr"/>
        <c:lblOffset val="100"/>
        <c:noMultiLvlLbl val="0"/>
      </c:catAx>
      <c:valAx>
        <c:axId val="324266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>
            <c:manualLayout>
              <c:xMode val="edge"/>
              <c:yMode val="edge"/>
              <c:x val="1.7692475057077724E-2"/>
              <c:y val="0.29131197074138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4267080"/>
        <c:crosses val="autoZero"/>
        <c:crossBetween val="between"/>
        <c:majorUnit val="5.000000000000001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ln>
                  <a:noFill/>
                </a:ln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b="1"/>
              <a:t>EQYEN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DENTRO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TORSIONAL'!$D$38:$D$48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TORSIONAL'!$E$38:$E$48</c:f>
              <c:numCache>
                <c:formatCode>0.00%</c:formatCode>
                <c:ptCount val="11"/>
                <c:pt idx="0">
                  <c:v>3.2377193434041683E-2</c:v>
                </c:pt>
                <c:pt idx="1">
                  <c:v>0.10147554295236481</c:v>
                </c:pt>
                <c:pt idx="2">
                  <c:v>0.10408707891164636</c:v>
                </c:pt>
                <c:pt idx="3">
                  <c:v>0.10669493096012651</c:v>
                </c:pt>
                <c:pt idx="4">
                  <c:v>0.1089340544219877</c:v>
                </c:pt>
                <c:pt idx="5">
                  <c:v>0.11081717847462391</c:v>
                </c:pt>
                <c:pt idx="6">
                  <c:v>0.11227754059385381</c:v>
                </c:pt>
                <c:pt idx="7">
                  <c:v>0.11308351874261846</c:v>
                </c:pt>
                <c:pt idx="8">
                  <c:v>0.11259573815290211</c:v>
                </c:pt>
                <c:pt idx="9">
                  <c:v>0.1088787158462956</c:v>
                </c:pt>
                <c:pt idx="10">
                  <c:v>9.7162801072454397E-2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71-4DA1-A56A-28C055FA202D}"/>
            </c:ext>
          </c:extLst>
        </c:ser>
        <c:ser>
          <c:idx val="1"/>
          <c:order val="1"/>
          <c:tx>
            <c:v>CASO 3.2 LATERAL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TORSIONAL'!$D$38:$D$48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TORSIONAL'!$F$38:$F$48</c:f>
              <c:numCache>
                <c:formatCode>0.00%</c:formatCode>
                <c:ptCount val="11"/>
                <c:pt idx="0">
                  <c:v>2.478637656079645E-2</c:v>
                </c:pt>
                <c:pt idx="1">
                  <c:v>8.6110562218758402E-2</c:v>
                </c:pt>
                <c:pt idx="2">
                  <c:v>9.0274681210200602E-2</c:v>
                </c:pt>
                <c:pt idx="3">
                  <c:v>9.4324126914684531E-2</c:v>
                </c:pt>
                <c:pt idx="4">
                  <c:v>9.8235318989091991E-2</c:v>
                </c:pt>
                <c:pt idx="5">
                  <c:v>0.10234486376483833</c:v>
                </c:pt>
                <c:pt idx="6">
                  <c:v>0.106947842168888</c:v>
                </c:pt>
                <c:pt idx="7">
                  <c:v>0.11202822916014386</c:v>
                </c:pt>
                <c:pt idx="8">
                  <c:v>0.11746109649634365</c:v>
                </c:pt>
                <c:pt idx="9">
                  <c:v>0.1238216423382081</c:v>
                </c:pt>
                <c:pt idx="10">
                  <c:v>0.13316090565040298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71-4DA1-A56A-28C055FA202D}"/>
            </c:ext>
          </c:extLst>
        </c:ser>
        <c:ser>
          <c:idx val="2"/>
          <c:order val="2"/>
          <c:tx>
            <c:v>CASO 3.3 ESQUINA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TORSIONAL'!$D$38:$D$48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TORSIONAL'!$G$38:$G$48</c:f>
              <c:numCache>
                <c:formatCode>0.00%</c:formatCode>
                <c:ptCount val="11"/>
                <c:pt idx="0">
                  <c:v>1.9327696214587162E-2</c:v>
                </c:pt>
                <c:pt idx="1">
                  <c:v>7.1100513931148537E-2</c:v>
                </c:pt>
                <c:pt idx="2">
                  <c:v>7.6417419776769788E-2</c:v>
                </c:pt>
                <c:pt idx="3">
                  <c:v>8.1589613145318707E-2</c:v>
                </c:pt>
                <c:pt idx="4">
                  <c:v>8.6538714810865613E-2</c:v>
                </c:pt>
                <c:pt idx="5">
                  <c:v>9.1617800262319901E-2</c:v>
                </c:pt>
                <c:pt idx="6">
                  <c:v>9.7135244931186263E-2</c:v>
                </c:pt>
                <c:pt idx="7">
                  <c:v>0.10307576304570562</c:v>
                </c:pt>
                <c:pt idx="8">
                  <c:v>0.10903059462470406</c:v>
                </c:pt>
                <c:pt idx="9">
                  <c:v>0.11534676287320331</c:v>
                </c:pt>
                <c:pt idx="10">
                  <c:v>0.1224248126740404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71-4DA1-A56A-28C055FA2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261984"/>
        <c:axId val="324265512"/>
      </c:lineChart>
      <c:catAx>
        <c:axId val="324261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4265512"/>
        <c:crosses val="autoZero"/>
        <c:auto val="1"/>
        <c:lblAlgn val="ctr"/>
        <c:lblOffset val="100"/>
        <c:noMultiLvlLbl val="0"/>
      </c:catAx>
      <c:valAx>
        <c:axId val="324265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>
            <c:manualLayout>
              <c:xMode val="edge"/>
              <c:yMode val="edge"/>
              <c:x val="1.7692475057077724E-2"/>
              <c:y val="0.29131197074138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4261984"/>
        <c:crosses val="autoZero"/>
        <c:crossBetween val="between"/>
        <c:minorUnit val="2.0000000000000004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ln>
                  <a:noFill/>
                </a:ln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CASOS POR UBICACION DE MODULO DE GRADAS (EQXEP)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3.1 - 3.2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TORSIONAL'!$D$5:$D$15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TORSIONAL'!$H$5:$H$15</c:f>
              <c:numCache>
                <c:formatCode>0.00%</c:formatCode>
                <c:ptCount val="11"/>
                <c:pt idx="0">
                  <c:v>2.7309059519250701E-3</c:v>
                </c:pt>
                <c:pt idx="1">
                  <c:v>-1.0403884693200109E-2</c:v>
                </c:pt>
                <c:pt idx="2">
                  <c:v>-1.1421262888114261E-2</c:v>
                </c:pt>
                <c:pt idx="3">
                  <c:v>-1.2607137479997489E-2</c:v>
                </c:pt>
                <c:pt idx="4">
                  <c:v>-1.3680304739811707E-2</c:v>
                </c:pt>
                <c:pt idx="5">
                  <c:v>-1.4707266222390599E-2</c:v>
                </c:pt>
                <c:pt idx="6">
                  <c:v>-1.5702741578598349E-2</c:v>
                </c:pt>
                <c:pt idx="7">
                  <c:v>-1.6230705505504126E-2</c:v>
                </c:pt>
                <c:pt idx="8">
                  <c:v>-1.5507539539190837E-2</c:v>
                </c:pt>
                <c:pt idx="9">
                  <c:v>-1.2245334632963597E-2</c:v>
                </c:pt>
                <c:pt idx="10">
                  <c:v>-1.3347549465450501E-3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D9-4E02-9002-B995B6633CF2}"/>
            </c:ext>
          </c:extLst>
        </c:ser>
        <c:ser>
          <c:idx val="1"/>
          <c:order val="1"/>
          <c:tx>
            <c:v>CASO 3.1 - 3.3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TORSIONAL'!$D$5:$D$15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TORSIONAL'!$I$5:$I$15</c:f>
              <c:numCache>
                <c:formatCode>0.00%</c:formatCode>
                <c:ptCount val="11"/>
                <c:pt idx="0">
                  <c:v>-3.3729859580045596E-3</c:v>
                </c:pt>
                <c:pt idx="1">
                  <c:v>-3.3903417764347479E-2</c:v>
                </c:pt>
                <c:pt idx="2">
                  <c:v>-3.9941773187358233E-2</c:v>
                </c:pt>
                <c:pt idx="3">
                  <c:v>-4.5813098839091036E-2</c:v>
                </c:pt>
                <c:pt idx="4">
                  <c:v>-5.1187746275689776E-2</c:v>
                </c:pt>
                <c:pt idx="5">
                  <c:v>-5.6382602160088391E-2</c:v>
                </c:pt>
                <c:pt idx="6">
                  <c:v>-6.1583417631656631E-2</c:v>
                </c:pt>
                <c:pt idx="7">
                  <c:v>-6.5907936286361754E-2</c:v>
                </c:pt>
                <c:pt idx="8">
                  <c:v>-6.779210180183709E-2</c:v>
                </c:pt>
                <c:pt idx="9">
                  <c:v>-6.4872624271462606E-2</c:v>
                </c:pt>
                <c:pt idx="10">
                  <c:v>-4.7191841239097476E-2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D9-4E02-9002-B995B6633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260024"/>
        <c:axId val="324260416"/>
      </c:lineChart>
      <c:catAx>
        <c:axId val="324260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4260416"/>
        <c:crosses val="autoZero"/>
        <c:auto val="1"/>
        <c:lblAlgn val="ctr"/>
        <c:lblOffset val="100"/>
        <c:noMultiLvlLbl val="0"/>
      </c:catAx>
      <c:valAx>
        <c:axId val="32426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4260024"/>
        <c:crosses val="autoZero"/>
        <c:crossBetween val="between"/>
        <c:majorUnit val="5.000000000000001E-3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CASOS POR UBICACION DE MODULO DE GRADAS (EQXEN)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3.1 - 3.2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TORSIONAL'!$D$16:$D$26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TORSIONAL'!$H$16:$H$26</c:f>
              <c:numCache>
                <c:formatCode>0.00%</c:formatCode>
                <c:ptCount val="11"/>
                <c:pt idx="0">
                  <c:v>7.1983219367150429E-3</c:v>
                </c:pt>
                <c:pt idx="1">
                  <c:v>1.9861450804869427E-2</c:v>
                </c:pt>
                <c:pt idx="2">
                  <c:v>2.2172861042726429E-2</c:v>
                </c:pt>
                <c:pt idx="3">
                  <c:v>2.4495030086934062E-2</c:v>
                </c:pt>
                <c:pt idx="4">
                  <c:v>2.6668484019438887E-2</c:v>
                </c:pt>
                <c:pt idx="5">
                  <c:v>2.8845814293070402E-2</c:v>
                </c:pt>
                <c:pt idx="6">
                  <c:v>3.1139770375260035E-2</c:v>
                </c:pt>
                <c:pt idx="7">
                  <c:v>3.3336664521411312E-2</c:v>
                </c:pt>
                <c:pt idx="8">
                  <c:v>3.4997151162956174E-2</c:v>
                </c:pt>
                <c:pt idx="9">
                  <c:v>3.5562821612155515E-2</c:v>
                </c:pt>
                <c:pt idx="10">
                  <c:v>3.2236940841903282E-2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50-4E2D-8CF0-8177A4034752}"/>
            </c:ext>
          </c:extLst>
        </c:ser>
        <c:ser>
          <c:idx val="1"/>
          <c:order val="1"/>
          <c:tx>
            <c:v>CASO 3.1 - 3.3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TORSIONAL'!$D$16:$D$26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TORSIONAL'!$I$16:$I$26</c:f>
              <c:numCache>
                <c:formatCode>0.00%</c:formatCode>
                <c:ptCount val="11"/>
                <c:pt idx="0">
                  <c:v>1.7118126452518721E-2</c:v>
                </c:pt>
                <c:pt idx="1">
                  <c:v>6.7144839687342389E-2</c:v>
                </c:pt>
                <c:pt idx="2">
                  <c:v>6.0497714020366362E-2</c:v>
                </c:pt>
                <c:pt idx="3">
                  <c:v>5.4069209118647779E-2</c:v>
                </c:pt>
                <c:pt idx="4">
                  <c:v>4.8158172249611775E-2</c:v>
                </c:pt>
                <c:pt idx="5">
                  <c:v>4.2459378873008623E-2</c:v>
                </c:pt>
                <c:pt idx="6">
                  <c:v>3.6789851098190759E-2</c:v>
                </c:pt>
                <c:pt idx="7">
                  <c:v>3.2081217271007934E-2</c:v>
                </c:pt>
                <c:pt idx="8">
                  <c:v>3.0006150131668664E-2</c:v>
                </c:pt>
                <c:pt idx="9">
                  <c:v>3.293879313820821E-2</c:v>
                </c:pt>
                <c:pt idx="10">
                  <c:v>5.0998782917679675E-2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50-4E2D-8CF0-8177A4034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261200"/>
        <c:axId val="324265120"/>
      </c:lineChart>
      <c:catAx>
        <c:axId val="32426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4265120"/>
        <c:crosses val="autoZero"/>
        <c:auto val="1"/>
        <c:lblAlgn val="ctr"/>
        <c:lblOffset val="100"/>
        <c:noMultiLvlLbl val="0"/>
      </c:catAx>
      <c:valAx>
        <c:axId val="3242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4261200"/>
        <c:crosses val="autoZero"/>
        <c:crossBetween val="between"/>
        <c:majorUnit val="5.000000000000001E-3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CASOS POR UBICACION DE MODULO DE GRADAS (EQYEP)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3.1 - 3.2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TORSIONAL'!$D$27:$D$37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TORSIONAL'!$H$27:$H$37</c:f>
              <c:numCache>
                <c:formatCode>0.00%</c:formatCode>
                <c:ptCount val="11"/>
                <c:pt idx="0">
                  <c:v>2.2204712268326602E-2</c:v>
                </c:pt>
                <c:pt idx="1">
                  <c:v>6.5185718096894441E-2</c:v>
                </c:pt>
                <c:pt idx="2">
                  <c:v>6.0545522376765644E-2</c:v>
                </c:pt>
                <c:pt idx="3">
                  <c:v>5.6050930489449063E-2</c:v>
                </c:pt>
                <c:pt idx="4">
                  <c:v>5.1525544542240329E-2</c:v>
                </c:pt>
                <c:pt idx="5">
                  <c:v>4.6524077641147556E-2</c:v>
                </c:pt>
                <c:pt idx="6">
                  <c:v>4.0595629031620083E-2</c:v>
                </c:pt>
                <c:pt idx="7">
                  <c:v>3.3860357392277815E-2</c:v>
                </c:pt>
                <c:pt idx="8">
                  <c:v>2.6117629047854092E-2</c:v>
                </c:pt>
                <c:pt idx="9">
                  <c:v>1.5026429542203087E-2</c:v>
                </c:pt>
                <c:pt idx="10">
                  <c:v>-5.4192378439806167E-3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B4-4776-91C2-E5EC1A1272B3}"/>
            </c:ext>
          </c:extLst>
        </c:ser>
        <c:ser>
          <c:idx val="1"/>
          <c:order val="1"/>
          <c:tx>
            <c:v>CASO 3.1 - 3.3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TORSIONAL'!$D$27:$D$37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TORSIONAL'!$I$27:$I$37</c:f>
              <c:numCache>
                <c:formatCode>0.00%</c:formatCode>
                <c:ptCount val="11"/>
                <c:pt idx="0">
                  <c:v>2.2543710732564767E-2</c:v>
                </c:pt>
                <c:pt idx="1">
                  <c:v>7.6118997180831455E-2</c:v>
                </c:pt>
                <c:pt idx="2">
                  <c:v>6.7582033696372029E-2</c:v>
                </c:pt>
                <c:pt idx="3">
                  <c:v>5.9600652653234776E-2</c:v>
                </c:pt>
                <c:pt idx="4">
                  <c:v>5.1814098708892357E-2</c:v>
                </c:pt>
                <c:pt idx="5">
                  <c:v>4.3623235959319474E-2</c:v>
                </c:pt>
                <c:pt idx="6">
                  <c:v>3.4441129357173202E-2</c:v>
                </c:pt>
                <c:pt idx="7">
                  <c:v>2.4215960674881052E-2</c:v>
                </c:pt>
                <c:pt idx="8">
                  <c:v>1.2906682497796296E-2</c:v>
                </c:pt>
                <c:pt idx="9">
                  <c:v>-1.719903497389625E-3</c:v>
                </c:pt>
                <c:pt idx="10">
                  <c:v>-2.3914419304043165E-2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B4-4776-91C2-E5EC1A127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986368"/>
        <c:axId val="322981664"/>
      </c:lineChart>
      <c:catAx>
        <c:axId val="32298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2981664"/>
        <c:crosses val="autoZero"/>
        <c:auto val="1"/>
        <c:lblAlgn val="ctr"/>
        <c:lblOffset val="100"/>
        <c:noMultiLvlLbl val="0"/>
      </c:catAx>
      <c:valAx>
        <c:axId val="322981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298636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CASOS POR UBICACION DE MODULO DE GRADAS (EQYEN)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3.1- 3.2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TORSIONAL'!$D$38:$D$48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TORSIONAL'!$H$38:$H$48</c:f>
              <c:numCache>
                <c:formatCode>0.00%</c:formatCode>
                <c:ptCount val="11"/>
                <c:pt idx="0">
                  <c:v>1.5230997712409282E-2</c:v>
                </c:pt>
                <c:pt idx="1">
                  <c:v>2.0585405096227812E-2</c:v>
                </c:pt>
                <c:pt idx="2">
                  <c:v>1.6814715411641829E-2</c:v>
                </c:pt>
                <c:pt idx="3">
                  <c:v>1.3189962245732909E-2</c:v>
                </c:pt>
                <c:pt idx="4">
                  <c:v>9.508381233953124E-3</c:v>
                </c:pt>
                <c:pt idx="5">
                  <c:v>5.3797912801364775E-3</c:v>
                </c:pt>
                <c:pt idx="6">
                  <c:v>4.0428649681232626E-4</c:v>
                </c:pt>
                <c:pt idx="7">
                  <c:v>-5.438716292807769E-3</c:v>
                </c:pt>
                <c:pt idx="8">
                  <c:v>-1.2576450527867759E-2</c:v>
                </c:pt>
                <c:pt idx="9">
                  <c:v>-2.350786406800531E-2</c:v>
                </c:pt>
                <c:pt idx="10">
                  <c:v>-4.5244716247183146E-2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F6-45AB-ABEA-96DFBD775373}"/>
            </c:ext>
          </c:extLst>
        </c:ser>
        <c:ser>
          <c:idx val="1"/>
          <c:order val="1"/>
          <c:tx>
            <c:v>CASO 3.1 - 3.3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'D-IRRE TORSIONAL'!$D$38:$D$48</c:f>
              <c:strCache>
                <c:ptCount val="11"/>
                <c:pt idx="0">
                  <c:v>STORY 11</c:v>
                </c:pt>
                <c:pt idx="1">
                  <c:v>STORY 10</c:v>
                </c:pt>
                <c:pt idx="2">
                  <c:v>STORY 9</c:v>
                </c:pt>
                <c:pt idx="3">
                  <c:v>STORY 8</c:v>
                </c:pt>
                <c:pt idx="4">
                  <c:v>STORY 7</c:v>
                </c:pt>
                <c:pt idx="5">
                  <c:v>STORY 6</c:v>
                </c:pt>
                <c:pt idx="6">
                  <c:v>STORY 5</c:v>
                </c:pt>
                <c:pt idx="7">
                  <c:v>STORY 4</c:v>
                </c:pt>
                <c:pt idx="8">
                  <c:v>STORY 3</c:v>
                </c:pt>
                <c:pt idx="9">
                  <c:v>STORY 2</c:v>
                </c:pt>
                <c:pt idx="10">
                  <c:v>STORY 1</c:v>
                </c:pt>
              </c:strCache>
            </c:strRef>
          </c:cat>
          <c:val>
            <c:numRef>
              <c:f>'D-IRRE TORSIONAL'!$I$38:$I$48</c:f>
              <c:numCache>
                <c:formatCode>0.00%</c:formatCode>
                <c:ptCount val="11"/>
                <c:pt idx="0">
                  <c:v>2.9215730724148608E-2</c:v>
                </c:pt>
                <c:pt idx="1">
                  <c:v>6.8469256480373941E-2</c:v>
                </c:pt>
                <c:pt idx="2">
                  <c:v>6.1645090700654569E-2</c:v>
                </c:pt>
                <c:pt idx="3">
                  <c:v>5.5292115740476218E-2</c:v>
                </c:pt>
                <c:pt idx="4">
                  <c:v>4.9101590053243695E-2</c:v>
                </c:pt>
                <c:pt idx="5">
                  <c:v>4.2580941749290405E-2</c:v>
                </c:pt>
                <c:pt idx="6">
                  <c:v>3.5248929061194006E-2</c:v>
                </c:pt>
                <c:pt idx="7">
                  <c:v>2.6983421788709737E-2</c:v>
                </c:pt>
                <c:pt idx="8">
                  <c:v>1.7579058286185698E-2</c:v>
                </c:pt>
                <c:pt idx="9">
                  <c:v>4.9699385963119921E-3</c:v>
                </c:pt>
                <c:pt idx="10">
                  <c:v>-1.5476554940231459E-2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F6-45AB-ABEA-96DFBD775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984408"/>
        <c:axId val="322988720"/>
      </c:lineChart>
      <c:catAx>
        <c:axId val="322984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2988720"/>
        <c:crosses val="autoZero"/>
        <c:auto val="1"/>
        <c:lblAlgn val="ctr"/>
        <c:lblOffset val="100"/>
        <c:noMultiLvlLbl val="0"/>
      </c:catAx>
      <c:valAx>
        <c:axId val="32298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2984408"/>
        <c:crosses val="autoZero"/>
        <c:crossBetween val="between"/>
        <c:majorUnit val="2.0000000000000004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b="1"/>
              <a:t>PERIDIO</a:t>
            </a:r>
            <a:r>
              <a:rPr lang="es-HN" b="1" baseline="0"/>
              <a:t> DINAMICO (X)</a:t>
            </a:r>
            <a:endParaRPr lang="es-HN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CASO 3.1 DENTRO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'D-PCMCR'!$B$6</c:f>
              <c:strCache>
                <c:ptCount val="1"/>
                <c:pt idx="0">
                  <c:v>PERIODO DINAMICO</c:v>
                </c:pt>
              </c:strCache>
            </c:strRef>
          </c:cat>
          <c:val>
            <c:numRef>
              <c:f>'D-PCMCR'!$D$6</c:f>
              <c:numCache>
                <c:formatCode>0.000%</c:formatCode>
                <c:ptCount val="1"/>
                <c:pt idx="0">
                  <c:v>-3.6037934142802222E-2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AD-4B5F-A059-D5840C8E97E1}"/>
            </c:ext>
          </c:extLst>
        </c:ser>
        <c:ser>
          <c:idx val="1"/>
          <c:order val="1"/>
          <c:tx>
            <c:v>CASO 3.2 LATERAL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'D-PCMCR'!$B$6</c:f>
              <c:strCache>
                <c:ptCount val="1"/>
                <c:pt idx="0">
                  <c:v>PERIODO DINAMICO</c:v>
                </c:pt>
              </c:strCache>
            </c:strRef>
          </c:cat>
          <c:val>
            <c:numRef>
              <c:f>'D-PCMCR'!$F$6</c:f>
              <c:numCache>
                <c:formatCode>0.000%</c:formatCode>
                <c:ptCount val="1"/>
                <c:pt idx="0">
                  <c:v>-4.2456257644721072E-2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AD-4B5F-A059-D5840C8E97E1}"/>
            </c:ext>
          </c:extLst>
        </c:ser>
        <c:ser>
          <c:idx val="2"/>
          <c:order val="2"/>
          <c:tx>
            <c:v>CASO 3.3 ESQUINA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'D-PCMCR'!$B$6</c:f>
              <c:strCache>
                <c:ptCount val="1"/>
                <c:pt idx="0">
                  <c:v>PERIODO DINAMICO</c:v>
                </c:pt>
              </c:strCache>
            </c:strRef>
          </c:cat>
          <c:val>
            <c:numRef>
              <c:f>'D-PCMCR'!$H$6</c:f>
              <c:numCache>
                <c:formatCode>0.000%</c:formatCode>
                <c:ptCount val="1"/>
                <c:pt idx="0">
                  <c:v>-3.7751457799486597E-2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EAD-4B5F-A059-D5840C8E9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2987152"/>
        <c:axId val="322982840"/>
      </c:barChart>
      <c:catAx>
        <c:axId val="322987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2982840"/>
        <c:crosses val="autoZero"/>
        <c:auto val="1"/>
        <c:lblAlgn val="ctr"/>
        <c:lblOffset val="100"/>
        <c:noMultiLvlLbl val="0"/>
      </c:catAx>
      <c:valAx>
        <c:axId val="322982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>
            <c:manualLayout>
              <c:xMode val="edge"/>
              <c:yMode val="edge"/>
              <c:x val="5.9537212442515607E-2"/>
              <c:y val="0.262238273478813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2987152"/>
        <c:crosses val="autoZero"/>
        <c:crossBetween val="between"/>
        <c:majorUnit val="2.0000000000000005E-3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CENTRO</a:t>
            </a:r>
            <a:r>
              <a:rPr lang="es-HN" sz="1400" baseline="0"/>
              <a:t> DE MASAS (X)</a:t>
            </a:r>
            <a:endParaRPr lang="es-HN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DENTRO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'D-PCMCR'!$C$8:$C$18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'D-PCMCR'!$D$8:$D$18</c:f>
              <c:numCache>
                <c:formatCode>0.000%</c:formatCode>
                <c:ptCount val="11"/>
                <c:pt idx="0">
                  <c:v>1.8995330984701794E-3</c:v>
                </c:pt>
                <c:pt idx="1">
                  <c:v>1.5979871471245952E-3</c:v>
                </c:pt>
                <c:pt idx="2">
                  <c:v>1.5979871471245952E-3</c:v>
                </c:pt>
                <c:pt idx="3">
                  <c:v>1.5979871471245952E-3</c:v>
                </c:pt>
                <c:pt idx="4">
                  <c:v>1.5979871471245952E-3</c:v>
                </c:pt>
                <c:pt idx="5">
                  <c:v>1.5979871471245952E-3</c:v>
                </c:pt>
                <c:pt idx="6">
                  <c:v>1.5979871471245952E-3</c:v>
                </c:pt>
                <c:pt idx="7">
                  <c:v>1.5979871471245952E-3</c:v>
                </c:pt>
                <c:pt idx="8">
                  <c:v>1.5979871471245952E-3</c:v>
                </c:pt>
                <c:pt idx="9">
                  <c:v>1.0582809953034809E-3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4D-4386-AF17-765944038357}"/>
            </c:ext>
          </c:extLst>
        </c:ser>
        <c:ser>
          <c:idx val="1"/>
          <c:order val="1"/>
          <c:tx>
            <c:v>CASO 3.2 LATERAL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'D-PCMCR'!$C$8:$C$18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'D-PCMCR'!$F$8:$F$18</c:f>
              <c:numCache>
                <c:formatCode>0.000%</c:formatCode>
                <c:ptCount val="11"/>
                <c:pt idx="0">
                  <c:v>3.3232697880868907E-3</c:v>
                </c:pt>
                <c:pt idx="1">
                  <c:v>2.7190406226742323E-3</c:v>
                </c:pt>
                <c:pt idx="2">
                  <c:v>2.7190406226742323E-3</c:v>
                </c:pt>
                <c:pt idx="3">
                  <c:v>2.7190406226742323E-3</c:v>
                </c:pt>
                <c:pt idx="4">
                  <c:v>2.7993903481794073E-3</c:v>
                </c:pt>
                <c:pt idx="5">
                  <c:v>2.7993903481794073E-3</c:v>
                </c:pt>
                <c:pt idx="6">
                  <c:v>2.7993903481794073E-3</c:v>
                </c:pt>
                <c:pt idx="7">
                  <c:v>2.7993903481794073E-3</c:v>
                </c:pt>
                <c:pt idx="8">
                  <c:v>2.7993903481794073E-3</c:v>
                </c:pt>
                <c:pt idx="9">
                  <c:v>1.536628091648017E-3</c:v>
                </c:pt>
                <c:pt idx="10">
                  <c:v>4.4424076584462867E-2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4D-4386-AF17-765944038357}"/>
            </c:ext>
          </c:extLst>
        </c:ser>
        <c:ser>
          <c:idx val="2"/>
          <c:order val="2"/>
          <c:tx>
            <c:v>CASO 3.3 ESQUINA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'D-PCMCR'!$C$8:$C$18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'D-PCMCR'!$H$8:$H$18</c:f>
              <c:numCache>
                <c:formatCode>0.000%</c:formatCode>
                <c:ptCount val="11"/>
                <c:pt idx="0">
                  <c:v>3.3873595550019319E-3</c:v>
                </c:pt>
                <c:pt idx="1">
                  <c:v>2.87607400745975E-3</c:v>
                </c:pt>
                <c:pt idx="2">
                  <c:v>2.87607400745975E-3</c:v>
                </c:pt>
                <c:pt idx="3">
                  <c:v>2.87607400745975E-3</c:v>
                </c:pt>
                <c:pt idx="4">
                  <c:v>2.9617206552435171E-3</c:v>
                </c:pt>
                <c:pt idx="5">
                  <c:v>2.9617206552435171E-3</c:v>
                </c:pt>
                <c:pt idx="6">
                  <c:v>2.9617206552435171E-3</c:v>
                </c:pt>
                <c:pt idx="7">
                  <c:v>2.9617206552435171E-3</c:v>
                </c:pt>
                <c:pt idx="8">
                  <c:v>2.9617206552435171E-3</c:v>
                </c:pt>
                <c:pt idx="9">
                  <c:v>1.731441549104017E-3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4D-4386-AF17-765944038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982448"/>
        <c:axId val="322987936"/>
      </c:lineChart>
      <c:catAx>
        <c:axId val="32298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2987936"/>
        <c:crosses val="autoZero"/>
        <c:auto val="1"/>
        <c:lblAlgn val="ctr"/>
        <c:lblOffset val="100"/>
        <c:noMultiLvlLbl val="0"/>
      </c:catAx>
      <c:valAx>
        <c:axId val="32298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2982448"/>
        <c:crosses val="autoZero"/>
        <c:crossBetween val="between"/>
        <c:majorUnit val="5.000000000000001E-3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b="1"/>
              <a:t>PERIDIO</a:t>
            </a:r>
            <a:r>
              <a:rPr lang="es-HN" b="1" baseline="0"/>
              <a:t> DINAMICO (Y)</a:t>
            </a:r>
            <a:endParaRPr lang="es-HN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CASO 3.1 DENTRO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'D-PCMCR'!$B$6</c:f>
              <c:strCache>
                <c:ptCount val="1"/>
                <c:pt idx="0">
                  <c:v>PERIODO DINAMICO</c:v>
                </c:pt>
              </c:strCache>
            </c:strRef>
          </c:cat>
          <c:val>
            <c:numRef>
              <c:f>'D-PCMCR'!$E$6</c:f>
              <c:numCache>
                <c:formatCode>0.000%</c:formatCode>
                <c:ptCount val="1"/>
                <c:pt idx="0">
                  <c:v>-3.7476318640467264E-2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FB-4DAD-A690-0A9490EC4B31}"/>
            </c:ext>
          </c:extLst>
        </c:ser>
        <c:ser>
          <c:idx val="1"/>
          <c:order val="1"/>
          <c:tx>
            <c:v>CASO 3.2 LATERAL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'D-PCMCR'!$B$6</c:f>
              <c:strCache>
                <c:ptCount val="1"/>
                <c:pt idx="0">
                  <c:v>PERIODO DINAMICO</c:v>
                </c:pt>
              </c:strCache>
            </c:strRef>
          </c:cat>
          <c:val>
            <c:numRef>
              <c:f>'D-PCMCR'!$G$6</c:f>
              <c:numCache>
                <c:formatCode>0.000%</c:formatCode>
                <c:ptCount val="1"/>
                <c:pt idx="0">
                  <c:v>-1.7676528112434288E-2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FB-4DAD-A690-0A9490EC4B31}"/>
            </c:ext>
          </c:extLst>
        </c:ser>
        <c:ser>
          <c:idx val="2"/>
          <c:order val="2"/>
          <c:tx>
            <c:v>CASO 3.3 ESQUINA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'D-PCMCR'!$B$6</c:f>
              <c:strCache>
                <c:ptCount val="1"/>
                <c:pt idx="0">
                  <c:v>PERIODO DINAMICO</c:v>
                </c:pt>
              </c:strCache>
            </c:strRef>
          </c:cat>
          <c:val>
            <c:numRef>
              <c:f>'D-PCMCR'!$I$6</c:f>
              <c:numCache>
                <c:formatCode>0.000%</c:formatCode>
                <c:ptCount val="1"/>
                <c:pt idx="0">
                  <c:v>-1.8107325103033544E-2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FB-4DAD-A690-0A9490EC4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2982056"/>
        <c:axId val="322984016"/>
      </c:barChart>
      <c:catAx>
        <c:axId val="322982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2984016"/>
        <c:crosses val="autoZero"/>
        <c:auto val="1"/>
        <c:lblAlgn val="ctr"/>
        <c:lblOffset val="100"/>
        <c:noMultiLvlLbl val="0"/>
      </c:catAx>
      <c:valAx>
        <c:axId val="32298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layout>
            <c:manualLayout>
              <c:xMode val="edge"/>
              <c:yMode val="edge"/>
              <c:x val="5.9537212442515607E-2"/>
              <c:y val="0.262238273478813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2982056"/>
        <c:crosses val="autoZero"/>
        <c:crossBetween val="between"/>
        <c:majorUnit val="2.0000000000000005E-3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CENTRO</a:t>
            </a:r>
            <a:r>
              <a:rPr lang="es-HN" sz="1400" baseline="0"/>
              <a:t> DE RIGIDEZ (X)</a:t>
            </a:r>
            <a:endParaRPr lang="es-HN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DENTRO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'D-PCMCR'!$C$19:$C$29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'D-PCMCR'!$D$19:$D$29</c:f>
              <c:numCache>
                <c:formatCode>0.000%</c:formatCode>
                <c:ptCount val="11"/>
                <c:pt idx="0">
                  <c:v>7.3096482496527088E-2</c:v>
                </c:pt>
                <c:pt idx="1">
                  <c:v>9.8265343874350541E-2</c:v>
                </c:pt>
                <c:pt idx="2">
                  <c:v>0.10782772027362166</c:v>
                </c:pt>
                <c:pt idx="3">
                  <c:v>0.11136656691801941</c:v>
                </c:pt>
                <c:pt idx="4">
                  <c:v>0.11230505401216093</c:v>
                </c:pt>
                <c:pt idx="5">
                  <c:v>0.11173822065732902</c:v>
                </c:pt>
                <c:pt idx="6">
                  <c:v>0.11013627682118246</c:v>
                </c:pt>
                <c:pt idx="7">
                  <c:v>0.10774781058618803</c:v>
                </c:pt>
                <c:pt idx="8">
                  <c:v>0.10473396813476907</c:v>
                </c:pt>
                <c:pt idx="9">
                  <c:v>0.10222359579820331</c:v>
                </c:pt>
                <c:pt idx="10">
                  <c:v>2.108310737166565E-2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AA-44B3-8B4D-18F7C19434F9}"/>
            </c:ext>
          </c:extLst>
        </c:ser>
        <c:ser>
          <c:idx val="1"/>
          <c:order val="1"/>
          <c:tx>
            <c:v>CASO 3.2 LATERAL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'D-PCMCR'!$C$19:$C$29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'D-PCMCR'!$F$19:$F$29</c:f>
              <c:numCache>
                <c:formatCode>0.000%</c:formatCode>
                <c:ptCount val="11"/>
                <c:pt idx="0">
                  <c:v>0.12406206054083131</c:v>
                </c:pt>
                <c:pt idx="1">
                  <c:v>0.13673328663132259</c:v>
                </c:pt>
                <c:pt idx="2">
                  <c:v>0.1367819411314585</c:v>
                </c:pt>
                <c:pt idx="3">
                  <c:v>0.13289377777088587</c:v>
                </c:pt>
                <c:pt idx="4">
                  <c:v>0.12724186789803613</c:v>
                </c:pt>
                <c:pt idx="5">
                  <c:v>0.12077483373066242</c:v>
                </c:pt>
                <c:pt idx="6">
                  <c:v>0.11426704768966124</c:v>
                </c:pt>
                <c:pt idx="7">
                  <c:v>0.10755248541589092</c:v>
                </c:pt>
                <c:pt idx="8">
                  <c:v>0.1002489839598525</c:v>
                </c:pt>
                <c:pt idx="9">
                  <c:v>9.3009727393707262E-2</c:v>
                </c:pt>
                <c:pt idx="10">
                  <c:v>1.6899678342863156E-2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AA-44B3-8B4D-18F7C19434F9}"/>
            </c:ext>
          </c:extLst>
        </c:ser>
        <c:ser>
          <c:idx val="2"/>
          <c:order val="2"/>
          <c:tx>
            <c:v>CASO 3.3 ESQUINA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'D-PCMCR'!$C$19:$C$29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'D-PCMCR'!$H$19:$H$29</c:f>
              <c:numCache>
                <c:formatCode>0.000%</c:formatCode>
                <c:ptCount val="11"/>
                <c:pt idx="0">
                  <c:v>0.12032794862895289</c:v>
                </c:pt>
                <c:pt idx="1">
                  <c:v>0.13474472272141239</c:v>
                </c:pt>
                <c:pt idx="2">
                  <c:v>0.13477142130166736</c:v>
                </c:pt>
                <c:pt idx="3">
                  <c:v>0.13001620972850705</c:v>
                </c:pt>
                <c:pt idx="4">
                  <c:v>0.1227826078515255</c:v>
                </c:pt>
                <c:pt idx="5">
                  <c:v>0.11436535536824181</c:v>
                </c:pt>
                <c:pt idx="6">
                  <c:v>0.1056101196298742</c:v>
                </c:pt>
                <c:pt idx="7">
                  <c:v>9.645303528957852E-2</c:v>
                </c:pt>
                <c:pt idx="8">
                  <c:v>8.667631626162782E-2</c:v>
                </c:pt>
                <c:pt idx="9">
                  <c:v>7.7107235615204772E-2</c:v>
                </c:pt>
                <c:pt idx="10">
                  <c:v>1.4439608545131157E-2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AA-44B3-8B4D-18F7C1943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484584"/>
        <c:axId val="324484976"/>
      </c:lineChart>
      <c:catAx>
        <c:axId val="324484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4484976"/>
        <c:crosses val="autoZero"/>
        <c:auto val="1"/>
        <c:lblAlgn val="ctr"/>
        <c:lblOffset val="100"/>
        <c:noMultiLvlLbl val="0"/>
      </c:catAx>
      <c:valAx>
        <c:axId val="324484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4484584"/>
        <c:crosses val="autoZero"/>
        <c:crossBetween val="between"/>
        <c:majorUnit val="2.0000000000000004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CENTRO</a:t>
            </a:r>
            <a:r>
              <a:rPr lang="es-HN" sz="1400" baseline="0"/>
              <a:t> DE MASAS (Y)</a:t>
            </a:r>
            <a:endParaRPr lang="es-HN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DENTRO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'D-PCMCR'!$C$8:$C$18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'D-PCMCR'!$E$8:$E$18</c:f>
              <c:numCache>
                <c:formatCode>0.000%</c:formatCode>
                <c:ptCount val="11"/>
                <c:pt idx="0">
                  <c:v>-1.0113666198179742E-4</c:v>
                </c:pt>
                <c:pt idx="1">
                  <c:v>-1.2857172271461844E-4</c:v>
                </c:pt>
                <c:pt idx="2">
                  <c:v>-1.2857172271461844E-4</c:v>
                </c:pt>
                <c:pt idx="3">
                  <c:v>-1.2857172271461844E-4</c:v>
                </c:pt>
                <c:pt idx="4">
                  <c:v>-1.2857172271461844E-4</c:v>
                </c:pt>
                <c:pt idx="5">
                  <c:v>-1.2857172271461844E-4</c:v>
                </c:pt>
                <c:pt idx="6">
                  <c:v>-1.2857172271461844E-4</c:v>
                </c:pt>
                <c:pt idx="7">
                  <c:v>-1.2857172271461844E-4</c:v>
                </c:pt>
                <c:pt idx="8">
                  <c:v>-1.2857172271461844E-4</c:v>
                </c:pt>
                <c:pt idx="9">
                  <c:v>-7.5546393323529736E-5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7C-43F8-9184-A652593F3B81}"/>
            </c:ext>
          </c:extLst>
        </c:ser>
        <c:ser>
          <c:idx val="1"/>
          <c:order val="1"/>
          <c:tx>
            <c:v>CASO 3.2 LATERAL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'D-PCMCR'!$C$8:$C$18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'D-PCMCR'!$G$8:$G$18</c:f>
              <c:numCache>
                <c:formatCode>0.000%</c:formatCode>
                <c:ptCount val="11"/>
                <c:pt idx="0">
                  <c:v>-4.8119943001777136E-4</c:v>
                </c:pt>
                <c:pt idx="1">
                  <c:v>-3.8260946418536409E-4</c:v>
                </c:pt>
                <c:pt idx="2">
                  <c:v>-3.8260946418536409E-4</c:v>
                </c:pt>
                <c:pt idx="3">
                  <c:v>-3.8260946418536409E-4</c:v>
                </c:pt>
                <c:pt idx="4">
                  <c:v>-3.8987720755020354E-4</c:v>
                </c:pt>
                <c:pt idx="5">
                  <c:v>-3.8987720755020354E-4</c:v>
                </c:pt>
                <c:pt idx="6">
                  <c:v>-3.8987720755020354E-4</c:v>
                </c:pt>
                <c:pt idx="7">
                  <c:v>-3.8987720755020354E-4</c:v>
                </c:pt>
                <c:pt idx="8">
                  <c:v>-3.8987720755020354E-4</c:v>
                </c:pt>
                <c:pt idx="9">
                  <c:v>-3.1358730169255922E-4</c:v>
                </c:pt>
                <c:pt idx="10">
                  <c:v>0.10519910729718344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7C-43F8-9184-A652593F3B81}"/>
            </c:ext>
          </c:extLst>
        </c:ser>
        <c:ser>
          <c:idx val="2"/>
          <c:order val="2"/>
          <c:tx>
            <c:v>CASO 3.3 ESQUINA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'D-PCMCR'!$C$8:$C$18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'D-PCMCR'!$I$8:$I$18</c:f>
              <c:numCache>
                <c:formatCode>0.000%</c:formatCode>
                <c:ptCount val="11"/>
                <c:pt idx="0">
                  <c:v>-2.5710562770478525E-3</c:v>
                </c:pt>
                <c:pt idx="1">
                  <c:v>-2.1957446520933944E-3</c:v>
                </c:pt>
                <c:pt idx="2">
                  <c:v>-2.1957446520933944E-3</c:v>
                </c:pt>
                <c:pt idx="3">
                  <c:v>-2.1957446520933944E-3</c:v>
                </c:pt>
                <c:pt idx="4">
                  <c:v>-2.2233017585308549E-3</c:v>
                </c:pt>
                <c:pt idx="5">
                  <c:v>-2.2233017585308549E-3</c:v>
                </c:pt>
                <c:pt idx="6">
                  <c:v>-2.2233017585308549E-3</c:v>
                </c:pt>
                <c:pt idx="7">
                  <c:v>-2.2233017585308549E-3</c:v>
                </c:pt>
                <c:pt idx="8">
                  <c:v>-2.2233017585308549E-3</c:v>
                </c:pt>
                <c:pt idx="9">
                  <c:v>-1.4499297979637654E-3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7C-43F8-9184-A652593F3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486936"/>
        <c:axId val="324487720"/>
      </c:lineChart>
      <c:catAx>
        <c:axId val="324486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4487720"/>
        <c:crosses val="autoZero"/>
        <c:auto val="1"/>
        <c:lblAlgn val="ctr"/>
        <c:lblOffset val="100"/>
        <c:noMultiLvlLbl val="0"/>
      </c:catAx>
      <c:valAx>
        <c:axId val="324487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4486936"/>
        <c:crosses val="autoZero"/>
        <c:crossBetween val="between"/>
        <c:majorUnit val="2.0000000000000004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CENTRO</a:t>
            </a:r>
            <a:r>
              <a:rPr lang="es-HN" sz="1400" baseline="0"/>
              <a:t> DE RIGIDEZ (Y)</a:t>
            </a:r>
            <a:endParaRPr lang="es-HN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DENTRO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'D-PCMCR'!$C$19:$C$29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'D-PCMCR'!$E$19:$E$29</c:f>
              <c:numCache>
                <c:formatCode>0.000%</c:formatCode>
                <c:ptCount val="11"/>
                <c:pt idx="0">
                  <c:v>-7.7736176293787696E-3</c:v>
                </c:pt>
                <c:pt idx="1">
                  <c:v>-7.0060384967174068E-3</c:v>
                </c:pt>
                <c:pt idx="2">
                  <c:v>-6.9354282817937285E-3</c:v>
                </c:pt>
                <c:pt idx="3">
                  <c:v>-7.0541259622265828E-3</c:v>
                </c:pt>
                <c:pt idx="4">
                  <c:v>-7.1671221329950279E-3</c:v>
                </c:pt>
                <c:pt idx="5">
                  <c:v>-7.2433908766164345E-3</c:v>
                </c:pt>
                <c:pt idx="6">
                  <c:v>-7.2870434291581578E-3</c:v>
                </c:pt>
                <c:pt idx="7">
                  <c:v>-7.316604563530258E-3</c:v>
                </c:pt>
                <c:pt idx="8">
                  <c:v>-7.3757708280813173E-3</c:v>
                </c:pt>
                <c:pt idx="9">
                  <c:v>-7.4404339564453645E-3</c:v>
                </c:pt>
                <c:pt idx="10">
                  <c:v>-5.760709308973073E-3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D6-4CB0-AA7E-A1963FEC7CCC}"/>
            </c:ext>
          </c:extLst>
        </c:ser>
        <c:ser>
          <c:idx val="1"/>
          <c:order val="1"/>
          <c:tx>
            <c:v>CASO 3.2 LATERAL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'D-PCMCR'!$C$19:$C$29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'D-PCMCR'!$G$19:$G$29</c:f>
              <c:numCache>
                <c:formatCode>0.000%</c:formatCode>
                <c:ptCount val="11"/>
                <c:pt idx="0">
                  <c:v>-1.0661130778547651E-2</c:v>
                </c:pt>
                <c:pt idx="1">
                  <c:v>-2.1105225282149604E-2</c:v>
                </c:pt>
                <c:pt idx="2">
                  <c:v>-2.4760531842628504E-2</c:v>
                </c:pt>
                <c:pt idx="3">
                  <c:v>-2.5741407719288154E-2</c:v>
                </c:pt>
                <c:pt idx="4">
                  <c:v>-2.5416002962447427E-2</c:v>
                </c:pt>
                <c:pt idx="5">
                  <c:v>-2.4663699921438617E-2</c:v>
                </c:pt>
                <c:pt idx="6">
                  <c:v>-2.3610348791955695E-2</c:v>
                </c:pt>
                <c:pt idx="7">
                  <c:v>-2.2258008939567812E-2</c:v>
                </c:pt>
                <c:pt idx="8">
                  <c:v>-2.0647260410625843E-2</c:v>
                </c:pt>
                <c:pt idx="9">
                  <c:v>-1.9384235337784772E-2</c:v>
                </c:pt>
                <c:pt idx="10">
                  <c:v>-8.4833590457150804E-3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D6-4CB0-AA7E-A1963FEC7CCC}"/>
            </c:ext>
          </c:extLst>
        </c:ser>
        <c:ser>
          <c:idx val="2"/>
          <c:order val="2"/>
          <c:tx>
            <c:v>CASO 3.3 ESQUINA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'D-PCMCR'!$C$19:$C$29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'D-PCMCR'!$I$19:$I$29</c:f>
              <c:numCache>
                <c:formatCode>0.000%</c:formatCode>
                <c:ptCount val="11"/>
                <c:pt idx="0">
                  <c:v>-7.7885460373489493E-2</c:v>
                </c:pt>
                <c:pt idx="1">
                  <c:v>-0.104848708993309</c:v>
                </c:pt>
                <c:pt idx="2">
                  <c:v>-0.11103656786345451</c:v>
                </c:pt>
                <c:pt idx="3">
                  <c:v>-0.10904167444667173</c:v>
                </c:pt>
                <c:pt idx="4">
                  <c:v>-0.10356171672096523</c:v>
                </c:pt>
                <c:pt idx="5">
                  <c:v>-9.7122764540686898E-2</c:v>
                </c:pt>
                <c:pt idx="6">
                  <c:v>-8.9753848903135661E-2</c:v>
                </c:pt>
                <c:pt idx="7">
                  <c:v>-8.1492885962450454E-2</c:v>
                </c:pt>
                <c:pt idx="8">
                  <c:v>-7.2344937988381555E-2</c:v>
                </c:pt>
                <c:pt idx="9">
                  <c:v>-6.3875552664567389E-2</c:v>
                </c:pt>
                <c:pt idx="10">
                  <c:v>-7.2078228759276455E-2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D6-4CB0-AA7E-A1963FEC7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481448"/>
        <c:axId val="324482232"/>
      </c:lineChart>
      <c:catAx>
        <c:axId val="324481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4482232"/>
        <c:crosses val="autoZero"/>
        <c:auto val="1"/>
        <c:lblAlgn val="ctr"/>
        <c:lblOffset val="100"/>
        <c:noMultiLvlLbl val="0"/>
      </c:catAx>
      <c:valAx>
        <c:axId val="324482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4481448"/>
        <c:crosses val="autoZero"/>
        <c:crossBetween val="between"/>
        <c:majorUnit val="2.0000000000000004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CM POR UBICACION DE MODULO DE GRADAS 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3.1 - 3.2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'D-PCMCR'!$C$8:$C$18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'D-PCMCR'!$J$8:$J$18</c:f>
              <c:numCache>
                <c:formatCode>0.000%</c:formatCode>
                <c:ptCount val="11"/>
                <c:pt idx="0">
                  <c:v>-8.8401490706809277E-2</c:v>
                </c:pt>
                <c:pt idx="1">
                  <c:v>-8.6616549548447594E-2</c:v>
                </c:pt>
                <c:pt idx="2">
                  <c:v>-8.6616549548447594E-2</c:v>
                </c:pt>
                <c:pt idx="3">
                  <c:v>-8.6616549548447594E-2</c:v>
                </c:pt>
                <c:pt idx="4">
                  <c:v>-7.6241132192792521E-2</c:v>
                </c:pt>
                <c:pt idx="5">
                  <c:v>-7.6241132192792521E-2</c:v>
                </c:pt>
                <c:pt idx="6">
                  <c:v>-7.6241132192792521E-2</c:v>
                </c:pt>
                <c:pt idx="7">
                  <c:v>-7.6241132192792521E-2</c:v>
                </c:pt>
                <c:pt idx="8">
                  <c:v>-7.6241132192792521E-2</c:v>
                </c:pt>
                <c:pt idx="9">
                  <c:v>-7.8807064381289801E-2</c:v>
                </c:pt>
                <c:pt idx="10">
                  <c:v>-0.307729974630712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57-4907-9AD9-BA9BB0B81A8E}"/>
            </c:ext>
          </c:extLst>
        </c:ser>
        <c:ser>
          <c:idx val="1"/>
          <c:order val="1"/>
          <c:tx>
            <c:v>CASO 3.1 - 3.3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'D-PCMCR'!$C$8:$C$18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'D-PCMCR'!$L$8:$L$18</c:f>
              <c:numCache>
                <c:formatCode>0.000%</c:formatCode>
                <c:ptCount val="11"/>
                <c:pt idx="0">
                  <c:v>-8.856004045075859E-2</c:v>
                </c:pt>
                <c:pt idx="1">
                  <c:v>-8.6339912425652629E-2</c:v>
                </c:pt>
                <c:pt idx="2">
                  <c:v>-8.6339912425652629E-2</c:v>
                </c:pt>
                <c:pt idx="3">
                  <c:v>-8.6339912425652629E-2</c:v>
                </c:pt>
                <c:pt idx="4">
                  <c:v>-7.5958019996414508E-2</c:v>
                </c:pt>
                <c:pt idx="5">
                  <c:v>-7.5958019996414508E-2</c:v>
                </c:pt>
                <c:pt idx="6">
                  <c:v>-7.5958019996414508E-2</c:v>
                </c:pt>
                <c:pt idx="7">
                  <c:v>-7.5958019996414508E-2</c:v>
                </c:pt>
                <c:pt idx="8">
                  <c:v>-7.5958019996414508E-2</c:v>
                </c:pt>
                <c:pt idx="9">
                  <c:v>-7.8462453020338357E-2</c:v>
                </c:pt>
                <c:pt idx="10">
                  <c:v>-0.307729974630712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57-4907-9AD9-BA9BB0B81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486544"/>
        <c:axId val="324485368"/>
      </c:lineChart>
      <c:catAx>
        <c:axId val="32448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4485368"/>
        <c:crosses val="autoZero"/>
        <c:auto val="1"/>
        <c:lblAlgn val="ctr"/>
        <c:lblOffset val="100"/>
        <c:noMultiLvlLbl val="0"/>
      </c:catAx>
      <c:valAx>
        <c:axId val="3244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4486544"/>
        <c:crosses val="autoZero"/>
        <c:crossBetween val="between"/>
        <c:majorUnit val="2.0000000000000004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CM POR UBICACION DE MODULO DE GRADAS (Y)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3.1 - 3.2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'D-PCMCR'!$C$8:$C$18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'D-PCMCR'!$K$8:$K$18</c:f>
              <c:numCache>
                <c:formatCode>0.000%</c:formatCode>
                <c:ptCount val="11"/>
                <c:pt idx="0">
                  <c:v>1.6206158015769048E-2</c:v>
                </c:pt>
                <c:pt idx="1">
                  <c:v>1.5893753754965396E-2</c:v>
                </c:pt>
                <c:pt idx="2">
                  <c:v>1.5893753754965396E-2</c:v>
                </c:pt>
                <c:pt idx="3">
                  <c:v>1.5893753754965396E-2</c:v>
                </c:pt>
                <c:pt idx="4">
                  <c:v>1.44455154935304E-2</c:v>
                </c:pt>
                <c:pt idx="5">
                  <c:v>1.44455154935304E-2</c:v>
                </c:pt>
                <c:pt idx="6">
                  <c:v>1.44455154935304E-2</c:v>
                </c:pt>
                <c:pt idx="7">
                  <c:v>1.44455154935304E-2</c:v>
                </c:pt>
                <c:pt idx="8">
                  <c:v>1.44455154935304E-2</c:v>
                </c:pt>
                <c:pt idx="9">
                  <c:v>1.1558390457921397E-2</c:v>
                </c:pt>
                <c:pt idx="10">
                  <c:v>-7.7927105000513919E-2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A2-4D46-915A-A07460BFA020}"/>
            </c:ext>
          </c:extLst>
        </c:ser>
        <c:ser>
          <c:idx val="1"/>
          <c:order val="1"/>
          <c:tx>
            <c:v>CASO 3.1 - 3.3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'D-PCMCR'!$C$8:$C$18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'D-PCMCR'!$M$8:$M$18</c:f>
              <c:numCache>
                <c:formatCode>0.000%</c:formatCode>
                <c:ptCount val="11"/>
                <c:pt idx="0">
                  <c:v>9.1334673871843325E-2</c:v>
                </c:pt>
                <c:pt idx="1">
                  <c:v>8.791013388093849E-2</c:v>
                </c:pt>
                <c:pt idx="2">
                  <c:v>8.791013388093849E-2</c:v>
                </c:pt>
                <c:pt idx="3">
                  <c:v>8.791013388093849E-2</c:v>
                </c:pt>
                <c:pt idx="4">
                  <c:v>8.0751602742641704E-2</c:v>
                </c:pt>
                <c:pt idx="5">
                  <c:v>8.0751602742641704E-2</c:v>
                </c:pt>
                <c:pt idx="6">
                  <c:v>8.0751602742641704E-2</c:v>
                </c:pt>
                <c:pt idx="7">
                  <c:v>8.0751602742641704E-2</c:v>
                </c:pt>
                <c:pt idx="8">
                  <c:v>8.0751602742641704E-2</c:v>
                </c:pt>
                <c:pt idx="9">
                  <c:v>8.7457576044987537E-2</c:v>
                </c:pt>
                <c:pt idx="10">
                  <c:v>0.6605540892801095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A2-4D46-915A-A07460BFA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488112"/>
        <c:axId val="324488504"/>
      </c:lineChart>
      <c:catAx>
        <c:axId val="32448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4488504"/>
        <c:crosses val="autoZero"/>
        <c:auto val="1"/>
        <c:lblAlgn val="ctr"/>
        <c:lblOffset val="100"/>
        <c:noMultiLvlLbl val="0"/>
      </c:catAx>
      <c:valAx>
        <c:axId val="324488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4488112"/>
        <c:crosses val="autoZero"/>
        <c:crossBetween val="between"/>
        <c:majorUnit val="5.000000000000001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CR POR UBICACION DE MODULO DE GRADAS 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3.1 - 3.2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'D-PCMCR'!$C$19:$C$29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'D-PCMCR'!$J$19:$J$29</c:f>
              <c:numCache>
                <c:formatCode>0.000%</c:formatCode>
                <c:ptCount val="11"/>
                <c:pt idx="0">
                  <c:v>-0.10486018433601935</c:v>
                </c:pt>
                <c:pt idx="1">
                  <c:v>-9.0241504138924317E-2</c:v>
                </c:pt>
                <c:pt idx="2">
                  <c:v>-7.9719401866410106E-2</c:v>
                </c:pt>
                <c:pt idx="3">
                  <c:v>-7.0550083782069617E-2</c:v>
                </c:pt>
                <c:pt idx="4">
                  <c:v>-6.1372361605919037E-2</c:v>
                </c:pt>
                <c:pt idx="5">
                  <c:v>-5.2083570664413173E-2</c:v>
                </c:pt>
                <c:pt idx="6">
                  <c:v>-4.3385524372178325E-2</c:v>
                </c:pt>
                <c:pt idx="7">
                  <c:v>-3.4906297423836365E-2</c:v>
                </c:pt>
                <c:pt idx="8">
                  <c:v>-2.6131447971847962E-2</c:v>
                </c:pt>
                <c:pt idx="9">
                  <c:v>-1.7343272500349619E-2</c:v>
                </c:pt>
                <c:pt idx="10">
                  <c:v>-0.2095981766809232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14-4584-9C29-4ABD7EECD83F}"/>
            </c:ext>
          </c:extLst>
        </c:ser>
        <c:ser>
          <c:idx val="1"/>
          <c:order val="1"/>
          <c:tx>
            <c:v>CASO 3.1 - 3.3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'D-PCMCR'!$C$19:$C$29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'D-PCMCR'!$L$19:$L$29</c:f>
              <c:numCache>
                <c:formatCode>0.000%</c:formatCode>
                <c:ptCount val="11"/>
                <c:pt idx="0">
                  <c:v>-0.10148884065191532</c:v>
                </c:pt>
                <c:pt idx="1">
                  <c:v>-8.8106535960846319E-2</c:v>
                </c:pt>
                <c:pt idx="2">
                  <c:v>-7.5415885634789029E-2</c:v>
                </c:pt>
                <c:pt idx="3">
                  <c:v>-6.2605701361493835E-2</c:v>
                </c:pt>
                <c:pt idx="4">
                  <c:v>-4.8805768915736465E-2</c:v>
                </c:pt>
                <c:pt idx="5">
                  <c:v>-3.4358512095038152E-2</c:v>
                </c:pt>
                <c:pt idx="6">
                  <c:v>-2.0018451921553868E-2</c:v>
                </c:pt>
                <c:pt idx="7">
                  <c:v>-5.4736567534188121E-3</c:v>
                </c:pt>
                <c:pt idx="8">
                  <c:v>9.6546107324246323E-3</c:v>
                </c:pt>
                <c:pt idx="9">
                  <c:v>2.4827986122955809E-2</c:v>
                </c:pt>
                <c:pt idx="10">
                  <c:v>-0.21046000814014904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14-4584-9C29-4ABD7EECD8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694936"/>
        <c:axId val="324694152"/>
      </c:lineChart>
      <c:catAx>
        <c:axId val="324694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4694152"/>
        <c:crosses val="autoZero"/>
        <c:auto val="1"/>
        <c:lblAlgn val="ctr"/>
        <c:lblOffset val="100"/>
        <c:noMultiLvlLbl val="0"/>
      </c:catAx>
      <c:valAx>
        <c:axId val="324694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4694936"/>
        <c:crosses val="autoZero"/>
        <c:crossBetween val="between"/>
        <c:majorUnit val="2.0000000000000004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HN" sz="1400"/>
              <a:t>COMPARATIVA DE CR POR UBICACION DE MODULO DE GRADAS (Y)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H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CASO 3.1 - 3.2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'D-PCMCR'!$C$19:$C$29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'D-PCMCR'!$K$19:$K$29</c:f>
              <c:numCache>
                <c:formatCode>0.000%</c:formatCode>
                <c:ptCount val="11"/>
                <c:pt idx="0">
                  <c:v>2.4429178695622722E-2</c:v>
                </c:pt>
                <c:pt idx="1">
                  <c:v>3.9724290703188059E-2</c:v>
                </c:pt>
                <c:pt idx="2">
                  <c:v>4.4552050117574953E-2</c:v>
                </c:pt>
                <c:pt idx="3">
                  <c:v>4.5387462715392242E-2</c:v>
                </c:pt>
                <c:pt idx="4">
                  <c:v>4.4272127981416415E-2</c:v>
                </c:pt>
                <c:pt idx="5">
                  <c:v>4.2147146072560787E-2</c:v>
                </c:pt>
                <c:pt idx="6">
                  <c:v>3.9737523435595938E-2</c:v>
                </c:pt>
                <c:pt idx="7">
                  <c:v>3.7053492234897546E-2</c:v>
                </c:pt>
                <c:pt idx="8">
                  <c:v>3.4060323102415552E-2</c:v>
                </c:pt>
                <c:pt idx="9">
                  <c:v>3.157819827619656E-2</c:v>
                </c:pt>
                <c:pt idx="10">
                  <c:v>-4.8487257643251664E-3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A4-4122-9395-137E78032AE1}"/>
            </c:ext>
          </c:extLst>
        </c:ser>
        <c:ser>
          <c:idx val="1"/>
          <c:order val="1"/>
          <c:tx>
            <c:v>CASO 3.1 - 3.3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'D-PCMCR'!$C$19:$C$29</c:f>
              <c:strCache>
                <c:ptCount val="11"/>
                <c:pt idx="0">
                  <c:v>STORY 1</c:v>
                </c:pt>
                <c:pt idx="1">
                  <c:v>STORY 2</c:v>
                </c:pt>
                <c:pt idx="2">
                  <c:v>STORY 3</c:v>
                </c:pt>
                <c:pt idx="3">
                  <c:v>STORY 4</c:v>
                </c:pt>
                <c:pt idx="4">
                  <c:v>STORY 5</c:v>
                </c:pt>
                <c:pt idx="5">
                  <c:v>STORY 6</c:v>
                </c:pt>
                <c:pt idx="6">
                  <c:v>STORY 7</c:v>
                </c:pt>
                <c:pt idx="7">
                  <c:v>STORY 8</c:v>
                </c:pt>
                <c:pt idx="8">
                  <c:v>STORY 9</c:v>
                </c:pt>
                <c:pt idx="9">
                  <c:v>STORY 10</c:v>
                </c:pt>
                <c:pt idx="10">
                  <c:v>STORY 11</c:v>
                </c:pt>
              </c:strCache>
            </c:strRef>
          </c:cat>
          <c:val>
            <c:numRef>
              <c:f>'D-PCMCR'!$M$19:$M$29</c:f>
              <c:numCache>
                <c:formatCode>0.000%</c:formatCode>
                <c:ptCount val="11"/>
                <c:pt idx="0">
                  <c:v>0.15219872682283672</c:v>
                </c:pt>
                <c:pt idx="1">
                  <c:v>0.19408948389053857</c:v>
                </c:pt>
                <c:pt idx="2">
                  <c:v>0.20543359427338062</c:v>
                </c:pt>
                <c:pt idx="3">
                  <c:v>0.20524921068802182</c:v>
                </c:pt>
                <c:pt idx="4">
                  <c:v>0.19954580804343175</c:v>
                </c:pt>
                <c:pt idx="5">
                  <c:v>0.19071455985014668</c:v>
                </c:pt>
                <c:pt idx="6">
                  <c:v>0.18124969139720529</c:v>
                </c:pt>
                <c:pt idx="7">
                  <c:v>0.17123837389286609</c:v>
                </c:pt>
                <c:pt idx="8">
                  <c:v>0.16052000131201166</c:v>
                </c:pt>
                <c:pt idx="9">
                  <c:v>0.15077884104538924</c:v>
                </c:pt>
                <c:pt idx="10">
                  <c:v>0.65355131913877385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A4-4122-9395-137E78032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699640"/>
        <c:axId val="324701208"/>
      </c:lineChart>
      <c:catAx>
        <c:axId val="324699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4701208"/>
        <c:crosses val="autoZero"/>
        <c:auto val="1"/>
        <c:lblAlgn val="ctr"/>
        <c:lblOffset val="100"/>
        <c:noMultiLvlLbl val="0"/>
      </c:catAx>
      <c:valAx>
        <c:axId val="32470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HN" sz="1800"/>
                  <a:t>VARIACION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HN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  <c:crossAx val="324699640"/>
        <c:crosses val="autoZero"/>
        <c:crossBetween val="between"/>
        <c:majorUnit val="5.000000000000001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H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50000"/>
      </a:schemeClr>
    </a:solidFill>
    <a:ln>
      <a:noFill/>
    </a:ln>
    <a:effectLst/>
  </c:spPr>
  <c:txPr>
    <a:bodyPr/>
    <a:lstStyle/>
    <a:p>
      <a:pPr>
        <a:defRPr sz="1100"/>
      </a:pPr>
      <a:endParaRPr lang="es-H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bmp"/><Relationship Id="rId7" Type="http://schemas.openxmlformats.org/officeDocument/2006/relationships/image" Target="../media/image7.bmp"/><Relationship Id="rId2" Type="http://schemas.openxmlformats.org/officeDocument/2006/relationships/image" Target="../media/image2.bmp"/><Relationship Id="rId1" Type="http://schemas.openxmlformats.org/officeDocument/2006/relationships/image" Target="../media/image1.bmp"/><Relationship Id="rId6" Type="http://schemas.openxmlformats.org/officeDocument/2006/relationships/image" Target="../media/image6.bmp"/><Relationship Id="rId5" Type="http://schemas.openxmlformats.org/officeDocument/2006/relationships/image" Target="../media/image5.bmp"/><Relationship Id="rId4" Type="http://schemas.openxmlformats.org/officeDocument/2006/relationships/image" Target="../media/image4.b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591786</xdr:colOff>
      <xdr:row>2</xdr:row>
      <xdr:rowOff>167129</xdr:rowOff>
    </xdr:from>
    <xdr:to>
      <xdr:col>21</xdr:col>
      <xdr:colOff>0</xdr:colOff>
      <xdr:row>39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591786</xdr:colOff>
      <xdr:row>40</xdr:row>
      <xdr:rowOff>152399</xdr:rowOff>
    </xdr:from>
    <xdr:to>
      <xdr:col>21</xdr:col>
      <xdr:colOff>0</xdr:colOff>
      <xdr:row>77</xdr:row>
      <xdr:rowOff>12980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591786</xdr:colOff>
      <xdr:row>78</xdr:row>
      <xdr:rowOff>0</xdr:rowOff>
    </xdr:from>
    <xdr:to>
      <xdr:col>21</xdr:col>
      <xdr:colOff>0</xdr:colOff>
      <xdr:row>114</xdr:row>
      <xdr:rowOff>68398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591786</xdr:colOff>
      <xdr:row>116</xdr:row>
      <xdr:rowOff>0</xdr:rowOff>
    </xdr:from>
    <xdr:to>
      <xdr:col>21</xdr:col>
      <xdr:colOff>0</xdr:colOff>
      <xdr:row>152</xdr:row>
      <xdr:rowOff>68399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511804</xdr:colOff>
      <xdr:row>52</xdr:row>
      <xdr:rowOff>0</xdr:rowOff>
    </xdr:from>
    <xdr:to>
      <xdr:col>8</xdr:col>
      <xdr:colOff>1407459</xdr:colOff>
      <xdr:row>80</xdr:row>
      <xdr:rowOff>61530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511804</xdr:colOff>
      <xdr:row>82</xdr:row>
      <xdr:rowOff>0</xdr:rowOff>
    </xdr:from>
    <xdr:to>
      <xdr:col>8</xdr:col>
      <xdr:colOff>1407459</xdr:colOff>
      <xdr:row>110</xdr:row>
      <xdr:rowOff>61531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511804</xdr:colOff>
      <xdr:row>111</xdr:row>
      <xdr:rowOff>0</xdr:rowOff>
    </xdr:from>
    <xdr:to>
      <xdr:col>8</xdr:col>
      <xdr:colOff>1407459</xdr:colOff>
      <xdr:row>139</xdr:row>
      <xdr:rowOff>61530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511804</xdr:colOff>
      <xdr:row>141</xdr:row>
      <xdr:rowOff>0</xdr:rowOff>
    </xdr:from>
    <xdr:to>
      <xdr:col>8</xdr:col>
      <xdr:colOff>1407459</xdr:colOff>
      <xdr:row>169</xdr:row>
      <xdr:rowOff>61531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591786</xdr:colOff>
      <xdr:row>2</xdr:row>
      <xdr:rowOff>0</xdr:rowOff>
    </xdr:from>
    <xdr:to>
      <xdr:col>21</xdr:col>
      <xdr:colOff>0</xdr:colOff>
      <xdr:row>38</xdr:row>
      <xdr:rowOff>23371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591786</xdr:colOff>
      <xdr:row>39</xdr:row>
      <xdr:rowOff>175770</xdr:rowOff>
    </xdr:from>
    <xdr:to>
      <xdr:col>21</xdr:col>
      <xdr:colOff>0</xdr:colOff>
      <xdr:row>76</xdr:row>
      <xdr:rowOff>36351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591786</xdr:colOff>
      <xdr:row>77</xdr:row>
      <xdr:rowOff>23371</xdr:rowOff>
    </xdr:from>
    <xdr:to>
      <xdr:col>21</xdr:col>
      <xdr:colOff>0</xdr:colOff>
      <xdr:row>113</xdr:row>
      <xdr:rowOff>91769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591786</xdr:colOff>
      <xdr:row>115</xdr:row>
      <xdr:rowOff>23371</xdr:rowOff>
    </xdr:from>
    <xdr:to>
      <xdr:col>21</xdr:col>
      <xdr:colOff>0</xdr:colOff>
      <xdr:row>151</xdr:row>
      <xdr:rowOff>91770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626104</xdr:colOff>
      <xdr:row>51</xdr:row>
      <xdr:rowOff>23371</xdr:rowOff>
    </xdr:from>
    <xdr:to>
      <xdr:col>8</xdr:col>
      <xdr:colOff>1350309</xdr:colOff>
      <xdr:row>79</xdr:row>
      <xdr:rowOff>84901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626104</xdr:colOff>
      <xdr:row>81</xdr:row>
      <xdr:rowOff>23371</xdr:rowOff>
    </xdr:from>
    <xdr:to>
      <xdr:col>8</xdr:col>
      <xdr:colOff>1350309</xdr:colOff>
      <xdr:row>109</xdr:row>
      <xdr:rowOff>84902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626104</xdr:colOff>
      <xdr:row>110</xdr:row>
      <xdr:rowOff>23371</xdr:rowOff>
    </xdr:from>
    <xdr:to>
      <xdr:col>8</xdr:col>
      <xdr:colOff>1350309</xdr:colOff>
      <xdr:row>138</xdr:row>
      <xdr:rowOff>84901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626104</xdr:colOff>
      <xdr:row>140</xdr:row>
      <xdr:rowOff>23371</xdr:rowOff>
    </xdr:from>
    <xdr:to>
      <xdr:col>8</xdr:col>
      <xdr:colOff>1350309</xdr:colOff>
      <xdr:row>168</xdr:row>
      <xdr:rowOff>84902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377359</xdr:colOff>
      <xdr:row>1</xdr:row>
      <xdr:rowOff>27709</xdr:rowOff>
    </xdr:from>
    <xdr:to>
      <xdr:col>24</xdr:col>
      <xdr:colOff>575282</xdr:colOff>
      <xdr:row>37</xdr:row>
      <xdr:rowOff>51081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425722</xdr:colOff>
      <xdr:row>41</xdr:row>
      <xdr:rowOff>45844</xdr:rowOff>
    </xdr:from>
    <xdr:to>
      <xdr:col>12</xdr:col>
      <xdr:colOff>0</xdr:colOff>
      <xdr:row>69</xdr:row>
      <xdr:rowOff>107374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621227</xdr:colOff>
      <xdr:row>1</xdr:row>
      <xdr:rowOff>0</xdr:rowOff>
    </xdr:from>
    <xdr:to>
      <xdr:col>36</xdr:col>
      <xdr:colOff>19050</xdr:colOff>
      <xdr:row>37</xdr:row>
      <xdr:rowOff>66915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425722</xdr:colOff>
      <xdr:row>71</xdr:row>
      <xdr:rowOff>128971</xdr:rowOff>
    </xdr:from>
    <xdr:to>
      <xdr:col>12</xdr:col>
      <xdr:colOff>0</xdr:colOff>
      <xdr:row>100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635272</xdr:colOff>
      <xdr:row>41</xdr:row>
      <xdr:rowOff>45844</xdr:rowOff>
    </xdr:from>
    <xdr:to>
      <xdr:col>25</xdr:col>
      <xdr:colOff>0</xdr:colOff>
      <xdr:row>69</xdr:row>
      <xdr:rowOff>107374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635272</xdr:colOff>
      <xdr:row>71</xdr:row>
      <xdr:rowOff>128971</xdr:rowOff>
    </xdr:from>
    <xdr:to>
      <xdr:col>25</xdr:col>
      <xdr:colOff>0</xdr:colOff>
      <xdr:row>100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425722</xdr:colOff>
      <xdr:row>102</xdr:row>
      <xdr:rowOff>0</xdr:rowOff>
    </xdr:from>
    <xdr:to>
      <xdr:col>12</xdr:col>
      <xdr:colOff>0</xdr:colOff>
      <xdr:row>130</xdr:row>
      <xdr:rowOff>107374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635272</xdr:colOff>
      <xdr:row>102</xdr:row>
      <xdr:rowOff>0</xdr:rowOff>
    </xdr:from>
    <xdr:to>
      <xdr:col>25</xdr:col>
      <xdr:colOff>0</xdr:colOff>
      <xdr:row>130</xdr:row>
      <xdr:rowOff>107374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425722</xdr:colOff>
      <xdr:row>132</xdr:row>
      <xdr:rowOff>171450</xdr:rowOff>
    </xdr:from>
    <xdr:to>
      <xdr:col>12</xdr:col>
      <xdr:colOff>0</xdr:colOff>
      <xdr:row>161</xdr:row>
      <xdr:rowOff>88324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635272</xdr:colOff>
      <xdr:row>132</xdr:row>
      <xdr:rowOff>171450</xdr:rowOff>
    </xdr:from>
    <xdr:to>
      <xdr:col>25</xdr:col>
      <xdr:colOff>0</xdr:colOff>
      <xdr:row>161</xdr:row>
      <xdr:rowOff>88324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121920</xdr:colOff>
      <xdr:row>39</xdr:row>
      <xdr:rowOff>91440</xdr:rowOff>
    </xdr:from>
    <xdr:to>
      <xdr:col>11</xdr:col>
      <xdr:colOff>91440</xdr:colOff>
      <xdr:row>43</xdr:row>
      <xdr:rowOff>91440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145280" y="6858000"/>
          <a:ext cx="4236720" cy="73152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s-HN" sz="4400" b="1"/>
            <a:t>CASO 2.1</a:t>
          </a:r>
        </a:p>
      </xdr:txBody>
    </xdr:sp>
    <xdr:clientData/>
  </xdr:twoCellAnchor>
  <xdr:twoCellAnchor>
    <xdr:from>
      <xdr:col>20</xdr:col>
      <xdr:colOff>701040</xdr:colOff>
      <xdr:row>38</xdr:row>
      <xdr:rowOff>152400</xdr:rowOff>
    </xdr:from>
    <xdr:to>
      <xdr:col>26</xdr:col>
      <xdr:colOff>182880</xdr:colOff>
      <xdr:row>42</xdr:row>
      <xdr:rowOff>152400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16611600" y="6736080"/>
          <a:ext cx="4236720" cy="73152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s-HN" sz="4400" b="1"/>
            <a:t>CASO 2.2</a:t>
          </a:r>
        </a:p>
      </xdr:txBody>
    </xdr:sp>
    <xdr:clientData/>
  </xdr:twoCellAnchor>
  <xdr:twoCellAnchor>
    <xdr:from>
      <xdr:col>36</xdr:col>
      <xdr:colOff>487680</xdr:colOff>
      <xdr:row>38</xdr:row>
      <xdr:rowOff>121920</xdr:rowOff>
    </xdr:from>
    <xdr:to>
      <xdr:col>41</xdr:col>
      <xdr:colOff>762000</xdr:colOff>
      <xdr:row>42</xdr:row>
      <xdr:rowOff>121920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29077920" y="6705600"/>
          <a:ext cx="4236720" cy="731520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s-HN" sz="4400" b="1"/>
            <a:t>CASO 2.3</a:t>
          </a:r>
        </a:p>
      </xdr:txBody>
    </xdr:sp>
    <xdr:clientData/>
  </xdr:twoCellAnchor>
  <xdr:twoCellAnchor>
    <xdr:from>
      <xdr:col>0</xdr:col>
      <xdr:colOff>365760</xdr:colOff>
      <xdr:row>35</xdr:row>
      <xdr:rowOff>30480</xdr:rowOff>
    </xdr:from>
    <xdr:to>
      <xdr:col>16</xdr:col>
      <xdr:colOff>1097280</xdr:colOff>
      <xdr:row>176</xdr:row>
      <xdr:rowOff>0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365760" y="6065520"/>
          <a:ext cx="12070080" cy="25755600"/>
        </a:xfrm>
        <a:prstGeom prst="rect">
          <a:avLst/>
        </a:prstGeom>
        <a:noFill/>
        <a:ln w="317500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HN" sz="1100"/>
        </a:p>
      </xdr:txBody>
    </xdr:sp>
    <xdr:clientData/>
  </xdr:twoCellAnchor>
  <xdr:twoCellAnchor>
    <xdr:from>
      <xdr:col>16</xdr:col>
      <xdr:colOff>1463040</xdr:colOff>
      <xdr:row>35</xdr:row>
      <xdr:rowOff>30480</xdr:rowOff>
    </xdr:from>
    <xdr:to>
      <xdr:col>31</xdr:col>
      <xdr:colOff>243840</xdr:colOff>
      <xdr:row>176</xdr:row>
      <xdr:rowOff>0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2801600" y="6065520"/>
          <a:ext cx="12070080" cy="25755600"/>
        </a:xfrm>
        <a:prstGeom prst="rect">
          <a:avLst/>
        </a:prstGeom>
        <a:noFill/>
        <a:ln w="317500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HN" sz="1100"/>
        </a:p>
      </xdr:txBody>
    </xdr:sp>
    <xdr:clientData/>
  </xdr:twoCellAnchor>
  <xdr:twoCellAnchor>
    <xdr:from>
      <xdr:col>31</xdr:col>
      <xdr:colOff>609600</xdr:colOff>
      <xdr:row>35</xdr:row>
      <xdr:rowOff>30480</xdr:rowOff>
    </xdr:from>
    <xdr:to>
      <xdr:col>47</xdr:col>
      <xdr:colOff>0</xdr:colOff>
      <xdr:row>176</xdr:row>
      <xdr:rowOff>0</xdr:rowOff>
    </xdr:to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25237440" y="6065520"/>
          <a:ext cx="12070080" cy="25755600"/>
        </a:xfrm>
        <a:prstGeom prst="rect">
          <a:avLst/>
        </a:prstGeom>
        <a:noFill/>
        <a:ln w="317500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HN" sz="1100"/>
        </a:p>
      </xdr:txBody>
    </xdr:sp>
    <xdr:clientData/>
  </xdr:twoCellAnchor>
  <xdr:twoCellAnchor editAs="oneCell">
    <xdr:from>
      <xdr:col>2</xdr:col>
      <xdr:colOff>114300</xdr:colOff>
      <xdr:row>45</xdr:row>
      <xdr:rowOff>0</xdr:rowOff>
    </xdr:from>
    <xdr:to>
      <xdr:col>13</xdr:col>
      <xdr:colOff>11887</xdr:colOff>
      <xdr:row>90</xdr:row>
      <xdr:rowOff>20249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1200" y="8572500"/>
          <a:ext cx="7060387" cy="8592749"/>
        </a:xfrm>
        <a:prstGeom prst="rect">
          <a:avLst/>
        </a:prstGeom>
      </xdr:spPr>
    </xdr:pic>
    <xdr:clientData/>
  </xdr:twoCellAnchor>
  <xdr:twoCellAnchor editAs="oneCell">
    <xdr:from>
      <xdr:col>19</xdr:col>
      <xdr:colOff>71436</xdr:colOff>
      <xdr:row>45</xdr:row>
      <xdr:rowOff>38100</xdr:rowOff>
    </xdr:from>
    <xdr:to>
      <xdr:col>28</xdr:col>
      <xdr:colOff>396288</xdr:colOff>
      <xdr:row>90</xdr:row>
      <xdr:rowOff>58349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73236" y="8610600"/>
          <a:ext cx="7182852" cy="8592749"/>
        </a:xfrm>
        <a:prstGeom prst="rect">
          <a:avLst/>
        </a:prstGeom>
      </xdr:spPr>
    </xdr:pic>
    <xdr:clientData/>
  </xdr:twoCellAnchor>
  <xdr:twoCellAnchor editAs="oneCell">
    <xdr:from>
      <xdr:col>35</xdr:col>
      <xdr:colOff>47625</xdr:colOff>
      <xdr:row>45</xdr:row>
      <xdr:rowOff>104775</xdr:rowOff>
    </xdr:from>
    <xdr:to>
      <xdr:col>44</xdr:col>
      <xdr:colOff>372477</xdr:colOff>
      <xdr:row>90</xdr:row>
      <xdr:rowOff>125024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41425" y="8677275"/>
          <a:ext cx="7182852" cy="8592749"/>
        </a:xfrm>
        <a:prstGeom prst="rect">
          <a:avLst/>
        </a:prstGeom>
      </xdr:spPr>
    </xdr:pic>
    <xdr:clientData/>
  </xdr:twoCellAnchor>
  <xdr:twoCellAnchor editAs="oneCell">
    <xdr:from>
      <xdr:col>2</xdr:col>
      <xdr:colOff>224516</xdr:colOff>
      <xdr:row>126</xdr:row>
      <xdr:rowOff>34019</xdr:rowOff>
    </xdr:from>
    <xdr:to>
      <xdr:col>14</xdr:col>
      <xdr:colOff>459188</xdr:colOff>
      <xdr:row>166</xdr:row>
      <xdr:rowOff>186419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9516" y="24037019"/>
          <a:ext cx="8045172" cy="77724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84</xdr:row>
      <xdr:rowOff>0</xdr:rowOff>
    </xdr:from>
    <xdr:to>
      <xdr:col>15</xdr:col>
      <xdr:colOff>228961</xdr:colOff>
      <xdr:row>124</xdr:row>
      <xdr:rowOff>152400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0" y="16002000"/>
          <a:ext cx="8420461" cy="7772400"/>
        </a:xfrm>
        <a:prstGeom prst="rect">
          <a:avLst/>
        </a:prstGeom>
      </xdr:spPr>
    </xdr:pic>
    <xdr:clientData/>
  </xdr:twoCellAnchor>
  <xdr:twoCellAnchor editAs="oneCell">
    <xdr:from>
      <xdr:col>19</xdr:col>
      <xdr:colOff>653144</xdr:colOff>
      <xdr:row>126</xdr:row>
      <xdr:rowOff>1</xdr:rowOff>
    </xdr:from>
    <xdr:to>
      <xdr:col>29</xdr:col>
      <xdr:colOff>265799</xdr:colOff>
      <xdr:row>162</xdr:row>
      <xdr:rowOff>187201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26394" y="24003001"/>
          <a:ext cx="7232655" cy="7045200"/>
        </a:xfrm>
        <a:prstGeom prst="rect">
          <a:avLst/>
        </a:prstGeom>
      </xdr:spPr>
    </xdr:pic>
    <xdr:clientData/>
  </xdr:twoCellAnchor>
  <xdr:twoCellAnchor editAs="oneCell">
    <xdr:from>
      <xdr:col>21</xdr:col>
      <xdr:colOff>105456</xdr:colOff>
      <xdr:row>85</xdr:row>
      <xdr:rowOff>153081</xdr:rowOff>
    </xdr:from>
    <xdr:to>
      <xdr:col>28</xdr:col>
      <xdr:colOff>660681</xdr:colOff>
      <xdr:row>122</xdr:row>
      <xdr:rowOff>149781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02706" y="16345581"/>
          <a:ext cx="5889225" cy="70452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752475</xdr:colOff>
          <xdr:row>6</xdr:row>
          <xdr:rowOff>0</xdr:rowOff>
        </xdr:from>
        <xdr:to>
          <xdr:col>6</xdr:col>
          <xdr:colOff>676275</xdr:colOff>
          <xdr:row>14</xdr:row>
          <xdr:rowOff>66675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8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COMPARAR DATOS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17</xdr:row>
          <xdr:rowOff>19050</xdr:rowOff>
        </xdr:from>
        <xdr:to>
          <xdr:col>6</xdr:col>
          <xdr:colOff>657225</xdr:colOff>
          <xdr:row>22</xdr:row>
          <xdr:rowOff>104775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8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FORMATO TOTAL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60F25-8ECA-46BA-872D-32B360311829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8"/>
  <dimension ref="B3:J49"/>
  <sheetViews>
    <sheetView zoomScale="55" zoomScaleNormal="55" workbookViewId="0">
      <selection activeCell="E5" sqref="E5"/>
    </sheetView>
  </sheetViews>
  <sheetFormatPr baseColWidth="10" defaultRowHeight="15" x14ac:dyDescent="0.25"/>
  <cols>
    <col min="1" max="1" width="10.5703125" customWidth="1"/>
    <col min="2" max="2" width="13.7109375" customWidth="1"/>
    <col min="3" max="3" width="10.28515625" customWidth="1"/>
    <col min="5" max="7" width="22.7109375" customWidth="1"/>
    <col min="8" max="8" width="26.85546875" customWidth="1"/>
    <col min="9" max="9" width="29.42578125" customWidth="1"/>
  </cols>
  <sheetData>
    <row r="3" spans="2:10" x14ac:dyDescent="0.25">
      <c r="B3" s="121" t="s">
        <v>2</v>
      </c>
      <c r="C3" s="121" t="s">
        <v>16</v>
      </c>
      <c r="D3" s="121" t="s">
        <v>3</v>
      </c>
      <c r="E3" s="111" t="s">
        <v>57</v>
      </c>
      <c r="F3" s="111"/>
      <c r="G3" s="111"/>
      <c r="H3" s="111" t="s">
        <v>60</v>
      </c>
      <c r="I3" s="111"/>
    </row>
    <row r="4" spans="2:10" ht="15.75" thickBot="1" x14ac:dyDescent="0.3">
      <c r="B4" s="122"/>
      <c r="C4" s="122"/>
      <c r="D4" s="121"/>
      <c r="E4" s="27" t="s">
        <v>28</v>
      </c>
      <c r="F4" s="27" t="s">
        <v>29</v>
      </c>
      <c r="G4" s="27" t="s">
        <v>30</v>
      </c>
      <c r="H4" s="27" t="s">
        <v>64</v>
      </c>
      <c r="I4" s="27" t="s">
        <v>56</v>
      </c>
    </row>
    <row r="5" spans="2:10" x14ac:dyDescent="0.25">
      <c r="B5" s="115" t="s">
        <v>17</v>
      </c>
      <c r="C5" s="118" t="s">
        <v>18</v>
      </c>
      <c r="D5" s="22" t="s">
        <v>5</v>
      </c>
      <c r="E5" s="91">
        <f>(+DERIVAS!E5-DERIVAS!H5)/DERIVAS!H5</f>
        <v>0.26074393423679948</v>
      </c>
      <c r="F5" s="92">
        <f>(+DERIVAS!F5-DERIVAS!I5)/DERIVAS!I5</f>
        <v>0.41820365879950022</v>
      </c>
      <c r="G5" s="93">
        <f>(+DERIVAS!G5-DERIVAS!J5)/DERIVAS!J5</f>
        <v>0.32417049754268817</v>
      </c>
      <c r="H5" s="91">
        <f>(+DERIVAS!E5-DERIVAS!F5)/DERIVAS!F5</f>
        <v>-7.7188246380810515E-3</v>
      </c>
      <c r="I5" s="94">
        <f>(+DERIVAS!E5-DERIVAS!G5)/DERIVAS!G5</f>
        <v>0.10298862375781558</v>
      </c>
    </row>
    <row r="6" spans="2:10" x14ac:dyDescent="0.25">
      <c r="B6" s="116"/>
      <c r="C6" s="119"/>
      <c r="D6" s="18" t="s">
        <v>6</v>
      </c>
      <c r="E6" s="95">
        <f>(+DERIVAS!E6-DERIVAS!H6)/DERIVAS!H6</f>
        <v>9.1793298252203739E-2</v>
      </c>
      <c r="F6" s="96">
        <f>(+DERIVAS!F6-DERIVAS!I6)/DERIVAS!I6</f>
        <v>0.10517992293981251</v>
      </c>
      <c r="G6" s="97">
        <f>(+DERIVAS!G6-DERIVAS!J6)/DERIVAS!J6</f>
        <v>0.14813848979295963</v>
      </c>
      <c r="H6" s="95">
        <f>(+DERIVAS!E6-DERIVAS!F6)/DERIVAS!F6</f>
        <v>8.9590960397552627E-2</v>
      </c>
      <c r="I6" s="98">
        <f>(+DERIVAS!E6-DERIVAS!G6)/DERIVAS!G6</f>
        <v>0.10536646685114155</v>
      </c>
      <c r="J6" s="28"/>
    </row>
    <row r="7" spans="2:10" x14ac:dyDescent="0.25">
      <c r="B7" s="116"/>
      <c r="C7" s="119"/>
      <c r="D7" s="18" t="s">
        <v>7</v>
      </c>
      <c r="E7" s="95">
        <f>(+DERIVAS!E7-DERIVAS!H7)/DERIVAS!H7</f>
        <v>3.7842186065689863E-2</v>
      </c>
      <c r="F7" s="96">
        <f>(+DERIVAS!F7-DERIVAS!I7)/DERIVAS!I7</f>
        <v>5.1191553167043616E-2</v>
      </c>
      <c r="G7" s="97">
        <f>(+DERIVAS!G7-DERIVAS!J7)/DERIVAS!J7</f>
        <v>-1.1527536611171767E-3</v>
      </c>
      <c r="H7" s="95">
        <f>(+DERIVAS!E7-DERIVAS!F7)/DERIVAS!F7</f>
        <v>4.5385010066083656E-2</v>
      </c>
      <c r="I7" s="98">
        <f>(+DERIVAS!E7-DERIVAS!G7)/DERIVAS!G7</f>
        <v>0.13303724592208038</v>
      </c>
    </row>
    <row r="8" spans="2:10" x14ac:dyDescent="0.25">
      <c r="B8" s="116"/>
      <c r="C8" s="119"/>
      <c r="D8" s="18" t="s">
        <v>8</v>
      </c>
      <c r="E8" s="95">
        <f>(+DERIVAS!E8-DERIVAS!H8)/DERIVAS!H8</f>
        <v>6.8035461129599614E-3</v>
      </c>
      <c r="F8" s="96">
        <f>(+DERIVAS!F8-DERIVAS!I8)/DERIVAS!I8</f>
        <v>1.8627085862871526E-2</v>
      </c>
      <c r="G8" s="97">
        <f>(+DERIVAS!G8-DERIVAS!J8)/DERIVAS!J8</f>
        <v>1.8513734969675733E-3</v>
      </c>
      <c r="H8" s="95">
        <f>(+DERIVAS!E8-DERIVAS!F8)/DERIVAS!F8</f>
        <v>2.5962048621762324E-2</v>
      </c>
      <c r="I8" s="98">
        <f>(+DERIVAS!E8-DERIVAS!G8)/DERIVAS!G8</f>
        <v>6.1685445132520784E-2</v>
      </c>
    </row>
    <row r="9" spans="2:10" x14ac:dyDescent="0.25">
      <c r="B9" s="116"/>
      <c r="C9" s="119"/>
      <c r="D9" s="18" t="s">
        <v>9</v>
      </c>
      <c r="E9" s="95">
        <f>(+DERIVAS!E9-DERIVAS!H9)/DERIVAS!H9</f>
        <v>-1.1292707413877555E-2</v>
      </c>
      <c r="F9" s="96">
        <f>(+DERIVAS!F9-DERIVAS!I9)/DERIVAS!I9</f>
        <v>2.93137464161943E-5</v>
      </c>
      <c r="G9" s="97">
        <f>(+DERIVAS!G9-DERIVAS!J9)/DERIVAS!J9</f>
        <v>2.8446491099392559E-3</v>
      </c>
      <c r="H9" s="95">
        <f>(+DERIVAS!E9-DERIVAS!F9)/DERIVAS!F9</f>
        <v>1.461799631929748E-2</v>
      </c>
      <c r="I9" s="98">
        <f>(+DERIVAS!E9-DERIVAS!G9)/DERIVAS!G9</f>
        <v>2.3093932229773958E-2</v>
      </c>
    </row>
    <row r="10" spans="2:10" x14ac:dyDescent="0.25">
      <c r="B10" s="116"/>
      <c r="C10" s="119"/>
      <c r="D10" s="18" t="s">
        <v>10</v>
      </c>
      <c r="E10" s="95">
        <f>(+DERIVAS!E10-DERIVAS!H10)/DERIVAS!H10</f>
        <v>-2.4221057592806686E-2</v>
      </c>
      <c r="F10" s="96">
        <f>(+DERIVAS!F10-DERIVAS!I10)/DERIVAS!I10</f>
        <v>-1.2867120115306595E-2</v>
      </c>
      <c r="G10" s="97">
        <f>(+DERIVAS!G10-DERIVAS!J10)/DERIVAS!J10</f>
        <v>3.2674896882106288E-3</v>
      </c>
      <c r="H10" s="95">
        <f>(+DERIVAS!E10-DERIVAS!F10)/DERIVAS!F10</f>
        <v>7.818158507629314E-3</v>
      </c>
      <c r="I10" s="98">
        <f>(+DERIVAS!E10-DERIVAS!G10)/DERIVAS!G10</f>
        <v>-2.0947259613168165E-3</v>
      </c>
    </row>
    <row r="11" spans="2:10" x14ac:dyDescent="0.25">
      <c r="B11" s="116"/>
      <c r="C11" s="119"/>
      <c r="D11" s="18" t="s">
        <v>11</v>
      </c>
      <c r="E11" s="95">
        <f>(+DERIVAS!E11-DERIVAS!H11)/DERIVAS!H11</f>
        <v>-3.5489367352816235E-2</v>
      </c>
      <c r="F11" s="96">
        <f>(+DERIVAS!F11-DERIVAS!I11)/DERIVAS!I11</f>
        <v>-2.1260083000778789E-2</v>
      </c>
      <c r="G11" s="97">
        <f>(+DERIVAS!G11-DERIVAS!J11)/DERIVAS!J11</f>
        <v>4.3013400507794204E-3</v>
      </c>
      <c r="H11" s="95">
        <f>(+DERIVAS!E11-DERIVAS!F11)/DERIVAS!F11</f>
        <v>8.0671268094432511E-3</v>
      </c>
      <c r="I11" s="98">
        <f>(+DERIVAS!E11-DERIVAS!G11)/DERIVAS!G11</f>
        <v>-2.0591805250786677E-2</v>
      </c>
    </row>
    <row r="12" spans="2:10" x14ac:dyDescent="0.25">
      <c r="B12" s="116"/>
      <c r="C12" s="119"/>
      <c r="D12" s="18" t="s">
        <v>12</v>
      </c>
      <c r="E12" s="95">
        <f>(+DERIVAS!E12-DERIVAS!H12)/DERIVAS!H12</f>
        <v>-4.6905628937488543E-2</v>
      </c>
      <c r="F12" s="96">
        <f>(+DERIVAS!F12-DERIVAS!I12)/DERIVAS!I12</f>
        <v>-3.058045523443944E-2</v>
      </c>
      <c r="G12" s="97">
        <f>(+DERIVAS!G12-DERIVAS!J12)/DERIVAS!J12</f>
        <v>4.5949900459646888E-3</v>
      </c>
      <c r="H12" s="95">
        <f>(+DERIVAS!E12-DERIVAS!F12)/DERIVAS!F12</f>
        <v>9.5303471145038992E-3</v>
      </c>
      <c r="I12" s="98">
        <f>(+DERIVAS!E12-DERIVAS!G12)/DERIVAS!G12</f>
        <v>-3.7234846961379645E-2</v>
      </c>
    </row>
    <row r="13" spans="2:10" x14ac:dyDescent="0.25">
      <c r="B13" s="116"/>
      <c r="C13" s="119"/>
      <c r="D13" s="18" t="s">
        <v>13</v>
      </c>
      <c r="E13" s="95">
        <f>(+DERIVAS!E13-DERIVAS!H13)/DERIVAS!H13</f>
        <v>-5.9168950004315726E-2</v>
      </c>
      <c r="F13" s="96">
        <f>(+DERIVAS!F13-DERIVAS!I13)/DERIVAS!I13</f>
        <v>-4.3511285025315663E-2</v>
      </c>
      <c r="G13" s="97">
        <f>(+DERIVAS!G13-DERIVAS!J13)/DERIVAS!J13</f>
        <v>3.0361652610081057E-3</v>
      </c>
      <c r="H13" s="95">
        <f>(+DERIVAS!E13-DERIVAS!F13)/DERIVAS!F13</f>
        <v>6.0421522870617566E-3</v>
      </c>
      <c r="I13" s="98">
        <f>(+DERIVAS!E13-DERIVAS!G13)/DERIVAS!G13</f>
        <v>-5.5051900805381769E-2</v>
      </c>
    </row>
    <row r="14" spans="2:10" x14ac:dyDescent="0.25">
      <c r="B14" s="116"/>
      <c r="C14" s="119"/>
      <c r="D14" s="18" t="s">
        <v>14</v>
      </c>
      <c r="E14" s="95">
        <f>(+DERIVAS!E14-DERIVAS!H14)/DERIVAS!H14</f>
        <v>-7.0298941317674321E-2</v>
      </c>
      <c r="F14" s="96">
        <f>(+DERIVAS!F14-DERIVAS!I14)/DERIVAS!I14</f>
        <v>-5.3881542661061953E-2</v>
      </c>
      <c r="G14" s="97">
        <f>(+DERIVAS!G14-DERIVAS!J14)/DERIVAS!J14</f>
        <v>1.953800072179563E-3</v>
      </c>
      <c r="H14" s="95">
        <f>(+DERIVAS!E14-DERIVAS!F14)/DERIVAS!F14</f>
        <v>-2.2390817229482299E-3</v>
      </c>
      <c r="I14" s="98">
        <f>(+DERIVAS!E14-DERIVAS!G14)/DERIVAS!G14</f>
        <v>-7.2073926953442585E-2</v>
      </c>
    </row>
    <row r="15" spans="2:10" ht="15.75" thickBot="1" x14ac:dyDescent="0.3">
      <c r="B15" s="117"/>
      <c r="C15" s="120"/>
      <c r="D15" s="20" t="s">
        <v>4</v>
      </c>
      <c r="E15" s="99">
        <f>(+DERIVAS!E15-DERIVAS!H15)/DERIVAS!H15</f>
        <v>-7.4487101156138269E-2</v>
      </c>
      <c r="F15" s="100">
        <f>(+DERIVAS!F15-DERIVAS!I15)/DERIVAS!I15</f>
        <v>-5.1646751999849382E-2</v>
      </c>
      <c r="G15" s="101">
        <f>(+DERIVAS!G15-DERIVAS!J15)/DERIVAS!J15</f>
        <v>2.4672260242269512E-4</v>
      </c>
      <c r="H15" s="99">
        <f>(+DERIVAS!E15-DERIVAS!F15)/DERIVAS!F15</f>
        <v>-2.3035617836570682E-2</v>
      </c>
      <c r="I15" s="102">
        <f>(+DERIVAS!E15-DERIVAS!G15)/DERIVAS!G15</f>
        <v>-7.4321428457327185E-2</v>
      </c>
    </row>
    <row r="16" spans="2:10" x14ac:dyDescent="0.25">
      <c r="B16" s="115" t="s">
        <v>17</v>
      </c>
      <c r="C16" s="118" t="s">
        <v>19</v>
      </c>
      <c r="D16" s="19" t="s">
        <v>5</v>
      </c>
      <c r="E16" s="91">
        <f>(+DERIVAS!E16-DERIVAS!H16)/DERIVAS!H16</f>
        <v>0.25884825909959586</v>
      </c>
      <c r="F16" s="92">
        <f>(+DERIVAS!F16-DERIVAS!I16)/DERIVAS!I16</f>
        <v>0.36814375612353267</v>
      </c>
      <c r="G16" s="93">
        <f>(+DERIVAS!G16-DERIVAS!J16)/DERIVAS!J16</f>
        <v>0.33856991849912732</v>
      </c>
      <c r="H16" s="91">
        <f>(+DERIVAS!E16-DERIVAS!F16)/DERIVAS!F16</f>
        <v>-1.0598093278118659E-2</v>
      </c>
      <c r="I16" s="94">
        <f>(+DERIVAS!E16-DERIVAS!G16)/DERIVAS!G16</f>
        <v>1.6998650700033039E-2</v>
      </c>
    </row>
    <row r="17" spans="2:9" x14ac:dyDescent="0.25">
      <c r="B17" s="116"/>
      <c r="C17" s="119"/>
      <c r="D17" s="18" t="s">
        <v>6</v>
      </c>
      <c r="E17" s="95">
        <f>(+DERIVAS!E17-DERIVAS!H17)/DERIVAS!H17</f>
        <v>7.7523272839677138E-2</v>
      </c>
      <c r="F17" s="96">
        <f>(+DERIVAS!F17-DERIVAS!I17)/DERIVAS!I17</f>
        <v>0.12095612538039491</v>
      </c>
      <c r="G17" s="97">
        <f>(+DERIVAS!G17-DERIVAS!J17)/DERIVAS!J17</f>
        <v>0.13025307890973914</v>
      </c>
      <c r="H17" s="95">
        <f>(+DERIVAS!E17-DERIVAS!F17)/DERIVAS!F17</f>
        <v>3.9249509467514918E-2</v>
      </c>
      <c r="I17" s="98">
        <f>(+DERIVAS!E17-DERIVAS!G17)/DERIVAS!G17</f>
        <v>1.0173973143929512E-2</v>
      </c>
    </row>
    <row r="18" spans="2:9" x14ac:dyDescent="0.25">
      <c r="B18" s="116"/>
      <c r="C18" s="119"/>
      <c r="D18" s="18" t="s">
        <v>7</v>
      </c>
      <c r="E18" s="95">
        <f>(+DERIVAS!E18-DERIVAS!H18)/DERIVAS!H18</f>
        <v>2.1352342994703202E-2</v>
      </c>
      <c r="F18" s="96">
        <f>(+DERIVAS!F18-DERIVAS!I18)/DERIVAS!I18</f>
        <v>4.2774064606525899E-2</v>
      </c>
      <c r="G18" s="97">
        <f>(+DERIVAS!G18-DERIVAS!J18)/DERIVAS!J18</f>
        <v>1.6031987969742256E-2</v>
      </c>
      <c r="H18" s="95">
        <f>(+DERIVAS!E18-DERIVAS!F18)/DERIVAS!F18</f>
        <v>3.0452109966348822E-2</v>
      </c>
      <c r="I18" s="98">
        <f>(+DERIVAS!E18-DERIVAS!G18)/DERIVAS!G18</f>
        <v>5.5593732756806492E-2</v>
      </c>
    </row>
    <row r="19" spans="2:9" x14ac:dyDescent="0.25">
      <c r="B19" s="116"/>
      <c r="C19" s="119"/>
      <c r="D19" s="18" t="s">
        <v>8</v>
      </c>
      <c r="E19" s="95">
        <f>(+DERIVAS!E19-DERIVAS!H19)/DERIVAS!H19</f>
        <v>-1.1709335324327042E-2</v>
      </c>
      <c r="F19" s="96">
        <f>(+DERIVAS!F19-DERIVAS!I19)/DERIVAS!I19</f>
        <v>-6.4343092552167254E-3</v>
      </c>
      <c r="G19" s="97">
        <f>(+DERIVAS!G19-DERIVAS!J19)/DERIVAS!J19</f>
        <v>-4.978997573830872E-2</v>
      </c>
      <c r="H19" s="95">
        <f>(+DERIVAS!E19-DERIVAS!F19)/DERIVAS!F19</f>
        <v>3.5350786914584639E-2</v>
      </c>
      <c r="I19" s="98">
        <f>(+DERIVAS!E19-DERIVAS!G19)/DERIVAS!G19</f>
        <v>8.9643787572289232E-2</v>
      </c>
    </row>
    <row r="20" spans="2:9" x14ac:dyDescent="0.25">
      <c r="B20" s="116"/>
      <c r="C20" s="119"/>
      <c r="D20" s="18" t="s">
        <v>9</v>
      </c>
      <c r="E20" s="95">
        <f>(+DERIVAS!E20-DERIVAS!H20)/DERIVAS!H20</f>
        <v>-3.1492040848116555E-2</v>
      </c>
      <c r="F20" s="96">
        <f>(+DERIVAS!F20-DERIVAS!I20)/DERIVAS!I20</f>
        <v>-3.4653815466046838E-2</v>
      </c>
      <c r="G20" s="97">
        <f>(+DERIVAS!G20-DERIVAS!J20)/DERIVAS!J20</f>
        <v>-8.7163149201513426E-2</v>
      </c>
      <c r="H20" s="95">
        <f>(+DERIVAS!E20-DERIVAS!F20)/DERIVAS!F20</f>
        <v>3.784009173595286E-2</v>
      </c>
      <c r="I20" s="98">
        <f>(+DERIVAS!E20-DERIVAS!G20)/DERIVAS!G20</f>
        <v>0.11006301814365982</v>
      </c>
    </row>
    <row r="21" spans="2:9" x14ac:dyDescent="0.25">
      <c r="B21" s="116"/>
      <c r="C21" s="119"/>
      <c r="D21" s="18" t="s">
        <v>10</v>
      </c>
      <c r="E21" s="95">
        <f>(+DERIVAS!E21-DERIVAS!H21)/DERIVAS!H21</f>
        <v>-4.585159836732753E-2</v>
      </c>
      <c r="F21" s="96">
        <f>(+DERIVAS!F21-DERIVAS!I21)/DERIVAS!I21</f>
        <v>-5.4203536784792457E-2</v>
      </c>
      <c r="G21" s="97">
        <f>(+DERIVAS!G21-DERIVAS!J21)/DERIVAS!J21</f>
        <v>-0.11282372955406077</v>
      </c>
      <c r="H21" s="95">
        <f>(+DERIVAS!E21-DERIVAS!F21)/DERIVAS!F21</f>
        <v>4.0966176656346651E-2</v>
      </c>
      <c r="I21" s="98">
        <f>(+DERIVAS!E21-DERIVAS!G21)/DERIVAS!G21</f>
        <v>0.12642683728892476</v>
      </c>
    </row>
    <row r="22" spans="2:9" x14ac:dyDescent="0.25">
      <c r="B22" s="116"/>
      <c r="C22" s="119"/>
      <c r="D22" s="18" t="s">
        <v>11</v>
      </c>
      <c r="E22" s="95">
        <f>(+DERIVAS!E22-DERIVAS!H22)/DERIVAS!H22</f>
        <v>-5.8381270354760005E-2</v>
      </c>
      <c r="F22" s="96">
        <f>(+DERIVAS!F22-DERIVAS!I22)/DERIVAS!I22</f>
        <v>-6.8267699821839473E-2</v>
      </c>
      <c r="G22" s="97">
        <f>(+DERIVAS!G22-DERIVAS!J22)/DERIVAS!J22</f>
        <v>-9.3878259588448101E-2</v>
      </c>
      <c r="H22" s="95">
        <f>(+DERIVAS!E22-DERIVAS!F22)/DERIVAS!F22</f>
        <v>5.3242346077015001E-2</v>
      </c>
      <c r="I22" s="98">
        <f>(+DERIVAS!E22-DERIVAS!G22)/DERIVAS!G22</f>
        <v>0.10736965612390331</v>
      </c>
    </row>
    <row r="23" spans="2:9" x14ac:dyDescent="0.25">
      <c r="B23" s="116"/>
      <c r="C23" s="119"/>
      <c r="D23" s="18" t="s">
        <v>12</v>
      </c>
      <c r="E23" s="95">
        <f>(+DERIVAS!E23-DERIVAS!H23)/DERIVAS!H23</f>
        <v>-7.0891538262497389E-2</v>
      </c>
      <c r="F23" s="96">
        <f>(+DERIVAS!F23-DERIVAS!I23)/DERIVAS!I23</f>
        <v>-8.4431306632784531E-2</v>
      </c>
      <c r="G23" s="97">
        <f>(+DERIVAS!G23-DERIVAS!J23)/DERIVAS!J23</f>
        <v>-7.4129929814921822E-2</v>
      </c>
      <c r="H23" s="95">
        <f>(+DERIVAS!E23-DERIVAS!F23)/DERIVAS!F23</f>
        <v>6.8303666278438535E-2</v>
      </c>
      <c r="I23" s="98">
        <f>(+DERIVAS!E23-DERIVAS!G23)/DERIVAS!G23</f>
        <v>8.749659845855115E-2</v>
      </c>
    </row>
    <row r="24" spans="2:9" x14ac:dyDescent="0.25">
      <c r="B24" s="116"/>
      <c r="C24" s="119"/>
      <c r="D24" s="18" t="s">
        <v>13</v>
      </c>
      <c r="E24" s="95">
        <f>(+DERIVAS!E24-DERIVAS!H24)/DERIVAS!H24</f>
        <v>-8.3906220452589372E-2</v>
      </c>
      <c r="F24" s="96">
        <f>(+DERIVAS!F24-DERIVAS!I24)/DERIVAS!I24</f>
        <v>-0.10333115764695013</v>
      </c>
      <c r="G24" s="97">
        <f>(+DERIVAS!G24-DERIVAS!J24)/DERIVAS!J24</f>
        <v>-6.7919083404579639E-2</v>
      </c>
      <c r="H24" s="95">
        <f>(+DERIVAS!E24-DERIVAS!F24)/DERIVAS!F24</f>
        <v>7.5195516528188497E-2</v>
      </c>
      <c r="I24" s="98">
        <f>(+DERIVAS!E24-DERIVAS!G24)/DERIVAS!G24</f>
        <v>6.7044046143008809E-2</v>
      </c>
    </row>
    <row r="25" spans="2:9" x14ac:dyDescent="0.25">
      <c r="B25" s="116"/>
      <c r="C25" s="119"/>
      <c r="D25" s="18" t="s">
        <v>14</v>
      </c>
      <c r="E25" s="95">
        <f>(+DERIVAS!E25-DERIVAS!H25)/DERIVAS!H25</f>
        <v>-9.5773839778419328E-2</v>
      </c>
      <c r="F25" s="96">
        <f>(+DERIVAS!F25-DERIVAS!I25)/DERIVAS!I25</f>
        <v>-0.11673042362979368</v>
      </c>
      <c r="G25" s="97">
        <f>(+DERIVAS!G25-DERIVAS!J25)/DERIVAS!J25</f>
        <v>-6.7876217665956307E-2</v>
      </c>
      <c r="H25" s="95">
        <f>(+DERIVAS!E25-DERIVAS!F25)/DERIVAS!F25</f>
        <v>7.2038366130749487E-2</v>
      </c>
      <c r="I25" s="98">
        <f>(+DERIVAS!E25-DERIVAS!G25)/DERIVAS!G25</f>
        <v>4.7837378129912185E-2</v>
      </c>
    </row>
    <row r="26" spans="2:9" ht="15.75" thickBot="1" x14ac:dyDescent="0.3">
      <c r="B26" s="117"/>
      <c r="C26" s="120"/>
      <c r="D26" s="20" t="s">
        <v>4</v>
      </c>
      <c r="E26" s="99">
        <f>(+DERIVAS!E26-DERIVAS!H26)/DERIVAS!H26</f>
        <v>-0.10454930110227344</v>
      </c>
      <c r="F26" s="100">
        <f>(+DERIVAS!F26-DERIVAS!I26)/DERIVAS!I26</f>
        <v>-9.6894577783854033E-2</v>
      </c>
      <c r="G26" s="101">
        <f>(+DERIVAS!G26-DERIVAS!J26)/DERIVAS!J26</f>
        <v>-0.10320715856209738</v>
      </c>
      <c r="H26" s="99">
        <f>(+DERIVAS!E26-DERIVAS!F26)/DERIVAS!F26</f>
        <v>1.5832748764927535E-2</v>
      </c>
      <c r="I26" s="102">
        <f>(+DERIVAS!E26-DERIVAS!G26)/DERIVAS!G26</f>
        <v>4.3196616946476377E-2</v>
      </c>
    </row>
    <row r="27" spans="2:9" x14ac:dyDescent="0.25">
      <c r="B27" s="115" t="s">
        <v>17</v>
      </c>
      <c r="C27" s="118" t="s">
        <v>20</v>
      </c>
      <c r="D27" s="19" t="s">
        <v>5</v>
      </c>
      <c r="E27" s="91">
        <f>(+DERIVAS!E27-DERIVAS!H27)/DERIVAS!H27</f>
        <v>0.34351821018779577</v>
      </c>
      <c r="F27" s="92">
        <f>(+DERIVAS!F27-DERIVAS!I27)/DERIVAS!I27</f>
        <v>0.26786590145362504</v>
      </c>
      <c r="G27" s="93">
        <f>(+DERIVAS!G27-DERIVAS!J27)/DERIVAS!J27</f>
        <v>0.16914449165660009</v>
      </c>
      <c r="H27" s="91">
        <f>(+DERIVAS!E27-DERIVAS!F27)/DERIVAS!F27</f>
        <v>-0.44055945612516872</v>
      </c>
      <c r="I27" s="94">
        <f>(+DERIVAS!E27-DERIVAS!G27)/DERIVAS!G27</f>
        <v>-0.53821987460690357</v>
      </c>
    </row>
    <row r="28" spans="2:9" x14ac:dyDescent="0.25">
      <c r="B28" s="116"/>
      <c r="C28" s="119"/>
      <c r="D28" s="18" t="s">
        <v>6</v>
      </c>
      <c r="E28" s="95">
        <f>(+DERIVAS!E28-DERIVAS!H28)/DERIVAS!H28</f>
        <v>-8.4810412783538694E-2</v>
      </c>
      <c r="F28" s="96">
        <f>(+DERIVAS!F28-DERIVAS!I28)/DERIVAS!I28</f>
        <v>2.6967593049084575E-2</v>
      </c>
      <c r="G28" s="97">
        <f>(+DERIVAS!G28-DERIVAS!J28)/DERIVAS!J28</f>
        <v>7.7398326453259697E-2</v>
      </c>
      <c r="H28" s="95">
        <f>(+DERIVAS!E28-DERIVAS!F28)/DERIVAS!F28</f>
        <v>-0.34120848884479066</v>
      </c>
      <c r="I28" s="98">
        <f>(+DERIVAS!E28-DERIVAS!G28)/DERIVAS!G28</f>
        <v>-0.45904419725443651</v>
      </c>
    </row>
    <row r="29" spans="2:9" x14ac:dyDescent="0.25">
      <c r="B29" s="116"/>
      <c r="C29" s="119"/>
      <c r="D29" s="18" t="s">
        <v>7</v>
      </c>
      <c r="E29" s="95">
        <f>(+DERIVAS!E29-DERIVAS!H29)/DERIVAS!H29</f>
        <v>-7.7807501394587128E-2</v>
      </c>
      <c r="F29" s="96">
        <f>(+DERIVAS!F29-DERIVAS!I29)/DERIVAS!I29</f>
        <v>-5.6550316184707676E-2</v>
      </c>
      <c r="G29" s="97">
        <f>(+DERIVAS!G29-DERIVAS!J29)/DERIVAS!J29</f>
        <v>-1.7378851440306917E-2</v>
      </c>
      <c r="H29" s="95">
        <f>(+DERIVAS!E29-DERIVAS!F29)/DERIVAS!F29</f>
        <v>-0.24371294048254671</v>
      </c>
      <c r="I29" s="98">
        <f>(+DERIVAS!E29-DERIVAS!G29)/DERIVAS!G29</f>
        <v>-0.34043240782406231</v>
      </c>
    </row>
    <row r="30" spans="2:9" x14ac:dyDescent="0.25">
      <c r="B30" s="116"/>
      <c r="C30" s="119"/>
      <c r="D30" s="18" t="s">
        <v>8</v>
      </c>
      <c r="E30" s="95">
        <f>(+DERIVAS!E30-DERIVAS!H30)/DERIVAS!H30</f>
        <v>-7.0191733446959129E-2</v>
      </c>
      <c r="F30" s="96">
        <f>(+DERIVAS!F30-DERIVAS!I30)/DERIVAS!I30</f>
        <v>-0.10299706359443461</v>
      </c>
      <c r="G30" s="97">
        <f>(+DERIVAS!G30-DERIVAS!J30)/DERIVAS!J30</f>
        <v>-7.4150189140114037E-2</v>
      </c>
      <c r="H30" s="95">
        <f>(+DERIVAS!E30-DERIVAS!F30)/DERIVAS!F30</f>
        <v>-0.17409920180398913</v>
      </c>
      <c r="I30" s="98">
        <f>(+DERIVAS!E30-DERIVAS!G30)/DERIVAS!G30</f>
        <v>-0.25414991531548575</v>
      </c>
    </row>
    <row r="31" spans="2:9" x14ac:dyDescent="0.25">
      <c r="B31" s="116"/>
      <c r="C31" s="119"/>
      <c r="D31" s="18" t="s">
        <v>9</v>
      </c>
      <c r="E31" s="95">
        <f>(+DERIVAS!E31-DERIVAS!H31)/DERIVAS!H31</f>
        <v>-6.6193750155113001E-2</v>
      </c>
      <c r="F31" s="96">
        <f>(+DERIVAS!F31-DERIVAS!I31)/DERIVAS!I31</f>
        <v>-0.12927852656797539</v>
      </c>
      <c r="G31" s="97">
        <f>(+DERIVAS!G31-DERIVAS!J31)/DERIVAS!J31</f>
        <v>-0.1082873130095553</v>
      </c>
      <c r="H31" s="95">
        <f>(+DERIVAS!E31-DERIVAS!F31)/DERIVAS!F31</f>
        <v>-0.1289491692006024</v>
      </c>
      <c r="I31" s="98">
        <f>(+DERIVAS!E31-DERIVAS!G31)/DERIVAS!G31</f>
        <v>-0.19463286197449928</v>
      </c>
    </row>
    <row r="32" spans="2:9" x14ac:dyDescent="0.25">
      <c r="B32" s="116"/>
      <c r="C32" s="119"/>
      <c r="D32" s="18" t="s">
        <v>10</v>
      </c>
      <c r="E32" s="95">
        <f>(+DERIVAS!E32-DERIVAS!H32)/DERIVAS!H32</f>
        <v>-6.4210711909256826E-2</v>
      </c>
      <c r="F32" s="96">
        <f>(+DERIVAS!F32-DERIVAS!I32)/DERIVAS!I32</f>
        <v>-0.116751050082427</v>
      </c>
      <c r="G32" s="97">
        <f>(+DERIVAS!G32-DERIVAS!J32)/DERIVAS!J32</f>
        <v>-0.12940960637821422</v>
      </c>
      <c r="H32" s="95">
        <f>(+DERIVAS!E32-DERIVAS!F32)/DERIVAS!F32</f>
        <v>-0.12690119808067554</v>
      </c>
      <c r="I32" s="98">
        <f>(+DERIVAS!E32-DERIVAS!G32)/DERIVAS!G32</f>
        <v>-0.1515968710372631</v>
      </c>
    </row>
    <row r="33" spans="2:9" x14ac:dyDescent="0.25">
      <c r="B33" s="116"/>
      <c r="C33" s="119"/>
      <c r="D33" s="18" t="s">
        <v>11</v>
      </c>
      <c r="E33" s="95">
        <f>(+DERIVAS!E33-DERIVAS!H33)/DERIVAS!H33</f>
        <v>-6.3264006301776921E-2</v>
      </c>
      <c r="F33" s="96">
        <f>(+DERIVAS!F33-DERIVAS!I33)/DERIVAS!I33</f>
        <v>-0.10115654518679673</v>
      </c>
      <c r="G33" s="97">
        <f>(+DERIVAS!G33-DERIVAS!J33)/DERIVAS!J33</f>
        <v>-0.10554908193780044</v>
      </c>
      <c r="H33" s="95">
        <f>(+DERIVAS!E33-DERIVAS!F33)/DERIVAS!F33</f>
        <v>-0.12919747916852034</v>
      </c>
      <c r="I33" s="98">
        <f>(+DERIVAS!E33-DERIVAS!G33)/DERIVAS!G33</f>
        <v>-0.15341911051164439</v>
      </c>
    </row>
    <row r="34" spans="2:9" x14ac:dyDescent="0.25">
      <c r="B34" s="116"/>
      <c r="C34" s="119"/>
      <c r="D34" s="18" t="s">
        <v>12</v>
      </c>
      <c r="E34" s="95">
        <f>(+DERIVAS!E34-DERIVAS!H34)/DERIVAS!H34</f>
        <v>-6.2767004404559221E-2</v>
      </c>
      <c r="F34" s="96">
        <f>(+DERIVAS!F34-DERIVAS!I34)/DERIVAS!I34</f>
        <v>-8.7471313335066928E-2</v>
      </c>
      <c r="G34" s="97">
        <f>(+DERIVAS!G34-DERIVAS!J34)/DERIVAS!J34</f>
        <v>-8.2413277340392152E-2</v>
      </c>
      <c r="H34" s="95">
        <f>(+DERIVAS!E34-DERIVAS!F34)/DERIVAS!F34</f>
        <v>-0.13216451059284601</v>
      </c>
      <c r="I34" s="98">
        <f>(+DERIVAS!E34-DERIVAS!G34)/DERIVAS!G34</f>
        <v>-0.15694883660799649</v>
      </c>
    </row>
    <row r="35" spans="2:9" x14ac:dyDescent="0.25">
      <c r="B35" s="116"/>
      <c r="C35" s="119"/>
      <c r="D35" s="18" t="s">
        <v>13</v>
      </c>
      <c r="E35" s="95">
        <f>(+DERIVAS!E35-DERIVAS!H35)/DERIVAS!H35</f>
        <v>-6.2547163128997149E-2</v>
      </c>
      <c r="F35" s="96">
        <f>(+DERIVAS!F35-DERIVAS!I35)/DERIVAS!I35</f>
        <v>-7.8582680897815879E-2</v>
      </c>
      <c r="G35" s="97">
        <f>(+DERIVAS!G35-DERIVAS!J35)/DERIVAS!J35</f>
        <v>-6.3624787036470648E-2</v>
      </c>
      <c r="H35" s="95">
        <f>(+DERIVAS!E35-DERIVAS!F35)/DERIVAS!F35</f>
        <v>-0.13364295152250233</v>
      </c>
      <c r="I35" s="98">
        <f>(+DERIVAS!E35-DERIVAS!G35)/DERIVAS!G35</f>
        <v>-0.15895373262690177</v>
      </c>
    </row>
    <row r="36" spans="2:9" x14ac:dyDescent="0.25">
      <c r="B36" s="116"/>
      <c r="C36" s="119"/>
      <c r="D36" s="18" t="s">
        <v>14</v>
      </c>
      <c r="E36" s="95">
        <f>(+DERIVAS!E36-DERIVAS!H36)/DERIVAS!H36</f>
        <v>-6.6687466941813656E-2</v>
      </c>
      <c r="F36" s="96">
        <f>(+DERIVAS!F36-DERIVAS!I36)/DERIVAS!I36</f>
        <v>-8.1467052986461161E-2</v>
      </c>
      <c r="G36" s="97">
        <f>(+DERIVAS!G36-DERIVAS!J36)/DERIVAS!J36</f>
        <v>-5.5534516390343576E-2</v>
      </c>
      <c r="H36" s="95">
        <f>(+DERIVAS!E36-DERIVAS!F36)/DERIVAS!F36</f>
        <v>-0.12818492524853037</v>
      </c>
      <c r="I36" s="98">
        <f>(+DERIVAS!E36-DERIVAS!G36)/DERIVAS!G36</f>
        <v>-0.15442212571498051</v>
      </c>
    </row>
    <row r="37" spans="2:9" ht="15.75" thickBot="1" x14ac:dyDescent="0.3">
      <c r="B37" s="117"/>
      <c r="C37" s="120"/>
      <c r="D37" s="20" t="s">
        <v>4</v>
      </c>
      <c r="E37" s="99">
        <f>(+DERIVAS!E37-DERIVAS!H37)/DERIVAS!H37</f>
        <v>-0.11064919008776407</v>
      </c>
      <c r="F37" s="100">
        <f>(+DERIVAS!F37-DERIVAS!I37)/DERIVAS!I37</f>
        <v>-0.13880627943852381</v>
      </c>
      <c r="G37" s="101">
        <f>(+DERIVAS!G37-DERIVAS!J37)/DERIVAS!J37</f>
        <v>-0.10983560742001812</v>
      </c>
      <c r="H37" s="99">
        <f>(+DERIVAS!E37-DERIVAS!F37)/DERIVAS!F37</f>
        <v>-0.10163695959525806</v>
      </c>
      <c r="I37" s="102">
        <f>(+DERIVAS!E37-DERIVAS!G37)/DERIVAS!G37</f>
        <v>-0.12558210326647409</v>
      </c>
    </row>
    <row r="38" spans="2:9" x14ac:dyDescent="0.25">
      <c r="B38" s="115" t="s">
        <v>17</v>
      </c>
      <c r="C38" s="118" t="s">
        <v>21</v>
      </c>
      <c r="D38" s="19" t="s">
        <v>5</v>
      </c>
      <c r="E38" s="91">
        <f>(+DERIVAS!E38-DERIVAS!H38)/DERIVAS!H38</f>
        <v>0.31713679444883297</v>
      </c>
      <c r="F38" s="92">
        <f>(+DERIVAS!F38-DERIVAS!I38)/DERIVAS!I38</f>
        <v>0.28359178633645477</v>
      </c>
      <c r="G38" s="93">
        <f>(+DERIVAS!G38-DERIVAS!J38)/DERIVAS!J38</f>
        <v>0.18954310414076239</v>
      </c>
      <c r="H38" s="91">
        <f>(+DERIVAS!E38-DERIVAS!F38)/DERIVAS!F38</f>
        <v>-0.36327056540169556</v>
      </c>
      <c r="I38" s="94">
        <f>(+DERIVAS!E38-DERIVAS!G38)/DERIVAS!G38</f>
        <v>-0.49078490740265768</v>
      </c>
    </row>
    <row r="39" spans="2:9" x14ac:dyDescent="0.25">
      <c r="B39" s="116"/>
      <c r="C39" s="119"/>
      <c r="D39" s="18" t="s">
        <v>6</v>
      </c>
      <c r="E39" s="95">
        <f>(+DERIVAS!E39-DERIVAS!H39)/DERIVAS!H39</f>
        <v>-4.1797519789136282E-2</v>
      </c>
      <c r="F39" s="96">
        <f>(+DERIVAS!F39-DERIVAS!I39)/DERIVAS!I39</f>
        <v>4.1673969963581933E-3</v>
      </c>
      <c r="G39" s="97">
        <f>(+DERIVAS!G39-DERIVAS!J39)/DERIVAS!J39</f>
        <v>0.10169312861204778</v>
      </c>
      <c r="H39" s="95">
        <f>(+DERIVAS!E39-DERIVAS!F39)/DERIVAS!F39</f>
        <v>-0.10951914254707966</v>
      </c>
      <c r="I39" s="98">
        <f>(+DERIVAS!E39-DERIVAS!G39)/DERIVAS!G39</f>
        <v>-0.27609504143236013</v>
      </c>
    </row>
    <row r="40" spans="2:9" x14ac:dyDescent="0.25">
      <c r="B40" s="116"/>
      <c r="C40" s="119"/>
      <c r="D40" s="18" t="s">
        <v>7</v>
      </c>
      <c r="E40" s="95">
        <f>(+DERIVAS!E40-DERIVAS!H40)/DERIVAS!H40</f>
        <v>-4.0129720902719393E-2</v>
      </c>
      <c r="F40" s="96">
        <f>(+DERIVAS!F40-DERIVAS!I40)/DERIVAS!I40</f>
        <v>1.6111848932186774E-2</v>
      </c>
      <c r="G40" s="97">
        <f>(+DERIVAS!G40-DERIVAS!J40)/DERIVAS!J40</f>
        <v>1.7530175171601339E-2</v>
      </c>
      <c r="H40" s="95">
        <f>(+DERIVAS!E40-DERIVAS!F40)/DERIVAS!F40</f>
        <v>-0.12707788660808303</v>
      </c>
      <c r="I40" s="98">
        <f>(+DERIVAS!E40-DERIVAS!G40)/DERIVAS!G40</f>
        <v>-0.11645957893537182</v>
      </c>
    </row>
    <row r="41" spans="2:9" x14ac:dyDescent="0.25">
      <c r="B41" s="116"/>
      <c r="C41" s="119"/>
      <c r="D41" s="18" t="s">
        <v>8</v>
      </c>
      <c r="E41" s="95">
        <f>(+DERIVAS!E41-DERIVAS!H41)/DERIVAS!H41</f>
        <v>-3.9348182667614043E-2</v>
      </c>
      <c r="F41" s="96">
        <f>(+DERIVAS!F41-DERIVAS!I41)/DERIVAS!I41</f>
        <v>2.0915535246488502E-2</v>
      </c>
      <c r="G41" s="97">
        <f>(+DERIVAS!G41-DERIVAS!J41)/DERIVAS!J41</f>
        <v>2.0967105675707916E-2</v>
      </c>
      <c r="H41" s="95">
        <f>(+DERIVAS!E41-DERIVAS!F41)/DERIVAS!F41</f>
        <v>-0.13236703405773509</v>
      </c>
      <c r="I41" s="98">
        <f>(+DERIVAS!E41-DERIVAS!G41)/DERIVAS!G41</f>
        <v>-0.1203324307686581</v>
      </c>
    </row>
    <row r="42" spans="2:9" x14ac:dyDescent="0.25">
      <c r="B42" s="116"/>
      <c r="C42" s="119"/>
      <c r="D42" s="18" t="s">
        <v>9</v>
      </c>
      <c r="E42" s="95">
        <f>(+DERIVAS!E42-DERIVAS!H42)/DERIVAS!H42</f>
        <v>-3.9176890141151825E-2</v>
      </c>
      <c r="F42" s="96">
        <f>(+DERIVAS!F42-DERIVAS!I42)/DERIVAS!I42</f>
        <v>2.266549459136509E-2</v>
      </c>
      <c r="G42" s="97">
        <f>(+DERIVAS!G42-DERIVAS!J42)/DERIVAS!J42</f>
        <v>2.177307211201681E-2</v>
      </c>
      <c r="H42" s="95">
        <f>(+DERIVAS!E42-DERIVAS!F42)/DERIVAS!F42</f>
        <v>-0.13316241723397981</v>
      </c>
      <c r="I42" s="98">
        <f>(+DERIVAS!E42-DERIVAS!G42)/DERIVAS!G42</f>
        <v>-0.11961561804406043</v>
      </c>
    </row>
    <row r="43" spans="2:9" x14ac:dyDescent="0.25">
      <c r="B43" s="116"/>
      <c r="C43" s="119"/>
      <c r="D43" s="18" t="s">
        <v>10</v>
      </c>
      <c r="E43" s="95">
        <f>(+DERIVAS!E43-DERIVAS!H43)/DERIVAS!H43</f>
        <v>-3.9541064390673578E-2</v>
      </c>
      <c r="F43" s="96">
        <f>(+DERIVAS!F43-DERIVAS!I43)/DERIVAS!I43</f>
        <v>2.3211139057016383E-2</v>
      </c>
      <c r="G43" s="97">
        <f>(+DERIVAS!G43-DERIVAS!J43)/DERIVAS!J43</f>
        <v>2.1528859475788878E-2</v>
      </c>
      <c r="H43" s="95">
        <f>(+DERIVAS!E43-DERIVAS!F43)/DERIVAS!F43</f>
        <v>-0.13298483117638377</v>
      </c>
      <c r="I43" s="98">
        <f>(+DERIVAS!E43-DERIVAS!G43)/DERIVAS!G43</f>
        <v>-0.11800303036953387</v>
      </c>
    </row>
    <row r="44" spans="2:9" x14ac:dyDescent="0.25">
      <c r="B44" s="116"/>
      <c r="C44" s="119"/>
      <c r="D44" s="18" t="s">
        <v>11</v>
      </c>
      <c r="E44" s="95">
        <f>(+DERIVAS!E44-DERIVAS!H44)/DERIVAS!H44</f>
        <v>-4.0352218490668446E-2</v>
      </c>
      <c r="F44" s="96">
        <f>(+DERIVAS!F44-DERIVAS!I44)/DERIVAS!I44</f>
        <v>2.3437692180070958E-2</v>
      </c>
      <c r="G44" s="97">
        <f>(+DERIVAS!G44-DERIVAS!J44)/DERIVAS!J44</f>
        <v>2.1100509057142634E-2</v>
      </c>
      <c r="H44" s="95">
        <f>(+DERIVAS!E44-DERIVAS!F44)/DERIVAS!F44</f>
        <v>-0.13379799187860009</v>
      </c>
      <c r="I44" s="98">
        <f>(+DERIVAS!E44-DERIVAS!G44)/DERIVAS!G44</f>
        <v>-0.11743623499748783</v>
      </c>
    </row>
    <row r="45" spans="2:9" x14ac:dyDescent="0.25">
      <c r="B45" s="116"/>
      <c r="C45" s="119"/>
      <c r="D45" s="18" t="s">
        <v>12</v>
      </c>
      <c r="E45" s="95">
        <f>(+DERIVAS!E45-DERIVAS!H45)/DERIVAS!H45</f>
        <v>-4.1397173010256236E-2</v>
      </c>
      <c r="F45" s="96">
        <f>(+DERIVAS!F45-DERIVAS!I45)/DERIVAS!I45</f>
        <v>2.3771690561123833E-2</v>
      </c>
      <c r="G45" s="97">
        <f>(+DERIVAS!G45-DERIVAS!J45)/DERIVAS!J45</f>
        <v>2.1529274293860642E-2</v>
      </c>
      <c r="H45" s="95">
        <f>(+DERIVAS!E45-DERIVAS!F45)/DERIVAS!F45</f>
        <v>-0.135452628498028</v>
      </c>
      <c r="I45" s="98">
        <f>(+DERIVAS!E45-DERIVAS!G45)/DERIVAS!G45</f>
        <v>-0.11868122052528322</v>
      </c>
    </row>
    <row r="46" spans="2:9" x14ac:dyDescent="0.25">
      <c r="B46" s="116"/>
      <c r="C46" s="119"/>
      <c r="D46" s="18" t="s">
        <v>13</v>
      </c>
      <c r="E46" s="95">
        <f>(+DERIVAS!E46-DERIVAS!H46)/DERIVAS!H46</f>
        <v>-4.1680616200384719E-2</v>
      </c>
      <c r="F46" s="96">
        <f>(+DERIVAS!F46-DERIVAS!I46)/DERIVAS!I46</f>
        <v>2.4094991322417537E-2</v>
      </c>
      <c r="G46" s="97">
        <f>(+DERIVAS!G46-DERIVAS!J46)/DERIVAS!J46</f>
        <v>2.1304915281635937E-2</v>
      </c>
      <c r="H46" s="95">
        <f>(+DERIVAS!E46-DERIVAS!F46)/DERIVAS!F46</f>
        <v>-0.13631432865128462</v>
      </c>
      <c r="I46" s="98">
        <f>(+DERIVAS!E46-DERIVAS!G46)/DERIVAS!G46</f>
        <v>-0.11916240399140587</v>
      </c>
    </row>
    <row r="47" spans="2:9" x14ac:dyDescent="0.25">
      <c r="B47" s="116"/>
      <c r="C47" s="119"/>
      <c r="D47" s="18" t="s">
        <v>14</v>
      </c>
      <c r="E47" s="95">
        <f>(+DERIVAS!E47-DERIVAS!H47)/DERIVAS!H47</f>
        <v>-3.7087049532995159E-2</v>
      </c>
      <c r="F47" s="96">
        <f>(+DERIVAS!F47-DERIVAS!I47)/DERIVAS!I47</f>
        <v>2.6225166479118548E-2</v>
      </c>
      <c r="G47" s="97">
        <f>(+DERIVAS!G47-DERIVAS!J47)/DERIVAS!J47</f>
        <v>2.2383282040324227E-2</v>
      </c>
      <c r="H47" s="95">
        <f>(+DERIVAS!E47-DERIVAS!F47)/DERIVAS!F47</f>
        <v>-0.13153582354384361</v>
      </c>
      <c r="I47" s="98">
        <f>(+DERIVAS!E47-DERIVAS!G47)/DERIVAS!G47</f>
        <v>-0.11379991097855412</v>
      </c>
    </row>
    <row r="48" spans="2:9" ht="15.75" thickBot="1" x14ac:dyDescent="0.3">
      <c r="B48" s="117"/>
      <c r="C48" s="120"/>
      <c r="D48" s="20" t="s">
        <v>4</v>
      </c>
      <c r="E48" s="99">
        <f>(+DERIVAS!E48-DERIVAS!H48)/DERIVAS!H48</f>
        <v>-1.9873132726287556E-2</v>
      </c>
      <c r="F48" s="100">
        <f>(+DERIVAS!F48-DERIVAS!I48)/DERIVAS!I48</f>
        <v>3.685965868474865E-2</v>
      </c>
      <c r="G48" s="101">
        <f>(+DERIVAS!G48-DERIVAS!J48)/DERIVAS!J48</f>
        <v>2.7446039418979499E-2</v>
      </c>
      <c r="H48" s="99">
        <f>(+DERIVAS!E48-DERIVAS!F48)/DERIVAS!F48</f>
        <v>-0.10984199165756831</v>
      </c>
      <c r="I48" s="102">
        <f>(+DERIVAS!E48-DERIVAS!G48)/DERIVAS!G48</f>
        <v>-8.6657207826265334E-2</v>
      </c>
    </row>
    <row r="49" spans="5:9" ht="15.75" thickBot="1" x14ac:dyDescent="0.3">
      <c r="E49" s="112" t="s">
        <v>58</v>
      </c>
      <c r="F49" s="113"/>
      <c r="G49" s="114"/>
      <c r="H49" s="112" t="s">
        <v>59</v>
      </c>
      <c r="I49" s="114"/>
    </row>
  </sheetData>
  <mergeCells count="15">
    <mergeCell ref="E3:G3"/>
    <mergeCell ref="H3:I3"/>
    <mergeCell ref="E49:G49"/>
    <mergeCell ref="H49:I49"/>
    <mergeCell ref="B16:B26"/>
    <mergeCell ref="C16:C26"/>
    <mergeCell ref="B27:B37"/>
    <mergeCell ref="C27:C37"/>
    <mergeCell ref="B38:B48"/>
    <mergeCell ref="C38:C48"/>
    <mergeCell ref="B5:B15"/>
    <mergeCell ref="C5:C15"/>
    <mergeCell ref="B3:B4"/>
    <mergeCell ref="C3:C4"/>
    <mergeCell ref="D3:D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7"/>
  <dimension ref="B3:I49"/>
  <sheetViews>
    <sheetView tabSelected="1" zoomScale="70" zoomScaleNormal="70" workbookViewId="0">
      <selection activeCell="I5" sqref="I5"/>
    </sheetView>
  </sheetViews>
  <sheetFormatPr baseColWidth="10" defaultRowHeight="15" x14ac:dyDescent="0.25"/>
  <cols>
    <col min="1" max="1" width="9.28515625" customWidth="1"/>
    <col min="2" max="2" width="15.5703125" customWidth="1"/>
    <col min="3" max="3" width="10.28515625" customWidth="1"/>
    <col min="5" max="7" width="22.7109375" customWidth="1"/>
    <col min="8" max="8" width="27.7109375" customWidth="1"/>
    <col min="9" max="9" width="28.5703125" customWidth="1"/>
  </cols>
  <sheetData>
    <row r="3" spans="2:9" x14ac:dyDescent="0.25">
      <c r="B3" s="121" t="s">
        <v>2</v>
      </c>
      <c r="C3" s="121" t="s">
        <v>16</v>
      </c>
      <c r="D3" s="121" t="s">
        <v>3</v>
      </c>
      <c r="E3" s="111" t="s">
        <v>87</v>
      </c>
      <c r="F3" s="111"/>
      <c r="G3" s="111"/>
      <c r="H3" s="111" t="s">
        <v>84</v>
      </c>
      <c r="I3" s="111"/>
    </row>
    <row r="4" spans="2:9" ht="15.75" thickBot="1" x14ac:dyDescent="0.3">
      <c r="B4" s="122"/>
      <c r="C4" s="122"/>
      <c r="D4" s="122"/>
      <c r="E4" s="27" t="s">
        <v>67</v>
      </c>
      <c r="F4" s="27" t="s">
        <v>68</v>
      </c>
      <c r="G4" s="27" t="s">
        <v>69</v>
      </c>
      <c r="H4" s="27" t="s">
        <v>88</v>
      </c>
      <c r="I4" s="27" t="s">
        <v>86</v>
      </c>
    </row>
    <row r="5" spans="2:9" x14ac:dyDescent="0.25">
      <c r="B5" s="115" t="s">
        <v>31</v>
      </c>
      <c r="C5" s="118" t="s">
        <v>18</v>
      </c>
      <c r="D5" s="19" t="s">
        <v>5</v>
      </c>
      <c r="E5" s="91">
        <f>(+'IRRE TORSIONAL'!E5-'IRRE TORSIONAL'!H5)/'IRRE TORSIONAL'!H5</f>
        <v>2.6937535628909904E-3</v>
      </c>
      <c r="F5" s="92">
        <f>(+'IRRE TORSIONAL'!F5-'IRRE TORSIONAL'!I5)/'IRRE TORSIONAL'!I5</f>
        <v>4.6078942201042356E-3</v>
      </c>
      <c r="G5" s="93">
        <f>(+'IRRE TORSIONAL'!G5-'IRRE TORSIONAL'!J5)/'IRRE TORSIONAL'!J5</f>
        <v>1.0963898627858924E-2</v>
      </c>
      <c r="H5" s="91">
        <f>(+'IRRE TORSIONAL'!E5-'IRRE TORSIONAL'!F5)/'IRRE TORSIONAL'!E5</f>
        <v>2.7309059519250701E-3</v>
      </c>
      <c r="I5" s="94">
        <f>(+'IRRE TORSIONAL'!E5-'IRRE TORSIONAL'!G5)/'IRRE TORSIONAL'!E5</f>
        <v>-3.3729859580045596E-3</v>
      </c>
    </row>
    <row r="6" spans="2:9" x14ac:dyDescent="0.25">
      <c r="B6" s="116"/>
      <c r="C6" s="119"/>
      <c r="D6" s="18" t="s">
        <v>6</v>
      </c>
      <c r="E6" s="95">
        <f>(+'IRRE TORSIONAL'!E6-'IRRE TORSIONAL'!H6)/'IRRE TORSIONAL'!H6</f>
        <v>1.0416409771569362E-2</v>
      </c>
      <c r="F6" s="96">
        <f>(+'IRRE TORSIONAL'!F6-'IRRE TORSIONAL'!I6)/'IRRE TORSIONAL'!I6</f>
        <v>1.7598370894504362E-2</v>
      </c>
      <c r="G6" s="97">
        <f>(+'IRRE TORSIONAL'!G6-'IRRE TORSIONAL'!J6)/'IRRE TORSIONAL'!J6</f>
        <v>4.7145200038906571E-2</v>
      </c>
      <c r="H6" s="95">
        <f>(+'IRRE TORSIONAL'!E6-'IRRE TORSIONAL'!F6)/'IRRE TORSIONAL'!E6</f>
        <v>-1.0403884693200109E-2</v>
      </c>
      <c r="I6" s="98">
        <f>(+'IRRE TORSIONAL'!E6-'IRRE TORSIONAL'!G6)/'IRRE TORSIONAL'!E6</f>
        <v>-3.3903417764347479E-2</v>
      </c>
    </row>
    <row r="7" spans="2:9" x14ac:dyDescent="0.25">
      <c r="B7" s="116"/>
      <c r="C7" s="119"/>
      <c r="D7" s="18" t="s">
        <v>7</v>
      </c>
      <c r="E7" s="95">
        <f>(+'IRRE TORSIONAL'!E7-'IRRE TORSIONAL'!H7)/'IRRE TORSIONAL'!H7</f>
        <v>1.1072219253970551E-2</v>
      </c>
      <c r="F7" s="96">
        <f>(+'IRRE TORSIONAL'!F7-'IRRE TORSIONAL'!I7)/'IRRE TORSIONAL'!I7</f>
        <v>1.9110952293502324E-2</v>
      </c>
      <c r="G7" s="97">
        <f>(+'IRRE TORSIONAL'!G7-'IRRE TORSIONAL'!J7)/'IRRE TORSIONAL'!J7</f>
        <v>5.2356726573542858E-2</v>
      </c>
      <c r="H7" s="95">
        <f>(+'IRRE TORSIONAL'!E7-'IRRE TORSIONAL'!F7)/'IRRE TORSIONAL'!E7</f>
        <v>-1.1421262888114261E-2</v>
      </c>
      <c r="I7" s="98">
        <f>(+'IRRE TORSIONAL'!E7-'IRRE TORSIONAL'!G7)/'IRRE TORSIONAL'!E7</f>
        <v>-3.9941773187358233E-2</v>
      </c>
    </row>
    <row r="8" spans="2:9" x14ac:dyDescent="0.25">
      <c r="B8" s="116"/>
      <c r="C8" s="119"/>
      <c r="D8" s="18" t="s">
        <v>8</v>
      </c>
      <c r="E8" s="95">
        <f>(+'IRRE TORSIONAL'!E8-'IRRE TORSIONAL'!H8)/'IRRE TORSIONAL'!H8</f>
        <v>1.1777713572932834E-2</v>
      </c>
      <c r="F8" s="96">
        <f>(+'IRRE TORSIONAL'!F8-'IRRE TORSIONAL'!I8)/'IRRE TORSIONAL'!I8</f>
        <v>2.0684904002460865E-2</v>
      </c>
      <c r="G8" s="97">
        <f>(+'IRRE TORSIONAL'!G8-'IRRE TORSIONAL'!J8)/'IRRE TORSIONAL'!J8</f>
        <v>5.7302697833217613E-2</v>
      </c>
      <c r="H8" s="95">
        <f>(+'IRRE TORSIONAL'!E8-'IRRE TORSIONAL'!F8)/'IRRE TORSIONAL'!E8</f>
        <v>-1.2607137479997489E-2</v>
      </c>
      <c r="I8" s="98">
        <f>(+'IRRE TORSIONAL'!E8-'IRRE TORSIONAL'!G8)/'IRRE TORSIONAL'!E8</f>
        <v>-4.5813098839091036E-2</v>
      </c>
    </row>
    <row r="9" spans="2:9" x14ac:dyDescent="0.25">
      <c r="B9" s="116"/>
      <c r="C9" s="119"/>
      <c r="D9" s="18" t="s">
        <v>9</v>
      </c>
      <c r="E9" s="95">
        <f>(+'IRRE TORSIONAL'!E9-'IRRE TORSIONAL'!H9)/'IRRE TORSIONAL'!H9</f>
        <v>1.2507773435534515E-2</v>
      </c>
      <c r="F9" s="96">
        <f>(+'IRRE TORSIONAL'!F9-'IRRE TORSIONAL'!I9)/'IRRE TORSIONAL'!I9</f>
        <v>2.2094503989807789E-2</v>
      </c>
      <c r="G9" s="97">
        <f>(+'IRRE TORSIONAL'!G9-'IRRE TORSIONAL'!J9)/'IRRE TORSIONAL'!J9</f>
        <v>6.1695932680403506E-2</v>
      </c>
      <c r="H9" s="95">
        <f>(+'IRRE TORSIONAL'!E9-'IRRE TORSIONAL'!F9)/'IRRE TORSIONAL'!E9</f>
        <v>-1.3680304739811707E-2</v>
      </c>
      <c r="I9" s="98">
        <f>(+'IRRE TORSIONAL'!E9-'IRRE TORSIONAL'!G9)/'IRRE TORSIONAL'!E9</f>
        <v>-5.1187746275689776E-2</v>
      </c>
    </row>
    <row r="10" spans="2:9" x14ac:dyDescent="0.25">
      <c r="B10" s="116"/>
      <c r="C10" s="119"/>
      <c r="D10" s="18" t="s">
        <v>10</v>
      </c>
      <c r="E10" s="95">
        <f>(+'IRRE TORSIONAL'!E10-'IRRE TORSIONAL'!H10)/'IRRE TORSIONAL'!H10</f>
        <v>1.3278421277177798E-2</v>
      </c>
      <c r="F10" s="96">
        <f>(+'IRRE TORSIONAL'!F10-'IRRE TORSIONAL'!I10)/'IRRE TORSIONAL'!I10</f>
        <v>2.3381410135426162E-2</v>
      </c>
      <c r="G10" s="97">
        <f>(+'IRRE TORSIONAL'!G10-'IRRE TORSIONAL'!J10)/'IRRE TORSIONAL'!J10</f>
        <v>6.5742352944543669E-2</v>
      </c>
      <c r="H10" s="95">
        <f>(+'IRRE TORSIONAL'!E10-'IRRE TORSIONAL'!F10)/'IRRE TORSIONAL'!E10</f>
        <v>-1.4707266222390599E-2</v>
      </c>
      <c r="I10" s="98">
        <f>(+'IRRE TORSIONAL'!E10-'IRRE TORSIONAL'!G10)/'IRRE TORSIONAL'!E10</f>
        <v>-5.6382602160088391E-2</v>
      </c>
    </row>
    <row r="11" spans="2:9" x14ac:dyDescent="0.25">
      <c r="B11" s="116"/>
      <c r="C11" s="119"/>
      <c r="D11" s="18" t="s">
        <v>11</v>
      </c>
      <c r="E11" s="95">
        <f>(+'IRRE TORSIONAL'!E11-'IRRE TORSIONAL'!H11)/'IRRE TORSIONAL'!H11</f>
        <v>1.4117335580358858E-2</v>
      </c>
      <c r="F11" s="96">
        <f>(+'IRRE TORSIONAL'!F11-'IRRE TORSIONAL'!I11)/'IRRE TORSIONAL'!I11</f>
        <v>2.456129143794139E-2</v>
      </c>
      <c r="G11" s="97">
        <f>(+'IRRE TORSIONAL'!G11-'IRRE TORSIONAL'!J11)/'IRRE TORSIONAL'!J11</f>
        <v>6.9554782435813201E-2</v>
      </c>
      <c r="H11" s="95">
        <f>(+'IRRE TORSIONAL'!E11-'IRRE TORSIONAL'!F11)/'IRRE TORSIONAL'!E11</f>
        <v>-1.5702741578598349E-2</v>
      </c>
      <c r="I11" s="98">
        <f>(+'IRRE TORSIONAL'!E11-'IRRE TORSIONAL'!G11)/'IRRE TORSIONAL'!E11</f>
        <v>-6.1583417631656631E-2</v>
      </c>
    </row>
    <row r="12" spans="2:9" x14ac:dyDescent="0.25">
      <c r="B12" s="116"/>
      <c r="C12" s="119"/>
      <c r="D12" s="18" t="s">
        <v>12</v>
      </c>
      <c r="E12" s="95">
        <f>(+'IRRE TORSIONAL'!E12-'IRRE TORSIONAL'!H12)/'IRRE TORSIONAL'!H12</f>
        <v>1.5056455018888025E-2</v>
      </c>
      <c r="F12" s="96">
        <f>(+'IRRE TORSIONAL'!F12-'IRRE TORSIONAL'!I12)/'IRRE TORSIONAL'!I12</f>
        <v>2.5630762079500297E-2</v>
      </c>
      <c r="G12" s="97">
        <f>(+'IRRE TORSIONAL'!G12-'IRRE TORSIONAL'!J12)/'IRRE TORSIONAL'!J12</f>
        <v>7.3566491247568394E-2</v>
      </c>
      <c r="H12" s="95">
        <f>(+'IRRE TORSIONAL'!E12-'IRRE TORSIONAL'!F12)/'IRRE TORSIONAL'!E12</f>
        <v>-1.6230705505504126E-2</v>
      </c>
      <c r="I12" s="98">
        <f>(+'IRRE TORSIONAL'!E12-'IRRE TORSIONAL'!G12)/'IRRE TORSIONAL'!E12</f>
        <v>-6.5907936286361754E-2</v>
      </c>
    </row>
    <row r="13" spans="2:9" x14ac:dyDescent="0.25">
      <c r="B13" s="116"/>
      <c r="C13" s="119"/>
      <c r="D13" s="18" t="s">
        <v>13</v>
      </c>
      <c r="E13" s="95">
        <f>(+'IRRE TORSIONAL'!E13-'IRRE TORSIONAL'!H13)/'IRRE TORSIONAL'!H13</f>
        <v>1.6145920156104058E-2</v>
      </c>
      <c r="F13" s="96">
        <f>(+'IRRE TORSIONAL'!F13-'IRRE TORSIONAL'!I13)/'IRRE TORSIONAL'!I13</f>
        <v>2.6178064427862972E-2</v>
      </c>
      <c r="G13" s="97">
        <f>(+'IRRE TORSIONAL'!G13-'IRRE TORSIONAL'!J13)/'IRRE TORSIONAL'!J13</f>
        <v>7.7363753487022957E-2</v>
      </c>
      <c r="H13" s="95">
        <f>(+'IRRE TORSIONAL'!E13-'IRRE TORSIONAL'!F13)/'IRRE TORSIONAL'!E13</f>
        <v>-1.5507539539190837E-2</v>
      </c>
      <c r="I13" s="98">
        <f>(+'IRRE TORSIONAL'!E13-'IRRE TORSIONAL'!G13)/'IRRE TORSIONAL'!E13</f>
        <v>-6.779210180183709E-2</v>
      </c>
    </row>
    <row r="14" spans="2:9" x14ac:dyDescent="0.25">
      <c r="B14" s="116"/>
      <c r="C14" s="119"/>
      <c r="D14" s="18" t="s">
        <v>14</v>
      </c>
      <c r="E14" s="95">
        <f>(+'IRRE TORSIONAL'!E14-'IRRE TORSIONAL'!H14)/'IRRE TORSIONAL'!H14</f>
        <v>1.7578959375191404E-2</v>
      </c>
      <c r="F14" s="96">
        <f>(+'IRRE TORSIONAL'!F14-'IRRE TORSIONAL'!I14)/'IRRE TORSIONAL'!I14</f>
        <v>2.5157986855847074E-2</v>
      </c>
      <c r="G14" s="97">
        <f>(+'IRRE TORSIONAL'!G14-'IRRE TORSIONAL'!J14)/'IRRE TORSIONAL'!J14</f>
        <v>7.9098225605699152E-2</v>
      </c>
      <c r="H14" s="95">
        <f>(+'IRRE TORSIONAL'!E14-'IRRE TORSIONAL'!F14)/'IRRE TORSIONAL'!E14</f>
        <v>-1.2245334632963597E-2</v>
      </c>
      <c r="I14" s="98">
        <f>(+'IRRE TORSIONAL'!E14-'IRRE TORSIONAL'!G14)/'IRRE TORSIONAL'!E14</f>
        <v>-6.4872624271462606E-2</v>
      </c>
    </row>
    <row r="15" spans="2:9" ht="15.75" thickBot="1" x14ac:dyDescent="0.3">
      <c r="B15" s="117"/>
      <c r="C15" s="120"/>
      <c r="D15" s="20" t="s">
        <v>4</v>
      </c>
      <c r="E15" s="99">
        <f>(+'IRRE TORSIONAL'!E15-'IRRE TORSIONAL'!H15)/'IRRE TORSIONAL'!H15</f>
        <v>2.0294801333716996E-2</v>
      </c>
      <c r="F15" s="100">
        <f>(+'IRRE TORSIONAL'!F15-'IRRE TORSIONAL'!I15)/'IRRE TORSIONAL'!I15</f>
        <v>1.9431069749226128E-2</v>
      </c>
      <c r="G15" s="101">
        <f>(+'IRRE TORSIONAL'!G15-'IRRE TORSIONAL'!J15)/'IRRE TORSIONAL'!J15</f>
        <v>7.3718521928882036E-2</v>
      </c>
      <c r="H15" s="99">
        <f>(+'IRRE TORSIONAL'!E15-'IRRE TORSIONAL'!F15)/'IRRE TORSIONAL'!E15</f>
        <v>-1.3347549465450501E-3</v>
      </c>
      <c r="I15" s="102">
        <f>(+'IRRE TORSIONAL'!E15-'IRRE TORSIONAL'!G15)/'IRRE TORSIONAL'!E15</f>
        <v>-4.7191841239097476E-2</v>
      </c>
    </row>
    <row r="16" spans="2:9" x14ac:dyDescent="0.25">
      <c r="B16" s="115" t="s">
        <v>31</v>
      </c>
      <c r="C16" s="118" t="s">
        <v>19</v>
      </c>
      <c r="D16" s="19" t="s">
        <v>5</v>
      </c>
      <c r="E16" s="91">
        <f>(+'IRRE TORSIONAL'!E16-'IRRE TORSIONAL'!H16)/'IRRE TORSIONAL'!H16</f>
        <v>-3.5217501091438456E-3</v>
      </c>
      <c r="F16" s="92">
        <f>(+'IRRE TORSIONAL'!F16-'IRRE TORSIONAL'!I16)/'IRRE TORSIONAL'!I16</f>
        <v>-6.310433313979835E-3</v>
      </c>
      <c r="G16" s="93">
        <f>(+'IRRE TORSIONAL'!G16-'IRRE TORSIONAL'!J16)/'IRRE TORSIONAL'!J16</f>
        <v>-1.2290019311426309E-2</v>
      </c>
      <c r="H16" s="91">
        <f>(+'IRRE TORSIONAL'!E16-'IRRE TORSIONAL'!F16)/'IRRE TORSIONAL'!E16</f>
        <v>7.1983219367150429E-3</v>
      </c>
      <c r="I16" s="94">
        <f>(+'IRRE TORSIONAL'!E16-'IRRE TORSIONAL'!G16)/'IRRE TORSIONAL'!E16</f>
        <v>1.7118126452518721E-2</v>
      </c>
    </row>
    <row r="17" spans="2:9" x14ac:dyDescent="0.25">
      <c r="B17" s="116"/>
      <c r="C17" s="119"/>
      <c r="D17" s="18" t="s">
        <v>6</v>
      </c>
      <c r="E17" s="95">
        <f>(+'IRRE TORSIONAL'!E17-'IRRE TORSIONAL'!H17)/'IRRE TORSIONAL'!H17</f>
        <v>-1.1957642033095654E-2</v>
      </c>
      <c r="F17" s="96">
        <f>(+'IRRE TORSIONAL'!F17-'IRRE TORSIONAL'!I17)/'IRRE TORSIONAL'!I17</f>
        <v>-2.3578748067147909E-2</v>
      </c>
      <c r="G17" s="97">
        <f>(+'IRRE TORSIONAL'!G17-'IRRE TORSIONAL'!J17)/'IRRE TORSIONAL'!J17</f>
        <v>-5.8949389298298349E-2</v>
      </c>
      <c r="H17" s="95">
        <f>(+'IRRE TORSIONAL'!E17-'IRRE TORSIONAL'!F17)/'IRRE TORSIONAL'!E17</f>
        <v>1.9861450804869427E-2</v>
      </c>
      <c r="I17" s="98">
        <f>(+'IRRE TORSIONAL'!E17-'IRRE TORSIONAL'!G17)/'IRRE TORSIONAL'!E17</f>
        <v>6.7144839687342389E-2</v>
      </c>
    </row>
    <row r="18" spans="2:9" x14ac:dyDescent="0.25">
      <c r="B18" s="116"/>
      <c r="C18" s="119"/>
      <c r="D18" s="18" t="s">
        <v>7</v>
      </c>
      <c r="E18" s="95">
        <f>(+'IRRE TORSIONAL'!E18-'IRRE TORSIONAL'!H18)/'IRRE TORSIONAL'!H18</f>
        <v>-1.1820965662018481E-2</v>
      </c>
      <c r="F18" s="96">
        <f>(+'IRRE TORSIONAL'!F18-'IRRE TORSIONAL'!I18)/'IRRE TORSIONAL'!I18</f>
        <v>-2.4709922134044195E-2</v>
      </c>
      <c r="G18" s="97">
        <f>(+'IRRE TORSIONAL'!G18-'IRRE TORSIONAL'!J18)/'IRRE TORSIONAL'!J18</f>
        <v>-4.9305649031215572E-2</v>
      </c>
      <c r="H18" s="95">
        <f>(+'IRRE TORSIONAL'!E18-'IRRE TORSIONAL'!F18)/'IRRE TORSIONAL'!E18</f>
        <v>2.2172861042726429E-2</v>
      </c>
      <c r="I18" s="98">
        <f>(+'IRRE TORSIONAL'!E18-'IRRE TORSIONAL'!G18)/'IRRE TORSIONAL'!E18</f>
        <v>6.0497714020366362E-2</v>
      </c>
    </row>
    <row r="19" spans="2:9" x14ac:dyDescent="0.25">
      <c r="B19" s="116"/>
      <c r="C19" s="119"/>
      <c r="D19" s="18" t="s">
        <v>8</v>
      </c>
      <c r="E19" s="95">
        <f>(+'IRRE TORSIONAL'!E19-'IRRE TORSIONAL'!H19)/'IRRE TORSIONAL'!H19</f>
        <v>-1.1735967768556184E-2</v>
      </c>
      <c r="F19" s="96">
        <f>(+'IRRE TORSIONAL'!F19-'IRRE TORSIONAL'!I19)/'IRRE TORSIONAL'!I19</f>
        <v>-2.5885302068420719E-2</v>
      </c>
      <c r="G19" s="97">
        <f>(+'IRRE TORSIONAL'!G19-'IRRE TORSIONAL'!J19)/'IRRE TORSIONAL'!J19</f>
        <v>-3.9890308550585708E-2</v>
      </c>
      <c r="H19" s="95">
        <f>(+'IRRE TORSIONAL'!E19-'IRRE TORSIONAL'!F19)/'IRRE TORSIONAL'!E19</f>
        <v>2.4495030086934062E-2</v>
      </c>
      <c r="I19" s="98">
        <f>(+'IRRE TORSIONAL'!E19-'IRRE TORSIONAL'!G19)/'IRRE TORSIONAL'!E19</f>
        <v>5.4069209118647779E-2</v>
      </c>
    </row>
    <row r="20" spans="2:9" x14ac:dyDescent="0.25">
      <c r="B20" s="116"/>
      <c r="C20" s="119"/>
      <c r="D20" s="18" t="s">
        <v>9</v>
      </c>
      <c r="E20" s="95">
        <f>(+'IRRE TORSIONAL'!E20-'IRRE TORSIONAL'!H20)/'IRRE TORSIONAL'!H20</f>
        <v>-1.1682780423421652E-2</v>
      </c>
      <c r="F20" s="96">
        <f>(+'IRRE TORSIONAL'!F20-'IRRE TORSIONAL'!I20)/'IRRE TORSIONAL'!I20</f>
        <v>-2.6985679100473139E-2</v>
      </c>
      <c r="G20" s="97">
        <f>(+'IRRE TORSIONAL'!G20-'IRRE TORSIONAL'!J20)/'IRRE TORSIONAL'!J20</f>
        <v>-3.1017908664108453E-2</v>
      </c>
      <c r="H20" s="95">
        <f>(+'IRRE TORSIONAL'!E20-'IRRE TORSIONAL'!F20)/'IRRE TORSIONAL'!E20</f>
        <v>2.6668484019438887E-2</v>
      </c>
      <c r="I20" s="98">
        <f>(+'IRRE TORSIONAL'!E20-'IRRE TORSIONAL'!G20)/'IRRE TORSIONAL'!E20</f>
        <v>4.8158172249611775E-2</v>
      </c>
    </row>
    <row r="21" spans="2:9" x14ac:dyDescent="0.25">
      <c r="B21" s="116"/>
      <c r="C21" s="119"/>
      <c r="D21" s="18" t="s">
        <v>10</v>
      </c>
      <c r="E21" s="95">
        <f>(+'IRRE TORSIONAL'!E21-'IRRE TORSIONAL'!H21)/'IRRE TORSIONAL'!H21</f>
        <v>-1.1628729931861577E-2</v>
      </c>
      <c r="F21" s="96">
        <f>(+'IRRE TORSIONAL'!F21-'IRRE TORSIONAL'!I21)/'IRRE TORSIONAL'!I21</f>
        <v>-2.8073539853793135E-2</v>
      </c>
      <c r="G21" s="97">
        <f>(+'IRRE TORSIONAL'!G21-'IRRE TORSIONAL'!J21)/'IRRE TORSIONAL'!J21</f>
        <v>-2.2171946938038884E-2</v>
      </c>
      <c r="H21" s="95">
        <f>(+'IRRE TORSIONAL'!E21-'IRRE TORSIONAL'!F21)/'IRRE TORSIONAL'!E21</f>
        <v>2.8845814293070402E-2</v>
      </c>
      <c r="I21" s="98">
        <f>(+'IRRE TORSIONAL'!E21-'IRRE TORSIONAL'!G21)/'IRRE TORSIONAL'!E21</f>
        <v>4.2459378873008623E-2</v>
      </c>
    </row>
    <row r="22" spans="2:9" x14ac:dyDescent="0.25">
      <c r="B22" s="116"/>
      <c r="C22" s="119"/>
      <c r="D22" s="18" t="s">
        <v>11</v>
      </c>
      <c r="E22" s="95">
        <f>(+'IRRE TORSIONAL'!E22-'IRRE TORSIONAL'!H22)/'IRRE TORSIONAL'!H22</f>
        <v>-1.1549644897267029E-2</v>
      </c>
      <c r="F22" s="96">
        <f>(+'IRRE TORSIONAL'!F22-'IRRE TORSIONAL'!I22)/'IRRE TORSIONAL'!I22</f>
        <v>-2.9192197771125528E-2</v>
      </c>
      <c r="G22" s="97">
        <f>(+'IRRE TORSIONAL'!G22-'IRRE TORSIONAL'!J22)/'IRRE TORSIONAL'!J22</f>
        <v>-1.2985216664513098E-2</v>
      </c>
      <c r="H22" s="95">
        <f>(+'IRRE TORSIONAL'!E22-'IRRE TORSIONAL'!F22)/'IRRE TORSIONAL'!E22</f>
        <v>3.1139770375260035E-2</v>
      </c>
      <c r="I22" s="98">
        <f>(+'IRRE TORSIONAL'!E22-'IRRE TORSIONAL'!G22)/'IRRE TORSIONAL'!E22</f>
        <v>3.6789851098190759E-2</v>
      </c>
    </row>
    <row r="23" spans="2:9" x14ac:dyDescent="0.25">
      <c r="B23" s="116"/>
      <c r="C23" s="119"/>
      <c r="D23" s="18" t="s">
        <v>12</v>
      </c>
      <c r="E23" s="95">
        <f>(+'IRRE TORSIONAL'!E23-'IRRE TORSIONAL'!H23)/'IRRE TORSIONAL'!H23</f>
        <v>-1.1429587966900851E-2</v>
      </c>
      <c r="F23" s="96">
        <f>(+'IRRE TORSIONAL'!F23-'IRRE TORSIONAL'!I23)/'IRRE TORSIONAL'!I23</f>
        <v>-3.0240555224281332E-2</v>
      </c>
      <c r="G23" s="97">
        <f>(+'IRRE TORSIONAL'!G23-'IRRE TORSIONAL'!J23)/'IRRE TORSIONAL'!J23</f>
        <v>-5.4907256992003332E-3</v>
      </c>
      <c r="H23" s="95">
        <f>(+'IRRE TORSIONAL'!E23-'IRRE TORSIONAL'!F23)/'IRRE TORSIONAL'!E23</f>
        <v>3.3336664521411312E-2</v>
      </c>
      <c r="I23" s="98">
        <f>(+'IRRE TORSIONAL'!E23-'IRRE TORSIONAL'!G23)/'IRRE TORSIONAL'!E23</f>
        <v>3.2081217271007934E-2</v>
      </c>
    </row>
    <row r="24" spans="2:9" x14ac:dyDescent="0.25">
      <c r="B24" s="116"/>
      <c r="C24" s="119"/>
      <c r="D24" s="18" t="s">
        <v>13</v>
      </c>
      <c r="E24" s="95">
        <f>(+'IRRE TORSIONAL'!E24-'IRRE TORSIONAL'!H24)/'IRRE TORSIONAL'!H24</f>
        <v>-1.1271822411848757E-2</v>
      </c>
      <c r="F24" s="96">
        <f>(+'IRRE TORSIONAL'!F24-'IRRE TORSIONAL'!I24)/'IRRE TORSIONAL'!I24</f>
        <v>-3.0865352580808973E-2</v>
      </c>
      <c r="G24" s="97">
        <f>(+'IRRE TORSIONAL'!G24-'IRRE TORSIONAL'!J24)/'IRRE TORSIONAL'!J24</f>
        <v>-2.3615358244760353E-3</v>
      </c>
      <c r="H24" s="95">
        <f>(+'IRRE TORSIONAL'!E24-'IRRE TORSIONAL'!F24)/'IRRE TORSIONAL'!E24</f>
        <v>3.4997151162956174E-2</v>
      </c>
      <c r="I24" s="98">
        <f>(+'IRRE TORSIONAL'!E24-'IRRE TORSIONAL'!G24)/'IRRE TORSIONAL'!E24</f>
        <v>3.0006150131668664E-2</v>
      </c>
    </row>
    <row r="25" spans="2:9" x14ac:dyDescent="0.25">
      <c r="B25" s="116"/>
      <c r="C25" s="119"/>
      <c r="D25" s="18" t="s">
        <v>14</v>
      </c>
      <c r="E25" s="95">
        <f>(+'IRRE TORSIONAL'!E25-'IRRE TORSIONAL'!H25)/'IRRE TORSIONAL'!H25</f>
        <v>-1.1166971439594709E-2</v>
      </c>
      <c r="F25" s="96">
        <f>(+'IRRE TORSIONAL'!F25-'IRRE TORSIONAL'!I25)/'IRRE TORSIONAL'!I25</f>
        <v>-3.0624217294841015E-2</v>
      </c>
      <c r="G25" s="97">
        <f>(+'IRRE TORSIONAL'!G25-'IRRE TORSIONAL'!J25)/'IRRE TORSIONAL'!J25</f>
        <v>-6.356572383173424E-3</v>
      </c>
      <c r="H25" s="95">
        <f>(+'IRRE TORSIONAL'!E25-'IRRE TORSIONAL'!F25)/'IRRE TORSIONAL'!E25</f>
        <v>3.5562821612155515E-2</v>
      </c>
      <c r="I25" s="98">
        <f>(+'IRRE TORSIONAL'!E25-'IRRE TORSIONAL'!G25)/'IRRE TORSIONAL'!E25</f>
        <v>3.293879313820821E-2</v>
      </c>
    </row>
    <row r="26" spans="2:9" ht="15.75" thickBot="1" x14ac:dyDescent="0.3">
      <c r="B26" s="117"/>
      <c r="C26" s="120"/>
      <c r="D26" s="20" t="s">
        <v>4</v>
      </c>
      <c r="E26" s="99">
        <f>(+'IRRE TORSIONAL'!E26-'IRRE TORSIONAL'!H26)/'IRRE TORSIONAL'!H26</f>
        <v>-1.1473288996540666E-2</v>
      </c>
      <c r="F26" s="100">
        <f>(+'IRRE TORSIONAL'!F26-'IRRE TORSIONAL'!I26)/'IRRE TORSIONAL'!I26</f>
        <v>-2.7549876651413154E-2</v>
      </c>
      <c r="G26" s="101">
        <f>(+'IRRE TORSIONAL'!G26-'IRRE TORSIONAL'!J26)/'IRRE TORSIONAL'!J26</f>
        <v>-3.1547331384893497E-2</v>
      </c>
      <c r="H26" s="99">
        <f>(+'IRRE TORSIONAL'!E26-'IRRE TORSIONAL'!F26)/'IRRE TORSIONAL'!E26</f>
        <v>3.2236940841903282E-2</v>
      </c>
      <c r="I26" s="102">
        <f>(+'IRRE TORSIONAL'!E26-'IRRE TORSIONAL'!G26)/'IRRE TORSIONAL'!E26</f>
        <v>5.0998782917679675E-2</v>
      </c>
    </row>
    <row r="27" spans="2:9" x14ac:dyDescent="0.25">
      <c r="B27" s="115" t="s">
        <v>31</v>
      </c>
      <c r="C27" s="118" t="s">
        <v>20</v>
      </c>
      <c r="D27" s="19" t="s">
        <v>5</v>
      </c>
      <c r="E27" s="91">
        <f>(+'IRRE TORSIONAL'!E27-'IRRE TORSIONAL'!H27)/'IRRE TORSIONAL'!H27</f>
        <v>2.1229026595788389E-2</v>
      </c>
      <c r="F27" s="92">
        <f>(+'IRRE TORSIONAL'!F27-'IRRE TORSIONAL'!I27)/'IRRE TORSIONAL'!I27</f>
        <v>-1.9550387934319933E-2</v>
      </c>
      <c r="G27" s="93">
        <f>(+'IRRE TORSIONAL'!G27-'IRRE TORSIONAL'!J27)/'IRRE TORSIONAL'!J27</f>
        <v>-2.0905136619517733E-2</v>
      </c>
      <c r="H27" s="91">
        <f>(+'IRRE TORSIONAL'!E27-'IRRE TORSIONAL'!F27)/'IRRE TORSIONAL'!E27</f>
        <v>2.2204712268326602E-2</v>
      </c>
      <c r="I27" s="94">
        <f>(+'IRRE TORSIONAL'!E27-'IRRE TORSIONAL'!G27)/'IRRE TORSIONAL'!E27</f>
        <v>2.2543710732564767E-2</v>
      </c>
    </row>
    <row r="28" spans="2:9" x14ac:dyDescent="0.25">
      <c r="B28" s="116"/>
      <c r="C28" s="119"/>
      <c r="D28" s="18" t="s">
        <v>6</v>
      </c>
      <c r="E28" s="95">
        <f>(+'IRRE TORSIONAL'!E28-'IRRE TORSIONAL'!H28)/'IRRE TORSIONAL'!H28</f>
        <v>8.7609497858928853E-2</v>
      </c>
      <c r="F28" s="96">
        <f>(+'IRRE TORSIONAL'!F28-'IRRE TORSIONAL'!I28)/'IRRE TORSIONAL'!I28</f>
        <v>-4.628432343274691E-2</v>
      </c>
      <c r="G28" s="97">
        <f>(+'IRRE TORSIONAL'!G28-'IRRE TORSIONAL'!J28)/'IRRE TORSIONAL'!J28</f>
        <v>-6.9482091168299953E-2</v>
      </c>
      <c r="H28" s="95">
        <f>(+'IRRE TORSIONAL'!E28-'IRRE TORSIONAL'!F28)/'IRRE TORSIONAL'!E28</f>
        <v>6.5185718096894441E-2</v>
      </c>
      <c r="I28" s="98">
        <f>(+'IRRE TORSIONAL'!E28-'IRRE TORSIONAL'!G28)/'IRRE TORSIONAL'!E28</f>
        <v>7.6118997180831455E-2</v>
      </c>
    </row>
    <row r="29" spans="2:9" x14ac:dyDescent="0.25">
      <c r="B29" s="116"/>
      <c r="C29" s="119"/>
      <c r="D29" s="18" t="s">
        <v>7</v>
      </c>
      <c r="E29" s="95">
        <f>(+'IRRE TORSIONAL'!E29-'IRRE TORSIONAL'!H29)/'IRRE TORSIONAL'!H29</f>
        <v>9.1259929722268943E-2</v>
      </c>
      <c r="F29" s="96">
        <f>(+'IRRE TORSIONAL'!F29-'IRRE TORSIONAL'!I29)/'IRRE TORSIONAL'!I29</f>
        <v>-3.6104699701628842E-2</v>
      </c>
      <c r="G29" s="97">
        <f>(+'IRRE TORSIONAL'!G29-'IRRE TORSIONAL'!J29)/'IRRE TORSIONAL'!J29</f>
        <v>-5.3289793194787022E-2</v>
      </c>
      <c r="H29" s="95">
        <f>(+'IRRE TORSIONAL'!E29-'IRRE TORSIONAL'!F29)/'IRRE TORSIONAL'!E29</f>
        <v>6.0545522376765644E-2</v>
      </c>
      <c r="I29" s="98">
        <f>(+'IRRE TORSIONAL'!E29-'IRRE TORSIONAL'!G29)/'IRRE TORSIONAL'!E29</f>
        <v>6.7582033696372029E-2</v>
      </c>
    </row>
    <row r="30" spans="2:9" x14ac:dyDescent="0.25">
      <c r="B30" s="116"/>
      <c r="C30" s="119"/>
      <c r="D30" s="18" t="s">
        <v>8</v>
      </c>
      <c r="E30" s="95">
        <f>(+'IRRE TORSIONAL'!E30-'IRRE TORSIONAL'!H30)/'IRRE TORSIONAL'!H30</f>
        <v>9.4836618402899628E-2</v>
      </c>
      <c r="F30" s="96">
        <f>(+'IRRE TORSIONAL'!F30-'IRRE TORSIONAL'!I30)/'IRRE TORSIONAL'!I30</f>
        <v>-2.6078836029554905E-2</v>
      </c>
      <c r="G30" s="97">
        <f>(+'IRRE TORSIONAL'!G30-'IRRE TORSIONAL'!J30)/'IRRE TORSIONAL'!J30</f>
        <v>-3.7841209065954444E-2</v>
      </c>
      <c r="H30" s="95">
        <f>(+'IRRE TORSIONAL'!E30-'IRRE TORSIONAL'!F30)/'IRRE TORSIONAL'!E30</f>
        <v>5.6050930489449063E-2</v>
      </c>
      <c r="I30" s="98">
        <f>(+'IRRE TORSIONAL'!E30-'IRRE TORSIONAL'!G30)/'IRRE TORSIONAL'!E30</f>
        <v>5.9600652653234776E-2</v>
      </c>
    </row>
    <row r="31" spans="2:9" x14ac:dyDescent="0.25">
      <c r="B31" s="116"/>
      <c r="C31" s="119"/>
      <c r="D31" s="18" t="s">
        <v>9</v>
      </c>
      <c r="E31" s="95">
        <f>(+'IRRE TORSIONAL'!E31-'IRRE TORSIONAL'!H31)/'IRRE TORSIONAL'!H31</f>
        <v>9.7398913933623238E-2</v>
      </c>
      <c r="F31" s="96">
        <f>(+'IRRE TORSIONAL'!F31-'IRRE TORSIONAL'!I31)/'IRRE TORSIONAL'!I31</f>
        <v>-1.7004644992723132E-2</v>
      </c>
      <c r="G31" s="97">
        <f>(+'IRRE TORSIONAL'!G31-'IRRE TORSIONAL'!J31)/'IRRE TORSIONAL'!J31</f>
        <v>-2.3561222803159639E-2</v>
      </c>
      <c r="H31" s="95">
        <f>(+'IRRE TORSIONAL'!E31-'IRRE TORSIONAL'!F31)/'IRRE TORSIONAL'!E31</f>
        <v>5.1525544542240329E-2</v>
      </c>
      <c r="I31" s="98">
        <f>(+'IRRE TORSIONAL'!E31-'IRRE TORSIONAL'!G31)/'IRRE TORSIONAL'!E31</f>
        <v>5.1814098708892357E-2</v>
      </c>
    </row>
    <row r="32" spans="2:9" x14ac:dyDescent="0.25">
      <c r="B32" s="116"/>
      <c r="C32" s="119"/>
      <c r="D32" s="18" t="s">
        <v>10</v>
      </c>
      <c r="E32" s="95">
        <f>(+'IRRE TORSIONAL'!E32-'IRRE TORSIONAL'!H32)/'IRRE TORSIONAL'!H32</f>
        <v>9.882658428759368E-2</v>
      </c>
      <c r="F32" s="96">
        <f>(+'IRRE TORSIONAL'!F32-'IRRE TORSIONAL'!I32)/'IRRE TORSIONAL'!I32</f>
        <v>-8.4808461037992645E-3</v>
      </c>
      <c r="G32" s="97">
        <f>(+'IRRE TORSIONAL'!G32-'IRRE TORSIONAL'!J32)/'IRRE TORSIONAL'!J32</f>
        <v>-9.7989046642695584E-3</v>
      </c>
      <c r="H32" s="95">
        <f>(+'IRRE TORSIONAL'!E32-'IRRE TORSIONAL'!F32)/'IRRE TORSIONAL'!E32</f>
        <v>4.6524077641147556E-2</v>
      </c>
      <c r="I32" s="98">
        <f>(+'IRRE TORSIONAL'!E32-'IRRE TORSIONAL'!G32)/'IRRE TORSIONAL'!E32</f>
        <v>4.3623235959319474E-2</v>
      </c>
    </row>
    <row r="33" spans="2:9" x14ac:dyDescent="0.25">
      <c r="B33" s="116"/>
      <c r="C33" s="119"/>
      <c r="D33" s="18" t="s">
        <v>11</v>
      </c>
      <c r="E33" s="95">
        <f>(+'IRRE TORSIONAL'!E33-'IRRE TORSIONAL'!H33)/'IRRE TORSIONAL'!H33</f>
        <v>9.877615378406511E-2</v>
      </c>
      <c r="F33" s="96">
        <f>(+'IRRE TORSIONAL'!F33-'IRRE TORSIONAL'!I33)/'IRRE TORSIONAL'!I33</f>
        <v>-3.3047336984943143E-4</v>
      </c>
      <c r="G33" s="97">
        <f>(+'IRRE TORSIONAL'!G33-'IRRE TORSIONAL'!J33)/'IRRE TORSIONAL'!J33</f>
        <v>3.8542055143801495E-3</v>
      </c>
      <c r="H33" s="95">
        <f>(+'IRRE TORSIONAL'!E33-'IRRE TORSIONAL'!F33)/'IRRE TORSIONAL'!E33</f>
        <v>4.0595629031620083E-2</v>
      </c>
      <c r="I33" s="98">
        <f>(+'IRRE TORSIONAL'!E33-'IRRE TORSIONAL'!G33)/'IRRE TORSIONAL'!E33</f>
        <v>3.4441129357173202E-2</v>
      </c>
    </row>
    <row r="34" spans="2:9" x14ac:dyDescent="0.25">
      <c r="B34" s="116"/>
      <c r="C34" s="119"/>
      <c r="D34" s="18" t="s">
        <v>12</v>
      </c>
      <c r="E34" s="95">
        <f>(+'IRRE TORSIONAL'!E34-'IRRE TORSIONAL'!H34)/'IRRE TORSIONAL'!H34</f>
        <v>9.6308083681845874E-2</v>
      </c>
      <c r="F34" s="96">
        <f>(+'IRRE TORSIONAL'!F34-'IRRE TORSIONAL'!I34)/'IRRE TORSIONAL'!I34</f>
        <v>6.1028657611894533E-3</v>
      </c>
      <c r="G34" s="97">
        <f>(+'IRRE TORSIONAL'!G34-'IRRE TORSIONAL'!J34)/'IRRE TORSIONAL'!J34</f>
        <v>1.6249540474328552E-2</v>
      </c>
      <c r="H34" s="95">
        <f>(+'IRRE TORSIONAL'!E34-'IRRE TORSIONAL'!F34)/'IRRE TORSIONAL'!E34</f>
        <v>3.3860357392277815E-2</v>
      </c>
      <c r="I34" s="98">
        <f>(+'IRRE TORSIONAL'!E34-'IRRE TORSIONAL'!G34)/'IRRE TORSIONAL'!E34</f>
        <v>2.4215960674881052E-2</v>
      </c>
    </row>
    <row r="35" spans="2:9" x14ac:dyDescent="0.25">
      <c r="B35" s="116"/>
      <c r="C35" s="119"/>
      <c r="D35" s="18" t="s">
        <v>13</v>
      </c>
      <c r="E35" s="95">
        <f>(+'IRRE TORSIONAL'!E35-'IRRE TORSIONAL'!H35)/'IRRE TORSIONAL'!H35</f>
        <v>8.8959374712733658E-2</v>
      </c>
      <c r="F35" s="96">
        <f>(+'IRRE TORSIONAL'!F35-'IRRE TORSIONAL'!I35)/'IRRE TORSIONAL'!I35</f>
        <v>8.41285291872001E-3</v>
      </c>
      <c r="G35" s="97">
        <f>(+'IRRE TORSIONAL'!G35-'IRRE TORSIONAL'!J35)/'IRRE TORSIONAL'!J35</f>
        <v>2.4775163759118247E-2</v>
      </c>
      <c r="H35" s="95">
        <f>(+'IRRE TORSIONAL'!E35-'IRRE TORSIONAL'!F35)/'IRRE TORSIONAL'!E35</f>
        <v>2.6117629047854092E-2</v>
      </c>
      <c r="I35" s="98">
        <f>(+'IRRE TORSIONAL'!E35-'IRRE TORSIONAL'!G35)/'IRRE TORSIONAL'!E35</f>
        <v>1.2906682497796296E-2</v>
      </c>
    </row>
    <row r="36" spans="2:9" x14ac:dyDescent="0.25">
      <c r="B36" s="116"/>
      <c r="C36" s="119"/>
      <c r="D36" s="18" t="s">
        <v>14</v>
      </c>
      <c r="E36" s="95">
        <f>(+'IRRE TORSIONAL'!E36-'IRRE TORSIONAL'!H36)/'IRRE TORSIONAL'!H36</f>
        <v>6.9619139369701766E-2</v>
      </c>
      <c r="F36" s="96">
        <f>(+'IRRE TORSIONAL'!F36-'IRRE TORSIONAL'!I36)/'IRRE TORSIONAL'!I36</f>
        <v>1.926160154136125E-3</v>
      </c>
      <c r="G36" s="97">
        <f>(+'IRRE TORSIONAL'!G36-'IRRE TORSIONAL'!J36)/'IRRE TORSIONAL'!J36</f>
        <v>2.4443064869473709E-2</v>
      </c>
      <c r="H36" s="95">
        <f>(+'IRRE TORSIONAL'!E36-'IRRE TORSIONAL'!F36)/'IRRE TORSIONAL'!E36</f>
        <v>1.5026429542203087E-2</v>
      </c>
      <c r="I36" s="98">
        <f>(+'IRRE TORSIONAL'!E36-'IRRE TORSIONAL'!G36)/'IRRE TORSIONAL'!E36</f>
        <v>-1.719903497389625E-3</v>
      </c>
    </row>
    <row r="37" spans="2:9" ht="15.75" thickBot="1" x14ac:dyDescent="0.3">
      <c r="B37" s="117"/>
      <c r="C37" s="120"/>
      <c r="D37" s="20" t="s">
        <v>4</v>
      </c>
      <c r="E37" s="99">
        <f>(+'IRRE TORSIONAL'!E37-'IRRE TORSIONAL'!H37)/'IRRE TORSIONAL'!H37</f>
        <v>1.7949248837793436E-2</v>
      </c>
      <c r="F37" s="100">
        <f>(+'IRRE TORSIONAL'!F37-'IRRE TORSIONAL'!I37)/'IRRE TORSIONAL'!I37</f>
        <v>-2.8503529522735278E-2</v>
      </c>
      <c r="G37" s="101">
        <f>(+'IRRE TORSIONAL'!G37-'IRRE TORSIONAL'!J37)/'IRRE TORSIONAL'!J37</f>
        <v>-2.7902806530178577E-3</v>
      </c>
      <c r="H37" s="99">
        <f>(+'IRRE TORSIONAL'!E37-'IRRE TORSIONAL'!F37)/'IRRE TORSIONAL'!E37</f>
        <v>-5.4192378439806167E-3</v>
      </c>
      <c r="I37" s="102">
        <f>(+'IRRE TORSIONAL'!E37-'IRRE TORSIONAL'!G37)/'IRRE TORSIONAL'!E37</f>
        <v>-2.3914419304043165E-2</v>
      </c>
    </row>
    <row r="38" spans="2:9" x14ac:dyDescent="0.25">
      <c r="B38" s="115" t="s">
        <v>31</v>
      </c>
      <c r="C38" s="118" t="s">
        <v>21</v>
      </c>
      <c r="D38" s="19" t="s">
        <v>5</v>
      </c>
      <c r="E38" s="91">
        <f>(+'IRRE TORSIONAL'!E38-'IRRE TORSIONAL'!H38)/'IRRE TORSIONAL'!H38</f>
        <v>3.2377193434041683E-2</v>
      </c>
      <c r="F38" s="92">
        <f>(+'IRRE TORSIONAL'!F38-'IRRE TORSIONAL'!I38)/'IRRE TORSIONAL'!I38</f>
        <v>2.478637656079645E-2</v>
      </c>
      <c r="G38" s="93">
        <f>(+'IRRE TORSIONAL'!G38-'IRRE TORSIONAL'!J38)/'IRRE TORSIONAL'!J38</f>
        <v>1.9327696214587162E-2</v>
      </c>
      <c r="H38" s="91">
        <f>(+'IRRE TORSIONAL'!E38-'IRRE TORSIONAL'!F38)/'IRRE TORSIONAL'!E38</f>
        <v>1.5230997712409282E-2</v>
      </c>
      <c r="I38" s="94">
        <f>(+'IRRE TORSIONAL'!E38-'IRRE TORSIONAL'!G38)/'IRRE TORSIONAL'!E38</f>
        <v>2.9215730724148608E-2</v>
      </c>
    </row>
    <row r="39" spans="2:9" x14ac:dyDescent="0.25">
      <c r="B39" s="116"/>
      <c r="C39" s="119"/>
      <c r="D39" s="18" t="s">
        <v>6</v>
      </c>
      <c r="E39" s="95">
        <f>(+'IRRE TORSIONAL'!E39-'IRRE TORSIONAL'!H39)/'IRRE TORSIONAL'!H39</f>
        <v>0.10147554295236481</v>
      </c>
      <c r="F39" s="96">
        <f>(+'IRRE TORSIONAL'!F39-'IRRE TORSIONAL'!I39)/'IRRE TORSIONAL'!I39</f>
        <v>8.6110562218758402E-2</v>
      </c>
      <c r="G39" s="97">
        <f>(+'IRRE TORSIONAL'!G39-'IRRE TORSIONAL'!J39)/'IRRE TORSIONAL'!J39</f>
        <v>7.1100513931148537E-2</v>
      </c>
      <c r="H39" s="95">
        <f>(+'IRRE TORSIONAL'!E39-'IRRE TORSIONAL'!F39)/'IRRE TORSIONAL'!E39</f>
        <v>2.0585405096227812E-2</v>
      </c>
      <c r="I39" s="98">
        <f>(+'IRRE TORSIONAL'!E39-'IRRE TORSIONAL'!G39)/'IRRE TORSIONAL'!E39</f>
        <v>6.8469256480373941E-2</v>
      </c>
    </row>
    <row r="40" spans="2:9" x14ac:dyDescent="0.25">
      <c r="B40" s="116"/>
      <c r="C40" s="119"/>
      <c r="D40" s="18" t="s">
        <v>7</v>
      </c>
      <c r="E40" s="95">
        <f>(+'IRRE TORSIONAL'!E40-'IRRE TORSIONAL'!H40)/'IRRE TORSIONAL'!H40</f>
        <v>0.10408707891164636</v>
      </c>
      <c r="F40" s="96">
        <f>(+'IRRE TORSIONAL'!F40-'IRRE TORSIONAL'!I40)/'IRRE TORSIONAL'!I40</f>
        <v>9.0274681210200602E-2</v>
      </c>
      <c r="G40" s="97">
        <f>(+'IRRE TORSIONAL'!G40-'IRRE TORSIONAL'!J40)/'IRRE TORSIONAL'!J40</f>
        <v>7.6417419776769788E-2</v>
      </c>
      <c r="H40" s="95">
        <f>(+'IRRE TORSIONAL'!E40-'IRRE TORSIONAL'!F40)/'IRRE TORSIONAL'!E40</f>
        <v>1.6814715411641829E-2</v>
      </c>
      <c r="I40" s="98">
        <f>(+'IRRE TORSIONAL'!E40-'IRRE TORSIONAL'!G40)/'IRRE TORSIONAL'!E40</f>
        <v>6.1645090700654569E-2</v>
      </c>
    </row>
    <row r="41" spans="2:9" x14ac:dyDescent="0.25">
      <c r="B41" s="116"/>
      <c r="C41" s="119"/>
      <c r="D41" s="18" t="s">
        <v>8</v>
      </c>
      <c r="E41" s="95">
        <f>(+'IRRE TORSIONAL'!E41-'IRRE TORSIONAL'!H41)/'IRRE TORSIONAL'!H41</f>
        <v>0.10669493096012651</v>
      </c>
      <c r="F41" s="96">
        <f>(+'IRRE TORSIONAL'!F41-'IRRE TORSIONAL'!I41)/'IRRE TORSIONAL'!I41</f>
        <v>9.4324126914684531E-2</v>
      </c>
      <c r="G41" s="97">
        <f>(+'IRRE TORSIONAL'!G41-'IRRE TORSIONAL'!J41)/'IRRE TORSIONAL'!J41</f>
        <v>8.1589613145318707E-2</v>
      </c>
      <c r="H41" s="95">
        <f>(+'IRRE TORSIONAL'!E41-'IRRE TORSIONAL'!F41)/'IRRE TORSIONAL'!E41</f>
        <v>1.3189962245732909E-2</v>
      </c>
      <c r="I41" s="98">
        <f>(+'IRRE TORSIONAL'!E41-'IRRE TORSIONAL'!G41)/'IRRE TORSIONAL'!E41</f>
        <v>5.5292115740476218E-2</v>
      </c>
    </row>
    <row r="42" spans="2:9" x14ac:dyDescent="0.25">
      <c r="B42" s="116"/>
      <c r="C42" s="119"/>
      <c r="D42" s="18" t="s">
        <v>9</v>
      </c>
      <c r="E42" s="95">
        <f>(+'IRRE TORSIONAL'!E42-'IRRE TORSIONAL'!H42)/'IRRE TORSIONAL'!H42</f>
        <v>0.1089340544219877</v>
      </c>
      <c r="F42" s="96">
        <f>(+'IRRE TORSIONAL'!F42-'IRRE TORSIONAL'!I42)/'IRRE TORSIONAL'!I42</f>
        <v>9.8235318989091991E-2</v>
      </c>
      <c r="G42" s="97">
        <f>(+'IRRE TORSIONAL'!G42-'IRRE TORSIONAL'!J42)/'IRRE TORSIONAL'!J42</f>
        <v>8.6538714810865613E-2</v>
      </c>
      <c r="H42" s="95">
        <f>(+'IRRE TORSIONAL'!E42-'IRRE TORSIONAL'!F42)/'IRRE TORSIONAL'!E42</f>
        <v>9.508381233953124E-3</v>
      </c>
      <c r="I42" s="98">
        <f>(+'IRRE TORSIONAL'!E42-'IRRE TORSIONAL'!G42)/'IRRE TORSIONAL'!E42</f>
        <v>4.9101590053243695E-2</v>
      </c>
    </row>
    <row r="43" spans="2:9" x14ac:dyDescent="0.25">
      <c r="B43" s="116"/>
      <c r="C43" s="119"/>
      <c r="D43" s="18" t="s">
        <v>10</v>
      </c>
      <c r="E43" s="95">
        <f>(+'IRRE TORSIONAL'!E43-'IRRE TORSIONAL'!H43)/'IRRE TORSIONAL'!H43</f>
        <v>0.11081717847462391</v>
      </c>
      <c r="F43" s="96">
        <f>(+'IRRE TORSIONAL'!F43-'IRRE TORSIONAL'!I43)/'IRRE TORSIONAL'!I43</f>
        <v>0.10234486376483833</v>
      </c>
      <c r="G43" s="97">
        <f>(+'IRRE TORSIONAL'!G43-'IRRE TORSIONAL'!J43)/'IRRE TORSIONAL'!J43</f>
        <v>9.1617800262319901E-2</v>
      </c>
      <c r="H43" s="95">
        <f>(+'IRRE TORSIONAL'!E43-'IRRE TORSIONAL'!F43)/'IRRE TORSIONAL'!E43</f>
        <v>5.3797912801364775E-3</v>
      </c>
      <c r="I43" s="98">
        <f>(+'IRRE TORSIONAL'!E43-'IRRE TORSIONAL'!G43)/'IRRE TORSIONAL'!E43</f>
        <v>4.2580941749290405E-2</v>
      </c>
    </row>
    <row r="44" spans="2:9" x14ac:dyDescent="0.25">
      <c r="B44" s="116"/>
      <c r="C44" s="119"/>
      <c r="D44" s="18" t="s">
        <v>11</v>
      </c>
      <c r="E44" s="95">
        <f>(+'IRRE TORSIONAL'!E44-'IRRE TORSIONAL'!H44)/'IRRE TORSIONAL'!H44</f>
        <v>0.11227754059385381</v>
      </c>
      <c r="F44" s="96">
        <f>(+'IRRE TORSIONAL'!F44-'IRRE TORSIONAL'!I44)/'IRRE TORSIONAL'!I44</f>
        <v>0.106947842168888</v>
      </c>
      <c r="G44" s="97">
        <f>(+'IRRE TORSIONAL'!G44-'IRRE TORSIONAL'!J44)/'IRRE TORSIONAL'!J44</f>
        <v>9.7135244931186263E-2</v>
      </c>
      <c r="H44" s="95">
        <f>(+'IRRE TORSIONAL'!E44-'IRRE TORSIONAL'!F44)/'IRRE TORSIONAL'!E44</f>
        <v>4.0428649681232626E-4</v>
      </c>
      <c r="I44" s="98">
        <f>(+'IRRE TORSIONAL'!E44-'IRRE TORSIONAL'!G44)/'IRRE TORSIONAL'!E44</f>
        <v>3.5248929061194006E-2</v>
      </c>
    </row>
    <row r="45" spans="2:9" x14ac:dyDescent="0.25">
      <c r="B45" s="116"/>
      <c r="C45" s="119"/>
      <c r="D45" s="18" t="s">
        <v>12</v>
      </c>
      <c r="E45" s="95">
        <f>(+'IRRE TORSIONAL'!E45-'IRRE TORSIONAL'!H45)/'IRRE TORSIONAL'!H45</f>
        <v>0.11308351874261846</v>
      </c>
      <c r="F45" s="96">
        <f>(+'IRRE TORSIONAL'!F45-'IRRE TORSIONAL'!I45)/'IRRE TORSIONAL'!I45</f>
        <v>0.11202822916014386</v>
      </c>
      <c r="G45" s="97">
        <f>(+'IRRE TORSIONAL'!G45-'IRRE TORSIONAL'!J45)/'IRRE TORSIONAL'!J45</f>
        <v>0.10307576304570562</v>
      </c>
      <c r="H45" s="95">
        <f>(+'IRRE TORSIONAL'!E45-'IRRE TORSIONAL'!F45)/'IRRE TORSIONAL'!E45</f>
        <v>-5.438716292807769E-3</v>
      </c>
      <c r="I45" s="98">
        <f>(+'IRRE TORSIONAL'!E45-'IRRE TORSIONAL'!G45)/'IRRE TORSIONAL'!E45</f>
        <v>2.6983421788709737E-2</v>
      </c>
    </row>
    <row r="46" spans="2:9" x14ac:dyDescent="0.25">
      <c r="B46" s="116"/>
      <c r="C46" s="119"/>
      <c r="D46" s="18" t="s">
        <v>13</v>
      </c>
      <c r="E46" s="95">
        <f>(+'IRRE TORSIONAL'!E46-'IRRE TORSIONAL'!H46)/'IRRE TORSIONAL'!H46</f>
        <v>0.11259573815290211</v>
      </c>
      <c r="F46" s="96">
        <f>(+'IRRE TORSIONAL'!F46-'IRRE TORSIONAL'!I46)/'IRRE TORSIONAL'!I46</f>
        <v>0.11746109649634365</v>
      </c>
      <c r="G46" s="97">
        <f>(+'IRRE TORSIONAL'!G46-'IRRE TORSIONAL'!J46)/'IRRE TORSIONAL'!J46</f>
        <v>0.10903059462470406</v>
      </c>
      <c r="H46" s="95">
        <f>(+'IRRE TORSIONAL'!E46-'IRRE TORSIONAL'!F46)/'IRRE TORSIONAL'!E46</f>
        <v>-1.2576450527867759E-2</v>
      </c>
      <c r="I46" s="98">
        <f>(+'IRRE TORSIONAL'!E46-'IRRE TORSIONAL'!G46)/'IRRE TORSIONAL'!E46</f>
        <v>1.7579058286185698E-2</v>
      </c>
    </row>
    <row r="47" spans="2:9" x14ac:dyDescent="0.25">
      <c r="B47" s="116"/>
      <c r="C47" s="119"/>
      <c r="D47" s="18" t="s">
        <v>14</v>
      </c>
      <c r="E47" s="95">
        <f>(+'IRRE TORSIONAL'!E47-'IRRE TORSIONAL'!H47)/'IRRE TORSIONAL'!H47</f>
        <v>0.1088787158462956</v>
      </c>
      <c r="F47" s="96">
        <f>(+'IRRE TORSIONAL'!F47-'IRRE TORSIONAL'!I47)/'IRRE TORSIONAL'!I47</f>
        <v>0.1238216423382081</v>
      </c>
      <c r="G47" s="97">
        <f>(+'IRRE TORSIONAL'!G47-'IRRE TORSIONAL'!J47)/'IRRE TORSIONAL'!J47</f>
        <v>0.11534676287320331</v>
      </c>
      <c r="H47" s="95">
        <f>(+'IRRE TORSIONAL'!E47-'IRRE TORSIONAL'!F47)/'IRRE TORSIONAL'!E47</f>
        <v>-2.350786406800531E-2</v>
      </c>
      <c r="I47" s="98">
        <f>(+'IRRE TORSIONAL'!E47-'IRRE TORSIONAL'!G47)/'IRRE TORSIONAL'!E47</f>
        <v>4.9699385963119921E-3</v>
      </c>
    </row>
    <row r="48" spans="2:9" ht="15.75" thickBot="1" x14ac:dyDescent="0.3">
      <c r="B48" s="117"/>
      <c r="C48" s="120"/>
      <c r="D48" s="20" t="s">
        <v>4</v>
      </c>
      <c r="E48" s="99">
        <f>(+'IRRE TORSIONAL'!E48-'IRRE TORSIONAL'!H48)/'IRRE TORSIONAL'!H48</f>
        <v>9.7162801072454397E-2</v>
      </c>
      <c r="F48" s="100">
        <f>(+'IRRE TORSIONAL'!F48-'IRRE TORSIONAL'!I48)/'IRRE TORSIONAL'!I48</f>
        <v>0.13316090565040298</v>
      </c>
      <c r="G48" s="101">
        <f>(+'IRRE TORSIONAL'!G48-'IRRE TORSIONAL'!J48)/'IRRE TORSIONAL'!J48</f>
        <v>0.1224248126740404</v>
      </c>
      <c r="H48" s="99">
        <f>(+'IRRE TORSIONAL'!E48-'IRRE TORSIONAL'!F48)/'IRRE TORSIONAL'!E48</f>
        <v>-4.5244716247183146E-2</v>
      </c>
      <c r="I48" s="102">
        <f>(+'IRRE TORSIONAL'!E48-'IRRE TORSIONAL'!G48)/'IRRE TORSIONAL'!E48</f>
        <v>-1.5476554940231459E-2</v>
      </c>
    </row>
    <row r="49" spans="5:9" ht="15.75" thickBot="1" x14ac:dyDescent="0.3">
      <c r="E49" s="112" t="s">
        <v>58</v>
      </c>
      <c r="F49" s="113"/>
      <c r="G49" s="114"/>
      <c r="H49" s="112" t="s">
        <v>59</v>
      </c>
      <c r="I49" s="114"/>
    </row>
  </sheetData>
  <mergeCells count="15">
    <mergeCell ref="E3:G3"/>
    <mergeCell ref="H3:I3"/>
    <mergeCell ref="E49:G49"/>
    <mergeCell ref="H49:I49"/>
    <mergeCell ref="B16:B26"/>
    <mergeCell ref="C16:C26"/>
    <mergeCell ref="B27:B37"/>
    <mergeCell ref="C27:C37"/>
    <mergeCell ref="B38:B48"/>
    <mergeCell ref="C38:C48"/>
    <mergeCell ref="B5:B15"/>
    <mergeCell ref="C5:C15"/>
    <mergeCell ref="B3:B4"/>
    <mergeCell ref="C3:C4"/>
    <mergeCell ref="D3:D4"/>
  </mergeCells>
  <conditionalFormatting sqref="E5:E48">
    <cfRule type="cellIs" dxfId="28" priority="24" operator="greaterThan">
      <formula>1.2</formula>
    </cfRule>
  </conditionalFormatting>
  <conditionalFormatting sqref="H5:H48">
    <cfRule type="cellIs" dxfId="27" priority="20" operator="greaterThan">
      <formula>1.2</formula>
    </cfRule>
  </conditionalFormatting>
  <conditionalFormatting sqref="F5:F48">
    <cfRule type="cellIs" dxfId="26" priority="16" operator="greaterThan">
      <formula>1.2</formula>
    </cfRule>
  </conditionalFormatting>
  <conditionalFormatting sqref="I5:I48">
    <cfRule type="cellIs" dxfId="25" priority="12" operator="greaterThan">
      <formula>1.2</formula>
    </cfRule>
  </conditionalFormatting>
  <conditionalFormatting sqref="G5:G48">
    <cfRule type="cellIs" dxfId="24" priority="8" operator="greaterThan">
      <formula>1.2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6"/>
  <dimension ref="B1:M30"/>
  <sheetViews>
    <sheetView showGridLines="0" topLeftCell="A4" zoomScale="70" zoomScaleNormal="70" workbookViewId="0">
      <selection activeCell="B2" sqref="B2:M30"/>
    </sheetView>
  </sheetViews>
  <sheetFormatPr baseColWidth="10" defaultRowHeight="15" x14ac:dyDescent="0.25"/>
  <cols>
    <col min="2" max="2" width="22.85546875" customWidth="1"/>
    <col min="10" max="10" width="16.28515625" customWidth="1"/>
    <col min="11" max="11" width="14.85546875" customWidth="1"/>
    <col min="12" max="12" width="15.7109375" customWidth="1"/>
    <col min="13" max="13" width="14.7109375" customWidth="1"/>
  </cols>
  <sheetData>
    <row r="1" spans="2:13" ht="15.75" thickBot="1" x14ac:dyDescent="0.3"/>
    <row r="2" spans="2:13" x14ac:dyDescent="0.25">
      <c r="B2" s="2"/>
      <c r="C2" s="75"/>
      <c r="D2" s="128" t="s">
        <v>83</v>
      </c>
      <c r="E2" s="129"/>
      <c r="F2" s="129"/>
      <c r="G2" s="129"/>
      <c r="H2" s="129"/>
      <c r="I2" s="130"/>
      <c r="J2" s="125" t="s">
        <v>84</v>
      </c>
      <c r="K2" s="126"/>
      <c r="L2" s="126"/>
      <c r="M2" s="127"/>
    </row>
    <row r="3" spans="2:13" x14ac:dyDescent="0.25">
      <c r="B3" s="121" t="s">
        <v>2</v>
      </c>
      <c r="C3" s="131" t="s">
        <v>3</v>
      </c>
      <c r="D3" s="132" t="s">
        <v>67</v>
      </c>
      <c r="E3" s="111"/>
      <c r="F3" s="111" t="s">
        <v>68</v>
      </c>
      <c r="G3" s="111"/>
      <c r="H3" s="111" t="s">
        <v>69</v>
      </c>
      <c r="I3" s="133"/>
      <c r="J3" s="132" t="s">
        <v>85</v>
      </c>
      <c r="K3" s="111"/>
      <c r="L3" s="111" t="s">
        <v>86</v>
      </c>
      <c r="M3" s="133"/>
    </row>
    <row r="4" spans="2:13" x14ac:dyDescent="0.25">
      <c r="B4" s="121"/>
      <c r="C4" s="131"/>
      <c r="D4" s="79" t="s">
        <v>25</v>
      </c>
      <c r="E4" s="3" t="s">
        <v>26</v>
      </c>
      <c r="F4" s="3" t="s">
        <v>25</v>
      </c>
      <c r="G4" s="3" t="s">
        <v>26</v>
      </c>
      <c r="H4" s="3" t="s">
        <v>25</v>
      </c>
      <c r="I4" s="80" t="s">
        <v>26</v>
      </c>
      <c r="J4" s="79" t="s">
        <v>25</v>
      </c>
      <c r="K4" s="3" t="s">
        <v>26</v>
      </c>
      <c r="L4" s="3" t="s">
        <v>25</v>
      </c>
      <c r="M4" s="80" t="s">
        <v>26</v>
      </c>
    </row>
    <row r="5" spans="2:13" x14ac:dyDescent="0.25">
      <c r="B5" s="17" t="s">
        <v>0</v>
      </c>
      <c r="C5" s="76"/>
      <c r="D5" s="81">
        <f>(+GENERALES!D5-GENERALES!J5)/GENERALES!J5</f>
        <v>0</v>
      </c>
      <c r="E5" s="63">
        <f>(+GENERALES!E5-GENERALES!K5)/GENERALES!K5</f>
        <v>0</v>
      </c>
      <c r="F5" s="64">
        <f>(+GENERALES!F5-GENERALES!L5)/GENERALES!L5</f>
        <v>0</v>
      </c>
      <c r="G5" s="64">
        <f>(+GENERALES!G5-GENERALES!M5)/GENERALES!M5</f>
        <v>0</v>
      </c>
      <c r="H5" s="65">
        <f>(+GENERALES!H5-GENERALES!N5)/GENERALES!N5</f>
        <v>0</v>
      </c>
      <c r="I5" s="70">
        <f>(+GENERALES!I5-GENERALES!O5)/GENERALES!O5</f>
        <v>0</v>
      </c>
      <c r="J5" s="81">
        <f>(+GENERALES!D5-GENERALES!F5)/GENERALES!D5</f>
        <v>0</v>
      </c>
      <c r="K5" s="63">
        <f>(+GENERALES!E5-GENERALES!G5)/GENERALES!E5</f>
        <v>0</v>
      </c>
      <c r="L5" s="64">
        <f>(+GENERALES!D5-GENERALES!H5)/GENERALES!D5</f>
        <v>0</v>
      </c>
      <c r="M5" s="87">
        <f>(+GENERALES!E5-GENERALES!I5)/GENERALES!E5</f>
        <v>0</v>
      </c>
    </row>
    <row r="6" spans="2:13" x14ac:dyDescent="0.25">
      <c r="B6" s="17" t="s">
        <v>27</v>
      </c>
      <c r="C6" s="76"/>
      <c r="D6" s="81">
        <f>(+GENERALES!D6-GENERALES!J6)/GENERALES!J6</f>
        <v>-3.6037934142802222E-2</v>
      </c>
      <c r="E6" s="63">
        <f>(+GENERALES!E6-GENERALES!K6)/GENERALES!K6</f>
        <v>-3.7476318640467264E-2</v>
      </c>
      <c r="F6" s="64">
        <f>(+GENERALES!F6-GENERALES!L6)/GENERALES!L6</f>
        <v>-4.2456257644721072E-2</v>
      </c>
      <c r="G6" s="64">
        <f>(+GENERALES!G6-GENERALES!M6)/GENERALES!M6</f>
        <v>-1.7676528112434288E-2</v>
      </c>
      <c r="H6" s="65">
        <f>(+GENERALES!H6-GENERALES!N6)/GENERALES!N6</f>
        <v>-3.7751457799486597E-2</v>
      </c>
      <c r="I6" s="70">
        <f>(+GENERALES!I6-GENERALES!O6)/GENERALES!O6</f>
        <v>-1.8107325103033544E-2</v>
      </c>
      <c r="J6" s="81">
        <f>(+GENERALES!D6-GENERALES!F6)/GENERALES!D6</f>
        <v>2.000237555534462E-2</v>
      </c>
      <c r="K6" s="63">
        <f>(+GENERALES!E6-GENERALES!G6)/GENERALES!E6</f>
        <v>-6.4527436883319217E-2</v>
      </c>
      <c r="L6" s="64">
        <f>(+GENERALES!D6-GENERALES!H6)/GENERALES!D6</f>
        <v>1.2876157344325873E-2</v>
      </c>
      <c r="M6" s="87">
        <f>(+GENERALES!E6-GENERALES!I6)/GENERALES!E6</f>
        <v>-6.6717473544530975E-2</v>
      </c>
    </row>
    <row r="7" spans="2:13" ht="15.75" thickBot="1" x14ac:dyDescent="0.3">
      <c r="B7" s="123" t="s">
        <v>22</v>
      </c>
      <c r="C7" s="124"/>
      <c r="D7" s="82" t="s">
        <v>23</v>
      </c>
      <c r="E7" s="16" t="s">
        <v>24</v>
      </c>
      <c r="F7" s="16" t="s">
        <v>23</v>
      </c>
      <c r="G7" s="16" t="s">
        <v>24</v>
      </c>
      <c r="H7" s="16" t="s">
        <v>23</v>
      </c>
      <c r="I7" s="83" t="s">
        <v>24</v>
      </c>
      <c r="J7" s="82" t="s">
        <v>23</v>
      </c>
      <c r="K7" s="16" t="s">
        <v>24</v>
      </c>
      <c r="L7" s="16" t="s">
        <v>23</v>
      </c>
      <c r="M7" s="83" t="s">
        <v>24</v>
      </c>
    </row>
    <row r="8" spans="2:13" x14ac:dyDescent="0.25">
      <c r="B8" s="115" t="s">
        <v>1</v>
      </c>
      <c r="C8" s="77" t="s">
        <v>4</v>
      </c>
      <c r="D8" s="84">
        <f>(+GENERALES!D8-GENERALES!J8)/GENERALES!J8</f>
        <v>1.8995330984701794E-3</v>
      </c>
      <c r="E8" s="66">
        <f>(+GENERALES!E8-GENERALES!K8)/GENERALES!K8</f>
        <v>-1.0113666198179742E-4</v>
      </c>
      <c r="F8" s="67">
        <f>(+GENERALES!F8-GENERALES!L8)/GENERALES!L8</f>
        <v>3.3232697880868907E-3</v>
      </c>
      <c r="G8" s="67">
        <f>(+GENERALES!G8-GENERALES!M8)/GENERALES!M8</f>
        <v>-4.8119943001777136E-4</v>
      </c>
      <c r="H8" s="68">
        <f>(+GENERALES!H8-GENERALES!N8)/GENERALES!N8</f>
        <v>3.3873595550019319E-3</v>
      </c>
      <c r="I8" s="69">
        <f>(+GENERALES!I8-GENERALES!O8)/GENERALES!O8</f>
        <v>-2.5710562770478525E-3</v>
      </c>
      <c r="J8" s="84">
        <f>(+GENERALES!D8-GENERALES!F8)/GENERALES!D8</f>
        <v>-8.8401490706809277E-2</v>
      </c>
      <c r="K8" s="66">
        <f>(+GENERALES!E8-GENERALES!G8)/GENERALES!E8</f>
        <v>1.6206158015769048E-2</v>
      </c>
      <c r="L8" s="67">
        <f>(+GENERALES!D8-GENERALES!H8)/GENERALES!D8</f>
        <v>-8.856004045075859E-2</v>
      </c>
      <c r="M8" s="86">
        <f>(+GENERALES!E8-GENERALES!I8)/GENERALES!E8</f>
        <v>9.1334673871843325E-2</v>
      </c>
    </row>
    <row r="9" spans="2:13" x14ac:dyDescent="0.25">
      <c r="B9" s="116"/>
      <c r="C9" s="76" t="s">
        <v>14</v>
      </c>
      <c r="D9" s="81">
        <f>(+GENERALES!D9-GENERALES!J9)/GENERALES!J9</f>
        <v>1.5979871471245952E-3</v>
      </c>
      <c r="E9" s="63">
        <f>(+GENERALES!E9-GENERALES!K9)/GENERALES!K9</f>
        <v>-1.2857172271461844E-4</v>
      </c>
      <c r="F9" s="64">
        <f>(+GENERALES!F9-GENERALES!L9)/GENERALES!L9</f>
        <v>2.7190406226742323E-3</v>
      </c>
      <c r="G9" s="64">
        <f>(+GENERALES!G9-GENERALES!M9)/GENERALES!M9</f>
        <v>-3.8260946418536409E-4</v>
      </c>
      <c r="H9" s="65">
        <f>(+GENERALES!H9-GENERALES!N9)/GENERALES!N9</f>
        <v>2.87607400745975E-3</v>
      </c>
      <c r="I9" s="70">
        <f>(+GENERALES!I9-GENERALES!O9)/GENERALES!O9</f>
        <v>-2.1957446520933944E-3</v>
      </c>
      <c r="J9" s="81">
        <f>(+GENERALES!D9-GENERALES!F9)/GENERALES!D9</f>
        <v>-8.6616549548447594E-2</v>
      </c>
      <c r="K9" s="63">
        <f>(+GENERALES!E9-GENERALES!G9)/GENERALES!E9</f>
        <v>1.5893753754965396E-2</v>
      </c>
      <c r="L9" s="64">
        <f>(+GENERALES!D9-GENERALES!H9)/GENERALES!D9</f>
        <v>-8.6339912425652629E-2</v>
      </c>
      <c r="M9" s="87">
        <f>(+GENERALES!E9-GENERALES!I9)/GENERALES!E9</f>
        <v>8.791013388093849E-2</v>
      </c>
    </row>
    <row r="10" spans="2:13" x14ac:dyDescent="0.25">
      <c r="B10" s="116"/>
      <c r="C10" s="76" t="s">
        <v>13</v>
      </c>
      <c r="D10" s="81">
        <f>(+GENERALES!D10-GENERALES!J10)/GENERALES!J10</f>
        <v>1.5979871471245952E-3</v>
      </c>
      <c r="E10" s="63">
        <f>(+GENERALES!E10-GENERALES!K10)/GENERALES!K10</f>
        <v>-1.2857172271461844E-4</v>
      </c>
      <c r="F10" s="64">
        <f>(+GENERALES!F10-GENERALES!L10)/GENERALES!L10</f>
        <v>2.7190406226742323E-3</v>
      </c>
      <c r="G10" s="64">
        <f>(+GENERALES!G10-GENERALES!M10)/GENERALES!M10</f>
        <v>-3.8260946418536409E-4</v>
      </c>
      <c r="H10" s="65">
        <f>(+GENERALES!H10-GENERALES!N10)/GENERALES!N10</f>
        <v>2.87607400745975E-3</v>
      </c>
      <c r="I10" s="70">
        <f>(+GENERALES!I10-GENERALES!O10)/GENERALES!O10</f>
        <v>-2.1957446520933944E-3</v>
      </c>
      <c r="J10" s="81">
        <f>(+GENERALES!D10-GENERALES!F10)/GENERALES!D10</f>
        <v>-8.6616549548447594E-2</v>
      </c>
      <c r="K10" s="63">
        <f>(+GENERALES!E10-GENERALES!G10)/GENERALES!E10</f>
        <v>1.5893753754965396E-2</v>
      </c>
      <c r="L10" s="64">
        <f>(+GENERALES!D10-GENERALES!H10)/GENERALES!D10</f>
        <v>-8.6339912425652629E-2</v>
      </c>
      <c r="M10" s="87">
        <f>(+GENERALES!E10-GENERALES!I10)/GENERALES!E10</f>
        <v>8.791013388093849E-2</v>
      </c>
    </row>
    <row r="11" spans="2:13" x14ac:dyDescent="0.25">
      <c r="B11" s="116"/>
      <c r="C11" s="76" t="s">
        <v>12</v>
      </c>
      <c r="D11" s="81">
        <f>(+GENERALES!D11-GENERALES!J11)/GENERALES!J11</f>
        <v>1.5979871471245952E-3</v>
      </c>
      <c r="E11" s="63">
        <f>(+GENERALES!E11-GENERALES!K11)/GENERALES!K11</f>
        <v>-1.2857172271461844E-4</v>
      </c>
      <c r="F11" s="64">
        <f>(+GENERALES!F11-GENERALES!L11)/GENERALES!L11</f>
        <v>2.7190406226742323E-3</v>
      </c>
      <c r="G11" s="64">
        <f>(+GENERALES!G11-GENERALES!M11)/GENERALES!M11</f>
        <v>-3.8260946418536409E-4</v>
      </c>
      <c r="H11" s="65">
        <f>(+GENERALES!H11-GENERALES!N11)/GENERALES!N11</f>
        <v>2.87607400745975E-3</v>
      </c>
      <c r="I11" s="70">
        <f>(+GENERALES!I11-GENERALES!O11)/GENERALES!O11</f>
        <v>-2.1957446520933944E-3</v>
      </c>
      <c r="J11" s="81">
        <f>(+GENERALES!D11-GENERALES!F11)/GENERALES!D11</f>
        <v>-8.6616549548447594E-2</v>
      </c>
      <c r="K11" s="63">
        <f>(+GENERALES!E11-GENERALES!G11)/GENERALES!E11</f>
        <v>1.5893753754965396E-2</v>
      </c>
      <c r="L11" s="64">
        <f>(+GENERALES!D11-GENERALES!H11)/GENERALES!D11</f>
        <v>-8.6339912425652629E-2</v>
      </c>
      <c r="M11" s="87">
        <f>(+GENERALES!E11-GENERALES!I11)/GENERALES!E11</f>
        <v>8.791013388093849E-2</v>
      </c>
    </row>
    <row r="12" spans="2:13" x14ac:dyDescent="0.25">
      <c r="B12" s="116"/>
      <c r="C12" s="76" t="s">
        <v>11</v>
      </c>
      <c r="D12" s="81">
        <f>(+GENERALES!D12-GENERALES!J12)/GENERALES!J12</f>
        <v>1.5979871471245952E-3</v>
      </c>
      <c r="E12" s="63">
        <f>(+GENERALES!E12-GENERALES!K12)/GENERALES!K12</f>
        <v>-1.2857172271461844E-4</v>
      </c>
      <c r="F12" s="64">
        <f>(+GENERALES!F12-GENERALES!L12)/GENERALES!L12</f>
        <v>2.7993903481794073E-3</v>
      </c>
      <c r="G12" s="64">
        <f>(+GENERALES!G12-GENERALES!M12)/GENERALES!M12</f>
        <v>-3.8987720755020354E-4</v>
      </c>
      <c r="H12" s="65">
        <f>(+GENERALES!H12-GENERALES!N12)/GENERALES!N12</f>
        <v>2.9617206552435171E-3</v>
      </c>
      <c r="I12" s="70">
        <f>(+GENERALES!I12-GENERALES!O12)/GENERALES!O12</f>
        <v>-2.2233017585308549E-3</v>
      </c>
      <c r="J12" s="81">
        <f>(+GENERALES!D12-GENERALES!F12)/GENERALES!D12</f>
        <v>-7.6241132192792521E-2</v>
      </c>
      <c r="K12" s="63">
        <f>(+GENERALES!E12-GENERALES!G12)/GENERALES!E12</f>
        <v>1.44455154935304E-2</v>
      </c>
      <c r="L12" s="64">
        <f>(+GENERALES!D12-GENERALES!H12)/GENERALES!D12</f>
        <v>-7.5958019996414508E-2</v>
      </c>
      <c r="M12" s="87">
        <f>(+GENERALES!E12-GENERALES!I12)/GENERALES!E12</f>
        <v>8.0751602742641704E-2</v>
      </c>
    </row>
    <row r="13" spans="2:13" x14ac:dyDescent="0.25">
      <c r="B13" s="116"/>
      <c r="C13" s="76" t="s">
        <v>10</v>
      </c>
      <c r="D13" s="81">
        <f>(+GENERALES!D13-GENERALES!J13)/GENERALES!J13</f>
        <v>1.5979871471245952E-3</v>
      </c>
      <c r="E13" s="63">
        <f>(+GENERALES!E13-GENERALES!K13)/GENERALES!K13</f>
        <v>-1.2857172271461844E-4</v>
      </c>
      <c r="F13" s="64">
        <f>(+GENERALES!F13-GENERALES!L13)/GENERALES!L13</f>
        <v>2.7993903481794073E-3</v>
      </c>
      <c r="G13" s="64">
        <f>(+GENERALES!G13-GENERALES!M13)/GENERALES!M13</f>
        <v>-3.8987720755020354E-4</v>
      </c>
      <c r="H13" s="65">
        <f>(+GENERALES!H13-GENERALES!N13)/GENERALES!N13</f>
        <v>2.9617206552435171E-3</v>
      </c>
      <c r="I13" s="70">
        <f>(+GENERALES!I13-GENERALES!O13)/GENERALES!O13</f>
        <v>-2.2233017585308549E-3</v>
      </c>
      <c r="J13" s="81">
        <f>(+GENERALES!D13-GENERALES!F13)/GENERALES!D13</f>
        <v>-7.6241132192792521E-2</v>
      </c>
      <c r="K13" s="63">
        <f>(+GENERALES!E13-GENERALES!G13)/GENERALES!E13</f>
        <v>1.44455154935304E-2</v>
      </c>
      <c r="L13" s="64">
        <f>(+GENERALES!D13-GENERALES!H13)/GENERALES!D13</f>
        <v>-7.5958019996414508E-2</v>
      </c>
      <c r="M13" s="87">
        <f>(+GENERALES!E13-GENERALES!I13)/GENERALES!E13</f>
        <v>8.0751602742641704E-2</v>
      </c>
    </row>
    <row r="14" spans="2:13" x14ac:dyDescent="0.25">
      <c r="B14" s="116"/>
      <c r="C14" s="76" t="s">
        <v>9</v>
      </c>
      <c r="D14" s="81">
        <f>(+GENERALES!D14-GENERALES!J14)/GENERALES!J14</f>
        <v>1.5979871471245952E-3</v>
      </c>
      <c r="E14" s="63">
        <f>(+GENERALES!E14-GENERALES!K14)/GENERALES!K14</f>
        <v>-1.2857172271461844E-4</v>
      </c>
      <c r="F14" s="64">
        <f>(+GENERALES!F14-GENERALES!L14)/GENERALES!L14</f>
        <v>2.7993903481794073E-3</v>
      </c>
      <c r="G14" s="64">
        <f>(+GENERALES!G14-GENERALES!M14)/GENERALES!M14</f>
        <v>-3.8987720755020354E-4</v>
      </c>
      <c r="H14" s="65">
        <f>(+GENERALES!H14-GENERALES!N14)/GENERALES!N14</f>
        <v>2.9617206552435171E-3</v>
      </c>
      <c r="I14" s="70">
        <f>(+GENERALES!I14-GENERALES!O14)/GENERALES!O14</f>
        <v>-2.2233017585308549E-3</v>
      </c>
      <c r="J14" s="81">
        <f>(+GENERALES!D14-GENERALES!F14)/GENERALES!D14</f>
        <v>-7.6241132192792521E-2</v>
      </c>
      <c r="K14" s="63">
        <f>(+GENERALES!E14-GENERALES!G14)/GENERALES!E14</f>
        <v>1.44455154935304E-2</v>
      </c>
      <c r="L14" s="64">
        <f>(+GENERALES!D14-GENERALES!H14)/GENERALES!D14</f>
        <v>-7.5958019996414508E-2</v>
      </c>
      <c r="M14" s="87">
        <f>(+GENERALES!E14-GENERALES!I14)/GENERALES!E14</f>
        <v>8.0751602742641704E-2</v>
      </c>
    </row>
    <row r="15" spans="2:13" x14ac:dyDescent="0.25">
      <c r="B15" s="116"/>
      <c r="C15" s="76" t="s">
        <v>8</v>
      </c>
      <c r="D15" s="81">
        <f>(+GENERALES!D15-GENERALES!J15)/GENERALES!J15</f>
        <v>1.5979871471245952E-3</v>
      </c>
      <c r="E15" s="63">
        <f>(+GENERALES!E15-GENERALES!K15)/GENERALES!K15</f>
        <v>-1.2857172271461844E-4</v>
      </c>
      <c r="F15" s="64">
        <f>(+GENERALES!F15-GENERALES!L15)/GENERALES!L15</f>
        <v>2.7993903481794073E-3</v>
      </c>
      <c r="G15" s="64">
        <f>(+GENERALES!G15-GENERALES!M15)/GENERALES!M15</f>
        <v>-3.8987720755020354E-4</v>
      </c>
      <c r="H15" s="65">
        <f>(+GENERALES!H15-GENERALES!N15)/GENERALES!N15</f>
        <v>2.9617206552435171E-3</v>
      </c>
      <c r="I15" s="70">
        <f>(+GENERALES!I15-GENERALES!O15)/GENERALES!O15</f>
        <v>-2.2233017585308549E-3</v>
      </c>
      <c r="J15" s="81">
        <f>(+GENERALES!D15-GENERALES!F15)/GENERALES!D15</f>
        <v>-7.6241132192792521E-2</v>
      </c>
      <c r="K15" s="63">
        <f>(+GENERALES!E15-GENERALES!G15)/GENERALES!E15</f>
        <v>1.44455154935304E-2</v>
      </c>
      <c r="L15" s="64">
        <f>(+GENERALES!D15-GENERALES!H15)/GENERALES!D15</f>
        <v>-7.5958019996414508E-2</v>
      </c>
      <c r="M15" s="87">
        <f>(+GENERALES!E15-GENERALES!I15)/GENERALES!E15</f>
        <v>8.0751602742641704E-2</v>
      </c>
    </row>
    <row r="16" spans="2:13" x14ac:dyDescent="0.25">
      <c r="B16" s="116"/>
      <c r="C16" s="76" t="s">
        <v>7</v>
      </c>
      <c r="D16" s="81">
        <f>(+GENERALES!D16-GENERALES!J16)/GENERALES!J16</f>
        <v>1.5979871471245952E-3</v>
      </c>
      <c r="E16" s="63">
        <f>(+GENERALES!E16-GENERALES!K16)/GENERALES!K16</f>
        <v>-1.2857172271461844E-4</v>
      </c>
      <c r="F16" s="64">
        <f>(+GENERALES!F16-GENERALES!L16)/GENERALES!L16</f>
        <v>2.7993903481794073E-3</v>
      </c>
      <c r="G16" s="64">
        <f>(+GENERALES!G16-GENERALES!M16)/GENERALES!M16</f>
        <v>-3.8987720755020354E-4</v>
      </c>
      <c r="H16" s="65">
        <f>(+GENERALES!H16-GENERALES!N16)/GENERALES!N16</f>
        <v>2.9617206552435171E-3</v>
      </c>
      <c r="I16" s="70">
        <f>(+GENERALES!I16-GENERALES!O16)/GENERALES!O16</f>
        <v>-2.2233017585308549E-3</v>
      </c>
      <c r="J16" s="81">
        <f>(+GENERALES!D16-GENERALES!F16)/GENERALES!D16</f>
        <v>-7.6241132192792521E-2</v>
      </c>
      <c r="K16" s="63">
        <f>(+GENERALES!E16-GENERALES!G16)/GENERALES!E16</f>
        <v>1.44455154935304E-2</v>
      </c>
      <c r="L16" s="64">
        <f>(+GENERALES!D16-GENERALES!H16)/GENERALES!D16</f>
        <v>-7.5958019996414508E-2</v>
      </c>
      <c r="M16" s="87">
        <f>(+GENERALES!E16-GENERALES!I16)/GENERALES!E16</f>
        <v>8.0751602742641704E-2</v>
      </c>
    </row>
    <row r="17" spans="2:13" x14ac:dyDescent="0.25">
      <c r="B17" s="116"/>
      <c r="C17" s="76" t="s">
        <v>6</v>
      </c>
      <c r="D17" s="81">
        <f>(+GENERALES!D17-GENERALES!J17)/GENERALES!J17</f>
        <v>1.0582809953034809E-3</v>
      </c>
      <c r="E17" s="63">
        <f>(+GENERALES!E17-GENERALES!K17)/GENERALES!K17</f>
        <v>-7.5546393323529736E-5</v>
      </c>
      <c r="F17" s="64">
        <f>(+GENERALES!F17-GENERALES!L17)/GENERALES!L17</f>
        <v>1.536628091648017E-3</v>
      </c>
      <c r="G17" s="64">
        <f>(+GENERALES!G17-GENERALES!M17)/GENERALES!M17</f>
        <v>-3.1358730169255922E-4</v>
      </c>
      <c r="H17" s="65">
        <f>(+GENERALES!H17-GENERALES!N17)/GENERALES!N17</f>
        <v>1.731441549104017E-3</v>
      </c>
      <c r="I17" s="70">
        <f>(+GENERALES!I17-GENERALES!O17)/GENERALES!O17</f>
        <v>-1.4499297979637654E-3</v>
      </c>
      <c r="J17" s="81">
        <f>(+GENERALES!D17-GENERALES!F17)/GENERALES!D17</f>
        <v>-7.8807064381289801E-2</v>
      </c>
      <c r="K17" s="63">
        <f>(+GENERALES!E17-GENERALES!G17)/GENERALES!E17</f>
        <v>1.1558390457921397E-2</v>
      </c>
      <c r="L17" s="64">
        <f>(+GENERALES!D17-GENERALES!H17)/GENERALES!D17</f>
        <v>-7.8462453020338357E-2</v>
      </c>
      <c r="M17" s="87">
        <f>(+GENERALES!E17-GENERALES!I17)/GENERALES!E17</f>
        <v>8.7457576044987537E-2</v>
      </c>
    </row>
    <row r="18" spans="2:13" ht="15.75" thickBot="1" x14ac:dyDescent="0.3">
      <c r="B18" s="117"/>
      <c r="C18" s="78" t="s">
        <v>5</v>
      </c>
      <c r="D18" s="85">
        <f>(+GENERALES!D18-GENERALES!J18)/GENERALES!J18</f>
        <v>0</v>
      </c>
      <c r="E18" s="71">
        <f>(+GENERALES!E18-GENERALES!K18)/GENERALES!K18</f>
        <v>0</v>
      </c>
      <c r="F18" s="72">
        <f>(+GENERALES!F18-GENERALES!L18)/GENERALES!L18</f>
        <v>4.4424076584462867E-2</v>
      </c>
      <c r="G18" s="72">
        <f>(+GENERALES!G18-GENERALES!M18)/GENERALES!M18</f>
        <v>0.10519910729718344</v>
      </c>
      <c r="H18" s="73">
        <f>(+GENERALES!H18-GENERALES!N18)/GENERALES!N18</f>
        <v>0</v>
      </c>
      <c r="I18" s="74">
        <f>(+GENERALES!I18-GENERALES!O18)/GENERALES!O18</f>
        <v>0</v>
      </c>
      <c r="J18" s="85">
        <f>(+GENERALES!D18-GENERALES!F18)/GENERALES!D18</f>
        <v>-0.307729974630712</v>
      </c>
      <c r="K18" s="71">
        <f>(+GENERALES!E18-GENERALES!G18)/GENERALES!E18</f>
        <v>-7.7927105000513919E-2</v>
      </c>
      <c r="L18" s="72">
        <f>(+GENERALES!D18-GENERALES!H18)/GENERALES!D18</f>
        <v>-0.307729974630712</v>
      </c>
      <c r="M18" s="88">
        <f>(+GENERALES!E18-GENERALES!I18)/GENERALES!E18</f>
        <v>0.6605540892801095</v>
      </c>
    </row>
    <row r="19" spans="2:13" x14ac:dyDescent="0.25">
      <c r="B19" s="115" t="s">
        <v>15</v>
      </c>
      <c r="C19" s="77" t="s">
        <v>4</v>
      </c>
      <c r="D19" s="84">
        <f>(+GENERALES!D19-GENERALES!J19)/GENERALES!J19</f>
        <v>7.3096482496527088E-2</v>
      </c>
      <c r="E19" s="66">
        <f>(+GENERALES!E19-GENERALES!K19)/GENERALES!K19</f>
        <v>-7.7736176293787696E-3</v>
      </c>
      <c r="F19" s="67">
        <f>(+GENERALES!F19-GENERALES!L19)/GENERALES!L19</f>
        <v>0.12406206054083131</v>
      </c>
      <c r="G19" s="67">
        <f>(+GENERALES!G19-GENERALES!M19)/GENERALES!M19</f>
        <v>-1.0661130778547651E-2</v>
      </c>
      <c r="H19" s="68">
        <f>(+GENERALES!H19-GENERALES!N19)/GENERALES!N19</f>
        <v>0.12032794862895289</v>
      </c>
      <c r="I19" s="69">
        <f>(+GENERALES!I19-GENERALES!O19)/GENERALES!O19</f>
        <v>-7.7885460373489493E-2</v>
      </c>
      <c r="J19" s="84">
        <f>(+GENERALES!D19-GENERALES!F19)/GENERALES!D19</f>
        <v>-0.10486018433601935</v>
      </c>
      <c r="K19" s="66">
        <f>(+GENERALES!E19-GENERALES!G19)/GENERALES!E19</f>
        <v>2.4429178695622722E-2</v>
      </c>
      <c r="L19" s="67">
        <f>(+GENERALES!D19-GENERALES!H19)/GENERALES!D19</f>
        <v>-0.10148884065191532</v>
      </c>
      <c r="M19" s="86">
        <f>(+GENERALES!E19-GENERALES!I19)/GENERALES!E19</f>
        <v>0.15219872682283672</v>
      </c>
    </row>
    <row r="20" spans="2:13" x14ac:dyDescent="0.25">
      <c r="B20" s="116"/>
      <c r="C20" s="76" t="s">
        <v>14</v>
      </c>
      <c r="D20" s="81">
        <f>(+GENERALES!D20-GENERALES!J20)/GENERALES!J20</f>
        <v>9.8265343874350541E-2</v>
      </c>
      <c r="E20" s="63">
        <f>(+GENERALES!E20-GENERALES!K20)/GENERALES!K20</f>
        <v>-7.0060384967174068E-3</v>
      </c>
      <c r="F20" s="64">
        <f>(+GENERALES!F20-GENERALES!L20)/GENERALES!L20</f>
        <v>0.13673328663132259</v>
      </c>
      <c r="G20" s="64">
        <f>(+GENERALES!G20-GENERALES!M20)/GENERALES!M20</f>
        <v>-2.1105225282149604E-2</v>
      </c>
      <c r="H20" s="65">
        <f>(+GENERALES!H20-GENERALES!N20)/GENERALES!N20</f>
        <v>0.13474472272141239</v>
      </c>
      <c r="I20" s="70">
        <f>(+GENERALES!I20-GENERALES!O20)/GENERALES!O20</f>
        <v>-0.104848708993309</v>
      </c>
      <c r="J20" s="81">
        <f>(+GENERALES!D20-GENERALES!F20)/GENERALES!D20</f>
        <v>-9.0241504138924317E-2</v>
      </c>
      <c r="K20" s="63">
        <f>(+GENERALES!E20-GENERALES!G20)/GENERALES!E20</f>
        <v>3.9724290703188059E-2</v>
      </c>
      <c r="L20" s="64">
        <f>(+GENERALES!D20-GENERALES!H20)/GENERALES!D20</f>
        <v>-8.8106535960846319E-2</v>
      </c>
      <c r="M20" s="87">
        <f>(+GENERALES!E20-GENERALES!I20)/GENERALES!E20</f>
        <v>0.19408948389053857</v>
      </c>
    </row>
    <row r="21" spans="2:13" x14ac:dyDescent="0.25">
      <c r="B21" s="116"/>
      <c r="C21" s="76" t="s">
        <v>13</v>
      </c>
      <c r="D21" s="81">
        <f>(+GENERALES!D21-GENERALES!J21)/GENERALES!J21</f>
        <v>0.10782772027362166</v>
      </c>
      <c r="E21" s="63">
        <f>(+GENERALES!E21-GENERALES!K21)/GENERALES!K21</f>
        <v>-6.9354282817937285E-3</v>
      </c>
      <c r="F21" s="64">
        <f>(+GENERALES!F21-GENERALES!L21)/GENERALES!L21</f>
        <v>0.1367819411314585</v>
      </c>
      <c r="G21" s="64">
        <f>(+GENERALES!G21-GENERALES!M21)/GENERALES!M21</f>
        <v>-2.4760531842628504E-2</v>
      </c>
      <c r="H21" s="65">
        <f>(+GENERALES!H21-GENERALES!N21)/GENERALES!N21</f>
        <v>0.13477142130166736</v>
      </c>
      <c r="I21" s="70">
        <f>(+GENERALES!I21-GENERALES!O21)/GENERALES!O21</f>
        <v>-0.11103656786345451</v>
      </c>
      <c r="J21" s="81">
        <f>(+GENERALES!D21-GENERALES!F21)/GENERALES!D21</f>
        <v>-7.9719401866410106E-2</v>
      </c>
      <c r="K21" s="63">
        <f>(+GENERALES!E21-GENERALES!G21)/GENERALES!E21</f>
        <v>4.4552050117574953E-2</v>
      </c>
      <c r="L21" s="64">
        <f>(+GENERALES!D21-GENERALES!H21)/GENERALES!D21</f>
        <v>-7.5415885634789029E-2</v>
      </c>
      <c r="M21" s="87">
        <f>(+GENERALES!E21-GENERALES!I21)/GENERALES!E21</f>
        <v>0.20543359427338062</v>
      </c>
    </row>
    <row r="22" spans="2:13" x14ac:dyDescent="0.25">
      <c r="B22" s="116"/>
      <c r="C22" s="76" t="s">
        <v>12</v>
      </c>
      <c r="D22" s="81">
        <f>(+GENERALES!D22-GENERALES!J22)/GENERALES!J22</f>
        <v>0.11136656691801941</v>
      </c>
      <c r="E22" s="63">
        <f>(+GENERALES!E22-GENERALES!K22)/GENERALES!K22</f>
        <v>-7.0541259622265828E-3</v>
      </c>
      <c r="F22" s="64">
        <f>(+GENERALES!F22-GENERALES!L22)/GENERALES!L22</f>
        <v>0.13289377777088587</v>
      </c>
      <c r="G22" s="64">
        <f>(+GENERALES!G22-GENERALES!M22)/GENERALES!M22</f>
        <v>-2.5741407719288154E-2</v>
      </c>
      <c r="H22" s="65">
        <f>(+GENERALES!H22-GENERALES!N22)/GENERALES!N22</f>
        <v>0.13001620972850705</v>
      </c>
      <c r="I22" s="70">
        <f>(+GENERALES!I22-GENERALES!O22)/GENERALES!O22</f>
        <v>-0.10904167444667173</v>
      </c>
      <c r="J22" s="81">
        <f>(+GENERALES!D22-GENERALES!F22)/GENERALES!D22</f>
        <v>-7.0550083782069617E-2</v>
      </c>
      <c r="K22" s="63">
        <f>(+GENERALES!E22-GENERALES!G22)/GENERALES!E22</f>
        <v>4.5387462715392242E-2</v>
      </c>
      <c r="L22" s="64">
        <f>(+GENERALES!D22-GENERALES!H22)/GENERALES!D22</f>
        <v>-6.2605701361493835E-2</v>
      </c>
      <c r="M22" s="87">
        <f>(+GENERALES!E22-GENERALES!I22)/GENERALES!E22</f>
        <v>0.20524921068802182</v>
      </c>
    </row>
    <row r="23" spans="2:13" x14ac:dyDescent="0.25">
      <c r="B23" s="116"/>
      <c r="C23" s="76" t="s">
        <v>11</v>
      </c>
      <c r="D23" s="81">
        <f>(+GENERALES!D23-GENERALES!J23)/GENERALES!J23</f>
        <v>0.11230505401216093</v>
      </c>
      <c r="E23" s="63">
        <f>(+GENERALES!E23-GENERALES!K23)/GENERALES!K23</f>
        <v>-7.1671221329950279E-3</v>
      </c>
      <c r="F23" s="64">
        <f>(+GENERALES!F23-GENERALES!L23)/GENERALES!L23</f>
        <v>0.12724186789803613</v>
      </c>
      <c r="G23" s="64">
        <f>(+GENERALES!G23-GENERALES!M23)/GENERALES!M23</f>
        <v>-2.5416002962447427E-2</v>
      </c>
      <c r="H23" s="65">
        <f>(+GENERALES!H23-GENERALES!N23)/GENERALES!N23</f>
        <v>0.1227826078515255</v>
      </c>
      <c r="I23" s="70">
        <f>(+GENERALES!I23-GENERALES!O23)/GENERALES!O23</f>
        <v>-0.10356171672096523</v>
      </c>
      <c r="J23" s="81">
        <f>(+GENERALES!D23-GENERALES!F23)/GENERALES!D23</f>
        <v>-6.1372361605919037E-2</v>
      </c>
      <c r="K23" s="63">
        <f>(+GENERALES!E23-GENERALES!G23)/GENERALES!E23</f>
        <v>4.4272127981416415E-2</v>
      </c>
      <c r="L23" s="64">
        <f>(+GENERALES!D23-GENERALES!H23)/GENERALES!D23</f>
        <v>-4.8805768915736465E-2</v>
      </c>
      <c r="M23" s="87">
        <f>(+GENERALES!E23-GENERALES!I23)/GENERALES!E23</f>
        <v>0.19954580804343175</v>
      </c>
    </row>
    <row r="24" spans="2:13" x14ac:dyDescent="0.25">
      <c r="B24" s="116"/>
      <c r="C24" s="76" t="s">
        <v>10</v>
      </c>
      <c r="D24" s="81">
        <f>(+GENERALES!D24-GENERALES!J24)/GENERALES!J24</f>
        <v>0.11173822065732902</v>
      </c>
      <c r="E24" s="63">
        <f>(+GENERALES!E24-GENERALES!K24)/GENERALES!K24</f>
        <v>-7.2433908766164345E-3</v>
      </c>
      <c r="F24" s="64">
        <f>(+GENERALES!F24-GENERALES!L24)/GENERALES!L24</f>
        <v>0.12077483373066242</v>
      </c>
      <c r="G24" s="64">
        <f>(+GENERALES!G24-GENERALES!M24)/GENERALES!M24</f>
        <v>-2.4663699921438617E-2</v>
      </c>
      <c r="H24" s="65">
        <f>(+GENERALES!H24-GENERALES!N24)/GENERALES!N24</f>
        <v>0.11436535536824181</v>
      </c>
      <c r="I24" s="70">
        <f>(+GENERALES!I24-GENERALES!O24)/GENERALES!O24</f>
        <v>-9.7122764540686898E-2</v>
      </c>
      <c r="J24" s="81">
        <f>(+GENERALES!D24-GENERALES!F24)/GENERALES!D24</f>
        <v>-5.2083570664413173E-2</v>
      </c>
      <c r="K24" s="63">
        <f>(+GENERALES!E24-GENERALES!G24)/GENERALES!E24</f>
        <v>4.2147146072560787E-2</v>
      </c>
      <c r="L24" s="64">
        <f>(+GENERALES!D24-GENERALES!H24)/GENERALES!D24</f>
        <v>-3.4358512095038152E-2</v>
      </c>
      <c r="M24" s="87">
        <f>(+GENERALES!E24-GENERALES!I24)/GENERALES!E24</f>
        <v>0.19071455985014668</v>
      </c>
    </row>
    <row r="25" spans="2:13" x14ac:dyDescent="0.25">
      <c r="B25" s="116"/>
      <c r="C25" s="76" t="s">
        <v>9</v>
      </c>
      <c r="D25" s="81">
        <f>(+GENERALES!D25-GENERALES!J25)/GENERALES!J25</f>
        <v>0.11013627682118246</v>
      </c>
      <c r="E25" s="63">
        <f>(+GENERALES!E25-GENERALES!K25)/GENERALES!K25</f>
        <v>-7.2870434291581578E-3</v>
      </c>
      <c r="F25" s="64">
        <f>(+GENERALES!F25-GENERALES!L25)/GENERALES!L25</f>
        <v>0.11426704768966124</v>
      </c>
      <c r="G25" s="64">
        <f>(+GENERALES!G25-GENERALES!M25)/GENERALES!M25</f>
        <v>-2.3610348791955695E-2</v>
      </c>
      <c r="H25" s="65">
        <f>(+GENERALES!H25-GENERALES!N25)/GENERALES!N25</f>
        <v>0.1056101196298742</v>
      </c>
      <c r="I25" s="70">
        <f>(+GENERALES!I25-GENERALES!O25)/GENERALES!O25</f>
        <v>-8.9753848903135661E-2</v>
      </c>
      <c r="J25" s="81">
        <f>(+GENERALES!D25-GENERALES!F25)/GENERALES!D25</f>
        <v>-4.3385524372178325E-2</v>
      </c>
      <c r="K25" s="63">
        <f>(+GENERALES!E25-GENERALES!G25)/GENERALES!E25</f>
        <v>3.9737523435595938E-2</v>
      </c>
      <c r="L25" s="64">
        <f>(+GENERALES!D25-GENERALES!H25)/GENERALES!D25</f>
        <v>-2.0018451921553868E-2</v>
      </c>
      <c r="M25" s="87">
        <f>(+GENERALES!E25-GENERALES!I25)/GENERALES!E25</f>
        <v>0.18124969139720529</v>
      </c>
    </row>
    <row r="26" spans="2:13" x14ac:dyDescent="0.25">
      <c r="B26" s="116"/>
      <c r="C26" s="76" t="s">
        <v>8</v>
      </c>
      <c r="D26" s="81">
        <f>(+GENERALES!D26-GENERALES!J26)/GENERALES!J26</f>
        <v>0.10774781058618803</v>
      </c>
      <c r="E26" s="63">
        <f>(+GENERALES!E26-GENERALES!K26)/GENERALES!K26</f>
        <v>-7.316604563530258E-3</v>
      </c>
      <c r="F26" s="64">
        <f>(+GENERALES!F26-GENERALES!L26)/GENERALES!L26</f>
        <v>0.10755248541589092</v>
      </c>
      <c r="G26" s="64">
        <f>(+GENERALES!G26-GENERALES!M26)/GENERALES!M26</f>
        <v>-2.2258008939567812E-2</v>
      </c>
      <c r="H26" s="65">
        <f>(+GENERALES!H26-GENERALES!N26)/GENERALES!N26</f>
        <v>9.645303528957852E-2</v>
      </c>
      <c r="I26" s="70">
        <f>(+GENERALES!I26-GENERALES!O26)/GENERALES!O26</f>
        <v>-8.1492885962450454E-2</v>
      </c>
      <c r="J26" s="81">
        <f>(+GENERALES!D26-GENERALES!F26)/GENERALES!D26</f>
        <v>-3.4906297423836365E-2</v>
      </c>
      <c r="K26" s="63">
        <f>(+GENERALES!E26-GENERALES!G26)/GENERALES!E26</f>
        <v>3.7053492234897546E-2</v>
      </c>
      <c r="L26" s="64">
        <f>(+GENERALES!D26-GENERALES!H26)/GENERALES!D26</f>
        <v>-5.4736567534188121E-3</v>
      </c>
      <c r="M26" s="87">
        <f>(+GENERALES!E26-GENERALES!I26)/GENERALES!E26</f>
        <v>0.17123837389286609</v>
      </c>
    </row>
    <row r="27" spans="2:13" x14ac:dyDescent="0.25">
      <c r="B27" s="116"/>
      <c r="C27" s="76" t="s">
        <v>7</v>
      </c>
      <c r="D27" s="81">
        <f>(+GENERALES!D27-GENERALES!J27)/GENERALES!J27</f>
        <v>0.10473396813476907</v>
      </c>
      <c r="E27" s="63">
        <f>(+GENERALES!E27-GENERALES!K27)/GENERALES!K27</f>
        <v>-7.3757708280813173E-3</v>
      </c>
      <c r="F27" s="64">
        <f>(+GENERALES!F27-GENERALES!L27)/GENERALES!L27</f>
        <v>0.1002489839598525</v>
      </c>
      <c r="G27" s="64">
        <f>(+GENERALES!G27-GENERALES!M27)/GENERALES!M27</f>
        <v>-2.0647260410625843E-2</v>
      </c>
      <c r="H27" s="65">
        <f>(+GENERALES!H27-GENERALES!N27)/GENERALES!N27</f>
        <v>8.667631626162782E-2</v>
      </c>
      <c r="I27" s="70">
        <f>(+GENERALES!I27-GENERALES!O27)/GENERALES!O27</f>
        <v>-7.2344937988381555E-2</v>
      </c>
      <c r="J27" s="81">
        <f>(+GENERALES!D27-GENERALES!F27)/GENERALES!D27</f>
        <v>-2.6131447971847962E-2</v>
      </c>
      <c r="K27" s="63">
        <f>(+GENERALES!E27-GENERALES!G27)/GENERALES!E27</f>
        <v>3.4060323102415552E-2</v>
      </c>
      <c r="L27" s="64">
        <f>(+GENERALES!D27-GENERALES!H27)/GENERALES!D27</f>
        <v>9.6546107324246323E-3</v>
      </c>
      <c r="M27" s="87">
        <f>(+GENERALES!E27-GENERALES!I27)/GENERALES!E27</f>
        <v>0.16052000131201166</v>
      </c>
    </row>
    <row r="28" spans="2:13" x14ac:dyDescent="0.25">
      <c r="B28" s="116"/>
      <c r="C28" s="76" t="s">
        <v>6</v>
      </c>
      <c r="D28" s="81">
        <f>(+GENERALES!D28-GENERALES!J28)/GENERALES!J28</f>
        <v>0.10222359579820331</v>
      </c>
      <c r="E28" s="63">
        <f>(+GENERALES!E28-GENERALES!K28)/GENERALES!K28</f>
        <v>-7.4404339564453645E-3</v>
      </c>
      <c r="F28" s="64">
        <f>(+GENERALES!F28-GENERALES!L28)/GENERALES!L28</f>
        <v>9.3009727393707262E-2</v>
      </c>
      <c r="G28" s="64">
        <f>(+GENERALES!G28-GENERALES!M28)/GENERALES!M28</f>
        <v>-1.9384235337784772E-2</v>
      </c>
      <c r="H28" s="65">
        <f>(+GENERALES!H28-GENERALES!N28)/GENERALES!N28</f>
        <v>7.7107235615204772E-2</v>
      </c>
      <c r="I28" s="70">
        <f>(+GENERALES!I28-GENERALES!O28)/GENERALES!O28</f>
        <v>-6.3875552664567389E-2</v>
      </c>
      <c r="J28" s="81">
        <f>(+GENERALES!D28-GENERALES!F28)/GENERALES!D28</f>
        <v>-1.7343272500349619E-2</v>
      </c>
      <c r="K28" s="63">
        <f>(+GENERALES!E28-GENERALES!G28)/GENERALES!E28</f>
        <v>3.157819827619656E-2</v>
      </c>
      <c r="L28" s="64">
        <f>(+GENERALES!D28-GENERALES!H28)/GENERALES!D28</f>
        <v>2.4827986122955809E-2</v>
      </c>
      <c r="M28" s="87">
        <f>(+GENERALES!E28-GENERALES!I28)/GENERALES!E28</f>
        <v>0.15077884104538924</v>
      </c>
    </row>
    <row r="29" spans="2:13" ht="15.75" thickBot="1" x14ac:dyDescent="0.3">
      <c r="B29" s="117"/>
      <c r="C29" s="78" t="s">
        <v>5</v>
      </c>
      <c r="D29" s="85">
        <f>(+GENERALES!D29-GENERALES!J29)/GENERALES!J29</f>
        <v>2.108310737166565E-2</v>
      </c>
      <c r="E29" s="71">
        <f>(+GENERALES!E29-GENERALES!K29)/GENERALES!K29</f>
        <v>-5.760709308973073E-3</v>
      </c>
      <c r="F29" s="72">
        <f>(+GENERALES!F29-GENERALES!L29)/GENERALES!L29</f>
        <v>1.6899678342863156E-2</v>
      </c>
      <c r="G29" s="72">
        <f>(+GENERALES!G29-GENERALES!M29)/GENERALES!M29</f>
        <v>-8.4833590457150804E-3</v>
      </c>
      <c r="H29" s="73">
        <f>(+GENERALES!H29-GENERALES!N29)/GENERALES!N29</f>
        <v>1.4439608545131157E-2</v>
      </c>
      <c r="I29" s="74">
        <f>(+GENERALES!I29-GENERALES!O29)/GENERALES!O29</f>
        <v>-7.2078228759276455E-2</v>
      </c>
      <c r="J29" s="85">
        <f>(+GENERALES!D29-GENERALES!F29)/GENERALES!D29</f>
        <v>-0.2095981766809232</v>
      </c>
      <c r="K29" s="71">
        <f>(+GENERALES!E29-GENERALES!G29)/GENERALES!E29</f>
        <v>-4.8487257643251664E-3</v>
      </c>
      <c r="L29" s="72">
        <f>(+GENERALES!D29-GENERALES!H29)/GENERALES!D29</f>
        <v>-0.21046000814014904</v>
      </c>
      <c r="M29" s="88">
        <f>(+GENERALES!E29-GENERALES!I29)/GENERALES!E29</f>
        <v>0.65355131913877385</v>
      </c>
    </row>
    <row r="30" spans="2:13" ht="15.75" thickBot="1" x14ac:dyDescent="0.3">
      <c r="D30" s="112" t="s">
        <v>58</v>
      </c>
      <c r="E30" s="113"/>
      <c r="F30" s="113"/>
      <c r="G30" s="113"/>
      <c r="H30" s="113"/>
      <c r="I30" s="114"/>
      <c r="J30" s="112" t="s">
        <v>59</v>
      </c>
      <c r="K30" s="113"/>
      <c r="L30" s="113"/>
      <c r="M30" s="114"/>
    </row>
  </sheetData>
  <mergeCells count="14">
    <mergeCell ref="B7:C7"/>
    <mergeCell ref="B8:B18"/>
    <mergeCell ref="B19:B29"/>
    <mergeCell ref="J2:M2"/>
    <mergeCell ref="D30:I30"/>
    <mergeCell ref="J30:M30"/>
    <mergeCell ref="D2:I2"/>
    <mergeCell ref="B3:B4"/>
    <mergeCell ref="C3:C4"/>
    <mergeCell ref="D3:E3"/>
    <mergeCell ref="F3:G3"/>
    <mergeCell ref="H3:I3"/>
    <mergeCell ref="J3:K3"/>
    <mergeCell ref="L3:M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B2:AS121"/>
  <sheetViews>
    <sheetView topLeftCell="AK78" zoomScale="40" zoomScaleNormal="40" workbookViewId="0">
      <selection activeCell="BY98" sqref="BY98"/>
    </sheetView>
  </sheetViews>
  <sheetFormatPr baseColWidth="10" defaultRowHeight="15" x14ac:dyDescent="0.25"/>
  <cols>
    <col min="2" max="2" width="16.7109375" customWidth="1"/>
    <col min="3" max="3" width="10.7109375" customWidth="1"/>
    <col min="4" max="4" width="19.42578125" bestFit="1" customWidth="1"/>
    <col min="5" max="16" width="8.7109375" customWidth="1"/>
    <col min="17" max="17" width="32.140625" customWidth="1"/>
  </cols>
  <sheetData>
    <row r="2" spans="2:24" x14ac:dyDescent="0.25">
      <c r="B2" s="121" t="s">
        <v>2</v>
      </c>
      <c r="C2" s="121" t="s">
        <v>3</v>
      </c>
      <c r="D2" s="121" t="s">
        <v>48</v>
      </c>
      <c r="E2" s="111" t="s">
        <v>65</v>
      </c>
      <c r="F2" s="111"/>
      <c r="G2" s="111"/>
      <c r="H2" s="111"/>
      <c r="I2" s="111"/>
      <c r="J2" s="111"/>
      <c r="K2" s="111" t="s">
        <v>66</v>
      </c>
      <c r="L2" s="111"/>
      <c r="M2" s="111"/>
      <c r="N2" s="111"/>
      <c r="O2" s="111"/>
      <c r="P2" s="111"/>
    </row>
    <row r="3" spans="2:24" x14ac:dyDescent="0.25">
      <c r="B3" s="121"/>
      <c r="C3" s="121"/>
      <c r="D3" s="121"/>
      <c r="E3" s="111" t="s">
        <v>67</v>
      </c>
      <c r="F3" s="111"/>
      <c r="G3" s="111" t="s">
        <v>68</v>
      </c>
      <c r="H3" s="111"/>
      <c r="I3" s="111" t="s">
        <v>69</v>
      </c>
      <c r="J3" s="111"/>
      <c r="K3" s="111" t="s">
        <v>67</v>
      </c>
      <c r="L3" s="111"/>
      <c r="M3" s="111" t="s">
        <v>68</v>
      </c>
      <c r="N3" s="111"/>
      <c r="O3" s="111" t="s">
        <v>69</v>
      </c>
      <c r="P3" s="111"/>
    </row>
    <row r="4" spans="2:24" x14ac:dyDescent="0.25">
      <c r="B4" s="103"/>
      <c r="C4" s="103"/>
      <c r="D4" s="104"/>
      <c r="E4" s="105" t="s">
        <v>54</v>
      </c>
      <c r="F4" s="105" t="s">
        <v>55</v>
      </c>
      <c r="G4" s="105" t="s">
        <v>54</v>
      </c>
      <c r="H4" s="105" t="s">
        <v>55</v>
      </c>
      <c r="I4" s="105" t="s">
        <v>54</v>
      </c>
      <c r="J4" s="105" t="s">
        <v>55</v>
      </c>
      <c r="K4" s="105" t="s">
        <v>54</v>
      </c>
      <c r="L4" s="105" t="s">
        <v>55</v>
      </c>
      <c r="M4" s="105" t="s">
        <v>54</v>
      </c>
      <c r="N4" s="105" t="s">
        <v>55</v>
      </c>
      <c r="O4" s="105" t="s">
        <v>54</v>
      </c>
      <c r="P4" s="105" t="s">
        <v>55</v>
      </c>
      <c r="U4" s="106"/>
      <c r="V4" s="106"/>
      <c r="W4" s="106"/>
      <c r="X4" s="106"/>
    </row>
    <row r="5" spans="2:24" ht="15" customHeight="1" x14ac:dyDescent="0.25">
      <c r="B5" s="134" t="s">
        <v>32</v>
      </c>
      <c r="C5" s="136" t="s">
        <v>4</v>
      </c>
      <c r="D5" s="107" t="s">
        <v>70</v>
      </c>
      <c r="E5" s="108" t="s">
        <v>45</v>
      </c>
      <c r="F5" s="109">
        <v>0.70599999999999996</v>
      </c>
      <c r="G5" s="61" t="s">
        <v>51</v>
      </c>
      <c r="H5" s="110">
        <v>0.54300000000000004</v>
      </c>
      <c r="I5" s="62"/>
      <c r="J5" s="62"/>
      <c r="K5" s="108" t="s">
        <v>45</v>
      </c>
      <c r="L5" s="109">
        <v>0.63800000000000001</v>
      </c>
      <c r="M5" s="61" t="s">
        <v>45</v>
      </c>
      <c r="N5" s="110">
        <v>0.67100000000000004</v>
      </c>
      <c r="O5" s="62"/>
      <c r="P5" s="62"/>
      <c r="Q5" s="106"/>
      <c r="R5" s="1"/>
      <c r="S5" s="1"/>
      <c r="T5" s="1"/>
      <c r="U5" s="106"/>
      <c r="V5" s="106"/>
      <c r="W5" s="106"/>
      <c r="X5" s="106"/>
    </row>
    <row r="6" spans="2:24" x14ac:dyDescent="0.25">
      <c r="B6" s="135"/>
      <c r="C6" s="137"/>
      <c r="D6" s="107" t="s">
        <v>70</v>
      </c>
      <c r="E6" s="108" t="s">
        <v>51</v>
      </c>
      <c r="F6" s="109">
        <v>0.51700000000000002</v>
      </c>
      <c r="G6" s="61"/>
      <c r="H6" s="110"/>
      <c r="I6" s="62"/>
      <c r="J6" s="62"/>
      <c r="K6" s="108" t="s">
        <v>51</v>
      </c>
      <c r="L6" s="109">
        <v>0.52800000000000002</v>
      </c>
      <c r="M6" s="61" t="s">
        <v>51</v>
      </c>
      <c r="N6" s="110">
        <v>0.55300000000000005</v>
      </c>
      <c r="O6" s="62"/>
      <c r="P6" s="62"/>
      <c r="R6" s="1"/>
      <c r="S6" s="1"/>
      <c r="T6" s="1"/>
      <c r="U6" s="106"/>
      <c r="V6" s="106"/>
      <c r="W6" s="106"/>
      <c r="X6" s="106"/>
    </row>
    <row r="7" spans="2:24" x14ac:dyDescent="0.25">
      <c r="B7" s="135"/>
      <c r="C7" s="137"/>
      <c r="D7" s="107" t="s">
        <v>71</v>
      </c>
      <c r="E7" s="108" t="s">
        <v>44</v>
      </c>
      <c r="F7" s="109">
        <v>0.86099999999999999</v>
      </c>
      <c r="G7" s="61" t="s">
        <v>44</v>
      </c>
      <c r="H7" s="110">
        <v>0.86</v>
      </c>
      <c r="I7" s="62"/>
      <c r="J7" s="62"/>
      <c r="K7" s="108" t="s">
        <v>44</v>
      </c>
      <c r="L7" s="109">
        <v>0.86099999999999999</v>
      </c>
      <c r="M7" s="61" t="s">
        <v>44</v>
      </c>
      <c r="N7" s="110">
        <v>0.86099999999999999</v>
      </c>
      <c r="O7" s="62"/>
      <c r="P7" s="62"/>
      <c r="Q7" s="106"/>
      <c r="R7" s="1"/>
      <c r="S7" s="1"/>
      <c r="T7" s="1"/>
      <c r="U7" s="106"/>
      <c r="V7" s="106"/>
      <c r="W7" s="106"/>
      <c r="X7" s="106"/>
    </row>
    <row r="8" spans="2:24" x14ac:dyDescent="0.25">
      <c r="B8" s="135"/>
      <c r="C8" s="137"/>
      <c r="D8" s="107" t="s">
        <v>71</v>
      </c>
      <c r="E8" s="108" t="s">
        <v>43</v>
      </c>
      <c r="F8" s="109">
        <v>0.86</v>
      </c>
      <c r="G8" s="61" t="s">
        <v>43</v>
      </c>
      <c r="H8" s="110">
        <v>0.86</v>
      </c>
      <c r="I8" s="62"/>
      <c r="J8" s="62"/>
      <c r="K8" s="108" t="s">
        <v>43</v>
      </c>
      <c r="L8" s="109">
        <v>0.86</v>
      </c>
      <c r="M8" s="61" t="s">
        <v>43</v>
      </c>
      <c r="N8" s="110">
        <v>0.86099999999999999</v>
      </c>
      <c r="O8" s="62"/>
      <c r="P8" s="62"/>
      <c r="Q8" s="106"/>
      <c r="R8" s="1"/>
      <c r="S8" s="1"/>
      <c r="T8" s="1"/>
      <c r="U8" s="106"/>
      <c r="V8" s="106"/>
      <c r="W8" s="106"/>
      <c r="X8" s="106"/>
    </row>
    <row r="9" spans="2:24" x14ac:dyDescent="0.25">
      <c r="B9" s="135"/>
      <c r="C9" s="137"/>
      <c r="D9" s="107" t="s">
        <v>71</v>
      </c>
      <c r="E9" s="108" t="s">
        <v>49</v>
      </c>
      <c r="F9" s="109">
        <v>0.85099999999999998</v>
      </c>
      <c r="G9" s="61" t="s">
        <v>49</v>
      </c>
      <c r="H9" s="110">
        <v>0.85599999999999998</v>
      </c>
      <c r="I9" s="62"/>
      <c r="J9" s="62"/>
      <c r="K9" s="108" t="s">
        <v>49</v>
      </c>
      <c r="L9" s="109">
        <v>0.84399999999999997</v>
      </c>
      <c r="M9" s="61" t="s">
        <v>49</v>
      </c>
      <c r="N9" s="110">
        <v>0.85599999999999998</v>
      </c>
      <c r="O9" s="62"/>
      <c r="P9" s="62"/>
      <c r="Q9" s="106"/>
      <c r="R9" s="1"/>
      <c r="S9" s="1"/>
      <c r="T9" s="1"/>
      <c r="U9" s="106"/>
      <c r="V9" s="106"/>
      <c r="W9" s="106"/>
      <c r="X9" s="106"/>
    </row>
    <row r="10" spans="2:24" x14ac:dyDescent="0.25">
      <c r="B10" s="135"/>
      <c r="C10" s="137"/>
      <c r="D10" s="107" t="s">
        <v>71</v>
      </c>
      <c r="E10" s="108" t="s">
        <v>50</v>
      </c>
      <c r="F10" s="109">
        <v>0.83799999999999997</v>
      </c>
      <c r="G10" s="61" t="s">
        <v>50</v>
      </c>
      <c r="H10" s="110">
        <v>0.85499999999999998</v>
      </c>
      <c r="I10" s="62"/>
      <c r="J10" s="62"/>
      <c r="K10" s="108" t="s">
        <v>50</v>
      </c>
      <c r="L10" s="109">
        <v>0.83199999999999996</v>
      </c>
      <c r="M10" s="61" t="s">
        <v>50</v>
      </c>
      <c r="N10" s="110">
        <v>0.85499999999999998</v>
      </c>
      <c r="O10" s="62"/>
      <c r="P10" s="62"/>
      <c r="Q10" s="106"/>
      <c r="R10" s="1"/>
      <c r="S10" s="1"/>
      <c r="T10" s="1"/>
      <c r="U10" s="106"/>
      <c r="V10" s="106"/>
      <c r="W10" s="106"/>
      <c r="X10" s="106"/>
    </row>
    <row r="11" spans="2:24" x14ac:dyDescent="0.25">
      <c r="B11" s="135"/>
      <c r="C11" s="137"/>
      <c r="D11" s="107" t="s">
        <v>70</v>
      </c>
      <c r="E11" s="108" t="s">
        <v>40</v>
      </c>
      <c r="F11" s="109">
        <v>0.61699999999999999</v>
      </c>
      <c r="G11" s="61" t="s">
        <v>40</v>
      </c>
      <c r="H11" s="110">
        <v>0.67</v>
      </c>
      <c r="I11" s="62"/>
      <c r="J11" s="62"/>
      <c r="K11" s="108" t="s">
        <v>40</v>
      </c>
      <c r="L11" s="109">
        <v>0.63200000000000001</v>
      </c>
      <c r="M11" s="61" t="s">
        <v>40</v>
      </c>
      <c r="N11" s="110">
        <v>0.65800000000000003</v>
      </c>
      <c r="O11" s="62"/>
      <c r="P11" s="62"/>
      <c r="Q11" s="106"/>
      <c r="R11" s="1"/>
      <c r="S11" s="1"/>
      <c r="T11" s="1"/>
      <c r="U11" s="106"/>
      <c r="V11" s="106"/>
      <c r="W11" s="106"/>
      <c r="X11" s="106"/>
    </row>
    <row r="12" spans="2:24" x14ac:dyDescent="0.25">
      <c r="B12" s="135"/>
      <c r="C12" s="137"/>
      <c r="D12" s="107" t="s">
        <v>70</v>
      </c>
      <c r="E12" s="108" t="s">
        <v>39</v>
      </c>
      <c r="F12" s="109">
        <v>0.68100000000000005</v>
      </c>
      <c r="G12" s="61" t="s">
        <v>39</v>
      </c>
      <c r="H12" s="110">
        <v>0.72299999999999998</v>
      </c>
      <c r="I12" s="62"/>
      <c r="J12" s="62"/>
      <c r="K12" s="108" t="s">
        <v>39</v>
      </c>
      <c r="L12" s="109">
        <v>0.68899999999999995</v>
      </c>
      <c r="M12" s="61" t="s">
        <v>39</v>
      </c>
      <c r="N12" s="110">
        <v>0.70899999999999996</v>
      </c>
      <c r="O12" s="62"/>
      <c r="P12" s="62"/>
      <c r="Q12" s="106"/>
      <c r="R12" s="1"/>
      <c r="S12" s="1"/>
      <c r="T12" s="1"/>
      <c r="U12" s="106"/>
      <c r="V12" s="106"/>
      <c r="W12" s="106"/>
      <c r="X12" s="106"/>
    </row>
    <row r="13" spans="2:24" x14ac:dyDescent="0.25">
      <c r="B13" s="135"/>
      <c r="C13" s="137"/>
      <c r="D13" s="107" t="s">
        <v>70</v>
      </c>
      <c r="E13" s="108" t="s">
        <v>41</v>
      </c>
      <c r="F13" s="109">
        <v>0.70599999999999996</v>
      </c>
      <c r="G13" s="61" t="s">
        <v>41</v>
      </c>
      <c r="H13" s="110">
        <v>0.75</v>
      </c>
      <c r="I13" s="62"/>
      <c r="J13" s="62"/>
      <c r="K13" s="108" t="s">
        <v>41</v>
      </c>
      <c r="L13" s="109">
        <v>0.71099999999999997</v>
      </c>
      <c r="M13" s="61" t="s">
        <v>41</v>
      </c>
      <c r="N13" s="110">
        <v>0.73099999999999998</v>
      </c>
      <c r="O13" s="62"/>
      <c r="P13" s="62"/>
      <c r="Q13" s="106"/>
      <c r="R13" s="1"/>
      <c r="S13" s="1"/>
      <c r="T13" s="1"/>
      <c r="U13" s="106"/>
      <c r="V13" s="106"/>
      <c r="W13" s="106"/>
      <c r="X13" s="106"/>
    </row>
    <row r="14" spans="2:24" x14ac:dyDescent="0.25">
      <c r="B14" s="135"/>
      <c r="C14" s="137"/>
      <c r="D14" s="107" t="s">
        <v>70</v>
      </c>
      <c r="E14" s="108" t="s">
        <v>46</v>
      </c>
      <c r="F14" s="109">
        <v>0.55100000000000005</v>
      </c>
      <c r="G14" s="61" t="s">
        <v>46</v>
      </c>
      <c r="H14" s="110">
        <v>0.60099999999999998</v>
      </c>
      <c r="I14" s="62"/>
      <c r="J14" s="62"/>
      <c r="K14" s="108" t="s">
        <v>46</v>
      </c>
      <c r="L14" s="109">
        <v>0.56200000000000006</v>
      </c>
      <c r="M14" s="61" t="s">
        <v>46</v>
      </c>
      <c r="N14" s="110">
        <v>0.57999999999999996</v>
      </c>
      <c r="O14" s="62"/>
      <c r="P14" s="62"/>
      <c r="Q14" s="106"/>
      <c r="R14" s="1"/>
      <c r="S14" s="1"/>
      <c r="T14" s="1"/>
      <c r="U14" s="106"/>
      <c r="V14" s="106"/>
      <c r="W14" s="106"/>
      <c r="X14" s="106"/>
    </row>
    <row r="15" spans="2:24" x14ac:dyDescent="0.25">
      <c r="B15" s="135"/>
      <c r="C15" s="137"/>
      <c r="D15" s="107" t="s">
        <v>70</v>
      </c>
      <c r="E15" s="108" t="s">
        <v>42</v>
      </c>
      <c r="F15" s="109">
        <v>0.63800000000000001</v>
      </c>
      <c r="G15" s="61" t="s">
        <v>42</v>
      </c>
      <c r="H15" s="110">
        <v>0.68400000000000005</v>
      </c>
      <c r="I15" s="62"/>
      <c r="J15" s="62"/>
      <c r="K15" s="108" t="s">
        <v>42</v>
      </c>
      <c r="L15" s="109">
        <v>0.63600000000000001</v>
      </c>
      <c r="M15" s="61" t="s">
        <v>42</v>
      </c>
      <c r="N15" s="110">
        <v>0.65700000000000003</v>
      </c>
      <c r="O15" s="62"/>
      <c r="P15" s="62"/>
      <c r="Q15" s="106"/>
      <c r="R15" s="1"/>
      <c r="S15" s="1"/>
      <c r="T15" s="1"/>
      <c r="U15" s="106"/>
      <c r="V15" s="106"/>
      <c r="W15" s="106"/>
      <c r="X15" s="106"/>
    </row>
    <row r="16" spans="2:24" x14ac:dyDescent="0.25">
      <c r="B16" s="135"/>
      <c r="C16" s="137"/>
      <c r="D16" s="107" t="s">
        <v>70</v>
      </c>
      <c r="E16" s="108" t="s">
        <v>47</v>
      </c>
      <c r="F16" s="109">
        <v>0.61099999999999999</v>
      </c>
      <c r="G16" s="61" t="s">
        <v>47</v>
      </c>
      <c r="H16" s="110">
        <v>0.65200000000000002</v>
      </c>
      <c r="I16" s="62"/>
      <c r="J16" s="62"/>
      <c r="K16" s="108" t="s">
        <v>47</v>
      </c>
      <c r="L16" s="109">
        <v>0.61699999999999999</v>
      </c>
      <c r="M16" s="61" t="s">
        <v>47</v>
      </c>
      <c r="N16" s="110">
        <v>0.64</v>
      </c>
      <c r="O16" s="62"/>
      <c r="P16" s="62"/>
      <c r="Q16" s="106"/>
      <c r="R16" s="1"/>
      <c r="S16" s="1"/>
      <c r="T16" s="1"/>
      <c r="U16" s="106"/>
      <c r="V16" s="106"/>
      <c r="W16" s="106"/>
      <c r="X16" s="106"/>
    </row>
    <row r="17" spans="2:24" x14ac:dyDescent="0.25">
      <c r="B17" s="135"/>
      <c r="C17" s="137"/>
      <c r="D17" s="107" t="s">
        <v>70</v>
      </c>
      <c r="E17" s="108" t="s">
        <v>72</v>
      </c>
      <c r="F17" s="109">
        <v>0.55000000000000004</v>
      </c>
      <c r="G17" s="61" t="s">
        <v>72</v>
      </c>
      <c r="H17" s="110">
        <v>0.58899999999999997</v>
      </c>
      <c r="I17" s="62"/>
      <c r="J17" s="62"/>
      <c r="K17" s="108" t="s">
        <v>72</v>
      </c>
      <c r="L17" s="109">
        <v>0.57999999999999996</v>
      </c>
      <c r="M17" s="61" t="s">
        <v>72</v>
      </c>
      <c r="N17" s="110">
        <v>0.60299999999999998</v>
      </c>
      <c r="O17" s="62"/>
      <c r="P17" s="62"/>
      <c r="Q17" s="106"/>
      <c r="R17" s="1"/>
      <c r="S17" s="1"/>
      <c r="T17" s="1"/>
      <c r="U17" s="106"/>
      <c r="V17" s="106"/>
      <c r="W17" s="106"/>
      <c r="X17" s="106"/>
    </row>
    <row r="18" spans="2:24" x14ac:dyDescent="0.25">
      <c r="B18" s="135"/>
      <c r="C18" s="137"/>
      <c r="D18" s="107" t="s">
        <v>70</v>
      </c>
      <c r="E18" s="108" t="s">
        <v>73</v>
      </c>
      <c r="F18" s="109">
        <v>0.57399999999999995</v>
      </c>
      <c r="G18" s="61" t="s">
        <v>73</v>
      </c>
      <c r="H18" s="110">
        <v>0.624</v>
      </c>
      <c r="I18" s="62"/>
      <c r="J18" s="62"/>
      <c r="K18" s="108" t="s">
        <v>73</v>
      </c>
      <c r="L18" s="109">
        <v>0.63200000000000001</v>
      </c>
      <c r="M18" s="61" t="s">
        <v>73</v>
      </c>
      <c r="N18" s="110">
        <v>0.66100000000000003</v>
      </c>
      <c r="O18" s="62"/>
      <c r="P18" s="62"/>
      <c r="Q18" s="106"/>
      <c r="R18" s="1"/>
      <c r="S18" s="1"/>
      <c r="T18" s="1"/>
      <c r="U18" s="106"/>
      <c r="V18" s="106"/>
      <c r="W18" s="106"/>
      <c r="X18" s="106"/>
    </row>
    <row r="19" spans="2:24" x14ac:dyDescent="0.25">
      <c r="B19" s="135"/>
      <c r="C19" s="137"/>
      <c r="D19" s="107" t="s">
        <v>71</v>
      </c>
      <c r="E19" s="108" t="s">
        <v>53</v>
      </c>
      <c r="F19" s="109">
        <v>0.79500000000000004</v>
      </c>
      <c r="G19" s="61" t="s">
        <v>53</v>
      </c>
      <c r="H19" s="110">
        <v>0.79</v>
      </c>
      <c r="I19" s="62"/>
      <c r="J19" s="62"/>
      <c r="K19" s="108" t="s">
        <v>53</v>
      </c>
      <c r="L19" s="109">
        <v>0.78400000000000003</v>
      </c>
      <c r="M19" s="61" t="s">
        <v>53</v>
      </c>
      <c r="N19" s="110">
        <v>0.77500000000000002</v>
      </c>
      <c r="O19" s="62"/>
      <c r="P19" s="62"/>
      <c r="Q19" s="106"/>
      <c r="R19" s="1"/>
      <c r="S19" s="1"/>
      <c r="T19" s="1"/>
      <c r="U19" s="106"/>
      <c r="V19" s="106"/>
      <c r="W19" s="106"/>
      <c r="X19" s="106"/>
    </row>
    <row r="20" spans="2:24" x14ac:dyDescent="0.25">
      <c r="B20" s="135"/>
      <c r="C20" s="137"/>
      <c r="D20" s="107" t="s">
        <v>71</v>
      </c>
      <c r="E20" s="108" t="s">
        <v>74</v>
      </c>
      <c r="F20" s="109">
        <v>0.68400000000000005</v>
      </c>
      <c r="G20" s="61" t="s">
        <v>74</v>
      </c>
      <c r="H20" s="110">
        <v>0.76900000000000002</v>
      </c>
      <c r="I20" s="62"/>
      <c r="J20" s="62"/>
      <c r="K20" s="108" t="s">
        <v>74</v>
      </c>
      <c r="L20" s="109">
        <v>0.65600000000000003</v>
      </c>
      <c r="M20" s="61" t="s">
        <v>74</v>
      </c>
      <c r="N20" s="110">
        <v>0.76100000000000001</v>
      </c>
      <c r="O20" s="62"/>
      <c r="P20" s="62"/>
      <c r="Q20" s="106"/>
      <c r="R20" s="1"/>
      <c r="S20" s="1"/>
      <c r="T20" s="1"/>
      <c r="U20" s="106"/>
      <c r="V20" s="106"/>
      <c r="W20" s="106"/>
      <c r="X20" s="106"/>
    </row>
    <row r="21" spans="2:24" x14ac:dyDescent="0.25">
      <c r="B21" s="135"/>
      <c r="C21" s="137"/>
      <c r="D21" s="107" t="s">
        <v>70</v>
      </c>
      <c r="E21" s="108" t="s">
        <v>52</v>
      </c>
      <c r="F21" s="109">
        <v>0.67200000000000004</v>
      </c>
      <c r="G21" s="61" t="s">
        <v>52</v>
      </c>
      <c r="H21" s="110">
        <v>0.72</v>
      </c>
      <c r="I21" s="62"/>
      <c r="J21" s="62"/>
      <c r="K21" s="108" t="s">
        <v>52</v>
      </c>
      <c r="L21" s="109">
        <v>0.69799999999999995</v>
      </c>
      <c r="M21" s="61" t="s">
        <v>52</v>
      </c>
      <c r="N21" s="110">
        <v>0.72099999999999997</v>
      </c>
      <c r="O21" s="62"/>
      <c r="P21" s="62"/>
      <c r="Q21" s="106"/>
      <c r="R21" s="1"/>
      <c r="S21" s="1"/>
      <c r="T21" s="1"/>
      <c r="U21" s="106"/>
      <c r="V21" s="106"/>
      <c r="W21" s="106"/>
      <c r="X21" s="106"/>
    </row>
    <row r="22" spans="2:24" x14ac:dyDescent="0.25">
      <c r="B22" s="135"/>
      <c r="C22" s="137"/>
      <c r="D22" s="107" t="s">
        <v>70</v>
      </c>
      <c r="E22" s="108" t="s">
        <v>75</v>
      </c>
      <c r="F22" s="109">
        <v>0.64400000000000002</v>
      </c>
      <c r="G22" s="61" t="s">
        <v>75</v>
      </c>
      <c r="H22" s="110">
        <v>0.69199999999999995</v>
      </c>
      <c r="I22" s="62"/>
      <c r="J22" s="62"/>
      <c r="K22" s="108" t="s">
        <v>75</v>
      </c>
      <c r="L22" s="109">
        <v>0.68600000000000005</v>
      </c>
      <c r="M22" s="61" t="s">
        <v>75</v>
      </c>
      <c r="N22" s="110">
        <v>0.71199999999999997</v>
      </c>
      <c r="O22" s="62"/>
      <c r="P22" s="62"/>
      <c r="Q22" s="106"/>
      <c r="R22" s="1"/>
      <c r="S22" s="1"/>
      <c r="T22" s="1"/>
      <c r="U22" s="106"/>
      <c r="V22" s="106"/>
      <c r="W22" s="106"/>
      <c r="X22" s="106"/>
    </row>
    <row r="23" spans="2:24" x14ac:dyDescent="0.25">
      <c r="B23" s="135"/>
      <c r="C23" s="137"/>
      <c r="D23" s="107" t="s">
        <v>70</v>
      </c>
      <c r="E23" s="108" t="s">
        <v>35</v>
      </c>
      <c r="F23" s="109">
        <v>0.52300000000000002</v>
      </c>
      <c r="G23" s="61" t="s">
        <v>76</v>
      </c>
      <c r="H23" s="110">
        <v>0.57499999999999996</v>
      </c>
      <c r="I23" s="62"/>
      <c r="J23" s="62"/>
      <c r="K23" s="108" t="s">
        <v>35</v>
      </c>
      <c r="L23" s="109">
        <v>0.55100000000000005</v>
      </c>
      <c r="M23" s="61" t="s">
        <v>77</v>
      </c>
      <c r="N23" s="110">
        <v>0.58199999999999996</v>
      </c>
      <c r="O23" s="62"/>
      <c r="P23" s="62"/>
      <c r="Q23" s="106"/>
      <c r="R23" s="1"/>
      <c r="S23" s="1"/>
      <c r="T23" s="1"/>
      <c r="U23" s="106"/>
      <c r="V23" s="106"/>
      <c r="W23" s="106"/>
      <c r="X23" s="106"/>
    </row>
    <row r="24" spans="2:24" x14ac:dyDescent="0.25">
      <c r="B24" s="135"/>
      <c r="C24" s="137"/>
      <c r="D24" s="107" t="s">
        <v>70</v>
      </c>
      <c r="E24" s="108" t="s">
        <v>38</v>
      </c>
      <c r="F24" s="109">
        <v>0.59699999999999998</v>
      </c>
      <c r="G24" s="61"/>
      <c r="H24" s="110"/>
      <c r="I24" s="62"/>
      <c r="J24" s="62"/>
      <c r="K24" s="108" t="s">
        <v>38</v>
      </c>
      <c r="L24" s="109">
        <v>0.55600000000000005</v>
      </c>
      <c r="M24" s="61" t="s">
        <v>76</v>
      </c>
      <c r="N24" s="110">
        <v>0.59299999999999997</v>
      </c>
      <c r="O24" s="62"/>
      <c r="P24" s="62"/>
      <c r="Q24" s="106"/>
      <c r="R24" s="1"/>
      <c r="S24" s="1"/>
      <c r="T24" s="1"/>
      <c r="U24" s="106"/>
      <c r="V24" s="106"/>
      <c r="W24" s="106"/>
      <c r="X24" s="106"/>
    </row>
    <row r="25" spans="2:24" x14ac:dyDescent="0.25">
      <c r="B25" s="135"/>
      <c r="C25" s="137"/>
      <c r="D25" s="107" t="s">
        <v>78</v>
      </c>
      <c r="E25" s="108" t="s">
        <v>79</v>
      </c>
      <c r="F25" s="109">
        <v>0.749</v>
      </c>
      <c r="G25" s="61"/>
      <c r="H25" s="110"/>
      <c r="I25" s="62"/>
      <c r="J25" s="62"/>
      <c r="K25" s="108" t="s">
        <v>79</v>
      </c>
      <c r="L25" s="109">
        <v>0.61599999999999999</v>
      </c>
      <c r="M25" s="61" t="s">
        <v>80</v>
      </c>
      <c r="N25" s="110">
        <v>0.6</v>
      </c>
      <c r="O25" s="62"/>
      <c r="P25" s="62"/>
      <c r="Q25" s="106"/>
      <c r="R25" s="1"/>
      <c r="S25" s="1"/>
      <c r="T25" s="1"/>
      <c r="U25" s="106"/>
      <c r="V25" s="106"/>
      <c r="W25" s="106"/>
      <c r="X25" s="106"/>
    </row>
    <row r="26" spans="2:24" x14ac:dyDescent="0.25">
      <c r="B26" s="135"/>
      <c r="C26" s="137"/>
      <c r="D26" s="107" t="s">
        <v>78</v>
      </c>
      <c r="E26" s="108" t="s">
        <v>81</v>
      </c>
      <c r="F26" s="109">
        <v>0.78600000000000003</v>
      </c>
      <c r="G26" s="61" t="s">
        <v>37</v>
      </c>
      <c r="H26" s="110">
        <v>0.94199999999999995</v>
      </c>
      <c r="I26" s="62"/>
      <c r="J26" s="62"/>
      <c r="K26" s="108" t="s">
        <v>81</v>
      </c>
      <c r="L26" s="109">
        <v>0.58699999999999997</v>
      </c>
      <c r="M26" s="61" t="s">
        <v>37</v>
      </c>
      <c r="N26" s="110">
        <v>0.64700000000000002</v>
      </c>
      <c r="O26" s="62"/>
      <c r="P26" s="62"/>
      <c r="Q26" s="106"/>
      <c r="R26" s="1"/>
      <c r="S26" s="1"/>
      <c r="T26" s="1"/>
      <c r="U26" s="106"/>
      <c r="V26" s="106"/>
      <c r="W26" s="106"/>
      <c r="X26" s="106"/>
    </row>
    <row r="27" spans="2:24" x14ac:dyDescent="0.25">
      <c r="B27" s="135"/>
      <c r="C27" s="137"/>
      <c r="D27" s="107" t="s">
        <v>78</v>
      </c>
      <c r="E27" s="108"/>
      <c r="F27" s="109"/>
      <c r="G27" s="61" t="s">
        <v>36</v>
      </c>
      <c r="H27" s="110">
        <v>0.94499999999999995</v>
      </c>
      <c r="I27" s="62"/>
      <c r="J27" s="62"/>
      <c r="K27" s="108"/>
      <c r="L27" s="109"/>
      <c r="M27" s="61" t="s">
        <v>33</v>
      </c>
      <c r="N27" s="110">
        <v>0.629</v>
      </c>
      <c r="O27" s="62"/>
      <c r="P27" s="62"/>
      <c r="Q27" s="106"/>
    </row>
    <row r="28" spans="2:24" x14ac:dyDescent="0.25">
      <c r="B28" s="135"/>
      <c r="C28" s="137"/>
      <c r="D28" s="107" t="s">
        <v>70</v>
      </c>
      <c r="E28" s="108"/>
      <c r="F28" s="109"/>
      <c r="G28" s="61" t="s">
        <v>34</v>
      </c>
      <c r="H28" s="110">
        <v>0.54600000000000004</v>
      </c>
      <c r="I28" s="62"/>
      <c r="J28" s="62"/>
      <c r="K28" s="108"/>
      <c r="L28" s="109"/>
      <c r="M28" s="61"/>
      <c r="N28" s="61"/>
      <c r="O28" s="62"/>
      <c r="P28" s="62"/>
      <c r="Q28" s="106"/>
    </row>
    <row r="29" spans="2:24" x14ac:dyDescent="0.25">
      <c r="B29" s="135"/>
      <c r="C29" s="137"/>
      <c r="D29" s="107" t="s">
        <v>78</v>
      </c>
      <c r="E29" s="108"/>
      <c r="F29" s="109"/>
      <c r="G29" s="61" t="s">
        <v>82</v>
      </c>
      <c r="H29" s="110">
        <v>0.70599999999999996</v>
      </c>
      <c r="I29" s="62"/>
      <c r="J29" s="62"/>
      <c r="K29" s="108"/>
      <c r="L29" s="109"/>
      <c r="M29" s="61"/>
      <c r="N29" s="61"/>
      <c r="O29" s="62"/>
      <c r="P29" s="62"/>
    </row>
    <row r="30" spans="2:24" x14ac:dyDescent="0.25">
      <c r="B30" s="135"/>
      <c r="C30" s="137"/>
      <c r="D30" s="107" t="s">
        <v>70</v>
      </c>
      <c r="E30" s="108"/>
      <c r="F30" s="109"/>
      <c r="G30" s="61" t="s">
        <v>35</v>
      </c>
      <c r="H30" s="110">
        <v>0.74199999999999999</v>
      </c>
      <c r="I30" s="62"/>
      <c r="J30" s="62"/>
      <c r="K30" s="108"/>
      <c r="L30" s="109"/>
      <c r="M30" s="61"/>
      <c r="N30" s="61"/>
      <c r="O30" s="62"/>
      <c r="P30" s="62"/>
    </row>
    <row r="32" spans="2:24" x14ac:dyDescent="0.25">
      <c r="N32" s="1"/>
      <c r="P32" s="1"/>
      <c r="Q32" s="1"/>
      <c r="R32" s="1"/>
      <c r="S32" s="1"/>
      <c r="T32" s="1"/>
      <c r="U32" s="1"/>
      <c r="V32" s="1"/>
    </row>
    <row r="33" spans="2:45" x14ac:dyDescent="0.25">
      <c r="B33" s="89"/>
      <c r="C33" s="89"/>
      <c r="D33" s="89"/>
      <c r="E33" s="89"/>
      <c r="F33" s="89"/>
      <c r="G33" s="89"/>
      <c r="H33" s="90"/>
      <c r="I33" s="90"/>
      <c r="J33" s="90"/>
      <c r="K33" s="90"/>
      <c r="L33" s="90"/>
      <c r="M33" s="89"/>
      <c r="N33" s="90"/>
      <c r="O33" s="90"/>
      <c r="P33" s="90"/>
      <c r="Q33" s="1"/>
      <c r="R33" s="90"/>
      <c r="S33" s="90"/>
      <c r="T33" s="90"/>
      <c r="U33" s="89"/>
      <c r="V33" s="90"/>
      <c r="W33" s="89"/>
      <c r="X33" s="89"/>
      <c r="Y33" s="89"/>
      <c r="Z33" s="89"/>
      <c r="AA33" s="89"/>
      <c r="AB33" s="89"/>
      <c r="AC33" s="89"/>
      <c r="AD33" s="89"/>
      <c r="AF33" s="89"/>
      <c r="AG33" s="89"/>
      <c r="AH33" s="89"/>
      <c r="AI33" s="89"/>
      <c r="AJ33" s="89"/>
      <c r="AK33" s="89"/>
      <c r="AL33" s="89"/>
      <c r="AM33" s="89"/>
      <c r="AN33" s="89"/>
      <c r="AO33" s="89"/>
      <c r="AP33" s="89"/>
      <c r="AQ33" s="89"/>
      <c r="AR33" s="89"/>
      <c r="AS33" s="89"/>
    </row>
    <row r="34" spans="2:45" x14ac:dyDescent="0.25">
      <c r="B34" s="89"/>
      <c r="C34" s="89"/>
      <c r="D34" s="89"/>
      <c r="E34" s="89"/>
      <c r="F34" s="89"/>
      <c r="G34" s="89"/>
      <c r="H34" s="90"/>
      <c r="I34" s="90"/>
      <c r="J34" s="90"/>
      <c r="K34" s="90"/>
      <c r="L34" s="90"/>
      <c r="M34" s="89"/>
      <c r="N34" s="90"/>
      <c r="O34" s="90"/>
      <c r="P34" s="90"/>
      <c r="Q34" s="1"/>
      <c r="R34" s="90"/>
      <c r="S34" s="90"/>
      <c r="T34" s="90"/>
      <c r="U34" s="89"/>
      <c r="V34" s="90"/>
      <c r="W34" s="89"/>
      <c r="X34" s="89"/>
      <c r="Y34" s="89"/>
      <c r="Z34" s="89"/>
      <c r="AA34" s="89"/>
      <c r="AB34" s="89"/>
      <c r="AC34" s="89"/>
      <c r="AD34" s="89"/>
      <c r="AF34" s="89"/>
      <c r="AG34" s="89"/>
      <c r="AH34" s="89"/>
      <c r="AI34" s="89"/>
      <c r="AJ34" s="89"/>
      <c r="AK34" s="89"/>
      <c r="AL34" s="89"/>
      <c r="AM34" s="89"/>
      <c r="AN34" s="89"/>
      <c r="AO34" s="89"/>
      <c r="AP34" s="89"/>
      <c r="AQ34" s="89"/>
      <c r="AR34" s="89"/>
      <c r="AS34" s="89"/>
    </row>
    <row r="35" spans="2:45" x14ac:dyDescent="0.25">
      <c r="B35" s="89"/>
      <c r="C35" s="89"/>
      <c r="D35" s="138"/>
      <c r="E35" s="139"/>
      <c r="F35" s="139"/>
      <c r="G35" s="139"/>
      <c r="H35" s="139"/>
      <c r="I35" s="139"/>
      <c r="J35" s="139"/>
      <c r="K35" s="139"/>
      <c r="L35" s="90"/>
      <c r="M35" s="89"/>
      <c r="N35" s="90"/>
      <c r="O35" s="90"/>
      <c r="P35" s="90"/>
      <c r="Q35" s="1"/>
      <c r="R35" s="90"/>
      <c r="S35" s="90"/>
      <c r="T35" s="90"/>
      <c r="U35" s="138"/>
      <c r="V35" s="139"/>
      <c r="W35" s="139"/>
      <c r="X35" s="139"/>
      <c r="Y35" s="139"/>
      <c r="Z35" s="139"/>
      <c r="AA35" s="139"/>
      <c r="AB35" s="139"/>
      <c r="AC35" s="89"/>
      <c r="AD35" s="89"/>
      <c r="AF35" s="89"/>
      <c r="AG35" s="89"/>
      <c r="AH35" s="89"/>
      <c r="AI35" s="138"/>
      <c r="AJ35" s="139"/>
      <c r="AK35" s="139"/>
      <c r="AL35" s="139"/>
      <c r="AM35" s="139"/>
      <c r="AN35" s="139"/>
      <c r="AO35" s="139"/>
      <c r="AP35" s="139"/>
      <c r="AQ35" s="89"/>
      <c r="AR35" s="89"/>
      <c r="AS35" s="89"/>
    </row>
    <row r="36" spans="2:45" ht="15" customHeight="1" x14ac:dyDescent="0.25">
      <c r="B36" s="89"/>
      <c r="C36" s="89"/>
      <c r="D36" s="139"/>
      <c r="E36" s="139"/>
      <c r="F36" s="139"/>
      <c r="G36" s="139"/>
      <c r="H36" s="139"/>
      <c r="I36" s="139"/>
      <c r="J36" s="139"/>
      <c r="K36" s="139"/>
      <c r="L36" s="90"/>
      <c r="M36" s="89"/>
      <c r="N36" s="90"/>
      <c r="O36" s="90"/>
      <c r="P36" s="90"/>
      <c r="Q36" s="1"/>
      <c r="R36" s="90"/>
      <c r="S36" s="90"/>
      <c r="T36" s="90"/>
      <c r="U36" s="139"/>
      <c r="V36" s="139"/>
      <c r="W36" s="139"/>
      <c r="X36" s="139"/>
      <c r="Y36" s="139"/>
      <c r="Z36" s="139"/>
      <c r="AA36" s="139"/>
      <c r="AB36" s="139"/>
      <c r="AC36" s="89"/>
      <c r="AD36" s="89"/>
      <c r="AF36" s="89"/>
      <c r="AG36" s="89"/>
      <c r="AH36" s="89"/>
      <c r="AI36" s="139"/>
      <c r="AJ36" s="139"/>
      <c r="AK36" s="139"/>
      <c r="AL36" s="139"/>
      <c r="AM36" s="139"/>
      <c r="AN36" s="139"/>
      <c r="AO36" s="139"/>
      <c r="AP36" s="139"/>
      <c r="AQ36" s="89"/>
      <c r="AR36" s="89"/>
      <c r="AS36" s="89"/>
    </row>
    <row r="37" spans="2:45" x14ac:dyDescent="0.25">
      <c r="B37" s="89"/>
      <c r="C37" s="89"/>
      <c r="D37" s="89"/>
      <c r="E37" s="89"/>
      <c r="F37" s="89"/>
      <c r="G37" s="89"/>
      <c r="H37" s="90"/>
      <c r="I37" s="90"/>
      <c r="J37" s="90"/>
      <c r="K37" s="90"/>
      <c r="L37" s="90"/>
      <c r="M37" s="89"/>
      <c r="N37" s="90"/>
      <c r="O37" s="90"/>
      <c r="P37" s="90"/>
      <c r="Q37" s="1"/>
      <c r="R37" s="90"/>
      <c r="S37" s="90"/>
      <c r="T37" s="90"/>
      <c r="U37" s="89"/>
      <c r="V37" s="90"/>
      <c r="W37" s="89"/>
      <c r="X37" s="89"/>
      <c r="Y37" s="89"/>
      <c r="Z37" s="89"/>
      <c r="AA37" s="89"/>
      <c r="AB37" s="89"/>
      <c r="AC37" s="89"/>
      <c r="AD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</row>
    <row r="38" spans="2:45" x14ac:dyDescent="0.25">
      <c r="B38" s="89"/>
      <c r="C38" s="89"/>
      <c r="D38" s="89"/>
      <c r="E38" s="89"/>
      <c r="F38" s="89"/>
      <c r="G38" s="89"/>
      <c r="H38" s="90"/>
      <c r="I38" s="90"/>
      <c r="J38" s="90"/>
      <c r="K38" s="90"/>
      <c r="L38" s="90"/>
      <c r="M38" s="89"/>
      <c r="N38" s="90"/>
      <c r="O38" s="90"/>
      <c r="P38" s="90"/>
      <c r="Q38" s="1"/>
      <c r="R38" s="90"/>
      <c r="S38" s="90"/>
      <c r="T38" s="90"/>
      <c r="U38" s="89"/>
      <c r="V38" s="90"/>
      <c r="W38" s="89"/>
      <c r="X38" s="89"/>
      <c r="Y38" s="89"/>
      <c r="Z38" s="89"/>
      <c r="AA38" s="89"/>
      <c r="AB38" s="89"/>
      <c r="AC38" s="89"/>
      <c r="AD38" s="89"/>
      <c r="AF38" s="89"/>
      <c r="AG38" s="89"/>
      <c r="AH38" s="89"/>
      <c r="AI38" s="89"/>
      <c r="AJ38" s="89"/>
      <c r="AK38" s="89"/>
      <c r="AL38" s="89"/>
      <c r="AM38" s="89"/>
      <c r="AN38" s="89"/>
      <c r="AO38" s="89"/>
      <c r="AP38" s="89"/>
      <c r="AQ38" s="89"/>
      <c r="AR38" s="89"/>
      <c r="AS38" s="89"/>
    </row>
    <row r="39" spans="2:45" x14ac:dyDescent="0.25">
      <c r="B39" s="89"/>
      <c r="C39" s="89"/>
      <c r="D39" s="89"/>
      <c r="E39" s="89"/>
      <c r="F39" s="89"/>
      <c r="G39" s="89"/>
      <c r="H39" s="90"/>
      <c r="I39" s="90"/>
      <c r="J39" s="90"/>
      <c r="K39" s="90"/>
      <c r="L39" s="90"/>
      <c r="M39" s="89"/>
      <c r="N39" s="90"/>
      <c r="O39" s="90"/>
      <c r="P39" s="90"/>
      <c r="Q39" s="1"/>
      <c r="R39" s="90"/>
      <c r="S39" s="90"/>
      <c r="T39" s="90"/>
      <c r="U39" s="89"/>
      <c r="V39" s="90"/>
      <c r="W39" s="89"/>
      <c r="X39" s="89"/>
      <c r="Y39" s="89"/>
      <c r="Z39" s="89"/>
      <c r="AA39" s="89"/>
      <c r="AB39" s="89"/>
      <c r="AC39" s="89"/>
      <c r="AD39" s="89"/>
      <c r="AF39" s="89"/>
      <c r="AG39" s="89"/>
      <c r="AH39" s="89"/>
      <c r="AI39" s="89"/>
      <c r="AJ39" s="89"/>
      <c r="AK39" s="89"/>
      <c r="AL39" s="89"/>
      <c r="AM39" s="89"/>
      <c r="AN39" s="89"/>
      <c r="AO39" s="89"/>
      <c r="AP39" s="89"/>
      <c r="AQ39" s="89"/>
      <c r="AR39" s="89"/>
      <c r="AS39" s="89"/>
    </row>
    <row r="40" spans="2:45" x14ac:dyDescent="0.25">
      <c r="B40" s="89"/>
      <c r="C40" s="89"/>
      <c r="D40" s="89"/>
      <c r="E40" s="89"/>
      <c r="F40" s="89"/>
      <c r="G40" s="89"/>
      <c r="H40" s="90"/>
      <c r="I40" s="90"/>
      <c r="J40" s="90"/>
      <c r="K40" s="90"/>
      <c r="L40" s="90"/>
      <c r="M40" s="89"/>
      <c r="N40" s="90"/>
      <c r="O40" s="90"/>
      <c r="P40" s="90"/>
      <c r="Q40" s="1"/>
      <c r="R40" s="90"/>
      <c r="S40" s="90"/>
      <c r="T40" s="90"/>
      <c r="U40" s="89"/>
      <c r="V40" s="90"/>
      <c r="W40" s="89"/>
      <c r="X40" s="89"/>
      <c r="Y40" s="89"/>
      <c r="Z40" s="89"/>
      <c r="AA40" s="89"/>
      <c r="AB40" s="89"/>
      <c r="AC40" s="89"/>
      <c r="AD40" s="89"/>
      <c r="AF40" s="89"/>
      <c r="AG40" s="89"/>
      <c r="AH40" s="89"/>
      <c r="AI40" s="89"/>
      <c r="AJ40" s="89"/>
      <c r="AK40" s="89"/>
      <c r="AL40" s="89"/>
      <c r="AM40" s="89"/>
      <c r="AN40" s="89"/>
      <c r="AO40" s="89"/>
      <c r="AP40" s="89"/>
      <c r="AQ40" s="89"/>
      <c r="AR40" s="89"/>
      <c r="AS40" s="89"/>
    </row>
    <row r="41" spans="2:45" x14ac:dyDescent="0.25">
      <c r="B41" s="89"/>
      <c r="C41" s="89"/>
      <c r="D41" s="89"/>
      <c r="E41" s="89"/>
      <c r="F41" s="89"/>
      <c r="G41" s="89"/>
      <c r="H41" s="90"/>
      <c r="I41" s="90"/>
      <c r="J41" s="90"/>
      <c r="K41" s="90"/>
      <c r="L41" s="90"/>
      <c r="M41" s="89"/>
      <c r="N41" s="90"/>
      <c r="O41" s="90"/>
      <c r="P41" s="90"/>
      <c r="Q41" s="1"/>
      <c r="R41" s="90"/>
      <c r="S41" s="90"/>
      <c r="T41" s="90"/>
      <c r="U41" s="89"/>
      <c r="V41" s="90"/>
      <c r="W41" s="89"/>
      <c r="X41" s="89"/>
      <c r="Y41" s="89"/>
      <c r="Z41" s="89"/>
      <c r="AA41" s="89"/>
      <c r="AB41" s="89"/>
      <c r="AC41" s="89"/>
      <c r="AD41" s="89"/>
      <c r="AF41" s="89"/>
      <c r="AG41" s="89"/>
      <c r="AH41" s="89"/>
      <c r="AI41" s="89"/>
      <c r="AJ41" s="89"/>
      <c r="AK41" s="89"/>
      <c r="AL41" s="89"/>
      <c r="AM41" s="89"/>
      <c r="AN41" s="89"/>
      <c r="AO41" s="89"/>
      <c r="AP41" s="89"/>
      <c r="AQ41" s="89"/>
      <c r="AR41" s="89"/>
      <c r="AS41" s="89"/>
    </row>
    <row r="42" spans="2:45" x14ac:dyDescent="0.25">
      <c r="B42" s="89"/>
      <c r="C42" s="89"/>
      <c r="D42" s="89"/>
      <c r="E42" s="89"/>
      <c r="F42" s="89"/>
      <c r="G42" s="89"/>
      <c r="H42" s="90"/>
      <c r="I42" s="90"/>
      <c r="J42" s="90"/>
      <c r="K42" s="90"/>
      <c r="L42" s="90"/>
      <c r="M42" s="89"/>
      <c r="N42" s="90"/>
      <c r="O42" s="90"/>
      <c r="P42" s="90"/>
      <c r="Q42" s="1"/>
      <c r="R42" s="90"/>
      <c r="S42" s="90"/>
      <c r="T42" s="90"/>
      <c r="U42" s="89"/>
      <c r="V42" s="90"/>
      <c r="W42" s="89"/>
      <c r="X42" s="89"/>
      <c r="Y42" s="89"/>
      <c r="Z42" s="89"/>
      <c r="AA42" s="89"/>
      <c r="AB42" s="89"/>
      <c r="AC42" s="89"/>
      <c r="AD42" s="89"/>
      <c r="AF42" s="89"/>
      <c r="AG42" s="89"/>
      <c r="AH42" s="89"/>
      <c r="AI42" s="89"/>
      <c r="AJ42" s="89"/>
      <c r="AK42" s="89"/>
      <c r="AL42" s="89"/>
      <c r="AM42" s="89"/>
      <c r="AN42" s="89"/>
      <c r="AO42" s="89"/>
      <c r="AP42" s="89"/>
      <c r="AQ42" s="89"/>
      <c r="AR42" s="89"/>
      <c r="AS42" s="89"/>
    </row>
    <row r="43" spans="2:45" x14ac:dyDescent="0.25">
      <c r="B43" s="89"/>
      <c r="C43" s="89"/>
      <c r="D43" s="89"/>
      <c r="E43" s="89"/>
      <c r="F43" s="89"/>
      <c r="G43" s="89"/>
      <c r="H43" s="90"/>
      <c r="I43" s="90"/>
      <c r="J43" s="90"/>
      <c r="K43" s="90"/>
      <c r="L43" s="90"/>
      <c r="M43" s="89"/>
      <c r="N43" s="90"/>
      <c r="O43" s="90"/>
      <c r="P43" s="90"/>
      <c r="Q43" s="1"/>
      <c r="R43" s="90"/>
      <c r="S43" s="90"/>
      <c r="T43" s="90"/>
      <c r="U43" s="89"/>
      <c r="V43" s="90"/>
      <c r="W43" s="89"/>
      <c r="X43" s="89"/>
      <c r="Y43" s="89"/>
      <c r="Z43" s="89"/>
      <c r="AA43" s="89"/>
      <c r="AB43" s="89"/>
      <c r="AC43" s="89"/>
      <c r="AD43" s="89"/>
      <c r="AF43" s="89"/>
      <c r="AG43" s="89"/>
      <c r="AH43" s="89"/>
      <c r="AI43" s="89"/>
      <c r="AJ43" s="89"/>
      <c r="AK43" s="89"/>
      <c r="AL43" s="89"/>
      <c r="AM43" s="89"/>
      <c r="AN43" s="89"/>
      <c r="AO43" s="89"/>
      <c r="AP43" s="89"/>
      <c r="AQ43" s="89"/>
      <c r="AR43" s="89"/>
      <c r="AS43" s="89"/>
    </row>
    <row r="44" spans="2:45" x14ac:dyDescent="0.25">
      <c r="B44" s="89"/>
      <c r="C44" s="89"/>
      <c r="D44" s="89"/>
      <c r="E44" s="89"/>
      <c r="F44" s="89"/>
      <c r="G44" s="89"/>
      <c r="H44" s="90"/>
      <c r="I44" s="90"/>
      <c r="J44" s="90"/>
      <c r="K44" s="90"/>
      <c r="L44" s="90"/>
      <c r="M44" s="89"/>
      <c r="N44" s="90"/>
      <c r="O44" s="90"/>
      <c r="P44" s="90"/>
      <c r="Q44" s="1"/>
      <c r="R44" s="90"/>
      <c r="S44" s="90"/>
      <c r="T44" s="90"/>
      <c r="U44" s="89"/>
      <c r="V44" s="90"/>
      <c r="W44" s="89"/>
      <c r="X44" s="89"/>
      <c r="Y44" s="89"/>
      <c r="Z44" s="89"/>
      <c r="AA44" s="89"/>
      <c r="AB44" s="89"/>
      <c r="AC44" s="89"/>
      <c r="AD44" s="89"/>
      <c r="AF44" s="89"/>
      <c r="AG44" s="89"/>
      <c r="AH44" s="89"/>
      <c r="AI44" s="89"/>
      <c r="AJ44" s="89"/>
      <c r="AK44" s="89"/>
      <c r="AL44" s="89"/>
      <c r="AM44" s="89"/>
      <c r="AN44" s="89"/>
      <c r="AO44" s="89"/>
      <c r="AP44" s="89"/>
      <c r="AQ44" s="89"/>
      <c r="AR44" s="89"/>
      <c r="AS44" s="89"/>
    </row>
    <row r="45" spans="2:45" x14ac:dyDescent="0.25">
      <c r="B45" s="89"/>
      <c r="C45" s="89"/>
      <c r="D45" s="89"/>
      <c r="E45" s="89"/>
      <c r="F45" s="89"/>
      <c r="G45" s="89"/>
      <c r="H45" s="90"/>
      <c r="I45" s="90"/>
      <c r="J45" s="90"/>
      <c r="K45" s="90"/>
      <c r="L45" s="90"/>
      <c r="M45" s="89"/>
      <c r="N45" s="90"/>
      <c r="O45" s="90"/>
      <c r="P45" s="90"/>
      <c r="Q45" s="1"/>
      <c r="R45" s="90"/>
      <c r="S45" s="90"/>
      <c r="T45" s="90"/>
      <c r="U45" s="89"/>
      <c r="V45" s="90"/>
      <c r="W45" s="89"/>
      <c r="X45" s="89"/>
      <c r="Y45" s="89"/>
      <c r="Z45" s="89"/>
      <c r="AA45" s="89"/>
      <c r="AB45" s="89"/>
      <c r="AC45" s="89"/>
      <c r="AD45" s="89"/>
      <c r="AF45" s="89"/>
      <c r="AG45" s="89"/>
      <c r="AH45" s="89"/>
      <c r="AI45" s="89"/>
      <c r="AJ45" s="89"/>
      <c r="AK45" s="89"/>
      <c r="AL45" s="89"/>
      <c r="AM45" s="89"/>
      <c r="AN45" s="89"/>
      <c r="AO45" s="89"/>
      <c r="AP45" s="89"/>
      <c r="AQ45" s="89"/>
      <c r="AR45" s="89"/>
      <c r="AS45" s="89"/>
    </row>
    <row r="46" spans="2:45" x14ac:dyDescent="0.25">
      <c r="B46" s="89"/>
      <c r="C46" s="89"/>
      <c r="D46" s="89"/>
      <c r="E46" s="89"/>
      <c r="F46" s="89"/>
      <c r="G46" s="89"/>
      <c r="H46" s="90"/>
      <c r="I46" s="90"/>
      <c r="J46" s="90"/>
      <c r="K46" s="90"/>
      <c r="L46" s="90"/>
      <c r="M46" s="89"/>
      <c r="N46" s="90"/>
      <c r="O46" s="90"/>
      <c r="P46" s="90"/>
      <c r="Q46" s="1"/>
      <c r="R46" s="90"/>
      <c r="S46" s="90"/>
      <c r="T46" s="90"/>
      <c r="U46" s="89"/>
      <c r="V46" s="90"/>
      <c r="W46" s="89"/>
      <c r="X46" s="89"/>
      <c r="Y46" s="89"/>
      <c r="Z46" s="89"/>
      <c r="AA46" s="89"/>
      <c r="AB46" s="89"/>
      <c r="AC46" s="89"/>
      <c r="AD46" s="89"/>
      <c r="AF46" s="89"/>
      <c r="AG46" s="89"/>
      <c r="AH46" s="89"/>
      <c r="AI46" s="89"/>
      <c r="AJ46" s="89"/>
      <c r="AK46" s="89"/>
      <c r="AL46" s="89"/>
      <c r="AM46" s="89"/>
      <c r="AN46" s="89"/>
      <c r="AO46" s="89"/>
      <c r="AP46" s="89"/>
      <c r="AQ46" s="89"/>
      <c r="AR46" s="89"/>
      <c r="AS46" s="89"/>
    </row>
    <row r="47" spans="2:45" x14ac:dyDescent="0.25">
      <c r="B47" s="89"/>
      <c r="C47" s="89"/>
      <c r="D47" s="89"/>
      <c r="E47" s="89"/>
      <c r="F47" s="89"/>
      <c r="G47" s="89"/>
      <c r="H47" s="90"/>
      <c r="I47" s="90"/>
      <c r="J47" s="90"/>
      <c r="K47" s="90"/>
      <c r="L47" s="90"/>
      <c r="M47" s="89"/>
      <c r="N47" s="90"/>
      <c r="O47" s="90"/>
      <c r="P47" s="90"/>
      <c r="Q47" s="1"/>
      <c r="R47" s="90"/>
      <c r="S47" s="90"/>
      <c r="T47" s="90"/>
      <c r="U47" s="89"/>
      <c r="V47" s="90"/>
      <c r="W47" s="89"/>
      <c r="X47" s="89"/>
      <c r="Y47" s="89"/>
      <c r="Z47" s="89"/>
      <c r="AA47" s="89"/>
      <c r="AB47" s="89"/>
      <c r="AC47" s="89"/>
      <c r="AD47" s="89"/>
      <c r="AF47" s="89"/>
      <c r="AG47" s="89"/>
      <c r="AH47" s="89"/>
      <c r="AI47" s="89"/>
      <c r="AJ47" s="89"/>
      <c r="AK47" s="89"/>
      <c r="AL47" s="89"/>
      <c r="AM47" s="89"/>
      <c r="AN47" s="89"/>
      <c r="AO47" s="89"/>
      <c r="AP47" s="89"/>
      <c r="AQ47" s="89"/>
      <c r="AR47" s="89"/>
      <c r="AS47" s="89"/>
    </row>
    <row r="48" spans="2:45" x14ac:dyDescent="0.25">
      <c r="B48" s="89"/>
      <c r="C48" s="89"/>
      <c r="D48" s="89"/>
      <c r="E48" s="89"/>
      <c r="F48" s="89"/>
      <c r="G48" s="89"/>
      <c r="H48" s="90"/>
      <c r="I48" s="90"/>
      <c r="J48" s="90"/>
      <c r="K48" s="90"/>
      <c r="L48" s="90"/>
      <c r="M48" s="89"/>
      <c r="N48" s="90"/>
      <c r="O48" s="90"/>
      <c r="P48" s="90"/>
      <c r="Q48" s="1"/>
      <c r="R48" s="90"/>
      <c r="S48" s="90"/>
      <c r="T48" s="90"/>
      <c r="U48" s="89"/>
      <c r="V48" s="90"/>
      <c r="W48" s="89"/>
      <c r="X48" s="89"/>
      <c r="Y48" s="89"/>
      <c r="Z48" s="89"/>
      <c r="AA48" s="89"/>
      <c r="AB48" s="89"/>
      <c r="AC48" s="89"/>
      <c r="AD48" s="89"/>
      <c r="AF48" s="89"/>
      <c r="AG48" s="89"/>
      <c r="AH48" s="89"/>
      <c r="AI48" s="89"/>
      <c r="AJ48" s="89"/>
      <c r="AK48" s="89"/>
      <c r="AL48" s="89"/>
      <c r="AM48" s="89"/>
      <c r="AN48" s="89"/>
      <c r="AO48" s="89"/>
      <c r="AP48" s="89"/>
      <c r="AQ48" s="89"/>
      <c r="AR48" s="89"/>
      <c r="AS48" s="89"/>
    </row>
    <row r="49" spans="2:45" x14ac:dyDescent="0.25">
      <c r="B49" s="89"/>
      <c r="C49" s="89"/>
      <c r="D49" s="89"/>
      <c r="E49" s="89"/>
      <c r="F49" s="89"/>
      <c r="G49" s="89"/>
      <c r="H49" s="90"/>
      <c r="I49" s="90"/>
      <c r="J49" s="90"/>
      <c r="K49" s="90"/>
      <c r="L49" s="90"/>
      <c r="M49" s="89"/>
      <c r="N49" s="90"/>
      <c r="O49" s="90"/>
      <c r="P49" s="90"/>
      <c r="Q49" s="1"/>
      <c r="R49" s="90"/>
      <c r="S49" s="90"/>
      <c r="T49" s="90"/>
      <c r="U49" s="89"/>
      <c r="V49" s="90"/>
      <c r="W49" s="89"/>
      <c r="X49" s="89"/>
      <c r="Y49" s="89"/>
      <c r="Z49" s="89"/>
      <c r="AA49" s="89"/>
      <c r="AB49" s="89"/>
      <c r="AC49" s="89"/>
      <c r="AD49" s="89"/>
      <c r="AF49" s="89"/>
      <c r="AG49" s="89"/>
      <c r="AH49" s="89"/>
      <c r="AI49" s="89"/>
      <c r="AJ49" s="89"/>
      <c r="AK49" s="89"/>
      <c r="AL49" s="89"/>
      <c r="AM49" s="89"/>
      <c r="AN49" s="89"/>
      <c r="AO49" s="89"/>
      <c r="AP49" s="89"/>
      <c r="AQ49" s="89"/>
      <c r="AR49" s="89"/>
      <c r="AS49" s="89"/>
    </row>
    <row r="50" spans="2:45" x14ac:dyDescent="0.25">
      <c r="B50" s="89"/>
      <c r="C50" s="89"/>
      <c r="D50" s="89"/>
      <c r="E50" s="89"/>
      <c r="F50" s="89"/>
      <c r="G50" s="89"/>
      <c r="H50" s="90"/>
      <c r="I50" s="90"/>
      <c r="J50" s="90"/>
      <c r="K50" s="90"/>
      <c r="L50" s="90"/>
      <c r="M50" s="89"/>
      <c r="N50" s="90"/>
      <c r="O50" s="90"/>
      <c r="P50" s="90"/>
      <c r="Q50" s="1"/>
      <c r="R50" s="90"/>
      <c r="S50" s="90"/>
      <c r="T50" s="90"/>
      <c r="U50" s="89"/>
      <c r="V50" s="90"/>
      <c r="W50" s="89"/>
      <c r="X50" s="89"/>
      <c r="Y50" s="89"/>
      <c r="Z50" s="89"/>
      <c r="AA50" s="89"/>
      <c r="AB50" s="89"/>
      <c r="AC50" s="89"/>
      <c r="AD50" s="89"/>
      <c r="AF50" s="89"/>
      <c r="AG50" s="89"/>
      <c r="AH50" s="89"/>
      <c r="AI50" s="89"/>
      <c r="AJ50" s="89"/>
      <c r="AK50" s="89"/>
      <c r="AL50" s="89"/>
      <c r="AM50" s="89"/>
      <c r="AN50" s="89"/>
      <c r="AO50" s="89"/>
      <c r="AP50" s="89"/>
      <c r="AQ50" s="89"/>
      <c r="AR50" s="89"/>
      <c r="AS50" s="89"/>
    </row>
    <row r="51" spans="2:45" x14ac:dyDescent="0.25">
      <c r="B51" s="89"/>
      <c r="C51" s="89"/>
      <c r="D51" s="89"/>
      <c r="E51" s="89"/>
      <c r="F51" s="89"/>
      <c r="G51" s="89"/>
      <c r="H51" s="90"/>
      <c r="I51" s="90"/>
      <c r="J51" s="90"/>
      <c r="K51" s="90"/>
      <c r="L51" s="90"/>
      <c r="M51" s="89"/>
      <c r="N51" s="90"/>
      <c r="O51" s="90"/>
      <c r="P51" s="90"/>
      <c r="Q51" s="1"/>
      <c r="R51" s="90"/>
      <c r="S51" s="90"/>
      <c r="T51" s="90"/>
      <c r="U51" s="89"/>
      <c r="V51" s="90"/>
      <c r="W51" s="89"/>
      <c r="X51" s="89"/>
      <c r="Y51" s="89"/>
      <c r="Z51" s="89"/>
      <c r="AA51" s="89"/>
      <c r="AB51" s="89"/>
      <c r="AC51" s="89"/>
      <c r="AD51" s="89"/>
      <c r="AF51" s="89"/>
      <c r="AG51" s="89"/>
      <c r="AH51" s="89"/>
      <c r="AI51" s="89"/>
      <c r="AJ51" s="89"/>
      <c r="AK51" s="89"/>
      <c r="AL51" s="89"/>
      <c r="AM51" s="89"/>
      <c r="AN51" s="89"/>
      <c r="AO51" s="89"/>
      <c r="AP51" s="89"/>
      <c r="AQ51" s="89"/>
      <c r="AR51" s="89"/>
      <c r="AS51" s="89"/>
    </row>
    <row r="52" spans="2:45" x14ac:dyDescent="0.25">
      <c r="B52" s="89"/>
      <c r="C52" s="89"/>
      <c r="D52" s="89"/>
      <c r="E52" s="89"/>
      <c r="F52" s="89"/>
      <c r="G52" s="89"/>
      <c r="H52" s="90"/>
      <c r="I52" s="90"/>
      <c r="J52" s="90"/>
      <c r="K52" s="90"/>
      <c r="L52" s="90"/>
      <c r="M52" s="89"/>
      <c r="N52" s="90"/>
      <c r="O52" s="90"/>
      <c r="P52" s="90"/>
      <c r="Q52" s="1"/>
      <c r="R52" s="90"/>
      <c r="S52" s="90"/>
      <c r="T52" s="90"/>
      <c r="U52" s="89"/>
      <c r="V52" s="90"/>
      <c r="W52" s="89"/>
      <c r="X52" s="89"/>
      <c r="Y52" s="89"/>
      <c r="Z52" s="89"/>
      <c r="AA52" s="89"/>
      <c r="AB52" s="89"/>
      <c r="AC52" s="89"/>
      <c r="AD52" s="89"/>
      <c r="AF52" s="89"/>
      <c r="AG52" s="89"/>
      <c r="AH52" s="89"/>
      <c r="AI52" s="89"/>
      <c r="AJ52" s="89"/>
      <c r="AK52" s="89"/>
      <c r="AL52" s="89"/>
      <c r="AM52" s="89"/>
      <c r="AN52" s="89"/>
      <c r="AO52" s="89"/>
      <c r="AP52" s="89"/>
      <c r="AQ52" s="89"/>
      <c r="AR52" s="89"/>
      <c r="AS52" s="89"/>
    </row>
    <row r="53" spans="2:45" x14ac:dyDescent="0.25">
      <c r="B53" s="89"/>
      <c r="C53" s="89"/>
      <c r="D53" s="89"/>
      <c r="E53" s="89"/>
      <c r="F53" s="89"/>
      <c r="G53" s="89"/>
      <c r="H53" s="90"/>
      <c r="I53" s="90"/>
      <c r="J53" s="90"/>
      <c r="K53" s="90"/>
      <c r="L53" s="90"/>
      <c r="M53" s="89"/>
      <c r="N53" s="90"/>
      <c r="O53" s="90"/>
      <c r="P53" s="90"/>
      <c r="Q53" s="1"/>
      <c r="R53" s="90"/>
      <c r="S53" s="90"/>
      <c r="T53" s="90"/>
      <c r="U53" s="89"/>
      <c r="V53" s="89"/>
      <c r="W53" s="89"/>
      <c r="X53" s="89"/>
      <c r="Y53" s="89"/>
      <c r="Z53" s="89"/>
      <c r="AA53" s="89"/>
      <c r="AB53" s="89"/>
      <c r="AC53" s="89"/>
      <c r="AD53" s="89"/>
      <c r="AF53" s="89"/>
      <c r="AG53" s="89"/>
      <c r="AH53" s="89"/>
      <c r="AI53" s="89"/>
      <c r="AJ53" s="89"/>
      <c r="AK53" s="89"/>
      <c r="AL53" s="89"/>
      <c r="AM53" s="89"/>
      <c r="AN53" s="89"/>
      <c r="AO53" s="89"/>
      <c r="AP53" s="89"/>
      <c r="AQ53" s="89"/>
      <c r="AR53" s="89"/>
      <c r="AS53" s="89"/>
    </row>
    <row r="54" spans="2:45" x14ac:dyDescent="0.25">
      <c r="B54" s="89"/>
      <c r="C54" s="89"/>
      <c r="D54" s="89"/>
      <c r="E54" s="89"/>
      <c r="F54" s="89"/>
      <c r="G54" s="89"/>
      <c r="H54" s="90"/>
      <c r="I54" s="90"/>
      <c r="J54" s="90"/>
      <c r="K54" s="90"/>
      <c r="L54" s="90"/>
      <c r="M54" s="89"/>
      <c r="N54" s="90"/>
      <c r="O54" s="90"/>
      <c r="P54" s="90"/>
      <c r="Q54" s="1"/>
      <c r="R54" s="90"/>
      <c r="S54" s="90"/>
      <c r="T54" s="90"/>
      <c r="U54" s="89"/>
      <c r="V54" s="89"/>
      <c r="W54" s="89"/>
      <c r="X54" s="89"/>
      <c r="Y54" s="89"/>
      <c r="Z54" s="89"/>
      <c r="AA54" s="89"/>
      <c r="AB54" s="89"/>
      <c r="AC54" s="89"/>
      <c r="AD54" s="89"/>
      <c r="AF54" s="89"/>
      <c r="AG54" s="89"/>
      <c r="AH54" s="89"/>
      <c r="AI54" s="89"/>
      <c r="AJ54" s="89"/>
      <c r="AK54" s="89"/>
      <c r="AL54" s="89"/>
      <c r="AM54" s="89"/>
      <c r="AN54" s="89"/>
      <c r="AO54" s="89"/>
      <c r="AP54" s="89"/>
      <c r="AQ54" s="89"/>
      <c r="AR54" s="89"/>
      <c r="AS54" s="89"/>
    </row>
    <row r="55" spans="2:45" x14ac:dyDescent="0.25">
      <c r="B55" s="89"/>
      <c r="C55" s="89"/>
      <c r="D55" s="89"/>
      <c r="E55" s="89"/>
      <c r="F55" s="89"/>
      <c r="G55" s="89"/>
      <c r="H55" s="90"/>
      <c r="I55" s="90"/>
      <c r="J55" s="90"/>
      <c r="K55" s="90"/>
      <c r="L55" s="90"/>
      <c r="M55" s="90"/>
      <c r="N55" s="90"/>
      <c r="O55" s="89"/>
      <c r="P55" s="89"/>
      <c r="R55" s="89"/>
      <c r="S55" s="89"/>
      <c r="T55" s="89"/>
      <c r="U55" s="89"/>
      <c r="V55" s="89"/>
      <c r="W55" s="89"/>
      <c r="X55" s="89"/>
      <c r="Y55" s="89"/>
      <c r="Z55" s="89"/>
      <c r="AA55" s="89"/>
      <c r="AB55" s="89"/>
      <c r="AC55" s="89"/>
      <c r="AD55" s="89"/>
      <c r="AF55" s="89"/>
      <c r="AG55" s="89"/>
      <c r="AH55" s="89"/>
      <c r="AI55" s="89"/>
      <c r="AJ55" s="89"/>
      <c r="AK55" s="89"/>
      <c r="AL55" s="89"/>
      <c r="AM55" s="89"/>
      <c r="AN55" s="89"/>
      <c r="AO55" s="89"/>
      <c r="AP55" s="89"/>
      <c r="AQ55" s="89"/>
      <c r="AR55" s="89"/>
      <c r="AS55" s="89"/>
    </row>
    <row r="56" spans="2:45" x14ac:dyDescent="0.25">
      <c r="B56" s="89"/>
      <c r="C56" s="89"/>
      <c r="D56" s="89"/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89"/>
      <c r="R56" s="89"/>
      <c r="S56" s="89"/>
      <c r="T56" s="89"/>
      <c r="U56" s="89"/>
      <c r="V56" s="89"/>
      <c r="W56" s="89"/>
      <c r="X56" s="89"/>
      <c r="Y56" s="89"/>
      <c r="Z56" s="89"/>
      <c r="AA56" s="89"/>
      <c r="AB56" s="89"/>
      <c r="AC56" s="89"/>
      <c r="AD56" s="89"/>
      <c r="AF56" s="89"/>
      <c r="AG56" s="89"/>
      <c r="AH56" s="89"/>
      <c r="AI56" s="89"/>
      <c r="AJ56" s="89"/>
      <c r="AK56" s="89"/>
      <c r="AL56" s="89"/>
      <c r="AM56" s="89"/>
      <c r="AN56" s="89"/>
      <c r="AO56" s="89"/>
      <c r="AP56" s="89"/>
      <c r="AQ56" s="89"/>
      <c r="AR56" s="89"/>
      <c r="AS56" s="89"/>
    </row>
    <row r="57" spans="2:45" x14ac:dyDescent="0.25">
      <c r="B57" s="89"/>
      <c r="C57" s="89"/>
      <c r="D57" s="89"/>
      <c r="E57" s="89"/>
      <c r="F57" s="89"/>
      <c r="G57" s="89"/>
      <c r="H57" s="89"/>
      <c r="I57" s="89"/>
      <c r="J57" s="89"/>
      <c r="K57" s="89"/>
      <c r="L57" s="89"/>
      <c r="M57" s="89"/>
      <c r="N57" s="89"/>
      <c r="O57" s="89"/>
      <c r="P57" s="89"/>
      <c r="R57" s="89"/>
      <c r="S57" s="89"/>
      <c r="T57" s="89"/>
      <c r="U57" s="89"/>
      <c r="V57" s="89"/>
      <c r="W57" s="89"/>
      <c r="X57" s="89"/>
      <c r="Y57" s="89"/>
      <c r="Z57" s="89"/>
      <c r="AA57" s="89"/>
      <c r="AB57" s="89"/>
      <c r="AC57" s="89"/>
      <c r="AD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</row>
    <row r="58" spans="2:45" x14ac:dyDescent="0.25">
      <c r="B58" s="89"/>
      <c r="C58" s="89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89"/>
      <c r="R58" s="89"/>
      <c r="S58" s="89"/>
      <c r="T58" s="89"/>
      <c r="U58" s="89"/>
      <c r="V58" s="89"/>
      <c r="W58" s="89"/>
      <c r="X58" s="89"/>
      <c r="Y58" s="89"/>
      <c r="Z58" s="89"/>
      <c r="AA58" s="89"/>
      <c r="AB58" s="89"/>
      <c r="AC58" s="89"/>
      <c r="AD58" s="89"/>
      <c r="AF58" s="89"/>
      <c r="AG58" s="89"/>
      <c r="AH58" s="89"/>
      <c r="AI58" s="89"/>
      <c r="AJ58" s="89"/>
      <c r="AK58" s="89"/>
      <c r="AL58" s="89"/>
      <c r="AM58" s="89"/>
      <c r="AN58" s="89"/>
      <c r="AO58" s="89"/>
      <c r="AP58" s="89"/>
      <c r="AQ58" s="89"/>
      <c r="AR58" s="89"/>
      <c r="AS58" s="89"/>
    </row>
    <row r="59" spans="2:45" x14ac:dyDescent="0.25">
      <c r="B59" s="89"/>
      <c r="C59" s="89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R59" s="89"/>
      <c r="S59" s="89"/>
      <c r="T59" s="89"/>
      <c r="U59" s="89"/>
      <c r="V59" s="89"/>
      <c r="W59" s="89"/>
      <c r="X59" s="89"/>
      <c r="Y59" s="89"/>
      <c r="Z59" s="89"/>
      <c r="AA59" s="89"/>
      <c r="AB59" s="89"/>
      <c r="AC59" s="89"/>
      <c r="AD59" s="89"/>
      <c r="AF59" s="89"/>
      <c r="AG59" s="89"/>
      <c r="AH59" s="89"/>
      <c r="AI59" s="89"/>
      <c r="AJ59" s="89"/>
      <c r="AK59" s="89"/>
      <c r="AL59" s="89"/>
      <c r="AM59" s="89"/>
      <c r="AN59" s="89"/>
      <c r="AO59" s="89"/>
      <c r="AP59" s="89"/>
      <c r="AQ59" s="89"/>
      <c r="AR59" s="89"/>
      <c r="AS59" s="89"/>
    </row>
    <row r="60" spans="2:45" x14ac:dyDescent="0.25">
      <c r="B60" s="89"/>
      <c r="C60" s="89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  <c r="R60" s="89"/>
      <c r="S60" s="89"/>
      <c r="T60" s="89"/>
      <c r="U60" s="89"/>
      <c r="V60" s="89"/>
      <c r="W60" s="89"/>
      <c r="X60" s="89"/>
      <c r="Y60" s="89"/>
      <c r="Z60" s="89"/>
      <c r="AA60" s="89"/>
      <c r="AB60" s="89"/>
      <c r="AC60" s="89"/>
      <c r="AD60" s="89"/>
      <c r="AF60" s="89"/>
      <c r="AG60" s="89"/>
      <c r="AH60" s="89"/>
      <c r="AI60" s="89"/>
      <c r="AJ60" s="89"/>
      <c r="AK60" s="89"/>
      <c r="AL60" s="89"/>
      <c r="AM60" s="89"/>
      <c r="AN60" s="89"/>
      <c r="AO60" s="89"/>
      <c r="AP60" s="89"/>
      <c r="AQ60" s="89"/>
      <c r="AR60" s="89"/>
      <c r="AS60" s="89"/>
    </row>
    <row r="61" spans="2:45" x14ac:dyDescent="0.25">
      <c r="B61" s="89"/>
      <c r="C61" s="89"/>
      <c r="D61" s="89"/>
      <c r="E61" s="89"/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  <c r="R61" s="89"/>
      <c r="S61" s="89"/>
      <c r="T61" s="89"/>
      <c r="U61" s="89"/>
      <c r="V61" s="89"/>
      <c r="W61" s="89"/>
      <c r="X61" s="89"/>
      <c r="Y61" s="89"/>
      <c r="Z61" s="89"/>
      <c r="AA61" s="89"/>
      <c r="AB61" s="89"/>
      <c r="AC61" s="89"/>
      <c r="AD61" s="89"/>
      <c r="AF61" s="89"/>
      <c r="AG61" s="89"/>
      <c r="AH61" s="89"/>
      <c r="AI61" s="89"/>
      <c r="AJ61" s="89"/>
      <c r="AK61" s="89"/>
      <c r="AL61" s="89"/>
      <c r="AM61" s="89"/>
      <c r="AN61" s="89"/>
      <c r="AO61" s="89"/>
      <c r="AP61" s="89"/>
      <c r="AQ61" s="89"/>
      <c r="AR61" s="89"/>
      <c r="AS61" s="89"/>
    </row>
    <row r="62" spans="2:45" x14ac:dyDescent="0.25">
      <c r="B62" s="89"/>
      <c r="C62" s="89"/>
      <c r="D62" s="89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R62" s="89"/>
      <c r="S62" s="89"/>
      <c r="T62" s="89"/>
      <c r="U62" s="89"/>
      <c r="V62" s="89"/>
      <c r="W62" s="89"/>
      <c r="X62" s="89"/>
      <c r="Y62" s="89"/>
      <c r="Z62" s="89"/>
      <c r="AA62" s="89"/>
      <c r="AB62" s="89"/>
      <c r="AC62" s="89"/>
      <c r="AD62" s="89"/>
      <c r="AF62" s="89"/>
      <c r="AG62" s="89"/>
      <c r="AH62" s="89"/>
      <c r="AI62" s="89"/>
      <c r="AJ62" s="89"/>
      <c r="AK62" s="89"/>
      <c r="AL62" s="89"/>
      <c r="AM62" s="89"/>
      <c r="AN62" s="89"/>
      <c r="AO62" s="89"/>
      <c r="AP62" s="89"/>
      <c r="AQ62" s="89"/>
      <c r="AR62" s="89"/>
      <c r="AS62" s="89"/>
    </row>
    <row r="63" spans="2:45" x14ac:dyDescent="0.25">
      <c r="B63" s="89"/>
      <c r="C63" s="89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89"/>
      <c r="AC63" s="89"/>
      <c r="AD63" s="89"/>
      <c r="AF63" s="89"/>
      <c r="AG63" s="89"/>
      <c r="AH63" s="89"/>
      <c r="AI63" s="89"/>
      <c r="AJ63" s="89"/>
      <c r="AK63" s="89"/>
      <c r="AL63" s="89"/>
      <c r="AM63" s="89"/>
      <c r="AN63" s="89"/>
      <c r="AO63" s="89"/>
      <c r="AP63" s="89"/>
      <c r="AQ63" s="89"/>
      <c r="AR63" s="89"/>
      <c r="AS63" s="89"/>
    </row>
    <row r="64" spans="2:45" x14ac:dyDescent="0.25">
      <c r="B64" s="89"/>
      <c r="C64" s="89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89"/>
      <c r="AC64" s="89"/>
      <c r="AD64" s="89"/>
      <c r="AF64" s="89"/>
      <c r="AG64" s="89"/>
      <c r="AH64" s="89"/>
      <c r="AI64" s="89"/>
      <c r="AJ64" s="89"/>
      <c r="AK64" s="89"/>
      <c r="AL64" s="89"/>
      <c r="AM64" s="89"/>
      <c r="AN64" s="89"/>
      <c r="AO64" s="89"/>
      <c r="AP64" s="89"/>
      <c r="AQ64" s="89"/>
      <c r="AR64" s="89"/>
      <c r="AS64" s="89"/>
    </row>
    <row r="65" spans="2:45" x14ac:dyDescent="0.25">
      <c r="B65" s="89"/>
      <c r="C65" s="89"/>
      <c r="D65" s="89"/>
      <c r="E65" s="89"/>
      <c r="F65" s="89"/>
      <c r="G65" s="89"/>
      <c r="H65" s="89"/>
      <c r="I65" s="89"/>
      <c r="J65" s="89"/>
      <c r="K65" s="89"/>
      <c r="L65" s="89"/>
      <c r="M65" s="89"/>
      <c r="N65" s="89"/>
      <c r="O65" s="89"/>
      <c r="P65" s="89"/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89"/>
      <c r="AC65" s="89"/>
      <c r="AD65" s="89"/>
      <c r="AF65" s="89"/>
      <c r="AG65" s="89"/>
      <c r="AH65" s="89"/>
      <c r="AI65" s="89"/>
      <c r="AJ65" s="89"/>
      <c r="AK65" s="89"/>
      <c r="AL65" s="89"/>
      <c r="AM65" s="89"/>
      <c r="AN65" s="89"/>
      <c r="AO65" s="89"/>
      <c r="AP65" s="89"/>
      <c r="AQ65" s="89"/>
      <c r="AR65" s="89"/>
      <c r="AS65" s="89"/>
    </row>
    <row r="66" spans="2:45" x14ac:dyDescent="0.25">
      <c r="B66" s="89"/>
      <c r="C66" s="89"/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89"/>
      <c r="AC66" s="89"/>
      <c r="AD66" s="89"/>
      <c r="AF66" s="89"/>
      <c r="AG66" s="89"/>
      <c r="AH66" s="89"/>
      <c r="AI66" s="89"/>
      <c r="AJ66" s="89"/>
      <c r="AK66" s="89"/>
      <c r="AL66" s="89"/>
      <c r="AM66" s="89"/>
      <c r="AN66" s="89"/>
      <c r="AO66" s="89"/>
      <c r="AP66" s="89"/>
      <c r="AQ66" s="89"/>
      <c r="AR66" s="89"/>
      <c r="AS66" s="89"/>
    </row>
    <row r="67" spans="2:45" x14ac:dyDescent="0.25">
      <c r="B67" s="89"/>
      <c r="C67" s="89"/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89"/>
      <c r="AC67" s="89"/>
      <c r="AD67" s="89"/>
      <c r="AF67" s="89"/>
      <c r="AG67" s="89"/>
      <c r="AH67" s="89"/>
      <c r="AI67" s="89"/>
      <c r="AJ67" s="89"/>
      <c r="AK67" s="89"/>
      <c r="AL67" s="89"/>
      <c r="AM67" s="89"/>
      <c r="AN67" s="89"/>
      <c r="AO67" s="89"/>
      <c r="AP67" s="89"/>
      <c r="AQ67" s="89"/>
      <c r="AR67" s="89"/>
      <c r="AS67" s="89"/>
    </row>
    <row r="68" spans="2:45" x14ac:dyDescent="0.25">
      <c r="B68" s="89"/>
      <c r="C68" s="89"/>
      <c r="D68" s="89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89"/>
      <c r="AC68" s="89"/>
      <c r="AD68" s="89"/>
      <c r="AF68" s="89"/>
      <c r="AG68" s="89"/>
      <c r="AH68" s="89"/>
      <c r="AI68" s="89"/>
      <c r="AJ68" s="89"/>
      <c r="AK68" s="89"/>
      <c r="AL68" s="89"/>
      <c r="AM68" s="89"/>
      <c r="AN68" s="89"/>
      <c r="AO68" s="89"/>
      <c r="AP68" s="89"/>
      <c r="AQ68" s="89"/>
      <c r="AR68" s="89"/>
      <c r="AS68" s="89"/>
    </row>
    <row r="69" spans="2:45" x14ac:dyDescent="0.25">
      <c r="B69" s="89"/>
      <c r="C69" s="89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89"/>
      <c r="AC69" s="89"/>
      <c r="AD69" s="89"/>
      <c r="AF69" s="89"/>
      <c r="AG69" s="89"/>
      <c r="AH69" s="89"/>
      <c r="AI69" s="89"/>
      <c r="AJ69" s="89"/>
      <c r="AK69" s="89"/>
      <c r="AL69" s="89"/>
      <c r="AM69" s="89"/>
      <c r="AN69" s="89"/>
      <c r="AO69" s="89"/>
      <c r="AP69" s="89"/>
      <c r="AQ69" s="89"/>
      <c r="AR69" s="89"/>
      <c r="AS69" s="89"/>
    </row>
    <row r="70" spans="2:45" x14ac:dyDescent="0.25">
      <c r="B70" s="89"/>
      <c r="C70" s="89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F70" s="89"/>
      <c r="AG70" s="89"/>
      <c r="AH70" s="89"/>
      <c r="AI70" s="89"/>
      <c r="AJ70" s="89"/>
      <c r="AK70" s="89"/>
      <c r="AL70" s="89"/>
      <c r="AM70" s="89"/>
      <c r="AN70" s="89"/>
      <c r="AO70" s="89"/>
      <c r="AP70" s="89"/>
      <c r="AQ70" s="89"/>
      <c r="AR70" s="89"/>
      <c r="AS70" s="89"/>
    </row>
    <row r="71" spans="2:45" x14ac:dyDescent="0.25">
      <c r="B71" s="89"/>
      <c r="C71" s="89"/>
      <c r="D71" s="89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  <c r="P71" s="89"/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89"/>
      <c r="AC71" s="89"/>
      <c r="AD71" s="89"/>
      <c r="AF71" s="89"/>
      <c r="AG71" s="89"/>
      <c r="AH71" s="89"/>
      <c r="AI71" s="89"/>
      <c r="AJ71" s="89"/>
      <c r="AK71" s="89"/>
      <c r="AL71" s="89"/>
      <c r="AM71" s="89"/>
      <c r="AN71" s="89"/>
      <c r="AO71" s="89"/>
      <c r="AP71" s="89"/>
      <c r="AQ71" s="89"/>
      <c r="AR71" s="89"/>
      <c r="AS71" s="89"/>
    </row>
    <row r="72" spans="2:45" x14ac:dyDescent="0.25">
      <c r="B72" s="89"/>
      <c r="C72" s="89"/>
      <c r="D72" s="89"/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89"/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89"/>
      <c r="AC72" s="89"/>
      <c r="AD72" s="89"/>
      <c r="AF72" s="89"/>
      <c r="AG72" s="89"/>
      <c r="AH72" s="89"/>
      <c r="AI72" s="89"/>
      <c r="AJ72" s="89"/>
      <c r="AK72" s="89"/>
      <c r="AL72" s="89"/>
      <c r="AM72" s="89"/>
      <c r="AN72" s="89"/>
      <c r="AO72" s="89"/>
      <c r="AP72" s="89"/>
      <c r="AQ72" s="89"/>
      <c r="AR72" s="89"/>
      <c r="AS72" s="89"/>
    </row>
    <row r="73" spans="2:45" x14ac:dyDescent="0.25">
      <c r="B73" s="89"/>
      <c r="C73" s="89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89"/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89"/>
      <c r="AC73" s="89"/>
      <c r="AD73" s="89"/>
      <c r="AF73" s="89"/>
      <c r="AG73" s="89"/>
      <c r="AH73" s="89"/>
      <c r="AI73" s="89"/>
      <c r="AJ73" s="89"/>
      <c r="AK73" s="89"/>
      <c r="AL73" s="89"/>
      <c r="AM73" s="89"/>
      <c r="AN73" s="89"/>
      <c r="AO73" s="89"/>
      <c r="AP73" s="89"/>
      <c r="AQ73" s="89"/>
      <c r="AR73" s="89"/>
      <c r="AS73" s="89"/>
    </row>
    <row r="74" spans="2:45" x14ac:dyDescent="0.25">
      <c r="B74" s="89"/>
      <c r="C74" s="89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  <c r="P74" s="89"/>
      <c r="R74" s="89"/>
      <c r="S74" s="89"/>
      <c r="T74" s="89"/>
      <c r="U74" s="89"/>
      <c r="V74" s="89"/>
      <c r="W74" s="89"/>
      <c r="X74" s="89"/>
      <c r="Y74" s="89"/>
      <c r="Z74" s="89"/>
      <c r="AA74" s="89"/>
      <c r="AB74" s="89"/>
      <c r="AC74" s="89"/>
      <c r="AD74" s="89"/>
      <c r="AF74" s="89"/>
      <c r="AG74" s="89"/>
      <c r="AH74" s="89"/>
      <c r="AI74" s="89"/>
      <c r="AJ74" s="89"/>
      <c r="AK74" s="89"/>
      <c r="AL74" s="89"/>
      <c r="AM74" s="89"/>
      <c r="AN74" s="89"/>
      <c r="AO74" s="89"/>
      <c r="AP74" s="89"/>
      <c r="AQ74" s="89"/>
      <c r="AR74" s="89"/>
      <c r="AS74" s="89"/>
    </row>
    <row r="75" spans="2:45" x14ac:dyDescent="0.25">
      <c r="B75" s="89"/>
      <c r="C75" s="89"/>
      <c r="D75" s="89"/>
      <c r="E75" s="89"/>
      <c r="F75" s="89"/>
      <c r="G75" s="89"/>
      <c r="H75" s="89"/>
      <c r="I75" s="89"/>
      <c r="J75" s="89"/>
      <c r="K75" s="89"/>
      <c r="L75" s="89"/>
      <c r="M75" s="89"/>
      <c r="N75" s="89"/>
      <c r="O75" s="89"/>
      <c r="P75" s="89"/>
      <c r="R75" s="89"/>
      <c r="S75" s="89"/>
      <c r="T75" s="89"/>
      <c r="U75" s="89"/>
      <c r="V75" s="89"/>
      <c r="W75" s="89"/>
      <c r="X75" s="89"/>
      <c r="Y75" s="89"/>
      <c r="Z75" s="89"/>
      <c r="AA75" s="89"/>
      <c r="AB75" s="89"/>
      <c r="AC75" s="89"/>
      <c r="AD75" s="89"/>
      <c r="AF75" s="89"/>
      <c r="AG75" s="89"/>
      <c r="AH75" s="89"/>
      <c r="AI75" s="89"/>
      <c r="AJ75" s="89"/>
      <c r="AK75" s="89"/>
      <c r="AL75" s="89"/>
      <c r="AM75" s="89"/>
      <c r="AN75" s="89"/>
      <c r="AO75" s="89"/>
      <c r="AP75" s="89"/>
      <c r="AQ75" s="89"/>
      <c r="AR75" s="89"/>
      <c r="AS75" s="89"/>
    </row>
    <row r="76" spans="2:45" x14ac:dyDescent="0.25">
      <c r="B76" s="89"/>
      <c r="C76" s="89"/>
      <c r="D76" s="89"/>
      <c r="E76" s="89"/>
      <c r="F76" s="89"/>
      <c r="G76" s="89"/>
      <c r="H76" s="89"/>
      <c r="I76" s="89"/>
      <c r="J76" s="89"/>
      <c r="K76" s="89"/>
      <c r="L76" s="89"/>
      <c r="M76" s="89"/>
      <c r="N76" s="89"/>
      <c r="O76" s="89"/>
      <c r="P76" s="89"/>
      <c r="R76" s="89"/>
      <c r="S76" s="89"/>
      <c r="T76" s="89"/>
      <c r="U76" s="89"/>
      <c r="V76" s="89"/>
      <c r="W76" s="89"/>
      <c r="X76" s="89"/>
      <c r="Y76" s="89"/>
      <c r="Z76" s="89"/>
      <c r="AA76" s="89"/>
      <c r="AB76" s="89"/>
      <c r="AC76" s="89"/>
      <c r="AD76" s="89"/>
      <c r="AF76" s="89"/>
      <c r="AG76" s="89"/>
      <c r="AH76" s="89"/>
      <c r="AI76" s="89"/>
      <c r="AJ76" s="89"/>
      <c r="AK76" s="89"/>
      <c r="AL76" s="89"/>
      <c r="AM76" s="89"/>
      <c r="AN76" s="89"/>
      <c r="AO76" s="89"/>
      <c r="AP76" s="89"/>
      <c r="AQ76" s="89"/>
      <c r="AR76" s="89"/>
      <c r="AS76" s="89"/>
    </row>
    <row r="77" spans="2:45" x14ac:dyDescent="0.25">
      <c r="B77" s="89"/>
      <c r="C77" s="89"/>
      <c r="D77" s="89"/>
      <c r="E77" s="89"/>
      <c r="F77" s="89"/>
      <c r="G77" s="89"/>
      <c r="H77" s="89"/>
      <c r="I77" s="89"/>
      <c r="J77" s="89"/>
      <c r="K77" s="89"/>
      <c r="L77" s="89"/>
      <c r="M77" s="89"/>
      <c r="N77" s="89"/>
      <c r="O77" s="89"/>
      <c r="P77" s="89"/>
      <c r="R77" s="89"/>
      <c r="S77" s="89"/>
      <c r="T77" s="89"/>
      <c r="U77" s="89"/>
      <c r="V77" s="89"/>
      <c r="W77" s="89"/>
      <c r="X77" s="89"/>
      <c r="Y77" s="89"/>
      <c r="Z77" s="89"/>
      <c r="AA77" s="89"/>
      <c r="AB77" s="89"/>
      <c r="AC77" s="89"/>
      <c r="AD77" s="89"/>
      <c r="AF77" s="89"/>
      <c r="AG77" s="89"/>
      <c r="AH77" s="89"/>
      <c r="AI77" s="89"/>
      <c r="AJ77" s="89"/>
      <c r="AK77" s="89"/>
      <c r="AL77" s="89"/>
      <c r="AM77" s="89"/>
      <c r="AN77" s="89"/>
      <c r="AO77" s="89"/>
      <c r="AP77" s="89"/>
      <c r="AQ77" s="89"/>
      <c r="AR77" s="89"/>
      <c r="AS77" s="89"/>
    </row>
    <row r="78" spans="2:45" x14ac:dyDescent="0.25">
      <c r="B78" s="89"/>
      <c r="C78" s="89"/>
      <c r="D78" s="89"/>
      <c r="E78" s="89"/>
      <c r="F78" s="89"/>
      <c r="G78" s="89"/>
      <c r="H78" s="89"/>
      <c r="I78" s="89"/>
      <c r="J78" s="89"/>
      <c r="K78" s="89"/>
      <c r="L78" s="89"/>
      <c r="M78" s="89"/>
      <c r="N78" s="89"/>
      <c r="O78" s="89"/>
      <c r="P78" s="89"/>
      <c r="R78" s="89"/>
      <c r="S78" s="89"/>
      <c r="T78" s="89"/>
      <c r="U78" s="89"/>
      <c r="V78" s="89"/>
      <c r="W78" s="89"/>
      <c r="X78" s="89"/>
      <c r="Y78" s="89"/>
      <c r="Z78" s="89"/>
      <c r="AA78" s="89"/>
      <c r="AB78" s="89"/>
      <c r="AC78" s="89"/>
      <c r="AD78" s="89"/>
      <c r="AF78" s="89"/>
      <c r="AG78" s="89"/>
      <c r="AH78" s="89"/>
      <c r="AI78" s="89"/>
      <c r="AJ78" s="89"/>
      <c r="AK78" s="89"/>
      <c r="AL78" s="89"/>
      <c r="AM78" s="89"/>
      <c r="AN78" s="89"/>
      <c r="AO78" s="89"/>
      <c r="AP78" s="89"/>
      <c r="AQ78" s="89"/>
      <c r="AR78" s="89"/>
      <c r="AS78" s="89"/>
    </row>
    <row r="79" spans="2:45" x14ac:dyDescent="0.25">
      <c r="B79" s="89"/>
      <c r="C79" s="89"/>
      <c r="D79" s="89"/>
      <c r="E79" s="89"/>
      <c r="F79" s="89"/>
      <c r="G79" s="89"/>
      <c r="H79" s="89"/>
      <c r="I79" s="89"/>
      <c r="J79" s="89"/>
      <c r="K79" s="89"/>
      <c r="L79" s="89"/>
      <c r="M79" s="89"/>
      <c r="N79" s="89"/>
      <c r="O79" s="89"/>
      <c r="P79" s="89"/>
      <c r="R79" s="89"/>
      <c r="S79" s="89"/>
      <c r="T79" s="89"/>
      <c r="U79" s="89"/>
      <c r="V79" s="89"/>
      <c r="W79" s="89"/>
      <c r="X79" s="89"/>
      <c r="Y79" s="89"/>
      <c r="Z79" s="89"/>
      <c r="AA79" s="89"/>
      <c r="AB79" s="89"/>
      <c r="AC79" s="89"/>
      <c r="AD79" s="89"/>
      <c r="AF79" s="89"/>
      <c r="AG79" s="89"/>
      <c r="AH79" s="89"/>
      <c r="AI79" s="89"/>
      <c r="AJ79" s="89"/>
      <c r="AK79" s="89"/>
      <c r="AL79" s="89"/>
      <c r="AM79" s="89"/>
      <c r="AN79" s="89"/>
      <c r="AO79" s="89"/>
      <c r="AP79" s="89"/>
      <c r="AQ79" s="89"/>
      <c r="AR79" s="89"/>
      <c r="AS79" s="89"/>
    </row>
    <row r="80" spans="2:45" x14ac:dyDescent="0.25">
      <c r="B80" s="89"/>
      <c r="C80" s="89"/>
      <c r="D80" s="89"/>
      <c r="E80" s="89"/>
      <c r="F80" s="89"/>
      <c r="G80" s="89"/>
      <c r="H80" s="89"/>
      <c r="I80" s="89"/>
      <c r="J80" s="89"/>
      <c r="K80" s="89"/>
      <c r="L80" s="89"/>
      <c r="M80" s="89"/>
      <c r="N80" s="89"/>
      <c r="O80" s="89"/>
      <c r="P80" s="89"/>
      <c r="R80" s="89"/>
      <c r="S80" s="89"/>
      <c r="T80" s="89"/>
      <c r="U80" s="89"/>
      <c r="V80" s="89"/>
      <c r="W80" s="89"/>
      <c r="X80" s="89"/>
      <c r="Y80" s="89"/>
      <c r="Z80" s="89"/>
      <c r="AA80" s="89"/>
      <c r="AB80" s="89"/>
      <c r="AC80" s="89"/>
      <c r="AD80" s="89"/>
      <c r="AF80" s="89"/>
      <c r="AG80" s="89"/>
      <c r="AH80" s="89"/>
      <c r="AI80" s="89"/>
      <c r="AJ80" s="89"/>
      <c r="AK80" s="89"/>
      <c r="AL80" s="89"/>
      <c r="AM80" s="89"/>
      <c r="AN80" s="89"/>
      <c r="AO80" s="89"/>
      <c r="AP80" s="89"/>
      <c r="AQ80" s="89"/>
      <c r="AR80" s="89"/>
      <c r="AS80" s="89"/>
    </row>
    <row r="81" spans="2:45" x14ac:dyDescent="0.25">
      <c r="B81" s="89"/>
      <c r="C81" s="89"/>
      <c r="D81" s="89"/>
      <c r="E81" s="89"/>
      <c r="F81" s="89"/>
      <c r="G81" s="89"/>
      <c r="H81" s="89"/>
      <c r="I81" s="89"/>
      <c r="J81" s="89"/>
      <c r="K81" s="89"/>
      <c r="L81" s="89"/>
      <c r="M81" s="89"/>
      <c r="N81" s="89"/>
      <c r="O81" s="89"/>
      <c r="P81" s="89"/>
      <c r="R81" s="89"/>
      <c r="S81" s="89"/>
      <c r="T81" s="89"/>
      <c r="U81" s="89"/>
      <c r="V81" s="89"/>
      <c r="W81" s="89"/>
      <c r="X81" s="89"/>
      <c r="Y81" s="89"/>
      <c r="Z81" s="89"/>
      <c r="AA81" s="89"/>
      <c r="AB81" s="89"/>
      <c r="AC81" s="89"/>
      <c r="AD81" s="89"/>
      <c r="AF81" s="89"/>
      <c r="AG81" s="89"/>
      <c r="AH81" s="89"/>
      <c r="AI81" s="89"/>
      <c r="AJ81" s="89"/>
      <c r="AK81" s="89"/>
      <c r="AL81" s="89"/>
      <c r="AM81" s="89"/>
      <c r="AN81" s="89"/>
      <c r="AO81" s="89"/>
      <c r="AP81" s="89"/>
      <c r="AQ81" s="89"/>
      <c r="AR81" s="89"/>
      <c r="AS81" s="89"/>
    </row>
    <row r="82" spans="2:45" x14ac:dyDescent="0.25">
      <c r="B82" s="89"/>
      <c r="C82" s="89"/>
      <c r="D82" s="89"/>
      <c r="E82" s="89"/>
      <c r="F82" s="89"/>
      <c r="G82" s="89"/>
      <c r="H82" s="89"/>
      <c r="I82" s="89"/>
      <c r="J82" s="89"/>
      <c r="K82" s="89"/>
      <c r="L82" s="89"/>
      <c r="M82" s="89"/>
      <c r="N82" s="89"/>
      <c r="O82" s="89"/>
      <c r="P82" s="89"/>
      <c r="R82" s="89"/>
      <c r="S82" s="89"/>
      <c r="T82" s="89"/>
      <c r="U82" s="89"/>
      <c r="V82" s="89"/>
      <c r="W82" s="89"/>
      <c r="X82" s="89"/>
      <c r="Y82" s="89"/>
      <c r="Z82" s="89"/>
      <c r="AA82" s="89"/>
      <c r="AB82" s="89"/>
      <c r="AC82" s="89"/>
      <c r="AD82" s="89"/>
      <c r="AF82" s="89"/>
      <c r="AG82" s="89"/>
      <c r="AH82" s="89"/>
      <c r="AI82" s="89"/>
      <c r="AJ82" s="89"/>
      <c r="AK82" s="89"/>
      <c r="AL82" s="89"/>
      <c r="AM82" s="89"/>
      <c r="AN82" s="89"/>
      <c r="AO82" s="89"/>
      <c r="AP82" s="89"/>
      <c r="AQ82" s="89"/>
      <c r="AR82" s="89"/>
      <c r="AS82" s="89"/>
    </row>
    <row r="83" spans="2:45" x14ac:dyDescent="0.25">
      <c r="B83" s="89"/>
      <c r="C83" s="89"/>
      <c r="D83" s="89"/>
      <c r="E83" s="89"/>
      <c r="F83" s="89"/>
      <c r="G83" s="89"/>
      <c r="H83" s="89"/>
      <c r="I83" s="89"/>
      <c r="J83" s="89"/>
      <c r="K83" s="89"/>
      <c r="L83" s="89"/>
      <c r="M83" s="89"/>
      <c r="N83" s="89"/>
      <c r="O83" s="89"/>
      <c r="P83" s="89"/>
      <c r="R83" s="89"/>
      <c r="S83" s="89"/>
      <c r="T83" s="89"/>
      <c r="U83" s="89"/>
      <c r="V83" s="89"/>
      <c r="W83" s="89"/>
      <c r="X83" s="89"/>
      <c r="Y83" s="89"/>
      <c r="Z83" s="89"/>
      <c r="AA83" s="89"/>
      <c r="AB83" s="89"/>
      <c r="AC83" s="89"/>
      <c r="AD83" s="89"/>
      <c r="AF83" s="89"/>
      <c r="AG83" s="89"/>
      <c r="AH83" s="89"/>
      <c r="AI83" s="89"/>
      <c r="AJ83" s="89"/>
      <c r="AK83" s="89"/>
      <c r="AL83" s="89"/>
      <c r="AM83" s="89"/>
      <c r="AN83" s="89"/>
      <c r="AO83" s="89"/>
      <c r="AP83" s="89"/>
      <c r="AQ83" s="89"/>
      <c r="AR83" s="89"/>
      <c r="AS83" s="89"/>
    </row>
    <row r="84" spans="2:45" x14ac:dyDescent="0.25">
      <c r="B84" s="89"/>
      <c r="C84" s="89"/>
      <c r="D84" s="89"/>
      <c r="E84" s="89"/>
      <c r="F84" s="89"/>
      <c r="G84" s="89"/>
      <c r="H84" s="89"/>
      <c r="I84" s="89"/>
      <c r="J84" s="89"/>
      <c r="K84" s="89"/>
      <c r="L84" s="89"/>
      <c r="M84" s="89"/>
      <c r="N84" s="89"/>
      <c r="O84" s="89"/>
      <c r="P84" s="89"/>
      <c r="R84" s="89"/>
      <c r="S84" s="89"/>
      <c r="T84" s="89"/>
      <c r="U84" s="89"/>
      <c r="V84" s="89"/>
      <c r="W84" s="89"/>
      <c r="X84" s="89"/>
      <c r="Y84" s="89"/>
      <c r="Z84" s="89"/>
      <c r="AA84" s="89"/>
      <c r="AB84" s="89"/>
      <c r="AC84" s="89"/>
      <c r="AD84" s="89"/>
      <c r="AF84" s="89"/>
      <c r="AG84" s="89"/>
      <c r="AH84" s="89"/>
      <c r="AI84" s="89"/>
      <c r="AJ84" s="89"/>
      <c r="AK84" s="89"/>
      <c r="AL84" s="89"/>
      <c r="AM84" s="89"/>
      <c r="AN84" s="89"/>
      <c r="AO84" s="89"/>
      <c r="AP84" s="89"/>
      <c r="AQ84" s="89"/>
      <c r="AR84" s="89"/>
      <c r="AS84" s="89"/>
    </row>
    <row r="85" spans="2:45" x14ac:dyDescent="0.25">
      <c r="B85" s="89"/>
      <c r="C85" s="89"/>
      <c r="D85" s="89"/>
      <c r="E85" s="89"/>
      <c r="F85" s="89"/>
      <c r="G85" s="89"/>
      <c r="H85" s="89"/>
      <c r="I85" s="89"/>
      <c r="J85" s="89"/>
      <c r="K85" s="89"/>
      <c r="L85" s="89"/>
      <c r="M85" s="89"/>
      <c r="N85" s="89"/>
      <c r="O85" s="89"/>
      <c r="P85" s="89"/>
      <c r="R85" s="89"/>
      <c r="S85" s="89"/>
      <c r="T85" s="89"/>
      <c r="U85" s="89"/>
      <c r="V85" s="89"/>
      <c r="W85" s="89"/>
      <c r="X85" s="89"/>
      <c r="Y85" s="89"/>
      <c r="Z85" s="89"/>
      <c r="AA85" s="89"/>
      <c r="AB85" s="89"/>
      <c r="AC85" s="89"/>
      <c r="AD85" s="89"/>
      <c r="AF85" s="89"/>
      <c r="AG85" s="89"/>
      <c r="AH85" s="89"/>
      <c r="AI85" s="89"/>
      <c r="AJ85" s="89"/>
      <c r="AK85" s="89"/>
      <c r="AL85" s="89"/>
      <c r="AM85" s="89"/>
      <c r="AN85" s="89"/>
      <c r="AO85" s="89"/>
      <c r="AP85" s="89"/>
      <c r="AQ85" s="89"/>
      <c r="AR85" s="89"/>
      <c r="AS85" s="89"/>
    </row>
    <row r="86" spans="2:45" x14ac:dyDescent="0.25"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F86" s="89"/>
      <c r="AG86" s="89"/>
      <c r="AH86" s="89"/>
      <c r="AI86" s="89"/>
      <c r="AJ86" s="89"/>
      <c r="AK86" s="89"/>
      <c r="AL86" s="89"/>
      <c r="AM86" s="89"/>
      <c r="AN86" s="89"/>
      <c r="AO86" s="89"/>
      <c r="AP86" s="89"/>
      <c r="AQ86" s="89"/>
      <c r="AR86" s="89"/>
      <c r="AS86" s="89"/>
    </row>
    <row r="87" spans="2:45" x14ac:dyDescent="0.25"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F87" s="89"/>
      <c r="AG87" s="89"/>
      <c r="AH87" s="89"/>
      <c r="AI87" s="89"/>
      <c r="AJ87" s="89"/>
      <c r="AK87" s="89"/>
      <c r="AL87" s="89"/>
      <c r="AM87" s="89"/>
      <c r="AN87" s="89"/>
      <c r="AO87" s="89"/>
      <c r="AP87" s="89"/>
      <c r="AQ87" s="89"/>
      <c r="AR87" s="89"/>
      <c r="AS87" s="89"/>
    </row>
    <row r="88" spans="2:45" x14ac:dyDescent="0.25">
      <c r="B88" s="89"/>
      <c r="C88" s="89"/>
      <c r="D88" s="89"/>
      <c r="E88" s="89"/>
      <c r="F88" s="89"/>
      <c r="G88" s="89"/>
      <c r="H88" s="89"/>
      <c r="I88" s="89"/>
      <c r="J88" s="89"/>
      <c r="K88" s="89"/>
      <c r="L88" s="89"/>
      <c r="M88" s="89"/>
      <c r="N88" s="89"/>
      <c r="O88" s="89"/>
      <c r="P88" s="89"/>
      <c r="R88" s="89"/>
      <c r="S88" s="89"/>
      <c r="T88" s="89"/>
      <c r="U88" s="89"/>
      <c r="V88" s="89"/>
      <c r="W88" s="89"/>
      <c r="X88" s="89"/>
      <c r="Y88" s="89"/>
      <c r="Z88" s="89"/>
      <c r="AA88" s="89"/>
      <c r="AB88" s="89"/>
      <c r="AC88" s="89"/>
      <c r="AD88" s="89"/>
      <c r="AF88" s="89"/>
      <c r="AG88" s="89"/>
      <c r="AH88" s="89"/>
      <c r="AI88" s="89"/>
      <c r="AJ88" s="89"/>
      <c r="AK88" s="89"/>
      <c r="AL88" s="89"/>
      <c r="AM88" s="89"/>
      <c r="AN88" s="89"/>
      <c r="AO88" s="89"/>
      <c r="AP88" s="89"/>
      <c r="AQ88" s="89"/>
      <c r="AR88" s="89"/>
      <c r="AS88" s="89"/>
    </row>
    <row r="89" spans="2:45" x14ac:dyDescent="0.25">
      <c r="B89" s="89"/>
      <c r="C89" s="89"/>
      <c r="D89" s="89"/>
      <c r="E89" s="89"/>
      <c r="F89" s="89"/>
      <c r="G89" s="89"/>
      <c r="H89" s="89"/>
      <c r="I89" s="89"/>
      <c r="J89" s="89"/>
      <c r="K89" s="89"/>
      <c r="L89" s="89"/>
      <c r="M89" s="89"/>
      <c r="N89" s="89"/>
      <c r="O89" s="89"/>
      <c r="P89" s="89"/>
      <c r="R89" s="89"/>
      <c r="S89" s="89"/>
      <c r="T89" s="89"/>
      <c r="U89" s="89"/>
      <c r="V89" s="89"/>
      <c r="W89" s="89"/>
      <c r="X89" s="89"/>
      <c r="Y89" s="89"/>
      <c r="Z89" s="89"/>
      <c r="AA89" s="89"/>
      <c r="AB89" s="89"/>
      <c r="AC89" s="89"/>
      <c r="AD89" s="89"/>
      <c r="AF89" s="89"/>
      <c r="AG89" s="89"/>
      <c r="AH89" s="89"/>
      <c r="AI89" s="89"/>
      <c r="AJ89" s="89"/>
      <c r="AK89" s="89"/>
      <c r="AL89" s="89"/>
      <c r="AM89" s="89"/>
      <c r="AN89" s="89"/>
      <c r="AO89" s="89"/>
      <c r="AP89" s="89"/>
      <c r="AQ89" s="89"/>
      <c r="AR89" s="89"/>
      <c r="AS89" s="89"/>
    </row>
    <row r="90" spans="2:45" x14ac:dyDescent="0.25">
      <c r="B90" s="89"/>
      <c r="C90" s="89"/>
      <c r="D90" s="89"/>
      <c r="E90" s="89"/>
      <c r="F90" s="89"/>
      <c r="G90" s="89"/>
      <c r="H90" s="89"/>
      <c r="I90" s="89"/>
      <c r="J90" s="89"/>
      <c r="K90" s="89"/>
      <c r="L90" s="89"/>
      <c r="M90" s="89"/>
      <c r="N90" s="89"/>
      <c r="O90" s="89"/>
      <c r="P90" s="89"/>
      <c r="R90" s="89"/>
      <c r="S90" s="89"/>
      <c r="T90" s="89"/>
      <c r="U90" s="89"/>
      <c r="V90" s="89"/>
      <c r="W90" s="89"/>
      <c r="X90" s="89"/>
      <c r="Y90" s="89"/>
      <c r="Z90" s="89"/>
      <c r="AA90" s="89"/>
      <c r="AB90" s="89"/>
      <c r="AC90" s="89"/>
      <c r="AD90" s="89"/>
      <c r="AF90" s="89"/>
      <c r="AG90" s="89"/>
      <c r="AH90" s="89"/>
      <c r="AI90" s="89"/>
      <c r="AJ90" s="89"/>
      <c r="AK90" s="89"/>
      <c r="AL90" s="89"/>
      <c r="AM90" s="89"/>
      <c r="AN90" s="89"/>
      <c r="AO90" s="89"/>
      <c r="AP90" s="89"/>
      <c r="AQ90" s="89"/>
      <c r="AR90" s="89"/>
      <c r="AS90" s="89"/>
    </row>
    <row r="91" spans="2:45" x14ac:dyDescent="0.25">
      <c r="B91" s="89"/>
      <c r="C91" s="89"/>
      <c r="D91" s="89"/>
      <c r="E91" s="89"/>
      <c r="F91" s="89"/>
      <c r="G91" s="89"/>
      <c r="H91" s="89"/>
      <c r="I91" s="89"/>
      <c r="J91" s="89"/>
      <c r="K91" s="89"/>
      <c r="L91" s="89"/>
      <c r="M91" s="89"/>
      <c r="N91" s="89"/>
      <c r="O91" s="89"/>
      <c r="P91" s="89"/>
      <c r="R91" s="89"/>
      <c r="S91" s="89"/>
      <c r="T91" s="89"/>
      <c r="U91" s="89"/>
      <c r="V91" s="89"/>
      <c r="W91" s="89"/>
      <c r="X91" s="89"/>
      <c r="Y91" s="89"/>
      <c r="Z91" s="89"/>
      <c r="AA91" s="89"/>
      <c r="AB91" s="89"/>
      <c r="AC91" s="89"/>
      <c r="AD91" s="89"/>
      <c r="AF91" s="89"/>
      <c r="AG91" s="89"/>
      <c r="AH91" s="89"/>
      <c r="AI91" s="89"/>
      <c r="AJ91" s="89"/>
      <c r="AK91" s="89"/>
      <c r="AL91" s="89"/>
      <c r="AM91" s="89"/>
      <c r="AN91" s="89"/>
      <c r="AO91" s="89"/>
      <c r="AP91" s="89"/>
      <c r="AQ91" s="89"/>
      <c r="AR91" s="89"/>
      <c r="AS91" s="89"/>
    </row>
    <row r="92" spans="2:45" x14ac:dyDescent="0.25">
      <c r="B92" s="89"/>
      <c r="C92" s="89"/>
      <c r="D92" s="89"/>
      <c r="E92" s="89"/>
      <c r="F92" s="89"/>
      <c r="G92" s="89"/>
      <c r="H92" s="89"/>
      <c r="I92" s="89"/>
      <c r="J92" s="89"/>
      <c r="K92" s="89"/>
      <c r="L92" s="89"/>
      <c r="M92" s="89"/>
      <c r="N92" s="89"/>
      <c r="O92" s="89"/>
      <c r="P92" s="89"/>
      <c r="R92" s="89"/>
      <c r="S92" s="89"/>
      <c r="T92" s="89"/>
      <c r="U92" s="89"/>
      <c r="V92" s="89"/>
      <c r="W92" s="89"/>
      <c r="X92" s="89"/>
      <c r="Y92" s="89"/>
      <c r="Z92" s="89"/>
      <c r="AA92" s="89"/>
      <c r="AB92" s="89"/>
      <c r="AC92" s="89"/>
      <c r="AD92" s="89"/>
      <c r="AF92" s="89"/>
      <c r="AG92" s="89"/>
      <c r="AH92" s="89"/>
      <c r="AI92" s="89"/>
      <c r="AJ92" s="89"/>
      <c r="AK92" s="89"/>
      <c r="AL92" s="89"/>
      <c r="AM92" s="89"/>
      <c r="AN92" s="89"/>
      <c r="AO92" s="89"/>
      <c r="AP92" s="89"/>
      <c r="AQ92" s="89"/>
      <c r="AR92" s="89"/>
      <c r="AS92" s="89"/>
    </row>
    <row r="93" spans="2:45" x14ac:dyDescent="0.25">
      <c r="B93" s="89"/>
      <c r="C93" s="89"/>
      <c r="D93" s="89"/>
      <c r="E93" s="89"/>
      <c r="F93" s="89"/>
      <c r="G93" s="89"/>
      <c r="H93" s="89"/>
      <c r="I93" s="89"/>
      <c r="J93" s="89"/>
      <c r="K93" s="89"/>
      <c r="L93" s="89"/>
      <c r="M93" s="89"/>
      <c r="N93" s="89"/>
      <c r="O93" s="89"/>
      <c r="P93" s="89"/>
      <c r="R93" s="89"/>
      <c r="S93" s="89"/>
      <c r="T93" s="89"/>
      <c r="U93" s="89"/>
      <c r="V93" s="89"/>
      <c r="W93" s="89"/>
      <c r="X93" s="89"/>
      <c r="Y93" s="89"/>
      <c r="Z93" s="89"/>
      <c r="AA93" s="89"/>
      <c r="AB93" s="89"/>
      <c r="AC93" s="89"/>
      <c r="AD93" s="89"/>
      <c r="AF93" s="89"/>
      <c r="AG93" s="89"/>
      <c r="AH93" s="89"/>
      <c r="AI93" s="89"/>
      <c r="AJ93" s="89"/>
      <c r="AK93" s="89"/>
      <c r="AL93" s="89"/>
      <c r="AM93" s="89"/>
      <c r="AN93" s="89"/>
      <c r="AO93" s="89"/>
      <c r="AP93" s="89"/>
      <c r="AQ93" s="89"/>
      <c r="AR93" s="89"/>
      <c r="AS93" s="89"/>
    </row>
    <row r="94" spans="2:45" x14ac:dyDescent="0.25">
      <c r="B94" s="89"/>
      <c r="C94" s="89"/>
      <c r="D94" s="89"/>
      <c r="E94" s="89"/>
      <c r="F94" s="89"/>
      <c r="G94" s="89"/>
      <c r="H94" s="89"/>
      <c r="I94" s="89"/>
      <c r="J94" s="89"/>
      <c r="K94" s="89"/>
      <c r="L94" s="89"/>
      <c r="M94" s="89"/>
      <c r="N94" s="89"/>
      <c r="O94" s="89"/>
      <c r="P94" s="89"/>
      <c r="R94" s="89"/>
      <c r="S94" s="89"/>
      <c r="T94" s="89"/>
      <c r="U94" s="89"/>
      <c r="V94" s="89"/>
      <c r="W94" s="89"/>
      <c r="X94" s="89"/>
      <c r="Y94" s="89"/>
      <c r="Z94" s="89"/>
      <c r="AA94" s="89"/>
      <c r="AB94" s="89"/>
      <c r="AC94" s="89"/>
      <c r="AD94" s="89"/>
      <c r="AF94" s="89"/>
      <c r="AG94" s="89"/>
      <c r="AH94" s="89"/>
      <c r="AI94" s="89"/>
      <c r="AJ94" s="89"/>
      <c r="AK94" s="89"/>
      <c r="AL94" s="89"/>
      <c r="AM94" s="89"/>
      <c r="AN94" s="89"/>
      <c r="AO94" s="89"/>
      <c r="AP94" s="89"/>
      <c r="AQ94" s="89"/>
      <c r="AR94" s="89"/>
      <c r="AS94" s="89"/>
    </row>
    <row r="95" spans="2:45" x14ac:dyDescent="0.25">
      <c r="B95" s="89"/>
      <c r="C95" s="89"/>
      <c r="D95" s="89"/>
      <c r="E95" s="89"/>
      <c r="F95" s="89"/>
      <c r="G95" s="89"/>
      <c r="H95" s="89"/>
      <c r="I95" s="89"/>
      <c r="J95" s="89"/>
      <c r="K95" s="89"/>
      <c r="L95" s="89"/>
      <c r="M95" s="89"/>
      <c r="N95" s="89"/>
      <c r="O95" s="89"/>
      <c r="P95" s="89"/>
      <c r="R95" s="89"/>
      <c r="S95" s="89"/>
      <c r="T95" s="89"/>
      <c r="U95" s="89"/>
      <c r="V95" s="89"/>
      <c r="W95" s="89"/>
      <c r="X95" s="89"/>
      <c r="Y95" s="89"/>
      <c r="Z95" s="89"/>
      <c r="AA95" s="89"/>
      <c r="AB95" s="89"/>
      <c r="AC95" s="89"/>
      <c r="AD95" s="89"/>
      <c r="AF95" s="89"/>
      <c r="AG95" s="89"/>
      <c r="AH95" s="89"/>
      <c r="AI95" s="89"/>
      <c r="AJ95" s="89"/>
      <c r="AK95" s="89"/>
      <c r="AL95" s="89"/>
      <c r="AM95" s="89"/>
      <c r="AN95" s="89"/>
      <c r="AO95" s="89"/>
      <c r="AP95" s="89"/>
      <c r="AQ95" s="89"/>
      <c r="AR95" s="89"/>
      <c r="AS95" s="89"/>
    </row>
    <row r="96" spans="2:45" x14ac:dyDescent="0.25">
      <c r="B96" s="89"/>
      <c r="C96" s="89"/>
      <c r="D96" s="89"/>
      <c r="E96" s="89"/>
      <c r="F96" s="89"/>
      <c r="G96" s="89"/>
      <c r="H96" s="89"/>
      <c r="I96" s="89"/>
      <c r="J96" s="89"/>
      <c r="K96" s="89"/>
      <c r="L96" s="89"/>
      <c r="M96" s="89"/>
      <c r="N96" s="89"/>
      <c r="O96" s="89"/>
      <c r="P96" s="89"/>
      <c r="R96" s="89"/>
      <c r="S96" s="89"/>
      <c r="T96" s="89"/>
      <c r="U96" s="89"/>
      <c r="V96" s="89"/>
      <c r="W96" s="89"/>
      <c r="X96" s="89"/>
      <c r="Y96" s="89"/>
      <c r="Z96" s="89"/>
      <c r="AA96" s="89"/>
      <c r="AB96" s="89"/>
      <c r="AC96" s="89"/>
      <c r="AD96" s="89"/>
      <c r="AF96" s="89"/>
      <c r="AG96" s="89"/>
      <c r="AH96" s="89"/>
      <c r="AI96" s="89"/>
      <c r="AJ96" s="89"/>
      <c r="AK96" s="89"/>
      <c r="AL96" s="89"/>
      <c r="AM96" s="89"/>
      <c r="AN96" s="89"/>
      <c r="AO96" s="89"/>
      <c r="AP96" s="89"/>
      <c r="AQ96" s="89"/>
      <c r="AR96" s="89"/>
      <c r="AS96" s="89"/>
    </row>
    <row r="97" spans="2:45" x14ac:dyDescent="0.25">
      <c r="B97" s="89"/>
      <c r="C97" s="89"/>
      <c r="D97" s="89"/>
      <c r="E97" s="89"/>
      <c r="F97" s="89"/>
      <c r="G97" s="89"/>
      <c r="H97" s="89"/>
      <c r="I97" s="89"/>
      <c r="J97" s="89"/>
      <c r="K97" s="89"/>
      <c r="L97" s="89"/>
      <c r="M97" s="89"/>
      <c r="N97" s="89"/>
      <c r="O97" s="89"/>
      <c r="P97" s="89"/>
      <c r="R97" s="89"/>
      <c r="S97" s="89"/>
      <c r="T97" s="89"/>
      <c r="U97" s="89"/>
      <c r="V97" s="89"/>
      <c r="W97" s="89"/>
      <c r="X97" s="89"/>
      <c r="Y97" s="89"/>
      <c r="Z97" s="89"/>
      <c r="AA97" s="89"/>
      <c r="AB97" s="89"/>
      <c r="AC97" s="89"/>
      <c r="AD97" s="89"/>
      <c r="AF97" s="89"/>
      <c r="AG97" s="89"/>
      <c r="AH97" s="89"/>
      <c r="AI97" s="89"/>
      <c r="AJ97" s="89"/>
      <c r="AK97" s="89"/>
      <c r="AL97" s="89"/>
      <c r="AM97" s="89"/>
      <c r="AN97" s="89"/>
      <c r="AO97" s="89"/>
      <c r="AP97" s="89"/>
      <c r="AQ97" s="89"/>
      <c r="AR97" s="89"/>
      <c r="AS97" s="89"/>
    </row>
    <row r="98" spans="2:45" x14ac:dyDescent="0.25">
      <c r="B98" s="89"/>
      <c r="C98" s="89"/>
      <c r="D98" s="89"/>
      <c r="E98" s="89"/>
      <c r="F98" s="89"/>
      <c r="G98" s="89"/>
      <c r="H98" s="89"/>
      <c r="I98" s="89"/>
      <c r="J98" s="89"/>
      <c r="K98" s="89"/>
      <c r="L98" s="89"/>
      <c r="M98" s="89"/>
      <c r="N98" s="89"/>
      <c r="O98" s="89"/>
      <c r="P98" s="89"/>
      <c r="R98" s="89"/>
      <c r="S98" s="89"/>
      <c r="T98" s="89"/>
      <c r="U98" s="89"/>
      <c r="V98" s="89"/>
      <c r="W98" s="89"/>
      <c r="X98" s="89"/>
      <c r="Y98" s="89"/>
      <c r="Z98" s="89"/>
      <c r="AA98" s="89"/>
      <c r="AB98" s="89"/>
      <c r="AC98" s="89"/>
      <c r="AD98" s="89"/>
      <c r="AF98" s="89"/>
      <c r="AG98" s="89"/>
      <c r="AH98" s="89"/>
      <c r="AI98" s="89"/>
      <c r="AJ98" s="89"/>
      <c r="AK98" s="89"/>
      <c r="AL98" s="89"/>
      <c r="AM98" s="89"/>
      <c r="AN98" s="89"/>
      <c r="AO98" s="89"/>
      <c r="AP98" s="89"/>
      <c r="AQ98" s="89"/>
      <c r="AR98" s="89"/>
      <c r="AS98" s="89"/>
    </row>
    <row r="99" spans="2:45" x14ac:dyDescent="0.25"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</row>
    <row r="100" spans="2:45" x14ac:dyDescent="0.25">
      <c r="B100" s="89"/>
      <c r="C100" s="89"/>
      <c r="D100" s="89"/>
      <c r="E100" s="89"/>
      <c r="F100" s="89"/>
      <c r="G100" s="89"/>
      <c r="H100" s="89"/>
      <c r="I100" s="89"/>
      <c r="J100" s="89"/>
      <c r="K100" s="89"/>
      <c r="L100" s="89"/>
      <c r="M100" s="89"/>
      <c r="N100" s="89"/>
      <c r="O100" s="89"/>
      <c r="P100" s="89"/>
      <c r="R100" s="89"/>
      <c r="S100" s="89"/>
      <c r="T100" s="89"/>
      <c r="U100" s="89"/>
      <c r="V100" s="89"/>
      <c r="W100" s="89"/>
      <c r="X100" s="89"/>
      <c r="Y100" s="89"/>
      <c r="Z100" s="89"/>
      <c r="AA100" s="89"/>
      <c r="AB100" s="89"/>
      <c r="AC100" s="89"/>
      <c r="AD100" s="89"/>
      <c r="AF100" s="89"/>
      <c r="AG100" s="89"/>
      <c r="AH100" s="89"/>
      <c r="AI100" s="89"/>
      <c r="AJ100" s="89"/>
      <c r="AK100" s="89"/>
      <c r="AL100" s="89"/>
      <c r="AM100" s="89"/>
      <c r="AN100" s="89"/>
      <c r="AO100" s="89"/>
      <c r="AP100" s="89"/>
      <c r="AQ100" s="89"/>
      <c r="AR100" s="89"/>
      <c r="AS100" s="89"/>
    </row>
    <row r="101" spans="2:45" x14ac:dyDescent="0.25">
      <c r="B101" s="89"/>
      <c r="C101" s="89"/>
      <c r="D101" s="89"/>
      <c r="E101" s="89"/>
      <c r="F101" s="89"/>
      <c r="G101" s="89"/>
      <c r="H101" s="89"/>
      <c r="I101" s="89"/>
      <c r="J101" s="89"/>
      <c r="K101" s="89"/>
      <c r="L101" s="89"/>
      <c r="M101" s="89"/>
      <c r="N101" s="89"/>
      <c r="O101" s="89"/>
      <c r="P101" s="89"/>
      <c r="R101" s="89"/>
      <c r="S101" s="89"/>
      <c r="T101" s="89"/>
      <c r="U101" s="89"/>
      <c r="V101" s="89"/>
      <c r="W101" s="89"/>
      <c r="X101" s="89"/>
      <c r="Y101" s="89"/>
      <c r="Z101" s="89"/>
      <c r="AA101" s="89"/>
      <c r="AB101" s="89"/>
      <c r="AC101" s="89"/>
      <c r="AD101" s="89"/>
      <c r="AF101" s="89"/>
      <c r="AG101" s="89"/>
      <c r="AH101" s="89"/>
      <c r="AI101" s="89"/>
      <c r="AJ101" s="89"/>
      <c r="AK101" s="89"/>
      <c r="AL101" s="89"/>
      <c r="AM101" s="89"/>
      <c r="AN101" s="89"/>
      <c r="AO101" s="89"/>
      <c r="AP101" s="89"/>
      <c r="AQ101" s="89"/>
      <c r="AR101" s="89"/>
      <c r="AS101" s="89"/>
    </row>
    <row r="102" spans="2:45" x14ac:dyDescent="0.25">
      <c r="B102" s="89"/>
      <c r="C102" s="89"/>
      <c r="D102" s="89"/>
      <c r="E102" s="89"/>
      <c r="F102" s="89"/>
      <c r="G102" s="89"/>
      <c r="H102" s="89"/>
      <c r="I102" s="89"/>
      <c r="J102" s="89"/>
      <c r="K102" s="89"/>
      <c r="L102" s="89"/>
      <c r="M102" s="89"/>
      <c r="N102" s="89"/>
      <c r="O102" s="89"/>
      <c r="P102" s="89"/>
      <c r="R102" s="89"/>
      <c r="S102" s="89"/>
      <c r="T102" s="89"/>
      <c r="U102" s="89"/>
      <c r="V102" s="89"/>
      <c r="W102" s="89"/>
      <c r="X102" s="89"/>
      <c r="Y102" s="89"/>
      <c r="Z102" s="89"/>
      <c r="AA102" s="89"/>
      <c r="AB102" s="89"/>
      <c r="AC102" s="89"/>
      <c r="AD102" s="89"/>
      <c r="AF102" s="89"/>
      <c r="AG102" s="89"/>
      <c r="AH102" s="89"/>
      <c r="AI102" s="89"/>
      <c r="AJ102" s="89"/>
      <c r="AK102" s="89"/>
      <c r="AL102" s="89"/>
      <c r="AM102" s="89"/>
      <c r="AN102" s="89"/>
      <c r="AO102" s="89"/>
      <c r="AP102" s="89"/>
      <c r="AQ102" s="89"/>
      <c r="AR102" s="89"/>
      <c r="AS102" s="89"/>
    </row>
    <row r="103" spans="2:45" x14ac:dyDescent="0.25">
      <c r="B103" s="89"/>
      <c r="C103" s="89"/>
      <c r="D103" s="89"/>
      <c r="E103" s="89"/>
      <c r="F103" s="89"/>
      <c r="G103" s="89"/>
      <c r="H103" s="89"/>
      <c r="I103" s="89"/>
      <c r="J103" s="89"/>
      <c r="K103" s="89"/>
      <c r="L103" s="89"/>
      <c r="M103" s="89"/>
      <c r="N103" s="89"/>
      <c r="O103" s="89"/>
      <c r="P103" s="89"/>
      <c r="R103" s="89"/>
      <c r="S103" s="89"/>
      <c r="T103" s="89"/>
      <c r="U103" s="89"/>
      <c r="V103" s="89"/>
      <c r="W103" s="89"/>
      <c r="X103" s="89"/>
      <c r="Y103" s="89"/>
      <c r="Z103" s="89"/>
      <c r="AA103" s="89"/>
      <c r="AB103" s="89"/>
      <c r="AC103" s="89"/>
      <c r="AD103" s="89"/>
      <c r="AF103" s="89"/>
      <c r="AG103" s="89"/>
      <c r="AH103" s="89"/>
      <c r="AI103" s="89"/>
      <c r="AJ103" s="89"/>
      <c r="AK103" s="89"/>
      <c r="AL103" s="89"/>
      <c r="AM103" s="89"/>
      <c r="AN103" s="89"/>
      <c r="AO103" s="89"/>
      <c r="AP103" s="89"/>
      <c r="AQ103" s="89"/>
      <c r="AR103" s="89"/>
      <c r="AS103" s="89"/>
    </row>
    <row r="104" spans="2:45" x14ac:dyDescent="0.25">
      <c r="B104" s="89"/>
      <c r="C104" s="89"/>
      <c r="D104" s="89"/>
      <c r="E104" s="89"/>
      <c r="F104" s="89"/>
      <c r="G104" s="89"/>
      <c r="H104" s="89"/>
      <c r="I104" s="89"/>
      <c r="J104" s="89"/>
      <c r="K104" s="89"/>
      <c r="L104" s="89"/>
      <c r="M104" s="89"/>
      <c r="N104" s="89"/>
      <c r="O104" s="89"/>
      <c r="P104" s="89"/>
      <c r="R104" s="89"/>
      <c r="S104" s="89"/>
      <c r="T104" s="89"/>
      <c r="U104" s="89"/>
      <c r="V104" s="89"/>
      <c r="W104" s="89"/>
      <c r="X104" s="89"/>
      <c r="Y104" s="89"/>
      <c r="Z104" s="89"/>
      <c r="AA104" s="89"/>
      <c r="AB104" s="89"/>
      <c r="AC104" s="89"/>
      <c r="AD104" s="89"/>
      <c r="AF104" s="89"/>
      <c r="AG104" s="89"/>
      <c r="AH104" s="89"/>
      <c r="AI104" s="89"/>
      <c r="AJ104" s="89"/>
      <c r="AK104" s="89"/>
      <c r="AL104" s="89"/>
      <c r="AM104" s="89"/>
      <c r="AN104" s="89"/>
      <c r="AO104" s="89"/>
      <c r="AP104" s="89"/>
      <c r="AQ104" s="89"/>
      <c r="AR104" s="89"/>
      <c r="AS104" s="89"/>
    </row>
    <row r="105" spans="2:45" x14ac:dyDescent="0.25">
      <c r="B105" s="89"/>
      <c r="C105" s="89"/>
      <c r="D105" s="89"/>
      <c r="E105" s="89"/>
      <c r="F105" s="89"/>
      <c r="G105" s="89"/>
      <c r="H105" s="89"/>
      <c r="I105" s="89"/>
      <c r="J105" s="89"/>
      <c r="K105" s="89"/>
      <c r="L105" s="89"/>
      <c r="M105" s="89"/>
      <c r="N105" s="89"/>
      <c r="O105" s="89"/>
      <c r="P105" s="89"/>
      <c r="R105" s="89"/>
      <c r="S105" s="89"/>
      <c r="T105" s="89"/>
      <c r="U105" s="89"/>
      <c r="V105" s="89"/>
      <c r="W105" s="89"/>
      <c r="X105" s="89"/>
      <c r="Y105" s="89"/>
      <c r="Z105" s="89"/>
      <c r="AA105" s="89"/>
      <c r="AB105" s="89"/>
      <c r="AC105" s="89"/>
      <c r="AD105" s="89"/>
      <c r="AF105" s="89"/>
      <c r="AG105" s="89"/>
      <c r="AH105" s="89"/>
      <c r="AI105" s="89"/>
      <c r="AJ105" s="89"/>
      <c r="AK105" s="89"/>
      <c r="AL105" s="89"/>
      <c r="AM105" s="89"/>
      <c r="AN105" s="89"/>
      <c r="AO105" s="89"/>
      <c r="AP105" s="89"/>
      <c r="AQ105" s="89"/>
      <c r="AR105" s="89"/>
      <c r="AS105" s="89"/>
    </row>
    <row r="106" spans="2:45" x14ac:dyDescent="0.25">
      <c r="B106" s="89"/>
      <c r="C106" s="89"/>
      <c r="D106" s="89"/>
      <c r="E106" s="89"/>
      <c r="F106" s="89"/>
      <c r="G106" s="89"/>
      <c r="H106" s="89"/>
      <c r="I106" s="89"/>
      <c r="J106" s="89"/>
      <c r="K106" s="89"/>
      <c r="L106" s="89"/>
      <c r="M106" s="89"/>
      <c r="N106" s="89"/>
      <c r="O106" s="89"/>
      <c r="P106" s="89"/>
      <c r="R106" s="89"/>
      <c r="S106" s="89"/>
      <c r="T106" s="89"/>
      <c r="U106" s="89"/>
      <c r="V106" s="89"/>
      <c r="W106" s="89"/>
      <c r="X106" s="89"/>
      <c r="Y106" s="89"/>
      <c r="Z106" s="89"/>
      <c r="AA106" s="89"/>
      <c r="AB106" s="89"/>
      <c r="AC106" s="89"/>
      <c r="AD106" s="89"/>
      <c r="AF106" s="89"/>
      <c r="AG106" s="89"/>
      <c r="AH106" s="89"/>
      <c r="AI106" s="89"/>
      <c r="AJ106" s="89"/>
      <c r="AK106" s="89"/>
      <c r="AL106" s="89"/>
      <c r="AM106" s="89"/>
      <c r="AN106" s="89"/>
      <c r="AO106" s="89"/>
      <c r="AP106" s="89"/>
      <c r="AQ106" s="89"/>
      <c r="AR106" s="89"/>
      <c r="AS106" s="89"/>
    </row>
    <row r="107" spans="2:45" x14ac:dyDescent="0.25">
      <c r="B107" s="89"/>
      <c r="C107" s="89"/>
      <c r="D107" s="89"/>
      <c r="E107" s="89"/>
      <c r="F107" s="89"/>
      <c r="G107" s="89"/>
      <c r="H107" s="89"/>
      <c r="I107" s="89"/>
      <c r="J107" s="89"/>
      <c r="K107" s="89"/>
      <c r="L107" s="89"/>
      <c r="M107" s="89"/>
      <c r="N107" s="89"/>
      <c r="O107" s="89"/>
      <c r="P107" s="89"/>
      <c r="R107" s="89"/>
      <c r="S107" s="89"/>
      <c r="T107" s="89"/>
      <c r="U107" s="89"/>
      <c r="V107" s="89"/>
      <c r="W107" s="89"/>
      <c r="X107" s="89"/>
      <c r="Y107" s="89"/>
      <c r="Z107" s="89"/>
      <c r="AA107" s="89"/>
      <c r="AB107" s="89"/>
      <c r="AC107" s="89"/>
      <c r="AD107" s="89"/>
      <c r="AF107" s="89"/>
      <c r="AG107" s="89"/>
      <c r="AH107" s="89"/>
      <c r="AI107" s="89"/>
      <c r="AJ107" s="89"/>
      <c r="AK107" s="89"/>
      <c r="AL107" s="89"/>
      <c r="AM107" s="89"/>
      <c r="AN107" s="89"/>
      <c r="AO107" s="89"/>
      <c r="AP107" s="89"/>
      <c r="AQ107" s="89"/>
      <c r="AR107" s="89"/>
      <c r="AS107" s="89"/>
    </row>
    <row r="108" spans="2:45" x14ac:dyDescent="0.25">
      <c r="B108" s="89"/>
      <c r="C108" s="89"/>
      <c r="D108" s="89"/>
      <c r="E108" s="89"/>
      <c r="F108" s="89"/>
      <c r="G108" s="89"/>
      <c r="H108" s="89"/>
      <c r="I108" s="89"/>
      <c r="J108" s="89"/>
      <c r="K108" s="89"/>
      <c r="L108" s="89"/>
      <c r="M108" s="89"/>
      <c r="N108" s="89"/>
      <c r="O108" s="89"/>
      <c r="P108" s="89"/>
      <c r="R108" s="89"/>
      <c r="S108" s="89"/>
      <c r="T108" s="89"/>
      <c r="U108" s="89"/>
      <c r="V108" s="89"/>
      <c r="W108" s="89"/>
      <c r="X108" s="89"/>
      <c r="Y108" s="89"/>
      <c r="Z108" s="89"/>
      <c r="AA108" s="89"/>
      <c r="AB108" s="89"/>
      <c r="AC108" s="89"/>
      <c r="AD108" s="89"/>
      <c r="AF108" s="89"/>
      <c r="AG108" s="89"/>
      <c r="AH108" s="89"/>
      <c r="AI108" s="89"/>
      <c r="AJ108" s="89"/>
      <c r="AK108" s="89"/>
      <c r="AL108" s="89"/>
      <c r="AM108" s="89"/>
      <c r="AN108" s="89"/>
      <c r="AO108" s="89"/>
      <c r="AP108" s="89"/>
      <c r="AQ108" s="89"/>
      <c r="AR108" s="89"/>
      <c r="AS108" s="89"/>
    </row>
    <row r="109" spans="2:45" x14ac:dyDescent="0.25">
      <c r="B109" s="89"/>
      <c r="C109" s="89"/>
      <c r="D109" s="89"/>
      <c r="E109" s="89"/>
      <c r="F109" s="89"/>
      <c r="G109" s="89"/>
      <c r="H109" s="89"/>
      <c r="I109" s="89"/>
      <c r="J109" s="89"/>
      <c r="K109" s="89"/>
      <c r="L109" s="89"/>
      <c r="M109" s="89"/>
      <c r="N109" s="89"/>
      <c r="O109" s="89"/>
      <c r="P109" s="89"/>
      <c r="R109" s="89"/>
      <c r="S109" s="89"/>
      <c r="T109" s="89"/>
      <c r="U109" s="89"/>
      <c r="V109" s="89"/>
      <c r="W109" s="89"/>
      <c r="X109" s="89"/>
      <c r="Y109" s="89"/>
      <c r="Z109" s="89"/>
      <c r="AA109" s="89"/>
      <c r="AB109" s="89"/>
      <c r="AC109" s="89"/>
      <c r="AD109" s="89"/>
      <c r="AF109" s="89"/>
      <c r="AG109" s="89"/>
      <c r="AH109" s="89"/>
      <c r="AI109" s="89"/>
      <c r="AJ109" s="89"/>
      <c r="AK109" s="89"/>
      <c r="AL109" s="89"/>
      <c r="AM109" s="89"/>
      <c r="AN109" s="89"/>
      <c r="AO109" s="89"/>
      <c r="AP109" s="89"/>
      <c r="AQ109" s="89"/>
      <c r="AR109" s="89"/>
      <c r="AS109" s="89"/>
    </row>
    <row r="110" spans="2:45" x14ac:dyDescent="0.25">
      <c r="B110" s="89"/>
      <c r="C110" s="89"/>
      <c r="D110" s="89"/>
      <c r="E110" s="89"/>
      <c r="F110" s="89"/>
      <c r="G110" s="89"/>
      <c r="H110" s="89"/>
      <c r="I110" s="89"/>
      <c r="J110" s="89"/>
      <c r="K110" s="89"/>
      <c r="L110" s="89"/>
      <c r="M110" s="89"/>
      <c r="N110" s="89"/>
      <c r="O110" s="89"/>
      <c r="P110" s="89"/>
      <c r="R110" s="89"/>
      <c r="S110" s="89"/>
      <c r="T110" s="89"/>
      <c r="U110" s="89"/>
      <c r="V110" s="89"/>
      <c r="W110" s="89"/>
      <c r="X110" s="89"/>
      <c r="Y110" s="89"/>
      <c r="Z110" s="89"/>
      <c r="AA110" s="89"/>
      <c r="AB110" s="89"/>
      <c r="AC110" s="89"/>
      <c r="AD110" s="89"/>
      <c r="AF110" s="89"/>
      <c r="AG110" s="89"/>
      <c r="AH110" s="89"/>
      <c r="AI110" s="89"/>
      <c r="AJ110" s="89"/>
      <c r="AK110" s="89"/>
      <c r="AL110" s="89"/>
      <c r="AM110" s="89"/>
      <c r="AN110" s="89"/>
      <c r="AO110" s="89"/>
      <c r="AP110" s="89"/>
      <c r="AQ110" s="89"/>
      <c r="AR110" s="89"/>
      <c r="AS110" s="89"/>
    </row>
    <row r="111" spans="2:45" x14ac:dyDescent="0.25">
      <c r="B111" s="89"/>
      <c r="C111" s="89"/>
      <c r="D111" s="89"/>
      <c r="E111" s="89"/>
      <c r="F111" s="89"/>
      <c r="G111" s="89"/>
      <c r="H111" s="89"/>
      <c r="I111" s="89"/>
      <c r="J111" s="89"/>
      <c r="K111" s="89"/>
      <c r="L111" s="89"/>
      <c r="M111" s="89"/>
      <c r="N111" s="89"/>
      <c r="O111" s="89"/>
      <c r="P111" s="89"/>
      <c r="R111" s="89"/>
      <c r="S111" s="89"/>
      <c r="T111" s="89"/>
      <c r="U111" s="89"/>
      <c r="V111" s="89"/>
      <c r="W111" s="89"/>
      <c r="X111" s="89"/>
      <c r="Y111" s="89"/>
      <c r="Z111" s="89"/>
      <c r="AA111" s="89"/>
      <c r="AB111" s="89"/>
      <c r="AC111" s="89"/>
      <c r="AD111" s="89"/>
      <c r="AF111" s="89"/>
      <c r="AG111" s="89"/>
      <c r="AH111" s="89"/>
      <c r="AI111" s="89"/>
      <c r="AJ111" s="89"/>
      <c r="AK111" s="89"/>
      <c r="AL111" s="89"/>
      <c r="AM111" s="89"/>
      <c r="AN111" s="89"/>
      <c r="AO111" s="89"/>
      <c r="AP111" s="89"/>
      <c r="AQ111" s="89"/>
      <c r="AR111" s="89"/>
      <c r="AS111" s="89"/>
    </row>
    <row r="112" spans="2:45" x14ac:dyDescent="0.25">
      <c r="B112" s="89"/>
      <c r="C112" s="89"/>
      <c r="D112" s="89"/>
      <c r="E112" s="89"/>
      <c r="F112" s="89"/>
      <c r="G112" s="89"/>
      <c r="H112" s="89"/>
      <c r="I112" s="89"/>
      <c r="J112" s="89"/>
      <c r="K112" s="89"/>
      <c r="L112" s="89"/>
      <c r="M112" s="89"/>
      <c r="N112" s="89"/>
      <c r="O112" s="89"/>
      <c r="P112" s="89"/>
      <c r="R112" s="89"/>
      <c r="S112" s="89"/>
      <c r="T112" s="89"/>
      <c r="U112" s="89"/>
      <c r="V112" s="89"/>
      <c r="W112" s="89"/>
      <c r="X112" s="89"/>
      <c r="Y112" s="89"/>
      <c r="Z112" s="89"/>
      <c r="AA112" s="89"/>
      <c r="AB112" s="89"/>
      <c r="AC112" s="89"/>
      <c r="AD112" s="89"/>
      <c r="AF112" s="89"/>
      <c r="AG112" s="89"/>
      <c r="AH112" s="89"/>
      <c r="AI112" s="89"/>
      <c r="AJ112" s="89"/>
      <c r="AK112" s="89"/>
      <c r="AL112" s="89"/>
      <c r="AM112" s="89"/>
      <c r="AN112" s="89"/>
      <c r="AO112" s="89"/>
      <c r="AP112" s="89"/>
      <c r="AQ112" s="89"/>
      <c r="AR112" s="89"/>
      <c r="AS112" s="89"/>
    </row>
    <row r="113" spans="2:45" x14ac:dyDescent="0.25">
      <c r="B113" s="89"/>
      <c r="C113" s="89"/>
      <c r="D113" s="89"/>
      <c r="E113" s="89"/>
      <c r="F113" s="89"/>
      <c r="G113" s="89"/>
      <c r="H113" s="89"/>
      <c r="I113" s="89"/>
      <c r="J113" s="89"/>
      <c r="K113" s="89"/>
      <c r="L113" s="89"/>
      <c r="M113" s="89"/>
      <c r="N113" s="89"/>
      <c r="O113" s="89"/>
      <c r="P113" s="89"/>
      <c r="R113" s="89"/>
      <c r="S113" s="89"/>
      <c r="T113" s="89"/>
      <c r="U113" s="89"/>
      <c r="V113" s="89"/>
      <c r="W113" s="89"/>
      <c r="X113" s="89"/>
      <c r="Y113" s="89"/>
      <c r="Z113" s="89"/>
      <c r="AA113" s="89"/>
      <c r="AB113" s="89"/>
      <c r="AC113" s="89"/>
      <c r="AD113" s="89"/>
      <c r="AF113" s="89"/>
      <c r="AG113" s="89"/>
      <c r="AH113" s="89"/>
      <c r="AI113" s="89"/>
      <c r="AJ113" s="89"/>
      <c r="AK113" s="89"/>
      <c r="AL113" s="89"/>
      <c r="AM113" s="89"/>
      <c r="AN113" s="89"/>
      <c r="AO113" s="89"/>
      <c r="AP113" s="89"/>
      <c r="AQ113" s="89"/>
      <c r="AR113" s="89"/>
      <c r="AS113" s="89"/>
    </row>
    <row r="114" spans="2:45" x14ac:dyDescent="0.25">
      <c r="B114" s="89"/>
      <c r="C114" s="89"/>
      <c r="D114" s="89"/>
      <c r="E114" s="89"/>
      <c r="F114" s="89"/>
      <c r="G114" s="89"/>
      <c r="H114" s="89"/>
      <c r="I114" s="89"/>
      <c r="J114" s="89"/>
      <c r="K114" s="89"/>
      <c r="L114" s="89"/>
      <c r="M114" s="89"/>
      <c r="N114" s="89"/>
      <c r="O114" s="89"/>
      <c r="P114" s="89"/>
      <c r="R114" s="89"/>
      <c r="S114" s="89"/>
      <c r="T114" s="89"/>
      <c r="U114" s="89"/>
      <c r="V114" s="89"/>
      <c r="W114" s="89"/>
      <c r="X114" s="89"/>
      <c r="Y114" s="89"/>
      <c r="Z114" s="89"/>
      <c r="AA114" s="89"/>
      <c r="AB114" s="89"/>
      <c r="AC114" s="89"/>
      <c r="AD114" s="89"/>
      <c r="AF114" s="89"/>
      <c r="AG114" s="89"/>
      <c r="AH114" s="89"/>
      <c r="AI114" s="89"/>
      <c r="AJ114" s="89"/>
      <c r="AK114" s="89"/>
      <c r="AL114" s="89"/>
      <c r="AM114" s="89"/>
      <c r="AN114" s="89"/>
      <c r="AO114" s="89"/>
      <c r="AP114" s="89"/>
      <c r="AQ114" s="89"/>
      <c r="AR114" s="89"/>
      <c r="AS114" s="89"/>
    </row>
    <row r="115" spans="2:45" x14ac:dyDescent="0.25">
      <c r="B115" s="89"/>
      <c r="C115" s="89"/>
      <c r="D115" s="89"/>
      <c r="E115" s="89"/>
      <c r="F115" s="89"/>
      <c r="G115" s="89"/>
      <c r="H115" s="89"/>
      <c r="I115" s="89"/>
      <c r="J115" s="89"/>
      <c r="K115" s="89"/>
      <c r="L115" s="89"/>
      <c r="M115" s="89"/>
      <c r="N115" s="89"/>
      <c r="O115" s="89"/>
      <c r="P115" s="89"/>
      <c r="R115" s="89"/>
      <c r="S115" s="89"/>
      <c r="T115" s="89"/>
      <c r="U115" s="89"/>
      <c r="V115" s="89"/>
      <c r="W115" s="89"/>
      <c r="X115" s="89"/>
      <c r="Y115" s="89"/>
      <c r="Z115" s="89"/>
      <c r="AA115" s="89"/>
      <c r="AB115" s="89"/>
      <c r="AC115" s="89"/>
      <c r="AD115" s="89"/>
      <c r="AF115" s="89"/>
      <c r="AG115" s="89"/>
      <c r="AH115" s="89"/>
      <c r="AI115" s="89"/>
      <c r="AJ115" s="89"/>
      <c r="AK115" s="89"/>
      <c r="AL115" s="89"/>
      <c r="AM115" s="89"/>
      <c r="AN115" s="89"/>
      <c r="AO115" s="89"/>
      <c r="AP115" s="89"/>
      <c r="AQ115" s="89"/>
      <c r="AR115" s="89"/>
      <c r="AS115" s="89"/>
    </row>
    <row r="116" spans="2:45" x14ac:dyDescent="0.25">
      <c r="B116" s="89"/>
      <c r="C116" s="89"/>
      <c r="D116" s="89"/>
      <c r="E116" s="89"/>
      <c r="F116" s="89"/>
      <c r="G116" s="89"/>
      <c r="H116" s="89"/>
      <c r="I116" s="89"/>
      <c r="J116" s="89"/>
      <c r="K116" s="89"/>
      <c r="L116" s="89"/>
      <c r="M116" s="89"/>
      <c r="N116" s="89"/>
      <c r="O116" s="89"/>
      <c r="P116" s="89"/>
      <c r="R116" s="89"/>
      <c r="S116" s="89"/>
      <c r="T116" s="89"/>
      <c r="U116" s="89"/>
      <c r="V116" s="89"/>
      <c r="W116" s="89"/>
      <c r="X116" s="89"/>
      <c r="Y116" s="89"/>
      <c r="Z116" s="89"/>
      <c r="AA116" s="89"/>
      <c r="AB116" s="89"/>
      <c r="AC116" s="89"/>
      <c r="AD116" s="89"/>
      <c r="AF116" s="89"/>
      <c r="AG116" s="89"/>
      <c r="AH116" s="89"/>
      <c r="AI116" s="89"/>
      <c r="AJ116" s="89"/>
      <c r="AK116" s="89"/>
      <c r="AL116" s="89"/>
      <c r="AM116" s="89"/>
      <c r="AN116" s="89"/>
      <c r="AO116" s="89"/>
      <c r="AP116" s="89"/>
      <c r="AQ116" s="89"/>
      <c r="AR116" s="89"/>
      <c r="AS116" s="89"/>
    </row>
    <row r="117" spans="2:45" x14ac:dyDescent="0.25">
      <c r="B117" s="89"/>
      <c r="C117" s="89"/>
      <c r="D117" s="89"/>
      <c r="E117" s="89"/>
      <c r="F117" s="89"/>
      <c r="G117" s="89"/>
      <c r="H117" s="89"/>
      <c r="I117" s="89"/>
      <c r="J117" s="89"/>
      <c r="K117" s="89"/>
      <c r="L117" s="89"/>
      <c r="M117" s="89"/>
      <c r="N117" s="89"/>
      <c r="O117" s="89"/>
      <c r="P117" s="89"/>
      <c r="R117" s="89"/>
      <c r="S117" s="89"/>
      <c r="T117" s="89"/>
      <c r="U117" s="89"/>
      <c r="V117" s="89"/>
      <c r="W117" s="89"/>
      <c r="X117" s="89"/>
      <c r="Y117" s="89"/>
      <c r="Z117" s="89"/>
      <c r="AA117" s="89"/>
      <c r="AB117" s="89"/>
      <c r="AC117" s="89"/>
      <c r="AD117" s="89"/>
      <c r="AF117" s="89"/>
      <c r="AG117" s="89"/>
      <c r="AH117" s="89"/>
      <c r="AI117" s="89"/>
      <c r="AJ117" s="89"/>
      <c r="AK117" s="89"/>
      <c r="AL117" s="89"/>
      <c r="AM117" s="89"/>
      <c r="AN117" s="89"/>
      <c r="AO117" s="89"/>
      <c r="AP117" s="89"/>
      <c r="AQ117" s="89"/>
      <c r="AR117" s="89"/>
      <c r="AS117" s="89"/>
    </row>
    <row r="118" spans="2:45" x14ac:dyDescent="0.25">
      <c r="B118" s="89"/>
      <c r="C118" s="89"/>
      <c r="D118" s="89"/>
      <c r="E118" s="89"/>
      <c r="F118" s="89"/>
      <c r="G118" s="89"/>
      <c r="H118" s="89"/>
      <c r="I118" s="89"/>
      <c r="J118" s="89"/>
      <c r="K118" s="89"/>
      <c r="L118" s="89"/>
      <c r="M118" s="89"/>
      <c r="N118" s="89"/>
      <c r="O118" s="89"/>
      <c r="P118" s="89"/>
      <c r="R118" s="89"/>
      <c r="S118" s="89"/>
      <c r="T118" s="89"/>
      <c r="U118" s="89"/>
      <c r="V118" s="89"/>
      <c r="W118" s="89"/>
      <c r="X118" s="89"/>
      <c r="Y118" s="89"/>
      <c r="Z118" s="89"/>
      <c r="AA118" s="89"/>
      <c r="AB118" s="89"/>
      <c r="AC118" s="89"/>
      <c r="AD118" s="89"/>
      <c r="AF118" s="89"/>
      <c r="AG118" s="89"/>
      <c r="AH118" s="89"/>
      <c r="AI118" s="89"/>
      <c r="AJ118" s="89"/>
      <c r="AK118" s="89"/>
      <c r="AL118" s="89"/>
      <c r="AM118" s="89"/>
      <c r="AN118" s="89"/>
      <c r="AO118" s="89"/>
      <c r="AP118" s="89"/>
      <c r="AQ118" s="89"/>
      <c r="AR118" s="89"/>
      <c r="AS118" s="89"/>
    </row>
    <row r="119" spans="2:45" x14ac:dyDescent="0.25">
      <c r="B119" s="89"/>
      <c r="C119" s="89"/>
      <c r="D119" s="89"/>
      <c r="E119" s="89"/>
      <c r="F119" s="89"/>
      <c r="G119" s="89"/>
      <c r="H119" s="89"/>
      <c r="I119" s="89"/>
      <c r="J119" s="89"/>
      <c r="K119" s="89"/>
      <c r="L119" s="89"/>
      <c r="M119" s="89"/>
      <c r="N119" s="89"/>
      <c r="O119" s="89"/>
      <c r="P119" s="89"/>
      <c r="R119" s="89"/>
      <c r="S119" s="89"/>
      <c r="T119" s="89"/>
      <c r="U119" s="89"/>
      <c r="V119" s="89"/>
      <c r="W119" s="89"/>
      <c r="X119" s="89"/>
      <c r="Y119" s="89"/>
      <c r="Z119" s="89"/>
      <c r="AA119" s="89"/>
      <c r="AB119" s="89"/>
      <c r="AC119" s="89"/>
      <c r="AD119" s="89"/>
      <c r="AF119" s="89"/>
      <c r="AG119" s="89"/>
      <c r="AH119" s="89"/>
      <c r="AI119" s="89"/>
      <c r="AJ119" s="89"/>
      <c r="AK119" s="89"/>
      <c r="AL119" s="89"/>
      <c r="AM119" s="89"/>
      <c r="AN119" s="89"/>
      <c r="AO119" s="89"/>
      <c r="AP119" s="89"/>
      <c r="AQ119" s="89"/>
      <c r="AR119" s="89"/>
      <c r="AS119" s="89"/>
    </row>
    <row r="120" spans="2:45" x14ac:dyDescent="0.25">
      <c r="B120" s="89"/>
      <c r="C120" s="89"/>
      <c r="D120" s="89"/>
      <c r="E120" s="89"/>
      <c r="F120" s="89"/>
      <c r="G120" s="89"/>
      <c r="H120" s="89"/>
      <c r="I120" s="89"/>
      <c r="J120" s="89"/>
      <c r="K120" s="89"/>
      <c r="L120" s="89"/>
      <c r="M120" s="89"/>
      <c r="N120" s="89"/>
      <c r="O120" s="89"/>
      <c r="P120" s="89"/>
      <c r="R120" s="89"/>
      <c r="S120" s="89"/>
      <c r="T120" s="89"/>
      <c r="U120" s="89"/>
      <c r="V120" s="89"/>
      <c r="W120" s="89"/>
      <c r="X120" s="89"/>
      <c r="Y120" s="89"/>
      <c r="Z120" s="89"/>
      <c r="AA120" s="89"/>
      <c r="AB120" s="89"/>
      <c r="AC120" s="89"/>
      <c r="AD120" s="89"/>
      <c r="AF120" s="89"/>
      <c r="AG120" s="89"/>
      <c r="AH120" s="89"/>
      <c r="AI120" s="89"/>
      <c r="AJ120" s="89"/>
      <c r="AK120" s="89"/>
      <c r="AL120" s="89"/>
      <c r="AM120" s="89"/>
      <c r="AN120" s="89"/>
      <c r="AO120" s="89"/>
      <c r="AP120" s="89"/>
      <c r="AQ120" s="89"/>
      <c r="AR120" s="89"/>
      <c r="AS120" s="89"/>
    </row>
    <row r="121" spans="2:45" x14ac:dyDescent="0.25">
      <c r="B121" s="89"/>
      <c r="C121" s="89"/>
      <c r="D121" s="89"/>
      <c r="E121" s="89"/>
      <c r="F121" s="89"/>
      <c r="G121" s="89"/>
      <c r="H121" s="89"/>
      <c r="I121" s="89"/>
      <c r="J121" s="89"/>
      <c r="K121" s="89"/>
      <c r="L121" s="89"/>
      <c r="M121" s="89"/>
      <c r="N121" s="89"/>
      <c r="O121" s="89"/>
      <c r="P121" s="89"/>
      <c r="R121" s="89"/>
      <c r="S121" s="89"/>
      <c r="T121" s="89"/>
      <c r="U121" s="89"/>
      <c r="V121" s="89"/>
      <c r="W121" s="89"/>
      <c r="X121" s="89"/>
      <c r="Y121" s="89"/>
      <c r="Z121" s="89"/>
      <c r="AA121" s="89"/>
      <c r="AB121" s="89"/>
      <c r="AC121" s="89"/>
      <c r="AD121" s="89"/>
      <c r="AF121" s="89"/>
      <c r="AG121" s="89"/>
      <c r="AH121" s="89"/>
      <c r="AI121" s="89"/>
      <c r="AJ121" s="89"/>
      <c r="AK121" s="89"/>
      <c r="AL121" s="89"/>
      <c r="AM121" s="89"/>
      <c r="AN121" s="89"/>
      <c r="AO121" s="89"/>
      <c r="AP121" s="89"/>
      <c r="AQ121" s="89"/>
      <c r="AR121" s="89"/>
      <c r="AS121" s="89"/>
    </row>
  </sheetData>
  <mergeCells count="16">
    <mergeCell ref="U35:AB36"/>
    <mergeCell ref="AI35:AP36"/>
    <mergeCell ref="D35:K36"/>
    <mergeCell ref="E2:J2"/>
    <mergeCell ref="K2:P2"/>
    <mergeCell ref="E3:F3"/>
    <mergeCell ref="G3:H3"/>
    <mergeCell ref="I3:J3"/>
    <mergeCell ref="K3:L3"/>
    <mergeCell ref="M3:N3"/>
    <mergeCell ref="O3:P3"/>
    <mergeCell ref="B5:B30"/>
    <mergeCell ref="C5:C30"/>
    <mergeCell ref="B2:B3"/>
    <mergeCell ref="C2:C3"/>
    <mergeCell ref="D2:D3"/>
  </mergeCells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B3:J48"/>
  <sheetViews>
    <sheetView zoomScale="55" zoomScaleNormal="55" workbookViewId="0">
      <selection activeCell="B3" sqref="B3:J26"/>
    </sheetView>
  </sheetViews>
  <sheetFormatPr baseColWidth="10" defaultRowHeight="15" x14ac:dyDescent="0.25"/>
  <cols>
    <col min="1" max="1" width="9.28515625" customWidth="1"/>
    <col min="2" max="2" width="15.5703125" customWidth="1"/>
    <col min="3" max="3" width="10.28515625" customWidth="1"/>
    <col min="5" max="10" width="22.7109375" customWidth="1"/>
  </cols>
  <sheetData>
    <row r="3" spans="2:10" x14ac:dyDescent="0.25">
      <c r="B3" s="121" t="s">
        <v>2</v>
      </c>
      <c r="C3" s="121" t="s">
        <v>16</v>
      </c>
      <c r="D3" s="121" t="s">
        <v>3</v>
      </c>
      <c r="E3" s="111" t="s">
        <v>65</v>
      </c>
      <c r="F3" s="111"/>
      <c r="G3" s="111"/>
      <c r="H3" s="111" t="s">
        <v>66</v>
      </c>
      <c r="I3" s="111"/>
      <c r="J3" s="111"/>
    </row>
    <row r="4" spans="2:10" ht="15.75" thickBot="1" x14ac:dyDescent="0.3">
      <c r="B4" s="122"/>
      <c r="C4" s="122"/>
      <c r="D4" s="122"/>
      <c r="E4" s="27" t="s">
        <v>67</v>
      </c>
      <c r="F4" s="27" t="s">
        <v>68</v>
      </c>
      <c r="G4" s="27" t="s">
        <v>69</v>
      </c>
      <c r="H4" s="27" t="s">
        <v>67</v>
      </c>
      <c r="I4" s="27" t="s">
        <v>68</v>
      </c>
      <c r="J4" s="27" t="s">
        <v>69</v>
      </c>
    </row>
    <row r="5" spans="2:10" x14ac:dyDescent="0.25">
      <c r="B5" s="115" t="s">
        <v>31</v>
      </c>
      <c r="C5" s="118" t="s">
        <v>18</v>
      </c>
      <c r="D5" s="19" t="s">
        <v>5</v>
      </c>
      <c r="E5" s="45">
        <v>1.02445498243466</v>
      </c>
      <c r="F5" s="46">
        <v>1.0216572922256499</v>
      </c>
      <c r="G5" s="47">
        <v>1.02791045470502</v>
      </c>
      <c r="H5" s="45">
        <v>1.02170276696593</v>
      </c>
      <c r="I5" s="46">
        <v>1.0169711965271599</v>
      </c>
      <c r="J5" s="48">
        <v>1.0167627707578499</v>
      </c>
    </row>
    <row r="6" spans="2:10" x14ac:dyDescent="0.25">
      <c r="B6" s="116"/>
      <c r="C6" s="119"/>
      <c r="D6" s="18" t="s">
        <v>6</v>
      </c>
      <c r="E6" s="49">
        <v>1.08731724284139</v>
      </c>
      <c r="F6" s="50">
        <v>1.0986295660608401</v>
      </c>
      <c r="G6" s="51">
        <v>1.1241810135678201</v>
      </c>
      <c r="H6" s="49">
        <v>1.0761080603265401</v>
      </c>
      <c r="I6" s="50">
        <v>1.0796298397127999</v>
      </c>
      <c r="J6" s="52">
        <v>1.07356746086985</v>
      </c>
    </row>
    <row r="7" spans="2:10" x14ac:dyDescent="0.25">
      <c r="B7" s="116"/>
      <c r="C7" s="119"/>
      <c r="D7" s="18" t="s">
        <v>7</v>
      </c>
      <c r="E7" s="49">
        <v>1.08898644529524</v>
      </c>
      <c r="F7" s="50">
        <v>1.10142404576855</v>
      </c>
      <c r="G7" s="51">
        <v>1.13248249489733</v>
      </c>
      <c r="H7" s="49">
        <v>1.0770609898655501</v>
      </c>
      <c r="I7" s="50">
        <v>1.08076951119974</v>
      </c>
      <c r="J7" s="52">
        <v>1.0761393606374099</v>
      </c>
    </row>
    <row r="8" spans="2:10" x14ac:dyDescent="0.25">
      <c r="B8" s="116"/>
      <c r="C8" s="119"/>
      <c r="D8" s="18" t="s">
        <v>8</v>
      </c>
      <c r="E8" s="49">
        <v>1.0905319887042899</v>
      </c>
      <c r="F8" s="50">
        <v>1.10428047541222</v>
      </c>
      <c r="G8" s="51">
        <v>1.1404926384899901</v>
      </c>
      <c r="H8" s="49">
        <v>1.0778375270327401</v>
      </c>
      <c r="I8" s="50">
        <v>1.08190144782386</v>
      </c>
      <c r="J8" s="52">
        <v>1.0786812904452601</v>
      </c>
    </row>
    <row r="9" spans="2:10" x14ac:dyDescent="0.25">
      <c r="B9" s="116"/>
      <c r="C9" s="119"/>
      <c r="D9" s="18" t="s">
        <v>9</v>
      </c>
      <c r="E9" s="49">
        <v>1.0920370631974401</v>
      </c>
      <c r="F9" s="50">
        <v>1.1069764630091501</v>
      </c>
      <c r="G9" s="51">
        <v>1.1479359793120401</v>
      </c>
      <c r="H9" s="49">
        <v>1.07854684363761</v>
      </c>
      <c r="I9" s="50">
        <v>1.0830470750874801</v>
      </c>
      <c r="J9" s="52">
        <v>1.0812285739984999</v>
      </c>
    </row>
    <row r="10" spans="2:10" x14ac:dyDescent="0.25">
      <c r="B10" s="116"/>
      <c r="C10" s="119"/>
      <c r="D10" s="18" t="s">
        <v>10</v>
      </c>
      <c r="E10" s="49">
        <v>1.09357044003489</v>
      </c>
      <c r="F10" s="50">
        <v>1.10965387162942</v>
      </c>
      <c r="G10" s="51">
        <v>1.15522878708941</v>
      </c>
      <c r="H10" s="49">
        <v>1.0792398387962401</v>
      </c>
      <c r="I10" s="50">
        <v>1.0843013764365499</v>
      </c>
      <c r="J10" s="52">
        <v>1.0839662925074001</v>
      </c>
    </row>
    <row r="11" spans="2:10" x14ac:dyDescent="0.25">
      <c r="B11" s="116"/>
      <c r="C11" s="119"/>
      <c r="D11" s="18" t="s">
        <v>11</v>
      </c>
      <c r="E11" s="49">
        <v>1.0952088320054401</v>
      </c>
      <c r="F11" s="50">
        <v>1.11240661326902</v>
      </c>
      <c r="G11" s="51">
        <v>1.1626555349007099</v>
      </c>
      <c r="H11" s="49">
        <v>1.0799626370440401</v>
      </c>
      <c r="I11" s="50">
        <v>1.0857394502068201</v>
      </c>
      <c r="J11" s="52">
        <v>1.0870462682172</v>
      </c>
    </row>
    <row r="12" spans="2:10" x14ac:dyDescent="0.25">
      <c r="B12" s="116"/>
      <c r="C12" s="119"/>
      <c r="D12" s="18" t="s">
        <v>12</v>
      </c>
      <c r="E12" s="49">
        <v>1.0970515984534299</v>
      </c>
      <c r="F12" s="50">
        <v>1.1148575198722701</v>
      </c>
      <c r="G12" s="51">
        <v>1.1693560053071499</v>
      </c>
      <c r="H12" s="49">
        <v>1.08077889956674</v>
      </c>
      <c r="I12" s="50">
        <v>1.08699695942413</v>
      </c>
      <c r="J12" s="52">
        <v>1.0892255066086001</v>
      </c>
    </row>
    <row r="13" spans="2:10" x14ac:dyDescent="0.25">
      <c r="B13" s="116"/>
      <c r="C13" s="119"/>
      <c r="D13" s="18" t="s">
        <v>13</v>
      </c>
      <c r="E13" s="49">
        <v>1.09928197257974</v>
      </c>
      <c r="F13" s="50">
        <v>1.11632913123424</v>
      </c>
      <c r="G13" s="51">
        <v>1.17380460797379</v>
      </c>
      <c r="H13" s="49">
        <v>1.08181507279079</v>
      </c>
      <c r="I13" s="50">
        <v>1.0878512900747299</v>
      </c>
      <c r="J13" s="52">
        <v>1.0895155922729201</v>
      </c>
    </row>
    <row r="14" spans="2:10" x14ac:dyDescent="0.25">
      <c r="B14" s="116"/>
      <c r="C14" s="119"/>
      <c r="D14" s="18" t="s">
        <v>14</v>
      </c>
      <c r="E14" s="49">
        <v>1.1024576183250101</v>
      </c>
      <c r="F14" s="50">
        <v>1.1159575807800599</v>
      </c>
      <c r="G14" s="51">
        <v>1.17397693717382</v>
      </c>
      <c r="H14" s="49">
        <v>1.08341235652311</v>
      </c>
      <c r="I14" s="50">
        <v>1.08857131787335</v>
      </c>
      <c r="J14" s="52">
        <v>1.08792407337605</v>
      </c>
    </row>
    <row r="15" spans="2:10" ht="15.75" thickBot="1" x14ac:dyDescent="0.3">
      <c r="B15" s="116"/>
      <c r="C15" s="119"/>
      <c r="D15" s="21" t="s">
        <v>4</v>
      </c>
      <c r="E15" s="53">
        <v>1.10871330356977</v>
      </c>
      <c r="F15" s="54">
        <v>1.1101931641360101</v>
      </c>
      <c r="G15" s="55">
        <v>1.1610355257715099</v>
      </c>
      <c r="H15" s="53">
        <v>1.0866597596307199</v>
      </c>
      <c r="I15" s="54">
        <v>1.0890321053380401</v>
      </c>
      <c r="J15" s="56">
        <v>1.08132206165706</v>
      </c>
    </row>
    <row r="16" spans="2:10" x14ac:dyDescent="0.25">
      <c r="B16" s="115" t="s">
        <v>31</v>
      </c>
      <c r="C16" s="118" t="s">
        <v>19</v>
      </c>
      <c r="D16" s="19" t="s">
        <v>5</v>
      </c>
      <c r="E16" s="45">
        <v>1.0191304373290799</v>
      </c>
      <c r="F16" s="46">
        <v>1.01179440834568</v>
      </c>
      <c r="G16" s="47">
        <v>1.00168483363127</v>
      </c>
      <c r="H16" s="45">
        <v>1.0227322447235601</v>
      </c>
      <c r="I16" s="46">
        <v>1.01821981659729</v>
      </c>
      <c r="J16" s="48">
        <v>1.0141487412458401</v>
      </c>
    </row>
    <row r="17" spans="2:10" x14ac:dyDescent="0.25">
      <c r="B17" s="116"/>
      <c r="C17" s="119"/>
      <c r="D17" s="18" t="s">
        <v>6</v>
      </c>
      <c r="E17" s="49">
        <v>1.0822181560714701</v>
      </c>
      <c r="F17" s="50">
        <v>1.0607237334045201</v>
      </c>
      <c r="G17" s="51">
        <v>1.00955279147532</v>
      </c>
      <c r="H17" s="49">
        <v>1.0953155472993601</v>
      </c>
      <c r="I17" s="50">
        <v>1.0863382288175201</v>
      </c>
      <c r="J17" s="52">
        <v>1.0727933014384201</v>
      </c>
    </row>
    <row r="18" spans="2:10" x14ac:dyDescent="0.25">
      <c r="B18" s="116"/>
      <c r="C18" s="119"/>
      <c r="D18" s="18" t="s">
        <v>7</v>
      </c>
      <c r="E18" s="49">
        <v>1.0833690383379699</v>
      </c>
      <c r="F18" s="50">
        <v>1.05934764719291</v>
      </c>
      <c r="G18" s="51">
        <v>1.0178276880780801</v>
      </c>
      <c r="H18" s="49">
        <v>1.0963287022819299</v>
      </c>
      <c r="I18" s="50">
        <v>1.0861872495523399</v>
      </c>
      <c r="J18" s="52">
        <v>1.07061505839483</v>
      </c>
    </row>
    <row r="19" spans="2:10" x14ac:dyDescent="0.25">
      <c r="B19" s="116"/>
      <c r="C19" s="119"/>
      <c r="D19" s="18" t="s">
        <v>8</v>
      </c>
      <c r="E19" s="49">
        <v>1.0844351268496299</v>
      </c>
      <c r="F19" s="50">
        <v>1.0578718557901201</v>
      </c>
      <c r="G19" s="51">
        <v>1.02580057720039</v>
      </c>
      <c r="H19" s="49">
        <v>1.09731315871229</v>
      </c>
      <c r="I19" s="50">
        <v>1.0859828499009301</v>
      </c>
      <c r="J19" s="52">
        <v>1.0684201881680899</v>
      </c>
    </row>
    <row r="20" spans="2:10" x14ac:dyDescent="0.25">
      <c r="B20" s="116"/>
      <c r="C20" s="119"/>
      <c r="D20" s="18" t="s">
        <v>9</v>
      </c>
      <c r="E20" s="49">
        <v>1.0854602606867301</v>
      </c>
      <c r="F20" s="50">
        <v>1.05651268107087</v>
      </c>
      <c r="G20" s="51">
        <v>1.03318647848247</v>
      </c>
      <c r="H20" s="49">
        <v>1.09829135745684</v>
      </c>
      <c r="I20" s="50">
        <v>1.08581411226728</v>
      </c>
      <c r="J20" s="52">
        <v>1.0662596220514899</v>
      </c>
    </row>
    <row r="21" spans="2:10" x14ac:dyDescent="0.25">
      <c r="B21" s="116"/>
      <c r="C21" s="119"/>
      <c r="D21" s="18" t="s">
        <v>10</v>
      </c>
      <c r="E21" s="49">
        <v>1.0865435910193499</v>
      </c>
      <c r="F21" s="50">
        <v>1.0552013563714799</v>
      </c>
      <c r="G21" s="51">
        <v>1.04040962502622</v>
      </c>
      <c r="H21" s="49">
        <v>1.0993273721366299</v>
      </c>
      <c r="I21" s="50">
        <v>1.0856802439690201</v>
      </c>
      <c r="J21" s="52">
        <v>1.0640005896418001</v>
      </c>
    </row>
    <row r="22" spans="2:10" x14ac:dyDescent="0.25">
      <c r="B22" s="116"/>
      <c r="C22" s="119"/>
      <c r="D22" s="18" t="s">
        <v>11</v>
      </c>
      <c r="E22" s="49">
        <v>1.0877723265911301</v>
      </c>
      <c r="F22" s="50">
        <v>1.0538993461205199</v>
      </c>
      <c r="G22" s="51">
        <v>1.0477533446671099</v>
      </c>
      <c r="H22" s="49">
        <v>1.10048250878323</v>
      </c>
      <c r="I22" s="50">
        <v>1.0855901072291301</v>
      </c>
      <c r="J22" s="52">
        <v>1.06153764093215</v>
      </c>
    </row>
    <row r="23" spans="2:10" x14ac:dyDescent="0.25">
      <c r="B23" s="116"/>
      <c r="C23" s="119"/>
      <c r="D23" s="18" t="s">
        <v>12</v>
      </c>
      <c r="E23" s="49">
        <v>1.0892463971072399</v>
      </c>
      <c r="F23" s="50">
        <v>1.0529345553857199</v>
      </c>
      <c r="G23" s="51">
        <v>1.05430204677998</v>
      </c>
      <c r="H23" s="49">
        <v>1.1018399740157001</v>
      </c>
      <c r="I23" s="50">
        <v>1.0857688069531899</v>
      </c>
      <c r="J23" s="52">
        <v>1.0601228907807001</v>
      </c>
    </row>
    <row r="24" spans="2:10" x14ac:dyDescent="0.25">
      <c r="B24" s="116"/>
      <c r="C24" s="119"/>
      <c r="D24" s="18" t="s">
        <v>13</v>
      </c>
      <c r="E24" s="49">
        <v>1.0911143183905501</v>
      </c>
      <c r="F24" s="50">
        <v>1.0529284256537701</v>
      </c>
      <c r="G24" s="51">
        <v>1.0583741783421099</v>
      </c>
      <c r="H24" s="49">
        <v>1.10355337606758</v>
      </c>
      <c r="I24" s="50">
        <v>1.0864624729471</v>
      </c>
      <c r="J24" s="52">
        <v>1.0608794832472499</v>
      </c>
    </row>
    <row r="25" spans="2:10" x14ac:dyDescent="0.25">
      <c r="B25" s="116"/>
      <c r="C25" s="119"/>
      <c r="D25" s="18" t="s">
        <v>14</v>
      </c>
      <c r="E25" s="49">
        <v>1.0936710271413299</v>
      </c>
      <c r="F25" s="50">
        <v>1.0547769995007199</v>
      </c>
      <c r="G25" s="51">
        <v>1.0576468234170699</v>
      </c>
      <c r="H25" s="49">
        <v>1.10602194258575</v>
      </c>
      <c r="I25" s="50">
        <v>1.0880991853925199</v>
      </c>
      <c r="J25" s="52">
        <v>1.06441284068446</v>
      </c>
    </row>
    <row r="26" spans="2:10" ht="15.75" thickBot="1" x14ac:dyDescent="0.3">
      <c r="B26" s="116"/>
      <c r="C26" s="119"/>
      <c r="D26" s="21" t="s">
        <v>4</v>
      </c>
      <c r="E26" s="53">
        <v>1.0978215763788499</v>
      </c>
      <c r="F26" s="54">
        <v>1.0624311671661599</v>
      </c>
      <c r="G26" s="55">
        <v>1.0418340121227601</v>
      </c>
      <c r="H26" s="53">
        <v>1.11056339111408</v>
      </c>
      <c r="I26" s="54">
        <v>1.09253024053072</v>
      </c>
      <c r="J26" s="56">
        <v>1.0757717396892399</v>
      </c>
    </row>
    <row r="27" spans="2:10" x14ac:dyDescent="0.25">
      <c r="B27" s="115" t="s">
        <v>31</v>
      </c>
      <c r="C27" s="118" t="s">
        <v>20</v>
      </c>
      <c r="D27" s="19" t="s">
        <v>5</v>
      </c>
      <c r="E27" s="45">
        <v>1.02307507436492</v>
      </c>
      <c r="F27" s="46">
        <v>1.0003579867097501</v>
      </c>
      <c r="G27" s="47">
        <v>1.00001116583074</v>
      </c>
      <c r="H27" s="45">
        <v>1.00180767263861</v>
      </c>
      <c r="I27" s="46">
        <v>1.02030535215586</v>
      </c>
      <c r="J27" s="48">
        <v>1.02136289672488</v>
      </c>
    </row>
    <row r="28" spans="2:10" x14ac:dyDescent="0.25">
      <c r="B28" s="116"/>
      <c r="C28" s="119"/>
      <c r="D28" s="18" t="s">
        <v>6</v>
      </c>
      <c r="E28" s="49">
        <v>1.1005334327628999</v>
      </c>
      <c r="F28" s="50">
        <v>1.02879437065861</v>
      </c>
      <c r="G28" s="51">
        <v>1.01676193149701</v>
      </c>
      <c r="H28" s="49">
        <v>1.0118828816127601</v>
      </c>
      <c r="I28" s="50">
        <v>1.07872230260657</v>
      </c>
      <c r="J28" s="52">
        <v>1.0926838933960901</v>
      </c>
    </row>
    <row r="29" spans="2:10" x14ac:dyDescent="0.25">
      <c r="B29" s="116"/>
      <c r="C29" s="119"/>
      <c r="D29" s="18" t="s">
        <v>7</v>
      </c>
      <c r="E29" s="49">
        <v>1.10382437372308</v>
      </c>
      <c r="F29" s="50">
        <v>1.0369927504038099</v>
      </c>
      <c r="G29" s="51">
        <v>1.02922567770325</v>
      </c>
      <c r="H29" s="49">
        <v>1.0115137041676301</v>
      </c>
      <c r="I29" s="50">
        <v>1.0758354668632699</v>
      </c>
      <c r="J29" s="52">
        <v>1.08716022105275</v>
      </c>
    </row>
    <row r="30" spans="2:10" x14ac:dyDescent="0.25">
      <c r="B30" s="116"/>
      <c r="C30" s="119"/>
      <c r="D30" s="18" t="s">
        <v>8</v>
      </c>
      <c r="E30" s="49">
        <v>1.1070731401042599</v>
      </c>
      <c r="F30" s="50">
        <v>1.04502066048154</v>
      </c>
      <c r="G30" s="51">
        <v>1.04109085841918</v>
      </c>
      <c r="H30" s="49">
        <v>1.0111765732856199</v>
      </c>
      <c r="I30" s="50">
        <v>1.07300333860827</v>
      </c>
      <c r="J30" s="52">
        <v>1.0820364249943699</v>
      </c>
    </row>
    <row r="31" spans="2:10" x14ac:dyDescent="0.25">
      <c r="B31" s="116"/>
      <c r="C31" s="119"/>
      <c r="D31" s="18" t="s">
        <v>9</v>
      </c>
      <c r="E31" s="49">
        <v>1.1096079676991999</v>
      </c>
      <c r="F31" s="50">
        <v>1.05243481293509</v>
      </c>
      <c r="G31" s="51">
        <v>1.0521146309326601</v>
      </c>
      <c r="H31" s="49">
        <v>1.0111254472831701</v>
      </c>
      <c r="I31" s="50">
        <v>1.0706406775719699</v>
      </c>
      <c r="J31" s="52">
        <v>1.07750189310698</v>
      </c>
    </row>
    <row r="32" spans="2:10" x14ac:dyDescent="0.25">
      <c r="B32" s="116"/>
      <c r="C32" s="119"/>
      <c r="D32" s="18" t="s">
        <v>10</v>
      </c>
      <c r="E32" s="49">
        <v>1.11138477351111</v>
      </c>
      <c r="F32" s="50">
        <v>1.0596786220190899</v>
      </c>
      <c r="G32" s="51">
        <v>1.06290257329464</v>
      </c>
      <c r="H32" s="49">
        <v>1.0114287271559399</v>
      </c>
      <c r="I32" s="50">
        <v>1.0687424623670201</v>
      </c>
      <c r="J32" s="52">
        <v>1.0734209225796301</v>
      </c>
    </row>
    <row r="33" spans="2:10" x14ac:dyDescent="0.25">
      <c r="B33" s="116"/>
      <c r="C33" s="119"/>
      <c r="D33" s="18" t="s">
        <v>11</v>
      </c>
      <c r="E33" s="49">
        <v>1.11220005013082</v>
      </c>
      <c r="F33" s="50">
        <v>1.06704958948676</v>
      </c>
      <c r="G33" s="51">
        <v>1.0738946243332099</v>
      </c>
      <c r="H33" s="49">
        <v>1.01221713476446</v>
      </c>
      <c r="I33" s="50">
        <v>1.0674023375342301</v>
      </c>
      <c r="J33" s="52">
        <v>1.0697715050991301</v>
      </c>
    </row>
    <row r="34" spans="2:10" x14ac:dyDescent="0.25">
      <c r="B34" s="116"/>
      <c r="C34" s="119"/>
      <c r="D34" s="18" t="s">
        <v>12</v>
      </c>
      <c r="E34" s="49">
        <v>1.11146028990742</v>
      </c>
      <c r="F34" s="50">
        <v>1.07382584726383</v>
      </c>
      <c r="G34" s="51">
        <v>1.08454521123533</v>
      </c>
      <c r="H34" s="49">
        <v>1.0138211205874601</v>
      </c>
      <c r="I34" s="50">
        <v>1.0673121842779001</v>
      </c>
      <c r="J34" s="52">
        <v>1.0672036424529401</v>
      </c>
    </row>
    <row r="35" spans="2:10" x14ac:dyDescent="0.25">
      <c r="B35" s="116"/>
      <c r="C35" s="119"/>
      <c r="D35" s="18" t="s">
        <v>13</v>
      </c>
      <c r="E35" s="49">
        <v>1.1075754500585799</v>
      </c>
      <c r="F35" s="50">
        <v>1.0786482053114399</v>
      </c>
      <c r="G35" s="51">
        <v>1.09328032538232</v>
      </c>
      <c r="H35" s="49">
        <v>1.01709528911559</v>
      </c>
      <c r="I35" s="50">
        <v>1.0696494022159999</v>
      </c>
      <c r="J35" s="52">
        <v>1.0668489675061099</v>
      </c>
    </row>
    <row r="36" spans="2:10" x14ac:dyDescent="0.25">
      <c r="B36" s="116"/>
      <c r="C36" s="119"/>
      <c r="D36" s="18" t="s">
        <v>14</v>
      </c>
      <c r="E36" s="49">
        <v>1.09582724404042</v>
      </c>
      <c r="F36" s="50">
        <v>1.07936087316742</v>
      </c>
      <c r="G36" s="51">
        <v>1.0977119611499799</v>
      </c>
      <c r="H36" s="49">
        <v>1.02450227721819</v>
      </c>
      <c r="I36" s="50">
        <v>1.0772858480922101</v>
      </c>
      <c r="J36" s="52">
        <v>1.0715207109043601</v>
      </c>
    </row>
    <row r="37" spans="2:10" ht="15.75" thickBot="1" x14ac:dyDescent="0.3">
      <c r="B37" s="116"/>
      <c r="C37" s="119"/>
      <c r="D37" s="21" t="s">
        <v>4</v>
      </c>
      <c r="E37" s="53">
        <v>1.0626368965419</v>
      </c>
      <c r="F37" s="54">
        <v>1.0683955786260499</v>
      </c>
      <c r="G37" s="55">
        <v>1.0880492408537501</v>
      </c>
      <c r="H37" s="53">
        <v>1.04389968139878</v>
      </c>
      <c r="I37" s="54">
        <v>1.0997421103353899</v>
      </c>
      <c r="J37" s="56">
        <v>1.09109369849128</v>
      </c>
    </row>
    <row r="38" spans="2:10" x14ac:dyDescent="0.25">
      <c r="B38" s="115" t="s">
        <v>31</v>
      </c>
      <c r="C38" s="118" t="s">
        <v>21</v>
      </c>
      <c r="D38" s="19" t="s">
        <v>5</v>
      </c>
      <c r="E38" s="45">
        <v>1.0687318980500999</v>
      </c>
      <c r="F38" s="46">
        <v>1.05245404495572</v>
      </c>
      <c r="G38" s="47">
        <v>1.03750811470036</v>
      </c>
      <c r="H38" s="45">
        <v>1.0352145561208399</v>
      </c>
      <c r="I38" s="46">
        <v>1.02699847405054</v>
      </c>
      <c r="J38" s="48">
        <v>1.01783569557983</v>
      </c>
    </row>
    <row r="39" spans="2:10" x14ac:dyDescent="0.25">
      <c r="B39" s="116"/>
      <c r="C39" s="119"/>
      <c r="D39" s="18" t="s">
        <v>6</v>
      </c>
      <c r="E39" s="49">
        <v>1.2621554488073199</v>
      </c>
      <c r="F39" s="50">
        <v>1.23617346759921</v>
      </c>
      <c r="G39" s="51">
        <v>1.17573660366483</v>
      </c>
      <c r="H39" s="49">
        <v>1.14587696193805</v>
      </c>
      <c r="I39" s="50">
        <v>1.1381654047023499</v>
      </c>
      <c r="J39" s="52">
        <v>1.09769026190609</v>
      </c>
    </row>
    <row r="40" spans="2:10" x14ac:dyDescent="0.25">
      <c r="B40" s="116"/>
      <c r="C40" s="119"/>
      <c r="D40" s="18" t="s">
        <v>7</v>
      </c>
      <c r="E40" s="49">
        <v>1.26689926605008</v>
      </c>
      <c r="F40" s="50">
        <v>1.24559671543623</v>
      </c>
      <c r="G40" s="51">
        <v>1.1888011458858301</v>
      </c>
      <c r="H40" s="49">
        <v>1.14746317591084</v>
      </c>
      <c r="I40" s="50">
        <v>1.14246137868085</v>
      </c>
      <c r="J40" s="52">
        <v>1.10440533945685</v>
      </c>
    </row>
    <row r="41" spans="2:10" x14ac:dyDescent="0.25">
      <c r="B41" s="116"/>
      <c r="C41" s="119"/>
      <c r="D41" s="18" t="s">
        <v>8</v>
      </c>
      <c r="E41" s="49">
        <v>1.2714417816635799</v>
      </c>
      <c r="F41" s="50">
        <v>1.2546715125657899</v>
      </c>
      <c r="G41" s="51">
        <v>1.20114107551456</v>
      </c>
      <c r="H41" s="49">
        <v>1.14886383419189</v>
      </c>
      <c r="I41" s="50">
        <v>1.14652640996154</v>
      </c>
      <c r="J41" s="52">
        <v>1.1105331087838199</v>
      </c>
    </row>
    <row r="42" spans="2:10" x14ac:dyDescent="0.25">
      <c r="B42" s="116"/>
      <c r="C42" s="119"/>
      <c r="D42" s="18" t="s">
        <v>9</v>
      </c>
      <c r="E42" s="49">
        <v>1.2752682423787101</v>
      </c>
      <c r="F42" s="50">
        <v>1.2631425057546199</v>
      </c>
      <c r="G42" s="51">
        <v>1.21265054393351</v>
      </c>
      <c r="H42" s="49">
        <v>1.1499946613537999</v>
      </c>
      <c r="I42" s="50">
        <v>1.1501565137399901</v>
      </c>
      <c r="J42" s="52">
        <v>1.1160674970929101</v>
      </c>
    </row>
    <row r="43" spans="2:10" x14ac:dyDescent="0.25">
      <c r="B43" s="116"/>
      <c r="C43" s="119"/>
      <c r="D43" s="18" t="s">
        <v>10</v>
      </c>
      <c r="E43" s="49">
        <v>1.2784515224808799</v>
      </c>
      <c r="F43" s="50">
        <v>1.2715737201281601</v>
      </c>
      <c r="G43" s="51">
        <v>1.2240138526728299</v>
      </c>
      <c r="H43" s="49">
        <v>1.15091083146234</v>
      </c>
      <c r="I43" s="50">
        <v>1.1535171632091199</v>
      </c>
      <c r="J43" s="52">
        <v>1.1212842556970899</v>
      </c>
    </row>
    <row r="44" spans="2:10" x14ac:dyDescent="0.25">
      <c r="B44" s="116"/>
      <c r="C44" s="119"/>
      <c r="D44" s="18" t="s">
        <v>11</v>
      </c>
      <c r="E44" s="49">
        <v>1.2809094645583701</v>
      </c>
      <c r="F44" s="50">
        <v>1.28039161015821</v>
      </c>
      <c r="G44" s="51">
        <v>1.2357587777083401</v>
      </c>
      <c r="H44" s="49">
        <v>1.1516095738789101</v>
      </c>
      <c r="I44" s="50">
        <v>1.1566864863745401</v>
      </c>
      <c r="J44" s="52">
        <v>1.1263504507922799</v>
      </c>
    </row>
    <row r="45" spans="2:10" x14ac:dyDescent="0.25">
      <c r="B45" s="116"/>
      <c r="C45" s="119"/>
      <c r="D45" s="18" t="s">
        <v>12</v>
      </c>
      <c r="E45" s="49">
        <v>1.28224322233946</v>
      </c>
      <c r="F45" s="50">
        <v>1.2892169794441399</v>
      </c>
      <c r="G45" s="51">
        <v>1.24764391263536</v>
      </c>
      <c r="H45" s="49">
        <v>1.15197395410897</v>
      </c>
      <c r="I45" s="50">
        <v>1.15933835638131</v>
      </c>
      <c r="J45" s="52">
        <v>1.13105912978315</v>
      </c>
    </row>
    <row r="46" spans="2:10" x14ac:dyDescent="0.25">
      <c r="B46" s="116"/>
      <c r="C46" s="119"/>
      <c r="D46" s="18" t="s">
        <v>13</v>
      </c>
      <c r="E46" s="49">
        <v>1.28127572440441</v>
      </c>
      <c r="F46" s="50">
        <v>1.2973896251649399</v>
      </c>
      <c r="G46" s="51">
        <v>1.25875210376443</v>
      </c>
      <c r="H46" s="49">
        <v>1.1516094125360801</v>
      </c>
      <c r="I46" s="50">
        <v>1.1610154744829499</v>
      </c>
      <c r="J46" s="52">
        <v>1.1350021449952801</v>
      </c>
    </row>
    <row r="47" spans="2:10" x14ac:dyDescent="0.25">
      <c r="B47" s="116"/>
      <c r="C47" s="119"/>
      <c r="D47" s="18" t="s">
        <v>14</v>
      </c>
      <c r="E47" s="49">
        <v>1.27443216046774</v>
      </c>
      <c r="F47" s="50">
        <v>1.30439133845991</v>
      </c>
      <c r="G47" s="51">
        <v>1.2680983108850501</v>
      </c>
      <c r="H47" s="49">
        <v>1.14929806321974</v>
      </c>
      <c r="I47" s="50">
        <v>1.1606746918897299</v>
      </c>
      <c r="J47" s="52">
        <v>1.1369543115168499</v>
      </c>
    </row>
    <row r="48" spans="2:10" ht="15.75" thickBot="1" x14ac:dyDescent="0.3">
      <c r="B48" s="117"/>
      <c r="C48" s="120"/>
      <c r="D48" s="20" t="s">
        <v>4</v>
      </c>
      <c r="E48" s="57">
        <v>1.2522212035439</v>
      </c>
      <c r="F48" s="58">
        <v>1.3088775965769499</v>
      </c>
      <c r="G48" s="59">
        <v>1.2716012737978699</v>
      </c>
      <c r="H48" s="57">
        <v>1.1413267040405299</v>
      </c>
      <c r="I48" s="58">
        <v>1.1550677313789699</v>
      </c>
      <c r="J48" s="60">
        <v>1.1329055268908701</v>
      </c>
    </row>
  </sheetData>
  <mergeCells count="13">
    <mergeCell ref="B3:B4"/>
    <mergeCell ref="C3:C4"/>
    <mergeCell ref="D3:D4"/>
    <mergeCell ref="E3:G3"/>
    <mergeCell ref="H3:J3"/>
    <mergeCell ref="B38:B48"/>
    <mergeCell ref="C38:C48"/>
    <mergeCell ref="B5:B15"/>
    <mergeCell ref="C5:C15"/>
    <mergeCell ref="B16:B26"/>
    <mergeCell ref="C16:C26"/>
    <mergeCell ref="B27:B37"/>
    <mergeCell ref="C27:C37"/>
  </mergeCells>
  <conditionalFormatting sqref="E5:E15">
    <cfRule type="cellIs" dxfId="23" priority="24" operator="greaterThan">
      <formula>1.2</formula>
    </cfRule>
  </conditionalFormatting>
  <conditionalFormatting sqref="E16:E26">
    <cfRule type="cellIs" dxfId="22" priority="23" operator="greaterThan">
      <formula>1.2</formula>
    </cfRule>
  </conditionalFormatting>
  <conditionalFormatting sqref="E27:E37">
    <cfRule type="cellIs" dxfId="21" priority="22" operator="greaterThan">
      <formula>1.2</formula>
    </cfRule>
  </conditionalFormatting>
  <conditionalFormatting sqref="E38:E48">
    <cfRule type="cellIs" dxfId="20" priority="21" operator="greaterThan">
      <formula>1.2</formula>
    </cfRule>
  </conditionalFormatting>
  <conditionalFormatting sqref="H5:H15">
    <cfRule type="cellIs" dxfId="19" priority="20" operator="greaterThan">
      <formula>1.2</formula>
    </cfRule>
  </conditionalFormatting>
  <conditionalFormatting sqref="H16:H26">
    <cfRule type="cellIs" dxfId="18" priority="19" operator="greaterThan">
      <formula>1.2</formula>
    </cfRule>
  </conditionalFormatting>
  <conditionalFormatting sqref="H27:H37">
    <cfRule type="cellIs" dxfId="17" priority="18" operator="greaterThan">
      <formula>1.2</formula>
    </cfRule>
  </conditionalFormatting>
  <conditionalFormatting sqref="H38:H48">
    <cfRule type="cellIs" dxfId="16" priority="17" operator="greaterThan">
      <formula>1.2</formula>
    </cfRule>
  </conditionalFormatting>
  <conditionalFormatting sqref="F5:F15">
    <cfRule type="cellIs" dxfId="15" priority="16" operator="greaterThan">
      <formula>1.2</formula>
    </cfRule>
  </conditionalFormatting>
  <conditionalFormatting sqref="F16:F26">
    <cfRule type="cellIs" dxfId="14" priority="15" operator="greaterThan">
      <formula>1.2</formula>
    </cfRule>
  </conditionalFormatting>
  <conditionalFormatting sqref="F27:F37">
    <cfRule type="cellIs" dxfId="13" priority="14" operator="greaterThan">
      <formula>1.2</formula>
    </cfRule>
  </conditionalFormatting>
  <conditionalFormatting sqref="F38:F48">
    <cfRule type="cellIs" dxfId="12" priority="13" operator="greaterThan">
      <formula>1.2</formula>
    </cfRule>
  </conditionalFormatting>
  <conditionalFormatting sqref="I5:I15">
    <cfRule type="cellIs" dxfId="11" priority="12" operator="greaterThan">
      <formula>1.2</formula>
    </cfRule>
  </conditionalFormatting>
  <conditionalFormatting sqref="I16:I26">
    <cfRule type="cellIs" dxfId="10" priority="11" operator="greaterThan">
      <formula>1.2</formula>
    </cfRule>
  </conditionalFormatting>
  <conditionalFormatting sqref="I27:I37">
    <cfRule type="cellIs" dxfId="9" priority="10" operator="greaterThan">
      <formula>1.2</formula>
    </cfRule>
  </conditionalFormatting>
  <conditionalFormatting sqref="I38:I48">
    <cfRule type="cellIs" dxfId="8" priority="9" operator="greaterThan">
      <formula>1.2</formula>
    </cfRule>
  </conditionalFormatting>
  <conditionalFormatting sqref="G5:G15">
    <cfRule type="cellIs" dxfId="7" priority="8" operator="greaterThan">
      <formula>1.2</formula>
    </cfRule>
  </conditionalFormatting>
  <conditionalFormatting sqref="G16:G26">
    <cfRule type="cellIs" dxfId="6" priority="7" operator="greaterThan">
      <formula>1.2</formula>
    </cfRule>
  </conditionalFormatting>
  <conditionalFormatting sqref="G27:G37">
    <cfRule type="cellIs" dxfId="5" priority="6" operator="greaterThan">
      <formula>1.2</formula>
    </cfRule>
  </conditionalFormatting>
  <conditionalFormatting sqref="G38:G48">
    <cfRule type="cellIs" dxfId="4" priority="5" operator="greaterThan">
      <formula>1.2</formula>
    </cfRule>
  </conditionalFormatting>
  <conditionalFormatting sqref="J5:J15">
    <cfRule type="cellIs" dxfId="3" priority="4" operator="greaterThan">
      <formula>1.2</formula>
    </cfRule>
  </conditionalFormatting>
  <conditionalFormatting sqref="J16:J26">
    <cfRule type="cellIs" dxfId="2" priority="3" operator="greaterThan">
      <formula>1.2</formula>
    </cfRule>
  </conditionalFormatting>
  <conditionalFormatting sqref="J27:J37">
    <cfRule type="cellIs" dxfId="1" priority="2" operator="greaterThan">
      <formula>1.2</formula>
    </cfRule>
  </conditionalFormatting>
  <conditionalFormatting sqref="J38:J48">
    <cfRule type="cellIs" dxfId="0" priority="1" operator="greaterThan">
      <formula>1.2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"/>
  <dimension ref="B3:K48"/>
  <sheetViews>
    <sheetView zoomScale="70" zoomScaleNormal="70" workbookViewId="0">
      <selection activeCell="M8" sqref="M8"/>
    </sheetView>
  </sheetViews>
  <sheetFormatPr baseColWidth="10" defaultRowHeight="15" x14ac:dyDescent="0.25"/>
  <cols>
    <col min="1" max="1" width="10.5703125" customWidth="1"/>
    <col min="2" max="2" width="13.7109375" customWidth="1"/>
    <col min="3" max="3" width="10.28515625" customWidth="1"/>
    <col min="5" max="10" width="22.7109375" customWidth="1"/>
  </cols>
  <sheetData>
    <row r="3" spans="2:11" x14ac:dyDescent="0.25">
      <c r="B3" s="121" t="s">
        <v>2</v>
      </c>
      <c r="C3" s="121" t="s">
        <v>16</v>
      </c>
      <c r="D3" s="121" t="s">
        <v>3</v>
      </c>
      <c r="E3" s="111" t="s">
        <v>65</v>
      </c>
      <c r="F3" s="111"/>
      <c r="G3" s="111"/>
      <c r="H3" s="111" t="s">
        <v>66</v>
      </c>
      <c r="I3" s="111"/>
      <c r="J3" s="111"/>
    </row>
    <row r="4" spans="2:11" ht="15.75" thickBot="1" x14ac:dyDescent="0.3">
      <c r="B4" s="122"/>
      <c r="C4" s="122"/>
      <c r="D4" s="122"/>
      <c r="E4" s="27" t="s">
        <v>67</v>
      </c>
      <c r="F4" s="27" t="s">
        <v>68</v>
      </c>
      <c r="G4" s="27" t="s">
        <v>69</v>
      </c>
      <c r="H4" s="27" t="s">
        <v>67</v>
      </c>
      <c r="I4" s="27" t="s">
        <v>68</v>
      </c>
      <c r="J4" s="27" t="s">
        <v>69</v>
      </c>
    </row>
    <row r="5" spans="2:11" x14ac:dyDescent="0.25">
      <c r="B5" s="115" t="s">
        <v>17</v>
      </c>
      <c r="C5" s="118" t="s">
        <v>18</v>
      </c>
      <c r="D5" s="19" t="s">
        <v>5</v>
      </c>
      <c r="E5" s="29">
        <v>3.80047246485649E-4</v>
      </c>
      <c r="F5" s="30">
        <v>3.8300358398619499E-4</v>
      </c>
      <c r="G5" s="31">
        <v>3.4456134750587998E-4</v>
      </c>
      <c r="H5" s="29">
        <v>3.0144681736320498E-4</v>
      </c>
      <c r="I5" s="30">
        <v>2.70062470654183E-4</v>
      </c>
      <c r="J5" s="32">
        <v>2.60209201266223E-4</v>
      </c>
    </row>
    <row r="6" spans="2:11" x14ac:dyDescent="0.25">
      <c r="B6" s="116"/>
      <c r="C6" s="119"/>
      <c r="D6" s="18" t="s">
        <v>6</v>
      </c>
      <c r="E6" s="33">
        <v>3.1934269985696499E-4</v>
      </c>
      <c r="F6" s="34">
        <v>2.9308493871906601E-4</v>
      </c>
      <c r="G6" s="35">
        <v>2.88902105712214E-4</v>
      </c>
      <c r="H6" s="33">
        <v>2.9249373518612401E-4</v>
      </c>
      <c r="I6" s="34">
        <v>2.65192058447326E-4</v>
      </c>
      <c r="J6" s="36">
        <v>2.5162653136409603E-4</v>
      </c>
      <c r="K6" s="28"/>
    </row>
    <row r="7" spans="2:11" x14ac:dyDescent="0.25">
      <c r="B7" s="116"/>
      <c r="C7" s="119"/>
      <c r="D7" s="18" t="s">
        <v>7</v>
      </c>
      <c r="E7" s="33">
        <v>4.6725825709162199E-4</v>
      </c>
      <c r="F7" s="34">
        <v>4.4697240977473402E-4</v>
      </c>
      <c r="G7" s="35">
        <v>4.12394436964304E-4</v>
      </c>
      <c r="H7" s="33">
        <v>4.50220913511842E-4</v>
      </c>
      <c r="I7" s="34">
        <v>4.2520548079756702E-4</v>
      </c>
      <c r="J7" s="36">
        <v>4.12870374800422E-4</v>
      </c>
    </row>
    <row r="8" spans="2:11" x14ac:dyDescent="0.25">
      <c r="B8" s="116"/>
      <c r="C8" s="119"/>
      <c r="D8" s="18" t="s">
        <v>8</v>
      </c>
      <c r="E8" s="33">
        <v>6.0065784725081995E-4</v>
      </c>
      <c r="F8" s="34">
        <v>5.8545815418583995E-4</v>
      </c>
      <c r="G8" s="35">
        <v>5.6575876593640705E-4</v>
      </c>
      <c r="H8" s="33">
        <v>5.9659885939995305E-4</v>
      </c>
      <c r="I8" s="34">
        <v>5.7475219568690601E-4</v>
      </c>
      <c r="J8" s="36">
        <v>5.6471327075354805E-4</v>
      </c>
    </row>
    <row r="9" spans="2:11" x14ac:dyDescent="0.25">
      <c r="B9" s="116"/>
      <c r="C9" s="119"/>
      <c r="D9" s="18" t="s">
        <v>9</v>
      </c>
      <c r="E9" s="33">
        <v>7.1288751047376996E-4</v>
      </c>
      <c r="F9" s="34">
        <v>7.0261666268476696E-4</v>
      </c>
      <c r="G9" s="35">
        <v>6.9679575649527403E-4</v>
      </c>
      <c r="H9" s="33">
        <v>7.2102989005886503E-4</v>
      </c>
      <c r="I9" s="34">
        <v>7.0259606696182703E-4</v>
      </c>
      <c r="J9" s="36">
        <v>6.9481923956387997E-4</v>
      </c>
    </row>
    <row r="10" spans="2:11" x14ac:dyDescent="0.25">
      <c r="B10" s="116"/>
      <c r="C10" s="119"/>
      <c r="D10" s="18" t="s">
        <v>10</v>
      </c>
      <c r="E10" s="33">
        <v>8.0546955812029798E-4</v>
      </c>
      <c r="F10" s="34">
        <v>7.9922112071589596E-4</v>
      </c>
      <c r="G10" s="35">
        <v>8.0716033783490601E-4</v>
      </c>
      <c r="H10" s="33">
        <v>8.2546314858286305E-4</v>
      </c>
      <c r="I10" s="34">
        <v>8.0963884093218804E-4</v>
      </c>
      <c r="J10" s="36">
        <v>8.0453153932631704E-4</v>
      </c>
    </row>
    <row r="11" spans="2:11" x14ac:dyDescent="0.25">
      <c r="B11" s="116"/>
      <c r="C11" s="119"/>
      <c r="D11" s="18" t="s">
        <v>11</v>
      </c>
      <c r="E11" s="33">
        <v>8.7974432481817096E-4</v>
      </c>
      <c r="F11" s="34">
        <v>8.7270411009491297E-4</v>
      </c>
      <c r="G11" s="35">
        <v>8.9824072285145395E-4</v>
      </c>
      <c r="H11" s="33">
        <v>9.1211469841823904E-4</v>
      </c>
      <c r="I11" s="34">
        <v>8.91660894725322E-4</v>
      </c>
      <c r="J11" s="36">
        <v>8.94393631702251E-4</v>
      </c>
    </row>
    <row r="12" spans="2:11" x14ac:dyDescent="0.25">
      <c r="B12" s="116"/>
      <c r="C12" s="119"/>
      <c r="D12" s="18" t="s">
        <v>12</v>
      </c>
      <c r="E12" s="33">
        <v>9.3542470737912199E-4</v>
      </c>
      <c r="F12" s="34">
        <v>9.2659394544483502E-4</v>
      </c>
      <c r="G12" s="35">
        <v>9.7160216531185395E-4</v>
      </c>
      <c r="H12" s="33">
        <v>9.8146074069906499E-4</v>
      </c>
      <c r="I12" s="34">
        <v>9.5582346203770601E-4</v>
      </c>
      <c r="J12" s="36">
        <v>9.6715808354508998E-4</v>
      </c>
    </row>
    <row r="13" spans="2:11" x14ac:dyDescent="0.25">
      <c r="B13" s="116"/>
      <c r="C13" s="119"/>
      <c r="D13" s="18" t="s">
        <v>13</v>
      </c>
      <c r="E13" s="33">
        <v>9.6886379985662498E-4</v>
      </c>
      <c r="F13" s="34">
        <v>9.6304493569586696E-4</v>
      </c>
      <c r="G13" s="35">
        <v>1.0253090097566101E-3</v>
      </c>
      <c r="H13" s="33">
        <v>1.0297957320403799E-3</v>
      </c>
      <c r="I13" s="34">
        <v>1.0068544674061901E-3</v>
      </c>
      <c r="J13" s="36">
        <v>1.02220542515514E-3</v>
      </c>
    </row>
    <row r="14" spans="2:11" x14ac:dyDescent="0.25">
      <c r="B14" s="116"/>
      <c r="C14" s="119"/>
      <c r="D14" s="18" t="s">
        <v>14</v>
      </c>
      <c r="E14" s="33">
        <v>9.6584353821229903E-4</v>
      </c>
      <c r="F14" s="34">
        <v>9.6801099393643505E-4</v>
      </c>
      <c r="G14" s="35">
        <v>1.04086259268613E-3</v>
      </c>
      <c r="H14" s="33">
        <v>1.0388753774048601E-3</v>
      </c>
      <c r="I14" s="34">
        <v>1.0231393187900299E-3</v>
      </c>
      <c r="J14" s="36">
        <v>1.03883292085039E-3</v>
      </c>
    </row>
    <row r="15" spans="2:11" ht="15.75" thickBot="1" x14ac:dyDescent="0.3">
      <c r="B15" s="116"/>
      <c r="C15" s="119"/>
      <c r="D15" s="21" t="s">
        <v>4</v>
      </c>
      <c r="E15" s="37">
        <v>7.2486934016209603E-4</v>
      </c>
      <c r="F15" s="38">
        <v>7.4196086714739399E-4</v>
      </c>
      <c r="G15" s="39">
        <v>7.8306807832234703E-4</v>
      </c>
      <c r="H15" s="37">
        <v>7.8320825249177301E-4</v>
      </c>
      <c r="I15" s="38">
        <v>7.8236761324117503E-4</v>
      </c>
      <c r="J15" s="40">
        <v>7.8287492538338496E-4</v>
      </c>
    </row>
    <row r="16" spans="2:11" x14ac:dyDescent="0.25">
      <c r="B16" s="115" t="s">
        <v>17</v>
      </c>
      <c r="C16" s="118" t="s">
        <v>19</v>
      </c>
      <c r="D16" s="19" t="s">
        <v>5</v>
      </c>
      <c r="E16" s="29">
        <v>3.7069421312725198E-4</v>
      </c>
      <c r="F16" s="30">
        <v>3.7466494718556601E-4</v>
      </c>
      <c r="G16" s="31">
        <v>3.6449823495054903E-4</v>
      </c>
      <c r="H16" s="29">
        <v>2.9447092645812199E-4</v>
      </c>
      <c r="I16" s="30">
        <v>2.7384910796737701E-4</v>
      </c>
      <c r="J16" s="32">
        <v>2.7230421804132801E-4</v>
      </c>
    </row>
    <row r="17" spans="2:10" x14ac:dyDescent="0.25">
      <c r="B17" s="116"/>
      <c r="C17" s="119"/>
      <c r="D17" s="18" t="s">
        <v>6</v>
      </c>
      <c r="E17" s="33">
        <v>3.20552471737512E-4</v>
      </c>
      <c r="F17" s="34">
        <v>3.0844611310113098E-4</v>
      </c>
      <c r="G17" s="35">
        <v>3.17324025622901E-4</v>
      </c>
      <c r="H17" s="33">
        <v>2.9749006802677798E-4</v>
      </c>
      <c r="I17" s="34">
        <v>2.7516341283782201E-4</v>
      </c>
      <c r="J17" s="36">
        <v>2.80754842914471E-4</v>
      </c>
    </row>
    <row r="18" spans="2:10" x14ac:dyDescent="0.25">
      <c r="B18" s="116"/>
      <c r="C18" s="119"/>
      <c r="D18" s="18" t="s">
        <v>7</v>
      </c>
      <c r="E18" s="33">
        <v>4.6723622027066499E-4</v>
      </c>
      <c r="F18" s="34">
        <v>4.5342836969485499E-4</v>
      </c>
      <c r="G18" s="35">
        <v>4.4262883131223501E-4</v>
      </c>
      <c r="H18" s="33">
        <v>4.5746820230585999E-4</v>
      </c>
      <c r="I18" s="34">
        <v>4.3482896735252898E-4</v>
      </c>
      <c r="J18" s="36">
        <v>4.3564458260483097E-4</v>
      </c>
    </row>
    <row r="19" spans="2:10" x14ac:dyDescent="0.25">
      <c r="B19" s="116"/>
      <c r="C19" s="119"/>
      <c r="D19" s="18" t="s">
        <v>8</v>
      </c>
      <c r="E19" s="33">
        <v>5.99617101218242E-4</v>
      </c>
      <c r="F19" s="34">
        <v>5.7914390832226198E-4</v>
      </c>
      <c r="G19" s="35">
        <v>5.5028726640490497E-4</v>
      </c>
      <c r="H19" s="33">
        <v>6.0672140560491701E-4</v>
      </c>
      <c r="I19" s="34">
        <v>5.8289443135675504E-4</v>
      </c>
      <c r="J19" s="36">
        <v>5.7912172293959495E-4</v>
      </c>
    </row>
    <row r="20" spans="2:10" x14ac:dyDescent="0.25">
      <c r="B20" s="116"/>
      <c r="C20" s="119"/>
      <c r="D20" s="18" t="s">
        <v>9</v>
      </c>
      <c r="E20" s="33">
        <v>7.1061308848036899E-4</v>
      </c>
      <c r="F20" s="34">
        <v>6.8470383264126501E-4</v>
      </c>
      <c r="G20" s="35">
        <v>6.4015562798291903E-4</v>
      </c>
      <c r="H20" s="33">
        <v>7.3371941011475897E-4</v>
      </c>
      <c r="I20" s="34">
        <v>7.0928320183067197E-4</v>
      </c>
      <c r="J20" s="36">
        <v>7.0128153505520196E-4</v>
      </c>
    </row>
    <row r="21" spans="2:10" x14ac:dyDescent="0.25">
      <c r="B21" s="116"/>
      <c r="C21" s="119"/>
      <c r="D21" s="18" t="s">
        <v>10</v>
      </c>
      <c r="E21" s="33">
        <v>8.0196752019454597E-4</v>
      </c>
      <c r="F21" s="34">
        <v>7.7040689522739304E-4</v>
      </c>
      <c r="G21" s="35">
        <v>7.1195704296669199E-4</v>
      </c>
      <c r="H21" s="33">
        <v>8.4050606679451001E-4</v>
      </c>
      <c r="I21" s="34">
        <v>8.1455886672320303E-4</v>
      </c>
      <c r="J21" s="36">
        <v>8.02497842518744E-4</v>
      </c>
    </row>
    <row r="22" spans="2:10" x14ac:dyDescent="0.25">
      <c r="B22" s="116"/>
      <c r="C22" s="119"/>
      <c r="D22" s="18" t="s">
        <v>11</v>
      </c>
      <c r="E22" s="33">
        <v>8.7514481525257498E-4</v>
      </c>
      <c r="F22" s="34">
        <v>8.3090545923471899E-4</v>
      </c>
      <c r="G22" s="35">
        <v>7.9029148975945504E-4</v>
      </c>
      <c r="H22" s="33">
        <v>9.29404638735564E-4</v>
      </c>
      <c r="I22" s="34">
        <v>8.9178561167820199E-4</v>
      </c>
      <c r="J22" s="36">
        <v>8.7216921801314704E-4</v>
      </c>
    </row>
    <row r="23" spans="2:10" x14ac:dyDescent="0.25">
      <c r="B23" s="116"/>
      <c r="C23" s="119"/>
      <c r="D23" s="18" t="s">
        <v>12</v>
      </c>
      <c r="E23" s="33">
        <v>9.3001179763504505E-4</v>
      </c>
      <c r="F23" s="34">
        <v>8.7055003833774204E-4</v>
      </c>
      <c r="G23" s="35">
        <v>8.5518593709007498E-4</v>
      </c>
      <c r="H23" s="33">
        <v>1.00097226097355E-3</v>
      </c>
      <c r="I23" s="34">
        <v>9.5082984449380099E-4</v>
      </c>
      <c r="J23" s="36">
        <v>9.2365653089868896E-4</v>
      </c>
    </row>
    <row r="24" spans="2:10" x14ac:dyDescent="0.25">
      <c r="B24" s="116"/>
      <c r="C24" s="119"/>
      <c r="D24" s="18" t="s">
        <v>13</v>
      </c>
      <c r="E24" s="33">
        <v>9.6324662583953304E-4</v>
      </c>
      <c r="F24" s="34">
        <v>8.9588043386737795E-4</v>
      </c>
      <c r="G24" s="35">
        <v>9.0272433394041496E-4</v>
      </c>
      <c r="H24" s="33">
        <v>1.0514716367962E-3</v>
      </c>
      <c r="I24" s="34">
        <v>9.9912073616430903E-4</v>
      </c>
      <c r="J24" s="36">
        <v>9.6850425522900397E-4</v>
      </c>
    </row>
    <row r="25" spans="2:10" x14ac:dyDescent="0.25">
      <c r="B25" s="116"/>
      <c r="C25" s="119"/>
      <c r="D25" s="18" t="s">
        <v>14</v>
      </c>
      <c r="E25" s="33">
        <v>9.6050449783538602E-4</v>
      </c>
      <c r="F25" s="34">
        <v>8.9596093589643002E-4</v>
      </c>
      <c r="G25" s="35">
        <v>9.1665416588746797E-4</v>
      </c>
      <c r="H25" s="33">
        <v>1.06223922740746E-3</v>
      </c>
      <c r="I25" s="34">
        <v>1.01436861391556E-3</v>
      </c>
      <c r="J25" s="36">
        <v>9.834039032800561E-4</v>
      </c>
    </row>
    <row r="26" spans="2:10" ht="15.75" thickBot="1" x14ac:dyDescent="0.3">
      <c r="B26" s="116"/>
      <c r="C26" s="119"/>
      <c r="D26" s="21" t="s">
        <v>4</v>
      </c>
      <c r="E26" s="37">
        <v>7.1832012846562003E-4</v>
      </c>
      <c r="F26" s="38">
        <v>7.0712440540922697E-4</v>
      </c>
      <c r="G26" s="39">
        <v>6.8857597580042297E-4</v>
      </c>
      <c r="H26" s="37">
        <v>8.0218836095594201E-4</v>
      </c>
      <c r="I26" s="38">
        <v>7.8299209374028803E-4</v>
      </c>
      <c r="J26" s="40">
        <v>7.6782055340269195E-4</v>
      </c>
    </row>
    <row r="27" spans="2:10" x14ac:dyDescent="0.25">
      <c r="B27" s="115" t="s">
        <v>17</v>
      </c>
      <c r="C27" s="118" t="s">
        <v>20</v>
      </c>
      <c r="D27" s="19" t="s">
        <v>5</v>
      </c>
      <c r="E27" s="29">
        <v>2.4235908660596899E-4</v>
      </c>
      <c r="F27" s="30">
        <v>4.33216879361883E-4</v>
      </c>
      <c r="G27" s="31">
        <v>5.24836547262959E-4</v>
      </c>
      <c r="H27" s="29">
        <v>1.8039136706014E-4</v>
      </c>
      <c r="I27" s="30">
        <v>3.4168982608112901E-4</v>
      </c>
      <c r="J27" s="32">
        <v>4.4890648761411901E-4</v>
      </c>
    </row>
    <row r="28" spans="2:10" x14ac:dyDescent="0.25">
      <c r="B28" s="116"/>
      <c r="C28" s="119"/>
      <c r="D28" s="18" t="s">
        <v>6</v>
      </c>
      <c r="E28" s="33">
        <v>2.5486560432103398E-4</v>
      </c>
      <c r="F28" s="34">
        <v>3.8686837945759199E-4</v>
      </c>
      <c r="G28" s="35">
        <v>4.7113942216257001E-4</v>
      </c>
      <c r="H28" s="33">
        <v>2.7848394243230499E-4</v>
      </c>
      <c r="I28" s="34">
        <v>3.7670943277671797E-4</v>
      </c>
      <c r="J28" s="36">
        <v>4.37293627245122E-4</v>
      </c>
    </row>
    <row r="29" spans="2:10" x14ac:dyDescent="0.25">
      <c r="B29" s="116"/>
      <c r="C29" s="119"/>
      <c r="D29" s="18" t="s">
        <v>7</v>
      </c>
      <c r="E29" s="33">
        <v>4.0632311308951799E-4</v>
      </c>
      <c r="F29" s="34">
        <v>5.3726043302760099E-4</v>
      </c>
      <c r="G29" s="35">
        <v>6.1604469035393802E-4</v>
      </c>
      <c r="H29" s="33">
        <v>4.4060552835116398E-4</v>
      </c>
      <c r="I29" s="34">
        <v>5.6946379043228904E-4</v>
      </c>
      <c r="J29" s="36">
        <v>6.2694019079166403E-4</v>
      </c>
    </row>
    <row r="30" spans="2:10" x14ac:dyDescent="0.25">
      <c r="B30" s="116"/>
      <c r="C30" s="119"/>
      <c r="D30" s="18" t="s">
        <v>8</v>
      </c>
      <c r="E30" s="33">
        <v>5.5016816792298104E-4</v>
      </c>
      <c r="F30" s="34">
        <v>6.6614316044335598E-4</v>
      </c>
      <c r="G30" s="35">
        <v>7.3763907683364503E-4</v>
      </c>
      <c r="H30" s="33">
        <v>5.9170066315128499E-4</v>
      </c>
      <c r="I30" s="34">
        <v>7.4263208447532898E-4</v>
      </c>
      <c r="J30" s="36">
        <v>7.9671569641361203E-4</v>
      </c>
    </row>
    <row r="31" spans="2:10" x14ac:dyDescent="0.25">
      <c r="B31" s="116"/>
      <c r="C31" s="119"/>
      <c r="D31" s="18" t="s">
        <v>9</v>
      </c>
      <c r="E31" s="33">
        <v>6.7325918662710597E-4</v>
      </c>
      <c r="F31" s="34">
        <v>7.7292755235561803E-4</v>
      </c>
      <c r="G31" s="35">
        <v>8.35965555135164E-4</v>
      </c>
      <c r="H31" s="33">
        <v>7.2098380872792395E-4</v>
      </c>
      <c r="I31" s="34">
        <v>8.8768633362062001E-4</v>
      </c>
      <c r="J31" s="36">
        <v>9.3748307872188201E-4</v>
      </c>
    </row>
    <row r="32" spans="2:10" x14ac:dyDescent="0.25">
      <c r="B32" s="116"/>
      <c r="C32" s="119"/>
      <c r="D32" s="18" t="s">
        <v>10</v>
      </c>
      <c r="E32" s="33">
        <v>7.7697490310012999E-4</v>
      </c>
      <c r="F32" s="34">
        <v>8.8990490124612901E-4</v>
      </c>
      <c r="G32" s="35">
        <v>9.1580862514034395E-4</v>
      </c>
      <c r="H32" s="33">
        <v>8.3028830634016297E-4</v>
      </c>
      <c r="I32" s="34">
        <v>1.00753575911885E-3</v>
      </c>
      <c r="J32" s="36">
        <v>1.0519397317611599E-3</v>
      </c>
    </row>
    <row r="33" spans="2:10" x14ac:dyDescent="0.25">
      <c r="B33" s="116"/>
      <c r="C33" s="119"/>
      <c r="D33" s="18" t="s">
        <v>11</v>
      </c>
      <c r="E33" s="33">
        <v>8.6374736897972296E-4</v>
      </c>
      <c r="F33" s="34">
        <v>9.9189810355048108E-4</v>
      </c>
      <c r="G33" s="35">
        <v>1.02027742381681E-3</v>
      </c>
      <c r="H33" s="33">
        <v>9.2208196844199202E-4</v>
      </c>
      <c r="I33" s="34">
        <v>1.1035270916631599E-3</v>
      </c>
      <c r="J33" s="36">
        <v>1.14067457835161E-3</v>
      </c>
    </row>
    <row r="34" spans="2:10" x14ac:dyDescent="0.25">
      <c r="B34" s="116"/>
      <c r="C34" s="119"/>
      <c r="D34" s="18" t="s">
        <v>12</v>
      </c>
      <c r="E34" s="33">
        <v>9.3423090730441203E-4</v>
      </c>
      <c r="F34" s="34">
        <v>1.0765069171607799E-3</v>
      </c>
      <c r="G34" s="35">
        <v>1.1081544606919801E-3</v>
      </c>
      <c r="H34" s="33">
        <v>9.967968602203111E-4</v>
      </c>
      <c r="I34" s="34">
        <v>1.1796965212076201E-3</v>
      </c>
      <c r="J34" s="36">
        <v>1.2076836263280001E-3</v>
      </c>
    </row>
    <row r="35" spans="2:10" x14ac:dyDescent="0.25">
      <c r="B35" s="116"/>
      <c r="C35" s="119"/>
      <c r="D35" s="18" t="s">
        <v>13</v>
      </c>
      <c r="E35" s="33">
        <v>9.8411326668710599E-4</v>
      </c>
      <c r="F35" s="34">
        <v>1.13592111753064E-3</v>
      </c>
      <c r="G35" s="35">
        <v>1.1701059797350501E-3</v>
      </c>
      <c r="H35" s="33">
        <v>1.0497736291159401E-3</v>
      </c>
      <c r="I35" s="34">
        <v>1.23279766288468E-3</v>
      </c>
      <c r="J35" s="36">
        <v>1.24961229594255E-3</v>
      </c>
    </row>
    <row r="36" spans="2:10" x14ac:dyDescent="0.25">
      <c r="B36" s="116"/>
      <c r="C36" s="119"/>
      <c r="D36" s="18" t="s">
        <v>14</v>
      </c>
      <c r="E36" s="33">
        <v>9.9033795744713697E-4</v>
      </c>
      <c r="F36" s="34">
        <v>1.13594956789369E-3</v>
      </c>
      <c r="G36" s="35">
        <v>1.1711966308064999E-3</v>
      </c>
      <c r="H36" s="33">
        <v>1.0611000306639999E-3</v>
      </c>
      <c r="I36" s="34">
        <v>1.23669986099796E-3</v>
      </c>
      <c r="J36" s="36">
        <v>1.2400629256776E-3</v>
      </c>
    </row>
    <row r="37" spans="2:10" ht="15.75" thickBot="1" x14ac:dyDescent="0.3">
      <c r="B37" s="116"/>
      <c r="C37" s="119"/>
      <c r="D37" s="21" t="s">
        <v>4</v>
      </c>
      <c r="E37" s="37">
        <v>7.08236990036457E-4</v>
      </c>
      <c r="F37" s="38">
        <v>7.8836389987434598E-4</v>
      </c>
      <c r="G37" s="39">
        <v>8.0995253263015999E-4</v>
      </c>
      <c r="H37" s="37">
        <v>7.9635278018844798E-4</v>
      </c>
      <c r="I37" s="38">
        <v>9.1543154699311202E-4</v>
      </c>
      <c r="J37" s="40">
        <v>9.0989095877297204E-4</v>
      </c>
    </row>
    <row r="38" spans="2:10" x14ac:dyDescent="0.25">
      <c r="B38" s="115" t="s">
        <v>17</v>
      </c>
      <c r="C38" s="118" t="s">
        <v>21</v>
      </c>
      <c r="D38" s="19" t="s">
        <v>5</v>
      </c>
      <c r="E38" s="29">
        <v>2.3471902769715101E-4</v>
      </c>
      <c r="F38" s="30">
        <v>3.6863228703291998E-4</v>
      </c>
      <c r="G38" s="31">
        <v>4.60942794330633E-4</v>
      </c>
      <c r="H38" s="29">
        <v>1.7820398662188401E-4</v>
      </c>
      <c r="I38" s="30">
        <v>2.8718810057599899E-4</v>
      </c>
      <c r="J38" s="32">
        <v>3.8749566344095101E-4</v>
      </c>
    </row>
    <row r="39" spans="2:10" x14ac:dyDescent="0.25">
      <c r="B39" s="116"/>
      <c r="C39" s="119"/>
      <c r="D39" s="18" t="s">
        <v>6</v>
      </c>
      <c r="E39" s="33">
        <v>2.9435022257720398E-4</v>
      </c>
      <c r="F39" s="34">
        <v>3.3055199346917601E-4</v>
      </c>
      <c r="G39" s="35">
        <v>4.0661445828416801E-4</v>
      </c>
      <c r="H39" s="33">
        <v>3.0719000279818599E-4</v>
      </c>
      <c r="I39" s="34">
        <v>3.2918016902153498E-4</v>
      </c>
      <c r="J39" s="36">
        <v>3.69081414528232E-4</v>
      </c>
    </row>
    <row r="40" spans="2:10" x14ac:dyDescent="0.25">
      <c r="B40" s="116"/>
      <c r="C40" s="119"/>
      <c r="D40" s="18" t="s">
        <v>7</v>
      </c>
      <c r="E40" s="33">
        <v>4.7926757522366001E-4</v>
      </c>
      <c r="F40" s="34">
        <v>5.4903818779589403E-4</v>
      </c>
      <c r="G40" s="35">
        <v>5.4243989725581904E-4</v>
      </c>
      <c r="H40" s="33">
        <v>4.99304526518304E-4</v>
      </c>
      <c r="I40" s="34">
        <v>5.4033243325807897E-4</v>
      </c>
      <c r="J40" s="36">
        <v>5.3309465457802201E-4</v>
      </c>
    </row>
    <row r="41" spans="2:10" x14ac:dyDescent="0.25">
      <c r="B41" s="116"/>
      <c r="C41" s="119"/>
      <c r="D41" s="18" t="s">
        <v>8</v>
      </c>
      <c r="E41" s="33">
        <v>6.5517978276400399E-4</v>
      </c>
      <c r="F41" s="34">
        <v>7.5513472687436102E-4</v>
      </c>
      <c r="G41" s="35">
        <v>7.4480383917813805E-4</v>
      </c>
      <c r="H41" s="33">
        <v>6.8201586770882201E-4</v>
      </c>
      <c r="I41" s="34">
        <v>7.3966425311770996E-4</v>
      </c>
      <c r="J41" s="36">
        <v>7.2950816440379204E-4</v>
      </c>
    </row>
    <row r="42" spans="2:10" x14ac:dyDescent="0.25">
      <c r="B42" s="116"/>
      <c r="C42" s="119"/>
      <c r="D42" s="18" t="s">
        <v>9</v>
      </c>
      <c r="E42" s="33">
        <v>8.0597124823478402E-4</v>
      </c>
      <c r="F42" s="34">
        <v>9.2978346146804596E-4</v>
      </c>
      <c r="G42" s="35">
        <v>9.1547654042222696E-4</v>
      </c>
      <c r="H42" s="33">
        <v>8.38834162047983E-4</v>
      </c>
      <c r="I42" s="34">
        <v>9.0917652583904498E-4</v>
      </c>
      <c r="J42" s="36">
        <v>8.9596855251814996E-4</v>
      </c>
    </row>
    <row r="43" spans="2:10" x14ac:dyDescent="0.25">
      <c r="B43" s="116"/>
      <c r="C43" s="119"/>
      <c r="D43" s="18" t="s">
        <v>10</v>
      </c>
      <c r="E43" s="33">
        <v>9.33478080525297E-4</v>
      </c>
      <c r="F43" s="34">
        <v>1.07665714983033E-3</v>
      </c>
      <c r="G43" s="35">
        <v>1.05836880699987E-3</v>
      </c>
      <c r="H43" s="33">
        <v>9.7190837204621096E-4</v>
      </c>
      <c r="I43" s="34">
        <v>1.05223360920657E-3</v>
      </c>
      <c r="J43" s="36">
        <v>1.0360635406257499E-3</v>
      </c>
    </row>
    <row r="44" spans="2:10" x14ac:dyDescent="0.25">
      <c r="B44" s="116"/>
      <c r="C44" s="119"/>
      <c r="D44" s="18" t="s">
        <v>11</v>
      </c>
      <c r="E44" s="33">
        <v>1.04079122789236E-3</v>
      </c>
      <c r="F44" s="34">
        <v>1.20155716349539E-3</v>
      </c>
      <c r="G44" s="35">
        <v>1.17928162152612E-3</v>
      </c>
      <c r="H44" s="33">
        <v>1.08455544622362E-3</v>
      </c>
      <c r="I44" s="34">
        <v>1.17404036677201E-3</v>
      </c>
      <c r="J44" s="36">
        <v>1.1549123823423001E-3</v>
      </c>
    </row>
    <row r="45" spans="2:10" x14ac:dyDescent="0.25">
      <c r="B45" s="116"/>
      <c r="C45" s="119"/>
      <c r="D45" s="18" t="s">
        <v>12</v>
      </c>
      <c r="E45" s="33">
        <v>1.12883338797331E-3</v>
      </c>
      <c r="F45" s="34">
        <v>1.3056929269384E-3</v>
      </c>
      <c r="G45" s="35">
        <v>1.28084572150626E-3</v>
      </c>
      <c r="H45" s="33">
        <v>1.1775819517642499E-3</v>
      </c>
      <c r="I45" s="34">
        <v>1.27537510460243E-3</v>
      </c>
      <c r="J45" s="36">
        <v>1.25385121477958E-3</v>
      </c>
    </row>
    <row r="46" spans="2:10" x14ac:dyDescent="0.25">
      <c r="B46" s="116"/>
      <c r="C46" s="119"/>
      <c r="D46" s="18" t="s">
        <v>13</v>
      </c>
      <c r="E46" s="33">
        <v>1.19255778888021E-3</v>
      </c>
      <c r="F46" s="34">
        <v>1.3807775541973899E-3</v>
      </c>
      <c r="G46" s="35">
        <v>1.3538906539459E-3</v>
      </c>
      <c r="H46" s="33">
        <v>1.24442624143933E-3</v>
      </c>
      <c r="I46" s="34">
        <v>1.3482905061515699E-3</v>
      </c>
      <c r="J46" s="36">
        <v>1.32564783904183E-3</v>
      </c>
    </row>
    <row r="47" spans="2:10" x14ac:dyDescent="0.25">
      <c r="B47" s="116"/>
      <c r="C47" s="119"/>
      <c r="D47" s="18" t="s">
        <v>14</v>
      </c>
      <c r="E47" s="33">
        <v>1.2049939918354899E-3</v>
      </c>
      <c r="F47" s="34">
        <v>1.3874999389756901E-3</v>
      </c>
      <c r="G47" s="35">
        <v>1.3597312917967099E-3</v>
      </c>
      <c r="H47" s="33">
        <v>1.25140490763062E-3</v>
      </c>
      <c r="I47" s="34">
        <v>1.35204240189906E-3</v>
      </c>
      <c r="J47" s="36">
        <v>1.3299623689886199E-3</v>
      </c>
    </row>
    <row r="48" spans="2:10" ht="15.75" thickBot="1" x14ac:dyDescent="0.3">
      <c r="B48" s="117"/>
      <c r="C48" s="120"/>
      <c r="D48" s="20" t="s">
        <v>4</v>
      </c>
      <c r="E48" s="41">
        <v>8.7526327259866601E-4</v>
      </c>
      <c r="F48" s="42">
        <v>9.8326731253982509E-4</v>
      </c>
      <c r="G48" s="43">
        <v>9.5830752713946504E-4</v>
      </c>
      <c r="H48" s="41">
        <v>8.9301018248103795E-4</v>
      </c>
      <c r="I48" s="42">
        <v>9.4831282546675103E-4</v>
      </c>
      <c r="J48" s="44">
        <v>9.3270837627773399E-4</v>
      </c>
    </row>
  </sheetData>
  <mergeCells count="13">
    <mergeCell ref="B3:B4"/>
    <mergeCell ref="E3:G3"/>
    <mergeCell ref="H3:J3"/>
    <mergeCell ref="C3:C4"/>
    <mergeCell ref="D3:D4"/>
    <mergeCell ref="B38:B48"/>
    <mergeCell ref="C38:C48"/>
    <mergeCell ref="B5:B15"/>
    <mergeCell ref="C5:C15"/>
    <mergeCell ref="B16:B26"/>
    <mergeCell ref="C16:C26"/>
    <mergeCell ref="B27:B37"/>
    <mergeCell ref="C27:C3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2:O29"/>
  <sheetViews>
    <sheetView topLeftCell="A28" workbookViewId="0">
      <selection activeCell="B2" sqref="B2:O29"/>
    </sheetView>
  </sheetViews>
  <sheetFormatPr baseColWidth="10" defaultRowHeight="15" x14ac:dyDescent="0.25"/>
  <cols>
    <col min="2" max="2" width="22.85546875" customWidth="1"/>
  </cols>
  <sheetData>
    <row r="2" spans="1:15" x14ac:dyDescent="0.25">
      <c r="B2" s="2"/>
      <c r="C2" s="2"/>
      <c r="D2" s="111" t="s">
        <v>65</v>
      </c>
      <c r="E2" s="111"/>
      <c r="F2" s="111"/>
      <c r="G2" s="111"/>
      <c r="H2" s="111"/>
      <c r="I2" s="111"/>
      <c r="J2" s="111" t="s">
        <v>66</v>
      </c>
      <c r="K2" s="111"/>
      <c r="L2" s="111"/>
      <c r="M2" s="111"/>
      <c r="N2" s="111"/>
      <c r="O2" s="111"/>
    </row>
    <row r="3" spans="1:15" x14ac:dyDescent="0.25">
      <c r="B3" s="121" t="s">
        <v>2</v>
      </c>
      <c r="C3" s="121" t="s">
        <v>3</v>
      </c>
      <c r="D3" s="111" t="s">
        <v>67</v>
      </c>
      <c r="E3" s="111"/>
      <c r="F3" s="111" t="s">
        <v>68</v>
      </c>
      <c r="G3" s="111"/>
      <c r="H3" s="111" t="s">
        <v>69</v>
      </c>
      <c r="I3" s="111"/>
      <c r="J3" s="111" t="s">
        <v>67</v>
      </c>
      <c r="K3" s="111"/>
      <c r="L3" s="111" t="s">
        <v>68</v>
      </c>
      <c r="M3" s="111"/>
      <c r="N3" s="111" t="s">
        <v>69</v>
      </c>
      <c r="O3" s="111"/>
    </row>
    <row r="4" spans="1:15" x14ac:dyDescent="0.25">
      <c r="B4" s="121"/>
      <c r="C4" s="121"/>
      <c r="D4" s="3" t="s">
        <v>25</v>
      </c>
      <c r="E4" s="3" t="s">
        <v>26</v>
      </c>
      <c r="F4" s="3" t="s">
        <v>25</v>
      </c>
      <c r="G4" s="3" t="s">
        <v>26</v>
      </c>
      <c r="H4" s="3" t="s">
        <v>25</v>
      </c>
      <c r="I4" s="3" t="s">
        <v>26</v>
      </c>
      <c r="J4" s="3" t="s">
        <v>25</v>
      </c>
      <c r="K4" s="3" t="s">
        <v>26</v>
      </c>
      <c r="L4" s="3" t="s">
        <v>25</v>
      </c>
      <c r="M4" s="3" t="s">
        <v>26</v>
      </c>
      <c r="N4" s="3" t="s">
        <v>25</v>
      </c>
      <c r="O4" s="3" t="s">
        <v>26</v>
      </c>
    </row>
    <row r="5" spans="1:15" x14ac:dyDescent="0.25">
      <c r="B5" s="17" t="s">
        <v>0</v>
      </c>
      <c r="C5" s="18"/>
      <c r="D5" s="4">
        <v>1.1301138167587033</v>
      </c>
      <c r="E5" s="4">
        <f>+D5</f>
        <v>1.1301138167587033</v>
      </c>
      <c r="F5" s="5">
        <v>1.1301138167587033</v>
      </c>
      <c r="G5" s="5">
        <f>+F5</f>
        <v>1.1301138167587033</v>
      </c>
      <c r="H5" s="6">
        <v>1.1301138167587033</v>
      </c>
      <c r="I5" s="6">
        <f>+H5</f>
        <v>1.1301138167587033</v>
      </c>
      <c r="J5" s="4">
        <v>1.1301138167587033</v>
      </c>
      <c r="K5" s="4">
        <f>+J5</f>
        <v>1.1301138167587033</v>
      </c>
      <c r="L5" s="5">
        <v>1.1301138167587033</v>
      </c>
      <c r="M5" s="5">
        <f>+L5</f>
        <v>1.1301138167587033</v>
      </c>
      <c r="N5" s="6">
        <v>1.1301138167587033</v>
      </c>
      <c r="O5" s="6">
        <f>+N5</f>
        <v>1.1301138167587033</v>
      </c>
    </row>
    <row r="6" spans="1:15" x14ac:dyDescent="0.25">
      <c r="B6" s="17" t="s">
        <v>27</v>
      </c>
      <c r="C6" s="18"/>
      <c r="D6" s="4">
        <v>1.3514829560605199</v>
      </c>
      <c r="E6" s="4">
        <v>1.4414686340881899</v>
      </c>
      <c r="F6" s="5">
        <v>1.3244500864167501</v>
      </c>
      <c r="G6" s="5">
        <v>1.5344829103936</v>
      </c>
      <c r="H6" s="6">
        <v>1.33408104887011</v>
      </c>
      <c r="I6" s="6">
        <v>1.5376397795482399</v>
      </c>
      <c r="J6" s="4">
        <v>1.4020084440342799</v>
      </c>
      <c r="K6" s="4">
        <v>1.4975929029113999</v>
      </c>
      <c r="L6" s="5">
        <v>1.3831744993278201</v>
      </c>
      <c r="M6" s="5">
        <v>1.5620953324519899</v>
      </c>
      <c r="N6" s="6">
        <v>1.38642044166601</v>
      </c>
      <c r="O6" s="6">
        <v>1.5659957741405801</v>
      </c>
    </row>
    <row r="7" spans="1:15" ht="15.75" thickBot="1" x14ac:dyDescent="0.3">
      <c r="B7" s="123" t="s">
        <v>22</v>
      </c>
      <c r="C7" s="140"/>
      <c r="D7" s="16" t="s">
        <v>23</v>
      </c>
      <c r="E7" s="16" t="s">
        <v>24</v>
      </c>
      <c r="F7" s="16" t="s">
        <v>23</v>
      </c>
      <c r="G7" s="16" t="s">
        <v>24</v>
      </c>
      <c r="H7" s="16" t="s">
        <v>23</v>
      </c>
      <c r="I7" s="16" t="s">
        <v>24</v>
      </c>
      <c r="J7" s="16">
        <v>1.1301138167587033</v>
      </c>
      <c r="K7" s="16" t="s">
        <v>24</v>
      </c>
      <c r="L7" s="16" t="s">
        <v>23</v>
      </c>
      <c r="M7" s="16" t="s">
        <v>24</v>
      </c>
      <c r="N7" s="16" t="s">
        <v>23</v>
      </c>
      <c r="O7" s="16" t="s">
        <v>24</v>
      </c>
    </row>
    <row r="8" spans="1:15" x14ac:dyDescent="0.25">
      <c r="B8" s="115" t="s">
        <v>1</v>
      </c>
      <c r="C8" s="19" t="s">
        <v>4</v>
      </c>
      <c r="D8" s="7">
        <v>10.268607663722101</v>
      </c>
      <c r="E8" s="7">
        <v>9.5129311767428604</v>
      </c>
      <c r="F8" s="8">
        <v>11.176367888678501</v>
      </c>
      <c r="G8" s="8">
        <v>9.3587631108994298</v>
      </c>
      <c r="H8" s="9">
        <v>11.1779959737943</v>
      </c>
      <c r="I8" s="9">
        <v>8.6440707101497605</v>
      </c>
      <c r="J8" s="7">
        <v>10.249139084799699</v>
      </c>
      <c r="K8" s="7">
        <v>9.5138933801617807</v>
      </c>
      <c r="L8" s="8">
        <v>11.1393488272619</v>
      </c>
      <c r="M8" s="8">
        <v>9.3632687104660093</v>
      </c>
      <c r="N8" s="9">
        <v>11.140259907949901</v>
      </c>
      <c r="O8" s="10">
        <v>8.6663523898608208</v>
      </c>
    </row>
    <row r="9" spans="1:15" x14ac:dyDescent="0.25">
      <c r="A9">
        <v>1.1301138167587033</v>
      </c>
      <c r="B9" s="116"/>
      <c r="C9" s="18" t="s">
        <v>14</v>
      </c>
      <c r="D9" s="4">
        <v>10.2322803212378</v>
      </c>
      <c r="E9" s="4">
        <v>9.5106872757403096</v>
      </c>
      <c r="F9" s="5">
        <v>11.118565136675899</v>
      </c>
      <c r="G9" s="5">
        <v>9.3595267541392104</v>
      </c>
      <c r="H9" s="6">
        <v>11.115734508088201</v>
      </c>
      <c r="I9" s="6">
        <v>8.6746014840302408</v>
      </c>
      <c r="J9" s="4">
        <v>10.2159553558835</v>
      </c>
      <c r="K9" s="4">
        <v>9.5119102384259708</v>
      </c>
      <c r="L9" s="5">
        <v>11.088415285074699</v>
      </c>
      <c r="M9" s="5">
        <v>9.3631091683212109</v>
      </c>
      <c r="N9" s="6">
        <v>11.0838565164588</v>
      </c>
      <c r="O9" s="11">
        <v>8.6936906086912291</v>
      </c>
    </row>
    <row r="10" spans="1:15" x14ac:dyDescent="0.25">
      <c r="B10" s="116"/>
      <c r="C10" s="18" t="s">
        <v>13</v>
      </c>
      <c r="D10" s="4">
        <v>10.2322803212378</v>
      </c>
      <c r="E10" s="4">
        <v>9.5106872757403096</v>
      </c>
      <c r="F10" s="5">
        <v>11.118565136675899</v>
      </c>
      <c r="G10" s="5">
        <v>9.3595267541392104</v>
      </c>
      <c r="H10" s="6">
        <v>11.115734508088201</v>
      </c>
      <c r="I10" s="6">
        <v>8.6746014840302408</v>
      </c>
      <c r="J10" s="4">
        <v>10.2159553558835</v>
      </c>
      <c r="K10" s="4">
        <v>9.5119102384259708</v>
      </c>
      <c r="L10" s="5">
        <v>11.088415285074699</v>
      </c>
      <c r="M10" s="5">
        <v>9.3631091683212109</v>
      </c>
      <c r="N10" s="6">
        <v>11.0838565164588</v>
      </c>
      <c r="O10" s="11">
        <v>8.6936906086912291</v>
      </c>
    </row>
    <row r="11" spans="1:15" x14ac:dyDescent="0.25">
      <c r="B11" s="116"/>
      <c r="C11" s="18" t="s">
        <v>12</v>
      </c>
      <c r="D11" s="4">
        <v>10.2322803212378</v>
      </c>
      <c r="E11" s="4">
        <v>9.5106872757403096</v>
      </c>
      <c r="F11" s="5">
        <v>11.118565136675899</v>
      </c>
      <c r="G11" s="5">
        <v>9.3595267541392104</v>
      </c>
      <c r="H11" s="6">
        <v>11.115734508088201</v>
      </c>
      <c r="I11" s="6">
        <v>8.6746014840302408</v>
      </c>
      <c r="J11" s="4">
        <v>10.2159553558835</v>
      </c>
      <c r="K11" s="4">
        <v>9.5119102384259708</v>
      </c>
      <c r="L11" s="5">
        <v>11.088415285074699</v>
      </c>
      <c r="M11" s="5">
        <v>9.3631091683212109</v>
      </c>
      <c r="N11" s="6">
        <v>11.0838565164588</v>
      </c>
      <c r="O11" s="11">
        <v>8.6936906086912291</v>
      </c>
    </row>
    <row r="12" spans="1:15" x14ac:dyDescent="0.25">
      <c r="B12" s="116"/>
      <c r="C12" s="18" t="s">
        <v>11</v>
      </c>
      <c r="D12" s="4">
        <v>10.2322803212378</v>
      </c>
      <c r="E12" s="4">
        <v>9.5106872757403096</v>
      </c>
      <c r="F12" s="5">
        <v>11.012400957843001</v>
      </c>
      <c r="G12" s="5">
        <v>9.3733004953444805</v>
      </c>
      <c r="H12" s="6">
        <v>11.0095040744873</v>
      </c>
      <c r="I12" s="6">
        <v>8.7426840350402308</v>
      </c>
      <c r="J12" s="4">
        <v>10.2159553558835</v>
      </c>
      <c r="K12" s="4">
        <v>9.5119102384259708</v>
      </c>
      <c r="L12" s="5">
        <v>10.9816590076101</v>
      </c>
      <c r="M12" s="5">
        <v>9.3769563569042305</v>
      </c>
      <c r="N12" s="6">
        <v>10.9769932867375</v>
      </c>
      <c r="O12" s="11">
        <v>8.7621649718306394</v>
      </c>
    </row>
    <row r="13" spans="1:15" x14ac:dyDescent="0.25">
      <c r="B13" s="116"/>
      <c r="C13" s="18" t="s">
        <v>10</v>
      </c>
      <c r="D13" s="4">
        <v>10.2322803212378</v>
      </c>
      <c r="E13" s="4">
        <v>9.5106872757403096</v>
      </c>
      <c r="F13" s="5">
        <v>11.012400957843001</v>
      </c>
      <c r="G13" s="5">
        <v>9.3733004953444805</v>
      </c>
      <c r="H13" s="6">
        <v>11.0095040744873</v>
      </c>
      <c r="I13" s="6">
        <v>8.7426840350402308</v>
      </c>
      <c r="J13" s="4">
        <v>10.2159553558835</v>
      </c>
      <c r="K13" s="4">
        <v>9.5119102384259708</v>
      </c>
      <c r="L13" s="5">
        <v>10.9816590076101</v>
      </c>
      <c r="M13" s="5">
        <v>9.3769563569042305</v>
      </c>
      <c r="N13" s="6">
        <v>10.9769932867375</v>
      </c>
      <c r="O13" s="11">
        <v>8.7621649718306394</v>
      </c>
    </row>
    <row r="14" spans="1:15" x14ac:dyDescent="0.25">
      <c r="B14" s="116"/>
      <c r="C14" s="18" t="s">
        <v>9</v>
      </c>
      <c r="D14" s="4">
        <v>10.2322803212378</v>
      </c>
      <c r="E14" s="4">
        <v>9.5106872757403096</v>
      </c>
      <c r="F14" s="5">
        <v>11.012400957843001</v>
      </c>
      <c r="G14" s="5">
        <v>9.3733004953444805</v>
      </c>
      <c r="H14" s="6">
        <v>11.0095040744873</v>
      </c>
      <c r="I14" s="6">
        <v>8.7426840350402308</v>
      </c>
      <c r="J14" s="4">
        <v>10.2159553558835</v>
      </c>
      <c r="K14" s="4">
        <v>9.5119102384259708</v>
      </c>
      <c r="L14" s="5">
        <v>10.9816590076101</v>
      </c>
      <c r="M14" s="5">
        <v>9.3769563569042305</v>
      </c>
      <c r="N14" s="6">
        <v>10.9769932867375</v>
      </c>
      <c r="O14" s="11">
        <v>8.7621649718306394</v>
      </c>
    </row>
    <row r="15" spans="1:15" x14ac:dyDescent="0.25">
      <c r="B15" s="116"/>
      <c r="C15" s="18" t="s">
        <v>8</v>
      </c>
      <c r="D15" s="4">
        <v>10.2322803212378</v>
      </c>
      <c r="E15" s="4">
        <v>9.5106872757403096</v>
      </c>
      <c r="F15" s="5">
        <v>11.012400957843001</v>
      </c>
      <c r="G15" s="5">
        <v>9.3733004953444805</v>
      </c>
      <c r="H15" s="6">
        <v>11.0095040744873</v>
      </c>
      <c r="I15" s="6">
        <v>8.7426840350402308</v>
      </c>
      <c r="J15" s="4">
        <v>10.2159553558835</v>
      </c>
      <c r="K15" s="4">
        <v>9.5119102384259708</v>
      </c>
      <c r="L15" s="5">
        <v>10.9816590076101</v>
      </c>
      <c r="M15" s="5">
        <v>9.3769563569042305</v>
      </c>
      <c r="N15" s="6">
        <v>10.9769932867375</v>
      </c>
      <c r="O15" s="11">
        <v>8.7621649718306394</v>
      </c>
    </row>
    <row r="16" spans="1:15" x14ac:dyDescent="0.25">
      <c r="B16" s="116"/>
      <c r="C16" s="18" t="s">
        <v>7</v>
      </c>
      <c r="D16" s="4">
        <v>10.2322803212378</v>
      </c>
      <c r="E16" s="4">
        <v>9.5106872757403096</v>
      </c>
      <c r="F16" s="5">
        <v>11.012400957843001</v>
      </c>
      <c r="G16" s="5">
        <v>9.3733004953444805</v>
      </c>
      <c r="H16" s="6">
        <v>11.0095040744873</v>
      </c>
      <c r="I16" s="6">
        <v>8.7426840350402308</v>
      </c>
      <c r="J16" s="4">
        <v>10.2159553558835</v>
      </c>
      <c r="K16" s="4">
        <v>9.5119102384259708</v>
      </c>
      <c r="L16" s="5">
        <v>10.9816590076101</v>
      </c>
      <c r="M16" s="5">
        <v>9.3769563569042305</v>
      </c>
      <c r="N16" s="6">
        <v>10.9769932867375</v>
      </c>
      <c r="O16" s="11">
        <v>8.7621649718306394</v>
      </c>
    </row>
    <row r="17" spans="2:15" x14ac:dyDescent="0.25">
      <c r="B17" s="116"/>
      <c r="C17" s="18" t="s">
        <v>6</v>
      </c>
      <c r="D17" s="4">
        <v>10.3219249626005</v>
      </c>
      <c r="E17" s="4">
        <v>9.4382883364711994</v>
      </c>
      <c r="F17" s="5">
        <v>11.135365567667</v>
      </c>
      <c r="G17" s="5">
        <v>9.3291969146238198</v>
      </c>
      <c r="H17" s="6">
        <v>11.131808515057999</v>
      </c>
      <c r="I17" s="6">
        <v>8.6128385165497505</v>
      </c>
      <c r="J17" s="4">
        <v>10.311013013486001</v>
      </c>
      <c r="K17" s="4">
        <v>9.4390014189849794</v>
      </c>
      <c r="L17" s="5">
        <v>11.1182809048977</v>
      </c>
      <c r="M17" s="5">
        <v>9.3321233500042098</v>
      </c>
      <c r="N17" s="6">
        <v>11.1125677535323</v>
      </c>
      <c r="O17" s="11">
        <v>8.6253446607911393</v>
      </c>
    </row>
    <row r="18" spans="2:15" ht="15.75" thickBot="1" x14ac:dyDescent="0.3">
      <c r="B18" s="117"/>
      <c r="C18" s="20" t="s">
        <v>5</v>
      </c>
      <c r="D18" s="12">
        <v>16.908304498395498</v>
      </c>
      <c r="E18" s="12">
        <v>8.1247837405592698</v>
      </c>
      <c r="F18" s="13">
        <v>22.111496612735099</v>
      </c>
      <c r="G18" s="13">
        <v>8.7579246162163003</v>
      </c>
      <c r="H18" s="14">
        <v>22.111496612735099</v>
      </c>
      <c r="I18" s="14">
        <v>2.7579246162162998</v>
      </c>
      <c r="J18" s="12">
        <v>16.908304498395498</v>
      </c>
      <c r="K18" s="12">
        <v>8.1247837405592698</v>
      </c>
      <c r="L18" s="13">
        <v>21.1709947218427</v>
      </c>
      <c r="M18" s="13">
        <v>7.9242957747534</v>
      </c>
      <c r="N18" s="14">
        <v>22.111496612735099</v>
      </c>
      <c r="O18" s="15">
        <v>2.7579246162162998</v>
      </c>
    </row>
    <row r="19" spans="2:15" x14ac:dyDescent="0.25">
      <c r="B19" s="116" t="s">
        <v>15</v>
      </c>
      <c r="C19" s="22" t="s">
        <v>4</v>
      </c>
      <c r="D19" s="23">
        <v>11.317187945683999</v>
      </c>
      <c r="E19" s="23">
        <v>9.5271252135309705</v>
      </c>
      <c r="F19" s="24">
        <v>12.5039103598338</v>
      </c>
      <c r="G19" s="24">
        <v>9.2943853692340497</v>
      </c>
      <c r="H19" s="25">
        <v>12.4657562297313</v>
      </c>
      <c r="I19" s="25">
        <v>8.0771088857498103</v>
      </c>
      <c r="J19" s="23">
        <v>10.546291158605699</v>
      </c>
      <c r="K19" s="23">
        <v>9.60176566840404</v>
      </c>
      <c r="L19" s="24">
        <v>11.1238612161838</v>
      </c>
      <c r="M19" s="24">
        <v>9.3945418080542495</v>
      </c>
      <c r="N19" s="25">
        <v>11.126881414488301</v>
      </c>
      <c r="O19" s="26">
        <v>8.7593336170811593</v>
      </c>
    </row>
    <row r="20" spans="2:15" x14ac:dyDescent="0.25">
      <c r="B20" s="116"/>
      <c r="C20" s="18" t="s">
        <v>14</v>
      </c>
      <c r="D20" s="4">
        <v>11.9261159190307</v>
      </c>
      <c r="E20" s="4">
        <v>9.5420066283851899</v>
      </c>
      <c r="F20" s="5">
        <v>13.0023465580992</v>
      </c>
      <c r="G20" s="5">
        <v>9.1629571831874692</v>
      </c>
      <c r="H20" s="6">
        <v>12.976884680124</v>
      </c>
      <c r="I20" s="6">
        <v>7.6900034866018103</v>
      </c>
      <c r="J20" s="4">
        <v>10.8590478480901</v>
      </c>
      <c r="K20" s="4">
        <v>9.6093299640409207</v>
      </c>
      <c r="L20" s="5">
        <v>11.438344166582199</v>
      </c>
      <c r="M20" s="5">
        <v>9.3605129170584593</v>
      </c>
      <c r="N20" s="6">
        <v>11.435950677084501</v>
      </c>
      <c r="O20" s="11">
        <v>8.5907304875286492</v>
      </c>
    </row>
    <row r="21" spans="2:15" x14ac:dyDescent="0.25">
      <c r="B21" s="116"/>
      <c r="C21" s="18" t="s">
        <v>13</v>
      </c>
      <c r="D21" s="4">
        <v>12.1742844773856</v>
      </c>
      <c r="E21" s="4">
        <v>9.5438885663588504</v>
      </c>
      <c r="F21" s="5">
        <v>13.144811154074301</v>
      </c>
      <c r="G21" s="5">
        <v>9.1186887646338803</v>
      </c>
      <c r="H21" s="6">
        <v>13.092418923217499</v>
      </c>
      <c r="I21" s="6">
        <v>7.5832532348271302</v>
      </c>
      <c r="J21" s="4">
        <v>10.9893300687391</v>
      </c>
      <c r="K21" s="4">
        <v>9.6105417896904299</v>
      </c>
      <c r="L21" s="5">
        <v>11.563177315247501</v>
      </c>
      <c r="M21" s="5">
        <v>9.3502048085306004</v>
      </c>
      <c r="N21" s="6">
        <v>11.5374944041149</v>
      </c>
      <c r="O21" s="11">
        <v>8.5304445162625502</v>
      </c>
    </row>
    <row r="22" spans="2:15" x14ac:dyDescent="0.25">
      <c r="B22" s="116"/>
      <c r="C22" s="18" t="s">
        <v>12</v>
      </c>
      <c r="D22" s="4">
        <v>12.278943705724799</v>
      </c>
      <c r="E22" s="4">
        <v>9.5411266411828208</v>
      </c>
      <c r="F22" s="5">
        <v>13.145224212919</v>
      </c>
      <c r="G22" s="5">
        <v>9.1080791114933</v>
      </c>
      <c r="H22" s="6">
        <v>13.047675588400001</v>
      </c>
      <c r="I22" s="6">
        <v>7.5828179290055902</v>
      </c>
      <c r="J22" s="4">
        <v>11.0485091699097</v>
      </c>
      <c r="K22" s="4">
        <v>9.6089090963077606</v>
      </c>
      <c r="L22" s="5">
        <v>11.603227478911499</v>
      </c>
      <c r="M22" s="5">
        <v>9.3487285446172397</v>
      </c>
      <c r="N22" s="6">
        <v>11.5464499323729</v>
      </c>
      <c r="O22" s="11">
        <v>8.5108559082112993</v>
      </c>
    </row>
    <row r="23" spans="2:15" x14ac:dyDescent="0.25">
      <c r="B23" s="116"/>
      <c r="C23" s="18" t="s">
        <v>11</v>
      </c>
      <c r="D23" s="4">
        <v>12.323617095028901</v>
      </c>
      <c r="E23" s="4">
        <v>9.5371235821489009</v>
      </c>
      <c r="F23" s="5">
        <v>13.0799465796779</v>
      </c>
      <c r="G23" s="5">
        <v>9.1148948263454201</v>
      </c>
      <c r="H23" s="6">
        <v>12.925080703174901</v>
      </c>
      <c r="I23" s="6">
        <v>7.6340305505389301</v>
      </c>
      <c r="J23" s="4">
        <v>11.0793500852817</v>
      </c>
      <c r="K23" s="4">
        <v>9.6059707477036707</v>
      </c>
      <c r="L23" s="5">
        <v>11.6034960660821</v>
      </c>
      <c r="M23" s="5">
        <v>9.3526005496211795</v>
      </c>
      <c r="N23" s="6">
        <v>11.511650263186199</v>
      </c>
      <c r="O23" s="11">
        <v>8.5159577551895804</v>
      </c>
    </row>
    <row r="24" spans="2:15" x14ac:dyDescent="0.25">
      <c r="B24" s="116"/>
      <c r="C24" s="18" t="s">
        <v>10</v>
      </c>
      <c r="D24" s="4">
        <v>12.337565439881701</v>
      </c>
      <c r="E24" s="4">
        <v>9.53273946475184</v>
      </c>
      <c r="F24" s="5">
        <v>12.980149901296601</v>
      </c>
      <c r="G24" s="5">
        <v>9.1309617020592793</v>
      </c>
      <c r="H24" s="6">
        <v>12.761465831271201</v>
      </c>
      <c r="I24" s="6">
        <v>7.7147072535655701</v>
      </c>
      <c r="J24" s="4">
        <v>11.0975454568675</v>
      </c>
      <c r="K24" s="4">
        <v>9.6022926235357602</v>
      </c>
      <c r="L24" s="5">
        <v>11.581407353777101</v>
      </c>
      <c r="M24" s="5">
        <v>9.3618598029457107</v>
      </c>
      <c r="N24" s="6">
        <v>11.4517790505558</v>
      </c>
      <c r="O24" s="11">
        <v>8.5445805371767207</v>
      </c>
    </row>
    <row r="25" spans="2:15" x14ac:dyDescent="0.25">
      <c r="B25" s="116"/>
      <c r="C25" s="18" t="s">
        <v>9</v>
      </c>
      <c r="D25" s="4">
        <v>12.332958916237599</v>
      </c>
      <c r="E25" s="4">
        <v>9.5281355991296195</v>
      </c>
      <c r="F25" s="5">
        <v>12.8680308058791</v>
      </c>
      <c r="G25" s="5">
        <v>9.1495110874616703</v>
      </c>
      <c r="H25" s="6">
        <v>12.579845661352801</v>
      </c>
      <c r="I25" s="6">
        <v>7.8011639621966502</v>
      </c>
      <c r="J25" s="4">
        <v>11.1094098749321</v>
      </c>
      <c r="K25" s="4">
        <v>9.5980772045556293</v>
      </c>
      <c r="L25" s="5">
        <v>11.5484262345906</v>
      </c>
      <c r="M25" s="5">
        <v>9.3707579511329104</v>
      </c>
      <c r="N25" s="6">
        <v>11.378193305217</v>
      </c>
      <c r="O25" s="11">
        <v>8.5703893971933809</v>
      </c>
    </row>
    <row r="26" spans="2:15" x14ac:dyDescent="0.25">
      <c r="B26" s="116"/>
      <c r="C26" s="18" t="s">
        <v>8</v>
      </c>
      <c r="D26" s="4">
        <v>12.315274331185501</v>
      </c>
      <c r="E26" s="4">
        <v>9.52318543139382</v>
      </c>
      <c r="F26" s="5">
        <v>12.745154959845999</v>
      </c>
      <c r="G26" s="5">
        <v>9.1703181539601797</v>
      </c>
      <c r="H26" s="6">
        <v>12.3826839156986</v>
      </c>
      <c r="I26" s="6">
        <v>7.8924506438417099</v>
      </c>
      <c r="J26" s="4">
        <v>11.117398936377599</v>
      </c>
      <c r="K26" s="4">
        <v>9.5933763727422896</v>
      </c>
      <c r="L26" s="5">
        <v>11.5074952453022</v>
      </c>
      <c r="M26" s="5">
        <v>9.3790777503728808</v>
      </c>
      <c r="N26" s="6">
        <v>11.2934011007852</v>
      </c>
      <c r="O26" s="11">
        <v>8.5926940828452398</v>
      </c>
    </row>
    <row r="27" spans="2:15" x14ac:dyDescent="0.25">
      <c r="B27" s="116"/>
      <c r="C27" s="18" t="s">
        <v>7</v>
      </c>
      <c r="D27" s="4">
        <v>12.287059990020699</v>
      </c>
      <c r="E27" s="4">
        <v>9.5175194792858395</v>
      </c>
      <c r="F27" s="5">
        <v>12.6081386588769</v>
      </c>
      <c r="G27" s="5">
        <v>9.19334969068783</v>
      </c>
      <c r="H27" s="6">
        <v>12.1684332087711</v>
      </c>
      <c r="I27" s="6">
        <v>7.98976723998378</v>
      </c>
      <c r="J27" s="4">
        <v>11.122189001544101</v>
      </c>
      <c r="K27" s="4">
        <v>9.5882401412120295</v>
      </c>
      <c r="L27" s="5">
        <v>11.459350422210401</v>
      </c>
      <c r="M27" s="5">
        <v>9.3871690138350399</v>
      </c>
      <c r="N27" s="6">
        <v>11.197845233834499</v>
      </c>
      <c r="O27" s="11">
        <v>8.6128643794148907</v>
      </c>
    </row>
    <row r="28" spans="2:15" x14ac:dyDescent="0.25">
      <c r="B28" s="116"/>
      <c r="C28" s="18" t="s">
        <v>6</v>
      </c>
      <c r="D28" s="4">
        <v>12.267017819330899</v>
      </c>
      <c r="E28" s="4">
        <v>9.5114624488438793</v>
      </c>
      <c r="F28" s="5">
        <v>12.4797680521382</v>
      </c>
      <c r="G28" s="5">
        <v>9.2111076017376892</v>
      </c>
      <c r="H28" s="6">
        <v>11.9624524711425</v>
      </c>
      <c r="I28" s="6">
        <v>8.0773351641604592</v>
      </c>
      <c r="J28" s="4">
        <v>11.129336974906099</v>
      </c>
      <c r="K28" s="4">
        <v>9.5827623592985507</v>
      </c>
      <c r="L28" s="5">
        <v>11.4178014516818</v>
      </c>
      <c r="M28" s="5">
        <v>9.3931873560186592</v>
      </c>
      <c r="N28" s="6">
        <v>11.1060923885726</v>
      </c>
      <c r="O28" s="11">
        <v>8.6284843720849693</v>
      </c>
    </row>
    <row r="29" spans="2:15" ht="15.75" thickBot="1" x14ac:dyDescent="0.3">
      <c r="B29" s="117"/>
      <c r="C29" s="20" t="s">
        <v>5</v>
      </c>
      <c r="D29" s="12">
        <v>15.8442949667532</v>
      </c>
      <c r="E29" s="12">
        <v>7.9017729004131203</v>
      </c>
      <c r="F29" s="13">
        <v>19.165230302579399</v>
      </c>
      <c r="G29" s="13">
        <v>7.9400864302591998</v>
      </c>
      <c r="H29" s="14">
        <v>19.178885414431001</v>
      </c>
      <c r="I29" s="14">
        <v>2.7375587978131102</v>
      </c>
      <c r="J29" s="12">
        <v>15.5171453257487</v>
      </c>
      <c r="K29" s="12">
        <v>7.9475564629126101</v>
      </c>
      <c r="L29" s="13">
        <v>18.846726683807201</v>
      </c>
      <c r="M29" s="13">
        <v>8.0080213506222808</v>
      </c>
      <c r="N29" s="14">
        <v>18.905891738529998</v>
      </c>
      <c r="O29" s="15">
        <v>2.9502042980980199</v>
      </c>
    </row>
  </sheetData>
  <mergeCells count="13">
    <mergeCell ref="B7:C7"/>
    <mergeCell ref="B8:B18"/>
    <mergeCell ref="B19:B29"/>
    <mergeCell ref="J2:O2"/>
    <mergeCell ref="B3:B4"/>
    <mergeCell ref="D2:I2"/>
    <mergeCell ref="D3:E3"/>
    <mergeCell ref="F3:G3"/>
    <mergeCell ref="H3:I3"/>
    <mergeCell ref="C3:C4"/>
    <mergeCell ref="N3:O3"/>
    <mergeCell ref="J3:K3"/>
    <mergeCell ref="L3:M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3"/>
  <dimension ref="C8:N32"/>
  <sheetViews>
    <sheetView topLeftCell="A4" workbookViewId="0">
      <selection activeCell="I23" sqref="I23"/>
    </sheetView>
  </sheetViews>
  <sheetFormatPr baseColWidth="10" defaultRowHeight="15" x14ac:dyDescent="0.25"/>
  <sheetData>
    <row r="8" spans="9:14" x14ac:dyDescent="0.25">
      <c r="I8" s="141" t="s">
        <v>61</v>
      </c>
      <c r="J8" s="141"/>
      <c r="K8" s="141"/>
      <c r="L8" s="141"/>
      <c r="M8" s="141"/>
      <c r="N8" s="141"/>
    </row>
    <row r="9" spans="9:14" x14ac:dyDescent="0.25">
      <c r="I9" s="141"/>
      <c r="J9" s="141"/>
      <c r="K9" s="141"/>
      <c r="L9" s="141"/>
      <c r="M9" s="141"/>
      <c r="N9" s="141"/>
    </row>
    <row r="10" spans="9:14" x14ac:dyDescent="0.25">
      <c r="I10" s="141"/>
      <c r="J10" s="141"/>
      <c r="K10" s="141"/>
      <c r="L10" s="141"/>
      <c r="M10" s="141"/>
      <c r="N10" s="141"/>
    </row>
    <row r="11" spans="9:14" x14ac:dyDescent="0.25">
      <c r="I11" s="141"/>
      <c r="J11" s="141"/>
      <c r="K11" s="141"/>
      <c r="L11" s="141"/>
      <c r="M11" s="141"/>
      <c r="N11" s="141"/>
    </row>
    <row r="19" spans="3:14" x14ac:dyDescent="0.25">
      <c r="I19" s="141" t="s">
        <v>62</v>
      </c>
      <c r="J19" s="141"/>
      <c r="K19" s="141"/>
      <c r="L19" s="141"/>
      <c r="M19" s="141"/>
      <c r="N19" s="141"/>
    </row>
    <row r="20" spans="3:14" x14ac:dyDescent="0.25">
      <c r="I20" s="141"/>
      <c r="J20" s="141"/>
      <c r="K20" s="141"/>
      <c r="L20" s="141"/>
      <c r="M20" s="141"/>
      <c r="N20" s="141"/>
    </row>
    <row r="21" spans="3:14" x14ac:dyDescent="0.25">
      <c r="I21" s="141"/>
      <c r="J21" s="141"/>
      <c r="K21" s="141"/>
      <c r="L21" s="141"/>
      <c r="M21" s="141"/>
      <c r="N21" s="141"/>
    </row>
    <row r="27" spans="3:14" ht="14.45" customHeight="1" x14ac:dyDescent="0.25">
      <c r="C27" s="141" t="s">
        <v>63</v>
      </c>
      <c r="D27" s="141"/>
      <c r="E27" s="141"/>
      <c r="F27" s="141"/>
      <c r="G27" s="141"/>
      <c r="H27" s="141"/>
    </row>
    <row r="28" spans="3:14" x14ac:dyDescent="0.25">
      <c r="C28" s="141"/>
      <c r="D28" s="141"/>
      <c r="E28" s="141"/>
      <c r="F28" s="141"/>
      <c r="G28" s="141"/>
      <c r="H28" s="141"/>
    </row>
    <row r="29" spans="3:14" x14ac:dyDescent="0.25">
      <c r="C29" s="141"/>
      <c r="D29" s="141"/>
      <c r="E29" s="141"/>
      <c r="F29" s="141"/>
      <c r="G29" s="141"/>
      <c r="H29" s="141"/>
    </row>
    <row r="30" spans="3:14" x14ac:dyDescent="0.25">
      <c r="C30" s="141"/>
      <c r="D30" s="141"/>
      <c r="E30" s="141"/>
      <c r="F30" s="141"/>
      <c r="G30" s="141"/>
      <c r="H30" s="141"/>
    </row>
    <row r="31" spans="3:14" x14ac:dyDescent="0.25">
      <c r="C31" s="141"/>
      <c r="D31" s="141"/>
      <c r="E31" s="141"/>
      <c r="F31" s="141"/>
      <c r="G31" s="141"/>
      <c r="H31" s="141"/>
    </row>
    <row r="32" spans="3:14" x14ac:dyDescent="0.25">
      <c r="C32" s="141"/>
      <c r="D32" s="141"/>
      <c r="E32" s="141"/>
      <c r="F32" s="141"/>
      <c r="G32" s="141"/>
      <c r="H32" s="141"/>
    </row>
  </sheetData>
  <mergeCells count="3">
    <mergeCell ref="I8:N11"/>
    <mergeCell ref="I19:N21"/>
    <mergeCell ref="C27:H32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MPARACION">
                <anchor moveWithCells="1" sizeWithCells="1">
                  <from>
                    <xdr:col>1</xdr:col>
                    <xdr:colOff>752475</xdr:colOff>
                    <xdr:row>6</xdr:row>
                    <xdr:rowOff>0</xdr:rowOff>
                  </from>
                  <to>
                    <xdr:col>6</xdr:col>
                    <xdr:colOff>676275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FORMATO_TOTAL">
                <anchor moveWithCells="1" sizeWithCells="1">
                  <from>
                    <xdr:col>2</xdr:col>
                    <xdr:colOff>95250</xdr:colOff>
                    <xdr:row>17</xdr:row>
                    <xdr:rowOff>19050</xdr:rowOff>
                  </from>
                  <to>
                    <xdr:col>6</xdr:col>
                    <xdr:colOff>657225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Hoja1</vt:lpstr>
      <vt:lpstr>D-DERIVAS</vt:lpstr>
      <vt:lpstr>D-IRRE TORSIONAL</vt:lpstr>
      <vt:lpstr>D-PCMCR</vt:lpstr>
      <vt:lpstr>COLUMNAS N1</vt:lpstr>
      <vt:lpstr>IRRE TORSIONAL</vt:lpstr>
      <vt:lpstr>DERIVAS</vt:lpstr>
      <vt:lpstr>GENERALES</vt:lpstr>
      <vt:lpstr>DIRECTOR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Cartagena</dc:creator>
  <cp:lastModifiedBy>Allan Flores</cp:lastModifiedBy>
  <dcterms:created xsi:type="dcterms:W3CDTF">2021-05-21T15:35:27Z</dcterms:created>
  <dcterms:modified xsi:type="dcterms:W3CDTF">2021-06-09T00:50:07Z</dcterms:modified>
</cp:coreProperties>
</file>