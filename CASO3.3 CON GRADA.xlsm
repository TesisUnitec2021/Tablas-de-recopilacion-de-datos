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 firstSheet="5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83" i="11" l="1"/>
  <c r="L46" i="1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<sst xmlns="http://schemas.openxmlformats.org/spreadsheetml/2006/main" count="4772" uniqueCount="262">
  <si>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</si>
  <si>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</si>
  <si>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</si>
  <si>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</si>
  <si>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</si>
  <si>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</si>
  <si>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</si>
  <si>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</si>
  <si>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</si>
  <si>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</si>
  <si>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</si>
  <si>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</si>
  <si>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</si>
  <si>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</si>
  <si>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</si>
  <si>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</si>
  <si>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</si>
  <si>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</si>
  <si>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</si>
  <si>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</si>
  <si>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</si>
  <si>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</si>
  <si>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</si>
  <si>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</si>
  <si>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</si>
  <si>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</si>
  <si>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</si>
  <si>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</si>
  <si>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</si>
  <si>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</si>
  <si>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</si>
  <si>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</si>
  <si>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</si>
  <si>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</si>
  <si>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</si>
  <si>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</si>
  <si>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</si>
  <si>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</si>
  <si>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</si>
  <si>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</si>
  <si>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</si>
  <si>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</si>
  <si>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</si>
  <si>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</si>
  <si>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</si>
  <si>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</si>
  <si>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</si>
  <si>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</si>
  <si>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</si>
  <si>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</si>
  <si>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</si>
  <si>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</si>
  <si>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</si>
  <si>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</si>
  <si>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</si>
  <si>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</si>
  <si>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</si>
  <si>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</si>
  <si>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</si>
  <si>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</si>
  <si>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</si>
  <si>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</si>
  <si>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</si>
  <si>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</si>
  <si>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</si>
  <si>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</si>
  <si>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</si>
  <si>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</si>
  <si>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</si>
  <si>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</si>
  <si>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</si>
  <si>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</si>
  <si>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</si>
  <si>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</si>
  <si>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</si>
  <si>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</si>
  <si>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</si>
  <si>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</si>
  <si>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</si>
  <si>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</si>
  <si>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</si>
  <si>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</si>
  <si>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</si>
  <si>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</si>
  <si>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</si>
  <si>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</si>
  <si>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</si>
  <si>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</si>
  <si>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</si>
  <si>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</si>
  <si>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</si>
  <si>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</si>
  <si>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</si>
  <si>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</si>
  <si>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</si>
  <si>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</si>
  <si>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</si>
  <si>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</si>
  <si>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</si>
  <si>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</si>
  <si>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</si>
  <si>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</si>
  <si>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</si>
  <si>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</si>
  <si>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</si>
  <si>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</si>
  <si>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</si>
  <si>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</si>
  <si>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</si>
  <si>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</si>
  <si>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</si>
  <si>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</si>
  <si>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</si>
  <si>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</si>
  <si>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</si>
  <si>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</si>
  <si>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</si>
  <si>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</si>
  <si>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</si>
  <si>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</si>
  <si>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</si>
  <si>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</si>
  <si>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</si>
  <si>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</si>
  <si>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</si>
  <si>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</si>
  <si>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</si>
  <si>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</si>
  <si>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</si>
  <si>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</si>
  <si>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</si>
  <si>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</si>
  <si>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</si>
  <si>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</si>
  <si>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</si>
  <si>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</si>
  <si>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</si>
  <si>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</si>
  <si>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</si>
  <si>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</si>
  <si>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</si>
  <si>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</si>
  <si>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</si>
  <si>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</si>
  <si>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</si>
  <si>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</si>
  <si>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</si>
  <si>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</si>
  <si>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</si>
  <si>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</si>
  <si>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</si>
  <si>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</si>
  <si>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</si>
  <si>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</si>
  <si>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</si>
  <si>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</si>
  <si>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</si>
  <si>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</si>
  <si>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</si>
  <si>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</si>
  <si>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</si>
  <si>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</si>
  <si>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</si>
  <si>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</si>
  <si>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</si>
  <si>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</si>
  <si>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</si>
  <si>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</si>
  <si>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</si>
  <si>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</si>
  <si>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</si>
  <si>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</si>
  <si>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</si>
  <si>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</si>
  <si>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</si>
  <si>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</si>
  <si>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</si>
  <si>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</si>
  <si>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</si>
  <si>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</si>
  <si>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</si>
  <si>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</si>
  <si>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</si>
  <si>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</si>
  <si>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</si>
  <si>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</si>
  <si>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</si>
  <si>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</si>
  <si>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</si>
  <si>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</si>
  <si>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</si>
  <si>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</si>
  <si>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</si>
  <si>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</si>
  <si>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</si>
  <si>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</si>
  <si>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</si>
  <si>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</si>
  <si>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Step Type</t>
  </si>
  <si>
    <t>Step</t>
  </si>
  <si>
    <t>Single Step</t>
  </si>
  <si>
    <t>Bottom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</si>
  <si>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</si>
  <si>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</si>
  <si>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</si>
  <si>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</si>
  <si>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</si>
  <si>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</si>
  <si>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</si>
  <si>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</si>
  <si>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X</t>
  </si>
  <si>
    <t>Y</t>
  </si>
  <si>
    <t>Z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</si>
  <si>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</si>
  <si>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</si>
  <si>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</si>
  <si>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</si>
  <si>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</si>
  <si>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</si>
  <si>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</si>
  <si>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</si>
  <si>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</si>
  <si>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</si>
  <si>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</si>
  <si>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</si>
  <si>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</si>
  <si>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</si>
  <si>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</si>
  <si>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</si>
  <si>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</si>
  <si>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</si>
  <si>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</si>
  <si>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</si>
  <si>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</si>
  <si>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</si>
  <si>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</si>
  <si>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</si>
  <si>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</si>
  <si>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</si>
  <si>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</si>
  <si>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Program Calculated</t>
  </si>
  <si>
    <t>SY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</si>
  <si>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</si>
  <si>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</si>
  <si>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</si>
  <si>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</si>
  <si>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</si>
  <si>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</si>
  <si>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</si>
  <si>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</si>
  <si>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</si>
  <si>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</si>
  <si>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</si>
  <si>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</si>
  <si>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</si>
  <si>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</si>
  <si>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</si>
  <si>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</si>
  <si>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</si>
  <si>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ESPECTRO X</t>
  </si>
  <si>
    <t>Max</t>
  </si>
  <si>
    <t>ESPECTRO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</si>
</sst>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9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5</xdr:row>
          <xdr:rowOff>0</xdr:rowOff>
        </xdr:from>
        <xdr:to>
          <xdr:col>15</xdr:col>
          <xdr:colOff>510540</xdr:colOff>
          <xdr:row>41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655320</xdr:colOff>
          <xdr:row>0</xdr:row>
          <xdr:rowOff>0</xdr:rowOff>
        </xdr:from>
        <xdr:to>
          <xdr:col>11</xdr:col>
          <xdr:colOff>251460</xdr:colOff>
          <xdr:row>9</xdr:row>
          <xdr:rowOff>53340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609600</xdr:colOff>
      <xdr:row>1</xdr:row>
      <xdr:rowOff>83820</xdr:rowOff>
    </xdr:from>
    <xdr:to>
      <xdr:col>14</xdr:col>
      <xdr:colOff>38100</xdr:colOff>
      <xdr:row>10</xdr:row>
      <xdr:rowOff>7620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496800" y="266700"/>
          <a:ext cx="1805940" cy="120396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480060</xdr:colOff>
          <xdr:row>0</xdr:row>
          <xdr:rowOff>30480</xdr:rowOff>
        </xdr:from>
        <xdr:to>
          <xdr:col>14</xdr:col>
          <xdr:colOff>297180</xdr:colOff>
          <xdr:row>9</xdr:row>
          <xdr:rowOff>68580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640080</xdr:colOff>
      <xdr:row>2</xdr:row>
      <xdr:rowOff>129540</xdr:rowOff>
    </xdr:from>
    <xdr:to>
      <xdr:col>18</xdr:col>
      <xdr:colOff>68580</xdr:colOff>
      <xdr:row>10</xdr:row>
      <xdr:rowOff>53340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5697200" y="495300"/>
          <a:ext cx="1805940" cy="102108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7" tableBorderDxfId="16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5" tableBorderDxfId="14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3" tableBorderDxfId="12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1" tableBorderDxfId="10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9" tableBorderDxfId="8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7" tableBorderDxfId="6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5" tableBorderDxfId="4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3" tableBorderDxfId="2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3" t="s">
        <v>197</v>
      </c>
      <c r="H4" s="193"/>
      <c r="I4" s="193"/>
      <c r="J4" s="193"/>
      <c r="K4" s="193"/>
      <c r="L4" s="193"/>
      <c r="M4" s="193"/>
    </row>
    <row r="5" spans="7:13" x14ac:dyDescent="0.3">
      <c r="G5" s="193"/>
      <c r="H5" s="193"/>
      <c r="I5" s="193"/>
      <c r="J5" s="193"/>
      <c r="K5" s="193"/>
      <c r="L5" s="193"/>
      <c r="M5" s="193"/>
    </row>
    <row r="6" spans="7:13" x14ac:dyDescent="0.3">
      <c r="G6" s="193"/>
      <c r="H6" s="193"/>
      <c r="I6" s="193"/>
      <c r="J6" s="193"/>
      <c r="K6" s="193"/>
      <c r="L6" s="193"/>
      <c r="M6" s="193"/>
    </row>
    <row r="13" spans="7:13" x14ac:dyDescent="0.3">
      <c r="G13" s="193" t="s">
        <v>196</v>
      </c>
      <c r="H13" s="193"/>
      <c r="I13" s="193"/>
      <c r="J13" s="193"/>
      <c r="K13" s="193"/>
      <c r="L13" s="193"/>
      <c r="M13" s="193"/>
    </row>
    <row r="14" spans="7:13" x14ac:dyDescent="0.3">
      <c r="G14" s="193"/>
      <c r="H14" s="193"/>
      <c r="I14" s="193"/>
      <c r="J14" s="193"/>
      <c r="K14" s="193"/>
      <c r="L14" s="193"/>
      <c r="M14" s="193"/>
    </row>
    <row r="15" spans="7:13" x14ac:dyDescent="0.3">
      <c r="G15" s="193"/>
      <c r="H15" s="193"/>
      <c r="I15" s="193"/>
      <c r="J15" s="193"/>
      <c r="K15" s="193"/>
      <c r="L15" s="193"/>
      <c r="M15" s="193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4" t="s">
        <v>195</v>
      </c>
      <c r="H21" s="194"/>
      <c r="I21" s="194"/>
      <c r="J21" s="194"/>
      <c r="K21" s="194"/>
      <c r="L21" s="194"/>
      <c r="M21" s="194"/>
    </row>
    <row r="22" spans="2:13" x14ac:dyDescent="0.3">
      <c r="B22" s="75"/>
      <c r="C22" s="75"/>
      <c r="D22" s="75"/>
      <c r="E22" s="75"/>
      <c r="F22" s="75"/>
      <c r="G22" s="194"/>
      <c r="H22" s="194"/>
      <c r="I22" s="194"/>
      <c r="J22" s="194"/>
      <c r="K22" s="194"/>
      <c r="L22" s="194"/>
      <c r="M22" s="194"/>
    </row>
    <row r="23" spans="2:13" x14ac:dyDescent="0.3">
      <c r="B23" s="75"/>
      <c r="C23" s="75"/>
      <c r="D23" s="75"/>
      <c r="E23" s="75"/>
      <c r="F23" s="75"/>
      <c r="G23" s="194"/>
      <c r="H23" s="194"/>
      <c r="I23" s="194"/>
      <c r="J23" s="194"/>
      <c r="K23" s="194"/>
      <c r="L23" s="194"/>
      <c r="M23" s="194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5" t="s">
        <v>38</v>
      </c>
      <c r="C29" s="197">
        <f>+G22*3.23</f>
        <v>952.85</v>
      </c>
      <c r="D29" s="197"/>
      <c r="G29" s="9" t="s">
        <v>152</v>
      </c>
      <c r="H29">
        <v>4</v>
      </c>
      <c r="I29" t="s">
        <v>155</v>
      </c>
    </row>
    <row r="30" spans="2:18" x14ac:dyDescent="0.3">
      <c r="B30" s="196"/>
      <c r="C30" s="198"/>
      <c r="D30" s="198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9" t="s">
        <v>163</v>
      </c>
      <c r="C32" s="1"/>
      <c r="D32" s="1"/>
      <c r="F32" t="s">
        <v>164</v>
      </c>
    </row>
    <row r="33" spans="2:18" x14ac:dyDescent="0.3">
      <c r="B33" s="199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782.285475187766</v>
      </c>
      <c r="E5" s="172">
        <f t="shared" si="0"/>
        <v>782.285475187766</v>
      </c>
      <c r="F5" s="172">
        <f t="shared" si="0"/>
        <v>18.500000003277801</v>
      </c>
      <c r="G5" s="172">
        <f t="shared" si="0"/>
        <v>2</v>
      </c>
      <c r="H5" s="172">
        <f t="shared" si="0"/>
        <v>782.285475187766</v>
      </c>
      <c r="I5" s="172">
        <f t="shared" si="0"/>
        <v>782.285475187766</v>
      </c>
      <c r="J5" s="172">
        <f t="shared" si="0"/>
        <v>18.500000003277801</v>
      </c>
      <c r="K5" s="172">
        <f t="shared" si="0"/>
        <v>2</v>
      </c>
      <c r="L5" s="172">
        <f t="shared" si="0"/>
        <v>15.873163171068001</v>
      </c>
      <c r="M5" s="172">
        <f t="shared" si="0"/>
        <v>3.2065025694284301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7792.0105378261896</v>
      </c>
      <c r="E6" s="172">
        <f t="shared" si="1"/>
        <v>7792.0105378261896</v>
      </c>
      <c r="F6" s="172">
        <f t="shared" si="1"/>
        <v>9.8031700752035107</v>
      </c>
      <c r="G6" s="172">
        <f t="shared" si="1"/>
        <v>6.6093520234643899</v>
      </c>
      <c r="H6" s="172">
        <f t="shared" si="1"/>
        <v>7792.0105378261896</v>
      </c>
      <c r="I6" s="172">
        <f t="shared" si="1"/>
        <v>7792.0105378261896</v>
      </c>
      <c r="J6" s="172">
        <f t="shared" si="1"/>
        <v>9.8031700752035107</v>
      </c>
      <c r="K6" s="172">
        <f t="shared" si="1"/>
        <v>6.6093520234643899</v>
      </c>
      <c r="L6" s="172">
        <f t="shared" si="1"/>
        <v>10.2310681242804</v>
      </c>
      <c r="M6" s="172">
        <f t="shared" si="1"/>
        <v>6.0777289194530804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9639.6459369793702</v>
      </c>
      <c r="E7" s="172">
        <f t="shared" si="2"/>
        <v>9639.6459369793702</v>
      </c>
      <c r="F7" s="172">
        <f t="shared" si="2"/>
        <v>9.5757672962429403</v>
      </c>
      <c r="G7" s="172">
        <f t="shared" si="2"/>
        <v>6.75884747939556</v>
      </c>
      <c r="H7" s="172">
        <f t="shared" si="2"/>
        <v>9639.6459369793702</v>
      </c>
      <c r="I7" s="172">
        <f t="shared" si="2"/>
        <v>9639.6459369793702</v>
      </c>
      <c r="J7" s="172">
        <f t="shared" si="2"/>
        <v>9.5757672962429403</v>
      </c>
      <c r="K7" s="172">
        <f t="shared" si="2"/>
        <v>6.75884747939556</v>
      </c>
      <c r="L7" s="172">
        <f t="shared" si="2"/>
        <v>10.464413107497201</v>
      </c>
      <c r="M7" s="172">
        <f t="shared" si="2"/>
        <v>6.0012391585952702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9639.6459369793702</v>
      </c>
      <c r="E8" s="172">
        <f t="shared" si="3"/>
        <v>9639.6459369793702</v>
      </c>
      <c r="F8" s="172">
        <f t="shared" si="3"/>
        <v>9.5757672962429403</v>
      </c>
      <c r="G8" s="172">
        <f t="shared" si="3"/>
        <v>6.75884747939556</v>
      </c>
      <c r="H8" s="172">
        <f t="shared" si="3"/>
        <v>9639.6459369793702</v>
      </c>
      <c r="I8" s="172">
        <f t="shared" si="3"/>
        <v>9639.6459369793702</v>
      </c>
      <c r="J8" s="172">
        <f t="shared" si="3"/>
        <v>9.5757672962429403</v>
      </c>
      <c r="K8" s="172">
        <f t="shared" si="3"/>
        <v>6.75884747939556</v>
      </c>
      <c r="L8" s="172">
        <f t="shared" si="3"/>
        <v>10.7015897336143</v>
      </c>
      <c r="M8" s="172">
        <f t="shared" si="3"/>
        <v>5.9185861408284497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9639.6459369793702</v>
      </c>
      <c r="E9" s="172">
        <f t="shared" si="4"/>
        <v>9639.6459369793702</v>
      </c>
      <c r="F9" s="172">
        <f t="shared" si="4"/>
        <v>9.5757672962429403</v>
      </c>
      <c r="G9" s="172">
        <f t="shared" si="4"/>
        <v>6.75884747939556</v>
      </c>
      <c r="H9" s="172">
        <f t="shared" si="4"/>
        <v>9639.6459369793702</v>
      </c>
      <c r="I9" s="172">
        <f t="shared" si="4"/>
        <v>9639.6459369793702</v>
      </c>
      <c r="J9" s="172">
        <f t="shared" si="4"/>
        <v>9.5757672962429403</v>
      </c>
      <c r="K9" s="172">
        <f t="shared" si="4"/>
        <v>6.75884747939556</v>
      </c>
      <c r="L9" s="172">
        <f t="shared" si="4"/>
        <v>10.9305205947229</v>
      </c>
      <c r="M9" s="172">
        <f t="shared" si="4"/>
        <v>5.8381360626113796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9639.6459369793702</v>
      </c>
      <c r="E10" s="172">
        <f t="shared" si="5"/>
        <v>9639.6459369793702</v>
      </c>
      <c r="F10" s="172">
        <f t="shared" si="5"/>
        <v>9.5757672962429403</v>
      </c>
      <c r="G10" s="172">
        <f t="shared" si="5"/>
        <v>6.75884747939556</v>
      </c>
      <c r="H10" s="172">
        <f t="shared" si="5"/>
        <v>9639.6459369793702</v>
      </c>
      <c r="I10" s="172">
        <f t="shared" si="5"/>
        <v>9639.6459369793702</v>
      </c>
      <c r="J10" s="172">
        <f t="shared" si="5"/>
        <v>9.5757672962429403</v>
      </c>
      <c r="K10" s="172">
        <f t="shared" si="5"/>
        <v>6.75884747939556</v>
      </c>
      <c r="L10" s="172">
        <f t="shared" si="5"/>
        <v>11.1529763537105</v>
      </c>
      <c r="M10" s="172">
        <f t="shared" si="5"/>
        <v>5.7588939645046198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9639.6459369793702</v>
      </c>
      <c r="E11" s="172">
        <f t="shared" si="6"/>
        <v>9639.6459369793702</v>
      </c>
      <c r="F11" s="172">
        <f t="shared" si="6"/>
        <v>9.5757672962429403</v>
      </c>
      <c r="G11" s="172">
        <f t="shared" si="6"/>
        <v>6.75884747939556</v>
      </c>
      <c r="H11" s="172">
        <f t="shared" si="6"/>
        <v>9639.6459369793702</v>
      </c>
      <c r="I11" s="172">
        <f t="shared" si="6"/>
        <v>9639.6459369793702</v>
      </c>
      <c r="J11" s="172">
        <f t="shared" si="6"/>
        <v>9.5757672962429403</v>
      </c>
      <c r="K11" s="172">
        <f t="shared" si="6"/>
        <v>6.75884747939556</v>
      </c>
      <c r="L11" s="172">
        <f t="shared" si="6"/>
        <v>11.369610552739699</v>
      </c>
      <c r="M11" s="172">
        <f t="shared" si="6"/>
        <v>5.6801792764906196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9773.2695468082002</v>
      </c>
      <c r="E12" s="172">
        <f t="shared" si="7"/>
        <v>9773.2695468082002</v>
      </c>
      <c r="F12" s="172">
        <f t="shared" si="7"/>
        <v>9.6978332809355994</v>
      </c>
      <c r="G12" s="172">
        <f t="shared" si="7"/>
        <v>6.6937828277172198</v>
      </c>
      <c r="H12" s="172">
        <f t="shared" si="7"/>
        <v>9773.2695468082002</v>
      </c>
      <c r="I12" s="172">
        <f t="shared" si="7"/>
        <v>9773.2695468082002</v>
      </c>
      <c r="J12" s="172">
        <f t="shared" si="7"/>
        <v>9.6978332809355994</v>
      </c>
      <c r="K12" s="172">
        <f t="shared" si="7"/>
        <v>6.6937828277172198</v>
      </c>
      <c r="L12" s="172">
        <f t="shared" si="7"/>
        <v>11.5647337728461</v>
      </c>
      <c r="M12" s="172">
        <f t="shared" si="7"/>
        <v>5.6204396335252396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9773.2695468082002</v>
      </c>
      <c r="E13" s="172">
        <f t="shared" si="8"/>
        <v>9773.2695468082002</v>
      </c>
      <c r="F13" s="172">
        <f t="shared" si="8"/>
        <v>9.6978332809355994</v>
      </c>
      <c r="G13" s="172">
        <f t="shared" si="8"/>
        <v>6.6937828277172198</v>
      </c>
      <c r="H13" s="172">
        <f t="shared" si="8"/>
        <v>9773.2695468082002</v>
      </c>
      <c r="I13" s="172">
        <f t="shared" si="8"/>
        <v>9773.2695468082002</v>
      </c>
      <c r="J13" s="172">
        <f t="shared" si="8"/>
        <v>9.6978332809355994</v>
      </c>
      <c r="K13" s="172">
        <f t="shared" si="8"/>
        <v>6.6937828277172198</v>
      </c>
      <c r="L13" s="172">
        <f t="shared" si="8"/>
        <v>11.722285650529001</v>
      </c>
      <c r="M13" s="172">
        <f t="shared" si="8"/>
        <v>5.5929494817654097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9773.2695468082002</v>
      </c>
      <c r="E14" s="172">
        <f t="shared" si="9"/>
        <v>9773.2695468082002</v>
      </c>
      <c r="F14" s="172">
        <f t="shared" si="9"/>
        <v>9.6978332809355994</v>
      </c>
      <c r="G14" s="172">
        <f t="shared" si="9"/>
        <v>6.6937828277172198</v>
      </c>
      <c r="H14" s="172">
        <f t="shared" si="9"/>
        <v>9773.2695468082002</v>
      </c>
      <c r="I14" s="172">
        <f t="shared" si="9"/>
        <v>9773.2695468082002</v>
      </c>
      <c r="J14" s="172">
        <f t="shared" si="9"/>
        <v>9.6978332809355994</v>
      </c>
      <c r="K14" s="172">
        <f t="shared" si="9"/>
        <v>6.6937828277172198</v>
      </c>
      <c r="L14" s="172">
        <f t="shared" si="9"/>
        <v>11.816927194065601</v>
      </c>
      <c r="M14" s="172">
        <f t="shared" si="9"/>
        <v>5.6255133508654396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10130.0365199105</v>
      </c>
      <c r="E15" s="172">
        <f t="shared" si="10"/>
        <v>10130.0365199105</v>
      </c>
      <c r="F15" s="172">
        <f t="shared" si="10"/>
        <v>9.7643812066201097</v>
      </c>
      <c r="G15" s="172">
        <f t="shared" si="10"/>
        <v>6.6688814096821103</v>
      </c>
      <c r="H15" s="172">
        <f t="shared" si="10"/>
        <v>10130.0365199105</v>
      </c>
      <c r="I15" s="172">
        <f t="shared" si="10"/>
        <v>10130.0365199105</v>
      </c>
      <c r="J15" s="172">
        <f t="shared" si="10"/>
        <v>9.7643812066201097</v>
      </c>
      <c r="K15" s="172">
        <f t="shared" si="10"/>
        <v>6.6688814096821103</v>
      </c>
      <c r="L15" s="172">
        <f t="shared" si="10"/>
        <v>11.7435247275717</v>
      </c>
      <c r="M15" s="172">
        <f t="shared" si="10"/>
        <v>5.8493199065658699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10130.0365199105</v>
      </c>
      <c r="E23" s="172">
        <v>10130.0365199105</v>
      </c>
      <c r="F23" s="172">
        <v>9.7643812066201097</v>
      </c>
      <c r="G23" s="172">
        <v>6.6688814096821103</v>
      </c>
      <c r="H23" s="172">
        <v>10130.0365199105</v>
      </c>
      <c r="I23" s="172">
        <v>10130.0365199105</v>
      </c>
      <c r="J23" s="172">
        <v>9.7643812066201097</v>
      </c>
      <c r="K23" s="172">
        <v>6.6688814096821103</v>
      </c>
      <c r="L23" s="172">
        <v>11.7435247275717</v>
      </c>
      <c r="M23" s="172">
        <v>5.8493199065658699</v>
      </c>
    </row>
    <row r="24" spans="2:15" x14ac:dyDescent="0.3">
      <c r="B24" s="172" t="s">
        <v>24</v>
      </c>
      <c r="C24" s="172" t="s">
        <v>175</v>
      </c>
      <c r="D24" s="172">
        <v>9773.2695468082002</v>
      </c>
      <c r="E24" s="172">
        <v>9773.2695468082002</v>
      </c>
      <c r="F24" s="172">
        <v>9.6978332809355994</v>
      </c>
      <c r="G24" s="172">
        <v>6.6937828277172198</v>
      </c>
      <c r="H24" s="172">
        <v>9773.2695468082002</v>
      </c>
      <c r="I24" s="172">
        <v>9773.2695468082002</v>
      </c>
      <c r="J24" s="172">
        <v>9.6978332809355994</v>
      </c>
      <c r="K24" s="172">
        <v>6.6937828277172198</v>
      </c>
      <c r="L24" s="172">
        <v>11.816927194065601</v>
      </c>
      <c r="M24" s="172">
        <v>5.6255133508654396</v>
      </c>
    </row>
    <row r="25" spans="2:15" x14ac:dyDescent="0.3">
      <c r="B25" s="172" t="s">
        <v>25</v>
      </c>
      <c r="C25" s="172" t="s">
        <v>176</v>
      </c>
      <c r="D25" s="172">
        <v>9773.2695468082002</v>
      </c>
      <c r="E25" s="172">
        <v>9773.2695468082002</v>
      </c>
      <c r="F25" s="172">
        <v>9.6978332809355994</v>
      </c>
      <c r="G25" s="172">
        <v>6.6937828277172198</v>
      </c>
      <c r="H25" s="172">
        <v>9773.2695468082002</v>
      </c>
      <c r="I25" s="172">
        <v>9773.2695468082002</v>
      </c>
      <c r="J25" s="172">
        <v>9.6978332809355994</v>
      </c>
      <c r="K25" s="172">
        <v>6.6937828277172198</v>
      </c>
      <c r="L25" s="172">
        <v>11.722285650529001</v>
      </c>
      <c r="M25" s="172">
        <v>5.5929494817654097</v>
      </c>
    </row>
    <row r="26" spans="2:15" x14ac:dyDescent="0.3">
      <c r="B26" s="172" t="s">
        <v>26</v>
      </c>
      <c r="C26" s="172" t="s">
        <v>177</v>
      </c>
      <c r="D26" s="172">
        <v>9773.2695468082002</v>
      </c>
      <c r="E26" s="172">
        <v>9773.2695468082002</v>
      </c>
      <c r="F26" s="172">
        <v>9.6978332809355994</v>
      </c>
      <c r="G26" s="172">
        <v>6.6937828277172198</v>
      </c>
      <c r="H26" s="172">
        <v>9773.2695468082002</v>
      </c>
      <c r="I26" s="172">
        <v>9773.2695468082002</v>
      </c>
      <c r="J26" s="172">
        <v>9.6978332809355994</v>
      </c>
      <c r="K26" s="172">
        <v>6.6937828277172198</v>
      </c>
      <c r="L26" s="172">
        <v>11.5647337728461</v>
      </c>
      <c r="M26" s="172">
        <v>5.6204396335252396</v>
      </c>
    </row>
    <row r="27" spans="2:15" x14ac:dyDescent="0.3">
      <c r="B27" s="172" t="s">
        <v>39</v>
      </c>
      <c r="C27" s="172" t="s">
        <v>178</v>
      </c>
      <c r="D27" s="172">
        <v>9639.6459369793702</v>
      </c>
      <c r="E27" s="172">
        <v>9639.6459369793702</v>
      </c>
      <c r="F27" s="172">
        <v>9.5757672962429403</v>
      </c>
      <c r="G27" s="172">
        <v>6.75884747939556</v>
      </c>
      <c r="H27" s="172">
        <v>9639.6459369793702</v>
      </c>
      <c r="I27" s="172">
        <v>9639.6459369793702</v>
      </c>
      <c r="J27" s="172">
        <v>9.5757672962429403</v>
      </c>
      <c r="K27" s="172">
        <v>6.75884747939556</v>
      </c>
      <c r="L27" s="172">
        <v>11.369610552739699</v>
      </c>
      <c r="M27" s="172">
        <v>5.6801792764906196</v>
      </c>
    </row>
    <row r="28" spans="2:15" x14ac:dyDescent="0.3">
      <c r="B28" s="172" t="s">
        <v>179</v>
      </c>
      <c r="C28" s="172" t="s">
        <v>180</v>
      </c>
      <c r="D28" s="172">
        <v>9639.6459369793702</v>
      </c>
      <c r="E28" s="172">
        <v>9639.6459369793702</v>
      </c>
      <c r="F28" s="172">
        <v>9.5757672962429403</v>
      </c>
      <c r="G28" s="172">
        <v>6.75884747939556</v>
      </c>
      <c r="H28" s="172">
        <v>9639.6459369793702</v>
      </c>
      <c r="I28" s="172">
        <v>9639.6459369793702</v>
      </c>
      <c r="J28" s="172">
        <v>9.5757672962429403</v>
      </c>
      <c r="K28" s="172">
        <v>6.75884747939556</v>
      </c>
      <c r="L28" s="172">
        <v>11.1529763537105</v>
      </c>
      <c r="M28" s="172">
        <v>5.7588939645046198</v>
      </c>
    </row>
    <row r="29" spans="2:15" x14ac:dyDescent="0.3">
      <c r="B29" s="172" t="s">
        <v>181</v>
      </c>
      <c r="C29" s="172" t="s">
        <v>182</v>
      </c>
      <c r="D29" s="172">
        <v>9639.6459369793702</v>
      </c>
      <c r="E29" s="172">
        <v>9639.6459369793702</v>
      </c>
      <c r="F29" s="172">
        <v>9.5757672962429403</v>
      </c>
      <c r="G29" s="172">
        <v>6.75884747939556</v>
      </c>
      <c r="H29" s="172">
        <v>9639.6459369793702</v>
      </c>
      <c r="I29" s="172">
        <v>9639.6459369793702</v>
      </c>
      <c r="J29" s="172">
        <v>9.5757672962429403</v>
      </c>
      <c r="K29" s="172">
        <v>6.75884747939556</v>
      </c>
      <c r="L29" s="172">
        <v>10.9305205947229</v>
      </c>
      <c r="M29" s="172">
        <v>5.8381360626113796</v>
      </c>
    </row>
    <row r="30" spans="2:15" x14ac:dyDescent="0.3">
      <c r="B30" s="172" t="s">
        <v>183</v>
      </c>
      <c r="C30" s="172" t="s">
        <v>184</v>
      </c>
      <c r="D30" s="172">
        <v>9639.6459369793702</v>
      </c>
      <c r="E30" s="172">
        <v>9639.6459369793702</v>
      </c>
      <c r="F30" s="172">
        <v>9.5757672962429403</v>
      </c>
      <c r="G30" s="172">
        <v>6.75884747939556</v>
      </c>
      <c r="H30" s="172">
        <v>9639.6459369793702</v>
      </c>
      <c r="I30" s="172">
        <v>9639.6459369793702</v>
      </c>
      <c r="J30" s="172">
        <v>9.5757672962429403</v>
      </c>
      <c r="K30" s="172">
        <v>6.75884747939556</v>
      </c>
      <c r="L30" s="172">
        <v>10.7015897336143</v>
      </c>
      <c r="M30" s="172">
        <v>5.9185861408284497</v>
      </c>
    </row>
    <row r="31" spans="2:15" x14ac:dyDescent="0.3">
      <c r="B31" s="172" t="s">
        <v>185</v>
      </c>
      <c r="C31" s="172" t="s">
        <v>186</v>
      </c>
      <c r="D31" s="172">
        <v>9639.6459369793702</v>
      </c>
      <c r="E31" s="172">
        <v>9639.6459369793702</v>
      </c>
      <c r="F31" s="172">
        <v>9.5757672962429403</v>
      </c>
      <c r="G31" s="172">
        <v>6.75884747939556</v>
      </c>
      <c r="H31" s="172">
        <v>9639.6459369793702</v>
      </c>
      <c r="I31" s="172">
        <v>9639.6459369793702</v>
      </c>
      <c r="J31" s="172">
        <v>9.5757672962429403</v>
      </c>
      <c r="K31" s="172">
        <v>6.75884747939556</v>
      </c>
      <c r="L31" s="172">
        <v>10.464413107497201</v>
      </c>
      <c r="M31" s="172">
        <v>6.0012391585952702</v>
      </c>
    </row>
    <row r="32" spans="2:15" x14ac:dyDescent="0.3">
      <c r="B32" s="172" t="s">
        <v>187</v>
      </c>
      <c r="C32" s="172" t="s">
        <v>188</v>
      </c>
      <c r="D32" s="172">
        <v>7792.0105378261896</v>
      </c>
      <c r="E32" s="172">
        <v>7792.0105378261896</v>
      </c>
      <c r="F32" s="172">
        <v>9.8031700752035107</v>
      </c>
      <c r="G32" s="172">
        <v>6.6093520234643899</v>
      </c>
      <c r="H32" s="172">
        <v>7792.0105378261896</v>
      </c>
      <c r="I32" s="172">
        <v>7792.0105378261896</v>
      </c>
      <c r="J32" s="172">
        <v>9.8031700752035107</v>
      </c>
      <c r="K32" s="172">
        <v>6.6093520234643899</v>
      </c>
      <c r="L32" s="172">
        <v>10.2310681242804</v>
      </c>
      <c r="M32" s="172">
        <v>6.0777289194530804</v>
      </c>
    </row>
    <row r="33" spans="2:13" x14ac:dyDescent="0.3">
      <c r="B33" s="172" t="s">
        <v>189</v>
      </c>
      <c r="C33" s="172" t="s">
        <v>190</v>
      </c>
      <c r="D33" s="172">
        <v>782.285475187766</v>
      </c>
      <c r="E33" s="172">
        <v>782.285475187766</v>
      </c>
      <c r="F33" s="172">
        <v>18.500000003277801</v>
      </c>
      <c r="G33" s="172">
        <v>2</v>
      </c>
      <c r="H33" s="172">
        <v>782.285475187766</v>
      </c>
      <c r="I33" s="172">
        <v>782.285475187766</v>
      </c>
      <c r="J33" s="172">
        <v>18.500000003277801</v>
      </c>
      <c r="K33" s="172">
        <v>2</v>
      </c>
      <c r="L33" s="172">
        <v>15.873163171068001</v>
      </c>
      <c r="M33" s="172">
        <v>3.2065025694284301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198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hidden="1" x14ac:dyDescent="0.3">
      <c r="B6" s="172" t="s">
        <v>189</v>
      </c>
      <c r="C6" s="172" t="s">
        <v>259</v>
      </c>
      <c r="D6" s="172" t="s">
        <v>260</v>
      </c>
      <c r="E6" s="172" t="s">
        <v>72</v>
      </c>
      <c r="F6" s="172">
        <v>6.7652557511870205E-10</v>
      </c>
      <c r="G6" s="172">
        <v>937.09549296813998</v>
      </c>
      <c r="H6" s="172">
        <v>700.54121109847404</v>
      </c>
      <c r="I6" s="172">
        <v>14022.782179120501</v>
      </c>
      <c r="J6" s="172">
        <v>1.63018179912408E-9</v>
      </c>
      <c r="K6" s="172">
        <v>1.35483335735155E-8</v>
      </c>
    </row>
    <row r="7" spans="2:12" hidden="1" x14ac:dyDescent="0.3">
      <c r="B7" s="172" t="s">
        <v>189</v>
      </c>
      <c r="C7" s="172" t="s">
        <v>259</v>
      </c>
      <c r="D7" s="172" t="s">
        <v>260</v>
      </c>
      <c r="E7" s="172" t="s">
        <v>201</v>
      </c>
      <c r="F7" s="172">
        <v>6.9876056874983999E-10</v>
      </c>
      <c r="G7" s="172">
        <v>937.09549296824696</v>
      </c>
      <c r="H7" s="172">
        <v>700.54121109797904</v>
      </c>
      <c r="I7" s="172">
        <v>14022.7821791116</v>
      </c>
      <c r="J7" s="172">
        <v>2101.6236332951698</v>
      </c>
      <c r="K7" s="172">
        <v>2811.28647889374</v>
      </c>
    </row>
    <row r="8" spans="2:12" x14ac:dyDescent="0.3">
      <c r="B8" s="172" t="s">
        <v>189</v>
      </c>
      <c r="C8" s="172" t="s">
        <v>261</v>
      </c>
      <c r="D8" s="172" t="s">
        <v>260</v>
      </c>
      <c r="E8" s="172" t="s">
        <v>72</v>
      </c>
      <c r="F8" s="172">
        <v>1.86173822328143E-10</v>
      </c>
      <c r="G8" s="172">
        <v>377.63866591101998</v>
      </c>
      <c r="H8" s="172">
        <v>744.39535288190302</v>
      </c>
      <c r="I8" s="172">
        <v>13684.558317291699</v>
      </c>
      <c r="J8" s="172">
        <v>6.4482408604642199E-10</v>
      </c>
      <c r="K8" s="172">
        <v>3.6504686086980499E-9</v>
      </c>
    </row>
    <row r="9" spans="2:12" hidden="1" x14ac:dyDescent="0.3">
      <c r="B9" s="172" t="s">
        <v>189</v>
      </c>
      <c r="C9" s="172" t="s">
        <v>261</v>
      </c>
      <c r="D9" s="172" t="s">
        <v>260</v>
      </c>
      <c r="E9" s="172" t="s">
        <v>201</v>
      </c>
      <c r="F9" s="172">
        <v>1.8245946520243299E-10</v>
      </c>
      <c r="G9" s="172">
        <v>377.63866591108399</v>
      </c>
      <c r="H9" s="172">
        <v>744.39535288147397</v>
      </c>
      <c r="I9" s="172">
        <v>13684.558317282699</v>
      </c>
      <c r="J9" s="172">
        <v>2233.18605864349</v>
      </c>
      <c r="K9" s="172">
        <v>1132.91599773199</v>
      </c>
    </row>
    <row r="10" spans="2:12" hidden="1" x14ac:dyDescent="0.3">
      <c r="B10" s="172" t="s">
        <v>187</v>
      </c>
      <c r="C10" s="172" t="s">
        <v>259</v>
      </c>
      <c r="D10" s="172" t="s">
        <v>260</v>
      </c>
      <c r="E10" s="172" t="s">
        <v>72</v>
      </c>
      <c r="F10" s="172">
        <v>6.2353060669798697E-8</v>
      </c>
      <c r="G10" s="172">
        <v>12186.839524898</v>
      </c>
      <c r="H10" s="172">
        <v>3546.7300860169498</v>
      </c>
      <c r="I10" s="172">
        <v>128100.79373808</v>
      </c>
      <c r="J10" s="172">
        <v>2101.6236332900899</v>
      </c>
      <c r="K10" s="172">
        <v>2811.2864797479201</v>
      </c>
    </row>
    <row r="11" spans="2:12" hidden="1" x14ac:dyDescent="0.3">
      <c r="B11" s="172" t="s">
        <v>187</v>
      </c>
      <c r="C11" s="172" t="s">
        <v>259</v>
      </c>
      <c r="D11" s="172" t="s">
        <v>260</v>
      </c>
      <c r="E11" s="172" t="s">
        <v>201</v>
      </c>
      <c r="F11" s="172">
        <v>6.7270703700476E-8</v>
      </c>
      <c r="G11" s="172">
        <v>12711.7427808091</v>
      </c>
      <c r="H11" s="172">
        <v>3885.29410745838</v>
      </c>
      <c r="I11" s="172">
        <v>135442.64486842</v>
      </c>
      <c r="J11" s="172">
        <v>14734.272296986101</v>
      </c>
      <c r="K11" s="172">
        <v>46210.379214022301</v>
      </c>
    </row>
    <row r="12" spans="2:12" x14ac:dyDescent="0.3">
      <c r="B12" s="172" t="s">
        <v>187</v>
      </c>
      <c r="C12" s="172" t="s">
        <v>261</v>
      </c>
      <c r="D12" s="172" t="s">
        <v>260</v>
      </c>
      <c r="E12" s="172" t="s">
        <v>72</v>
      </c>
      <c r="F12" s="172">
        <v>1.7384827734985501E-8</v>
      </c>
      <c r="G12" s="172">
        <v>3293.2230283467602</v>
      </c>
      <c r="H12" s="172">
        <v>10995.592248376301</v>
      </c>
      <c r="I12" s="172">
        <v>89294.7058093003</v>
      </c>
      <c r="J12" s="172">
        <v>2233.1860586392199</v>
      </c>
      <c r="K12" s="172">
        <v>1132.9159979009</v>
      </c>
    </row>
    <row r="13" spans="2:12" hidden="1" x14ac:dyDescent="0.3">
      <c r="B13" s="172" t="s">
        <v>187</v>
      </c>
      <c r="C13" s="172" t="s">
        <v>261</v>
      </c>
      <c r="D13" s="172" t="s">
        <v>260</v>
      </c>
      <c r="E13" s="172" t="s">
        <v>201</v>
      </c>
      <c r="F13" s="172">
        <v>1.8119382271503899E-8</v>
      </c>
      <c r="G13" s="172">
        <v>3404.5141412544699</v>
      </c>
      <c r="H13" s="172">
        <v>11347.305200748</v>
      </c>
      <c r="I13" s="172">
        <v>97272.906190769907</v>
      </c>
      <c r="J13" s="172">
        <v>40966.3621613547</v>
      </c>
      <c r="K13" s="172">
        <v>12409.8895161037</v>
      </c>
    </row>
    <row r="14" spans="2:12" hidden="1" x14ac:dyDescent="0.3">
      <c r="B14" s="172" t="s">
        <v>185</v>
      </c>
      <c r="C14" s="172" t="s">
        <v>259</v>
      </c>
      <c r="D14" s="172" t="s">
        <v>260</v>
      </c>
      <c r="E14" s="172" t="s">
        <v>72</v>
      </c>
      <c r="F14" s="172">
        <v>1.3349945248635199E-7</v>
      </c>
      <c r="G14" s="172">
        <v>25335.994247724098</v>
      </c>
      <c r="H14" s="172">
        <v>6885.5921895474303</v>
      </c>
      <c r="I14" s="172">
        <v>263093.440425571</v>
      </c>
      <c r="J14" s="172">
        <v>14734.2722973456</v>
      </c>
      <c r="K14" s="172">
        <v>46210.379211044201</v>
      </c>
    </row>
    <row r="15" spans="2:12" hidden="1" x14ac:dyDescent="0.3">
      <c r="B15" s="172" t="s">
        <v>185</v>
      </c>
      <c r="C15" s="172" t="s">
        <v>259</v>
      </c>
      <c r="D15" s="172" t="s">
        <v>260</v>
      </c>
      <c r="E15" s="172" t="s">
        <v>201</v>
      </c>
      <c r="F15" s="172">
        <v>1.34841179456932E-7</v>
      </c>
      <c r="G15" s="172">
        <v>25787.7696515057</v>
      </c>
      <c r="H15" s="172">
        <v>7165.5526179553899</v>
      </c>
      <c r="I15" s="172">
        <v>269283.41932090302</v>
      </c>
      <c r="J15" s="172">
        <v>39076.853415098798</v>
      </c>
      <c r="K15" s="172">
        <v>135394.000283086</v>
      </c>
    </row>
    <row r="16" spans="2:12" x14ac:dyDescent="0.3">
      <c r="B16" s="172" t="s">
        <v>185</v>
      </c>
      <c r="C16" s="172" t="s">
        <v>261</v>
      </c>
      <c r="D16" s="172" t="s">
        <v>260</v>
      </c>
      <c r="E16" s="172" t="s">
        <v>72</v>
      </c>
      <c r="F16" s="172">
        <v>3.2789836428426398E-8</v>
      </c>
      <c r="G16" s="172">
        <v>6572.3609504934102</v>
      </c>
      <c r="H16" s="172">
        <v>22718.800123879799</v>
      </c>
      <c r="I16" s="172">
        <v>179258.84675341699</v>
      </c>
      <c r="J16" s="172">
        <v>40966.362161376099</v>
      </c>
      <c r="K16" s="172">
        <v>12409.8895155963</v>
      </c>
    </row>
    <row r="17" spans="2:11" hidden="1" x14ac:dyDescent="0.3">
      <c r="B17" s="172" t="s">
        <v>185</v>
      </c>
      <c r="C17" s="172" t="s">
        <v>261</v>
      </c>
      <c r="D17" s="172" t="s">
        <v>260</v>
      </c>
      <c r="E17" s="172" t="s">
        <v>201</v>
      </c>
      <c r="F17" s="172">
        <v>3.0722353488467799E-8</v>
      </c>
      <c r="G17" s="172">
        <v>6656.3444167550397</v>
      </c>
      <c r="H17" s="172">
        <v>23015.9481503967</v>
      </c>
      <c r="I17" s="172">
        <v>185961.166542983</v>
      </c>
      <c r="J17" s="172">
        <v>120824.594749137</v>
      </c>
      <c r="K17" s="172">
        <v>35304.508290216501</v>
      </c>
    </row>
    <row r="18" spans="2:11" hidden="1" x14ac:dyDescent="0.3">
      <c r="B18" s="172" t="s">
        <v>183</v>
      </c>
      <c r="C18" s="172" t="s">
        <v>259</v>
      </c>
      <c r="D18" s="172" t="s">
        <v>260</v>
      </c>
      <c r="E18" s="172" t="s">
        <v>72</v>
      </c>
      <c r="F18" s="172">
        <v>2.83071367334343E-7</v>
      </c>
      <c r="G18" s="172">
        <v>36552.296567028199</v>
      </c>
      <c r="H18" s="172">
        <v>9533.1938698692993</v>
      </c>
      <c r="I18" s="172">
        <v>377447.23718023201</v>
      </c>
      <c r="J18" s="172">
        <v>39076.853415240999</v>
      </c>
      <c r="K18" s="172">
        <v>135394.000280821</v>
      </c>
    </row>
    <row r="19" spans="2:11" hidden="1" x14ac:dyDescent="0.3">
      <c r="B19" s="172" t="s">
        <v>183</v>
      </c>
      <c r="C19" s="172" t="s">
        <v>259</v>
      </c>
      <c r="D19" s="172" t="s">
        <v>260</v>
      </c>
      <c r="E19" s="172" t="s">
        <v>201</v>
      </c>
      <c r="F19" s="172">
        <v>2.9378995606976199E-7</v>
      </c>
      <c r="G19" s="172">
        <v>36934.545056001203</v>
      </c>
      <c r="H19" s="172">
        <v>9766.5224213792408</v>
      </c>
      <c r="I19" s="172">
        <v>382655.000713936</v>
      </c>
      <c r="J19" s="172">
        <v>72370.871651216905</v>
      </c>
      <c r="K19" s="172">
        <v>263057.68104927801</v>
      </c>
    </row>
    <row r="20" spans="2:11" x14ac:dyDescent="0.3">
      <c r="B20" s="172" t="s">
        <v>183</v>
      </c>
      <c r="C20" s="172" t="s">
        <v>261</v>
      </c>
      <c r="D20" s="172" t="s">
        <v>260</v>
      </c>
      <c r="E20" s="172" t="s">
        <v>72</v>
      </c>
      <c r="F20" s="172">
        <v>6.7287694925206705E-8</v>
      </c>
      <c r="G20" s="172">
        <v>9175.22962071234</v>
      </c>
      <c r="H20" s="172">
        <v>32384.517611995601</v>
      </c>
      <c r="I20" s="172">
        <v>253813.43410099499</v>
      </c>
      <c r="J20" s="172">
        <v>120824.594749143</v>
      </c>
      <c r="K20" s="172">
        <v>35304.5082898568</v>
      </c>
    </row>
    <row r="21" spans="2:11" hidden="1" x14ac:dyDescent="0.3">
      <c r="B21" s="172" t="s">
        <v>183</v>
      </c>
      <c r="C21" s="172" t="s">
        <v>261</v>
      </c>
      <c r="D21" s="172" t="s">
        <v>260</v>
      </c>
      <c r="E21" s="172" t="s">
        <v>201</v>
      </c>
      <c r="F21" s="172">
        <v>7.0206713916540794E-8</v>
      </c>
      <c r="G21" s="172">
        <v>9241.4232632727708</v>
      </c>
      <c r="H21" s="172">
        <v>32627.1538744834</v>
      </c>
      <c r="I21" s="172">
        <v>259300.83054802299</v>
      </c>
      <c r="J21" s="172">
        <v>233803.72602230599</v>
      </c>
      <c r="K21" s="172">
        <v>66943.392986062696</v>
      </c>
    </row>
    <row r="22" spans="2:11" hidden="1" x14ac:dyDescent="0.3">
      <c r="B22" s="172" t="s">
        <v>181</v>
      </c>
      <c r="C22" s="172" t="s">
        <v>259</v>
      </c>
      <c r="D22" s="172" t="s">
        <v>260</v>
      </c>
      <c r="E22" s="172" t="s">
        <v>72</v>
      </c>
      <c r="F22" s="172">
        <v>4.7452136748852501E-7</v>
      </c>
      <c r="G22" s="172">
        <v>46089.746816012703</v>
      </c>
      <c r="H22" s="172">
        <v>11683.257388681001</v>
      </c>
      <c r="I22" s="172">
        <v>474428.40277991199</v>
      </c>
      <c r="J22" s="172">
        <v>72370.871651413399</v>
      </c>
      <c r="K22" s="172">
        <v>263057.68104648299</v>
      </c>
    </row>
    <row r="23" spans="2:11" hidden="1" x14ac:dyDescent="0.3">
      <c r="B23" s="172" t="s">
        <v>181</v>
      </c>
      <c r="C23" s="172" t="s">
        <v>259</v>
      </c>
      <c r="D23" s="172" t="s">
        <v>260</v>
      </c>
      <c r="E23" s="172" t="s">
        <v>201</v>
      </c>
      <c r="F23" s="172">
        <v>4.7052515695389099E-7</v>
      </c>
      <c r="G23" s="172">
        <v>46415.719451257297</v>
      </c>
      <c r="H23" s="172">
        <v>11880.998490966</v>
      </c>
      <c r="I23" s="172">
        <v>478858.99471516203</v>
      </c>
      <c r="J23" s="172">
        <v>112616.10323237001</v>
      </c>
      <c r="K23" s="172">
        <v>422743.51904492901</v>
      </c>
    </row>
    <row r="24" spans="2:11" x14ac:dyDescent="0.3">
      <c r="B24" s="172" t="s">
        <v>181</v>
      </c>
      <c r="C24" s="172" t="s">
        <v>261</v>
      </c>
      <c r="D24" s="172" t="s">
        <v>260</v>
      </c>
      <c r="E24" s="172" t="s">
        <v>72</v>
      </c>
      <c r="F24" s="172">
        <v>1.17158017694073E-7</v>
      </c>
      <c r="G24" s="172">
        <v>11284.881881216699</v>
      </c>
      <c r="H24" s="172">
        <v>40315.6454037769</v>
      </c>
      <c r="I24" s="172">
        <v>315234.39511764603</v>
      </c>
      <c r="J24" s="172">
        <v>233803.726022302</v>
      </c>
      <c r="K24" s="172">
        <v>66943.392985635204</v>
      </c>
    </row>
    <row r="25" spans="2:11" hidden="1" x14ac:dyDescent="0.3">
      <c r="B25" s="172" t="s">
        <v>181</v>
      </c>
      <c r="C25" s="172" t="s">
        <v>261</v>
      </c>
      <c r="D25" s="172" t="s">
        <v>260</v>
      </c>
      <c r="E25" s="172" t="s">
        <v>201</v>
      </c>
      <c r="F25" s="172">
        <v>1.15891260891158E-7</v>
      </c>
      <c r="G25" s="172">
        <v>11338.527735789599</v>
      </c>
      <c r="H25" s="172">
        <v>40514.058283689097</v>
      </c>
      <c r="I25" s="172">
        <v>319788.660756108</v>
      </c>
      <c r="J25" s="172">
        <v>373110.230922013</v>
      </c>
      <c r="K25" s="172">
        <v>105389.949516223</v>
      </c>
    </row>
    <row r="26" spans="2:11" hidden="1" x14ac:dyDescent="0.3">
      <c r="B26" s="172" t="s">
        <v>179</v>
      </c>
      <c r="C26" s="172" t="s">
        <v>259</v>
      </c>
      <c r="D26" s="172" t="s">
        <v>260</v>
      </c>
      <c r="E26" s="172" t="s">
        <v>72</v>
      </c>
      <c r="F26" s="172">
        <v>3.3996780147959901E-7</v>
      </c>
      <c r="G26" s="172">
        <v>54287.088818291399</v>
      </c>
      <c r="H26" s="172">
        <v>13507.479288543</v>
      </c>
      <c r="I26" s="172">
        <v>557673.765415414</v>
      </c>
      <c r="J26" s="172">
        <v>112616.10323209999</v>
      </c>
      <c r="K26" s="172">
        <v>422743.51904698001</v>
      </c>
    </row>
    <row r="27" spans="2:11" hidden="1" x14ac:dyDescent="0.3">
      <c r="B27" s="172" t="s">
        <v>179</v>
      </c>
      <c r="C27" s="172" t="s">
        <v>259</v>
      </c>
      <c r="D27" s="172" t="s">
        <v>260</v>
      </c>
      <c r="E27" s="172" t="s">
        <v>201</v>
      </c>
      <c r="F27" s="172">
        <v>3.2956301403166E-7</v>
      </c>
      <c r="G27" s="172">
        <v>54568.047724959302</v>
      </c>
      <c r="H27" s="172">
        <v>13678.724943990699</v>
      </c>
      <c r="I27" s="172">
        <v>561484.58509453002</v>
      </c>
      <c r="J27" s="172">
        <v>158508.271020516</v>
      </c>
      <c r="K27" s="172">
        <v>609246.41489233705</v>
      </c>
    </row>
    <row r="28" spans="2:11" x14ac:dyDescent="0.3">
      <c r="B28" s="172" t="s">
        <v>179</v>
      </c>
      <c r="C28" s="172" t="s">
        <v>261</v>
      </c>
      <c r="D28" s="172" t="s">
        <v>260</v>
      </c>
      <c r="E28" s="172" t="s">
        <v>72</v>
      </c>
      <c r="F28" s="172">
        <v>9.1753728763362803E-8</v>
      </c>
      <c r="G28" s="172">
        <v>13069.943012678399</v>
      </c>
      <c r="H28" s="172">
        <v>46996.635577723697</v>
      </c>
      <c r="I28" s="172">
        <v>367237.46203413903</v>
      </c>
      <c r="J28" s="172">
        <v>373110.23092196102</v>
      </c>
      <c r="K28" s="172">
        <v>105389.949516646</v>
      </c>
    </row>
    <row r="29" spans="2:11" hidden="1" x14ac:dyDescent="0.3">
      <c r="B29" s="172" t="s">
        <v>179</v>
      </c>
      <c r="C29" s="172" t="s">
        <v>261</v>
      </c>
      <c r="D29" s="172" t="s">
        <v>260</v>
      </c>
      <c r="E29" s="172" t="s">
        <v>201</v>
      </c>
      <c r="F29" s="172">
        <v>8.8852647758338696E-8</v>
      </c>
      <c r="G29" s="172">
        <v>13116.001106732399</v>
      </c>
      <c r="H29" s="172">
        <v>47165.3482608411</v>
      </c>
      <c r="I29" s="172">
        <v>371157.53539825999</v>
      </c>
      <c r="J29" s="172">
        <v>533626.02967910597</v>
      </c>
      <c r="K29" s="172">
        <v>149334.743799825</v>
      </c>
    </row>
    <row r="30" spans="2:11" hidden="1" x14ac:dyDescent="0.3">
      <c r="B30" s="172" t="s">
        <v>39</v>
      </c>
      <c r="C30" s="172" t="s">
        <v>259</v>
      </c>
      <c r="D30" s="172" t="s">
        <v>260</v>
      </c>
      <c r="E30" s="172" t="s">
        <v>72</v>
      </c>
      <c r="F30" s="172">
        <v>3.6212848311201198E-7</v>
      </c>
      <c r="G30" s="172">
        <v>61386.774000978301</v>
      </c>
      <c r="H30" s="172">
        <v>15083.5538871341</v>
      </c>
      <c r="I30" s="172">
        <v>629634.81513967295</v>
      </c>
      <c r="J30" s="172">
        <v>158508.27102059699</v>
      </c>
      <c r="K30" s="172">
        <v>609246.41489179898</v>
      </c>
    </row>
    <row r="31" spans="2:11" hidden="1" x14ac:dyDescent="0.3">
      <c r="B31" s="172" t="s">
        <v>39</v>
      </c>
      <c r="C31" s="172" t="s">
        <v>259</v>
      </c>
      <c r="D31" s="172" t="s">
        <v>260</v>
      </c>
      <c r="E31" s="172" t="s">
        <v>201</v>
      </c>
      <c r="F31" s="172">
        <v>3.5200011227981798E-7</v>
      </c>
      <c r="G31" s="172">
        <v>61629.0195307186</v>
      </c>
      <c r="H31" s="172">
        <v>15231.3783213845</v>
      </c>
      <c r="I31" s="172">
        <v>632907.37780173903</v>
      </c>
      <c r="J31" s="172">
        <v>209170.3927543</v>
      </c>
      <c r="K31" s="172">
        <v>818401.19824893505</v>
      </c>
    </row>
    <row r="32" spans="2:11" x14ac:dyDescent="0.3">
      <c r="B32" s="172" t="s">
        <v>39</v>
      </c>
      <c r="C32" s="172" t="s">
        <v>261</v>
      </c>
      <c r="D32" s="172" t="s">
        <v>260</v>
      </c>
      <c r="E32" s="172" t="s">
        <v>72</v>
      </c>
      <c r="F32" s="172">
        <v>1.0282577294046399E-7</v>
      </c>
      <c r="G32" s="172">
        <v>14642.4051495202</v>
      </c>
      <c r="H32" s="172">
        <v>52826.430404029699</v>
      </c>
      <c r="I32" s="172">
        <v>412702.03410042002</v>
      </c>
      <c r="J32" s="172">
        <v>533626.02967907302</v>
      </c>
      <c r="K32" s="172">
        <v>149334.743799794</v>
      </c>
    </row>
    <row r="33" spans="2:11" hidden="1" x14ac:dyDescent="0.3">
      <c r="B33" s="172" t="s">
        <v>39</v>
      </c>
      <c r="C33" s="172" t="s">
        <v>261</v>
      </c>
      <c r="D33" s="172" t="s">
        <v>260</v>
      </c>
      <c r="E33" s="172" t="s">
        <v>201</v>
      </c>
      <c r="F33" s="172">
        <v>9.9462765644923001E-8</v>
      </c>
      <c r="G33" s="172">
        <v>14683.327920704</v>
      </c>
      <c r="H33" s="172">
        <v>52973.955292917301</v>
      </c>
      <c r="I33" s="172">
        <v>416151.13971803599</v>
      </c>
      <c r="J33" s="172">
        <v>711825.66824850696</v>
      </c>
      <c r="K33" s="172">
        <v>197946.591152648</v>
      </c>
    </row>
    <row r="34" spans="2:11" hidden="1" x14ac:dyDescent="0.3">
      <c r="B34" s="172" t="s">
        <v>26</v>
      </c>
      <c r="C34" s="172" t="s">
        <v>259</v>
      </c>
      <c r="D34" s="172" t="s">
        <v>260</v>
      </c>
      <c r="E34" s="172" t="s">
        <v>72</v>
      </c>
      <c r="F34" s="172">
        <v>5.4604055848618198E-7</v>
      </c>
      <c r="G34" s="172">
        <v>67552.348617009804</v>
      </c>
      <c r="H34" s="172">
        <v>16445.406521283599</v>
      </c>
      <c r="I34" s="172">
        <v>691926.293818907</v>
      </c>
      <c r="J34" s="172">
        <v>209170.39275439599</v>
      </c>
      <c r="K34" s="172">
        <v>818401.19824586005</v>
      </c>
    </row>
    <row r="35" spans="2:11" hidden="1" x14ac:dyDescent="0.3">
      <c r="B35" s="172" t="s">
        <v>26</v>
      </c>
      <c r="C35" s="172" t="s">
        <v>259</v>
      </c>
      <c r="D35" s="172" t="s">
        <v>260</v>
      </c>
      <c r="E35" s="172" t="s">
        <v>201</v>
      </c>
      <c r="F35" s="172">
        <v>5.3755026010176999E-7</v>
      </c>
      <c r="G35" s="172">
        <v>67759.550409304895</v>
      </c>
      <c r="H35" s="172">
        <v>16569.823583759098</v>
      </c>
      <c r="I35" s="172">
        <v>694693.18711490999</v>
      </c>
      <c r="J35" s="172">
        <v>263936.50041517901</v>
      </c>
      <c r="K35" s="172">
        <v>1046823.4959023</v>
      </c>
    </row>
    <row r="36" spans="2:11" x14ac:dyDescent="0.3">
      <c r="B36" s="172" t="s">
        <v>26</v>
      </c>
      <c r="C36" s="172" t="s">
        <v>261</v>
      </c>
      <c r="D36" s="172" t="s">
        <v>260</v>
      </c>
      <c r="E36" s="172" t="s">
        <v>72</v>
      </c>
      <c r="F36" s="172">
        <v>1.4273864121244199E-7</v>
      </c>
      <c r="G36" s="172">
        <v>16054.126185405599</v>
      </c>
      <c r="H36" s="172">
        <v>58024.056626705198</v>
      </c>
      <c r="I36" s="172">
        <v>453267.01085188601</v>
      </c>
      <c r="J36" s="172">
        <v>711825.66824846203</v>
      </c>
      <c r="K36" s="172">
        <v>197946.59115207099</v>
      </c>
    </row>
    <row r="37" spans="2:11" hidden="1" x14ac:dyDescent="0.3">
      <c r="B37" s="172" t="s">
        <v>26</v>
      </c>
      <c r="C37" s="172" t="s">
        <v>261</v>
      </c>
      <c r="D37" s="172" t="s">
        <v>260</v>
      </c>
      <c r="E37" s="172" t="s">
        <v>201</v>
      </c>
      <c r="F37" s="172">
        <v>1.40284253372142E-7</v>
      </c>
      <c r="G37" s="172">
        <v>16090.7513169084</v>
      </c>
      <c r="H37" s="172">
        <v>58151.908695905302</v>
      </c>
      <c r="I37" s="172">
        <v>456279.54519800702</v>
      </c>
      <c r="J37" s="172">
        <v>905324.29121631803</v>
      </c>
      <c r="K37" s="172">
        <v>250680.46815759901</v>
      </c>
    </row>
    <row r="38" spans="2:11" hidden="1" x14ac:dyDescent="0.3">
      <c r="B38" s="172" t="s">
        <v>25</v>
      </c>
      <c r="C38" s="172" t="s">
        <v>259</v>
      </c>
      <c r="D38" s="172" t="s">
        <v>260</v>
      </c>
      <c r="E38" s="172" t="s">
        <v>72</v>
      </c>
      <c r="F38" s="172">
        <v>6.6169879906320701E-7</v>
      </c>
      <c r="G38" s="172">
        <v>72746.127453188805</v>
      </c>
      <c r="H38" s="172">
        <v>17589.5534318629</v>
      </c>
      <c r="I38" s="172">
        <v>744119.85499374499</v>
      </c>
      <c r="J38" s="172">
        <v>263936.50041548099</v>
      </c>
      <c r="K38" s="172">
        <v>1046823.49590024</v>
      </c>
    </row>
    <row r="39" spans="2:11" hidden="1" x14ac:dyDescent="0.3">
      <c r="B39" s="172" t="s">
        <v>25</v>
      </c>
      <c r="C39" s="172" t="s">
        <v>259</v>
      </c>
      <c r="D39" s="172" t="s">
        <v>260</v>
      </c>
      <c r="E39" s="172" t="s">
        <v>201</v>
      </c>
      <c r="F39" s="172">
        <v>6.5850623242617899E-7</v>
      </c>
      <c r="G39" s="172">
        <v>72913.856856825398</v>
      </c>
      <c r="H39" s="172">
        <v>17689.126142546898</v>
      </c>
      <c r="I39" s="172">
        <v>746328.40676487295</v>
      </c>
      <c r="J39" s="172">
        <v>322142.78426796198</v>
      </c>
      <c r="K39" s="172">
        <v>1291345.5114492199</v>
      </c>
    </row>
    <row r="40" spans="2:11" x14ac:dyDescent="0.3">
      <c r="B40" s="172" t="s">
        <v>25</v>
      </c>
      <c r="C40" s="172" t="s">
        <v>261</v>
      </c>
      <c r="D40" s="172" t="s">
        <v>260</v>
      </c>
      <c r="E40" s="172" t="s">
        <v>72</v>
      </c>
      <c r="F40" s="172">
        <v>1.66139257671877E-7</v>
      </c>
      <c r="G40" s="172">
        <v>17314.681667274999</v>
      </c>
      <c r="H40" s="172">
        <v>62552.258565161399</v>
      </c>
      <c r="I40" s="172">
        <v>488226.83565458201</v>
      </c>
      <c r="J40" s="172">
        <v>905324.29121632804</v>
      </c>
      <c r="K40" s="172">
        <v>250680.46815720899</v>
      </c>
    </row>
    <row r="41" spans="2:11" hidden="1" x14ac:dyDescent="0.3">
      <c r="B41" s="172" t="s">
        <v>25</v>
      </c>
      <c r="C41" s="172" t="s">
        <v>261</v>
      </c>
      <c r="D41" s="172" t="s">
        <v>260</v>
      </c>
      <c r="E41" s="172" t="s">
        <v>201</v>
      </c>
      <c r="F41" s="172">
        <v>1.6509103663233E-7</v>
      </c>
      <c r="G41" s="172">
        <v>17347.158290195599</v>
      </c>
      <c r="H41" s="172">
        <v>62657.5529348563</v>
      </c>
      <c r="I41" s="172">
        <v>490715.612503023</v>
      </c>
      <c r="J41" s="172">
        <v>1112139.68771656</v>
      </c>
      <c r="K41" s="172">
        <v>307096.933994297</v>
      </c>
    </row>
    <row r="42" spans="2:11" hidden="1" x14ac:dyDescent="0.3">
      <c r="B42" s="172" t="s">
        <v>24</v>
      </c>
      <c r="C42" s="172" t="s">
        <v>259</v>
      </c>
      <c r="D42" s="172" t="s">
        <v>260</v>
      </c>
      <c r="E42" s="172" t="s">
        <v>72</v>
      </c>
      <c r="F42" s="172">
        <v>7.2500934966655603E-7</v>
      </c>
      <c r="G42" s="172">
        <v>76756.274736620995</v>
      </c>
      <c r="H42" s="172">
        <v>18512.139594588101</v>
      </c>
      <c r="I42" s="172">
        <v>784104.57135680795</v>
      </c>
      <c r="J42" s="172">
        <v>322142.78426803899</v>
      </c>
      <c r="K42" s="172">
        <v>1291345.51144812</v>
      </c>
    </row>
    <row r="43" spans="2:11" hidden="1" x14ac:dyDescent="0.3">
      <c r="B43" s="172" t="s">
        <v>24</v>
      </c>
      <c r="C43" s="172" t="s">
        <v>259</v>
      </c>
      <c r="D43" s="172" t="s">
        <v>260</v>
      </c>
      <c r="E43" s="172" t="s">
        <v>201</v>
      </c>
      <c r="F43" s="172">
        <v>7.2254887143634797E-7</v>
      </c>
      <c r="G43" s="172">
        <v>76871.937515297104</v>
      </c>
      <c r="H43" s="172">
        <v>18580.430127412499</v>
      </c>
      <c r="I43" s="172">
        <v>785577.60350904602</v>
      </c>
      <c r="J43" s="172">
        <v>383146.23900889501</v>
      </c>
      <c r="K43" s="172">
        <v>1548577.8677620899</v>
      </c>
    </row>
    <row r="44" spans="2:11" x14ac:dyDescent="0.3">
      <c r="B44" s="172" t="s">
        <v>24</v>
      </c>
      <c r="C44" s="172" t="s">
        <v>261</v>
      </c>
      <c r="D44" s="172" t="s">
        <v>260</v>
      </c>
      <c r="E44" s="172" t="s">
        <v>72</v>
      </c>
      <c r="F44" s="172">
        <v>1.8166883202041099E-7</v>
      </c>
      <c r="G44" s="172">
        <v>18390.019254070601</v>
      </c>
      <c r="H44" s="172">
        <v>66165.324803530995</v>
      </c>
      <c r="I44" s="172">
        <v>515895.13281339</v>
      </c>
      <c r="J44" s="172">
        <v>1112139.6877165399</v>
      </c>
      <c r="K44" s="172">
        <v>307096.93399410899</v>
      </c>
    </row>
    <row r="45" spans="2:11" hidden="1" x14ac:dyDescent="0.3">
      <c r="B45" s="172" t="s">
        <v>24</v>
      </c>
      <c r="C45" s="172" t="s">
        <v>261</v>
      </c>
      <c r="D45" s="172" t="s">
        <v>260</v>
      </c>
      <c r="E45" s="172" t="s">
        <v>201</v>
      </c>
      <c r="F45" s="172">
        <v>1.80635929778961E-7</v>
      </c>
      <c r="G45" s="172">
        <v>18416.074874701499</v>
      </c>
      <c r="H45" s="172">
        <v>66240.346066675105</v>
      </c>
      <c r="I45" s="172">
        <v>517654.82135438401</v>
      </c>
      <c r="J45" s="172">
        <v>1330073.1890840901</v>
      </c>
      <c r="K45" s="172">
        <v>366748.80361891101</v>
      </c>
    </row>
    <row r="46" spans="2:11" hidden="1" x14ac:dyDescent="0.3">
      <c r="B46" s="172" t="s">
        <v>22</v>
      </c>
      <c r="C46" s="172" t="s">
        <v>259</v>
      </c>
      <c r="D46" s="172" t="s">
        <v>260</v>
      </c>
      <c r="E46" s="172" t="s">
        <v>72</v>
      </c>
      <c r="F46" s="172">
        <v>7.3237577647576599E-7</v>
      </c>
      <c r="G46" s="172">
        <v>79146.9518369422</v>
      </c>
      <c r="H46" s="172">
        <v>19082.8657416973</v>
      </c>
      <c r="I46" s="172">
        <v>807214.455680151</v>
      </c>
      <c r="J46" s="172">
        <v>383146.23900893203</v>
      </c>
      <c r="K46" s="172">
        <v>1548577.86776193</v>
      </c>
    </row>
    <row r="47" spans="2:11" hidden="1" x14ac:dyDescent="0.3">
      <c r="B47" s="172" t="s">
        <v>22</v>
      </c>
      <c r="C47" s="172" t="s">
        <v>259</v>
      </c>
      <c r="D47" s="172" t="s">
        <v>260</v>
      </c>
      <c r="E47" s="172" t="s">
        <v>201</v>
      </c>
      <c r="F47" s="172">
        <v>7.3301552948133401E-7</v>
      </c>
      <c r="G47" s="172">
        <v>79191.170848905895</v>
      </c>
      <c r="H47" s="172">
        <v>19106.945861796601</v>
      </c>
      <c r="I47" s="172">
        <v>807717.86658919905</v>
      </c>
      <c r="J47" s="172">
        <v>455301.47551874502</v>
      </c>
      <c r="K47" s="172">
        <v>1852654.70131865</v>
      </c>
    </row>
    <row r="48" spans="2:11" x14ac:dyDescent="0.3">
      <c r="B48" s="172" t="s">
        <v>22</v>
      </c>
      <c r="C48" s="172" t="s">
        <v>261</v>
      </c>
      <c r="D48" s="172" t="s">
        <v>260</v>
      </c>
      <c r="E48" s="172" t="s">
        <v>72</v>
      </c>
      <c r="F48" s="172">
        <v>1.80069399680751E-7</v>
      </c>
      <c r="G48" s="172">
        <v>19094.9311324874</v>
      </c>
      <c r="H48" s="172">
        <v>68332.418560586506</v>
      </c>
      <c r="I48" s="172">
        <v>532779.45642579696</v>
      </c>
      <c r="J48" s="172">
        <v>1330073.18908406</v>
      </c>
      <c r="K48" s="172">
        <v>366748.80361882597</v>
      </c>
    </row>
    <row r="49" spans="2:11" hidden="1" x14ac:dyDescent="0.3">
      <c r="B49" s="172" t="s">
        <v>22</v>
      </c>
      <c r="C49" s="172" t="s">
        <v>261</v>
      </c>
      <c r="D49" s="172" t="s">
        <v>260</v>
      </c>
      <c r="E49" s="172" t="s">
        <v>201</v>
      </c>
      <c r="F49" s="172">
        <v>1.8011427686372801E-7</v>
      </c>
      <c r="G49" s="172">
        <v>19106.945438463401</v>
      </c>
      <c r="H49" s="172">
        <v>68360.446352870305</v>
      </c>
      <c r="I49" s="172">
        <v>533418.41043005802</v>
      </c>
      <c r="J49" s="172">
        <v>1588634.97602501</v>
      </c>
      <c r="K49" s="172">
        <v>437953.61797541101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A36" sqref="A36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221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222</v>
      </c>
      <c r="C3" s="169" t="s">
        <v>223</v>
      </c>
      <c r="D3" s="169" t="s">
        <v>42</v>
      </c>
      <c r="E3" s="169" t="s">
        <v>224</v>
      </c>
      <c r="F3" s="169" t="s">
        <v>225</v>
      </c>
      <c r="G3" s="169" t="s">
        <v>226</v>
      </c>
      <c r="H3" s="169" t="s">
        <v>227</v>
      </c>
      <c r="I3" s="169" t="s">
        <v>228</v>
      </c>
      <c r="J3" s="169" t="s">
        <v>212</v>
      </c>
      <c r="K3" s="169" t="s">
        <v>229</v>
      </c>
      <c r="L3" s="169" t="s">
        <v>230</v>
      </c>
      <c r="M3" s="169" t="s">
        <v>231</v>
      </c>
      <c r="N3" s="169" t="s">
        <v>232</v>
      </c>
      <c r="O3" s="169" t="s">
        <v>233</v>
      </c>
      <c r="P3" s="169" t="s">
        <v>234</v>
      </c>
      <c r="Q3" s="170" t="s">
        <v>235</v>
      </c>
    </row>
    <row r="4" spans="2:17" x14ac:dyDescent="0.3">
      <c r="B4" s="173"/>
      <c r="C4" s="173"/>
      <c r="D4" s="173"/>
      <c r="E4" s="173"/>
      <c r="F4" s="173" t="s">
        <v>236</v>
      </c>
      <c r="G4" s="173"/>
      <c r="H4" s="173"/>
      <c r="I4" s="173"/>
      <c r="J4" s="173"/>
      <c r="K4" s="173"/>
      <c r="L4" s="173"/>
      <c r="M4" s="173" t="s">
        <v>237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238</v>
      </c>
      <c r="C5" s="172" t="s">
        <v>239</v>
      </c>
      <c r="D5" s="172" t="s">
        <v>210</v>
      </c>
      <c r="E5" s="172" t="s">
        <v>240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1.29931319896942</v>
      </c>
      <c r="N5" s="172">
        <v>1.57467901026956</v>
      </c>
      <c r="O5" s="172">
        <v>2530534.5979795</v>
      </c>
      <c r="P5" s="172">
        <v>92978.193377982403</v>
      </c>
      <c r="Q5" s="172">
        <v>8456.5455710640308</v>
      </c>
    </row>
    <row r="6" spans="2:17" x14ac:dyDescent="0.3">
      <c r="B6" s="172" t="s">
        <v>241</v>
      </c>
      <c r="C6" s="172" t="s">
        <v>239</v>
      </c>
      <c r="D6" s="172" t="s">
        <v>211</v>
      </c>
      <c r="E6" s="172" t="s">
        <v>240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1.51734012758778</v>
      </c>
      <c r="N6" s="172">
        <v>1.4199704603387799</v>
      </c>
      <c r="O6" s="172">
        <v>2530534.5979795</v>
      </c>
      <c r="P6" s="172">
        <v>83843.3021532438</v>
      </c>
      <c r="Q6" s="172">
        <v>8905.3164750608903</v>
      </c>
    </row>
    <row r="7" spans="2:17" x14ac:dyDescent="0.3">
      <c r="B7" s="200" t="s">
        <v>192</v>
      </c>
      <c r="C7" s="200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201" t="s">
        <v>125</v>
      </c>
      <c r="D10" s="201"/>
      <c r="E10" s="201" t="s">
        <v>124</v>
      </c>
      <c r="F10" s="201"/>
      <c r="G10" s="201"/>
      <c r="H10" s="9" t="s">
        <v>126</v>
      </c>
      <c r="I10" s="9">
        <f>+$I$9*O5</f>
        <v>81632.958082226411</v>
      </c>
      <c r="J10" s="9" t="s">
        <v>123</v>
      </c>
      <c r="K10" s="103" t="str">
        <f>+IF(I10&gt;N51,"USAR TA","USAR  TB")</f>
        <v>USAR  TB</v>
      </c>
      <c r="L10" s="101"/>
      <c r="M10" s="101"/>
      <c r="N10" s="101"/>
    </row>
    <row r="11" spans="2:17" s="100" customFormat="1" ht="15" thickBot="1" x14ac:dyDescent="0.35">
      <c r="C11" s="201" t="s">
        <v>125</v>
      </c>
      <c r="D11" s="201"/>
      <c r="E11" s="201" t="s">
        <v>124</v>
      </c>
      <c r="F11" s="201"/>
      <c r="G11" s="201"/>
      <c r="H11" s="9" t="s">
        <v>127</v>
      </c>
      <c r="I11" s="9">
        <f>+$I$9*O6</f>
        <v>81632.958082226411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8" t="s">
        <v>61</v>
      </c>
      <c r="M12" s="198"/>
      <c r="N12" s="198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8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8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259</v>
      </c>
      <c r="D15" s="172" t="s">
        <v>72</v>
      </c>
      <c r="E15" s="172">
        <v>6.7652557511870205E-10</v>
      </c>
      <c r="F15" s="172">
        <v>937.09549296813998</v>
      </c>
      <c r="G15" s="172">
        <v>700.54121109847404</v>
      </c>
      <c r="H15" s="172">
        <v>14022.782179120501</v>
      </c>
      <c r="I15" s="172">
        <v>1.63018179912408E-9</v>
      </c>
      <c r="J15" s="172">
        <v>1.35483335735155E-8</v>
      </c>
      <c r="K15" s="166"/>
      <c r="L15" s="166" t="s">
        <v>189</v>
      </c>
      <c r="M15">
        <f>+F15</f>
        <v>937.09549296813998</v>
      </c>
      <c r="N15">
        <f>+G15</f>
        <v>700.54121109847404</v>
      </c>
      <c r="O15" s="18">
        <f t="shared" ref="O15:P19" si="0">+M15*$O$55</f>
        <v>990.77095886772315</v>
      </c>
      <c r="P15" s="19">
        <f t="shared" si="0"/>
        <v>740.66719203609364</v>
      </c>
    </row>
    <row r="16" spans="2:17" x14ac:dyDescent="0.3">
      <c r="B16" s="172" t="s">
        <v>187</v>
      </c>
      <c r="C16" s="172" t="s">
        <v>259</v>
      </c>
      <c r="D16" s="172" t="s">
        <v>72</v>
      </c>
      <c r="E16" s="172">
        <v>6.2353060669798697E-8</v>
      </c>
      <c r="F16" s="172">
        <v>12186.839524898</v>
      </c>
      <c r="G16" s="172">
        <v>3546.7300860169498</v>
      </c>
      <c r="H16" s="172">
        <v>128100.79373808</v>
      </c>
      <c r="I16" s="172">
        <v>2101.6236332900899</v>
      </c>
      <c r="J16" s="172">
        <v>2811.2864797479201</v>
      </c>
      <c r="K16" s="166"/>
      <c r="L16" s="166" t="s">
        <v>187</v>
      </c>
      <c r="M16" s="13">
        <f>+F16-F15</f>
        <v>11249.74403192986</v>
      </c>
      <c r="N16">
        <f>+G16-G15</f>
        <v>2846.1888749184759</v>
      </c>
      <c r="O16" s="18">
        <f t="shared" si="0"/>
        <v>11894.112996134685</v>
      </c>
      <c r="P16" s="19">
        <f t="shared" si="0"/>
        <v>3009.2144310606541</v>
      </c>
    </row>
    <row r="17" spans="2:16" x14ac:dyDescent="0.3">
      <c r="B17" s="172" t="s">
        <v>185</v>
      </c>
      <c r="C17" s="172" t="s">
        <v>259</v>
      </c>
      <c r="D17" s="172" t="s">
        <v>72</v>
      </c>
      <c r="E17" s="172">
        <v>1.3349945248635199E-7</v>
      </c>
      <c r="F17" s="172">
        <v>25335.994247724098</v>
      </c>
      <c r="G17" s="172">
        <v>6885.5921895474303</v>
      </c>
      <c r="H17" s="172">
        <v>263093.440425571</v>
      </c>
      <c r="I17" s="172">
        <v>14734.2722973456</v>
      </c>
      <c r="J17" s="172">
        <v>46210.379211044201</v>
      </c>
      <c r="K17" s="166"/>
      <c r="L17" s="166" t="s">
        <v>185</v>
      </c>
      <c r="M17" s="13">
        <f t="shared" ref="M17:M25" si="1">+F17-F16</f>
        <v>13149.154722826099</v>
      </c>
      <c r="N17" s="13">
        <f t="shared" ref="N17:N25" si="2">+G17-G16</f>
        <v>3338.8621035304805</v>
      </c>
      <c r="O17" s="18">
        <f t="shared" si="0"/>
        <v>13902.319166823047</v>
      </c>
      <c r="P17" s="19">
        <f t="shared" si="0"/>
        <v>3530.1072651242239</v>
      </c>
    </row>
    <row r="18" spans="2:16" x14ac:dyDescent="0.3">
      <c r="B18" s="172" t="s">
        <v>183</v>
      </c>
      <c r="C18" s="172" t="s">
        <v>259</v>
      </c>
      <c r="D18" s="172" t="s">
        <v>72</v>
      </c>
      <c r="E18" s="172">
        <v>2.83071367334343E-7</v>
      </c>
      <c r="F18" s="172">
        <v>36552.296567028199</v>
      </c>
      <c r="G18" s="172">
        <v>9533.1938698692993</v>
      </c>
      <c r="H18" s="172">
        <v>377447.23718023201</v>
      </c>
      <c r="I18" s="172">
        <v>39076.853415240999</v>
      </c>
      <c r="J18" s="172">
        <v>135394.000280821</v>
      </c>
      <c r="K18" s="166"/>
      <c r="L18" s="166" t="s">
        <v>183</v>
      </c>
      <c r="M18" s="13">
        <f t="shared" si="1"/>
        <v>11216.302319304101</v>
      </c>
      <c r="N18" s="13">
        <f t="shared" si="2"/>
        <v>2647.601680321869</v>
      </c>
      <c r="O18" s="18">
        <f t="shared" si="0"/>
        <v>11858.755790883961</v>
      </c>
      <c r="P18" s="19">
        <f t="shared" si="0"/>
        <v>2799.2524510001858</v>
      </c>
    </row>
    <row r="19" spans="2:16" x14ac:dyDescent="0.3">
      <c r="B19" s="172" t="s">
        <v>181</v>
      </c>
      <c r="C19" s="172" t="s">
        <v>259</v>
      </c>
      <c r="D19" s="172" t="s">
        <v>72</v>
      </c>
      <c r="E19" s="172">
        <v>4.7452136748852501E-7</v>
      </c>
      <c r="F19" s="172">
        <v>46089.746816012703</v>
      </c>
      <c r="G19" s="172">
        <v>11683.257388681001</v>
      </c>
      <c r="H19" s="172">
        <v>474428.40277991199</v>
      </c>
      <c r="I19" s="172">
        <v>72370.871651413399</v>
      </c>
      <c r="J19" s="172">
        <v>263057.68104648299</v>
      </c>
      <c r="K19" s="166"/>
      <c r="L19" s="166" t="s">
        <v>181</v>
      </c>
      <c r="M19" s="13">
        <f t="shared" si="1"/>
        <v>9537.4502489845036</v>
      </c>
      <c r="N19" s="13">
        <f t="shared" si="2"/>
        <v>2150.0635188117012</v>
      </c>
      <c r="O19" s="18">
        <f t="shared" si="0"/>
        <v>10083.741517536942</v>
      </c>
      <c r="P19" s="19">
        <f t="shared" si="0"/>
        <v>2273.21602776293</v>
      </c>
    </row>
    <row r="20" spans="2:16" s="100" customFormat="1" x14ac:dyDescent="0.3">
      <c r="B20" s="172" t="s">
        <v>179</v>
      </c>
      <c r="C20" s="172" t="s">
        <v>259</v>
      </c>
      <c r="D20" s="172" t="s">
        <v>72</v>
      </c>
      <c r="E20" s="172">
        <v>3.3996780147959901E-7</v>
      </c>
      <c r="F20" s="172">
        <v>54287.088818291399</v>
      </c>
      <c r="G20" s="172">
        <v>13507.479288543</v>
      </c>
      <c r="H20" s="172">
        <v>557673.765415414</v>
      </c>
      <c r="I20" s="172">
        <v>112616.10323209999</v>
      </c>
      <c r="J20" s="172">
        <v>422743.51904698001</v>
      </c>
      <c r="K20" s="166"/>
      <c r="L20" s="166" t="s">
        <v>179</v>
      </c>
      <c r="M20" s="113">
        <f t="shared" si="1"/>
        <v>8197.3420022786959</v>
      </c>
      <c r="N20" s="113">
        <f t="shared" si="2"/>
        <v>1824.2218998619992</v>
      </c>
      <c r="O20" s="18">
        <f t="shared" ref="O20:O25" si="3">+M20*$O$55</f>
        <v>8666.8738209804324</v>
      </c>
      <c r="P20" s="19">
        <f t="shared" ref="P20:P25" si="4">+N20*$O$55</f>
        <v>1928.7106751405763</v>
      </c>
    </row>
    <row r="21" spans="2:16" s="100" customFormat="1" x14ac:dyDescent="0.3">
      <c r="B21" s="172" t="s">
        <v>39</v>
      </c>
      <c r="C21" s="172" t="s">
        <v>259</v>
      </c>
      <c r="D21" s="172" t="s">
        <v>72</v>
      </c>
      <c r="E21" s="172">
        <v>3.6212848311201198E-7</v>
      </c>
      <c r="F21" s="172">
        <v>61386.774000978301</v>
      </c>
      <c r="G21" s="172">
        <v>15083.5538871341</v>
      </c>
      <c r="H21" s="172">
        <v>629634.81513967295</v>
      </c>
      <c r="I21" s="172">
        <v>158508.27102059699</v>
      </c>
      <c r="J21" s="172">
        <v>609246.41489179898</v>
      </c>
      <c r="K21" s="166"/>
      <c r="L21" s="166" t="s">
        <v>39</v>
      </c>
      <c r="M21" s="113">
        <f t="shared" si="1"/>
        <v>7099.6851826869024</v>
      </c>
      <c r="N21" s="113">
        <f t="shared" si="2"/>
        <v>1576.0745985910999</v>
      </c>
      <c r="O21" s="18">
        <f t="shared" si="3"/>
        <v>7506.3448163962312</v>
      </c>
      <c r="P21" s="19">
        <f t="shared" si="4"/>
        <v>1666.3498576299905</v>
      </c>
    </row>
    <row r="22" spans="2:16" s="100" customFormat="1" x14ac:dyDescent="0.3">
      <c r="B22" s="172" t="s">
        <v>26</v>
      </c>
      <c r="C22" s="172" t="s">
        <v>259</v>
      </c>
      <c r="D22" s="172" t="s">
        <v>72</v>
      </c>
      <c r="E22" s="172">
        <v>5.4604055848618198E-7</v>
      </c>
      <c r="F22" s="172">
        <v>67552.348617009804</v>
      </c>
      <c r="G22" s="172">
        <v>16445.406521283599</v>
      </c>
      <c r="H22" s="172">
        <v>691926.293818907</v>
      </c>
      <c r="I22" s="172">
        <v>209170.39275439599</v>
      </c>
      <c r="J22" s="172">
        <v>818401.19824586005</v>
      </c>
      <c r="K22" s="166"/>
      <c r="L22" s="166" t="s">
        <v>26</v>
      </c>
      <c r="M22" s="113">
        <f t="shared" si="1"/>
        <v>6165.574616031503</v>
      </c>
      <c r="N22" s="113">
        <f t="shared" si="2"/>
        <v>1361.8526341494999</v>
      </c>
      <c r="O22" s="18">
        <f t="shared" si="3"/>
        <v>6518.7297560758971</v>
      </c>
      <c r="P22" s="19">
        <f t="shared" si="4"/>
        <v>1439.8575708641345</v>
      </c>
    </row>
    <row r="23" spans="2:16" s="100" customFormat="1" x14ac:dyDescent="0.3">
      <c r="B23" s="172" t="s">
        <v>25</v>
      </c>
      <c r="C23" s="172" t="s">
        <v>259</v>
      </c>
      <c r="D23" s="172" t="s">
        <v>72</v>
      </c>
      <c r="E23" s="172">
        <v>6.6169879906320701E-7</v>
      </c>
      <c r="F23" s="172">
        <v>72746.127453188805</v>
      </c>
      <c r="G23" s="172">
        <v>17589.5534318629</v>
      </c>
      <c r="H23" s="172">
        <v>744119.85499374499</v>
      </c>
      <c r="I23" s="172">
        <v>263936.50041548099</v>
      </c>
      <c r="J23" s="172">
        <v>1046823.49590024</v>
      </c>
      <c r="K23" s="166"/>
      <c r="L23" s="166" t="s">
        <v>25</v>
      </c>
      <c r="M23" s="113">
        <f t="shared" si="1"/>
        <v>5193.7788361790008</v>
      </c>
      <c r="N23" s="113">
        <f t="shared" si="2"/>
        <v>1144.1469105793003</v>
      </c>
      <c r="O23" s="18">
        <f t="shared" si="3"/>
        <v>5491.2709283971635</v>
      </c>
      <c r="P23" s="19">
        <f t="shared" si="4"/>
        <v>1209.6819803173858</v>
      </c>
    </row>
    <row r="24" spans="2:16" s="100" customFormat="1" x14ac:dyDescent="0.3">
      <c r="B24" s="172" t="s">
        <v>24</v>
      </c>
      <c r="C24" s="172" t="s">
        <v>259</v>
      </c>
      <c r="D24" s="172" t="s">
        <v>72</v>
      </c>
      <c r="E24" s="172">
        <v>7.2500934966655603E-7</v>
      </c>
      <c r="F24" s="172">
        <v>76756.274736620995</v>
      </c>
      <c r="G24" s="172">
        <v>18512.139594588101</v>
      </c>
      <c r="H24" s="172">
        <v>784104.57135680795</v>
      </c>
      <c r="I24" s="172">
        <v>322142.78426803899</v>
      </c>
      <c r="J24" s="172">
        <v>1291345.51144812</v>
      </c>
      <c r="K24" s="166"/>
      <c r="L24" s="166" t="s">
        <v>24</v>
      </c>
      <c r="M24" s="113">
        <f t="shared" si="1"/>
        <v>4010.1472834321903</v>
      </c>
      <c r="N24" s="113">
        <f t="shared" si="2"/>
        <v>922.58616272520158</v>
      </c>
      <c r="O24" s="18">
        <f t="shared" si="3"/>
        <v>4239.8426830786048</v>
      </c>
      <c r="P24" s="19">
        <f t="shared" si="4"/>
        <v>975.43055530672416</v>
      </c>
    </row>
    <row r="25" spans="2:16" s="100" customFormat="1" ht="15" thickBot="1" x14ac:dyDescent="0.35">
      <c r="B25" s="172" t="s">
        <v>22</v>
      </c>
      <c r="C25" s="172" t="s">
        <v>259</v>
      </c>
      <c r="D25" s="172" t="s">
        <v>72</v>
      </c>
      <c r="E25" s="172">
        <v>7.3237577647576599E-7</v>
      </c>
      <c r="F25" s="172">
        <v>79146.9518369422</v>
      </c>
      <c r="G25" s="172">
        <v>19082.8657416973</v>
      </c>
      <c r="H25" s="172">
        <v>807214.455680151</v>
      </c>
      <c r="I25" s="172">
        <v>383146.23900893203</v>
      </c>
      <c r="J25" s="172">
        <v>1548577.86776193</v>
      </c>
      <c r="K25" s="166"/>
      <c r="L25" s="166" t="s">
        <v>22</v>
      </c>
      <c r="M25" s="113">
        <f t="shared" si="1"/>
        <v>2390.6771003212052</v>
      </c>
      <c r="N25" s="113">
        <f t="shared" si="2"/>
        <v>570.72614710919879</v>
      </c>
      <c r="O25" s="30">
        <f t="shared" si="3"/>
        <v>2527.6116050094779</v>
      </c>
      <c r="P25" s="24">
        <f t="shared" si="4"/>
        <v>603.41651012666534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8" t="s">
        <v>61</v>
      </c>
      <c r="M31" s="198"/>
      <c r="N31" s="198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8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8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261</v>
      </c>
      <c r="D34" s="172" t="s">
        <v>72</v>
      </c>
      <c r="E34" s="172">
        <v>1.86173822328143E-10</v>
      </c>
      <c r="F34" s="172">
        <v>377.63866591101998</v>
      </c>
      <c r="G34" s="172">
        <v>744.39535288190302</v>
      </c>
      <c r="H34" s="172">
        <v>13684.558317291699</v>
      </c>
      <c r="I34" s="172">
        <v>6.4482408604642199E-10</v>
      </c>
      <c r="J34" s="172">
        <v>3.6504686086980499E-9</v>
      </c>
      <c r="L34" s="113" t="s">
        <v>189</v>
      </c>
      <c r="M34" s="13">
        <f>+F34</f>
        <v>377.63866591101998</v>
      </c>
      <c r="N34" s="13">
        <f>+G34</f>
        <v>744.39535288190302</v>
      </c>
      <c r="O34" s="18">
        <f>+M34*$O$56</f>
        <v>451.14401090909666</v>
      </c>
      <c r="P34" s="19">
        <f>+N34*$O$56</f>
        <v>889.28792392345474</v>
      </c>
    </row>
    <row r="35" spans="2:16" x14ac:dyDescent="0.3">
      <c r="B35" s="172" t="s">
        <v>187</v>
      </c>
      <c r="C35" s="172" t="s">
        <v>261</v>
      </c>
      <c r="D35" s="172" t="s">
        <v>72</v>
      </c>
      <c r="E35" s="172">
        <v>1.7384827734985501E-8</v>
      </c>
      <c r="F35" s="172">
        <v>3293.2230283467602</v>
      </c>
      <c r="G35" s="172">
        <v>10995.592248376301</v>
      </c>
      <c r="H35" s="172">
        <v>89294.7058093003</v>
      </c>
      <c r="I35" s="172">
        <v>2233.1860586392199</v>
      </c>
      <c r="J35" s="172">
        <v>1132.9159979009</v>
      </c>
      <c r="L35" s="113" t="s">
        <v>187</v>
      </c>
      <c r="M35" s="13">
        <f>+F35-F34</f>
        <v>2915.5843624357403</v>
      </c>
      <c r="N35" s="13">
        <f>+G35-G34</f>
        <v>10251.196895494397</v>
      </c>
      <c r="O35" s="18">
        <f t="shared" ref="O35:P44" si="5">+M35*$O$56</f>
        <v>3483.087252837151</v>
      </c>
      <c r="P35" s="19">
        <f t="shared" si="5"/>
        <v>12246.537501384773</v>
      </c>
    </row>
    <row r="36" spans="2:16" x14ac:dyDescent="0.3">
      <c r="B36" s="172" t="s">
        <v>185</v>
      </c>
      <c r="C36" s="172" t="s">
        <v>261</v>
      </c>
      <c r="D36" s="172" t="s">
        <v>72</v>
      </c>
      <c r="E36" s="172">
        <v>3.2789836428426398E-8</v>
      </c>
      <c r="F36" s="172">
        <v>6572.3609504934102</v>
      </c>
      <c r="G36" s="172">
        <v>22718.800123879799</v>
      </c>
      <c r="H36" s="172">
        <v>179258.84675341699</v>
      </c>
      <c r="I36" s="172">
        <v>40966.362161376099</v>
      </c>
      <c r="J36" s="172">
        <v>12409.8895155963</v>
      </c>
      <c r="L36" s="113" t="s">
        <v>185</v>
      </c>
      <c r="M36" s="13">
        <f t="shared" ref="M36:M44" si="6">+F36-F35</f>
        <v>3279.13792214665</v>
      </c>
      <c r="N36" s="13">
        <f t="shared" ref="N36:N44" si="7">+G36-G35</f>
        <v>11723.207875503498</v>
      </c>
      <c r="O36" s="18">
        <f t="shared" si="5"/>
        <v>3917.40456701521</v>
      </c>
      <c r="P36" s="19">
        <f t="shared" si="5"/>
        <v>14005.067539672775</v>
      </c>
    </row>
    <row r="37" spans="2:16" x14ac:dyDescent="0.3">
      <c r="B37" s="172" t="s">
        <v>183</v>
      </c>
      <c r="C37" s="172" t="s">
        <v>261</v>
      </c>
      <c r="D37" s="172" t="s">
        <v>72</v>
      </c>
      <c r="E37" s="172">
        <v>6.7287694925206705E-8</v>
      </c>
      <c r="F37" s="172">
        <v>9175.22962071234</v>
      </c>
      <c r="G37" s="172">
        <v>32384.517611995601</v>
      </c>
      <c r="H37" s="172">
        <v>253813.43410099499</v>
      </c>
      <c r="I37" s="172">
        <v>120824.594749143</v>
      </c>
      <c r="J37" s="172">
        <v>35304.5082898568</v>
      </c>
      <c r="L37" s="113" t="s">
        <v>183</v>
      </c>
      <c r="M37" s="13">
        <f t="shared" si="6"/>
        <v>2602.8686702189298</v>
      </c>
      <c r="N37" s="13">
        <f t="shared" si="7"/>
        <v>9665.7174881158026</v>
      </c>
      <c r="O37" s="18">
        <f t="shared" si="5"/>
        <v>3109.503124949812</v>
      </c>
      <c r="P37" s="19">
        <f t="shared" si="5"/>
        <v>11547.09766115481</v>
      </c>
    </row>
    <row r="38" spans="2:16" x14ac:dyDescent="0.3">
      <c r="B38" s="172" t="s">
        <v>181</v>
      </c>
      <c r="C38" s="172" t="s">
        <v>261</v>
      </c>
      <c r="D38" s="172" t="s">
        <v>72</v>
      </c>
      <c r="E38" s="172">
        <v>1.17158017694073E-7</v>
      </c>
      <c r="F38" s="172">
        <v>11284.881881216699</v>
      </c>
      <c r="G38" s="172">
        <v>40315.6454037769</v>
      </c>
      <c r="H38" s="172">
        <v>315234.39511764603</v>
      </c>
      <c r="I38" s="172">
        <v>233803.726022302</v>
      </c>
      <c r="J38" s="172">
        <v>66943.392985635204</v>
      </c>
      <c r="L38" s="113" t="s">
        <v>181</v>
      </c>
      <c r="M38" s="13">
        <f t="shared" si="6"/>
        <v>2109.6522605043592</v>
      </c>
      <c r="N38" s="13">
        <f t="shared" si="7"/>
        <v>7931.1277917812986</v>
      </c>
      <c r="O38" s="18">
        <f t="shared" si="5"/>
        <v>2520.2847810389044</v>
      </c>
      <c r="P38" s="19">
        <f t="shared" si="5"/>
        <v>9474.8793648685769</v>
      </c>
    </row>
    <row r="39" spans="2:16" s="100" customFormat="1" x14ac:dyDescent="0.3">
      <c r="B39" s="172" t="s">
        <v>179</v>
      </c>
      <c r="C39" s="172" t="s">
        <v>261</v>
      </c>
      <c r="D39" s="172" t="s">
        <v>72</v>
      </c>
      <c r="E39" s="172">
        <v>9.1753728763362803E-8</v>
      </c>
      <c r="F39" s="172">
        <v>13069.943012678399</v>
      </c>
      <c r="G39" s="172">
        <v>46996.635577723697</v>
      </c>
      <c r="H39" s="172">
        <v>367237.46203413903</v>
      </c>
      <c r="I39" s="172">
        <v>373110.23092196102</v>
      </c>
      <c r="J39" s="172">
        <v>105389.949516646</v>
      </c>
      <c r="L39" s="113" t="s">
        <v>179</v>
      </c>
      <c r="M39" s="113">
        <f t="shared" si="6"/>
        <v>1785.0611314616999</v>
      </c>
      <c r="N39" s="113">
        <f t="shared" si="7"/>
        <v>6680.9901739467969</v>
      </c>
      <c r="O39" s="18">
        <f t="shared" si="5"/>
        <v>2132.5137261111727</v>
      </c>
      <c r="P39" s="19">
        <f t="shared" si="5"/>
        <v>7981.4091511190945</v>
      </c>
    </row>
    <row r="40" spans="2:16" s="100" customFormat="1" x14ac:dyDescent="0.3">
      <c r="B40" s="172" t="s">
        <v>39</v>
      </c>
      <c r="C40" s="172" t="s">
        <v>261</v>
      </c>
      <c r="D40" s="172" t="s">
        <v>72</v>
      </c>
      <c r="E40" s="172">
        <v>1.0282577294046399E-7</v>
      </c>
      <c r="F40" s="172">
        <v>14642.4051495202</v>
      </c>
      <c r="G40" s="172">
        <v>52826.430404029699</v>
      </c>
      <c r="H40" s="172">
        <v>412702.03410042002</v>
      </c>
      <c r="I40" s="172">
        <v>533626.02967907302</v>
      </c>
      <c r="J40" s="172">
        <v>149334.743799794</v>
      </c>
      <c r="L40" s="13" t="s">
        <v>39</v>
      </c>
      <c r="M40" s="113">
        <f t="shared" si="6"/>
        <v>1572.4621368418011</v>
      </c>
      <c r="N40" s="113">
        <f t="shared" si="7"/>
        <v>5829.7948263060025</v>
      </c>
      <c r="O40" s="18">
        <f t="shared" si="5"/>
        <v>1878.5334751305654</v>
      </c>
      <c r="P40" s="19">
        <f t="shared" si="5"/>
        <v>6964.533185106884</v>
      </c>
    </row>
    <row r="41" spans="2:16" s="100" customFormat="1" x14ac:dyDescent="0.3">
      <c r="B41" s="172" t="s">
        <v>26</v>
      </c>
      <c r="C41" s="172" t="s">
        <v>261</v>
      </c>
      <c r="D41" s="172" t="s">
        <v>72</v>
      </c>
      <c r="E41" s="172">
        <v>1.4273864121244199E-7</v>
      </c>
      <c r="F41" s="172">
        <v>16054.126185405599</v>
      </c>
      <c r="G41" s="172">
        <v>58024.056626705198</v>
      </c>
      <c r="H41" s="172">
        <v>453267.01085188601</v>
      </c>
      <c r="I41" s="172">
        <v>711825.66824846203</v>
      </c>
      <c r="J41" s="172">
        <v>197946.59115207099</v>
      </c>
      <c r="L41" s="13" t="s">
        <v>26</v>
      </c>
      <c r="M41" s="113">
        <f t="shared" si="6"/>
        <v>1411.721035885399</v>
      </c>
      <c r="N41" s="113">
        <f t="shared" si="7"/>
        <v>5197.6262226754989</v>
      </c>
      <c r="O41" s="18">
        <f t="shared" si="5"/>
        <v>1686.5049792442305</v>
      </c>
      <c r="P41" s="19">
        <f t="shared" si="5"/>
        <v>6209.3163464798045</v>
      </c>
    </row>
    <row r="42" spans="2:16" s="100" customFormat="1" x14ac:dyDescent="0.3">
      <c r="B42" s="172" t="s">
        <v>25</v>
      </c>
      <c r="C42" s="172" t="s">
        <v>261</v>
      </c>
      <c r="D42" s="172" t="s">
        <v>72</v>
      </c>
      <c r="E42" s="172">
        <v>1.66139257671877E-7</v>
      </c>
      <c r="F42" s="172">
        <v>17314.681667274999</v>
      </c>
      <c r="G42" s="172">
        <v>62552.258565161399</v>
      </c>
      <c r="H42" s="172">
        <v>488226.83565458201</v>
      </c>
      <c r="I42" s="172">
        <v>905324.29121632804</v>
      </c>
      <c r="J42" s="172">
        <v>250680.46815720899</v>
      </c>
      <c r="L42" s="13" t="s">
        <v>25</v>
      </c>
      <c r="M42" s="113">
        <f t="shared" si="6"/>
        <v>1260.5554818694</v>
      </c>
      <c r="N42" s="113">
        <f t="shared" si="7"/>
        <v>4528.2019384562009</v>
      </c>
      <c r="O42" s="18">
        <f t="shared" si="5"/>
        <v>1505.9158592568658</v>
      </c>
      <c r="P42" s="19">
        <f t="shared" si="5"/>
        <v>5409.5922084493923</v>
      </c>
    </row>
    <row r="43" spans="2:16" s="100" customFormat="1" x14ac:dyDescent="0.3">
      <c r="B43" s="172" t="s">
        <v>24</v>
      </c>
      <c r="C43" s="172" t="s">
        <v>261</v>
      </c>
      <c r="D43" s="172" t="s">
        <v>72</v>
      </c>
      <c r="E43" s="172">
        <v>1.8166883202041099E-7</v>
      </c>
      <c r="F43" s="172">
        <v>18390.019254070601</v>
      </c>
      <c r="G43" s="172">
        <v>66165.324803530995</v>
      </c>
      <c r="H43" s="172">
        <v>515895.13281339</v>
      </c>
      <c r="I43" s="172">
        <v>1112139.6877165399</v>
      </c>
      <c r="J43" s="172">
        <v>307096.93399410899</v>
      </c>
      <c r="L43" s="13" t="s">
        <v>24</v>
      </c>
      <c r="M43" s="113">
        <f t="shared" si="6"/>
        <v>1075.337586795602</v>
      </c>
      <c r="N43" s="113">
        <f t="shared" si="7"/>
        <v>3613.0662383695962</v>
      </c>
      <c r="O43" s="18">
        <f t="shared" si="5"/>
        <v>1284.6462922909079</v>
      </c>
      <c r="P43" s="19">
        <f t="shared" si="5"/>
        <v>4316.3302426303162</v>
      </c>
    </row>
    <row r="44" spans="2:16" s="100" customFormat="1" ht="15" thickBot="1" x14ac:dyDescent="0.35">
      <c r="B44" s="172" t="s">
        <v>22</v>
      </c>
      <c r="C44" s="172" t="s">
        <v>261</v>
      </c>
      <c r="D44" s="172" t="s">
        <v>72</v>
      </c>
      <c r="E44" s="172">
        <v>1.80069399680751E-7</v>
      </c>
      <c r="F44" s="172">
        <v>19094.9311324874</v>
      </c>
      <c r="G44" s="172">
        <v>68332.418560586506</v>
      </c>
      <c r="H44" s="172">
        <v>532779.45642579696</v>
      </c>
      <c r="I44" s="172">
        <v>1330073.18908406</v>
      </c>
      <c r="J44" s="172">
        <v>366748.80361882597</v>
      </c>
      <c r="L44" s="13" t="s">
        <v>22</v>
      </c>
      <c r="M44" s="113">
        <f t="shared" si="6"/>
        <v>704.91187841679857</v>
      </c>
      <c r="N44" s="113">
        <f t="shared" si="7"/>
        <v>2167.0937570555107</v>
      </c>
      <c r="O44" s="30">
        <f t="shared" si="5"/>
        <v>842.11920249011723</v>
      </c>
      <c r="P44" s="24">
        <f t="shared" si="5"/>
        <v>2588.9069574365235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2" t="s">
        <v>57</v>
      </c>
      <c r="M49" s="203"/>
      <c r="N49" s="203"/>
      <c r="O49" s="203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83680.374040184164</v>
      </c>
      <c r="O51" s="14" t="str">
        <f>+K10</f>
        <v>USAR  TB</v>
      </c>
      <c r="P51" s="107">
        <f>+IF(O51="USAR TA",(I10),N51)</f>
        <v>83680.374040184164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75458.971937919428</v>
      </c>
      <c r="O52" s="14" t="str">
        <f>+K11</f>
        <v>USAR TA</v>
      </c>
      <c r="P52" s="107">
        <f>+IF(O52="USAR TB",(N52),I11)</f>
        <v>81632.958082226411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79146.9518369422</v>
      </c>
      <c r="N55" s="16" t="str">
        <f>+IF(M55&lt;P51,"ESCALAR",N51)</f>
        <v>ESCALAR</v>
      </c>
      <c r="O55" s="14">
        <f>+IF(N55="ESCALAR",(P51/M55))</f>
        <v>1.0572785445051842</v>
      </c>
      <c r="P55" s="19">
        <f>+M55*O55</f>
        <v>83680.374040184164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68332.418560586506</v>
      </c>
      <c r="N56" s="112" t="str">
        <f>+IF(M56&lt;P52,"ESCALAR",M56)</f>
        <v>ESCALAR</v>
      </c>
      <c r="O56" s="23">
        <f>+IF(N56="ESCALAR",(P52/M56))</f>
        <v>1.1946446474720789</v>
      </c>
      <c r="P56" s="24">
        <f>+M56*O56</f>
        <v>81632.958082226411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242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243</v>
      </c>
      <c r="C60" s="169" t="s">
        <v>244</v>
      </c>
      <c r="D60" s="169" t="s">
        <v>245</v>
      </c>
      <c r="E60" s="169" t="s">
        <v>246</v>
      </c>
      <c r="F60" s="169" t="s">
        <v>247</v>
      </c>
      <c r="G60" s="169" t="s">
        <v>248</v>
      </c>
      <c r="H60" s="169" t="s">
        <v>249</v>
      </c>
      <c r="I60" s="169" t="s">
        <v>250</v>
      </c>
      <c r="J60" s="169" t="s">
        <v>251</v>
      </c>
      <c r="K60" s="169" t="s">
        <v>252</v>
      </c>
      <c r="L60" s="169" t="s">
        <v>253</v>
      </c>
      <c r="M60" s="169" t="s">
        <v>254</v>
      </c>
      <c r="N60" s="169" t="s">
        <v>255</v>
      </c>
      <c r="O60" s="169" t="s">
        <v>256</v>
      </c>
      <c r="P60" s="170" t="s">
        <v>257</v>
      </c>
    </row>
    <row r="61" spans="2:16" x14ac:dyDescent="0.3">
      <c r="B61" s="173"/>
      <c r="C61" s="173"/>
      <c r="D61" s="173" t="s">
        <v>237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258</v>
      </c>
      <c r="C62" s="172">
        <v>1</v>
      </c>
      <c r="D62" s="172">
        <v>1.51734012758778</v>
      </c>
      <c r="E62" s="172">
        <v>2.3446361581716899E-2</v>
      </c>
      <c r="F62" s="172">
        <v>0.72539204931299495</v>
      </c>
      <c r="G62" s="172">
        <v>0</v>
      </c>
      <c r="H62" s="172">
        <v>2.3446361581716899E-2</v>
      </c>
      <c r="I62" s="172">
        <v>0.72539204931299495</v>
      </c>
      <c r="J62" s="172">
        <v>0</v>
      </c>
      <c r="K62" s="172">
        <v>0.17645405958254301</v>
      </c>
      <c r="L62" s="172">
        <v>4.4658447234008098E-3</v>
      </c>
      <c r="M62" s="172">
        <v>6.7104657802300405E-2</v>
      </c>
      <c r="N62" s="172">
        <v>0.17645405958254301</v>
      </c>
      <c r="O62" s="172">
        <v>4.4658447234008098E-3</v>
      </c>
      <c r="P62" s="172">
        <v>6.7104657802300405E-2</v>
      </c>
    </row>
    <row r="63" spans="2:16" x14ac:dyDescent="0.3">
      <c r="B63" s="172" t="s">
        <v>258</v>
      </c>
      <c r="C63" s="172">
        <v>2</v>
      </c>
      <c r="D63" s="172">
        <v>1.29931319896942</v>
      </c>
      <c r="E63" s="172">
        <v>0.71578772870042895</v>
      </c>
      <c r="F63" s="172">
        <v>4.5172674145569601E-2</v>
      </c>
      <c r="G63" s="172">
        <v>0</v>
      </c>
      <c r="H63" s="172">
        <v>0.73923409028214604</v>
      </c>
      <c r="I63" s="172">
        <v>0.77056472345856497</v>
      </c>
      <c r="J63" s="172">
        <v>0</v>
      </c>
      <c r="K63" s="172">
        <v>1.4992736998453301E-2</v>
      </c>
      <c r="L63" s="172">
        <v>0.16346048405959901</v>
      </c>
      <c r="M63" s="172">
        <v>5.6448993628091998E-2</v>
      </c>
      <c r="N63" s="172">
        <v>0.191446796580996</v>
      </c>
      <c r="O63" s="172">
        <v>0.16792632878300001</v>
      </c>
      <c r="P63" s="172">
        <v>0.123553651430392</v>
      </c>
    </row>
    <row r="64" spans="2:16" x14ac:dyDescent="0.3">
      <c r="B64" s="172" t="s">
        <v>258</v>
      </c>
      <c r="C64" s="172">
        <v>3</v>
      </c>
      <c r="D64" s="172">
        <v>1.1044021191216999</v>
      </c>
      <c r="E64" s="172">
        <v>8.0109168244256304E-2</v>
      </c>
      <c r="F64" s="172">
        <v>3.0600056543390899E-2</v>
      </c>
      <c r="G64" s="172">
        <v>0</v>
      </c>
      <c r="H64" s="172">
        <v>0.819343258526402</v>
      </c>
      <c r="I64" s="172">
        <v>0.80116478000195601</v>
      </c>
      <c r="J64" s="172">
        <v>0</v>
      </c>
      <c r="K64" s="172">
        <v>2.10789580455337E-2</v>
      </c>
      <c r="L64" s="172">
        <v>2.2440401172871799E-2</v>
      </c>
      <c r="M64" s="172">
        <v>0.68110468669814195</v>
      </c>
      <c r="N64" s="172">
        <v>0.21252575462653001</v>
      </c>
      <c r="O64" s="172">
        <v>0.190366729955872</v>
      </c>
      <c r="P64" s="172">
        <v>0.80465833812853405</v>
      </c>
    </row>
    <row r="65" spans="2:16" x14ac:dyDescent="0.3">
      <c r="B65" s="172" t="s">
        <v>258</v>
      </c>
      <c r="C65" s="172">
        <v>4</v>
      </c>
      <c r="D65" s="172">
        <v>0.49055492605057899</v>
      </c>
      <c r="E65" s="172">
        <v>4.2173353542820802E-3</v>
      </c>
      <c r="F65" s="172">
        <v>0.103108962911253</v>
      </c>
      <c r="G65" s="172">
        <v>0</v>
      </c>
      <c r="H65" s="172">
        <v>0.82356059388068403</v>
      </c>
      <c r="I65" s="172">
        <v>0.90427374291320906</v>
      </c>
      <c r="J65" s="172">
        <v>0</v>
      </c>
      <c r="K65" s="172">
        <v>0.49327620229986402</v>
      </c>
      <c r="L65" s="172">
        <v>2.3250097093080201E-2</v>
      </c>
      <c r="M65" s="172">
        <v>5.9558925293008401E-3</v>
      </c>
      <c r="N65" s="172">
        <v>0.70580195692639403</v>
      </c>
      <c r="O65" s="172">
        <v>0.21361682704895199</v>
      </c>
      <c r="P65" s="172">
        <v>0.810614230657835</v>
      </c>
    </row>
    <row r="66" spans="2:16" x14ac:dyDescent="0.3">
      <c r="B66" s="172" t="s">
        <v>258</v>
      </c>
      <c r="C66" s="172">
        <v>5</v>
      </c>
      <c r="D66" s="172">
        <v>0.42464840604246601</v>
      </c>
      <c r="E66" s="172">
        <v>9.80547307272496E-2</v>
      </c>
      <c r="F66" s="172">
        <v>1.0512504341590999E-2</v>
      </c>
      <c r="G66" s="172">
        <v>0</v>
      </c>
      <c r="H66" s="172">
        <v>0.92161532460793405</v>
      </c>
      <c r="I66" s="172">
        <v>0.91478624725479996</v>
      </c>
      <c r="J66" s="172">
        <v>0</v>
      </c>
      <c r="K66" s="172">
        <v>4.1660148284853302E-2</v>
      </c>
      <c r="L66" s="172">
        <v>0.53523455233290196</v>
      </c>
      <c r="M66" s="172">
        <v>6.0156678281012002E-3</v>
      </c>
      <c r="N66" s="172">
        <v>0.74746210521124801</v>
      </c>
      <c r="O66" s="172">
        <v>0.74885137938185398</v>
      </c>
      <c r="P66" s="172">
        <v>0.81662989848593603</v>
      </c>
    </row>
    <row r="67" spans="2:16" x14ac:dyDescent="0.3">
      <c r="B67" s="172" t="s">
        <v>258</v>
      </c>
      <c r="C67" s="172">
        <v>6</v>
      </c>
      <c r="D67" s="172">
        <v>0.35354373531972</v>
      </c>
      <c r="E67" s="172">
        <v>1.1997268588217799E-2</v>
      </c>
      <c r="F67" s="172">
        <v>1.04907523156653E-2</v>
      </c>
      <c r="G67" s="172">
        <v>0</v>
      </c>
      <c r="H67" s="172">
        <v>0.93361259319615097</v>
      </c>
      <c r="I67" s="172">
        <v>0.92527699957046505</v>
      </c>
      <c r="J67" s="172">
        <v>0</v>
      </c>
      <c r="K67" s="172">
        <v>3.3863562206683399E-2</v>
      </c>
      <c r="L67" s="172">
        <v>5.1008322386194203E-2</v>
      </c>
      <c r="M67" s="172">
        <v>0.110166626645136</v>
      </c>
      <c r="N67" s="172">
        <v>0.78132566741793097</v>
      </c>
      <c r="O67" s="172">
        <v>0.79985970176804799</v>
      </c>
      <c r="P67" s="172">
        <v>0.92679652513107202</v>
      </c>
    </row>
    <row r="68" spans="2:16" x14ac:dyDescent="0.3">
      <c r="B68" s="172" t="s">
        <v>258</v>
      </c>
      <c r="C68" s="172">
        <v>7</v>
      </c>
      <c r="D68" s="172">
        <v>0.27788146629979699</v>
      </c>
      <c r="E68" s="172">
        <v>2.3179988791465298E-3</v>
      </c>
      <c r="F68" s="172">
        <v>2.88188607393806E-2</v>
      </c>
      <c r="G68" s="172">
        <v>0</v>
      </c>
      <c r="H68" s="172">
        <v>0.93593059207529805</v>
      </c>
      <c r="I68" s="172">
        <v>0.95409586030984606</v>
      </c>
      <c r="J68" s="172">
        <v>0</v>
      </c>
      <c r="K68" s="172">
        <v>6.4351285450716098E-2</v>
      </c>
      <c r="L68" s="172">
        <v>5.1379409420684499E-3</v>
      </c>
      <c r="M68" s="172">
        <v>3.1522824180741601E-3</v>
      </c>
      <c r="N68" s="172">
        <v>0.84567695286864697</v>
      </c>
      <c r="O68" s="172">
        <v>0.80499764271011598</v>
      </c>
      <c r="P68" s="172">
        <v>0.92994880754914599</v>
      </c>
    </row>
    <row r="69" spans="2:16" x14ac:dyDescent="0.3">
      <c r="B69" s="172" t="s">
        <v>258</v>
      </c>
      <c r="C69" s="172">
        <v>8</v>
      </c>
      <c r="D69" s="172">
        <v>0.24139984365918801</v>
      </c>
      <c r="E69" s="172">
        <v>2.8094163159514299E-2</v>
      </c>
      <c r="F69" s="172">
        <v>4.403772339965E-3</v>
      </c>
      <c r="G69" s="172">
        <v>0</v>
      </c>
      <c r="H69" s="172">
        <v>0.96402475523481201</v>
      </c>
      <c r="I69" s="172">
        <v>0.95849963264981097</v>
      </c>
      <c r="J69" s="172">
        <v>0</v>
      </c>
      <c r="K69" s="172">
        <v>1.0095206314736699E-2</v>
      </c>
      <c r="L69" s="172">
        <v>6.0488377203371503E-2</v>
      </c>
      <c r="M69" s="172">
        <v>1.5531713696002899E-3</v>
      </c>
      <c r="N69" s="172">
        <v>0.85577215918338401</v>
      </c>
      <c r="O69" s="172">
        <v>0.86548601991348795</v>
      </c>
      <c r="P69" s="172">
        <v>0.93150197891874698</v>
      </c>
    </row>
    <row r="70" spans="2:16" x14ac:dyDescent="0.3">
      <c r="B70" s="172" t="s">
        <v>258</v>
      </c>
      <c r="C70" s="172">
        <v>9</v>
      </c>
      <c r="D70" s="172">
        <v>0.19673557543971801</v>
      </c>
      <c r="E70" s="172">
        <v>1.53136134634146E-3</v>
      </c>
      <c r="F70" s="172">
        <v>3.3740269141810901E-5</v>
      </c>
      <c r="G70" s="172">
        <v>0</v>
      </c>
      <c r="H70" s="172">
        <v>0.96555611658115403</v>
      </c>
      <c r="I70" s="172">
        <v>0.95853337291895302</v>
      </c>
      <c r="J70" s="172">
        <v>0</v>
      </c>
      <c r="K70" s="172">
        <v>2.7301332641608298E-4</v>
      </c>
      <c r="L70" s="172">
        <v>3.2334872481807201E-3</v>
      </c>
      <c r="M70" s="172">
        <v>3.0412701279468001E-2</v>
      </c>
      <c r="N70" s="172">
        <v>0.85604517250979995</v>
      </c>
      <c r="O70" s="172">
        <v>0.86871950716166801</v>
      </c>
      <c r="P70" s="172">
        <v>0.96191468019821502</v>
      </c>
    </row>
    <row r="71" spans="2:16" x14ac:dyDescent="0.3">
      <c r="B71" s="172" t="s">
        <v>258</v>
      </c>
      <c r="C71" s="172">
        <v>10</v>
      </c>
      <c r="D71" s="172">
        <v>0.19167400434429499</v>
      </c>
      <c r="E71" s="172">
        <v>2.9699797689196499E-3</v>
      </c>
      <c r="F71" s="172">
        <v>1.6579838679363201E-2</v>
      </c>
      <c r="G71" s="172">
        <v>0</v>
      </c>
      <c r="H71" s="172">
        <v>0.96852609635007303</v>
      </c>
      <c r="I71" s="172">
        <v>0.97511321159831599</v>
      </c>
      <c r="J71" s="172">
        <v>0</v>
      </c>
      <c r="K71" s="172">
        <v>6.1805486665698003E-2</v>
      </c>
      <c r="L71" s="172">
        <v>1.06651377191489E-2</v>
      </c>
      <c r="M71" s="172">
        <v>1.0225628257987101E-3</v>
      </c>
      <c r="N71" s="172">
        <v>0.91785065917549802</v>
      </c>
      <c r="O71" s="172">
        <v>0.87938464488081702</v>
      </c>
      <c r="P71" s="172">
        <v>0.96293724302401296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203</v>
      </c>
      <c r="E3" s="169" t="s">
        <v>204</v>
      </c>
      <c r="F3" s="169" t="s">
        <v>95</v>
      </c>
      <c r="G3" s="169" t="s">
        <v>205</v>
      </c>
      <c r="H3" s="169" t="s">
        <v>206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990.77095886890095</v>
      </c>
      <c r="E6" s="172">
        <v>8.8842913073973505E-4</v>
      </c>
      <c r="F6" s="172">
        <v>1115194.13826959</v>
      </c>
      <c r="G6" s="172">
        <v>740.667191992315</v>
      </c>
      <c r="H6" s="172">
        <v>5.3872671315437605E-4</v>
      </c>
      <c r="I6" s="172">
        <v>1374847.71760347</v>
      </c>
    </row>
    <row r="7" spans="2:9" hidden="1" x14ac:dyDescent="0.3">
      <c r="B7" s="172" t="s">
        <v>187</v>
      </c>
      <c r="C7" s="172" t="s">
        <v>79</v>
      </c>
      <c r="D7" s="172">
        <v>12884.8839666692</v>
      </c>
      <c r="E7" s="172">
        <v>1.0405123279448E-3</v>
      </c>
      <c r="F7" s="172">
        <v>12383211.251441199</v>
      </c>
      <c r="G7" s="172">
        <v>3749.8816225611399</v>
      </c>
      <c r="H7" s="172">
        <v>4.6827068162671602E-4</v>
      </c>
      <c r="I7" s="172">
        <v>8007935.9432337396</v>
      </c>
    </row>
    <row r="8" spans="2:9" hidden="1" x14ac:dyDescent="0.3">
      <c r="B8" s="172" t="s">
        <v>185</v>
      </c>
      <c r="C8" s="172" t="s">
        <v>79</v>
      </c>
      <c r="D8" s="172">
        <v>26787.203149402401</v>
      </c>
      <c r="E8" s="172">
        <v>1.5027992037913501E-3</v>
      </c>
      <c r="F8" s="172">
        <v>17824871.800452199</v>
      </c>
      <c r="G8" s="172">
        <v>7279.9888874354401</v>
      </c>
      <c r="H8" s="172">
        <v>5.8187296312798697E-4</v>
      </c>
      <c r="I8" s="172">
        <v>12511302.8938486</v>
      </c>
    </row>
    <row r="9" spans="2:9" hidden="1" x14ac:dyDescent="0.3">
      <c r="B9" s="172" t="s">
        <v>183</v>
      </c>
      <c r="C9" s="172" t="s">
        <v>79</v>
      </c>
      <c r="D9" s="172">
        <v>38645.958949442502</v>
      </c>
      <c r="E9" s="172">
        <v>1.8164174966709701E-3</v>
      </c>
      <c r="F9" s="172">
        <v>21275923.0850126</v>
      </c>
      <c r="G9" s="172">
        <v>10079.2413380338</v>
      </c>
      <c r="H9" s="172">
        <v>6.7892335759175504E-4</v>
      </c>
      <c r="I9" s="172">
        <v>14845919.2415863</v>
      </c>
    </row>
    <row r="10" spans="2:9" hidden="1" x14ac:dyDescent="0.3">
      <c r="B10" s="172" t="s">
        <v>181</v>
      </c>
      <c r="C10" s="172" t="s">
        <v>79</v>
      </c>
      <c r="D10" s="172">
        <v>48729.700478609098</v>
      </c>
      <c r="E10" s="172">
        <v>2.1181226547095501E-3</v>
      </c>
      <c r="F10" s="172">
        <v>23006080.582850501</v>
      </c>
      <c r="G10" s="172">
        <v>12352.457365636001</v>
      </c>
      <c r="H10" s="172">
        <v>7.6664242475209103E-4</v>
      </c>
      <c r="I10" s="172">
        <v>16112410.384320101</v>
      </c>
    </row>
    <row r="11" spans="2:9" hidden="1" x14ac:dyDescent="0.3">
      <c r="B11" s="172" t="s">
        <v>179</v>
      </c>
      <c r="C11" s="172" t="s">
        <v>79</v>
      </c>
      <c r="D11" s="172">
        <v>57396.574308465199</v>
      </c>
      <c r="E11" s="172">
        <v>2.39473185109476E-3</v>
      </c>
      <c r="F11" s="172">
        <v>23967850.213470101</v>
      </c>
      <c r="G11" s="172">
        <v>14281.168040165099</v>
      </c>
      <c r="H11" s="172">
        <v>8.2832653319108904E-4</v>
      </c>
      <c r="I11" s="172">
        <v>17240988.267208599</v>
      </c>
    </row>
    <row r="12" spans="2:9" hidden="1" x14ac:dyDescent="0.3">
      <c r="B12" s="172" t="s">
        <v>39</v>
      </c>
      <c r="C12" s="172" t="s">
        <v>79</v>
      </c>
      <c r="D12" s="172">
        <v>64902.919129803602</v>
      </c>
      <c r="E12" s="172">
        <v>2.5899541418145599E-3</v>
      </c>
      <c r="F12" s="172">
        <v>25059485.834885001</v>
      </c>
      <c r="G12" s="172">
        <v>15947.5178971685</v>
      </c>
      <c r="H12" s="172">
        <v>8.7075829439702999E-4</v>
      </c>
      <c r="I12" s="172">
        <v>18314517.357783701</v>
      </c>
    </row>
    <row r="13" spans="2:9" hidden="1" x14ac:dyDescent="0.3">
      <c r="B13" s="172" t="s">
        <v>26</v>
      </c>
      <c r="C13" s="172" t="s">
        <v>79</v>
      </c>
      <c r="D13" s="172">
        <v>71421.648889870106</v>
      </c>
      <c r="E13" s="172">
        <v>2.7295276026476499E-3</v>
      </c>
      <c r="F13" s="172">
        <v>26166303.949661799</v>
      </c>
      <c r="G13" s="172">
        <v>17387.3754677283</v>
      </c>
      <c r="H13" s="172">
        <v>9.0203928679227004E-4</v>
      </c>
      <c r="I13" s="172">
        <v>19275629.922460899</v>
      </c>
    </row>
    <row r="14" spans="2:9" hidden="1" x14ac:dyDescent="0.3">
      <c r="B14" s="172" t="s">
        <v>25</v>
      </c>
      <c r="C14" s="172" t="s">
        <v>79</v>
      </c>
      <c r="D14" s="172">
        <v>76912.919820384996</v>
      </c>
      <c r="E14" s="172">
        <v>2.8202872844047301E-3</v>
      </c>
      <c r="F14" s="172">
        <v>27271306.808242001</v>
      </c>
      <c r="G14" s="172">
        <v>18597.0574475135</v>
      </c>
      <c r="H14" s="172">
        <v>9.0807482608580396E-4</v>
      </c>
      <c r="I14" s="172">
        <v>20479653.122501899</v>
      </c>
    </row>
    <row r="15" spans="2:9" hidden="1" x14ac:dyDescent="0.3">
      <c r="B15" s="172" t="s">
        <v>24</v>
      </c>
      <c r="C15" s="172" t="s">
        <v>79</v>
      </c>
      <c r="D15" s="172">
        <v>81152.762504873099</v>
      </c>
      <c r="E15" s="172">
        <v>2.8055724544954301E-3</v>
      </c>
      <c r="F15" s="172">
        <v>28925562.900662299</v>
      </c>
      <c r="G15" s="172">
        <v>19572.4880027736</v>
      </c>
      <c r="H15" s="172">
        <v>8.9724623028113702E-4</v>
      </c>
      <c r="I15" s="172">
        <v>21813954.0097492</v>
      </c>
    </row>
    <row r="16" spans="2:9" hidden="1" x14ac:dyDescent="0.3">
      <c r="B16" s="172" t="s">
        <v>22</v>
      </c>
      <c r="C16" s="172" t="s">
        <v>79</v>
      </c>
      <c r="D16" s="172">
        <v>83680.374111059398</v>
      </c>
      <c r="E16" s="172">
        <v>2.8100028512609001E-3</v>
      </c>
      <c r="F16" s="172">
        <v>29779462.3494814</v>
      </c>
      <c r="G16" s="172">
        <v>20175.904512846399</v>
      </c>
      <c r="H16" s="172">
        <v>8.2927887932106705E-4</v>
      </c>
      <c r="I16" s="172">
        <v>24329456.610982899</v>
      </c>
    </row>
    <row r="17" spans="2:9" hidden="1" x14ac:dyDescent="0.3">
      <c r="B17" s="172" t="s">
        <v>189</v>
      </c>
      <c r="C17" s="172" t="s">
        <v>80</v>
      </c>
      <c r="D17" s="172">
        <v>990.77095886645805</v>
      </c>
      <c r="E17" s="172">
        <v>9.3031570791648002E-4</v>
      </c>
      <c r="F17" s="172">
        <v>1064983.58614773</v>
      </c>
      <c r="G17" s="172">
        <v>740.66719198473697</v>
      </c>
      <c r="H17" s="172">
        <v>6.7398969132641902E-4</v>
      </c>
      <c r="I17" s="172">
        <v>1098929.55562435</v>
      </c>
    </row>
    <row r="18" spans="2:9" hidden="1" x14ac:dyDescent="0.3">
      <c r="B18" s="172" t="s">
        <v>187</v>
      </c>
      <c r="C18" s="172" t="s">
        <v>80</v>
      </c>
      <c r="D18" s="172">
        <v>12884.8839667254</v>
      </c>
      <c r="E18" s="172">
        <v>1.0104994641640999E-3</v>
      </c>
      <c r="F18" s="172">
        <v>12751005.244108699</v>
      </c>
      <c r="G18" s="172">
        <v>3749.88162259297</v>
      </c>
      <c r="H18" s="172">
        <v>5.10769988914289E-4</v>
      </c>
      <c r="I18" s="172">
        <v>7341624.8095622202</v>
      </c>
    </row>
    <row r="19" spans="2:9" hidden="1" x14ac:dyDescent="0.3">
      <c r="B19" s="172" t="s">
        <v>185</v>
      </c>
      <c r="C19" s="172" t="s">
        <v>80</v>
      </c>
      <c r="D19" s="172">
        <v>26787.2031492104</v>
      </c>
      <c r="E19" s="172">
        <v>1.4519699769590601E-3</v>
      </c>
      <c r="F19" s="172">
        <v>18448868.485085599</v>
      </c>
      <c r="G19" s="172">
        <v>7279.98888750075</v>
      </c>
      <c r="H19" s="172">
        <v>6.3223056912915701E-4</v>
      </c>
      <c r="I19" s="172">
        <v>11514768.888078799</v>
      </c>
    </row>
    <row r="20" spans="2:9" hidden="1" x14ac:dyDescent="0.3">
      <c r="B20" s="172" t="s">
        <v>183</v>
      </c>
      <c r="C20" s="172" t="s">
        <v>80</v>
      </c>
      <c r="D20" s="172">
        <v>38645.958948881103</v>
      </c>
      <c r="E20" s="172">
        <v>1.83480674363702E-3</v>
      </c>
      <c r="F20" s="172">
        <v>21062686.347160202</v>
      </c>
      <c r="G20" s="172">
        <v>10079.241338113699</v>
      </c>
      <c r="H20" s="172">
        <v>7.3686603981703604E-4</v>
      </c>
      <c r="I20" s="172">
        <v>13678526.073228201</v>
      </c>
    </row>
    <row r="21" spans="2:9" hidden="1" x14ac:dyDescent="0.3">
      <c r="B21" s="172" t="s">
        <v>181</v>
      </c>
      <c r="C21" s="172" t="s">
        <v>80</v>
      </c>
      <c r="D21" s="172">
        <v>48729.7004777861</v>
      </c>
      <c r="E21" s="172">
        <v>2.1571019589541199E-3</v>
      </c>
      <c r="F21" s="172">
        <v>22590355.6739677</v>
      </c>
      <c r="G21" s="172">
        <v>12352.457365751699</v>
      </c>
      <c r="H21" s="172">
        <v>8.1580962386005598E-4</v>
      </c>
      <c r="I21" s="172">
        <v>15141347.937653899</v>
      </c>
    </row>
    <row r="22" spans="2:9" hidden="1" x14ac:dyDescent="0.3">
      <c r="B22" s="172" t="s">
        <v>179</v>
      </c>
      <c r="C22" s="172" t="s">
        <v>80</v>
      </c>
      <c r="D22" s="172">
        <v>57396.574307542098</v>
      </c>
      <c r="E22" s="172">
        <v>2.4193456337118099E-3</v>
      </c>
      <c r="F22" s="172">
        <v>23724007.6439525</v>
      </c>
      <c r="G22" s="172">
        <v>14281.168040336301</v>
      </c>
      <c r="H22" s="172">
        <v>8.4275531457326104E-4</v>
      </c>
      <c r="I22" s="172">
        <v>16945805.9692779</v>
      </c>
    </row>
    <row r="23" spans="2:9" hidden="1" x14ac:dyDescent="0.3">
      <c r="B23" s="172" t="s">
        <v>39</v>
      </c>
      <c r="C23" s="172" t="s">
        <v>80</v>
      </c>
      <c r="D23" s="172">
        <v>64902.919128806498</v>
      </c>
      <c r="E23" s="172">
        <v>2.5340441432429401E-3</v>
      </c>
      <c r="F23" s="172">
        <v>25612386.9435625</v>
      </c>
      <c r="G23" s="172">
        <v>15947.5178974258</v>
      </c>
      <c r="H23" s="172">
        <v>8.7030892878653702E-4</v>
      </c>
      <c r="I23" s="172">
        <v>18323973.671810199</v>
      </c>
    </row>
    <row r="24" spans="2:9" hidden="1" x14ac:dyDescent="0.3">
      <c r="B24" s="172" t="s">
        <v>26</v>
      </c>
      <c r="C24" s="172" t="s">
        <v>80</v>
      </c>
      <c r="D24" s="172">
        <v>71421.648888780604</v>
      </c>
      <c r="E24" s="172">
        <v>2.6678492429343002E-3</v>
      </c>
      <c r="F24" s="172">
        <v>26771246.193141699</v>
      </c>
      <c r="G24" s="172">
        <v>17387.375468014699</v>
      </c>
      <c r="H24" s="172">
        <v>8.8966479662639503E-4</v>
      </c>
      <c r="I24" s="172">
        <v>19543737.747011598</v>
      </c>
    </row>
    <row r="25" spans="2:9" hidden="1" x14ac:dyDescent="0.3">
      <c r="B25" s="172" t="s">
        <v>25</v>
      </c>
      <c r="C25" s="172" t="s">
        <v>80</v>
      </c>
      <c r="D25" s="172">
        <v>76912.919819240793</v>
      </c>
      <c r="E25" s="172">
        <v>2.7509199154756902E-3</v>
      </c>
      <c r="F25" s="172">
        <v>27958981.788803101</v>
      </c>
      <c r="G25" s="172">
        <v>18597.057447821298</v>
      </c>
      <c r="H25" s="172">
        <v>8.80039328346699E-4</v>
      </c>
      <c r="I25" s="172">
        <v>21132075.407083198</v>
      </c>
    </row>
    <row r="26" spans="2:9" hidden="1" x14ac:dyDescent="0.3">
      <c r="B26" s="172" t="s">
        <v>24</v>
      </c>
      <c r="C26" s="172" t="s">
        <v>80</v>
      </c>
      <c r="D26" s="172">
        <v>81152.762503671795</v>
      </c>
      <c r="E26" s="172">
        <v>2.7211905918856599E-3</v>
      </c>
      <c r="F26" s="172">
        <v>29822520.607583299</v>
      </c>
      <c r="G26" s="172">
        <v>19572.488003087001</v>
      </c>
      <c r="H26" s="172">
        <v>8.5126869899841695E-4</v>
      </c>
      <c r="I26" s="172">
        <v>22992138.7055762</v>
      </c>
    </row>
    <row r="27" spans="2:9" hidden="1" x14ac:dyDescent="0.3">
      <c r="B27" s="172" t="s">
        <v>22</v>
      </c>
      <c r="C27" s="172" t="s">
        <v>80</v>
      </c>
      <c r="D27" s="172">
        <v>83680.374109866796</v>
      </c>
      <c r="E27" s="172">
        <v>2.7517590595888199E-3</v>
      </c>
      <c r="F27" s="172">
        <v>30409775.0921444</v>
      </c>
      <c r="G27" s="172">
        <v>20175.904513158199</v>
      </c>
      <c r="H27" s="172">
        <v>7.8598826536186404E-4</v>
      </c>
      <c r="I27" s="172">
        <v>25669472.945463601</v>
      </c>
    </row>
    <row r="28" spans="2:9" hidden="1" x14ac:dyDescent="0.3">
      <c r="B28" s="172" t="s">
        <v>189</v>
      </c>
      <c r="C28" s="172" t="s">
        <v>81</v>
      </c>
      <c r="D28" s="172">
        <v>451.14401090335599</v>
      </c>
      <c r="E28" s="172">
        <v>3.9418957962846602E-4</v>
      </c>
      <c r="F28" s="172">
        <v>1144484.8728080799</v>
      </c>
      <c r="G28" s="172">
        <v>889.28792380414802</v>
      </c>
      <c r="H28" s="172">
        <v>1.7984092626103401E-3</v>
      </c>
      <c r="I28" s="172">
        <v>494485.84495910001</v>
      </c>
    </row>
    <row r="29" spans="2:9" hidden="1" x14ac:dyDescent="0.3">
      <c r="B29" s="172" t="s">
        <v>187</v>
      </c>
      <c r="C29" s="172" t="s">
        <v>81</v>
      </c>
      <c r="D29" s="172">
        <v>3934.2312658743999</v>
      </c>
      <c r="E29" s="172">
        <v>3.4700260351939902E-4</v>
      </c>
      <c r="F29" s="172">
        <v>11337757.198281201</v>
      </c>
      <c r="G29" s="172">
        <v>13135.8254232858</v>
      </c>
      <c r="H29" s="172">
        <v>1.7559692025331201E-3</v>
      </c>
      <c r="I29" s="172">
        <v>7480669.59507968</v>
      </c>
    </row>
    <row r="30" spans="2:9" hidden="1" x14ac:dyDescent="0.3">
      <c r="B30" s="172" t="s">
        <v>185</v>
      </c>
      <c r="C30" s="172" t="s">
        <v>81</v>
      </c>
      <c r="D30" s="172">
        <v>7851.6358362374604</v>
      </c>
      <c r="E30" s="172">
        <v>3.8835694039711198E-4</v>
      </c>
      <c r="F30" s="172">
        <v>20217575.687481798</v>
      </c>
      <c r="G30" s="172">
        <v>27140.892963765</v>
      </c>
      <c r="H30" s="172">
        <v>2.2474056063160898E-3</v>
      </c>
      <c r="I30" s="172">
        <v>12076544.1215811</v>
      </c>
    </row>
    <row r="31" spans="2:9" hidden="1" x14ac:dyDescent="0.3">
      <c r="B31" s="172" t="s">
        <v>183</v>
      </c>
      <c r="C31" s="172" t="s">
        <v>81</v>
      </c>
      <c r="D31" s="172">
        <v>10961.138963833801</v>
      </c>
      <c r="E31" s="172">
        <v>4.9971071676074201E-4</v>
      </c>
      <c r="F31" s="172">
        <v>21934968.765302502</v>
      </c>
      <c r="G31" s="172">
        <v>38687.990623107202</v>
      </c>
      <c r="H31" s="172">
        <v>2.6617616087223198E-3</v>
      </c>
      <c r="I31" s="172">
        <v>14534731.621468499</v>
      </c>
    </row>
    <row r="32" spans="2:9" hidden="1" x14ac:dyDescent="0.3">
      <c r="B32" s="172" t="s">
        <v>181</v>
      </c>
      <c r="C32" s="172" t="s">
        <v>81</v>
      </c>
      <c r="D32" s="172">
        <v>13481.423747241601</v>
      </c>
      <c r="E32" s="172">
        <v>5.9018119565295896E-4</v>
      </c>
      <c r="F32" s="172">
        <v>22842855.459544402</v>
      </c>
      <c r="G32" s="172">
        <v>48162.869987489998</v>
      </c>
      <c r="H32" s="172">
        <v>2.9857909805026599E-3</v>
      </c>
      <c r="I32" s="172">
        <v>16130690.427426299</v>
      </c>
    </row>
    <row r="33" spans="2:9" hidden="1" x14ac:dyDescent="0.3">
      <c r="B33" s="172" t="s">
        <v>179</v>
      </c>
      <c r="C33" s="172" t="s">
        <v>81</v>
      </c>
      <c r="D33" s="172">
        <v>15613.937475590899</v>
      </c>
      <c r="E33" s="172">
        <v>6.6437581519402798E-4</v>
      </c>
      <c r="F33" s="172">
        <v>23501664.447299201</v>
      </c>
      <c r="G33" s="172">
        <v>56144.279137635698</v>
      </c>
      <c r="H33" s="172">
        <v>3.2333665339836499E-3</v>
      </c>
      <c r="I33" s="172">
        <v>17364031.7444814</v>
      </c>
    </row>
    <row r="34" spans="2:9" hidden="1" x14ac:dyDescent="0.3">
      <c r="B34" s="172" t="s">
        <v>39</v>
      </c>
      <c r="C34" s="172" t="s">
        <v>81</v>
      </c>
      <c r="D34" s="172">
        <v>17492.470951961299</v>
      </c>
      <c r="E34" s="172">
        <v>6.92912052762999E-4</v>
      </c>
      <c r="F34" s="172">
        <v>25244864.6003628</v>
      </c>
      <c r="G34" s="172">
        <v>63108.812319830402</v>
      </c>
      <c r="H34" s="172">
        <v>3.3470457932856302E-3</v>
      </c>
      <c r="I34" s="172">
        <v>18855078.841894101</v>
      </c>
    </row>
    <row r="35" spans="2:9" hidden="1" x14ac:dyDescent="0.3">
      <c r="B35" s="172" t="s">
        <v>26</v>
      </c>
      <c r="C35" s="172" t="s">
        <v>81</v>
      </c>
      <c r="D35" s="172">
        <v>19178.975932022298</v>
      </c>
      <c r="E35" s="172">
        <v>7.6207903046071699E-4</v>
      </c>
      <c r="F35" s="172">
        <v>25166649.6064425</v>
      </c>
      <c r="G35" s="172">
        <v>69318.128664760996</v>
      </c>
      <c r="H35" s="172">
        <v>3.4370180205245101E-3</v>
      </c>
      <c r="I35" s="172">
        <v>20168101.6075041</v>
      </c>
    </row>
    <row r="36" spans="2:9" hidden="1" x14ac:dyDescent="0.3">
      <c r="B36" s="172" t="s">
        <v>25</v>
      </c>
      <c r="C36" s="172" t="s">
        <v>81</v>
      </c>
      <c r="D36" s="172">
        <v>20684.891791649501</v>
      </c>
      <c r="E36" s="172">
        <v>8.0472742598324302E-4</v>
      </c>
      <c r="F36" s="172">
        <v>25704221.2353779</v>
      </c>
      <c r="G36" s="172">
        <v>74727.720872391903</v>
      </c>
      <c r="H36" s="172">
        <v>3.4313133034501002E-3</v>
      </c>
      <c r="I36" s="172">
        <v>21778168.958589401</v>
      </c>
    </row>
    <row r="37" spans="2:9" hidden="1" x14ac:dyDescent="0.3">
      <c r="B37" s="172" t="s">
        <v>24</v>
      </c>
      <c r="C37" s="172" t="s">
        <v>81</v>
      </c>
      <c r="D37" s="172">
        <v>21969.5380840488</v>
      </c>
      <c r="E37" s="172">
        <v>8.1367315609845296E-4</v>
      </c>
      <c r="F37" s="172">
        <v>27000445.964559399</v>
      </c>
      <c r="G37" s="172">
        <v>79044.051115488895</v>
      </c>
      <c r="H37" s="172">
        <v>3.29237368624689E-3</v>
      </c>
      <c r="I37" s="172">
        <v>24008225.872317199</v>
      </c>
    </row>
    <row r="38" spans="2:9" hidden="1" x14ac:dyDescent="0.3">
      <c r="B38" s="172" t="s">
        <v>22</v>
      </c>
      <c r="C38" s="172" t="s">
        <v>81</v>
      </c>
      <c r="D38" s="172">
        <v>22811.657286849899</v>
      </c>
      <c r="E38" s="172">
        <v>8.7435491515243098E-4</v>
      </c>
      <c r="F38" s="172">
        <v>26089699.836447999</v>
      </c>
      <c r="G38" s="172">
        <v>81632.958072484107</v>
      </c>
      <c r="H38" s="172">
        <v>2.9982679875317502E-3</v>
      </c>
      <c r="I38" s="172">
        <v>27226705.0216836</v>
      </c>
    </row>
    <row r="39" spans="2:9" x14ac:dyDescent="0.3">
      <c r="B39" s="172" t="s">
        <v>189</v>
      </c>
      <c r="C39" s="172" t="s">
        <v>82</v>
      </c>
      <c r="D39" s="172">
        <v>451.14401090641502</v>
      </c>
      <c r="E39" s="172">
        <v>3.2387537014330901E-4</v>
      </c>
      <c r="F39" s="172">
        <v>1392955.6011214801</v>
      </c>
      <c r="G39" s="172">
        <v>889.28792381702897</v>
      </c>
      <c r="H39" s="172">
        <v>1.5815175690343699E-3</v>
      </c>
      <c r="I39" s="172">
        <v>562300.37606221798</v>
      </c>
    </row>
    <row r="40" spans="2:9" x14ac:dyDescent="0.3">
      <c r="B40" s="172" t="s">
        <v>187</v>
      </c>
      <c r="C40" s="172" t="s">
        <v>82</v>
      </c>
      <c r="D40" s="172">
        <v>3934.2312657889702</v>
      </c>
      <c r="E40" s="172">
        <v>2.5852542608565602E-4</v>
      </c>
      <c r="F40" s="172">
        <v>15217966.4699033</v>
      </c>
      <c r="G40" s="172">
        <v>13135.825423235099</v>
      </c>
      <c r="H40" s="172">
        <v>1.68637606133289E-3</v>
      </c>
      <c r="I40" s="172">
        <v>7789380.8649374703</v>
      </c>
    </row>
    <row r="41" spans="2:9" x14ac:dyDescent="0.3">
      <c r="B41" s="172" t="s">
        <v>185</v>
      </c>
      <c r="C41" s="172" t="s">
        <v>82</v>
      </c>
      <c r="D41" s="172">
        <v>7851.63583654596</v>
      </c>
      <c r="E41" s="172">
        <v>4.2956497575845403E-4</v>
      </c>
      <c r="F41" s="172">
        <v>18278109.901029199</v>
      </c>
      <c r="G41" s="172">
        <v>27140.892963661201</v>
      </c>
      <c r="H41" s="172">
        <v>2.20017226297025E-3</v>
      </c>
      <c r="I41" s="172">
        <v>12335803.618858799</v>
      </c>
    </row>
    <row r="42" spans="2:9" x14ac:dyDescent="0.3">
      <c r="B42" s="172" t="s">
        <v>183</v>
      </c>
      <c r="C42" s="172" t="s">
        <v>82</v>
      </c>
      <c r="D42" s="172">
        <v>10961.1389647326</v>
      </c>
      <c r="E42" s="172">
        <v>5.3945560617727503E-4</v>
      </c>
      <c r="F42" s="172">
        <v>20318889.708842099</v>
      </c>
      <c r="G42" s="172">
        <v>38687.990622981299</v>
      </c>
      <c r="H42" s="172">
        <v>2.5378029761641101E-3</v>
      </c>
      <c r="I42" s="172">
        <v>15244678.561082801</v>
      </c>
    </row>
    <row r="43" spans="2:9" x14ac:dyDescent="0.3">
      <c r="B43" s="172" t="s">
        <v>181</v>
      </c>
      <c r="C43" s="172" t="s">
        <v>82</v>
      </c>
      <c r="D43" s="172">
        <v>13481.4237485662</v>
      </c>
      <c r="E43" s="172">
        <v>6.4830371837433195E-4</v>
      </c>
      <c r="F43" s="172">
        <v>20794919.674950801</v>
      </c>
      <c r="G43" s="172">
        <v>48162.869987304097</v>
      </c>
      <c r="H43" s="172">
        <v>2.8958177220462498E-3</v>
      </c>
      <c r="I43" s="172">
        <v>16631872.1032176</v>
      </c>
    </row>
    <row r="44" spans="2:9" x14ac:dyDescent="0.3">
      <c r="B44" s="172" t="s">
        <v>179</v>
      </c>
      <c r="C44" s="172" t="s">
        <v>82</v>
      </c>
      <c r="D44" s="172">
        <v>15613.9374770672</v>
      </c>
      <c r="E44" s="172">
        <v>7.3521373193310697E-4</v>
      </c>
      <c r="F44" s="172">
        <v>21237276.724978</v>
      </c>
      <c r="G44" s="172">
        <v>56144.279137364203</v>
      </c>
      <c r="H44" s="172">
        <v>3.1708958275507601E-3</v>
      </c>
      <c r="I44" s="172">
        <v>17706125.395084601</v>
      </c>
    </row>
    <row r="45" spans="2:9" x14ac:dyDescent="0.3">
      <c r="B45" s="172" t="s">
        <v>39</v>
      </c>
      <c r="C45" s="172" t="s">
        <v>82</v>
      </c>
      <c r="D45" s="172">
        <v>17492.470953565899</v>
      </c>
      <c r="E45" s="172">
        <v>8.0375272493223005E-4</v>
      </c>
      <c r="F45" s="172">
        <v>21763498.164240502</v>
      </c>
      <c r="G45" s="172">
        <v>63108.812319417797</v>
      </c>
      <c r="H45" s="172">
        <v>3.3451751472876601E-3</v>
      </c>
      <c r="I45" s="172">
        <v>18865622.737448599</v>
      </c>
    </row>
    <row r="46" spans="2:9" x14ac:dyDescent="0.3">
      <c r="B46" s="172" t="s">
        <v>26</v>
      </c>
      <c r="C46" s="172" t="s">
        <v>82</v>
      </c>
      <c r="D46" s="172">
        <v>19178.975933769401</v>
      </c>
      <c r="E46" s="172">
        <v>8.6628741424480001E-4</v>
      </c>
      <c r="F46" s="172">
        <v>22139275.739667799</v>
      </c>
      <c r="G46" s="172">
        <v>69318.128664303105</v>
      </c>
      <c r="H46" s="172">
        <v>3.45637190894352E-3</v>
      </c>
      <c r="I46" s="172">
        <v>20055170.708030399</v>
      </c>
    </row>
    <row r="47" spans="2:9" x14ac:dyDescent="0.3">
      <c r="B47" s="172" t="s">
        <v>25</v>
      </c>
      <c r="C47" s="172" t="s">
        <v>82</v>
      </c>
      <c r="D47" s="172">
        <v>20684.891793480299</v>
      </c>
      <c r="E47" s="172">
        <v>9.17217660354421E-4</v>
      </c>
      <c r="F47" s="172">
        <v>22551780.986737002</v>
      </c>
      <c r="G47" s="172">
        <v>74727.720871899102</v>
      </c>
      <c r="H47" s="172">
        <v>3.4754135135842798E-3</v>
      </c>
      <c r="I47" s="172">
        <v>21501821.460903101</v>
      </c>
    </row>
    <row r="48" spans="2:9" x14ac:dyDescent="0.3">
      <c r="B48" s="172" t="s">
        <v>24</v>
      </c>
      <c r="C48" s="172" t="s">
        <v>82</v>
      </c>
      <c r="D48" s="172">
        <v>21969.5380859701</v>
      </c>
      <c r="E48" s="172">
        <v>9.4785212780905197E-4</v>
      </c>
      <c r="F48" s="172">
        <v>23178233.652070198</v>
      </c>
      <c r="G48" s="172">
        <v>79044.051114988295</v>
      </c>
      <c r="H48" s="172">
        <v>3.3652447950985199E-3</v>
      </c>
      <c r="I48" s="172">
        <v>23488351.049562901</v>
      </c>
    </row>
    <row r="49" spans="2:9" x14ac:dyDescent="0.3">
      <c r="B49" s="172" t="s">
        <v>22</v>
      </c>
      <c r="C49" s="172" t="s">
        <v>82</v>
      </c>
      <c r="D49" s="172">
        <v>22811.657288758099</v>
      </c>
      <c r="E49" s="172">
        <v>9.6693667860030903E-4</v>
      </c>
      <c r="F49" s="172">
        <v>23591676.470251601</v>
      </c>
      <c r="G49" s="172">
        <v>81632.958071985806</v>
      </c>
      <c r="H49" s="172">
        <v>3.0669611201633198E-3</v>
      </c>
      <c r="I49" s="172">
        <v>26616887.164073002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198</v>
      </c>
      <c r="E3" s="169" t="s">
        <v>199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200</v>
      </c>
      <c r="E6" s="172"/>
      <c r="F6" s="172" t="s">
        <v>72</v>
      </c>
      <c r="G6" s="172">
        <v>-4.9840309657156498E-10</v>
      </c>
      <c r="H6" s="172">
        <v>-990.77095886816198</v>
      </c>
      <c r="I6" s="172">
        <v>-740.66719199248996</v>
      </c>
      <c r="J6" s="172">
        <v>-11707.8137427027</v>
      </c>
      <c r="K6" s="172">
        <v>-1.3355929695535501E-9</v>
      </c>
      <c r="L6" s="172">
        <v>1.03127604234032E-8</v>
      </c>
    </row>
    <row r="7" spans="1:13" hidden="1" x14ac:dyDescent="0.3">
      <c r="B7" s="172" t="s">
        <v>189</v>
      </c>
      <c r="C7" s="172" t="s">
        <v>79</v>
      </c>
      <c r="D7" s="172" t="s">
        <v>200</v>
      </c>
      <c r="E7" s="172"/>
      <c r="F7" s="172" t="s">
        <v>201</v>
      </c>
      <c r="G7" s="172">
        <v>-3.8198777474463002E-10</v>
      </c>
      <c r="H7" s="172">
        <v>-990.77095886890095</v>
      </c>
      <c r="I7" s="172">
        <v>-740.667191992315</v>
      </c>
      <c r="J7" s="172">
        <v>-11707.813742697899</v>
      </c>
      <c r="K7" s="172">
        <v>2222.0015759763</v>
      </c>
      <c r="L7" s="172">
        <v>-2972.3128765973302</v>
      </c>
    </row>
    <row r="8" spans="1:13" hidden="1" x14ac:dyDescent="0.3">
      <c r="B8" s="172" t="s">
        <v>189</v>
      </c>
      <c r="C8" s="172" t="s">
        <v>80</v>
      </c>
      <c r="D8" s="172" t="s">
        <v>200</v>
      </c>
      <c r="E8" s="172"/>
      <c r="F8" s="172" t="s">
        <v>72</v>
      </c>
      <c r="G8" s="172">
        <v>-5.4387783166021098E-10</v>
      </c>
      <c r="H8" s="172">
        <v>-990.77095886649295</v>
      </c>
      <c r="I8" s="172">
        <v>-740.66719198521901</v>
      </c>
      <c r="J8" s="172">
        <v>-11733.7885301316</v>
      </c>
      <c r="K8" s="172">
        <v>-1.5147634258028099E-9</v>
      </c>
      <c r="L8" s="172">
        <v>1.1444626579759599E-8</v>
      </c>
    </row>
    <row r="9" spans="1:13" hidden="1" x14ac:dyDescent="0.3">
      <c r="B9" s="172" t="s">
        <v>189</v>
      </c>
      <c r="C9" s="172" t="s">
        <v>80</v>
      </c>
      <c r="D9" s="172" t="s">
        <v>200</v>
      </c>
      <c r="E9" s="172"/>
      <c r="F9" s="172" t="s">
        <v>201</v>
      </c>
      <c r="G9" s="172">
        <v>-4.5656634029000998E-10</v>
      </c>
      <c r="H9" s="172">
        <v>-990.77095886645805</v>
      </c>
      <c r="I9" s="172">
        <v>-740.66719198473697</v>
      </c>
      <c r="J9" s="172">
        <v>-11733.788530121899</v>
      </c>
      <c r="K9" s="172">
        <v>2222.00157595374</v>
      </c>
      <c r="L9" s="172">
        <v>-2972.3128765901001</v>
      </c>
    </row>
    <row r="10" spans="1:13" hidden="1" x14ac:dyDescent="0.3">
      <c r="B10" s="172" t="s">
        <v>189</v>
      </c>
      <c r="C10" s="172" t="s">
        <v>81</v>
      </c>
      <c r="D10" s="172" t="s">
        <v>200</v>
      </c>
      <c r="E10" s="172"/>
      <c r="F10" s="172" t="s">
        <v>72</v>
      </c>
      <c r="G10" s="172">
        <v>-7.2759576141834298E-11</v>
      </c>
      <c r="H10" s="172">
        <v>-451.14401090330801</v>
      </c>
      <c r="I10" s="172">
        <v>-889.28792380590198</v>
      </c>
      <c r="J10" s="172">
        <v>-15681.631750299501</v>
      </c>
      <c r="K10" s="172">
        <v>-1.0213625500910001E-9</v>
      </c>
      <c r="L10" s="172">
        <v>2.38833308685571E-9</v>
      </c>
    </row>
    <row r="11" spans="1:13" hidden="1" x14ac:dyDescent="0.3">
      <c r="B11" s="172" t="s">
        <v>189</v>
      </c>
      <c r="C11" s="172" t="s">
        <v>81</v>
      </c>
      <c r="D11" s="172" t="s">
        <v>200</v>
      </c>
      <c r="E11" s="172"/>
      <c r="F11" s="172" t="s">
        <v>201</v>
      </c>
      <c r="G11" s="172">
        <v>-7.2759576141834298E-11</v>
      </c>
      <c r="H11" s="172">
        <v>-451.14401090335599</v>
      </c>
      <c r="I11" s="172">
        <v>-889.28792380414802</v>
      </c>
      <c r="J11" s="172">
        <v>-15681.631750262801</v>
      </c>
      <c r="K11" s="172">
        <v>2667.86377141513</v>
      </c>
      <c r="L11" s="172">
        <v>-1353.43203270755</v>
      </c>
    </row>
    <row r="12" spans="1:13" hidden="1" x14ac:dyDescent="0.3">
      <c r="B12" s="172" t="s">
        <v>189</v>
      </c>
      <c r="C12" s="172" t="s">
        <v>82</v>
      </c>
      <c r="D12" s="172" t="s">
        <v>200</v>
      </c>
      <c r="E12" s="172"/>
      <c r="F12" s="172" t="s">
        <v>72</v>
      </c>
      <c r="G12" s="172">
        <v>1.45519152283669E-11</v>
      </c>
      <c r="H12" s="172">
        <v>-451.14401090620601</v>
      </c>
      <c r="I12" s="172">
        <v>-889.28792381767903</v>
      </c>
      <c r="J12" s="172">
        <v>-15417.4453929213</v>
      </c>
      <c r="K12" s="172">
        <v>-6.4392224885523299E-10</v>
      </c>
      <c r="L12" s="172">
        <v>8.8039087131619505E-10</v>
      </c>
    </row>
    <row r="13" spans="1:13" hidden="1" x14ac:dyDescent="0.3">
      <c r="B13" s="172" t="s">
        <v>189</v>
      </c>
      <c r="C13" s="172" t="s">
        <v>82</v>
      </c>
      <c r="D13" s="172" t="s">
        <v>200</v>
      </c>
      <c r="E13" s="172"/>
      <c r="F13" s="172" t="s">
        <v>201</v>
      </c>
      <c r="G13" s="172">
        <v>-1.01863406598568E-10</v>
      </c>
      <c r="H13" s="172">
        <v>-451.14401090641502</v>
      </c>
      <c r="I13" s="172">
        <v>-889.28792381702897</v>
      </c>
      <c r="J13" s="172">
        <v>-15417.445392907</v>
      </c>
      <c r="K13" s="172">
        <v>2667.86377145081</v>
      </c>
      <c r="L13" s="172">
        <v>-1353.4320327154701</v>
      </c>
    </row>
    <row r="14" spans="1:13" hidden="1" x14ac:dyDescent="0.3">
      <c r="B14" s="172" t="s">
        <v>189</v>
      </c>
      <c r="C14" s="172" t="s">
        <v>202</v>
      </c>
      <c r="D14" s="172" t="s">
        <v>200</v>
      </c>
      <c r="E14" s="172"/>
      <c r="F14" s="172" t="s">
        <v>72</v>
      </c>
      <c r="G14" s="172">
        <v>11865.5999999945</v>
      </c>
      <c r="H14" s="172">
        <v>-2.0353354557300901E-9</v>
      </c>
      <c r="I14" s="172">
        <v>5.0379185267956903E-9</v>
      </c>
      <c r="J14" s="172">
        <v>9.4068582257023094E-8</v>
      </c>
      <c r="K14" s="172">
        <v>23731.1999999902</v>
      </c>
      <c r="L14" s="172">
        <v>-219513.59999989599</v>
      </c>
    </row>
    <row r="15" spans="1:13" x14ac:dyDescent="0.3">
      <c r="B15" s="172" t="s">
        <v>189</v>
      </c>
      <c r="C15" s="172" t="s">
        <v>202</v>
      </c>
      <c r="D15" s="172" t="s">
        <v>200</v>
      </c>
      <c r="E15" s="172"/>
      <c r="F15" s="172" t="s">
        <v>201</v>
      </c>
      <c r="G15" s="172">
        <v>17697.5999999944</v>
      </c>
      <c r="H15" s="172">
        <v>-2.0108927856199402E-9</v>
      </c>
      <c r="I15" s="172">
        <v>5.0802668738469897E-9</v>
      </c>
      <c r="J15" s="172">
        <v>9.4858933152863796E-8</v>
      </c>
      <c r="K15" s="172">
        <v>35395.199999975601</v>
      </c>
      <c r="L15" s="172">
        <v>-327405.59999990102</v>
      </c>
    </row>
    <row r="16" spans="1:13" hidden="1" x14ac:dyDescent="0.3">
      <c r="B16" s="172" t="s">
        <v>187</v>
      </c>
      <c r="C16" s="172" t="s">
        <v>79</v>
      </c>
      <c r="D16" s="172" t="s">
        <v>200</v>
      </c>
      <c r="E16" s="172"/>
      <c r="F16" s="172" t="s">
        <v>72</v>
      </c>
      <c r="G16" s="172">
        <v>7.2685622853896295E-8</v>
      </c>
      <c r="H16" s="172">
        <v>-12884.8839666859</v>
      </c>
      <c r="I16" s="172">
        <v>-3749.8816225686401</v>
      </c>
      <c r="J16" s="172">
        <v>43314.311269115598</v>
      </c>
      <c r="K16" s="172">
        <v>2222.00157600793</v>
      </c>
      <c r="L16" s="172">
        <v>-2972.3128778527698</v>
      </c>
    </row>
    <row r="17" spans="2:12" hidden="1" x14ac:dyDescent="0.3">
      <c r="B17" s="172" t="s">
        <v>187</v>
      </c>
      <c r="C17" s="172" t="s">
        <v>79</v>
      </c>
      <c r="D17" s="172" t="s">
        <v>200</v>
      </c>
      <c r="E17" s="172"/>
      <c r="F17" s="172" t="s">
        <v>201</v>
      </c>
      <c r="G17" s="172">
        <v>8.0044628703035401E-8</v>
      </c>
      <c r="H17" s="172">
        <v>-12884.8839666692</v>
      </c>
      <c r="I17" s="172">
        <v>-3749.8816225611399</v>
      </c>
      <c r="J17" s="172">
        <v>43314.311269188402</v>
      </c>
      <c r="K17" s="172">
        <v>15346.5872549946</v>
      </c>
      <c r="L17" s="172">
        <v>-48069.406761343402</v>
      </c>
    </row>
    <row r="18" spans="2:12" hidden="1" x14ac:dyDescent="0.3">
      <c r="B18" s="172" t="s">
        <v>187</v>
      </c>
      <c r="C18" s="172" t="s">
        <v>80</v>
      </c>
      <c r="D18" s="172" t="s">
        <v>200</v>
      </c>
      <c r="E18" s="172"/>
      <c r="F18" s="172" t="s">
        <v>72</v>
      </c>
      <c r="G18" s="172">
        <v>7.7561026046169004E-8</v>
      </c>
      <c r="H18" s="172">
        <v>-12884.8839667352</v>
      </c>
      <c r="I18" s="172">
        <v>-3749.88162260434</v>
      </c>
      <c r="J18" s="172">
        <v>31469.164468543298</v>
      </c>
      <c r="K18" s="172">
        <v>2222.0015759891999</v>
      </c>
      <c r="L18" s="172">
        <v>-2972.31287793297</v>
      </c>
    </row>
    <row r="19" spans="2:12" hidden="1" x14ac:dyDescent="0.3">
      <c r="B19" s="172" t="s">
        <v>187</v>
      </c>
      <c r="C19" s="172" t="s">
        <v>80</v>
      </c>
      <c r="D19" s="172" t="s">
        <v>200</v>
      </c>
      <c r="E19" s="172"/>
      <c r="F19" s="172" t="s">
        <v>201</v>
      </c>
      <c r="G19" s="172">
        <v>8.4848977621731994E-8</v>
      </c>
      <c r="H19" s="172">
        <v>-12884.8839667254</v>
      </c>
      <c r="I19" s="172">
        <v>-3749.88162259297</v>
      </c>
      <c r="J19" s="172">
        <v>31469.164468704501</v>
      </c>
      <c r="K19" s="172">
        <v>15346.5872550887</v>
      </c>
      <c r="L19" s="172">
        <v>-48069.406761606297</v>
      </c>
    </row>
    <row r="20" spans="2:12" hidden="1" x14ac:dyDescent="0.3">
      <c r="B20" s="172" t="s">
        <v>187</v>
      </c>
      <c r="C20" s="172" t="s">
        <v>81</v>
      </c>
      <c r="D20" s="172" t="s">
        <v>200</v>
      </c>
      <c r="E20" s="172"/>
      <c r="F20" s="172" t="s">
        <v>72</v>
      </c>
      <c r="G20" s="172">
        <v>3.1953106160997897E-8</v>
      </c>
      <c r="H20" s="172">
        <v>-3934.2312658841001</v>
      </c>
      <c r="I20" s="172">
        <v>-13135.8254233144</v>
      </c>
      <c r="J20" s="172">
        <v>-122918.58224442499</v>
      </c>
      <c r="K20" s="172">
        <v>2667.8637714194101</v>
      </c>
      <c r="L20" s="172">
        <v>-1353.43203327058</v>
      </c>
    </row>
    <row r="21" spans="2:12" hidden="1" x14ac:dyDescent="0.3">
      <c r="B21" s="172" t="s">
        <v>187</v>
      </c>
      <c r="C21" s="172" t="s">
        <v>81</v>
      </c>
      <c r="D21" s="172" t="s">
        <v>200</v>
      </c>
      <c r="E21" s="172"/>
      <c r="F21" s="172" t="s">
        <v>201</v>
      </c>
      <c r="G21" s="172">
        <v>3.3682738376228398E-8</v>
      </c>
      <c r="H21" s="172">
        <v>-3934.2312658743999</v>
      </c>
      <c r="I21" s="172">
        <v>-13135.8254232858</v>
      </c>
      <c r="J21" s="172">
        <v>-122918.582243889</v>
      </c>
      <c r="K21" s="172">
        <v>48643.252753012101</v>
      </c>
      <c r="L21" s="172">
        <v>-15123.2414638682</v>
      </c>
    </row>
    <row r="22" spans="2:12" hidden="1" x14ac:dyDescent="0.3">
      <c r="B22" s="172" t="s">
        <v>187</v>
      </c>
      <c r="C22" s="172" t="s">
        <v>82</v>
      </c>
      <c r="D22" s="172" t="s">
        <v>200</v>
      </c>
      <c r="E22" s="172"/>
      <c r="F22" s="172" t="s">
        <v>72</v>
      </c>
      <c r="G22" s="172">
        <v>2.2407697031212599E-8</v>
      </c>
      <c r="H22" s="172">
        <v>-3934.2312657974098</v>
      </c>
      <c r="I22" s="172">
        <v>-13135.8254232576</v>
      </c>
      <c r="J22" s="172">
        <v>-102248.37520883</v>
      </c>
      <c r="K22" s="172">
        <v>2667.8637714524798</v>
      </c>
      <c r="L22" s="172">
        <v>-1353.43203311358</v>
      </c>
    </row>
    <row r="23" spans="2:12" hidden="1" x14ac:dyDescent="0.3">
      <c r="B23" s="172" t="s">
        <v>187</v>
      </c>
      <c r="C23" s="172" t="s">
        <v>82</v>
      </c>
      <c r="D23" s="172" t="s">
        <v>200</v>
      </c>
      <c r="E23" s="172"/>
      <c r="F23" s="172" t="s">
        <v>201</v>
      </c>
      <c r="G23" s="172">
        <v>2.20686615648447E-8</v>
      </c>
      <c r="H23" s="172">
        <v>-3934.2312657889702</v>
      </c>
      <c r="I23" s="172">
        <v>-13135.825423235099</v>
      </c>
      <c r="J23" s="172">
        <v>-102248.37520840199</v>
      </c>
      <c r="K23" s="172">
        <v>48643.2527528508</v>
      </c>
      <c r="L23" s="172">
        <v>-15123.241463373301</v>
      </c>
    </row>
    <row r="24" spans="2:12" hidden="1" x14ac:dyDescent="0.3">
      <c r="B24" s="172" t="s">
        <v>187</v>
      </c>
      <c r="C24" s="172" t="s">
        <v>202</v>
      </c>
      <c r="D24" s="172" t="s">
        <v>200</v>
      </c>
      <c r="E24" s="172"/>
      <c r="F24" s="172" t="s">
        <v>72</v>
      </c>
      <c r="G24" s="172">
        <v>280985.75624983601</v>
      </c>
      <c r="H24" s="172">
        <v>1.7152871834014099E-7</v>
      </c>
      <c r="I24" s="172">
        <v>-2.96508062547218E-9</v>
      </c>
      <c r="J24" s="172">
        <v>2.2024364909611899E-7</v>
      </c>
      <c r="K24" s="172">
        <v>1945419.2085929599</v>
      </c>
      <c r="L24" s="172">
        <v>-2543573.8769509601</v>
      </c>
    </row>
    <row r="25" spans="2:12" x14ac:dyDescent="0.3">
      <c r="B25" s="172" t="s">
        <v>187</v>
      </c>
      <c r="C25" s="172" t="s">
        <v>202</v>
      </c>
      <c r="D25" s="172" t="s">
        <v>200</v>
      </c>
      <c r="E25" s="172"/>
      <c r="F25" s="172" t="s">
        <v>201</v>
      </c>
      <c r="G25" s="172">
        <v>341064.64764764003</v>
      </c>
      <c r="H25" s="172">
        <v>1.68435803971079E-7</v>
      </c>
      <c r="I25" s="172">
        <v>-2.1292976271070099E-9</v>
      </c>
      <c r="J25" s="172">
        <v>2.4078758542600601E-7</v>
      </c>
      <c r="K25" s="172">
        <v>2254042.4067628901</v>
      </c>
      <c r="L25" s="172">
        <v>-3324967.5400135601</v>
      </c>
    </row>
    <row r="26" spans="2:12" hidden="1" x14ac:dyDescent="0.3">
      <c r="B26" s="172" t="s">
        <v>185</v>
      </c>
      <c r="C26" s="172" t="s">
        <v>79</v>
      </c>
      <c r="D26" s="172" t="s">
        <v>200</v>
      </c>
      <c r="E26" s="172"/>
      <c r="F26" s="172" t="s">
        <v>72</v>
      </c>
      <c r="G26" s="172">
        <v>-1.2940529359184401E-7</v>
      </c>
      <c r="H26" s="172">
        <v>-26787.203149396799</v>
      </c>
      <c r="I26" s="172">
        <v>-7279.9888874294802</v>
      </c>
      <c r="J26" s="172">
        <v>110368.38628335801</v>
      </c>
      <c r="K26" s="172">
        <v>15346.587254202301</v>
      </c>
      <c r="L26" s="172">
        <v>-48069.406757687502</v>
      </c>
    </row>
    <row r="27" spans="2:12" hidden="1" x14ac:dyDescent="0.3">
      <c r="B27" s="172" t="s">
        <v>185</v>
      </c>
      <c r="C27" s="172" t="s">
        <v>79</v>
      </c>
      <c r="D27" s="172" t="s">
        <v>200</v>
      </c>
      <c r="E27" s="172"/>
      <c r="F27" s="172" t="s">
        <v>201</v>
      </c>
      <c r="G27" s="172">
        <v>-1.39011774535902E-7</v>
      </c>
      <c r="H27" s="172">
        <v>-26787.203149402401</v>
      </c>
      <c r="I27" s="172">
        <v>-7279.9888874354401</v>
      </c>
      <c r="J27" s="172">
        <v>110368.386283263</v>
      </c>
      <c r="K27" s="172">
        <v>40826.548360184701</v>
      </c>
      <c r="L27" s="172">
        <v>-141824.61778040099</v>
      </c>
    </row>
    <row r="28" spans="2:12" hidden="1" x14ac:dyDescent="0.3">
      <c r="B28" s="172" t="s">
        <v>185</v>
      </c>
      <c r="C28" s="172" t="s">
        <v>80</v>
      </c>
      <c r="D28" s="172" t="s">
        <v>200</v>
      </c>
      <c r="E28" s="172"/>
      <c r="F28" s="172" t="s">
        <v>72</v>
      </c>
      <c r="G28" s="172">
        <v>-1.29854015540332E-7</v>
      </c>
      <c r="H28" s="172">
        <v>-26787.2031492028</v>
      </c>
      <c r="I28" s="172">
        <v>-7279.9888874921398</v>
      </c>
      <c r="J28" s="172">
        <v>84735.428002145796</v>
      </c>
      <c r="K28" s="172">
        <v>15346.5872542787</v>
      </c>
      <c r="L28" s="172">
        <v>-48069.406757855097</v>
      </c>
    </row>
    <row r="29" spans="2:12" hidden="1" x14ac:dyDescent="0.3">
      <c r="B29" s="172" t="s">
        <v>185</v>
      </c>
      <c r="C29" s="172" t="s">
        <v>80</v>
      </c>
      <c r="D29" s="172" t="s">
        <v>200</v>
      </c>
      <c r="E29" s="172"/>
      <c r="F29" s="172" t="s">
        <v>201</v>
      </c>
      <c r="G29" s="172">
        <v>-1.3857805924999401E-7</v>
      </c>
      <c r="H29" s="172">
        <v>-26787.2031492104</v>
      </c>
      <c r="I29" s="172">
        <v>-7279.98888750075</v>
      </c>
      <c r="J29" s="172">
        <v>84735.428001994704</v>
      </c>
      <c r="K29" s="172">
        <v>40826.548360489403</v>
      </c>
      <c r="L29" s="172">
        <v>-141824.617779906</v>
      </c>
    </row>
    <row r="30" spans="2:12" hidden="1" x14ac:dyDescent="0.3">
      <c r="B30" s="172" t="s">
        <v>185</v>
      </c>
      <c r="C30" s="172" t="s">
        <v>81</v>
      </c>
      <c r="D30" s="172" t="s">
        <v>200</v>
      </c>
      <c r="E30" s="172"/>
      <c r="F30" s="172" t="s">
        <v>72</v>
      </c>
      <c r="G30" s="172">
        <v>-5.9980038713547401E-9</v>
      </c>
      <c r="H30" s="172">
        <v>-7851.6358362302899</v>
      </c>
      <c r="I30" s="172">
        <v>-27140.892963746399</v>
      </c>
      <c r="J30" s="172">
        <v>-242269.00990877999</v>
      </c>
      <c r="K30" s="172">
        <v>48643.252752810498</v>
      </c>
      <c r="L30" s="172">
        <v>-15123.2414631639</v>
      </c>
    </row>
    <row r="31" spans="2:12" hidden="1" x14ac:dyDescent="0.3">
      <c r="B31" s="172" t="s">
        <v>185</v>
      </c>
      <c r="C31" s="172" t="s">
        <v>81</v>
      </c>
      <c r="D31" s="172" t="s">
        <v>200</v>
      </c>
      <c r="E31" s="172"/>
      <c r="F31" s="172" t="s">
        <v>201</v>
      </c>
      <c r="G31" s="172">
        <v>-2.12992290471448E-8</v>
      </c>
      <c r="H31" s="172">
        <v>-7851.6358362374604</v>
      </c>
      <c r="I31" s="172">
        <v>-27140.892963765</v>
      </c>
      <c r="J31" s="172">
        <v>-242269.009909227</v>
      </c>
      <c r="K31" s="172">
        <v>143636.378125958</v>
      </c>
      <c r="L31" s="172">
        <v>-42603.966889678799</v>
      </c>
    </row>
    <row r="32" spans="2:12" hidden="1" x14ac:dyDescent="0.3">
      <c r="B32" s="172" t="s">
        <v>185</v>
      </c>
      <c r="C32" s="172" t="s">
        <v>82</v>
      </c>
      <c r="D32" s="172" t="s">
        <v>200</v>
      </c>
      <c r="E32" s="172"/>
      <c r="F32" s="172" t="s">
        <v>72</v>
      </c>
      <c r="G32" s="172">
        <v>-6.2931349020800603E-9</v>
      </c>
      <c r="H32" s="172">
        <v>-7851.6358365408896</v>
      </c>
      <c r="I32" s="172">
        <v>-27140.8929636461</v>
      </c>
      <c r="J32" s="172">
        <v>-198162.20299918999</v>
      </c>
      <c r="K32" s="172">
        <v>48643.2527526903</v>
      </c>
      <c r="L32" s="172">
        <v>-15123.241462866299</v>
      </c>
    </row>
    <row r="33" spans="2:12" hidden="1" x14ac:dyDescent="0.3">
      <c r="B33" s="172" t="s">
        <v>185</v>
      </c>
      <c r="C33" s="172" t="s">
        <v>82</v>
      </c>
      <c r="D33" s="172" t="s">
        <v>200</v>
      </c>
      <c r="E33" s="172"/>
      <c r="F33" s="172" t="s">
        <v>201</v>
      </c>
      <c r="G33" s="172">
        <v>-1.9087792679783901E-8</v>
      </c>
      <c r="H33" s="172">
        <v>-7851.63583654596</v>
      </c>
      <c r="I33" s="172">
        <v>-27140.892963661201</v>
      </c>
      <c r="J33" s="172">
        <v>-198162.20299955501</v>
      </c>
      <c r="K33" s="172">
        <v>143636.37812547901</v>
      </c>
      <c r="L33" s="172">
        <v>-42603.966890513999</v>
      </c>
    </row>
    <row r="34" spans="2:12" hidden="1" x14ac:dyDescent="0.3">
      <c r="B34" s="172" t="s">
        <v>185</v>
      </c>
      <c r="C34" s="172" t="s">
        <v>202</v>
      </c>
      <c r="D34" s="172" t="s">
        <v>200</v>
      </c>
      <c r="E34" s="172"/>
      <c r="F34" s="172" t="s">
        <v>72</v>
      </c>
      <c r="G34" s="172">
        <v>599189.203897662</v>
      </c>
      <c r="H34" s="172">
        <v>5.47977435871871E-7</v>
      </c>
      <c r="I34" s="172">
        <v>-1.9396868111698499E-8</v>
      </c>
      <c r="J34" s="172">
        <v>-2.6208699068774902E-6</v>
      </c>
      <c r="K34" s="172">
        <v>4125339.4153565299</v>
      </c>
      <c r="L34" s="172">
        <v>-5499956.1069676699</v>
      </c>
    </row>
    <row r="35" spans="2:12" x14ac:dyDescent="0.3">
      <c r="B35" s="172" t="s">
        <v>185</v>
      </c>
      <c r="C35" s="172" t="s">
        <v>202</v>
      </c>
      <c r="D35" s="172" t="s">
        <v>200</v>
      </c>
      <c r="E35" s="172"/>
      <c r="F35" s="172" t="s">
        <v>201</v>
      </c>
      <c r="G35" s="172">
        <v>659268.09529546497</v>
      </c>
      <c r="H35" s="172">
        <v>5.5075997806852705E-7</v>
      </c>
      <c r="I35" s="172">
        <v>-1.7729064438754001E-8</v>
      </c>
      <c r="J35" s="172">
        <v>-2.60123192674655E-6</v>
      </c>
      <c r="K35" s="172">
        <v>4433962.6135265101</v>
      </c>
      <c r="L35" s="172">
        <v>-6281349.7700289199</v>
      </c>
    </row>
    <row r="36" spans="2:12" hidden="1" x14ac:dyDescent="0.3">
      <c r="B36" s="172" t="s">
        <v>183</v>
      </c>
      <c r="C36" s="172" t="s">
        <v>79</v>
      </c>
      <c r="D36" s="172" t="s">
        <v>200</v>
      </c>
      <c r="E36" s="172"/>
      <c r="F36" s="172" t="s">
        <v>72</v>
      </c>
      <c r="G36" s="172">
        <v>-2.9706501436521601E-7</v>
      </c>
      <c r="H36" s="172">
        <v>-38645.958949455598</v>
      </c>
      <c r="I36" s="172">
        <v>-10079.2413380284</v>
      </c>
      <c r="J36" s="172">
        <v>169818.00419519201</v>
      </c>
      <c r="K36" s="172">
        <v>40826.548359889603</v>
      </c>
      <c r="L36" s="172">
        <v>-141824.617777634</v>
      </c>
    </row>
    <row r="37" spans="2:12" hidden="1" x14ac:dyDescent="0.3">
      <c r="B37" s="172" t="s">
        <v>183</v>
      </c>
      <c r="C37" s="172" t="s">
        <v>79</v>
      </c>
      <c r="D37" s="172" t="s">
        <v>200</v>
      </c>
      <c r="E37" s="172"/>
      <c r="F37" s="172" t="s">
        <v>201</v>
      </c>
      <c r="G37" s="172">
        <v>-3.07858215364831E-7</v>
      </c>
      <c r="H37" s="172">
        <v>-38645.958949442502</v>
      </c>
      <c r="I37" s="172">
        <v>-10079.2413380338</v>
      </c>
      <c r="J37" s="172">
        <v>169818.00419503899</v>
      </c>
      <c r="K37" s="172">
        <v>76103.893042969197</v>
      </c>
      <c r="L37" s="172">
        <v>-277085.47410052002</v>
      </c>
    </row>
    <row r="38" spans="2:12" hidden="1" x14ac:dyDescent="0.3">
      <c r="B38" s="172" t="s">
        <v>183</v>
      </c>
      <c r="C38" s="172" t="s">
        <v>80</v>
      </c>
      <c r="D38" s="172" t="s">
        <v>200</v>
      </c>
      <c r="E38" s="172"/>
      <c r="F38" s="172" t="s">
        <v>72</v>
      </c>
      <c r="G38" s="172">
        <v>-3.0674743811687201E-7</v>
      </c>
      <c r="H38" s="172">
        <v>-38645.958948894797</v>
      </c>
      <c r="I38" s="172">
        <v>-10079.2413381073</v>
      </c>
      <c r="J38" s="172">
        <v>131978.87347929401</v>
      </c>
      <c r="K38" s="172">
        <v>40826.548360180001</v>
      </c>
      <c r="L38" s="172">
        <v>-141824.61777696499</v>
      </c>
    </row>
    <row r="39" spans="2:12" hidden="1" x14ac:dyDescent="0.3">
      <c r="B39" s="172" t="s">
        <v>183</v>
      </c>
      <c r="C39" s="172" t="s">
        <v>80</v>
      </c>
      <c r="D39" s="172" t="s">
        <v>200</v>
      </c>
      <c r="E39" s="172"/>
      <c r="F39" s="172" t="s">
        <v>201</v>
      </c>
      <c r="G39" s="172">
        <v>-3.1747958928463002E-7</v>
      </c>
      <c r="H39" s="172">
        <v>-38645.958948881103</v>
      </c>
      <c r="I39" s="172">
        <v>-10079.241338113699</v>
      </c>
      <c r="J39" s="172">
        <v>131978.87347911301</v>
      </c>
      <c r="K39" s="172">
        <v>76103.893043533695</v>
      </c>
      <c r="L39" s="172">
        <v>-277085.47409789503</v>
      </c>
    </row>
    <row r="40" spans="2:12" hidden="1" x14ac:dyDescent="0.3">
      <c r="B40" s="172" t="s">
        <v>183</v>
      </c>
      <c r="C40" s="172" t="s">
        <v>81</v>
      </c>
      <c r="D40" s="172" t="s">
        <v>200</v>
      </c>
      <c r="E40" s="172"/>
      <c r="F40" s="172" t="s">
        <v>72</v>
      </c>
      <c r="G40" s="172">
        <v>-5.72968019696418E-8</v>
      </c>
      <c r="H40" s="172">
        <v>-10961.1389638335</v>
      </c>
      <c r="I40" s="172">
        <v>-38687.990623103397</v>
      </c>
      <c r="J40" s="172">
        <v>-341578.129071109</v>
      </c>
      <c r="K40" s="172">
        <v>143636.37812587901</v>
      </c>
      <c r="L40" s="172">
        <v>-42603.966889046002</v>
      </c>
    </row>
    <row r="41" spans="2:12" hidden="1" x14ac:dyDescent="0.3">
      <c r="B41" s="172" t="s">
        <v>183</v>
      </c>
      <c r="C41" s="172" t="s">
        <v>81</v>
      </c>
      <c r="D41" s="172" t="s">
        <v>200</v>
      </c>
      <c r="E41" s="172"/>
      <c r="F41" s="172" t="s">
        <v>201</v>
      </c>
      <c r="G41" s="172">
        <v>-5.9314743339200498E-8</v>
      </c>
      <c r="H41" s="172">
        <v>-10961.138963833801</v>
      </c>
      <c r="I41" s="172">
        <v>-38687.990623107202</v>
      </c>
      <c r="J41" s="172">
        <v>-341578.12907121499</v>
      </c>
      <c r="K41" s="172">
        <v>279044.34530671802</v>
      </c>
      <c r="L41" s="172">
        <v>-80967.953262438299</v>
      </c>
    </row>
    <row r="42" spans="2:12" hidden="1" x14ac:dyDescent="0.3">
      <c r="B42" s="172" t="s">
        <v>183</v>
      </c>
      <c r="C42" s="172" t="s">
        <v>82</v>
      </c>
      <c r="D42" s="172" t="s">
        <v>200</v>
      </c>
      <c r="E42" s="172"/>
      <c r="F42" s="172" t="s">
        <v>72</v>
      </c>
      <c r="G42" s="172">
        <v>-4.3012050809920799E-8</v>
      </c>
      <c r="H42" s="172">
        <v>-10961.138964731699</v>
      </c>
      <c r="I42" s="172">
        <v>-38687.990622977202</v>
      </c>
      <c r="J42" s="172">
        <v>-277964.40933789202</v>
      </c>
      <c r="K42" s="172">
        <v>143636.37812540799</v>
      </c>
      <c r="L42" s="172">
        <v>-42603.966890095297</v>
      </c>
    </row>
    <row r="43" spans="2:12" hidden="1" x14ac:dyDescent="0.3">
      <c r="B43" s="172" t="s">
        <v>183</v>
      </c>
      <c r="C43" s="172" t="s">
        <v>82</v>
      </c>
      <c r="D43" s="172" t="s">
        <v>200</v>
      </c>
      <c r="E43" s="172"/>
      <c r="F43" s="172" t="s">
        <v>201</v>
      </c>
      <c r="G43" s="172">
        <v>-4.3394493332016302E-8</v>
      </c>
      <c r="H43" s="172">
        <v>-10961.1389647326</v>
      </c>
      <c r="I43" s="172">
        <v>-38687.990622981299</v>
      </c>
      <c r="J43" s="172">
        <v>-277964.409337994</v>
      </c>
      <c r="K43" s="172">
        <v>279044.34530581097</v>
      </c>
      <c r="L43" s="172">
        <v>-80967.953266658806</v>
      </c>
    </row>
    <row r="44" spans="2:12" hidden="1" x14ac:dyDescent="0.3">
      <c r="B44" s="172" t="s">
        <v>183</v>
      </c>
      <c r="C44" s="172" t="s">
        <v>202</v>
      </c>
      <c r="D44" s="172" t="s">
        <v>200</v>
      </c>
      <c r="E44" s="172"/>
      <c r="F44" s="172" t="s">
        <v>72</v>
      </c>
      <c r="G44" s="172">
        <v>917392.65154534602</v>
      </c>
      <c r="H44" s="172">
        <v>8.0856636941462099E-7</v>
      </c>
      <c r="I44" s="172">
        <v>-1.40474512022593E-8</v>
      </c>
      <c r="J44" s="172">
        <v>-4.2278047658328399E-6</v>
      </c>
      <c r="K44" s="172">
        <v>6305259.6221197499</v>
      </c>
      <c r="L44" s="172">
        <v>-8456338.3369807005</v>
      </c>
    </row>
    <row r="45" spans="2:12" x14ac:dyDescent="0.3">
      <c r="B45" s="172" t="s">
        <v>183</v>
      </c>
      <c r="C45" s="172" t="s">
        <v>202</v>
      </c>
      <c r="D45" s="172" t="s">
        <v>200</v>
      </c>
      <c r="E45" s="172"/>
      <c r="F45" s="172" t="s">
        <v>201</v>
      </c>
      <c r="G45" s="172">
        <v>977471.54294315097</v>
      </c>
      <c r="H45" s="172">
        <v>8.1288544606650195E-7</v>
      </c>
      <c r="I45" s="172">
        <v>-1.47698528962792E-8</v>
      </c>
      <c r="J45" s="172">
        <v>-4.2530787141004103E-6</v>
      </c>
      <c r="K45" s="172">
        <v>6613882.8202897198</v>
      </c>
      <c r="L45" s="172">
        <v>-9237732.0000410695</v>
      </c>
    </row>
    <row r="46" spans="2:12" hidden="1" x14ac:dyDescent="0.3">
      <c r="B46" s="172" t="s">
        <v>181</v>
      </c>
      <c r="C46" s="172" t="s">
        <v>79</v>
      </c>
      <c r="D46" s="172" t="s">
        <v>200</v>
      </c>
      <c r="E46" s="172"/>
      <c r="F46" s="172" t="s">
        <v>72</v>
      </c>
      <c r="G46" s="172">
        <v>-4.9782204314396897E-7</v>
      </c>
      <c r="H46" s="172">
        <v>-48729.7004786365</v>
      </c>
      <c r="I46" s="172">
        <v>-12352.4573656338</v>
      </c>
      <c r="J46" s="172">
        <v>221506.66360788801</v>
      </c>
      <c r="K46" s="172">
        <v>76103.893042555093</v>
      </c>
      <c r="L46" s="172">
        <v>-277085.47409719898</v>
      </c>
    </row>
    <row r="47" spans="2:12" hidden="1" x14ac:dyDescent="0.3">
      <c r="B47" s="172" t="s">
        <v>181</v>
      </c>
      <c r="C47" s="172" t="s">
        <v>79</v>
      </c>
      <c r="D47" s="172" t="s">
        <v>200</v>
      </c>
      <c r="E47" s="172"/>
      <c r="F47" s="172" t="s">
        <v>201</v>
      </c>
      <c r="G47" s="172">
        <v>-4.9474618890599199E-7</v>
      </c>
      <c r="H47" s="172">
        <v>-48729.700478609098</v>
      </c>
      <c r="I47" s="172">
        <v>-12352.457365636001</v>
      </c>
      <c r="J47" s="172">
        <v>221506.663607747</v>
      </c>
      <c r="K47" s="172">
        <v>119337.49382227501</v>
      </c>
      <c r="L47" s="172">
        <v>-447639.42577246198</v>
      </c>
    </row>
    <row r="48" spans="2:12" hidden="1" x14ac:dyDescent="0.3">
      <c r="B48" s="172" t="s">
        <v>181</v>
      </c>
      <c r="C48" s="172" t="s">
        <v>80</v>
      </c>
      <c r="D48" s="172" t="s">
        <v>200</v>
      </c>
      <c r="E48" s="172"/>
      <c r="F48" s="172" t="s">
        <v>72</v>
      </c>
      <c r="G48" s="172">
        <v>-5.1735696615651197E-7</v>
      </c>
      <c r="H48" s="172">
        <v>-48729.7004778103</v>
      </c>
      <c r="I48" s="172">
        <v>-12352.457365751399</v>
      </c>
      <c r="J48" s="172">
        <v>173063.580731308</v>
      </c>
      <c r="K48" s="172">
        <v>76103.893043100004</v>
      </c>
      <c r="L48" s="172">
        <v>-277085.47409440199</v>
      </c>
    </row>
    <row r="49" spans="2:12" hidden="1" x14ac:dyDescent="0.3">
      <c r="B49" s="172" t="s">
        <v>181</v>
      </c>
      <c r="C49" s="172" t="s">
        <v>80</v>
      </c>
      <c r="D49" s="172" t="s">
        <v>200</v>
      </c>
      <c r="E49" s="172"/>
      <c r="F49" s="172" t="s">
        <v>201</v>
      </c>
      <c r="G49" s="172">
        <v>-5.1595952754723797E-7</v>
      </c>
      <c r="H49" s="172">
        <v>-48729.7004777861</v>
      </c>
      <c r="I49" s="172">
        <v>-12352.457365751699</v>
      </c>
      <c r="J49" s="172">
        <v>173063.580731219</v>
      </c>
      <c r="K49" s="172">
        <v>119337.493823221</v>
      </c>
      <c r="L49" s="172">
        <v>-447639.425766745</v>
      </c>
    </row>
    <row r="50" spans="2:12" hidden="1" x14ac:dyDescent="0.3">
      <c r="B50" s="172" t="s">
        <v>181</v>
      </c>
      <c r="C50" s="172" t="s">
        <v>81</v>
      </c>
      <c r="D50" s="172" t="s">
        <v>200</v>
      </c>
      <c r="E50" s="172"/>
      <c r="F50" s="172" t="s">
        <v>72</v>
      </c>
      <c r="G50" s="172">
        <v>-9.6652001957409097E-8</v>
      </c>
      <c r="H50" s="172">
        <v>-13481.4237472405</v>
      </c>
      <c r="I50" s="172">
        <v>-48162.869987519902</v>
      </c>
      <c r="J50" s="172">
        <v>-423300.05475647002</v>
      </c>
      <c r="K50" s="172">
        <v>279044.34530658799</v>
      </c>
      <c r="L50" s="172">
        <v>-80967.953261791103</v>
      </c>
    </row>
    <row r="51" spans="2:12" hidden="1" x14ac:dyDescent="0.3">
      <c r="B51" s="172" t="s">
        <v>181</v>
      </c>
      <c r="C51" s="172" t="s">
        <v>81</v>
      </c>
      <c r="D51" s="172" t="s">
        <v>200</v>
      </c>
      <c r="E51" s="172"/>
      <c r="F51" s="172" t="s">
        <v>201</v>
      </c>
      <c r="G51" s="172">
        <v>-9.9569660960696598E-8</v>
      </c>
      <c r="H51" s="172">
        <v>-13481.423747241601</v>
      </c>
      <c r="I51" s="172">
        <v>-48162.869987489998</v>
      </c>
      <c r="J51" s="172">
        <v>-423300.054755855</v>
      </c>
      <c r="K51" s="172">
        <v>447614.39026284101</v>
      </c>
      <c r="L51" s="172">
        <v>-128152.93637708</v>
      </c>
    </row>
    <row r="52" spans="2:12" hidden="1" x14ac:dyDescent="0.3">
      <c r="B52" s="172" t="s">
        <v>181</v>
      </c>
      <c r="C52" s="172" t="s">
        <v>82</v>
      </c>
      <c r="D52" s="172" t="s">
        <v>200</v>
      </c>
      <c r="E52" s="172"/>
      <c r="F52" s="172" t="s">
        <v>72</v>
      </c>
      <c r="G52" s="172">
        <v>-6.5159383666468797E-8</v>
      </c>
      <c r="H52" s="172">
        <v>-13481.4237485662</v>
      </c>
      <c r="I52" s="172">
        <v>-48162.8699873308</v>
      </c>
      <c r="J52" s="172">
        <v>-343632.522645374</v>
      </c>
      <c r="K52" s="172">
        <v>279044.34530570701</v>
      </c>
      <c r="L52" s="172">
        <v>-80967.9532662782</v>
      </c>
    </row>
    <row r="53" spans="2:12" hidden="1" x14ac:dyDescent="0.3">
      <c r="B53" s="172" t="s">
        <v>181</v>
      </c>
      <c r="C53" s="172" t="s">
        <v>82</v>
      </c>
      <c r="D53" s="172" t="s">
        <v>200</v>
      </c>
      <c r="E53" s="172"/>
      <c r="F53" s="172" t="s">
        <v>201</v>
      </c>
      <c r="G53" s="172">
        <v>-6.7106611822964597E-8</v>
      </c>
      <c r="H53" s="172">
        <v>-13481.4237485662</v>
      </c>
      <c r="I53" s="172">
        <v>-48162.869987304097</v>
      </c>
      <c r="J53" s="172">
        <v>-343632.52264483302</v>
      </c>
      <c r="K53" s="172">
        <v>447614.39026130899</v>
      </c>
      <c r="L53" s="172">
        <v>-128152.936386224</v>
      </c>
    </row>
    <row r="54" spans="2:12" hidden="1" x14ac:dyDescent="0.3">
      <c r="B54" s="172" t="s">
        <v>181</v>
      </c>
      <c r="C54" s="172" t="s">
        <v>202</v>
      </c>
      <c r="D54" s="172" t="s">
        <v>200</v>
      </c>
      <c r="E54" s="172"/>
      <c r="F54" s="172" t="s">
        <v>72</v>
      </c>
      <c r="G54" s="172">
        <v>1235596.0991928999</v>
      </c>
      <c r="H54" s="172">
        <v>1.00256255564091E-6</v>
      </c>
      <c r="I54" s="172">
        <v>-1.6516089829110599E-8</v>
      </c>
      <c r="J54" s="172">
        <v>-5.2685397804452796E-6</v>
      </c>
      <c r="K54" s="172">
        <v>8485179.8288824596</v>
      </c>
      <c r="L54" s="172">
        <v>-11412720.566991</v>
      </c>
    </row>
    <row r="55" spans="2:12" x14ac:dyDescent="0.3">
      <c r="B55" s="172" t="s">
        <v>181</v>
      </c>
      <c r="C55" s="172" t="s">
        <v>202</v>
      </c>
      <c r="D55" s="172" t="s">
        <v>200</v>
      </c>
      <c r="E55" s="172"/>
      <c r="F55" s="172" t="s">
        <v>201</v>
      </c>
      <c r="G55" s="172">
        <v>1295674.99059071</v>
      </c>
      <c r="H55" s="172">
        <v>1.0015006637331699E-6</v>
      </c>
      <c r="I55" s="172">
        <v>-1.6023420812416599E-8</v>
      </c>
      <c r="J55" s="172">
        <v>-5.2562725159077698E-6</v>
      </c>
      <c r="K55" s="172">
        <v>8793803.0270524304</v>
      </c>
      <c r="L55" s="172">
        <v>-12194114.2300507</v>
      </c>
    </row>
    <row r="56" spans="2:12" hidden="1" x14ac:dyDescent="0.3">
      <c r="B56" s="172" t="s">
        <v>179</v>
      </c>
      <c r="C56" s="172" t="s">
        <v>79</v>
      </c>
      <c r="D56" s="172" t="s">
        <v>200</v>
      </c>
      <c r="E56" s="172"/>
      <c r="F56" s="172" t="s">
        <v>72</v>
      </c>
      <c r="G56" s="172">
        <v>-3.4993240660696798E-7</v>
      </c>
      <c r="H56" s="172">
        <v>-57396.5743084559</v>
      </c>
      <c r="I56" s="172">
        <v>-14281.1680401632</v>
      </c>
      <c r="J56" s="172">
        <v>266199.20242379501</v>
      </c>
      <c r="K56" s="172">
        <v>119337.49382272499</v>
      </c>
      <c r="L56" s="172">
        <v>-447639.42577496002</v>
      </c>
    </row>
    <row r="57" spans="2:12" hidden="1" x14ac:dyDescent="0.3">
      <c r="B57" s="172" t="s">
        <v>179</v>
      </c>
      <c r="C57" s="172" t="s">
        <v>79</v>
      </c>
      <c r="D57" s="172" t="s">
        <v>200</v>
      </c>
      <c r="E57" s="172"/>
      <c r="F57" s="172" t="s">
        <v>201</v>
      </c>
      <c r="G57" s="172">
        <v>-3.3791222975310099E-7</v>
      </c>
      <c r="H57" s="172">
        <v>-57396.574308465199</v>
      </c>
      <c r="I57" s="172">
        <v>-14281.168040165099</v>
      </c>
      <c r="J57" s="172">
        <v>266199.20242372301</v>
      </c>
      <c r="K57" s="172">
        <v>169321.58196331299</v>
      </c>
      <c r="L57" s="172">
        <v>-648527.43585482205</v>
      </c>
    </row>
    <row r="58" spans="2:12" hidden="1" x14ac:dyDescent="0.3">
      <c r="B58" s="172" t="s">
        <v>179</v>
      </c>
      <c r="C58" s="172" t="s">
        <v>80</v>
      </c>
      <c r="D58" s="172" t="s">
        <v>200</v>
      </c>
      <c r="E58" s="172"/>
      <c r="F58" s="172" t="s">
        <v>72</v>
      </c>
      <c r="G58" s="172">
        <v>-3.6396659197635001E-7</v>
      </c>
      <c r="H58" s="172">
        <v>-57396.574307531802</v>
      </c>
      <c r="I58" s="172">
        <v>-14281.1680403316</v>
      </c>
      <c r="J58" s="172">
        <v>208589.42938657</v>
      </c>
      <c r="K58" s="172">
        <v>119337.49382368699</v>
      </c>
      <c r="L58" s="172">
        <v>-447639.42576936597</v>
      </c>
    </row>
    <row r="59" spans="2:12" hidden="1" x14ac:dyDescent="0.3">
      <c r="B59" s="172" t="s">
        <v>179</v>
      </c>
      <c r="C59" s="172" t="s">
        <v>80</v>
      </c>
      <c r="D59" s="172" t="s">
        <v>200</v>
      </c>
      <c r="E59" s="172"/>
      <c r="F59" s="172" t="s">
        <v>201</v>
      </c>
      <c r="G59" s="172">
        <v>-3.50738844190346E-7</v>
      </c>
      <c r="H59" s="172">
        <v>-57396.574307542098</v>
      </c>
      <c r="I59" s="172">
        <v>-14281.168040336301</v>
      </c>
      <c r="J59" s="172">
        <v>208589.42938644101</v>
      </c>
      <c r="K59" s="172">
        <v>169321.581964868</v>
      </c>
      <c r="L59" s="172">
        <v>-648527.43584602303</v>
      </c>
    </row>
    <row r="60" spans="2:12" hidden="1" x14ac:dyDescent="0.3">
      <c r="B60" s="172" t="s">
        <v>179</v>
      </c>
      <c r="C60" s="172" t="s">
        <v>81</v>
      </c>
      <c r="D60" s="172" t="s">
        <v>200</v>
      </c>
      <c r="E60" s="172"/>
      <c r="F60" s="172" t="s">
        <v>72</v>
      </c>
      <c r="G60" s="172">
        <v>-4.71022758574691E-8</v>
      </c>
      <c r="H60" s="172">
        <v>-15613.937475590899</v>
      </c>
      <c r="I60" s="172">
        <v>-56144.279137609999</v>
      </c>
      <c r="J60" s="172">
        <v>-492069.27433232102</v>
      </c>
      <c r="K60" s="172">
        <v>447614.39026289497</v>
      </c>
      <c r="L60" s="172">
        <v>-128152.936377978</v>
      </c>
    </row>
    <row r="61" spans="2:12" hidden="1" x14ac:dyDescent="0.3">
      <c r="B61" s="172" t="s">
        <v>179</v>
      </c>
      <c r="C61" s="172" t="s">
        <v>81</v>
      </c>
      <c r="D61" s="172" t="s">
        <v>200</v>
      </c>
      <c r="E61" s="172"/>
      <c r="F61" s="172" t="s">
        <v>201</v>
      </c>
      <c r="G61" s="172">
        <v>-4.5643901103176203E-8</v>
      </c>
      <c r="H61" s="172">
        <v>-15613.937475590899</v>
      </c>
      <c r="I61" s="172">
        <v>-56144.279137635698</v>
      </c>
      <c r="J61" s="172">
        <v>-492069.27433284</v>
      </c>
      <c r="K61" s="172">
        <v>644119.36724455399</v>
      </c>
      <c r="L61" s="172">
        <v>-182801.717542578</v>
      </c>
    </row>
    <row r="62" spans="2:12" hidden="1" x14ac:dyDescent="0.3">
      <c r="B62" s="172" t="s">
        <v>179</v>
      </c>
      <c r="C62" s="172" t="s">
        <v>82</v>
      </c>
      <c r="D62" s="172" t="s">
        <v>200</v>
      </c>
      <c r="E62" s="172"/>
      <c r="F62" s="172" t="s">
        <v>72</v>
      </c>
      <c r="G62" s="172">
        <v>-2.5043846108019402E-8</v>
      </c>
      <c r="H62" s="172">
        <v>-15613.9374770701</v>
      </c>
      <c r="I62" s="172">
        <v>-56144.279137337697</v>
      </c>
      <c r="J62" s="172">
        <v>-398892.86643446999</v>
      </c>
      <c r="K62" s="172">
        <v>447614.39026134799</v>
      </c>
      <c r="L62" s="172">
        <v>-128152.936386942</v>
      </c>
    </row>
    <row r="63" spans="2:12" hidden="1" x14ac:dyDescent="0.3">
      <c r="B63" s="172" t="s">
        <v>179</v>
      </c>
      <c r="C63" s="172" t="s">
        <v>82</v>
      </c>
      <c r="D63" s="172" t="s">
        <v>200</v>
      </c>
      <c r="E63" s="172"/>
      <c r="F63" s="172" t="s">
        <v>201</v>
      </c>
      <c r="G63" s="172">
        <v>-2.3786924430169202E-8</v>
      </c>
      <c r="H63" s="172">
        <v>-15613.9374770672</v>
      </c>
      <c r="I63" s="172">
        <v>-56144.279137364203</v>
      </c>
      <c r="J63" s="172">
        <v>-398892.86643499503</v>
      </c>
      <c r="K63" s="172">
        <v>644119.36724205897</v>
      </c>
      <c r="L63" s="172">
        <v>-182801.71755670701</v>
      </c>
    </row>
    <row r="64" spans="2:12" hidden="1" x14ac:dyDescent="0.3">
      <c r="B64" s="172" t="s">
        <v>179</v>
      </c>
      <c r="C64" s="172" t="s">
        <v>202</v>
      </c>
      <c r="D64" s="172" t="s">
        <v>200</v>
      </c>
      <c r="E64" s="172"/>
      <c r="F64" s="172" t="s">
        <v>72</v>
      </c>
      <c r="G64" s="172">
        <v>1553799.5468402901</v>
      </c>
      <c r="H64" s="172">
        <v>9.9184990176581799E-7</v>
      </c>
      <c r="I64" s="172">
        <v>-1.6223644649926401E-8</v>
      </c>
      <c r="J64" s="172">
        <v>-5.3786502576258499E-6</v>
      </c>
      <c r="K64" s="172">
        <v>10665100.0356449</v>
      </c>
      <c r="L64" s="172">
        <v>-14369102.796997201</v>
      </c>
    </row>
    <row r="65" spans="2:12" x14ac:dyDescent="0.3">
      <c r="B65" s="172" t="s">
        <v>179</v>
      </c>
      <c r="C65" s="172" t="s">
        <v>202</v>
      </c>
      <c r="D65" s="172" t="s">
        <v>200</v>
      </c>
      <c r="E65" s="172"/>
      <c r="F65" s="172" t="s">
        <v>201</v>
      </c>
      <c r="G65" s="172">
        <v>1613878.4382380999</v>
      </c>
      <c r="H65" s="172">
        <v>9.87289240583777E-7</v>
      </c>
      <c r="I65" s="172">
        <v>-1.70318799064262E-8</v>
      </c>
      <c r="J65" s="172">
        <v>-5.3872788612352502E-6</v>
      </c>
      <c r="K65" s="172">
        <v>10973723.233814901</v>
      </c>
      <c r="L65" s="172">
        <v>-15150496.460057</v>
      </c>
    </row>
    <row r="66" spans="2:12" hidden="1" x14ac:dyDescent="0.3">
      <c r="B66" s="172" t="s">
        <v>39</v>
      </c>
      <c r="C66" s="172" t="s">
        <v>79</v>
      </c>
      <c r="D66" s="172" t="s">
        <v>200</v>
      </c>
      <c r="E66" s="172"/>
      <c r="F66" s="172" t="s">
        <v>72</v>
      </c>
      <c r="G66" s="172">
        <v>-3.6275810089136902E-7</v>
      </c>
      <c r="H66" s="172">
        <v>-64902.919129808797</v>
      </c>
      <c r="I66" s="172">
        <v>-15947.5178971695</v>
      </c>
      <c r="J66" s="172">
        <v>304950.78430731501</v>
      </c>
      <c r="K66" s="172">
        <v>169321.58196310399</v>
      </c>
      <c r="L66" s="172">
        <v>-648527.43585436605</v>
      </c>
    </row>
    <row r="67" spans="2:12" hidden="1" x14ac:dyDescent="0.3">
      <c r="B67" s="172" t="s">
        <v>39</v>
      </c>
      <c r="C67" s="172" t="s">
        <v>79</v>
      </c>
      <c r="D67" s="172" t="s">
        <v>200</v>
      </c>
      <c r="E67" s="172"/>
      <c r="F67" s="172" t="s">
        <v>201</v>
      </c>
      <c r="G67" s="172">
        <v>-3.5163738232313298E-7</v>
      </c>
      <c r="H67" s="172">
        <v>-64902.919129803602</v>
      </c>
      <c r="I67" s="172">
        <v>-15947.5178971685</v>
      </c>
      <c r="J67" s="172">
        <v>304950.78430728603</v>
      </c>
      <c r="K67" s="172">
        <v>225137.89460321001</v>
      </c>
      <c r="L67" s="172">
        <v>-875687.65280891</v>
      </c>
    </row>
    <row r="68" spans="2:12" hidden="1" x14ac:dyDescent="0.3">
      <c r="B68" s="172" t="s">
        <v>39</v>
      </c>
      <c r="C68" s="172" t="s">
        <v>80</v>
      </c>
      <c r="D68" s="172" t="s">
        <v>200</v>
      </c>
      <c r="E68" s="172"/>
      <c r="F68" s="172" t="s">
        <v>72</v>
      </c>
      <c r="G68" s="172">
        <v>-3.7554127629846297E-7</v>
      </c>
      <c r="H68" s="172">
        <v>-64902.919128805697</v>
      </c>
      <c r="I68" s="172">
        <v>-15947.5178974258</v>
      </c>
      <c r="J68" s="172">
        <v>239393.17012491799</v>
      </c>
      <c r="K68" s="172">
        <v>169321.581964646</v>
      </c>
      <c r="L68" s="172">
        <v>-648527.43584556901</v>
      </c>
    </row>
    <row r="69" spans="2:12" hidden="1" x14ac:dyDescent="0.3">
      <c r="B69" s="172" t="s">
        <v>39</v>
      </c>
      <c r="C69" s="172" t="s">
        <v>80</v>
      </c>
      <c r="D69" s="172" t="s">
        <v>200</v>
      </c>
      <c r="E69" s="172"/>
      <c r="F69" s="172" t="s">
        <v>201</v>
      </c>
      <c r="G69" s="172">
        <v>-3.6403588410394102E-7</v>
      </c>
      <c r="H69" s="172">
        <v>-64902.919128806498</v>
      </c>
      <c r="I69" s="172">
        <v>-15947.5178974258</v>
      </c>
      <c r="J69" s="172">
        <v>239393.17012488499</v>
      </c>
      <c r="K69" s="172">
        <v>225137.89460564699</v>
      </c>
      <c r="L69" s="172">
        <v>-875687.65279661701</v>
      </c>
    </row>
    <row r="70" spans="2:12" hidden="1" x14ac:dyDescent="0.3">
      <c r="B70" s="172" t="s">
        <v>39</v>
      </c>
      <c r="C70" s="172" t="s">
        <v>81</v>
      </c>
      <c r="D70" s="172" t="s">
        <v>200</v>
      </c>
      <c r="E70" s="172"/>
      <c r="F70" s="172" t="s">
        <v>72</v>
      </c>
      <c r="G70" s="172">
        <v>-2.8164322429802299E-8</v>
      </c>
      <c r="H70" s="172">
        <v>-17492.470951962401</v>
      </c>
      <c r="I70" s="172">
        <v>-63108.812319826102</v>
      </c>
      <c r="J70" s="172">
        <v>-551943.68023269298</v>
      </c>
      <c r="K70" s="172">
        <v>644119.36724444001</v>
      </c>
      <c r="L70" s="172">
        <v>-182801.71754286901</v>
      </c>
    </row>
    <row r="71" spans="2:12" hidden="1" x14ac:dyDescent="0.3">
      <c r="B71" s="172" t="s">
        <v>39</v>
      </c>
      <c r="C71" s="172" t="s">
        <v>81</v>
      </c>
      <c r="D71" s="172" t="s">
        <v>200</v>
      </c>
      <c r="E71" s="172"/>
      <c r="F71" s="172" t="s">
        <v>201</v>
      </c>
      <c r="G71" s="172">
        <v>-2.6638645067578201E-8</v>
      </c>
      <c r="H71" s="172">
        <v>-17492.470951961299</v>
      </c>
      <c r="I71" s="172">
        <v>-63108.812319830402</v>
      </c>
      <c r="J71" s="172">
        <v>-551943.68023279496</v>
      </c>
      <c r="K71" s="172">
        <v>865000.21036382695</v>
      </c>
      <c r="L71" s="172">
        <v>-244025.36587476399</v>
      </c>
    </row>
    <row r="72" spans="2:12" hidden="1" x14ac:dyDescent="0.3">
      <c r="B72" s="172" t="s">
        <v>39</v>
      </c>
      <c r="C72" s="172" t="s">
        <v>82</v>
      </c>
      <c r="D72" s="172" t="s">
        <v>200</v>
      </c>
      <c r="E72" s="172"/>
      <c r="F72" s="172" t="s">
        <v>72</v>
      </c>
      <c r="G72" s="172">
        <v>-8.7679836724419097E-9</v>
      </c>
      <c r="H72" s="172">
        <v>-17492.470953566601</v>
      </c>
      <c r="I72" s="172">
        <v>-63108.812319415403</v>
      </c>
      <c r="J72" s="172">
        <v>-447006.51619164</v>
      </c>
      <c r="K72" s="172">
        <v>644119.36724196002</v>
      </c>
      <c r="L72" s="172">
        <v>-182801.717556958</v>
      </c>
    </row>
    <row r="73" spans="2:12" hidden="1" x14ac:dyDescent="0.3">
      <c r="B73" s="172" t="s">
        <v>39</v>
      </c>
      <c r="C73" s="172" t="s">
        <v>82</v>
      </c>
      <c r="D73" s="172" t="s">
        <v>200</v>
      </c>
      <c r="E73" s="172"/>
      <c r="F73" s="172" t="s">
        <v>201</v>
      </c>
      <c r="G73" s="172">
        <v>-9.5483301265630904E-9</v>
      </c>
      <c r="H73" s="172">
        <v>-17492.470953565899</v>
      </c>
      <c r="I73" s="172">
        <v>-63108.812319417797</v>
      </c>
      <c r="J73" s="172">
        <v>-447006.51619170199</v>
      </c>
      <c r="K73" s="172">
        <v>865000.21035990596</v>
      </c>
      <c r="L73" s="172">
        <v>-244025.365894424</v>
      </c>
    </row>
    <row r="74" spans="2:12" hidden="1" x14ac:dyDescent="0.3">
      <c r="B74" s="172" t="s">
        <v>39</v>
      </c>
      <c r="C74" s="172" t="s">
        <v>202</v>
      </c>
      <c r="D74" s="172" t="s">
        <v>200</v>
      </c>
      <c r="E74" s="172"/>
      <c r="F74" s="172" t="s">
        <v>72</v>
      </c>
      <c r="G74" s="172">
        <v>1872002.9944877101</v>
      </c>
      <c r="H74" s="172">
        <v>9.9679397180807406E-7</v>
      </c>
      <c r="I74" s="172">
        <v>-8.8011660182019097E-9</v>
      </c>
      <c r="J74" s="172">
        <v>-5.4376896514440904E-6</v>
      </c>
      <c r="K74" s="172">
        <v>12845020.242407501</v>
      </c>
      <c r="L74" s="172">
        <v>-17325485.027004</v>
      </c>
    </row>
    <row r="75" spans="2:12" x14ac:dyDescent="0.3">
      <c r="B75" s="172" t="s">
        <v>39</v>
      </c>
      <c r="C75" s="172" t="s">
        <v>202</v>
      </c>
      <c r="D75" s="172" t="s">
        <v>200</v>
      </c>
      <c r="E75" s="172"/>
      <c r="F75" s="172" t="s">
        <v>201</v>
      </c>
      <c r="G75" s="172">
        <v>1932081.8858855099</v>
      </c>
      <c r="H75" s="172">
        <v>9.9176190815342103E-7</v>
      </c>
      <c r="I75" s="172">
        <v>-8.7787270786066107E-9</v>
      </c>
      <c r="J75" s="172">
        <v>-5.4300787724059799E-6</v>
      </c>
      <c r="K75" s="172">
        <v>13153643.440577401</v>
      </c>
      <c r="L75" s="172">
        <v>-18106878.690063801</v>
      </c>
    </row>
    <row r="76" spans="2:12" hidden="1" x14ac:dyDescent="0.3">
      <c r="B76" s="172" t="s">
        <v>26</v>
      </c>
      <c r="C76" s="172" t="s">
        <v>79</v>
      </c>
      <c r="D76" s="172" t="s">
        <v>200</v>
      </c>
      <c r="E76" s="172"/>
      <c r="F76" s="172" t="s">
        <v>72</v>
      </c>
      <c r="G76" s="172">
        <v>-5.77371224608214E-7</v>
      </c>
      <c r="H76" s="172">
        <v>-71421.648889893404</v>
      </c>
      <c r="I76" s="172">
        <v>-17387.375467731301</v>
      </c>
      <c r="J76" s="172">
        <v>338080.92795967503</v>
      </c>
      <c r="K76" s="172">
        <v>225137.89460294001</v>
      </c>
      <c r="L76" s="172">
        <v>-875687.65280497202</v>
      </c>
    </row>
    <row r="77" spans="2:12" hidden="1" x14ac:dyDescent="0.3">
      <c r="B77" s="172" t="s">
        <v>26</v>
      </c>
      <c r="C77" s="172" t="s">
        <v>79</v>
      </c>
      <c r="D77" s="172" t="s">
        <v>200</v>
      </c>
      <c r="E77" s="172"/>
      <c r="F77" s="172" t="s">
        <v>201</v>
      </c>
      <c r="G77" s="172">
        <v>-5.6968892181430398E-7</v>
      </c>
      <c r="H77" s="172">
        <v>-71421.648889870106</v>
      </c>
      <c r="I77" s="172">
        <v>-17387.3754677283</v>
      </c>
      <c r="J77" s="172">
        <v>338080.92795967998</v>
      </c>
      <c r="K77" s="172">
        <v>285993.70874000998</v>
      </c>
      <c r="L77" s="172">
        <v>-1125663.4239197001</v>
      </c>
    </row>
    <row r="78" spans="2:12" hidden="1" x14ac:dyDescent="0.3">
      <c r="B78" s="172" t="s">
        <v>26</v>
      </c>
      <c r="C78" s="172" t="s">
        <v>80</v>
      </c>
      <c r="D78" s="172" t="s">
        <v>200</v>
      </c>
      <c r="E78" s="172"/>
      <c r="F78" s="172" t="s">
        <v>72</v>
      </c>
      <c r="G78" s="172">
        <v>-6.0775846577598703E-7</v>
      </c>
      <c r="H78" s="172">
        <v>-71421.6488888038</v>
      </c>
      <c r="I78" s="172">
        <v>-17387.375468017701</v>
      </c>
      <c r="J78" s="172">
        <v>265605.951796857</v>
      </c>
      <c r="K78" s="172">
        <v>225137.894605359</v>
      </c>
      <c r="L78" s="172">
        <v>-875687.65279236797</v>
      </c>
    </row>
    <row r="79" spans="2:12" hidden="1" x14ac:dyDescent="0.3">
      <c r="B79" s="172" t="s">
        <v>26</v>
      </c>
      <c r="C79" s="172" t="s">
        <v>80</v>
      </c>
      <c r="D79" s="172" t="s">
        <v>200</v>
      </c>
      <c r="E79" s="172"/>
      <c r="F79" s="172" t="s">
        <v>201</v>
      </c>
      <c r="G79" s="172">
        <v>-6.0080230923631504E-7</v>
      </c>
      <c r="H79" s="172">
        <v>-71421.648888780604</v>
      </c>
      <c r="I79" s="172">
        <v>-17387.375468014699</v>
      </c>
      <c r="J79" s="172">
        <v>265605.95179686201</v>
      </c>
      <c r="K79" s="172">
        <v>285993.70874342998</v>
      </c>
      <c r="L79" s="172">
        <v>-1125663.4239032699</v>
      </c>
    </row>
    <row r="80" spans="2:12" hidden="1" x14ac:dyDescent="0.3">
      <c r="B80" s="172" t="s">
        <v>26</v>
      </c>
      <c r="C80" s="172" t="s">
        <v>81</v>
      </c>
      <c r="D80" s="172" t="s">
        <v>200</v>
      </c>
      <c r="E80" s="172"/>
      <c r="F80" s="172" t="s">
        <v>72</v>
      </c>
      <c r="G80" s="172">
        <v>-1.2140935723436999E-7</v>
      </c>
      <c r="H80" s="172">
        <v>-19178.975932031</v>
      </c>
      <c r="I80" s="172">
        <v>-69318.128664756907</v>
      </c>
      <c r="J80" s="172">
        <v>-606105.31897632999</v>
      </c>
      <c r="K80" s="172">
        <v>865000.21036366001</v>
      </c>
      <c r="L80" s="172">
        <v>-244025.36587310501</v>
      </c>
    </row>
    <row r="81" spans="2:12" hidden="1" x14ac:dyDescent="0.3">
      <c r="B81" s="172" t="s">
        <v>26</v>
      </c>
      <c r="C81" s="172" t="s">
        <v>81</v>
      </c>
      <c r="D81" s="172" t="s">
        <v>200</v>
      </c>
      <c r="E81" s="172"/>
      <c r="F81" s="172" t="s">
        <v>201</v>
      </c>
      <c r="G81" s="172">
        <v>-1.22198798635509E-7</v>
      </c>
      <c r="H81" s="172">
        <v>-19178.975932022298</v>
      </c>
      <c r="I81" s="172">
        <v>-69318.128664760996</v>
      </c>
      <c r="J81" s="172">
        <v>-606105.31897644803</v>
      </c>
      <c r="K81" s="172">
        <v>1107613.66069034</v>
      </c>
      <c r="L81" s="172">
        <v>-311151.78163517598</v>
      </c>
    </row>
    <row r="82" spans="2:12" hidden="1" x14ac:dyDescent="0.3">
      <c r="B82" s="172" t="s">
        <v>26</v>
      </c>
      <c r="C82" s="172" t="s">
        <v>82</v>
      </c>
      <c r="D82" s="172" t="s">
        <v>200</v>
      </c>
      <c r="E82" s="172"/>
      <c r="F82" s="172" t="s">
        <v>72</v>
      </c>
      <c r="G82" s="172">
        <v>-7.2997863753698806E-8</v>
      </c>
      <c r="H82" s="172">
        <v>-19178.975933775699</v>
      </c>
      <c r="I82" s="172">
        <v>-69318.128664301199</v>
      </c>
      <c r="J82" s="172">
        <v>-490700.51069912198</v>
      </c>
      <c r="K82" s="172">
        <v>865000.21035977302</v>
      </c>
      <c r="L82" s="172">
        <v>-244025.36589330799</v>
      </c>
    </row>
    <row r="83" spans="2:12" hidden="1" x14ac:dyDescent="0.3">
      <c r="B83" s="172" t="s">
        <v>26</v>
      </c>
      <c r="C83" s="172" t="s">
        <v>82</v>
      </c>
      <c r="D83" s="172" t="s">
        <v>200</v>
      </c>
      <c r="E83" s="172"/>
      <c r="F83" s="172" t="s">
        <v>201</v>
      </c>
      <c r="G83" s="172">
        <v>-7.4620402301661697E-8</v>
      </c>
      <c r="H83" s="172">
        <v>-19178.975933769401</v>
      </c>
      <c r="I83" s="172">
        <v>-69318.128664303105</v>
      </c>
      <c r="J83" s="172">
        <v>-490700.51069919101</v>
      </c>
      <c r="K83" s="172">
        <v>1107613.6606848501</v>
      </c>
      <c r="L83" s="172">
        <v>-311151.78166147298</v>
      </c>
    </row>
    <row r="84" spans="2:12" hidden="1" x14ac:dyDescent="0.3">
      <c r="B84" s="172" t="s">
        <v>26</v>
      </c>
      <c r="C84" s="172" t="s">
        <v>202</v>
      </c>
      <c r="D84" s="172" t="s">
        <v>200</v>
      </c>
      <c r="E84" s="172"/>
      <c r="F84" s="172" t="s">
        <v>72</v>
      </c>
      <c r="G84" s="172">
        <v>2191516.8421353302</v>
      </c>
      <c r="H84" s="172">
        <v>1.04515697785246E-6</v>
      </c>
      <c r="I84" s="172">
        <v>-6.1091895986464798E-9</v>
      </c>
      <c r="J84" s="172">
        <v>-5.29236876900541E-6</v>
      </c>
      <c r="K84" s="172">
        <v>15027561.249170201</v>
      </c>
      <c r="L84" s="172">
        <v>-20306109.657014199</v>
      </c>
    </row>
    <row r="85" spans="2:12" x14ac:dyDescent="0.3">
      <c r="B85" s="172" t="s">
        <v>26</v>
      </c>
      <c r="C85" s="172" t="s">
        <v>202</v>
      </c>
      <c r="D85" s="172" t="s">
        <v>200</v>
      </c>
      <c r="E85" s="172"/>
      <c r="F85" s="172" t="s">
        <v>201</v>
      </c>
      <c r="G85" s="172">
        <v>2251595.7335331398</v>
      </c>
      <c r="H85" s="172">
        <v>1.0420992566651E-6</v>
      </c>
      <c r="I85" s="172">
        <v>-5.5825353229010902E-9</v>
      </c>
      <c r="J85" s="172">
        <v>-5.27340694134182E-6</v>
      </c>
      <c r="K85" s="172">
        <v>15336184.447340099</v>
      </c>
      <c r="L85" s="172">
        <v>-21087503.320073798</v>
      </c>
    </row>
    <row r="86" spans="2:12" hidden="1" x14ac:dyDescent="0.3">
      <c r="B86" s="172" t="s">
        <v>25</v>
      </c>
      <c r="C86" s="172" t="s">
        <v>79</v>
      </c>
      <c r="D86" s="172" t="s">
        <v>200</v>
      </c>
      <c r="E86" s="172"/>
      <c r="F86" s="172" t="s">
        <v>72</v>
      </c>
      <c r="G86" s="172">
        <v>-6.9790007728443005E-7</v>
      </c>
      <c r="H86" s="172">
        <v>-76912.9198203899</v>
      </c>
      <c r="I86" s="172">
        <v>-18597.057447515399</v>
      </c>
      <c r="J86" s="172">
        <v>366023.93686095602</v>
      </c>
      <c r="K86" s="172">
        <v>285993.70873948501</v>
      </c>
      <c r="L86" s="172">
        <v>-1125663.42391747</v>
      </c>
    </row>
    <row r="87" spans="2:12" hidden="1" x14ac:dyDescent="0.3">
      <c r="B87" s="172" t="s">
        <v>25</v>
      </c>
      <c r="C87" s="172" t="s">
        <v>79</v>
      </c>
      <c r="D87" s="172" t="s">
        <v>200</v>
      </c>
      <c r="E87" s="172"/>
      <c r="F87" s="172" t="s">
        <v>201</v>
      </c>
      <c r="G87" s="172">
        <v>-6.95659309712937E-7</v>
      </c>
      <c r="H87" s="172">
        <v>-76912.919820384996</v>
      </c>
      <c r="I87" s="172">
        <v>-18597.0574475135</v>
      </c>
      <c r="J87" s="172">
        <v>366023.93686095497</v>
      </c>
      <c r="K87" s="172">
        <v>351083.40980579099</v>
      </c>
      <c r="L87" s="172">
        <v>-1394858.6432888799</v>
      </c>
    </row>
    <row r="88" spans="2:12" hidden="1" x14ac:dyDescent="0.3">
      <c r="B88" s="172" t="s">
        <v>25</v>
      </c>
      <c r="C88" s="172" t="s">
        <v>80</v>
      </c>
      <c r="D88" s="172" t="s">
        <v>200</v>
      </c>
      <c r="E88" s="172"/>
      <c r="F88" s="172" t="s">
        <v>72</v>
      </c>
      <c r="G88" s="172">
        <v>-7.2990042099263498E-7</v>
      </c>
      <c r="H88" s="172">
        <v>-76912.919819245697</v>
      </c>
      <c r="I88" s="172">
        <v>-18597.0574478239</v>
      </c>
      <c r="J88" s="172">
        <v>287715.10468910402</v>
      </c>
      <c r="K88" s="172">
        <v>285993.708742894</v>
      </c>
      <c r="L88" s="172">
        <v>-1125663.4239010201</v>
      </c>
    </row>
    <row r="89" spans="2:12" hidden="1" x14ac:dyDescent="0.3">
      <c r="B89" s="172" t="s">
        <v>25</v>
      </c>
      <c r="C89" s="172" t="s">
        <v>80</v>
      </c>
      <c r="D89" s="172" t="s">
        <v>200</v>
      </c>
      <c r="E89" s="172"/>
      <c r="F89" s="172" t="s">
        <v>201</v>
      </c>
      <c r="G89" s="172">
        <v>-7.2786033911143001E-7</v>
      </c>
      <c r="H89" s="172">
        <v>-76912.919819240793</v>
      </c>
      <c r="I89" s="172">
        <v>-18597.057447821298</v>
      </c>
      <c r="J89" s="172">
        <v>287715.10468911502</v>
      </c>
      <c r="K89" s="172">
        <v>351083.40981027897</v>
      </c>
      <c r="L89" s="172">
        <v>-1394858.6432684299</v>
      </c>
    </row>
    <row r="90" spans="2:12" hidden="1" x14ac:dyDescent="0.3">
      <c r="B90" s="172" t="s">
        <v>25</v>
      </c>
      <c r="C90" s="172" t="s">
        <v>81</v>
      </c>
      <c r="D90" s="172" t="s">
        <v>200</v>
      </c>
      <c r="E90" s="172"/>
      <c r="F90" s="172" t="s">
        <v>72</v>
      </c>
      <c r="G90" s="172">
        <v>-1.4689067029394199E-7</v>
      </c>
      <c r="H90" s="172">
        <v>-20684.891791652801</v>
      </c>
      <c r="I90" s="172">
        <v>-74727.720872395003</v>
      </c>
      <c r="J90" s="172">
        <v>-653018.17957813898</v>
      </c>
      <c r="K90" s="172">
        <v>1107613.6606902101</v>
      </c>
      <c r="L90" s="172">
        <v>-311151.78163474199</v>
      </c>
    </row>
    <row r="91" spans="2:12" hidden="1" x14ac:dyDescent="0.3">
      <c r="B91" s="172" t="s">
        <v>25</v>
      </c>
      <c r="C91" s="172" t="s">
        <v>81</v>
      </c>
      <c r="D91" s="172" t="s">
        <v>200</v>
      </c>
      <c r="E91" s="172"/>
      <c r="F91" s="172" t="s">
        <v>201</v>
      </c>
      <c r="G91" s="172">
        <v>-1.48209437611513E-7</v>
      </c>
      <c r="H91" s="172">
        <v>-20684.891791649501</v>
      </c>
      <c r="I91" s="172">
        <v>-74727.720872391903</v>
      </c>
      <c r="J91" s="172">
        <v>-653018.17957808601</v>
      </c>
      <c r="K91" s="172">
        <v>1369160.6837436</v>
      </c>
      <c r="L91" s="172">
        <v>-383548.902905497</v>
      </c>
    </row>
    <row r="92" spans="2:12" hidden="1" x14ac:dyDescent="0.3">
      <c r="B92" s="172" t="s">
        <v>25</v>
      </c>
      <c r="C92" s="172" t="s">
        <v>82</v>
      </c>
      <c r="D92" s="172" t="s">
        <v>200</v>
      </c>
      <c r="E92" s="172"/>
      <c r="F92" s="172" t="s">
        <v>72</v>
      </c>
      <c r="G92" s="172">
        <v>-9.5355972007382701E-8</v>
      </c>
      <c r="H92" s="172">
        <v>-20684.891793484301</v>
      </c>
      <c r="I92" s="172">
        <v>-74727.7208719029</v>
      </c>
      <c r="J92" s="172">
        <v>-528549.74934615497</v>
      </c>
      <c r="K92" s="172">
        <v>1107613.6606847399</v>
      </c>
      <c r="L92" s="172">
        <v>-311151.78166110901</v>
      </c>
    </row>
    <row r="93" spans="2:12" hidden="1" x14ac:dyDescent="0.3">
      <c r="B93" s="172" t="s">
        <v>25</v>
      </c>
      <c r="C93" s="172" t="s">
        <v>82</v>
      </c>
      <c r="D93" s="172" t="s">
        <v>200</v>
      </c>
      <c r="E93" s="172"/>
      <c r="F93" s="172" t="s">
        <v>201</v>
      </c>
      <c r="G93" s="172">
        <v>-9.6518306236248503E-8</v>
      </c>
      <c r="H93" s="172">
        <v>-20684.891793480299</v>
      </c>
      <c r="I93" s="172">
        <v>-74727.720871899102</v>
      </c>
      <c r="J93" s="172">
        <v>-528549.74934609199</v>
      </c>
      <c r="K93" s="172">
        <v>1369160.68373641</v>
      </c>
      <c r="L93" s="172">
        <v>-383548.90293827403</v>
      </c>
    </row>
    <row r="94" spans="2:12" hidden="1" x14ac:dyDescent="0.3">
      <c r="B94" s="172" t="s">
        <v>25</v>
      </c>
      <c r="C94" s="172" t="s">
        <v>202</v>
      </c>
      <c r="D94" s="172" t="s">
        <v>200</v>
      </c>
      <c r="E94" s="172"/>
      <c r="F94" s="172" t="s">
        <v>72</v>
      </c>
      <c r="G94" s="172">
        <v>2511030.68978306</v>
      </c>
      <c r="H94" s="172">
        <v>1.0544447945903799E-6</v>
      </c>
      <c r="I94" s="172">
        <v>-5.3199045169094502E-9</v>
      </c>
      <c r="J94" s="172">
        <v>-5.25381244642631E-6</v>
      </c>
      <c r="K94" s="172">
        <v>17210102.255933601</v>
      </c>
      <c r="L94" s="172">
        <v>-23286734.287025701</v>
      </c>
    </row>
    <row r="95" spans="2:12" x14ac:dyDescent="0.3">
      <c r="B95" s="172" t="s">
        <v>25</v>
      </c>
      <c r="C95" s="172" t="s">
        <v>202</v>
      </c>
      <c r="D95" s="172" t="s">
        <v>200</v>
      </c>
      <c r="E95" s="172"/>
      <c r="F95" s="172" t="s">
        <v>201</v>
      </c>
      <c r="G95" s="172">
        <v>2571109.5811808598</v>
      </c>
      <c r="H95" s="172">
        <v>1.0537420394030099E-6</v>
      </c>
      <c r="I95" s="172">
        <v>-4.8563038035354103E-9</v>
      </c>
      <c r="J95" s="172">
        <v>-5.2439208957366603E-6</v>
      </c>
      <c r="K95" s="172">
        <v>17518725.4541035</v>
      </c>
      <c r="L95" s="172">
        <v>-24068127.950085301</v>
      </c>
    </row>
    <row r="96" spans="2:12" hidden="1" x14ac:dyDescent="0.3">
      <c r="B96" s="172" t="s">
        <v>24</v>
      </c>
      <c r="C96" s="172" t="s">
        <v>79</v>
      </c>
      <c r="D96" s="172" t="s">
        <v>200</v>
      </c>
      <c r="E96" s="172"/>
      <c r="F96" s="172" t="s">
        <v>72</v>
      </c>
      <c r="G96" s="172">
        <v>-7.6637047641270297E-7</v>
      </c>
      <c r="H96" s="172">
        <v>-81152.762504884406</v>
      </c>
      <c r="I96" s="172">
        <v>-19572.488002773</v>
      </c>
      <c r="J96" s="172">
        <v>387153.63807902799</v>
      </c>
      <c r="K96" s="172">
        <v>351083.409805623</v>
      </c>
      <c r="L96" s="172">
        <v>-1394858.6432876401</v>
      </c>
    </row>
    <row r="97" spans="2:12" hidden="1" x14ac:dyDescent="0.3">
      <c r="B97" s="172" t="s">
        <v>24</v>
      </c>
      <c r="C97" s="172" t="s">
        <v>79</v>
      </c>
      <c r="D97" s="172" t="s">
        <v>200</v>
      </c>
      <c r="E97" s="172"/>
      <c r="F97" s="172" t="s">
        <v>201</v>
      </c>
      <c r="G97" s="172">
        <v>-7.6540493409993402E-7</v>
      </c>
      <c r="H97" s="172">
        <v>-81152.762504873099</v>
      </c>
      <c r="I97" s="172">
        <v>-19572.4880027736</v>
      </c>
      <c r="J97" s="172">
        <v>387153.63807898603</v>
      </c>
      <c r="K97" s="172">
        <v>419587.11781532603</v>
      </c>
      <c r="L97" s="172">
        <v>-1678893.31205474</v>
      </c>
    </row>
    <row r="98" spans="2:12" hidden="1" x14ac:dyDescent="0.3">
      <c r="B98" s="172" t="s">
        <v>24</v>
      </c>
      <c r="C98" s="172" t="s">
        <v>80</v>
      </c>
      <c r="D98" s="172" t="s">
        <v>200</v>
      </c>
      <c r="E98" s="172"/>
      <c r="F98" s="172" t="s">
        <v>72</v>
      </c>
      <c r="G98" s="172">
        <v>-8.0196309681923605E-7</v>
      </c>
      <c r="H98" s="172">
        <v>-81152.762503684498</v>
      </c>
      <c r="I98" s="172">
        <v>-19572.488003085498</v>
      </c>
      <c r="J98" s="172">
        <v>304427.449980854</v>
      </c>
      <c r="K98" s="172">
        <v>351083.40981010202</v>
      </c>
      <c r="L98" s="172">
        <v>-1394858.64326712</v>
      </c>
    </row>
    <row r="99" spans="2:12" hidden="1" x14ac:dyDescent="0.3">
      <c r="B99" s="172" t="s">
        <v>24</v>
      </c>
      <c r="C99" s="172" t="s">
        <v>80</v>
      </c>
      <c r="D99" s="172" t="s">
        <v>200</v>
      </c>
      <c r="E99" s="172"/>
      <c r="F99" s="172" t="s">
        <v>201</v>
      </c>
      <c r="G99" s="172">
        <v>-8.0101196431314705E-7</v>
      </c>
      <c r="H99" s="172">
        <v>-81152.762503671795</v>
      </c>
      <c r="I99" s="172">
        <v>-19572.488003087001</v>
      </c>
      <c r="J99" s="172">
        <v>304427.44998079003</v>
      </c>
      <c r="K99" s="172">
        <v>419587.11782089999</v>
      </c>
      <c r="L99" s="172">
        <v>-1678893.3120300199</v>
      </c>
    </row>
    <row r="100" spans="2:12" hidden="1" x14ac:dyDescent="0.3">
      <c r="B100" s="172" t="s">
        <v>24</v>
      </c>
      <c r="C100" s="172" t="s">
        <v>81</v>
      </c>
      <c r="D100" s="172" t="s">
        <v>200</v>
      </c>
      <c r="E100" s="172"/>
      <c r="F100" s="172" t="s">
        <v>72</v>
      </c>
      <c r="G100" s="172">
        <v>-1.6532976587768599E-7</v>
      </c>
      <c r="H100" s="172">
        <v>-21969.538084051699</v>
      </c>
      <c r="I100" s="172">
        <v>-79044.051115487397</v>
      </c>
      <c r="J100" s="172">
        <v>-689830.69132602203</v>
      </c>
      <c r="K100" s="172">
        <v>1369160.6837435099</v>
      </c>
      <c r="L100" s="172">
        <v>-383548.90290519397</v>
      </c>
    </row>
    <row r="101" spans="2:12" hidden="1" x14ac:dyDescent="0.3">
      <c r="B101" s="172" t="s">
        <v>24</v>
      </c>
      <c r="C101" s="172" t="s">
        <v>81</v>
      </c>
      <c r="D101" s="172" t="s">
        <v>200</v>
      </c>
      <c r="E101" s="172"/>
      <c r="F101" s="172" t="s">
        <v>201</v>
      </c>
      <c r="G101" s="172">
        <v>-1.6706417227396699E-7</v>
      </c>
      <c r="H101" s="172">
        <v>-21969.5380840488</v>
      </c>
      <c r="I101" s="172">
        <v>-79044.051115488895</v>
      </c>
      <c r="J101" s="172">
        <v>-689830.69132608804</v>
      </c>
      <c r="K101" s="172">
        <v>1645814.8626477099</v>
      </c>
      <c r="L101" s="172">
        <v>-460442.28619933402</v>
      </c>
    </row>
    <row r="102" spans="2:12" hidden="1" x14ac:dyDescent="0.3">
      <c r="B102" s="172" t="s">
        <v>24</v>
      </c>
      <c r="C102" s="172" t="s">
        <v>82</v>
      </c>
      <c r="D102" s="172" t="s">
        <v>200</v>
      </c>
      <c r="E102" s="172"/>
      <c r="F102" s="172" t="s">
        <v>72</v>
      </c>
      <c r="G102" s="172">
        <v>-1.08138010546099E-7</v>
      </c>
      <c r="H102" s="172">
        <v>-21969.538085972301</v>
      </c>
      <c r="I102" s="172">
        <v>-79044.0511149878</v>
      </c>
      <c r="J102" s="172">
        <v>-558257.05317762401</v>
      </c>
      <c r="K102" s="172">
        <v>1369160.6837363399</v>
      </c>
      <c r="L102" s="172">
        <v>-383548.90293806599</v>
      </c>
    </row>
    <row r="103" spans="2:12" hidden="1" x14ac:dyDescent="0.3">
      <c r="B103" s="172" t="s">
        <v>24</v>
      </c>
      <c r="C103" s="172" t="s">
        <v>82</v>
      </c>
      <c r="D103" s="172" t="s">
        <v>200</v>
      </c>
      <c r="E103" s="172"/>
      <c r="F103" s="172" t="s">
        <v>201</v>
      </c>
      <c r="G103" s="172">
        <v>-1.0982603271259E-7</v>
      </c>
      <c r="H103" s="172">
        <v>-21969.5380859701</v>
      </c>
      <c r="I103" s="172">
        <v>-79044.051114988295</v>
      </c>
      <c r="J103" s="172">
        <v>-558257.05317766103</v>
      </c>
      <c r="K103" s="172">
        <v>1645814.8626387899</v>
      </c>
      <c r="L103" s="172">
        <v>-460442.286238931</v>
      </c>
    </row>
    <row r="104" spans="2:12" hidden="1" x14ac:dyDescent="0.3">
      <c r="B104" s="172" t="s">
        <v>24</v>
      </c>
      <c r="C104" s="172" t="s">
        <v>202</v>
      </c>
      <c r="D104" s="172" t="s">
        <v>200</v>
      </c>
      <c r="E104" s="172"/>
      <c r="F104" s="172" t="s">
        <v>72</v>
      </c>
      <c r="G104" s="172">
        <v>2830544.5374307199</v>
      </c>
      <c r="H104" s="172">
        <v>1.0491181114957701E-6</v>
      </c>
      <c r="I104" s="172">
        <v>-2.4780746343822102E-9</v>
      </c>
      <c r="J104" s="172">
        <v>-4.9237798975809702E-6</v>
      </c>
      <c r="K104" s="172">
        <v>19392643.262696799</v>
      </c>
      <c r="L104" s="172">
        <v>-26267358.917036101</v>
      </c>
    </row>
    <row r="105" spans="2:12" x14ac:dyDescent="0.3">
      <c r="B105" s="172" t="s">
        <v>24</v>
      </c>
      <c r="C105" s="172" t="s">
        <v>202</v>
      </c>
      <c r="D105" s="172" t="s">
        <v>200</v>
      </c>
      <c r="E105" s="172"/>
      <c r="F105" s="172" t="s">
        <v>201</v>
      </c>
      <c r="G105" s="172">
        <v>2890623.4288285198</v>
      </c>
      <c r="H105" s="172">
        <v>1.0490604154256299E-6</v>
      </c>
      <c r="I105" s="172">
        <v>-2.02993533093832E-9</v>
      </c>
      <c r="J105" s="172">
        <v>-4.9161485549120698E-6</v>
      </c>
      <c r="K105" s="172">
        <v>19701266.460866701</v>
      </c>
      <c r="L105" s="172">
        <v>-27048752.5800956</v>
      </c>
    </row>
    <row r="106" spans="2:12" hidden="1" x14ac:dyDescent="0.3">
      <c r="B106" s="172" t="s">
        <v>22</v>
      </c>
      <c r="C106" s="172" t="s">
        <v>79</v>
      </c>
      <c r="D106" s="172" t="s">
        <v>200</v>
      </c>
      <c r="E106" s="172"/>
      <c r="F106" s="172" t="s">
        <v>72</v>
      </c>
      <c r="G106" s="172">
        <v>-7.81222070145304E-7</v>
      </c>
      <c r="H106" s="172">
        <v>-83680.374111062803</v>
      </c>
      <c r="I106" s="172">
        <v>-20175.9045128463</v>
      </c>
      <c r="J106" s="172">
        <v>399411.70781097299</v>
      </c>
      <c r="K106" s="172">
        <v>419587.117815223</v>
      </c>
      <c r="L106" s="172">
        <v>-1678893.3120544499</v>
      </c>
    </row>
    <row r="107" spans="2:12" hidden="1" x14ac:dyDescent="0.3">
      <c r="B107" s="172" t="s">
        <v>22</v>
      </c>
      <c r="C107" s="172" t="s">
        <v>79</v>
      </c>
      <c r="D107" s="172" t="s">
        <v>200</v>
      </c>
      <c r="E107" s="172"/>
      <c r="F107" s="172" t="s">
        <v>201</v>
      </c>
      <c r="G107" s="172">
        <v>-7.8187645158323004E-7</v>
      </c>
      <c r="H107" s="172">
        <v>-83680.374111059398</v>
      </c>
      <c r="I107" s="172">
        <v>-20175.904512846399</v>
      </c>
      <c r="J107" s="172">
        <v>399411.70781096601</v>
      </c>
      <c r="K107" s="172">
        <v>500290.73586660501</v>
      </c>
      <c r="L107" s="172">
        <v>-2013614.8084986799</v>
      </c>
    </row>
    <row r="108" spans="2:12" hidden="1" x14ac:dyDescent="0.3">
      <c r="B108" s="172" t="s">
        <v>22</v>
      </c>
      <c r="C108" s="172" t="s">
        <v>80</v>
      </c>
      <c r="D108" s="172" t="s">
        <v>200</v>
      </c>
      <c r="E108" s="172"/>
      <c r="F108" s="172" t="s">
        <v>72</v>
      </c>
      <c r="G108" s="172">
        <v>-8.1835332821356101E-7</v>
      </c>
      <c r="H108" s="172">
        <v>-83680.374109870696</v>
      </c>
      <c r="I108" s="172">
        <v>-20175.904513157999</v>
      </c>
      <c r="J108" s="172">
        <v>314098.08668658597</v>
      </c>
      <c r="K108" s="172">
        <v>419587.117820788</v>
      </c>
      <c r="L108" s="172">
        <v>-1678893.31202971</v>
      </c>
    </row>
    <row r="109" spans="2:12" hidden="1" x14ac:dyDescent="0.3">
      <c r="B109" s="172" t="s">
        <v>22</v>
      </c>
      <c r="C109" s="172" t="s">
        <v>80</v>
      </c>
      <c r="D109" s="172" t="s">
        <v>200</v>
      </c>
      <c r="E109" s="172"/>
      <c r="F109" s="172" t="s">
        <v>201</v>
      </c>
      <c r="G109" s="172">
        <v>-8.1919733929680703E-7</v>
      </c>
      <c r="H109" s="172">
        <v>-83680.374109866796</v>
      </c>
      <c r="I109" s="172">
        <v>-20175.904513158199</v>
      </c>
      <c r="J109" s="172">
        <v>314098.08668657602</v>
      </c>
      <c r="K109" s="172">
        <v>500290.735873417</v>
      </c>
      <c r="L109" s="172">
        <v>-2013614.80846916</v>
      </c>
    </row>
    <row r="110" spans="2:12" hidden="1" x14ac:dyDescent="0.3">
      <c r="B110" s="172" t="s">
        <v>22</v>
      </c>
      <c r="C110" s="172" t="s">
        <v>81</v>
      </c>
      <c r="D110" s="172" t="s">
        <v>200</v>
      </c>
      <c r="E110" s="172"/>
      <c r="F110" s="172" t="s">
        <v>72</v>
      </c>
      <c r="G110" s="172">
        <v>-1.84599230124149E-7</v>
      </c>
      <c r="H110" s="172">
        <v>-22811.6572868519</v>
      </c>
      <c r="I110" s="172">
        <v>-81632.958072482405</v>
      </c>
      <c r="J110" s="172">
        <v>-711570.00907975505</v>
      </c>
      <c r="K110" s="172">
        <v>1645814.8626476401</v>
      </c>
      <c r="L110" s="172">
        <v>-460442.28619901702</v>
      </c>
    </row>
    <row r="111" spans="2:12" hidden="1" x14ac:dyDescent="0.3">
      <c r="B111" s="172" t="s">
        <v>22</v>
      </c>
      <c r="C111" s="172" t="s">
        <v>81</v>
      </c>
      <c r="D111" s="172" t="s">
        <v>200</v>
      </c>
      <c r="E111" s="172"/>
      <c r="F111" s="172" t="s">
        <v>201</v>
      </c>
      <c r="G111" s="172">
        <v>-1.8537411961006001E-7</v>
      </c>
      <c r="H111" s="172">
        <v>-22811.657286849899</v>
      </c>
      <c r="I111" s="172">
        <v>-81632.958072484107</v>
      </c>
      <c r="J111" s="172">
        <v>-711570.00907979102</v>
      </c>
      <c r="K111" s="172">
        <v>1972346.69493757</v>
      </c>
      <c r="L111" s="172">
        <v>-551688.915346405</v>
      </c>
    </row>
    <row r="112" spans="2:12" hidden="1" x14ac:dyDescent="0.3">
      <c r="B112" s="172" t="s">
        <v>22</v>
      </c>
      <c r="C112" s="172" t="s">
        <v>82</v>
      </c>
      <c r="D112" s="172" t="s">
        <v>200</v>
      </c>
      <c r="E112" s="172"/>
      <c r="F112" s="172" t="s">
        <v>72</v>
      </c>
      <c r="G112" s="172">
        <v>-1.2535474525066101E-7</v>
      </c>
      <c r="H112" s="172">
        <v>-22811.657288759699</v>
      </c>
      <c r="I112" s="172">
        <v>-81632.958071984103</v>
      </c>
      <c r="J112" s="172">
        <v>-575843.89810578898</v>
      </c>
      <c r="K112" s="172">
        <v>1645814.8626387201</v>
      </c>
      <c r="L112" s="172">
        <v>-460442.28623864899</v>
      </c>
    </row>
    <row r="113" spans="2:12" hidden="1" x14ac:dyDescent="0.3">
      <c r="B113" s="172" t="s">
        <v>22</v>
      </c>
      <c r="C113" s="172" t="s">
        <v>82</v>
      </c>
      <c r="D113" s="172" t="s">
        <v>200</v>
      </c>
      <c r="E113" s="172"/>
      <c r="F113" s="172" t="s">
        <v>201</v>
      </c>
      <c r="G113" s="172">
        <v>-1.2601412890944601E-7</v>
      </c>
      <c r="H113" s="172">
        <v>-22811.657288758099</v>
      </c>
      <c r="I113" s="172">
        <v>-81632.958071985806</v>
      </c>
      <c r="J113" s="172">
        <v>-575843.89810582297</v>
      </c>
      <c r="K113" s="172">
        <v>1972346.6949266701</v>
      </c>
      <c r="L113" s="172">
        <v>-551688.91539367102</v>
      </c>
    </row>
    <row r="114" spans="2:12" hidden="1" x14ac:dyDescent="0.3">
      <c r="B114" s="172" t="s">
        <v>22</v>
      </c>
      <c r="C114" s="172" t="s">
        <v>202</v>
      </c>
      <c r="D114" s="172" t="s">
        <v>200</v>
      </c>
      <c r="E114" s="172"/>
      <c r="F114" s="172" t="s">
        <v>72</v>
      </c>
      <c r="G114" s="172">
        <v>3227512.3850784302</v>
      </c>
      <c r="H114" s="172">
        <v>9.9364149264147294E-7</v>
      </c>
      <c r="I114" s="172">
        <v>-2.4138557819242098E-10</v>
      </c>
      <c r="J114" s="172">
        <v>-4.5942654196551302E-6</v>
      </c>
      <c r="K114" s="172">
        <v>22156089.26946</v>
      </c>
      <c r="L114" s="172">
        <v>-29865679.197047502</v>
      </c>
    </row>
    <row r="115" spans="2:12" x14ac:dyDescent="0.3">
      <c r="B115" s="172" t="s">
        <v>22</v>
      </c>
      <c r="C115" s="172" t="s">
        <v>202</v>
      </c>
      <c r="D115" s="172" t="s">
        <v>200</v>
      </c>
      <c r="E115" s="172"/>
      <c r="F115" s="172" t="s">
        <v>201</v>
      </c>
      <c r="G115" s="172">
        <v>3293532.8006866099</v>
      </c>
      <c r="H115" s="172">
        <v>9.9452336144167909E-7</v>
      </c>
      <c r="I115" s="172">
        <v>-5.8548721426632294E-11</v>
      </c>
      <c r="J115" s="172">
        <v>-4.5924039113742799E-6</v>
      </c>
      <c r="K115" s="172">
        <v>22504010.368892599</v>
      </c>
      <c r="L115" s="172">
        <v>-30707131.3936828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5</xdr:row>
                    <xdr:rowOff>0</xdr:rowOff>
                  </from>
                  <to>
                    <xdr:col>15</xdr:col>
                    <xdr:colOff>510540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19" workbookViewId="0">
      <selection activeCell="B469" sqref="B469:G489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191"/>
      <c r="C4" s="191"/>
      <c r="D4" s="191"/>
      <c r="E4" s="191" t="s">
        <v>7</v>
      </c>
      <c r="F4" s="191" t="s">
        <v>7</v>
      </c>
      <c r="G4" s="192"/>
    </row>
    <row r="5" spans="2:7" s="172" customFormat="1" x14ac:dyDescent="0.3">
      <c r="B5" s="27" t="s">
        <v>213</v>
      </c>
      <c r="C5" s="27" t="s">
        <v>214</v>
      </c>
      <c r="D5" s="27" t="s">
        <v>215</v>
      </c>
      <c r="E5" s="27" t="s">
        <v>216</v>
      </c>
      <c r="F5" s="27" t="s">
        <v>217</v>
      </c>
      <c r="G5" s="27" t="s">
        <v>218</v>
      </c>
    </row>
    <row r="6" spans="2:7" s="172" customFormat="1" x14ac:dyDescent="0.3">
      <c r="B6" s="172" t="s">
        <v>189</v>
      </c>
      <c r="C6" s="172" t="s">
        <v>79</v>
      </c>
      <c r="D6" s="172" t="s">
        <v>210</v>
      </c>
      <c r="E6" s="172">
        <v>2.20991022375738E-2</v>
      </c>
      <c r="F6" s="172">
        <v>2.1407776684168101E-2</v>
      </c>
      <c r="G6" s="172">
        <v>1.0322931971687099</v>
      </c>
    </row>
    <row r="7" spans="2:7" s="172" customFormat="1" hidden="1" x14ac:dyDescent="0.3">
      <c r="B7" s="172" t="s">
        <v>189</v>
      </c>
      <c r="C7" s="172" t="s">
        <v>79</v>
      </c>
      <c r="D7" s="172" t="s">
        <v>211</v>
      </c>
      <c r="E7" s="172">
        <v>6.4621199201633601E-3</v>
      </c>
      <c r="F7" s="172">
        <v>5.5979629784063002E-3</v>
      </c>
      <c r="G7" s="172">
        <v>1.1543698922430301</v>
      </c>
    </row>
    <row r="8" spans="2:7" s="172" customFormat="1" x14ac:dyDescent="0.3">
      <c r="B8" s="172" t="s">
        <v>187</v>
      </c>
      <c r="C8" s="172" t="s">
        <v>79</v>
      </c>
      <c r="D8" s="172" t="s">
        <v>210</v>
      </c>
      <c r="E8" s="172">
        <v>2.5070267722540601E-2</v>
      </c>
      <c r="F8" s="172">
        <v>2.24128212089818E-2</v>
      </c>
      <c r="G8" s="172">
        <v>1.1185681395831599</v>
      </c>
    </row>
    <row r="9" spans="2:7" s="172" customFormat="1" hidden="1" x14ac:dyDescent="0.3">
      <c r="B9" s="172" t="s">
        <v>187</v>
      </c>
      <c r="C9" s="172" t="s">
        <v>79</v>
      </c>
      <c r="D9" s="172" t="s">
        <v>211</v>
      </c>
      <c r="E9" s="172">
        <v>1.16105564685757E-2</v>
      </c>
      <c r="F9" s="172">
        <v>7.8901313495932501E-3</v>
      </c>
      <c r="G9" s="172">
        <v>1.4715289206401101</v>
      </c>
    </row>
    <row r="10" spans="2:7" s="172" customFormat="1" x14ac:dyDescent="0.3">
      <c r="B10" s="172" t="s">
        <v>185</v>
      </c>
      <c r="C10" s="172" t="s">
        <v>79</v>
      </c>
      <c r="D10" s="172" t="s">
        <v>210</v>
      </c>
      <c r="E10" s="172">
        <v>2.4230977460021699E-2</v>
      </c>
      <c r="F10" s="172">
        <v>2.1486872485719299E-2</v>
      </c>
      <c r="G10" s="172">
        <v>1.12771076740583</v>
      </c>
    </row>
    <row r="11" spans="2:7" s="172" customFormat="1" hidden="1" x14ac:dyDescent="0.3">
      <c r="B11" s="172" t="s">
        <v>185</v>
      </c>
      <c r="C11" s="172" t="s">
        <v>79</v>
      </c>
      <c r="D11" s="172" t="s">
        <v>211</v>
      </c>
      <c r="E11" s="172">
        <v>1.1282524902536799E-2</v>
      </c>
      <c r="F11" s="172">
        <v>7.4407779385133902E-3</v>
      </c>
      <c r="G11" s="172">
        <v>1.5163098530515999</v>
      </c>
    </row>
    <row r="12" spans="2:7" s="172" customFormat="1" x14ac:dyDescent="0.3">
      <c r="B12" s="172" t="s">
        <v>183</v>
      </c>
      <c r="C12" s="172" t="s">
        <v>79</v>
      </c>
      <c r="D12" s="172" t="s">
        <v>210</v>
      </c>
      <c r="E12" s="172">
        <v>2.2848336005803899E-2</v>
      </c>
      <c r="F12" s="172">
        <v>2.0107617923468199E-2</v>
      </c>
      <c r="G12" s="172">
        <v>1.1363024746524999</v>
      </c>
    </row>
    <row r="13" spans="2:7" s="172" customFormat="1" hidden="1" x14ac:dyDescent="0.3">
      <c r="B13" s="172" t="s">
        <v>183</v>
      </c>
      <c r="C13" s="172" t="s">
        <v>79</v>
      </c>
      <c r="D13" s="172" t="s">
        <v>211</v>
      </c>
      <c r="E13" s="172">
        <v>1.06968106607796E-2</v>
      </c>
      <c r="F13" s="172">
        <v>6.8598053455096297E-3</v>
      </c>
      <c r="G13" s="172">
        <v>1.5593460924925</v>
      </c>
    </row>
    <row r="14" spans="2:7" s="172" customFormat="1" x14ac:dyDescent="0.3">
      <c r="B14" s="172" t="s">
        <v>181</v>
      </c>
      <c r="C14" s="172" t="s">
        <v>79</v>
      </c>
      <c r="D14" s="172" t="s">
        <v>210</v>
      </c>
      <c r="E14" s="172">
        <v>2.09718125654384E-2</v>
      </c>
      <c r="F14" s="172">
        <v>1.8326659482048199E-2</v>
      </c>
      <c r="G14" s="172">
        <v>1.14433361879077</v>
      </c>
    </row>
    <row r="15" spans="2:7" s="172" customFormat="1" hidden="1" x14ac:dyDescent="0.3">
      <c r="B15" s="172" t="s">
        <v>181</v>
      </c>
      <c r="C15" s="172" t="s">
        <v>79</v>
      </c>
      <c r="D15" s="172" t="s">
        <v>211</v>
      </c>
      <c r="E15" s="172">
        <v>9.8677570218632694E-3</v>
      </c>
      <c r="F15" s="172">
        <v>6.1645427051169798E-3</v>
      </c>
      <c r="G15" s="172">
        <v>1.6007281470647201</v>
      </c>
    </row>
    <row r="16" spans="2:7" s="172" customFormat="1" x14ac:dyDescent="0.3">
      <c r="B16" s="172" t="s">
        <v>179</v>
      </c>
      <c r="C16" s="172" t="s">
        <v>79</v>
      </c>
      <c r="D16" s="172" t="s">
        <v>210</v>
      </c>
      <c r="E16" s="172">
        <v>1.8676800148079199E-2</v>
      </c>
      <c r="F16" s="172">
        <v>1.6208536338097799E-2</v>
      </c>
      <c r="G16" s="172">
        <v>1.1522817210940799</v>
      </c>
    </row>
    <row r="17" spans="2:7" s="172" customFormat="1" hidden="1" x14ac:dyDescent="0.3">
      <c r="B17" s="172" t="s">
        <v>179</v>
      </c>
      <c r="C17" s="172" t="s">
        <v>79</v>
      </c>
      <c r="D17" s="172" t="s">
        <v>211</v>
      </c>
      <c r="E17" s="172">
        <v>8.8359844766456499E-3</v>
      </c>
      <c r="F17" s="172">
        <v>5.3804151426715902E-3</v>
      </c>
      <c r="G17" s="172">
        <v>1.6422495741208201</v>
      </c>
    </row>
    <row r="18" spans="2:7" s="172" customFormat="1" x14ac:dyDescent="0.3">
      <c r="B18" s="172" t="s">
        <v>39</v>
      </c>
      <c r="C18" s="172" t="s">
        <v>79</v>
      </c>
      <c r="D18" s="172" t="s">
        <v>210</v>
      </c>
      <c r="E18" s="172">
        <v>1.6031265125670002E-2</v>
      </c>
      <c r="F18" s="172">
        <v>1.38138043478976E-2</v>
      </c>
      <c r="G18" s="172">
        <v>1.1605249880428401</v>
      </c>
    </row>
    <row r="19" spans="2:7" s="172" customFormat="1" hidden="1" x14ac:dyDescent="0.3">
      <c r="B19" s="172" t="s">
        <v>39</v>
      </c>
      <c r="C19" s="172" t="s">
        <v>79</v>
      </c>
      <c r="D19" s="172" t="s">
        <v>211</v>
      </c>
      <c r="E19" s="172">
        <v>7.6327107707548896E-3</v>
      </c>
      <c r="F19" s="172">
        <v>4.5282656818735603E-3</v>
      </c>
      <c r="G19" s="172">
        <v>1.68557043843701</v>
      </c>
    </row>
    <row r="20" spans="2:7" x14ac:dyDescent="0.3">
      <c r="B20" s="172" t="s">
        <v>26</v>
      </c>
      <c r="C20" s="172" t="s">
        <v>79</v>
      </c>
      <c r="D20" s="172" t="s">
        <v>210</v>
      </c>
      <c r="E20" s="172">
        <v>1.31087505610714E-2</v>
      </c>
      <c r="F20" s="172">
        <v>1.12209923817586E-2</v>
      </c>
      <c r="G20" s="172">
        <v>1.1682345121614801</v>
      </c>
    </row>
    <row r="21" spans="2:7" hidden="1" x14ac:dyDescent="0.3">
      <c r="B21" s="172" t="s">
        <v>26</v>
      </c>
      <c r="C21" s="172" t="s">
        <v>79</v>
      </c>
      <c r="D21" s="172" t="s">
        <v>211</v>
      </c>
      <c r="E21" s="172">
        <v>6.2694431771198903E-3</v>
      </c>
      <c r="F21" s="172">
        <v>3.6265817260819899E-3</v>
      </c>
      <c r="G21" s="172">
        <v>1.72874724758875</v>
      </c>
    </row>
    <row r="22" spans="2:7" x14ac:dyDescent="0.3">
      <c r="B22" s="172" t="s">
        <v>25</v>
      </c>
      <c r="C22" s="172" t="s">
        <v>79</v>
      </c>
      <c r="D22" s="172" t="s">
        <v>210</v>
      </c>
      <c r="E22" s="172">
        <v>9.9707778488438894E-3</v>
      </c>
      <c r="F22" s="172">
        <v>8.4914641716059593E-3</v>
      </c>
      <c r="G22" s="172">
        <v>1.1742118493751099</v>
      </c>
    </row>
    <row r="23" spans="2:7" hidden="1" x14ac:dyDescent="0.3">
      <c r="B23" s="172" t="s">
        <v>25</v>
      </c>
      <c r="C23" s="172" t="s">
        <v>79</v>
      </c>
      <c r="D23" s="172" t="s">
        <v>211</v>
      </c>
      <c r="E23" s="172">
        <v>4.7663883088379802E-3</v>
      </c>
      <c r="F23" s="172">
        <v>2.6953491607048701E-3</v>
      </c>
      <c r="G23" s="172">
        <v>1.76837508784632</v>
      </c>
    </row>
    <row r="24" spans="2:7" x14ac:dyDescent="0.3">
      <c r="B24" s="172" t="s">
        <v>24</v>
      </c>
      <c r="C24" s="172" t="s">
        <v>79</v>
      </c>
      <c r="D24" s="172" t="s">
        <v>210</v>
      </c>
      <c r="E24" s="172">
        <v>6.6691885048617101E-3</v>
      </c>
      <c r="F24" s="172">
        <v>5.6643857847523899E-3</v>
      </c>
      <c r="G24" s="172">
        <v>1.17738952788387</v>
      </c>
    </row>
    <row r="25" spans="2:7" hidden="1" x14ac:dyDescent="0.3">
      <c r="B25" s="172" t="s">
        <v>24</v>
      </c>
      <c r="C25" s="172" t="s">
        <v>79</v>
      </c>
      <c r="D25" s="172" t="s">
        <v>211</v>
      </c>
      <c r="E25" s="172">
        <v>3.1598368557967799E-3</v>
      </c>
      <c r="F25" s="172">
        <v>1.7531130476437201E-3</v>
      </c>
      <c r="G25" s="172">
        <v>1.8024147729912601</v>
      </c>
    </row>
    <row r="26" spans="2:7" x14ac:dyDescent="0.3">
      <c r="B26" s="172" t="s">
        <v>22</v>
      </c>
      <c r="C26" s="172" t="s">
        <v>79</v>
      </c>
      <c r="D26" s="172" t="s">
        <v>210</v>
      </c>
      <c r="E26" s="172">
        <v>3.2868209450209501E-3</v>
      </c>
      <c r="F26" s="172">
        <v>2.8100028512609001E-3</v>
      </c>
      <c r="G26" s="172">
        <v>1.16968598218542</v>
      </c>
    </row>
    <row r="27" spans="2:7" hidden="1" x14ac:dyDescent="0.3">
      <c r="B27" s="172" t="s">
        <v>22</v>
      </c>
      <c r="C27" s="172" t="s">
        <v>79</v>
      </c>
      <c r="D27" s="172" t="s">
        <v>211</v>
      </c>
      <c r="E27" s="172">
        <v>1.49682421058513E-3</v>
      </c>
      <c r="F27" s="172">
        <v>8.2927887932106705E-4</v>
      </c>
      <c r="G27" s="172">
        <v>1.8049708583083499</v>
      </c>
    </row>
    <row r="28" spans="2:7" hidden="1" x14ac:dyDescent="0.3">
      <c r="B28" s="172" t="s">
        <v>189</v>
      </c>
      <c r="C28" s="172" t="s">
        <v>80</v>
      </c>
      <c r="D28" s="172" t="s">
        <v>210</v>
      </c>
      <c r="E28" s="172">
        <v>2.2728825660227801E-2</v>
      </c>
      <c r="F28" s="172">
        <v>2.2644084583929799E-2</v>
      </c>
      <c r="G28" s="172">
        <v>1.0037423052357799</v>
      </c>
    </row>
    <row r="29" spans="2:7" hidden="1" x14ac:dyDescent="0.3">
      <c r="B29" s="172" t="s">
        <v>189</v>
      </c>
      <c r="C29" s="172" t="s">
        <v>80</v>
      </c>
      <c r="D29" s="172" t="s">
        <v>211</v>
      </c>
      <c r="E29" s="172">
        <v>8.2366363699450593E-3</v>
      </c>
      <c r="F29" s="172">
        <v>8.1307100245725898E-3</v>
      </c>
      <c r="G29" s="172">
        <v>1.0130279329913801</v>
      </c>
    </row>
    <row r="30" spans="2:7" hidden="1" x14ac:dyDescent="0.3">
      <c r="B30" s="172" t="s">
        <v>187</v>
      </c>
      <c r="C30" s="172" t="s">
        <v>80</v>
      </c>
      <c r="D30" s="172" t="s">
        <v>210</v>
      </c>
      <c r="E30" s="172">
        <v>2.2377004960224999E-2</v>
      </c>
      <c r="F30" s="172">
        <v>2.1960575047001499E-2</v>
      </c>
      <c r="G30" s="172">
        <v>1.0189626142454</v>
      </c>
    </row>
    <row r="31" spans="2:7" hidden="1" x14ac:dyDescent="0.3">
      <c r="B31" s="172" t="s">
        <v>187</v>
      </c>
      <c r="C31" s="172" t="s">
        <v>80</v>
      </c>
      <c r="D31" s="172" t="s">
        <v>211</v>
      </c>
      <c r="E31" s="172">
        <v>8.4839141191973104E-3</v>
      </c>
      <c r="F31" s="172">
        <v>7.9009122406844996E-3</v>
      </c>
      <c r="G31" s="172">
        <v>1.0737891854450301</v>
      </c>
    </row>
    <row r="32" spans="2:7" hidden="1" x14ac:dyDescent="0.3">
      <c r="B32" s="172" t="s">
        <v>185</v>
      </c>
      <c r="C32" s="172" t="s">
        <v>80</v>
      </c>
      <c r="D32" s="172" t="s">
        <v>210</v>
      </c>
      <c r="E32" s="172">
        <v>2.16458964328551E-2</v>
      </c>
      <c r="F32" s="172">
        <v>2.1043273173033099E-2</v>
      </c>
      <c r="G32" s="172">
        <v>1.02863733483222</v>
      </c>
    </row>
    <row r="33" spans="2:7" hidden="1" x14ac:dyDescent="0.3">
      <c r="B33" s="172" t="s">
        <v>185</v>
      </c>
      <c r="C33" s="172" t="s">
        <v>80</v>
      </c>
      <c r="D33" s="172" t="s">
        <v>211</v>
      </c>
      <c r="E33" s="172">
        <v>8.2574509730932496E-3</v>
      </c>
      <c r="F33" s="172">
        <v>7.4137784093425002E-3</v>
      </c>
      <c r="G33" s="172">
        <v>1.11379792019243</v>
      </c>
    </row>
    <row r="34" spans="2:7" hidden="1" x14ac:dyDescent="0.3">
      <c r="B34" s="172" t="s">
        <v>183</v>
      </c>
      <c r="C34" s="172" t="s">
        <v>80</v>
      </c>
      <c r="D34" s="172" t="s">
        <v>210</v>
      </c>
      <c r="E34" s="172">
        <v>2.0423659420502501E-2</v>
      </c>
      <c r="F34" s="172">
        <v>1.9682757486507899E-2</v>
      </c>
      <c r="G34" s="172">
        <v>1.03764218171679</v>
      </c>
    </row>
    <row r="35" spans="2:7" hidden="1" x14ac:dyDescent="0.3">
      <c r="B35" s="172" t="s">
        <v>183</v>
      </c>
      <c r="C35" s="172" t="s">
        <v>80</v>
      </c>
      <c r="D35" s="172" t="s">
        <v>211</v>
      </c>
      <c r="E35" s="172">
        <v>7.8380289423044692E-3</v>
      </c>
      <c r="F35" s="172">
        <v>6.8007662347120204E-3</v>
      </c>
      <c r="G35" s="172">
        <v>1.15252144711255</v>
      </c>
    </row>
    <row r="36" spans="2:7" hidden="1" x14ac:dyDescent="0.3">
      <c r="B36" s="172" t="s">
        <v>181</v>
      </c>
      <c r="C36" s="172" t="s">
        <v>80</v>
      </c>
      <c r="D36" s="172" t="s">
        <v>210</v>
      </c>
      <c r="E36" s="172">
        <v>1.87568596000546E-2</v>
      </c>
      <c r="F36" s="172">
        <v>1.7930910434833702E-2</v>
      </c>
      <c r="G36" s="172">
        <v>1.04606286826442</v>
      </c>
    </row>
    <row r="37" spans="2:7" hidden="1" x14ac:dyDescent="0.3">
      <c r="B37" s="172" t="s">
        <v>181</v>
      </c>
      <c r="C37" s="172" t="s">
        <v>80</v>
      </c>
      <c r="D37" s="172" t="s">
        <v>211</v>
      </c>
      <c r="E37" s="172">
        <v>7.2373809889719398E-3</v>
      </c>
      <c r="F37" s="172">
        <v>6.0810521576626902E-3</v>
      </c>
      <c r="G37" s="172">
        <v>1.1901527566824399</v>
      </c>
    </row>
    <row r="38" spans="2:7" hidden="1" x14ac:dyDescent="0.3">
      <c r="B38" s="172" t="s">
        <v>179</v>
      </c>
      <c r="C38" s="172" t="s">
        <v>80</v>
      </c>
      <c r="D38" s="172" t="s">
        <v>210</v>
      </c>
      <c r="E38" s="172">
        <v>1.6714072086629402E-2</v>
      </c>
      <c r="F38" s="172">
        <v>1.5851034941866401E-2</v>
      </c>
      <c r="G38" s="172">
        <v>1.0544467378898801</v>
      </c>
    </row>
    <row r="39" spans="2:7" hidden="1" x14ac:dyDescent="0.3">
      <c r="B39" s="172" t="s">
        <v>179</v>
      </c>
      <c r="C39" s="172" t="s">
        <v>80</v>
      </c>
      <c r="D39" s="172" t="s">
        <v>211</v>
      </c>
      <c r="E39" s="172">
        <v>6.4881294447373698E-3</v>
      </c>
      <c r="F39" s="172">
        <v>5.2798774420690702E-3</v>
      </c>
      <c r="G39" s="172">
        <v>1.22884091835942</v>
      </c>
    </row>
    <row r="40" spans="2:7" hidden="1" x14ac:dyDescent="0.3">
      <c r="B40" s="172" t="s">
        <v>39</v>
      </c>
      <c r="C40" s="172" t="s">
        <v>80</v>
      </c>
      <c r="D40" s="172" t="s">
        <v>210</v>
      </c>
      <c r="E40" s="172">
        <v>1.43561622333363E-2</v>
      </c>
      <c r="F40" s="172">
        <v>1.35024876259289E-2</v>
      </c>
      <c r="G40" s="172">
        <v>1.0632235059981101</v>
      </c>
    </row>
    <row r="41" spans="2:7" hidden="1" x14ac:dyDescent="0.3">
      <c r="B41" s="172" t="s">
        <v>39</v>
      </c>
      <c r="C41" s="172" t="s">
        <v>80</v>
      </c>
      <c r="D41" s="172" t="s">
        <v>211</v>
      </c>
      <c r="E41" s="172">
        <v>5.6134168400839204E-3</v>
      </c>
      <c r="F41" s="172">
        <v>4.4182723897136303E-3</v>
      </c>
      <c r="G41" s="172">
        <v>1.2705004003720399</v>
      </c>
    </row>
    <row r="42" spans="2:7" hidden="1" x14ac:dyDescent="0.3">
      <c r="B42" s="172" t="s">
        <v>26</v>
      </c>
      <c r="C42" s="172" t="s">
        <v>80</v>
      </c>
      <c r="D42" s="172" t="s">
        <v>210</v>
      </c>
      <c r="E42" s="172">
        <v>1.17490205315317E-2</v>
      </c>
      <c r="F42" s="172">
        <v>1.0963589326679299E-2</v>
      </c>
      <c r="G42" s="172">
        <v>1.07163996948893</v>
      </c>
    </row>
    <row r="43" spans="2:7" hidden="1" x14ac:dyDescent="0.3">
      <c r="B43" s="172" t="s">
        <v>26</v>
      </c>
      <c r="C43" s="172" t="s">
        <v>80</v>
      </c>
      <c r="D43" s="172" t="s">
        <v>211</v>
      </c>
      <c r="E43" s="172">
        <v>4.6160067405109102E-3</v>
      </c>
      <c r="F43" s="172">
        <v>3.5164030537174198E-3</v>
      </c>
      <c r="G43" s="172">
        <v>1.3127069536670499</v>
      </c>
    </row>
    <row r="44" spans="2:7" hidden="1" x14ac:dyDescent="0.3">
      <c r="B44" s="172" t="s">
        <v>25</v>
      </c>
      <c r="C44" s="172" t="s">
        <v>80</v>
      </c>
      <c r="D44" s="172" t="s">
        <v>210</v>
      </c>
      <c r="E44" s="172">
        <v>8.9475741366420499E-3</v>
      </c>
      <c r="F44" s="172">
        <v>8.29573967313273E-3</v>
      </c>
      <c r="G44" s="172">
        <v>1.0785746044587701</v>
      </c>
    </row>
    <row r="45" spans="2:7" hidden="1" x14ac:dyDescent="0.3">
      <c r="B45" s="172" t="s">
        <v>25</v>
      </c>
      <c r="C45" s="172" t="s">
        <v>80</v>
      </c>
      <c r="D45" s="172" t="s">
        <v>211</v>
      </c>
      <c r="E45" s="172">
        <v>3.50845876145366E-3</v>
      </c>
      <c r="F45" s="172">
        <v>2.5958905125406098E-3</v>
      </c>
      <c r="G45" s="172">
        <v>1.35154342777728</v>
      </c>
    </row>
    <row r="46" spans="2:7" hidden="1" x14ac:dyDescent="0.3">
      <c r="B46" s="172" t="s">
        <v>24</v>
      </c>
      <c r="C46" s="172" t="s">
        <v>80</v>
      </c>
      <c r="D46" s="172" t="s">
        <v>210</v>
      </c>
      <c r="E46" s="172">
        <v>5.9965675539112298E-3</v>
      </c>
      <c r="F46" s="172">
        <v>5.53589189683029E-3</v>
      </c>
      <c r="G46" s="172">
        <v>1.0832161584197</v>
      </c>
    </row>
    <row r="47" spans="2:7" hidden="1" x14ac:dyDescent="0.3">
      <c r="B47" s="172" t="s">
        <v>24</v>
      </c>
      <c r="C47" s="172" t="s">
        <v>80</v>
      </c>
      <c r="D47" s="172" t="s">
        <v>211</v>
      </c>
      <c r="E47" s="172">
        <v>2.3205677560263101E-3</v>
      </c>
      <c r="F47" s="172">
        <v>1.67562183611299E-3</v>
      </c>
      <c r="G47" s="172">
        <v>1.38489944808157</v>
      </c>
    </row>
    <row r="48" spans="2:7" hidden="1" x14ac:dyDescent="0.3">
      <c r="B48" s="172" t="s">
        <v>22</v>
      </c>
      <c r="C48" s="172" t="s">
        <v>80</v>
      </c>
      <c r="D48" s="172" t="s">
        <v>210</v>
      </c>
      <c r="E48" s="172">
        <v>2.9671149089384101E-3</v>
      </c>
      <c r="F48" s="172">
        <v>2.7517590595888199E-3</v>
      </c>
      <c r="G48" s="172">
        <v>1.0782611575672501</v>
      </c>
    </row>
    <row r="49" spans="2:7" hidden="1" x14ac:dyDescent="0.3">
      <c r="B49" s="172" t="s">
        <v>22</v>
      </c>
      <c r="C49" s="172" t="s">
        <v>80</v>
      </c>
      <c r="D49" s="172" t="s">
        <v>211</v>
      </c>
      <c r="E49" s="172">
        <v>1.0874864544512901E-3</v>
      </c>
      <c r="F49" s="172">
        <v>7.8598826536186296E-4</v>
      </c>
      <c r="G49" s="172">
        <v>1.38359120915199</v>
      </c>
    </row>
    <row r="50" spans="2:7" hidden="1" x14ac:dyDescent="0.3">
      <c r="B50" s="172" t="s">
        <v>189</v>
      </c>
      <c r="C50" s="172" t="s">
        <v>81</v>
      </c>
      <c r="D50" s="172" t="s">
        <v>210</v>
      </c>
      <c r="E50" s="172">
        <v>6.8897690158352702E-3</v>
      </c>
      <c r="F50" s="172">
        <v>6.8211034198471399E-3</v>
      </c>
      <c r="G50" s="172">
        <v>1.0100666405069201</v>
      </c>
    </row>
    <row r="51" spans="2:7" hidden="1" x14ac:dyDescent="0.3">
      <c r="B51" s="172" t="s">
        <v>189</v>
      </c>
      <c r="C51" s="172" t="s">
        <v>81</v>
      </c>
      <c r="D51" s="172" t="s">
        <v>211</v>
      </c>
      <c r="E51" s="172">
        <v>3.1091444115087401E-2</v>
      </c>
      <c r="F51" s="172">
        <v>3.1005612120102301E-2</v>
      </c>
      <c r="G51" s="172">
        <v>1.0027682728743701</v>
      </c>
    </row>
    <row r="52" spans="2:7" hidden="1" x14ac:dyDescent="0.3">
      <c r="B52" s="172" t="s">
        <v>187</v>
      </c>
      <c r="C52" s="172" t="s">
        <v>81</v>
      </c>
      <c r="D52" s="172" t="s">
        <v>210</v>
      </c>
      <c r="E52" s="172">
        <v>6.4213435239438904E-3</v>
      </c>
      <c r="F52" s="172">
        <v>6.3938255741815596E-3</v>
      </c>
      <c r="G52" s="172">
        <v>1.0043038317894399</v>
      </c>
    </row>
    <row r="53" spans="2:7" hidden="1" x14ac:dyDescent="0.3">
      <c r="B53" s="172" t="s">
        <v>187</v>
      </c>
      <c r="C53" s="172" t="s">
        <v>81</v>
      </c>
      <c r="D53" s="172" t="s">
        <v>211</v>
      </c>
      <c r="E53" s="172">
        <v>2.9216375507412701E-2</v>
      </c>
      <c r="F53" s="172">
        <v>2.91778503777455E-2</v>
      </c>
      <c r="G53" s="172">
        <v>1.00132035530954</v>
      </c>
    </row>
    <row r="54" spans="2:7" hidden="1" x14ac:dyDescent="0.3">
      <c r="B54" s="172" t="s">
        <v>185</v>
      </c>
      <c r="C54" s="172" t="s">
        <v>81</v>
      </c>
      <c r="D54" s="172" t="s">
        <v>210</v>
      </c>
      <c r="E54" s="172">
        <v>6.4563872527671103E-3</v>
      </c>
      <c r="F54" s="172">
        <v>6.1523429810437296E-3</v>
      </c>
      <c r="G54" s="172">
        <v>1.04941926558064</v>
      </c>
    </row>
    <row r="55" spans="2:7" hidden="1" x14ac:dyDescent="0.3">
      <c r="B55" s="172" t="s">
        <v>185</v>
      </c>
      <c r="C55" s="172" t="s">
        <v>81</v>
      </c>
      <c r="D55" s="172" t="s">
        <v>211</v>
      </c>
      <c r="E55" s="172">
        <v>2.7966985905778102E-2</v>
      </c>
      <c r="F55" s="172">
        <v>2.7541323925365398E-2</v>
      </c>
      <c r="G55" s="172">
        <v>1.01545539283319</v>
      </c>
    </row>
    <row r="56" spans="2:7" hidden="1" x14ac:dyDescent="0.3">
      <c r="B56" s="172" t="s">
        <v>183</v>
      </c>
      <c r="C56" s="172" t="s">
        <v>81</v>
      </c>
      <c r="D56" s="172" t="s">
        <v>210</v>
      </c>
      <c r="E56" s="172">
        <v>6.3453780787324299E-3</v>
      </c>
      <c r="F56" s="172">
        <v>5.7764538675838502E-3</v>
      </c>
      <c r="G56" s="172">
        <v>1.09849021981137</v>
      </c>
    </row>
    <row r="57" spans="2:7" hidden="1" x14ac:dyDescent="0.3">
      <c r="B57" s="172" t="s">
        <v>183</v>
      </c>
      <c r="C57" s="172" t="s">
        <v>81</v>
      </c>
      <c r="D57" s="172" t="s">
        <v>211</v>
      </c>
      <c r="E57" s="172">
        <v>2.6199238764785301E-2</v>
      </c>
      <c r="F57" s="172">
        <v>2.5402744869177301E-2</v>
      </c>
      <c r="G57" s="172">
        <v>1.03135463902464</v>
      </c>
    </row>
    <row r="58" spans="2:7" hidden="1" x14ac:dyDescent="0.3">
      <c r="B58" s="172" t="s">
        <v>181</v>
      </c>
      <c r="C58" s="172" t="s">
        <v>81</v>
      </c>
      <c r="D58" s="172" t="s">
        <v>210</v>
      </c>
      <c r="E58" s="172">
        <v>6.0463882828646698E-3</v>
      </c>
      <c r="F58" s="172">
        <v>5.2844703088513398E-3</v>
      </c>
      <c r="G58" s="172">
        <v>1.14418057619458</v>
      </c>
    </row>
    <row r="59" spans="2:7" hidden="1" x14ac:dyDescent="0.3">
      <c r="B59" s="172" t="s">
        <v>181</v>
      </c>
      <c r="C59" s="172" t="s">
        <v>81</v>
      </c>
      <c r="D59" s="172" t="s">
        <v>211</v>
      </c>
      <c r="E59" s="172">
        <v>2.38947426435898E-2</v>
      </c>
      <c r="F59" s="172">
        <v>2.28280574799711E-2</v>
      </c>
      <c r="G59" s="172">
        <v>1.0467269352442501</v>
      </c>
    </row>
    <row r="60" spans="2:7" hidden="1" x14ac:dyDescent="0.3">
      <c r="B60" s="172" t="s">
        <v>179</v>
      </c>
      <c r="C60" s="172" t="s">
        <v>81</v>
      </c>
      <c r="D60" s="172" t="s">
        <v>210</v>
      </c>
      <c r="E60" s="172">
        <v>5.58853148522885E-3</v>
      </c>
      <c r="F60" s="172">
        <v>4.6990129594717102E-3</v>
      </c>
      <c r="G60" s="172">
        <v>1.1892990152249201</v>
      </c>
    </row>
    <row r="61" spans="2:7" hidden="1" x14ac:dyDescent="0.3">
      <c r="B61" s="172" t="s">
        <v>179</v>
      </c>
      <c r="C61" s="172" t="s">
        <v>81</v>
      </c>
      <c r="D61" s="172" t="s">
        <v>211</v>
      </c>
      <c r="E61" s="172">
        <v>2.1154617513236999E-2</v>
      </c>
      <c r="F61" s="172">
        <v>1.9909291577177E-2</v>
      </c>
      <c r="G61" s="172">
        <v>1.06254998733795</v>
      </c>
    </row>
    <row r="62" spans="2:7" hidden="1" x14ac:dyDescent="0.3">
      <c r="B62" s="172" t="s">
        <v>39</v>
      </c>
      <c r="C62" s="172" t="s">
        <v>81</v>
      </c>
      <c r="D62" s="172" t="s">
        <v>210</v>
      </c>
      <c r="E62" s="172">
        <v>4.9888115861578004E-3</v>
      </c>
      <c r="F62" s="172">
        <v>4.0364357339814604E-3</v>
      </c>
      <c r="G62" s="172">
        <v>1.2359447579354701</v>
      </c>
    </row>
    <row r="63" spans="2:7" hidden="1" x14ac:dyDescent="0.3">
      <c r="B63" s="172" t="s">
        <v>39</v>
      </c>
      <c r="C63" s="172" t="s">
        <v>81</v>
      </c>
      <c r="D63" s="172" t="s">
        <v>211</v>
      </c>
      <c r="E63" s="172">
        <v>1.8062635187217201E-2</v>
      </c>
      <c r="F63" s="172">
        <v>1.67293089941703E-2</v>
      </c>
      <c r="G63" s="172">
        <v>1.07970001591288</v>
      </c>
    </row>
    <row r="64" spans="2:7" hidden="1" x14ac:dyDescent="0.3">
      <c r="B64" s="172" t="s">
        <v>26</v>
      </c>
      <c r="C64" s="172" t="s">
        <v>81</v>
      </c>
      <c r="D64" s="172" t="s">
        <v>210</v>
      </c>
      <c r="E64" s="172">
        <v>4.2460463024212199E-3</v>
      </c>
      <c r="F64" s="172">
        <v>3.30891403631571E-3</v>
      </c>
      <c r="G64" s="172">
        <v>1.28321444915775</v>
      </c>
    </row>
    <row r="65" spans="2:7" hidden="1" x14ac:dyDescent="0.3">
      <c r="B65" s="172" t="s">
        <v>26</v>
      </c>
      <c r="C65" s="172" t="s">
        <v>81</v>
      </c>
      <c r="D65" s="172" t="s">
        <v>211</v>
      </c>
      <c r="E65" s="172">
        <v>1.4682357977950901E-2</v>
      </c>
      <c r="F65" s="172">
        <v>1.3370372805403199E-2</v>
      </c>
      <c r="G65" s="172">
        <v>1.0981262969733701</v>
      </c>
    </row>
    <row r="66" spans="2:7" hidden="1" x14ac:dyDescent="0.3">
      <c r="B66" s="172" t="s">
        <v>25</v>
      </c>
      <c r="C66" s="172" t="s">
        <v>81</v>
      </c>
      <c r="D66" s="172" t="s">
        <v>210</v>
      </c>
      <c r="E66" s="172">
        <v>3.36617155008893E-3</v>
      </c>
      <c r="F66" s="172">
        <v>2.5356887713490501E-3</v>
      </c>
      <c r="G66" s="172">
        <v>1.32751763076114</v>
      </c>
    </row>
    <row r="67" spans="2:7" hidden="1" x14ac:dyDescent="0.3">
      <c r="B67" s="172" t="s">
        <v>25</v>
      </c>
      <c r="C67" s="172" t="s">
        <v>81</v>
      </c>
      <c r="D67" s="172" t="s">
        <v>211</v>
      </c>
      <c r="E67" s="172">
        <v>1.10687586657166E-2</v>
      </c>
      <c r="F67" s="172">
        <v>9.9060827754808099E-3</v>
      </c>
      <c r="G67" s="172">
        <v>1.1173698944969099</v>
      </c>
    </row>
    <row r="68" spans="2:7" hidden="1" x14ac:dyDescent="0.3">
      <c r="B68" s="172" t="s">
        <v>24</v>
      </c>
      <c r="C68" s="172" t="s">
        <v>81</v>
      </c>
      <c r="D68" s="172" t="s">
        <v>210</v>
      </c>
      <c r="E68" s="172">
        <v>2.3536254478714598E-3</v>
      </c>
      <c r="F68" s="172">
        <v>1.7200112329852401E-3</v>
      </c>
      <c r="G68" s="172">
        <v>1.36837795168728</v>
      </c>
    </row>
    <row r="69" spans="2:7" hidden="1" x14ac:dyDescent="0.3">
      <c r="B69" s="172" t="s">
        <v>24</v>
      </c>
      <c r="C69" s="172" t="s">
        <v>81</v>
      </c>
      <c r="D69" s="172" t="s">
        <v>211</v>
      </c>
      <c r="E69" s="172">
        <v>7.2956709909657398E-3</v>
      </c>
      <c r="F69" s="172">
        <v>6.4086110901250401E-3</v>
      </c>
      <c r="G69" s="172">
        <v>1.13841687198144</v>
      </c>
    </row>
    <row r="70" spans="2:7" hidden="1" x14ac:dyDescent="0.3">
      <c r="B70" s="172" t="s">
        <v>22</v>
      </c>
      <c r="C70" s="172" t="s">
        <v>81</v>
      </c>
      <c r="D70" s="172" t="s">
        <v>210</v>
      </c>
      <c r="E70" s="172">
        <v>1.2168011101170999E-3</v>
      </c>
      <c r="F70" s="172">
        <v>8.7435491515243098E-4</v>
      </c>
      <c r="G70" s="172">
        <v>1.39165582423125</v>
      </c>
    </row>
    <row r="71" spans="2:7" hidden="1" x14ac:dyDescent="0.3">
      <c r="B71" s="172" t="s">
        <v>22</v>
      </c>
      <c r="C71" s="172" t="s">
        <v>81</v>
      </c>
      <c r="D71" s="172" t="s">
        <v>211</v>
      </c>
      <c r="E71" s="172">
        <v>3.4776926604822901E-3</v>
      </c>
      <c r="F71" s="172">
        <v>2.9982679875317502E-3</v>
      </c>
      <c r="G71" s="172">
        <v>1.15990054089368</v>
      </c>
    </row>
    <row r="72" spans="2:7" hidden="1" x14ac:dyDescent="0.3">
      <c r="B72" s="172" t="s">
        <v>189</v>
      </c>
      <c r="C72" s="172" t="s">
        <v>82</v>
      </c>
      <c r="D72" s="172" t="s">
        <v>210</v>
      </c>
      <c r="E72" s="172">
        <v>5.7372053102536296E-3</v>
      </c>
      <c r="F72" s="172">
        <v>4.8181112851842199E-3</v>
      </c>
      <c r="G72" s="172">
        <v>1.19075815618781</v>
      </c>
    </row>
    <row r="73" spans="2:7" hidden="1" x14ac:dyDescent="0.3">
      <c r="B73" s="172" t="s">
        <v>189</v>
      </c>
      <c r="C73" s="172" t="s">
        <v>82</v>
      </c>
      <c r="D73" s="172" t="s">
        <v>211</v>
      </c>
      <c r="E73" s="172">
        <v>2.80482932070216E-2</v>
      </c>
      <c r="F73" s="172">
        <v>2.6899425675684902E-2</v>
      </c>
      <c r="G73" s="172">
        <v>1.0427097420289999</v>
      </c>
    </row>
    <row r="74" spans="2:7" hidden="1" x14ac:dyDescent="0.3">
      <c r="B74" s="172" t="s">
        <v>187</v>
      </c>
      <c r="C74" s="172" t="s">
        <v>82</v>
      </c>
      <c r="D74" s="172" t="s">
        <v>210</v>
      </c>
      <c r="E74" s="172">
        <v>1.07205014945254E-2</v>
      </c>
      <c r="F74" s="172">
        <v>7.1232693973277998E-3</v>
      </c>
      <c r="G74" s="172">
        <v>1.5049973399218901</v>
      </c>
    </row>
    <row r="75" spans="2:7" hidden="1" x14ac:dyDescent="0.3">
      <c r="B75" s="172" t="s">
        <v>187</v>
      </c>
      <c r="C75" s="172" t="s">
        <v>82</v>
      </c>
      <c r="D75" s="172" t="s">
        <v>211</v>
      </c>
      <c r="E75" s="172">
        <v>3.41910806130711E-2</v>
      </c>
      <c r="F75" s="172">
        <v>2.9154955676994599E-2</v>
      </c>
      <c r="G75" s="172">
        <v>1.1727364977629</v>
      </c>
    </row>
    <row r="76" spans="2:7" hidden="1" x14ac:dyDescent="0.3">
      <c r="B76" s="172" t="s">
        <v>185</v>
      </c>
      <c r="C76" s="172" t="s">
        <v>82</v>
      </c>
      <c r="D76" s="172" t="s">
        <v>210</v>
      </c>
      <c r="E76" s="172">
        <v>1.06280341537759E-2</v>
      </c>
      <c r="F76" s="172">
        <v>6.8664260442980003E-3</v>
      </c>
      <c r="G76" s="172">
        <v>1.5478262032111501</v>
      </c>
    </row>
    <row r="77" spans="2:7" hidden="1" x14ac:dyDescent="0.3">
      <c r="B77" s="172" t="s">
        <v>185</v>
      </c>
      <c r="C77" s="172" t="s">
        <v>82</v>
      </c>
      <c r="D77" s="172" t="s">
        <v>211</v>
      </c>
      <c r="E77" s="172">
        <v>3.28459479698259E-2</v>
      </c>
      <c r="F77" s="172">
        <v>2.7579696616556799E-2</v>
      </c>
      <c r="G77" s="172">
        <v>1.19094667452243</v>
      </c>
    </row>
    <row r="78" spans="2:7" hidden="1" x14ac:dyDescent="0.3">
      <c r="B78" s="172" t="s">
        <v>183</v>
      </c>
      <c r="C78" s="172" t="s">
        <v>82</v>
      </c>
      <c r="D78" s="172" t="s">
        <v>210</v>
      </c>
      <c r="E78" s="172">
        <v>1.0246671862660499E-2</v>
      </c>
      <c r="F78" s="172">
        <v>6.4582779315937103E-3</v>
      </c>
      <c r="G78" s="172">
        <v>1.5865950600444301</v>
      </c>
    </row>
    <row r="79" spans="2:7" hidden="1" x14ac:dyDescent="0.3">
      <c r="B79" s="172" t="s">
        <v>183</v>
      </c>
      <c r="C79" s="172" t="s">
        <v>82</v>
      </c>
      <c r="D79" s="172" t="s">
        <v>211</v>
      </c>
      <c r="E79" s="172">
        <v>3.07962528285536E-2</v>
      </c>
      <c r="F79" s="172">
        <v>2.549250132506E-2</v>
      </c>
      <c r="G79" s="172">
        <v>1.20805143582673</v>
      </c>
    </row>
    <row r="80" spans="2:7" hidden="1" x14ac:dyDescent="0.3">
      <c r="B80" s="172" t="s">
        <v>181</v>
      </c>
      <c r="C80" s="172" t="s">
        <v>82</v>
      </c>
      <c r="D80" s="172" t="s">
        <v>210</v>
      </c>
      <c r="E80" s="172">
        <v>9.5984041522899008E-3</v>
      </c>
      <c r="F80" s="172">
        <v>5.91740888989091E-3</v>
      </c>
      <c r="G80" s="172">
        <v>1.62206200904715</v>
      </c>
    </row>
    <row r="81" spans="2:7" hidden="1" x14ac:dyDescent="0.3">
      <c r="B81" s="172" t="s">
        <v>181</v>
      </c>
      <c r="C81" s="172" t="s">
        <v>82</v>
      </c>
      <c r="D81" s="172" t="s">
        <v>211</v>
      </c>
      <c r="E81" s="172">
        <v>2.8110239691129298E-2</v>
      </c>
      <c r="F81" s="172">
        <v>2.2956846323770801E-2</v>
      </c>
      <c r="G81" s="172">
        <v>1.22448176437991</v>
      </c>
    </row>
    <row r="82" spans="2:7" hidden="1" x14ac:dyDescent="0.3">
      <c r="B82" s="172" t="s">
        <v>179</v>
      </c>
      <c r="C82" s="172" t="s">
        <v>82</v>
      </c>
      <c r="D82" s="172" t="s">
        <v>210</v>
      </c>
      <c r="E82" s="172">
        <v>8.7267246736848197E-3</v>
      </c>
      <c r="F82" s="172">
        <v>5.2691051747124403E-3</v>
      </c>
      <c r="G82" s="172">
        <v>1.6562062028228699</v>
      </c>
    </row>
    <row r="83" spans="2:7" hidden="1" x14ac:dyDescent="0.3">
      <c r="B83" s="172" t="s">
        <v>179</v>
      </c>
      <c r="C83" s="172" t="s">
        <v>82</v>
      </c>
      <c r="D83" s="172" t="s">
        <v>211</v>
      </c>
      <c r="E83" s="172">
        <v>2.49061634170165E-2</v>
      </c>
      <c r="F83" s="172">
        <v>2.0065496118455099E-2</v>
      </c>
      <c r="G83" s="172">
        <v>1.24124333981003</v>
      </c>
    </row>
    <row r="84" spans="2:7" hidden="1" x14ac:dyDescent="0.3">
      <c r="B84" s="172" t="s">
        <v>39</v>
      </c>
      <c r="C84" s="172" t="s">
        <v>82</v>
      </c>
      <c r="D84" s="172" t="s">
        <v>210</v>
      </c>
      <c r="E84" s="172">
        <v>7.6611773138279297E-3</v>
      </c>
      <c r="F84" s="172">
        <v>4.5318723482253203E-3</v>
      </c>
      <c r="G84" s="172">
        <v>1.69051039507502</v>
      </c>
    </row>
    <row r="85" spans="2:7" hidden="1" x14ac:dyDescent="0.3">
      <c r="B85" s="172" t="s">
        <v>39</v>
      </c>
      <c r="C85" s="172" t="s">
        <v>82</v>
      </c>
      <c r="D85" s="172" t="s">
        <v>211</v>
      </c>
      <c r="E85" s="172">
        <v>2.12821935344393E-2</v>
      </c>
      <c r="F85" s="172">
        <v>1.69011665825957E-2</v>
      </c>
      <c r="G85" s="172">
        <v>1.25921447081381</v>
      </c>
    </row>
    <row r="86" spans="2:7" hidden="1" x14ac:dyDescent="0.3">
      <c r="B86" s="172" t="s">
        <v>26</v>
      </c>
      <c r="C86" s="172" t="s">
        <v>82</v>
      </c>
      <c r="D86" s="172" t="s">
        <v>210</v>
      </c>
      <c r="E86" s="172">
        <v>6.41224650435805E-3</v>
      </c>
      <c r="F86" s="172">
        <v>3.71810237301379E-3</v>
      </c>
      <c r="G86" s="172">
        <v>1.7246019235238199</v>
      </c>
    </row>
    <row r="87" spans="2:7" hidden="1" x14ac:dyDescent="0.3">
      <c r="B87" s="172" t="s">
        <v>26</v>
      </c>
      <c r="C87" s="172" t="s">
        <v>82</v>
      </c>
      <c r="D87" s="172" t="s">
        <v>211</v>
      </c>
      <c r="E87" s="172">
        <v>1.73151650929011E-2</v>
      </c>
      <c r="F87" s="172">
        <v>1.35433633090192E-2</v>
      </c>
      <c r="G87" s="172">
        <v>1.27849816163243</v>
      </c>
    </row>
    <row r="88" spans="2:7" hidden="1" x14ac:dyDescent="0.3">
      <c r="B88" s="172" t="s">
        <v>25</v>
      </c>
      <c r="C88" s="172" t="s">
        <v>82</v>
      </c>
      <c r="D88" s="172" t="s">
        <v>210</v>
      </c>
      <c r="E88" s="172">
        <v>4.9951056044020802E-3</v>
      </c>
      <c r="F88" s="172">
        <v>2.8467236421761098E-3</v>
      </c>
      <c r="G88" s="172">
        <v>1.7546858186008101</v>
      </c>
    </row>
    <row r="89" spans="2:7" hidden="1" x14ac:dyDescent="0.3">
      <c r="B89" s="172" t="s">
        <v>25</v>
      </c>
      <c r="C89" s="172" t="s">
        <v>82</v>
      </c>
      <c r="D89" s="172" t="s">
        <v>211</v>
      </c>
      <c r="E89" s="172">
        <v>1.30706407987388E-2</v>
      </c>
      <c r="F89" s="172">
        <v>1.00629060516225E-2</v>
      </c>
      <c r="G89" s="172">
        <v>1.2988932552571499</v>
      </c>
    </row>
    <row r="90" spans="2:7" hidden="1" x14ac:dyDescent="0.3">
      <c r="B90" s="172" t="s">
        <v>24</v>
      </c>
      <c r="C90" s="172" t="s">
        <v>82</v>
      </c>
      <c r="D90" s="172" t="s">
        <v>210</v>
      </c>
      <c r="E90" s="172">
        <v>3.4241997989559098E-3</v>
      </c>
      <c r="F90" s="172">
        <v>1.92423748263626E-3</v>
      </c>
      <c r="G90" s="172">
        <v>1.7795099772532501</v>
      </c>
    </row>
    <row r="91" spans="2:7" hidden="1" x14ac:dyDescent="0.3">
      <c r="B91" s="172" t="s">
        <v>24</v>
      </c>
      <c r="C91" s="172" t="s">
        <v>82</v>
      </c>
      <c r="D91" s="172" t="s">
        <v>211</v>
      </c>
      <c r="E91" s="172">
        <v>8.6311844399359107E-3</v>
      </c>
      <c r="F91" s="172">
        <v>6.5312371970884103E-3</v>
      </c>
      <c r="G91" s="172">
        <v>1.32152365309648</v>
      </c>
    </row>
    <row r="92" spans="2:7" hidden="1" x14ac:dyDescent="0.3">
      <c r="B92" s="172" t="s">
        <v>22</v>
      </c>
      <c r="C92" s="172" t="s">
        <v>82</v>
      </c>
      <c r="D92" s="172" t="s">
        <v>210</v>
      </c>
      <c r="E92" s="172">
        <v>1.7255658651872301E-3</v>
      </c>
      <c r="F92" s="172">
        <v>9.6693667860030903E-4</v>
      </c>
      <c r="G92" s="172">
        <v>1.7845696656011401</v>
      </c>
    </row>
    <row r="93" spans="2:7" hidden="1" x14ac:dyDescent="0.3">
      <c r="B93" s="172" t="s">
        <v>22</v>
      </c>
      <c r="C93" s="172" t="s">
        <v>82</v>
      </c>
      <c r="D93" s="172" t="s">
        <v>211</v>
      </c>
      <c r="E93" s="172">
        <v>4.1290419813850001E-3</v>
      </c>
      <c r="F93" s="172">
        <v>3.0669611201633198E-3</v>
      </c>
      <c r="G93" s="172">
        <v>1.3462974650181201</v>
      </c>
    </row>
    <row r="94" spans="2:7" hidden="1" x14ac:dyDescent="0.3">
      <c r="B94" s="172" t="s">
        <v>189</v>
      </c>
      <c r="C94" s="172" t="s">
        <v>202</v>
      </c>
      <c r="D94" s="172" t="s">
        <v>210</v>
      </c>
      <c r="E94" s="172">
        <v>8.6614253670726097E-4</v>
      </c>
      <c r="F94" s="172">
        <v>8.3466701120387104E-4</v>
      </c>
      <c r="G94" s="172">
        <v>1.0377102785672501</v>
      </c>
    </row>
    <row r="95" spans="2:7" hidden="1" x14ac:dyDescent="0.3">
      <c r="B95" s="172" t="s">
        <v>189</v>
      </c>
      <c r="C95" s="172" t="s">
        <v>202</v>
      </c>
      <c r="D95" s="172" t="s">
        <v>211</v>
      </c>
      <c r="E95" s="172">
        <v>1.5209990778243399E-3</v>
      </c>
      <c r="F95" s="172">
        <v>1.48165467094511E-3</v>
      </c>
      <c r="G95" s="172">
        <v>1.0265543703608999</v>
      </c>
    </row>
    <row r="96" spans="2:7" hidden="1" x14ac:dyDescent="0.3">
      <c r="B96" s="172" t="s">
        <v>187</v>
      </c>
      <c r="C96" s="172" t="s">
        <v>202</v>
      </c>
      <c r="D96" s="172" t="s">
        <v>210</v>
      </c>
      <c r="E96" s="172">
        <v>1.0670612365539199E-3</v>
      </c>
      <c r="F96" s="172">
        <v>6.3709404862463399E-4</v>
      </c>
      <c r="G96" s="172">
        <v>1.67488809361428</v>
      </c>
    </row>
    <row r="97" spans="2:7" hidden="1" x14ac:dyDescent="0.3">
      <c r="B97" s="172" t="s">
        <v>187</v>
      </c>
      <c r="C97" s="172" t="s">
        <v>202</v>
      </c>
      <c r="D97" s="172" t="s">
        <v>211</v>
      </c>
      <c r="E97" s="172">
        <v>1.0603153208209701E-3</v>
      </c>
      <c r="F97" s="172">
        <v>4.5836125771997498E-4</v>
      </c>
      <c r="G97" s="172">
        <v>2.3132743070286801</v>
      </c>
    </row>
    <row r="98" spans="2:7" hidden="1" x14ac:dyDescent="0.3">
      <c r="B98" s="172" t="s">
        <v>185</v>
      </c>
      <c r="C98" s="172" t="s">
        <v>202</v>
      </c>
      <c r="D98" s="172" t="s">
        <v>210</v>
      </c>
      <c r="E98" s="172">
        <v>8.7406776226482403E-4</v>
      </c>
      <c r="F98" s="172">
        <v>5.1337264178869804E-4</v>
      </c>
      <c r="G98" s="172">
        <v>1.7025990306366701</v>
      </c>
    </row>
    <row r="99" spans="2:7" hidden="1" x14ac:dyDescent="0.3">
      <c r="B99" s="172" t="s">
        <v>185</v>
      </c>
      <c r="C99" s="172" t="s">
        <v>202</v>
      </c>
      <c r="D99" s="172" t="s">
        <v>211</v>
      </c>
      <c r="E99" s="172">
        <v>8.8949394399047399E-4</v>
      </c>
      <c r="F99" s="172">
        <v>3.8452077532389798E-4</v>
      </c>
      <c r="G99" s="172">
        <v>2.3132532780347601</v>
      </c>
    </row>
    <row r="100" spans="2:7" hidden="1" x14ac:dyDescent="0.3">
      <c r="B100" s="172" t="s">
        <v>183</v>
      </c>
      <c r="C100" s="172" t="s">
        <v>202</v>
      </c>
      <c r="D100" s="172" t="s">
        <v>210</v>
      </c>
      <c r="E100" s="172">
        <v>6.6059914958734099E-4</v>
      </c>
      <c r="F100" s="172">
        <v>3.5970848599990799E-4</v>
      </c>
      <c r="G100" s="172">
        <v>1.83648475167614</v>
      </c>
    </row>
    <row r="101" spans="2:7" hidden="1" x14ac:dyDescent="0.3">
      <c r="B101" s="172" t="s">
        <v>183</v>
      </c>
      <c r="C101" s="172" t="s">
        <v>202</v>
      </c>
      <c r="D101" s="172" t="s">
        <v>211</v>
      </c>
      <c r="E101" s="172">
        <v>7.2449592764047097E-4</v>
      </c>
      <c r="F101" s="172">
        <v>3.0324899861806502E-4</v>
      </c>
      <c r="G101" s="172">
        <v>2.3891123497260298</v>
      </c>
    </row>
    <row r="102" spans="2:7" hidden="1" x14ac:dyDescent="0.3">
      <c r="B102" s="172" t="s">
        <v>181</v>
      </c>
      <c r="C102" s="172" t="s">
        <v>202</v>
      </c>
      <c r="D102" s="172" t="s">
        <v>210</v>
      </c>
      <c r="E102" s="172">
        <v>4.6263613178106397E-4</v>
      </c>
      <c r="F102" s="172">
        <v>2.18025603815843E-4</v>
      </c>
      <c r="G102" s="172">
        <v>2.1219348722539602</v>
      </c>
    </row>
    <row r="103" spans="2:7" hidden="1" x14ac:dyDescent="0.3">
      <c r="B103" s="172" t="s">
        <v>181</v>
      </c>
      <c r="C103" s="172" t="s">
        <v>202</v>
      </c>
      <c r="D103" s="172" t="s">
        <v>211</v>
      </c>
      <c r="E103" s="172">
        <v>5.6888798162657605E-4</v>
      </c>
      <c r="F103" s="172">
        <v>2.2643324247526801E-4</v>
      </c>
      <c r="G103" s="172">
        <v>2.51238720696549</v>
      </c>
    </row>
    <row r="104" spans="2:7" hidden="1" x14ac:dyDescent="0.3">
      <c r="B104" s="172" t="s">
        <v>179</v>
      </c>
      <c r="C104" s="172" t="s">
        <v>202</v>
      </c>
      <c r="D104" s="172" t="s">
        <v>210</v>
      </c>
      <c r="E104" s="172">
        <v>2.8369895867210999E-4</v>
      </c>
      <c r="F104" s="172">
        <v>9.0604085897823402E-5</v>
      </c>
      <c r="G104" s="172">
        <v>3.1311938734423599</v>
      </c>
    </row>
    <row r="105" spans="2:7" hidden="1" x14ac:dyDescent="0.3">
      <c r="B105" s="172" t="s">
        <v>179</v>
      </c>
      <c r="C105" s="172" t="s">
        <v>202</v>
      </c>
      <c r="D105" s="172" t="s">
        <v>211</v>
      </c>
      <c r="E105" s="172">
        <v>4.2606450781615298E-4</v>
      </c>
      <c r="F105" s="172">
        <v>1.55731685932152E-4</v>
      </c>
      <c r="G105" s="172">
        <v>2.7358883663648101</v>
      </c>
    </row>
    <row r="106" spans="2:7" hidden="1" x14ac:dyDescent="0.3">
      <c r="B106" s="172" t="s">
        <v>39</v>
      </c>
      <c r="C106" s="172" t="s">
        <v>202</v>
      </c>
      <c r="D106" s="172" t="s">
        <v>210</v>
      </c>
      <c r="E106" s="172">
        <v>1.6629199556642501E-4</v>
      </c>
      <c r="F106" s="172">
        <v>1.9182461671709001E-5</v>
      </c>
      <c r="G106" s="172">
        <v>8.6689601372527996</v>
      </c>
    </row>
    <row r="107" spans="2:7" hidden="1" x14ac:dyDescent="0.3">
      <c r="B107" s="172" t="s">
        <v>39</v>
      </c>
      <c r="C107" s="172" t="s">
        <v>202</v>
      </c>
      <c r="D107" s="172" t="s">
        <v>211</v>
      </c>
      <c r="E107" s="172">
        <v>2.98441005203869E-4</v>
      </c>
      <c r="F107" s="172">
        <v>9.2487657751265994E-5</v>
      </c>
      <c r="G107" s="172">
        <v>3.22681979909675</v>
      </c>
    </row>
    <row r="108" spans="2:7" hidden="1" x14ac:dyDescent="0.3">
      <c r="B108" s="172" t="s">
        <v>26</v>
      </c>
      <c r="C108" s="172" t="s">
        <v>202</v>
      </c>
      <c r="D108" s="172" t="s">
        <v>210</v>
      </c>
      <c r="E108" s="172">
        <v>2.1558732385005999E-4</v>
      </c>
      <c r="F108" s="172">
        <v>1.0667930948343E-4</v>
      </c>
      <c r="G108" s="172">
        <v>2.02089163206991</v>
      </c>
    </row>
    <row r="109" spans="2:7" hidden="1" x14ac:dyDescent="0.3">
      <c r="B109" s="172" t="s">
        <v>26</v>
      </c>
      <c r="C109" s="172" t="s">
        <v>202</v>
      </c>
      <c r="D109" s="172" t="s">
        <v>211</v>
      </c>
      <c r="E109" s="172">
        <v>1.9314696406856299E-4</v>
      </c>
      <c r="F109" s="172">
        <v>4.0675743955281202E-5</v>
      </c>
      <c r="G109" s="172">
        <v>4.7484555975400999</v>
      </c>
    </row>
    <row r="110" spans="2:7" hidden="1" x14ac:dyDescent="0.3">
      <c r="B110" s="172" t="s">
        <v>25</v>
      </c>
      <c r="C110" s="172" t="s">
        <v>202</v>
      </c>
      <c r="D110" s="172" t="s">
        <v>210</v>
      </c>
      <c r="E110" s="172">
        <v>2.3639057890806399E-4</v>
      </c>
      <c r="F110" s="172">
        <v>1.6539581674614501E-4</v>
      </c>
      <c r="G110" s="172">
        <v>1.4292415827595299</v>
      </c>
    </row>
    <row r="111" spans="2:7" hidden="1" x14ac:dyDescent="0.3">
      <c r="B111" s="172" t="s">
        <v>24</v>
      </c>
      <c r="C111" s="172" t="s">
        <v>202</v>
      </c>
      <c r="D111" s="172" t="s">
        <v>210</v>
      </c>
      <c r="E111" s="172">
        <v>2.2778205510792001E-4</v>
      </c>
      <c r="F111" s="172">
        <v>1.8729513475581699E-4</v>
      </c>
      <c r="G111" s="172">
        <v>1.21616642848138</v>
      </c>
    </row>
    <row r="112" spans="2:7" hidden="1" x14ac:dyDescent="0.3">
      <c r="B112" s="172" t="s">
        <v>24</v>
      </c>
      <c r="C112" s="172" t="s">
        <v>202</v>
      </c>
      <c r="D112" s="172" t="s">
        <v>211</v>
      </c>
      <c r="E112" s="172">
        <v>8.9847846683493602E-5</v>
      </c>
      <c r="F112" s="172">
        <v>3.3166158190548802E-5</v>
      </c>
      <c r="G112" s="172">
        <v>2.7090218338612702</v>
      </c>
    </row>
    <row r="113" spans="2:7" hidden="1" x14ac:dyDescent="0.3">
      <c r="B113" s="172" t="s">
        <v>22</v>
      </c>
      <c r="C113" s="172" t="s">
        <v>202</v>
      </c>
      <c r="D113" s="172" t="s">
        <v>210</v>
      </c>
      <c r="E113" s="172">
        <v>1.70132073379089E-4</v>
      </c>
      <c r="F113" s="172">
        <v>1.52004962298138E-4</v>
      </c>
      <c r="G113" s="172">
        <v>1.1192534165127901</v>
      </c>
    </row>
    <row r="114" spans="2:7" hidden="1" x14ac:dyDescent="0.3">
      <c r="B114" s="172" t="s">
        <v>22</v>
      </c>
      <c r="C114" s="172" t="s">
        <v>202</v>
      </c>
      <c r="D114" s="172" t="s">
        <v>211</v>
      </c>
      <c r="E114" s="172">
        <v>6.39032392157232E-5</v>
      </c>
      <c r="F114" s="172">
        <v>3.8525283702391801E-5</v>
      </c>
      <c r="G114" s="172">
        <v>1.65873507147608</v>
      </c>
    </row>
    <row r="115" spans="2:7" hidden="1" x14ac:dyDescent="0.3">
      <c r="B115" s="172"/>
      <c r="C115" s="172"/>
      <c r="D115" s="172"/>
      <c r="E115" s="172"/>
      <c r="F115" s="172"/>
      <c r="G115" s="172"/>
    </row>
    <row r="116" spans="2:7" hidden="1" x14ac:dyDescent="0.3">
      <c r="B116" s="172"/>
      <c r="C116" s="172"/>
      <c r="D116" s="172"/>
      <c r="E116" s="172"/>
      <c r="F116" s="172"/>
      <c r="G116" s="172"/>
    </row>
    <row r="117" spans="2:7" hidden="1" x14ac:dyDescent="0.3">
      <c r="B117" s="172"/>
      <c r="C117" s="172"/>
      <c r="D117" s="172"/>
      <c r="E117" s="172"/>
      <c r="F117" s="172"/>
      <c r="G117" s="172"/>
    </row>
    <row r="118" spans="2:7" hidden="1" x14ac:dyDescent="0.3">
      <c r="B118" s="172"/>
      <c r="C118" s="172"/>
      <c r="D118" s="172"/>
      <c r="E118" s="172"/>
      <c r="F118" s="172"/>
      <c r="G118" s="172"/>
    </row>
    <row r="119" spans="2:7" hidden="1" x14ac:dyDescent="0.3">
      <c r="B119" s="172"/>
      <c r="C119" s="172"/>
      <c r="D119" s="172"/>
      <c r="E119" s="172"/>
      <c r="F119" s="172"/>
      <c r="G119" s="172"/>
    </row>
    <row r="120" spans="2:7" s="172" customFormat="1" hidden="1" x14ac:dyDescent="0.3"/>
    <row r="121" spans="2:7" hidden="1" x14ac:dyDescent="0.3">
      <c r="B121" s="172"/>
      <c r="C121" s="172"/>
      <c r="D121" s="172"/>
      <c r="E121" s="172"/>
      <c r="F121" s="172"/>
      <c r="G121" s="172"/>
    </row>
    <row r="122" spans="2:7" s="172" customFormat="1" hidden="1" x14ac:dyDescent="0.3"/>
    <row r="123" spans="2:7" hidden="1" x14ac:dyDescent="0.3">
      <c r="B123" s="172"/>
      <c r="C123" s="172"/>
      <c r="D123" s="172"/>
      <c r="E123" s="172"/>
      <c r="F123" s="172"/>
      <c r="G123" s="172"/>
    </row>
    <row r="124" spans="2:7" s="172" customFormat="1" hidden="1" x14ac:dyDescent="0.3"/>
    <row r="125" spans="2:7" hidden="1" x14ac:dyDescent="0.3">
      <c r="B125" s="172"/>
      <c r="C125" s="172"/>
      <c r="D125" s="172"/>
      <c r="E125" s="172"/>
      <c r="F125" s="172"/>
      <c r="G125" s="172"/>
    </row>
    <row r="126" spans="2:7" s="172" customFormat="1" hidden="1" x14ac:dyDescent="0.3"/>
    <row r="127" spans="2:7" hidden="1" x14ac:dyDescent="0.3">
      <c r="B127" s="172"/>
      <c r="C127" s="172"/>
      <c r="D127" s="172"/>
      <c r="E127" s="172"/>
      <c r="F127" s="172"/>
      <c r="G127" s="172"/>
    </row>
    <row r="128" spans="2:7" s="172" customFormat="1" hidden="1" x14ac:dyDescent="0.3"/>
    <row r="129" spans="2:7" hidden="1" x14ac:dyDescent="0.3">
      <c r="B129" s="172"/>
      <c r="C129" s="172"/>
      <c r="D129" s="172"/>
      <c r="E129" s="172"/>
      <c r="F129" s="172"/>
      <c r="G129" s="172"/>
    </row>
    <row r="130" spans="2:7" s="172" customFormat="1" hidden="1" x14ac:dyDescent="0.3"/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191"/>
      <c r="C136" s="191"/>
      <c r="D136" s="191"/>
      <c r="E136" s="191" t="s">
        <v>7</v>
      </c>
      <c r="F136" s="191" t="s">
        <v>7</v>
      </c>
      <c r="G136" s="192"/>
    </row>
    <row r="137" spans="2:7" s="172" customFormat="1" x14ac:dyDescent="0.3">
      <c r="B137" s="27" t="s">
        <v>213</v>
      </c>
      <c r="C137" s="27" t="s">
        <v>214</v>
      </c>
      <c r="D137" s="27" t="s">
        <v>215</v>
      </c>
      <c r="E137" s="27" t="s">
        <v>216</v>
      </c>
      <c r="F137" s="27" t="s">
        <v>217</v>
      </c>
      <c r="G137" s="27" t="s">
        <v>218</v>
      </c>
    </row>
    <row r="138" spans="2:7" hidden="1" x14ac:dyDescent="0.3">
      <c r="B138" s="172" t="s">
        <v>189</v>
      </c>
      <c r="C138" s="172" t="s">
        <v>79</v>
      </c>
      <c r="D138" s="172" t="s">
        <v>210</v>
      </c>
      <c r="E138" s="172">
        <v>2.20991022375738E-2</v>
      </c>
      <c r="F138" s="172">
        <v>2.1407776684168101E-2</v>
      </c>
      <c r="G138" s="172">
        <v>1.0322931971687099</v>
      </c>
    </row>
    <row r="139" spans="2:7" s="172" customFormat="1" hidden="1" x14ac:dyDescent="0.3">
      <c r="B139" s="172" t="s">
        <v>189</v>
      </c>
      <c r="C139" s="172" t="s">
        <v>79</v>
      </c>
      <c r="D139" s="172" t="s">
        <v>211</v>
      </c>
      <c r="E139" s="172">
        <v>6.4621199201633601E-3</v>
      </c>
      <c r="F139" s="172">
        <v>5.5979629784063002E-3</v>
      </c>
      <c r="G139" s="172">
        <v>1.1543698922430301</v>
      </c>
    </row>
    <row r="140" spans="2:7" hidden="1" x14ac:dyDescent="0.3">
      <c r="B140" s="172" t="s">
        <v>187</v>
      </c>
      <c r="C140" s="172" t="s">
        <v>79</v>
      </c>
      <c r="D140" s="172" t="s">
        <v>210</v>
      </c>
      <c r="E140" s="172">
        <v>2.5070267722540601E-2</v>
      </c>
      <c r="F140" s="172">
        <v>2.24128212089818E-2</v>
      </c>
      <c r="G140" s="172">
        <v>1.1185681395831599</v>
      </c>
    </row>
    <row r="141" spans="2:7" s="172" customFormat="1" hidden="1" x14ac:dyDescent="0.3">
      <c r="B141" s="172" t="s">
        <v>187</v>
      </c>
      <c r="C141" s="172" t="s">
        <v>79</v>
      </c>
      <c r="D141" s="172" t="s">
        <v>211</v>
      </c>
      <c r="E141" s="172">
        <v>1.16105564685757E-2</v>
      </c>
      <c r="F141" s="172">
        <v>7.8901313495932501E-3</v>
      </c>
      <c r="G141" s="172">
        <v>1.4715289206401101</v>
      </c>
    </row>
    <row r="142" spans="2:7" hidden="1" x14ac:dyDescent="0.3">
      <c r="B142" s="172" t="s">
        <v>185</v>
      </c>
      <c r="C142" s="172" t="s">
        <v>79</v>
      </c>
      <c r="D142" s="172" t="s">
        <v>210</v>
      </c>
      <c r="E142" s="172">
        <v>2.4230977460021699E-2</v>
      </c>
      <c r="F142" s="172">
        <v>2.1486872485719299E-2</v>
      </c>
      <c r="G142" s="172">
        <v>1.12771076740583</v>
      </c>
    </row>
    <row r="143" spans="2:7" s="172" customFormat="1" hidden="1" x14ac:dyDescent="0.3">
      <c r="B143" s="172" t="s">
        <v>185</v>
      </c>
      <c r="C143" s="172" t="s">
        <v>79</v>
      </c>
      <c r="D143" s="172" t="s">
        <v>211</v>
      </c>
      <c r="E143" s="172">
        <v>1.1282524902536799E-2</v>
      </c>
      <c r="F143" s="172">
        <v>7.4407779385133902E-3</v>
      </c>
      <c r="G143" s="172">
        <v>1.5163098530515999</v>
      </c>
    </row>
    <row r="144" spans="2:7" hidden="1" x14ac:dyDescent="0.3">
      <c r="B144" s="172" t="s">
        <v>183</v>
      </c>
      <c r="C144" s="172" t="s">
        <v>79</v>
      </c>
      <c r="D144" s="172" t="s">
        <v>210</v>
      </c>
      <c r="E144" s="172">
        <v>2.2848336005803899E-2</v>
      </c>
      <c r="F144" s="172">
        <v>2.0107617923468199E-2</v>
      </c>
      <c r="G144" s="172">
        <v>1.1363024746524999</v>
      </c>
    </row>
    <row r="145" spans="2:7" s="172" customFormat="1" hidden="1" x14ac:dyDescent="0.3">
      <c r="B145" s="172" t="s">
        <v>183</v>
      </c>
      <c r="C145" s="172" t="s">
        <v>79</v>
      </c>
      <c r="D145" s="172" t="s">
        <v>211</v>
      </c>
      <c r="E145" s="172">
        <v>1.06968106607796E-2</v>
      </c>
      <c r="F145" s="172">
        <v>6.8598053455096297E-3</v>
      </c>
      <c r="G145" s="172">
        <v>1.5593460924925</v>
      </c>
    </row>
    <row r="146" spans="2:7" hidden="1" x14ac:dyDescent="0.3">
      <c r="B146" s="172" t="s">
        <v>181</v>
      </c>
      <c r="C146" s="172" t="s">
        <v>79</v>
      </c>
      <c r="D146" s="172" t="s">
        <v>210</v>
      </c>
      <c r="E146" s="172">
        <v>2.09718125654384E-2</v>
      </c>
      <c r="F146" s="172">
        <v>1.8326659482048199E-2</v>
      </c>
      <c r="G146" s="172">
        <v>1.14433361879077</v>
      </c>
    </row>
    <row r="147" spans="2:7" hidden="1" x14ac:dyDescent="0.3">
      <c r="B147" s="172" t="s">
        <v>181</v>
      </c>
      <c r="C147" s="172" t="s">
        <v>79</v>
      </c>
      <c r="D147" s="172" t="s">
        <v>211</v>
      </c>
      <c r="E147" s="172">
        <v>9.8677570218632694E-3</v>
      </c>
      <c r="F147" s="172">
        <v>6.1645427051169798E-3</v>
      </c>
      <c r="G147" s="172">
        <v>1.6007281470647201</v>
      </c>
    </row>
    <row r="148" spans="2:7" hidden="1" x14ac:dyDescent="0.3">
      <c r="B148" s="172" t="s">
        <v>179</v>
      </c>
      <c r="C148" s="172" t="s">
        <v>79</v>
      </c>
      <c r="D148" s="172" t="s">
        <v>210</v>
      </c>
      <c r="E148" s="172">
        <v>1.8676800148079199E-2</v>
      </c>
      <c r="F148" s="172">
        <v>1.6208536338097799E-2</v>
      </c>
      <c r="G148" s="172">
        <v>1.1522817210940799</v>
      </c>
    </row>
    <row r="149" spans="2:7" hidden="1" x14ac:dyDescent="0.3">
      <c r="B149" s="172" t="s">
        <v>179</v>
      </c>
      <c r="C149" s="172" t="s">
        <v>79</v>
      </c>
      <c r="D149" s="172" t="s">
        <v>211</v>
      </c>
      <c r="E149" s="172">
        <v>8.8359844766456499E-3</v>
      </c>
      <c r="F149" s="172">
        <v>5.3804151426715902E-3</v>
      </c>
      <c r="G149" s="172">
        <v>1.6422495741208201</v>
      </c>
    </row>
    <row r="150" spans="2:7" hidden="1" x14ac:dyDescent="0.3">
      <c r="B150" s="172" t="s">
        <v>39</v>
      </c>
      <c r="C150" s="172" t="s">
        <v>79</v>
      </c>
      <c r="D150" s="172" t="s">
        <v>210</v>
      </c>
      <c r="E150" s="172">
        <v>1.6031265125670002E-2</v>
      </c>
      <c r="F150" s="172">
        <v>1.38138043478976E-2</v>
      </c>
      <c r="G150" s="172">
        <v>1.1605249880428401</v>
      </c>
    </row>
    <row r="151" spans="2:7" hidden="1" x14ac:dyDescent="0.3">
      <c r="B151" s="172" t="s">
        <v>39</v>
      </c>
      <c r="C151" s="172" t="s">
        <v>79</v>
      </c>
      <c r="D151" s="172" t="s">
        <v>211</v>
      </c>
      <c r="E151" s="172">
        <v>7.6327107707548896E-3</v>
      </c>
      <c r="F151" s="172">
        <v>4.5282656818735603E-3</v>
      </c>
      <c r="G151" s="172">
        <v>1.68557043843701</v>
      </c>
    </row>
    <row r="152" spans="2:7" hidden="1" x14ac:dyDescent="0.3">
      <c r="B152" s="172" t="s">
        <v>26</v>
      </c>
      <c r="C152" s="172" t="s">
        <v>79</v>
      </c>
      <c r="D152" s="172" t="s">
        <v>210</v>
      </c>
      <c r="E152" s="172">
        <v>1.31087505610714E-2</v>
      </c>
      <c r="F152" s="172">
        <v>1.12209923817586E-2</v>
      </c>
      <c r="G152" s="172">
        <v>1.1682345121614801</v>
      </c>
    </row>
    <row r="153" spans="2:7" hidden="1" x14ac:dyDescent="0.3">
      <c r="B153" s="172" t="s">
        <v>26</v>
      </c>
      <c r="C153" s="172" t="s">
        <v>79</v>
      </c>
      <c r="D153" s="172" t="s">
        <v>211</v>
      </c>
      <c r="E153" s="172">
        <v>6.2694431771198903E-3</v>
      </c>
      <c r="F153" s="172">
        <v>3.6265817260819899E-3</v>
      </c>
      <c r="G153" s="172">
        <v>1.72874724758875</v>
      </c>
    </row>
    <row r="154" spans="2:7" hidden="1" x14ac:dyDescent="0.3">
      <c r="B154" s="172" t="s">
        <v>25</v>
      </c>
      <c r="C154" s="172" t="s">
        <v>79</v>
      </c>
      <c r="D154" s="172" t="s">
        <v>210</v>
      </c>
      <c r="E154" s="172">
        <v>9.9707778488438894E-3</v>
      </c>
      <c r="F154" s="172">
        <v>8.4914641716059593E-3</v>
      </c>
      <c r="G154" s="172">
        <v>1.1742118493751099</v>
      </c>
    </row>
    <row r="155" spans="2:7" hidden="1" x14ac:dyDescent="0.3">
      <c r="B155" s="172" t="s">
        <v>25</v>
      </c>
      <c r="C155" s="172" t="s">
        <v>79</v>
      </c>
      <c r="D155" s="172" t="s">
        <v>211</v>
      </c>
      <c r="E155" s="172">
        <v>4.7663883088379802E-3</v>
      </c>
      <c r="F155" s="172">
        <v>2.6953491607048701E-3</v>
      </c>
      <c r="G155" s="172">
        <v>1.76837508784632</v>
      </c>
    </row>
    <row r="156" spans="2:7" hidden="1" x14ac:dyDescent="0.3">
      <c r="B156" s="172" t="s">
        <v>24</v>
      </c>
      <c r="C156" s="172" t="s">
        <v>79</v>
      </c>
      <c r="D156" s="172" t="s">
        <v>210</v>
      </c>
      <c r="E156" s="172">
        <v>6.6691885048617101E-3</v>
      </c>
      <c r="F156" s="172">
        <v>5.6643857847523899E-3</v>
      </c>
      <c r="G156" s="172">
        <v>1.17738952788387</v>
      </c>
    </row>
    <row r="157" spans="2:7" hidden="1" x14ac:dyDescent="0.3">
      <c r="B157" s="172" t="s">
        <v>24</v>
      </c>
      <c r="C157" s="172" t="s">
        <v>79</v>
      </c>
      <c r="D157" s="172" t="s">
        <v>211</v>
      </c>
      <c r="E157" s="172">
        <v>3.1598368557967799E-3</v>
      </c>
      <c r="F157" s="172">
        <v>1.7531130476437201E-3</v>
      </c>
      <c r="G157" s="172">
        <v>1.8024147729912601</v>
      </c>
    </row>
    <row r="158" spans="2:7" hidden="1" x14ac:dyDescent="0.3">
      <c r="B158" s="172" t="s">
        <v>22</v>
      </c>
      <c r="C158" s="172" t="s">
        <v>79</v>
      </c>
      <c r="D158" s="172" t="s">
        <v>210</v>
      </c>
      <c r="E158" s="172">
        <v>3.2868209450209501E-3</v>
      </c>
      <c r="F158" s="172">
        <v>2.8100028512609001E-3</v>
      </c>
      <c r="G158" s="172">
        <v>1.16968598218542</v>
      </c>
    </row>
    <row r="159" spans="2:7" hidden="1" x14ac:dyDescent="0.3">
      <c r="B159" s="172" t="s">
        <v>22</v>
      </c>
      <c r="C159" s="172" t="s">
        <v>79</v>
      </c>
      <c r="D159" s="172" t="s">
        <v>211</v>
      </c>
      <c r="E159" s="172">
        <v>1.49682421058513E-3</v>
      </c>
      <c r="F159" s="172">
        <v>8.2927887932106705E-4</v>
      </c>
      <c r="G159" s="172">
        <v>1.8049708583083499</v>
      </c>
    </row>
    <row r="160" spans="2:7" x14ac:dyDescent="0.3">
      <c r="B160" s="172" t="s">
        <v>189</v>
      </c>
      <c r="C160" s="172" t="s">
        <v>80</v>
      </c>
      <c r="D160" s="172" t="s">
        <v>210</v>
      </c>
      <c r="E160" s="172">
        <v>2.2728825660227801E-2</v>
      </c>
      <c r="F160" s="172">
        <v>2.2644084583929799E-2</v>
      </c>
      <c r="G160" s="172">
        <v>1.0037423052357799</v>
      </c>
    </row>
    <row r="161" spans="2:7" hidden="1" x14ac:dyDescent="0.3">
      <c r="B161" s="172" t="s">
        <v>189</v>
      </c>
      <c r="C161" s="172" t="s">
        <v>80</v>
      </c>
      <c r="D161" s="172" t="s">
        <v>211</v>
      </c>
      <c r="E161" s="172">
        <v>8.2366363699450593E-3</v>
      </c>
      <c r="F161" s="172">
        <v>8.1307100245725898E-3</v>
      </c>
      <c r="G161" s="172">
        <v>1.0130279329913801</v>
      </c>
    </row>
    <row r="162" spans="2:7" x14ac:dyDescent="0.3">
      <c r="B162" s="172" t="s">
        <v>187</v>
      </c>
      <c r="C162" s="172" t="s">
        <v>80</v>
      </c>
      <c r="D162" s="172" t="s">
        <v>210</v>
      </c>
      <c r="E162" s="172">
        <v>2.2377004960224999E-2</v>
      </c>
      <c r="F162" s="172">
        <v>2.1960575047001499E-2</v>
      </c>
      <c r="G162" s="172">
        <v>1.0189626142454</v>
      </c>
    </row>
    <row r="163" spans="2:7" hidden="1" x14ac:dyDescent="0.3">
      <c r="B163" s="172" t="s">
        <v>187</v>
      </c>
      <c r="C163" s="172" t="s">
        <v>80</v>
      </c>
      <c r="D163" s="172" t="s">
        <v>211</v>
      </c>
      <c r="E163" s="172">
        <v>8.4839141191973104E-3</v>
      </c>
      <c r="F163" s="172">
        <v>7.9009122406844996E-3</v>
      </c>
      <c r="G163" s="172">
        <v>1.0737891854450301</v>
      </c>
    </row>
    <row r="164" spans="2:7" x14ac:dyDescent="0.3">
      <c r="B164" s="172" t="s">
        <v>185</v>
      </c>
      <c r="C164" s="172" t="s">
        <v>80</v>
      </c>
      <c r="D164" s="172" t="s">
        <v>210</v>
      </c>
      <c r="E164" s="172">
        <v>2.16458964328551E-2</v>
      </c>
      <c r="F164" s="172">
        <v>2.1043273173033099E-2</v>
      </c>
      <c r="G164" s="172">
        <v>1.02863733483222</v>
      </c>
    </row>
    <row r="165" spans="2:7" hidden="1" x14ac:dyDescent="0.3">
      <c r="B165" s="172" t="s">
        <v>185</v>
      </c>
      <c r="C165" s="172" t="s">
        <v>80</v>
      </c>
      <c r="D165" s="172" t="s">
        <v>211</v>
      </c>
      <c r="E165" s="172">
        <v>8.2574509730932496E-3</v>
      </c>
      <c r="F165" s="172">
        <v>7.4137784093425002E-3</v>
      </c>
      <c r="G165" s="172">
        <v>1.11379792019243</v>
      </c>
    </row>
    <row r="166" spans="2:7" x14ac:dyDescent="0.3">
      <c r="B166" s="172" t="s">
        <v>183</v>
      </c>
      <c r="C166" s="172" t="s">
        <v>80</v>
      </c>
      <c r="D166" s="172" t="s">
        <v>210</v>
      </c>
      <c r="E166" s="172">
        <v>2.0423659420502501E-2</v>
      </c>
      <c r="F166" s="172">
        <v>1.9682757486507899E-2</v>
      </c>
      <c r="G166" s="172">
        <v>1.03764218171679</v>
      </c>
    </row>
    <row r="167" spans="2:7" hidden="1" x14ac:dyDescent="0.3">
      <c r="B167" s="172" t="s">
        <v>183</v>
      </c>
      <c r="C167" s="172" t="s">
        <v>80</v>
      </c>
      <c r="D167" s="172" t="s">
        <v>211</v>
      </c>
      <c r="E167" s="172">
        <v>7.8380289423044692E-3</v>
      </c>
      <c r="F167" s="172">
        <v>6.8007662347120204E-3</v>
      </c>
      <c r="G167" s="172">
        <v>1.15252144711255</v>
      </c>
    </row>
    <row r="168" spans="2:7" x14ac:dyDescent="0.3">
      <c r="B168" s="172" t="s">
        <v>181</v>
      </c>
      <c r="C168" s="172" t="s">
        <v>80</v>
      </c>
      <c r="D168" s="172" t="s">
        <v>210</v>
      </c>
      <c r="E168" s="172">
        <v>1.87568596000546E-2</v>
      </c>
      <c r="F168" s="172">
        <v>1.7930910434833702E-2</v>
      </c>
      <c r="G168" s="172">
        <v>1.04606286826442</v>
      </c>
    </row>
    <row r="169" spans="2:7" hidden="1" x14ac:dyDescent="0.3">
      <c r="B169" s="172" t="s">
        <v>181</v>
      </c>
      <c r="C169" s="172" t="s">
        <v>80</v>
      </c>
      <c r="D169" s="172" t="s">
        <v>211</v>
      </c>
      <c r="E169" s="172">
        <v>7.2373809889719398E-3</v>
      </c>
      <c r="F169" s="172">
        <v>6.0810521576626902E-3</v>
      </c>
      <c r="G169" s="172">
        <v>1.1901527566824399</v>
      </c>
    </row>
    <row r="170" spans="2:7" x14ac:dyDescent="0.3">
      <c r="B170" s="172" t="s">
        <v>179</v>
      </c>
      <c r="C170" s="172" t="s">
        <v>80</v>
      </c>
      <c r="D170" s="172" t="s">
        <v>210</v>
      </c>
      <c r="E170" s="172">
        <v>1.6714072086629402E-2</v>
      </c>
      <c r="F170" s="172">
        <v>1.5851034941866401E-2</v>
      </c>
      <c r="G170" s="172">
        <v>1.0544467378898801</v>
      </c>
    </row>
    <row r="171" spans="2:7" hidden="1" x14ac:dyDescent="0.3">
      <c r="B171" s="172" t="s">
        <v>179</v>
      </c>
      <c r="C171" s="172" t="s">
        <v>80</v>
      </c>
      <c r="D171" s="172" t="s">
        <v>211</v>
      </c>
      <c r="E171" s="172">
        <v>6.4881294447373698E-3</v>
      </c>
      <c r="F171" s="172">
        <v>5.2798774420690702E-3</v>
      </c>
      <c r="G171" s="172">
        <v>1.22884091835942</v>
      </c>
    </row>
    <row r="172" spans="2:7" x14ac:dyDescent="0.3">
      <c r="B172" s="172" t="s">
        <v>39</v>
      </c>
      <c r="C172" s="172" t="s">
        <v>80</v>
      </c>
      <c r="D172" s="172" t="s">
        <v>210</v>
      </c>
      <c r="E172" s="172">
        <v>1.43561622333363E-2</v>
      </c>
      <c r="F172" s="172">
        <v>1.35024876259289E-2</v>
      </c>
      <c r="G172" s="172">
        <v>1.0632235059981101</v>
      </c>
    </row>
    <row r="173" spans="2:7" hidden="1" x14ac:dyDescent="0.3">
      <c r="B173" s="172" t="s">
        <v>39</v>
      </c>
      <c r="C173" s="172" t="s">
        <v>80</v>
      </c>
      <c r="D173" s="172" t="s">
        <v>211</v>
      </c>
      <c r="E173" s="172">
        <v>5.6134168400839204E-3</v>
      </c>
      <c r="F173" s="172">
        <v>4.4182723897136303E-3</v>
      </c>
      <c r="G173" s="172">
        <v>1.2705004003720399</v>
      </c>
    </row>
    <row r="174" spans="2:7" x14ac:dyDescent="0.3">
      <c r="B174" s="172" t="s">
        <v>26</v>
      </c>
      <c r="C174" s="172" t="s">
        <v>80</v>
      </c>
      <c r="D174" s="172" t="s">
        <v>210</v>
      </c>
      <c r="E174" s="172">
        <v>1.17490205315317E-2</v>
      </c>
      <c r="F174" s="172">
        <v>1.0963589326679299E-2</v>
      </c>
      <c r="G174" s="172">
        <v>1.07163996948893</v>
      </c>
    </row>
    <row r="175" spans="2:7" hidden="1" x14ac:dyDescent="0.3">
      <c r="B175" s="172" t="s">
        <v>26</v>
      </c>
      <c r="C175" s="172" t="s">
        <v>80</v>
      </c>
      <c r="D175" s="172" t="s">
        <v>211</v>
      </c>
      <c r="E175" s="172">
        <v>4.6160067405109102E-3</v>
      </c>
      <c r="F175" s="172">
        <v>3.5164030537174198E-3</v>
      </c>
      <c r="G175" s="172">
        <v>1.3127069536670499</v>
      </c>
    </row>
    <row r="176" spans="2:7" x14ac:dyDescent="0.3">
      <c r="B176" s="172" t="s">
        <v>25</v>
      </c>
      <c r="C176" s="172" t="s">
        <v>80</v>
      </c>
      <c r="D176" s="172" t="s">
        <v>210</v>
      </c>
      <c r="E176" s="172">
        <v>8.9475741366420499E-3</v>
      </c>
      <c r="F176" s="172">
        <v>8.29573967313273E-3</v>
      </c>
      <c r="G176" s="172">
        <v>1.0785746044587701</v>
      </c>
    </row>
    <row r="177" spans="2:7" hidden="1" x14ac:dyDescent="0.3">
      <c r="B177" s="172" t="s">
        <v>25</v>
      </c>
      <c r="C177" s="172" t="s">
        <v>80</v>
      </c>
      <c r="D177" s="172" t="s">
        <v>211</v>
      </c>
      <c r="E177" s="172">
        <v>3.50845876145366E-3</v>
      </c>
      <c r="F177" s="172">
        <v>2.5958905125406098E-3</v>
      </c>
      <c r="G177" s="172">
        <v>1.35154342777728</v>
      </c>
    </row>
    <row r="178" spans="2:7" x14ac:dyDescent="0.3">
      <c r="B178" s="172" t="s">
        <v>24</v>
      </c>
      <c r="C178" s="172" t="s">
        <v>80</v>
      </c>
      <c r="D178" s="172" t="s">
        <v>210</v>
      </c>
      <c r="E178" s="172">
        <v>5.9965675539112298E-3</v>
      </c>
      <c r="F178" s="172">
        <v>5.53589189683029E-3</v>
      </c>
      <c r="G178" s="172">
        <v>1.0832161584197</v>
      </c>
    </row>
    <row r="179" spans="2:7" hidden="1" x14ac:dyDescent="0.3">
      <c r="B179" s="172" t="s">
        <v>24</v>
      </c>
      <c r="C179" s="172" t="s">
        <v>80</v>
      </c>
      <c r="D179" s="172" t="s">
        <v>211</v>
      </c>
      <c r="E179" s="172">
        <v>2.3205677560263101E-3</v>
      </c>
      <c r="F179" s="172">
        <v>1.67562183611299E-3</v>
      </c>
      <c r="G179" s="172">
        <v>1.38489944808157</v>
      </c>
    </row>
    <row r="180" spans="2:7" x14ac:dyDescent="0.3">
      <c r="B180" s="172" t="s">
        <v>22</v>
      </c>
      <c r="C180" s="172" t="s">
        <v>80</v>
      </c>
      <c r="D180" s="172" t="s">
        <v>210</v>
      </c>
      <c r="E180" s="172">
        <v>2.9671149089384101E-3</v>
      </c>
      <c r="F180" s="172">
        <v>2.7517590595888199E-3</v>
      </c>
      <c r="G180" s="172">
        <v>1.0782611575672501</v>
      </c>
    </row>
    <row r="181" spans="2:7" hidden="1" x14ac:dyDescent="0.3">
      <c r="B181" s="172" t="s">
        <v>22</v>
      </c>
      <c r="C181" s="172" t="s">
        <v>80</v>
      </c>
      <c r="D181" s="172" t="s">
        <v>211</v>
      </c>
      <c r="E181" s="172">
        <v>1.0874864544512901E-3</v>
      </c>
      <c r="F181" s="172">
        <v>7.8598826536186296E-4</v>
      </c>
      <c r="G181" s="172">
        <v>1.38359120915199</v>
      </c>
    </row>
    <row r="182" spans="2:7" hidden="1" x14ac:dyDescent="0.3">
      <c r="B182" s="172" t="s">
        <v>189</v>
      </c>
      <c r="C182" s="172" t="s">
        <v>81</v>
      </c>
      <c r="D182" s="172" t="s">
        <v>210</v>
      </c>
      <c r="E182" s="172">
        <v>6.8897690158352702E-3</v>
      </c>
      <c r="F182" s="172">
        <v>6.8211034198471399E-3</v>
      </c>
      <c r="G182" s="172">
        <v>1.0100666405069201</v>
      </c>
    </row>
    <row r="183" spans="2:7" hidden="1" x14ac:dyDescent="0.3">
      <c r="B183" s="172" t="s">
        <v>189</v>
      </c>
      <c r="C183" s="172" t="s">
        <v>81</v>
      </c>
      <c r="D183" s="172" t="s">
        <v>211</v>
      </c>
      <c r="E183" s="172">
        <v>3.1091444115087401E-2</v>
      </c>
      <c r="F183" s="172">
        <v>3.1005612120102301E-2</v>
      </c>
      <c r="G183" s="172">
        <v>1.0027682728743701</v>
      </c>
    </row>
    <row r="184" spans="2:7" hidden="1" x14ac:dyDescent="0.3">
      <c r="B184" s="172" t="s">
        <v>187</v>
      </c>
      <c r="C184" s="172" t="s">
        <v>81</v>
      </c>
      <c r="D184" s="172" t="s">
        <v>210</v>
      </c>
      <c r="E184" s="172">
        <v>6.4213435239438904E-3</v>
      </c>
      <c r="F184" s="172">
        <v>6.3938255741815596E-3</v>
      </c>
      <c r="G184" s="172">
        <v>1.0043038317894399</v>
      </c>
    </row>
    <row r="185" spans="2:7" hidden="1" x14ac:dyDescent="0.3">
      <c r="B185" s="172" t="s">
        <v>187</v>
      </c>
      <c r="C185" s="172" t="s">
        <v>81</v>
      </c>
      <c r="D185" s="172" t="s">
        <v>211</v>
      </c>
      <c r="E185" s="172">
        <v>2.9216375507412701E-2</v>
      </c>
      <c r="F185" s="172">
        <v>2.91778503777455E-2</v>
      </c>
      <c r="G185" s="172">
        <v>1.00132035530954</v>
      </c>
    </row>
    <row r="186" spans="2:7" hidden="1" x14ac:dyDescent="0.3">
      <c r="B186" s="172" t="s">
        <v>185</v>
      </c>
      <c r="C186" s="172" t="s">
        <v>81</v>
      </c>
      <c r="D186" s="172" t="s">
        <v>210</v>
      </c>
      <c r="E186" s="172">
        <v>6.4563872527671103E-3</v>
      </c>
      <c r="F186" s="172">
        <v>6.1523429810437296E-3</v>
      </c>
      <c r="G186" s="172">
        <v>1.04941926558064</v>
      </c>
    </row>
    <row r="187" spans="2:7" hidden="1" x14ac:dyDescent="0.3">
      <c r="B187" s="172" t="s">
        <v>185</v>
      </c>
      <c r="C187" s="172" t="s">
        <v>81</v>
      </c>
      <c r="D187" s="172" t="s">
        <v>211</v>
      </c>
      <c r="E187" s="172">
        <v>2.7966985905778102E-2</v>
      </c>
      <c r="F187" s="172">
        <v>2.7541323925365398E-2</v>
      </c>
      <c r="G187" s="172">
        <v>1.01545539283319</v>
      </c>
    </row>
    <row r="188" spans="2:7" hidden="1" x14ac:dyDescent="0.3">
      <c r="B188" s="172" t="s">
        <v>183</v>
      </c>
      <c r="C188" s="172" t="s">
        <v>81</v>
      </c>
      <c r="D188" s="172" t="s">
        <v>210</v>
      </c>
      <c r="E188" s="172">
        <v>6.3453780787324299E-3</v>
      </c>
      <c r="F188" s="172">
        <v>5.7764538675838502E-3</v>
      </c>
      <c r="G188" s="172">
        <v>1.09849021981137</v>
      </c>
    </row>
    <row r="189" spans="2:7" hidden="1" x14ac:dyDescent="0.3">
      <c r="B189" s="172" t="s">
        <v>183</v>
      </c>
      <c r="C189" s="172" t="s">
        <v>81</v>
      </c>
      <c r="D189" s="172" t="s">
        <v>211</v>
      </c>
      <c r="E189" s="172">
        <v>2.6199238764785301E-2</v>
      </c>
      <c r="F189" s="172">
        <v>2.5402744869177301E-2</v>
      </c>
      <c r="G189" s="172">
        <v>1.03135463902464</v>
      </c>
    </row>
    <row r="190" spans="2:7" hidden="1" x14ac:dyDescent="0.3">
      <c r="B190" s="172" t="s">
        <v>181</v>
      </c>
      <c r="C190" s="172" t="s">
        <v>81</v>
      </c>
      <c r="D190" s="172" t="s">
        <v>210</v>
      </c>
      <c r="E190" s="172">
        <v>6.0463882828646698E-3</v>
      </c>
      <c r="F190" s="172">
        <v>5.2844703088513398E-3</v>
      </c>
      <c r="G190" s="172">
        <v>1.14418057619458</v>
      </c>
    </row>
    <row r="191" spans="2:7" hidden="1" x14ac:dyDescent="0.3">
      <c r="B191" s="172" t="s">
        <v>181</v>
      </c>
      <c r="C191" s="172" t="s">
        <v>81</v>
      </c>
      <c r="D191" s="172" t="s">
        <v>211</v>
      </c>
      <c r="E191" s="172">
        <v>2.38947426435898E-2</v>
      </c>
      <c r="F191" s="172">
        <v>2.28280574799711E-2</v>
      </c>
      <c r="G191" s="172">
        <v>1.0467269352442501</v>
      </c>
    </row>
    <row r="192" spans="2:7" hidden="1" x14ac:dyDescent="0.3">
      <c r="B192" s="172" t="s">
        <v>179</v>
      </c>
      <c r="C192" s="172" t="s">
        <v>81</v>
      </c>
      <c r="D192" s="172" t="s">
        <v>210</v>
      </c>
      <c r="E192" s="172">
        <v>5.58853148522885E-3</v>
      </c>
      <c r="F192" s="172">
        <v>4.6990129594717102E-3</v>
      </c>
      <c r="G192" s="172">
        <v>1.1892990152249201</v>
      </c>
    </row>
    <row r="193" spans="2:7" hidden="1" x14ac:dyDescent="0.3">
      <c r="B193" s="172" t="s">
        <v>179</v>
      </c>
      <c r="C193" s="172" t="s">
        <v>81</v>
      </c>
      <c r="D193" s="172" t="s">
        <v>211</v>
      </c>
      <c r="E193" s="172">
        <v>2.1154617513236999E-2</v>
      </c>
      <c r="F193" s="172">
        <v>1.9909291577177E-2</v>
      </c>
      <c r="G193" s="172">
        <v>1.06254998733795</v>
      </c>
    </row>
    <row r="194" spans="2:7" hidden="1" x14ac:dyDescent="0.3">
      <c r="B194" s="172" t="s">
        <v>39</v>
      </c>
      <c r="C194" s="172" t="s">
        <v>81</v>
      </c>
      <c r="D194" s="172" t="s">
        <v>210</v>
      </c>
      <c r="E194" s="172">
        <v>4.9888115861578004E-3</v>
      </c>
      <c r="F194" s="172">
        <v>4.0364357339814604E-3</v>
      </c>
      <c r="G194" s="172">
        <v>1.2359447579354701</v>
      </c>
    </row>
    <row r="195" spans="2:7" hidden="1" x14ac:dyDescent="0.3">
      <c r="B195" s="172" t="s">
        <v>39</v>
      </c>
      <c r="C195" s="172" t="s">
        <v>81</v>
      </c>
      <c r="D195" s="172" t="s">
        <v>211</v>
      </c>
      <c r="E195" s="172">
        <v>1.8062635187217201E-2</v>
      </c>
      <c r="F195" s="172">
        <v>1.67293089941703E-2</v>
      </c>
      <c r="G195" s="172">
        <v>1.07970001591288</v>
      </c>
    </row>
    <row r="196" spans="2:7" hidden="1" x14ac:dyDescent="0.3">
      <c r="B196" s="172" t="s">
        <v>26</v>
      </c>
      <c r="C196" s="172" t="s">
        <v>81</v>
      </c>
      <c r="D196" s="172" t="s">
        <v>210</v>
      </c>
      <c r="E196" s="172">
        <v>4.2460463024212199E-3</v>
      </c>
      <c r="F196" s="172">
        <v>3.30891403631571E-3</v>
      </c>
      <c r="G196" s="172">
        <v>1.28321444915775</v>
      </c>
    </row>
    <row r="197" spans="2:7" hidden="1" x14ac:dyDescent="0.3">
      <c r="B197" s="172" t="s">
        <v>26</v>
      </c>
      <c r="C197" s="172" t="s">
        <v>81</v>
      </c>
      <c r="D197" s="172" t="s">
        <v>211</v>
      </c>
      <c r="E197" s="172">
        <v>1.4682357977950901E-2</v>
      </c>
      <c r="F197" s="172">
        <v>1.3370372805403199E-2</v>
      </c>
      <c r="G197" s="172">
        <v>1.0981262969733701</v>
      </c>
    </row>
    <row r="198" spans="2:7" hidden="1" x14ac:dyDescent="0.3">
      <c r="B198" s="172" t="s">
        <v>25</v>
      </c>
      <c r="C198" s="172" t="s">
        <v>81</v>
      </c>
      <c r="D198" s="172" t="s">
        <v>210</v>
      </c>
      <c r="E198" s="172">
        <v>3.36617155008893E-3</v>
      </c>
      <c r="F198" s="172">
        <v>2.5356887713490501E-3</v>
      </c>
      <c r="G198" s="172">
        <v>1.32751763076114</v>
      </c>
    </row>
    <row r="199" spans="2:7" hidden="1" x14ac:dyDescent="0.3">
      <c r="B199" s="172" t="s">
        <v>25</v>
      </c>
      <c r="C199" s="172" t="s">
        <v>81</v>
      </c>
      <c r="D199" s="172" t="s">
        <v>211</v>
      </c>
      <c r="E199" s="172">
        <v>1.10687586657166E-2</v>
      </c>
      <c r="F199" s="172">
        <v>9.9060827754808099E-3</v>
      </c>
      <c r="G199" s="172">
        <v>1.1173698944969099</v>
      </c>
    </row>
    <row r="200" spans="2:7" hidden="1" x14ac:dyDescent="0.3">
      <c r="B200" s="172" t="s">
        <v>24</v>
      </c>
      <c r="C200" s="172" t="s">
        <v>81</v>
      </c>
      <c r="D200" s="172" t="s">
        <v>210</v>
      </c>
      <c r="E200" s="172">
        <v>2.3536254478714598E-3</v>
      </c>
      <c r="F200" s="172">
        <v>1.7200112329852401E-3</v>
      </c>
      <c r="G200" s="172">
        <v>1.36837795168728</v>
      </c>
    </row>
    <row r="201" spans="2:7" hidden="1" x14ac:dyDescent="0.3">
      <c r="B201" s="172" t="s">
        <v>24</v>
      </c>
      <c r="C201" s="172" t="s">
        <v>81</v>
      </c>
      <c r="D201" s="172" t="s">
        <v>211</v>
      </c>
      <c r="E201" s="172">
        <v>7.2956709909657398E-3</v>
      </c>
      <c r="F201" s="172">
        <v>6.4086110901250401E-3</v>
      </c>
      <c r="G201" s="172">
        <v>1.13841687198144</v>
      </c>
    </row>
    <row r="202" spans="2:7" hidden="1" x14ac:dyDescent="0.3">
      <c r="B202" s="172" t="s">
        <v>22</v>
      </c>
      <c r="C202" s="172" t="s">
        <v>81</v>
      </c>
      <c r="D202" s="172" t="s">
        <v>210</v>
      </c>
      <c r="E202" s="172">
        <v>1.2168011101170999E-3</v>
      </c>
      <c r="F202" s="172">
        <v>8.7435491515243098E-4</v>
      </c>
      <c r="G202" s="172">
        <v>1.39165582423125</v>
      </c>
    </row>
    <row r="203" spans="2:7" hidden="1" x14ac:dyDescent="0.3">
      <c r="B203" s="172" t="s">
        <v>22</v>
      </c>
      <c r="C203" s="172" t="s">
        <v>81</v>
      </c>
      <c r="D203" s="172" t="s">
        <v>211</v>
      </c>
      <c r="E203" s="172">
        <v>3.4776926604822901E-3</v>
      </c>
      <c r="F203" s="172">
        <v>2.9982679875317502E-3</v>
      </c>
      <c r="G203" s="172">
        <v>1.15990054089368</v>
      </c>
    </row>
    <row r="204" spans="2:7" hidden="1" x14ac:dyDescent="0.3">
      <c r="B204" s="172" t="s">
        <v>189</v>
      </c>
      <c r="C204" s="172" t="s">
        <v>82</v>
      </c>
      <c r="D204" s="172" t="s">
        <v>210</v>
      </c>
      <c r="E204" s="172">
        <v>5.7372053102536296E-3</v>
      </c>
      <c r="F204" s="172">
        <v>4.8181112851842199E-3</v>
      </c>
      <c r="G204" s="172">
        <v>1.19075815618781</v>
      </c>
    </row>
    <row r="205" spans="2:7" hidden="1" x14ac:dyDescent="0.3">
      <c r="B205" s="172" t="s">
        <v>189</v>
      </c>
      <c r="C205" s="172" t="s">
        <v>82</v>
      </c>
      <c r="D205" s="172" t="s">
        <v>211</v>
      </c>
      <c r="E205" s="172">
        <v>2.80482932070216E-2</v>
      </c>
      <c r="F205" s="172">
        <v>2.6899425675684902E-2</v>
      </c>
      <c r="G205" s="172">
        <v>1.0427097420289999</v>
      </c>
    </row>
    <row r="206" spans="2:7" hidden="1" x14ac:dyDescent="0.3">
      <c r="B206" s="172" t="s">
        <v>187</v>
      </c>
      <c r="C206" s="172" t="s">
        <v>82</v>
      </c>
      <c r="D206" s="172" t="s">
        <v>210</v>
      </c>
      <c r="E206" s="172">
        <v>1.07205014945254E-2</v>
      </c>
      <c r="F206" s="172">
        <v>7.1232693973277998E-3</v>
      </c>
      <c r="G206" s="172">
        <v>1.5049973399218901</v>
      </c>
    </row>
    <row r="207" spans="2:7" hidden="1" x14ac:dyDescent="0.3">
      <c r="B207" s="172" t="s">
        <v>187</v>
      </c>
      <c r="C207" s="172" t="s">
        <v>82</v>
      </c>
      <c r="D207" s="172" t="s">
        <v>211</v>
      </c>
      <c r="E207" s="172">
        <v>3.41910806130711E-2</v>
      </c>
      <c r="F207" s="172">
        <v>2.9154955676994599E-2</v>
      </c>
      <c r="G207" s="172">
        <v>1.1727364977629</v>
      </c>
    </row>
    <row r="208" spans="2:7" hidden="1" x14ac:dyDescent="0.3">
      <c r="B208" s="172" t="s">
        <v>185</v>
      </c>
      <c r="C208" s="172" t="s">
        <v>82</v>
      </c>
      <c r="D208" s="172" t="s">
        <v>210</v>
      </c>
      <c r="E208" s="172">
        <v>1.06280341537759E-2</v>
      </c>
      <c r="F208" s="172">
        <v>6.8664260442980003E-3</v>
      </c>
      <c r="G208" s="172">
        <v>1.5478262032111501</v>
      </c>
    </row>
    <row r="209" spans="2:7" hidden="1" x14ac:dyDescent="0.3">
      <c r="B209" s="172" t="s">
        <v>185</v>
      </c>
      <c r="C209" s="172" t="s">
        <v>82</v>
      </c>
      <c r="D209" s="172" t="s">
        <v>211</v>
      </c>
      <c r="E209" s="172">
        <v>3.28459479698259E-2</v>
      </c>
      <c r="F209" s="172">
        <v>2.7579696616556799E-2</v>
      </c>
      <c r="G209" s="172">
        <v>1.19094667452243</v>
      </c>
    </row>
    <row r="210" spans="2:7" hidden="1" x14ac:dyDescent="0.3">
      <c r="B210" s="172" t="s">
        <v>183</v>
      </c>
      <c r="C210" s="172" t="s">
        <v>82</v>
      </c>
      <c r="D210" s="172" t="s">
        <v>210</v>
      </c>
      <c r="E210" s="172">
        <v>1.0246671862660499E-2</v>
      </c>
      <c r="F210" s="172">
        <v>6.4582779315937103E-3</v>
      </c>
      <c r="G210" s="172">
        <v>1.5865950600444301</v>
      </c>
    </row>
    <row r="211" spans="2:7" hidden="1" x14ac:dyDescent="0.3">
      <c r="B211" s="172" t="s">
        <v>183</v>
      </c>
      <c r="C211" s="172" t="s">
        <v>82</v>
      </c>
      <c r="D211" s="172" t="s">
        <v>211</v>
      </c>
      <c r="E211" s="172">
        <v>3.07962528285536E-2</v>
      </c>
      <c r="F211" s="172">
        <v>2.549250132506E-2</v>
      </c>
      <c r="G211" s="172">
        <v>1.20805143582673</v>
      </c>
    </row>
    <row r="212" spans="2:7" hidden="1" x14ac:dyDescent="0.3">
      <c r="B212" s="172" t="s">
        <v>181</v>
      </c>
      <c r="C212" s="172" t="s">
        <v>82</v>
      </c>
      <c r="D212" s="172" t="s">
        <v>210</v>
      </c>
      <c r="E212" s="172">
        <v>9.5984041522899008E-3</v>
      </c>
      <c r="F212" s="172">
        <v>5.91740888989091E-3</v>
      </c>
      <c r="G212" s="172">
        <v>1.62206200904715</v>
      </c>
    </row>
    <row r="213" spans="2:7" hidden="1" x14ac:dyDescent="0.3">
      <c r="B213" s="172" t="s">
        <v>181</v>
      </c>
      <c r="C213" s="172" t="s">
        <v>82</v>
      </c>
      <c r="D213" s="172" t="s">
        <v>211</v>
      </c>
      <c r="E213" s="172">
        <v>2.8110239691129298E-2</v>
      </c>
      <c r="F213" s="172">
        <v>2.2956846323770801E-2</v>
      </c>
      <c r="G213" s="172">
        <v>1.22448176437991</v>
      </c>
    </row>
    <row r="214" spans="2:7" hidden="1" x14ac:dyDescent="0.3">
      <c r="B214" s="172" t="s">
        <v>179</v>
      </c>
      <c r="C214" s="172" t="s">
        <v>82</v>
      </c>
      <c r="D214" s="172" t="s">
        <v>210</v>
      </c>
      <c r="E214" s="172">
        <v>8.7267246736848197E-3</v>
      </c>
      <c r="F214" s="172">
        <v>5.2691051747124403E-3</v>
      </c>
      <c r="G214" s="172">
        <v>1.6562062028228699</v>
      </c>
    </row>
    <row r="215" spans="2:7" hidden="1" x14ac:dyDescent="0.3">
      <c r="B215" s="172" t="s">
        <v>179</v>
      </c>
      <c r="C215" s="172" t="s">
        <v>82</v>
      </c>
      <c r="D215" s="172" t="s">
        <v>211</v>
      </c>
      <c r="E215" s="172">
        <v>2.49061634170165E-2</v>
      </c>
      <c r="F215" s="172">
        <v>2.0065496118455099E-2</v>
      </c>
      <c r="G215" s="172">
        <v>1.24124333981003</v>
      </c>
    </row>
    <row r="216" spans="2:7" hidden="1" x14ac:dyDescent="0.3">
      <c r="B216" s="172" t="s">
        <v>39</v>
      </c>
      <c r="C216" s="172" t="s">
        <v>82</v>
      </c>
      <c r="D216" s="172" t="s">
        <v>210</v>
      </c>
      <c r="E216" s="172">
        <v>7.6611773138279297E-3</v>
      </c>
      <c r="F216" s="172">
        <v>4.5318723482253203E-3</v>
      </c>
      <c r="G216" s="172">
        <v>1.69051039507502</v>
      </c>
    </row>
    <row r="217" spans="2:7" hidden="1" x14ac:dyDescent="0.3">
      <c r="B217" s="172" t="s">
        <v>39</v>
      </c>
      <c r="C217" s="172" t="s">
        <v>82</v>
      </c>
      <c r="D217" s="172" t="s">
        <v>211</v>
      </c>
      <c r="E217" s="172">
        <v>2.12821935344393E-2</v>
      </c>
      <c r="F217" s="172">
        <v>1.69011665825957E-2</v>
      </c>
      <c r="G217" s="172">
        <v>1.25921447081381</v>
      </c>
    </row>
    <row r="218" spans="2:7" hidden="1" x14ac:dyDescent="0.3">
      <c r="B218" s="172" t="s">
        <v>26</v>
      </c>
      <c r="C218" s="172" t="s">
        <v>82</v>
      </c>
      <c r="D218" s="172" t="s">
        <v>210</v>
      </c>
      <c r="E218" s="172">
        <v>6.41224650435805E-3</v>
      </c>
      <c r="F218" s="172">
        <v>3.71810237301379E-3</v>
      </c>
      <c r="G218" s="172">
        <v>1.7246019235238199</v>
      </c>
    </row>
    <row r="219" spans="2:7" hidden="1" x14ac:dyDescent="0.3">
      <c r="B219" s="172" t="s">
        <v>26</v>
      </c>
      <c r="C219" s="172" t="s">
        <v>82</v>
      </c>
      <c r="D219" s="172" t="s">
        <v>211</v>
      </c>
      <c r="E219" s="172">
        <v>1.73151650929011E-2</v>
      </c>
      <c r="F219" s="172">
        <v>1.35433633090192E-2</v>
      </c>
      <c r="G219" s="172">
        <v>1.27849816163243</v>
      </c>
    </row>
    <row r="220" spans="2:7" hidden="1" x14ac:dyDescent="0.3">
      <c r="B220" s="172" t="s">
        <v>25</v>
      </c>
      <c r="C220" s="172" t="s">
        <v>82</v>
      </c>
      <c r="D220" s="172" t="s">
        <v>210</v>
      </c>
      <c r="E220" s="172">
        <v>4.9951056044020802E-3</v>
      </c>
      <c r="F220" s="172">
        <v>2.8467236421761098E-3</v>
      </c>
      <c r="G220" s="172">
        <v>1.7546858186008101</v>
      </c>
    </row>
    <row r="221" spans="2:7" hidden="1" x14ac:dyDescent="0.3">
      <c r="B221" s="172" t="s">
        <v>25</v>
      </c>
      <c r="C221" s="172" t="s">
        <v>82</v>
      </c>
      <c r="D221" s="172" t="s">
        <v>211</v>
      </c>
      <c r="E221" s="172">
        <v>1.30706407987388E-2</v>
      </c>
      <c r="F221" s="172">
        <v>1.00629060516225E-2</v>
      </c>
      <c r="G221" s="172">
        <v>1.2988932552571499</v>
      </c>
    </row>
    <row r="222" spans="2:7" hidden="1" x14ac:dyDescent="0.3">
      <c r="B222" s="172" t="s">
        <v>24</v>
      </c>
      <c r="C222" s="172" t="s">
        <v>82</v>
      </c>
      <c r="D222" s="172" t="s">
        <v>210</v>
      </c>
      <c r="E222" s="172">
        <v>3.4241997989559098E-3</v>
      </c>
      <c r="F222" s="172">
        <v>1.92423748263626E-3</v>
      </c>
      <c r="G222" s="172">
        <v>1.7795099772532501</v>
      </c>
    </row>
    <row r="223" spans="2:7" hidden="1" x14ac:dyDescent="0.3">
      <c r="B223" s="172" t="s">
        <v>24</v>
      </c>
      <c r="C223" s="172" t="s">
        <v>82</v>
      </c>
      <c r="D223" s="172" t="s">
        <v>211</v>
      </c>
      <c r="E223" s="172">
        <v>8.6311844399359107E-3</v>
      </c>
      <c r="F223" s="172">
        <v>6.5312371970884103E-3</v>
      </c>
      <c r="G223" s="172">
        <v>1.32152365309648</v>
      </c>
    </row>
    <row r="224" spans="2:7" hidden="1" x14ac:dyDescent="0.3">
      <c r="B224" s="172" t="s">
        <v>22</v>
      </c>
      <c r="C224" s="172" t="s">
        <v>82</v>
      </c>
      <c r="D224" s="172" t="s">
        <v>210</v>
      </c>
      <c r="E224" s="172">
        <v>1.7255658651872301E-3</v>
      </c>
      <c r="F224" s="172">
        <v>9.6693667860030903E-4</v>
      </c>
      <c r="G224" s="172">
        <v>1.7845696656011401</v>
      </c>
    </row>
    <row r="225" spans="2:7" hidden="1" x14ac:dyDescent="0.3">
      <c r="B225" s="172" t="s">
        <v>22</v>
      </c>
      <c r="C225" s="172" t="s">
        <v>82</v>
      </c>
      <c r="D225" s="172" t="s">
        <v>211</v>
      </c>
      <c r="E225" s="172">
        <v>4.1290419813850001E-3</v>
      </c>
      <c r="F225" s="172">
        <v>3.0669611201633198E-3</v>
      </c>
      <c r="G225" s="172">
        <v>1.3462974650181201</v>
      </c>
    </row>
    <row r="226" spans="2:7" hidden="1" x14ac:dyDescent="0.3">
      <c r="B226" s="172" t="s">
        <v>189</v>
      </c>
      <c r="C226" s="172" t="s">
        <v>202</v>
      </c>
      <c r="D226" s="172" t="s">
        <v>210</v>
      </c>
      <c r="E226" s="172">
        <v>8.6614253670726097E-4</v>
      </c>
      <c r="F226" s="172">
        <v>8.3466701120387104E-4</v>
      </c>
      <c r="G226" s="172">
        <v>1.0377102785672501</v>
      </c>
    </row>
    <row r="227" spans="2:7" hidden="1" x14ac:dyDescent="0.3">
      <c r="B227" s="172" t="s">
        <v>189</v>
      </c>
      <c r="C227" s="172" t="s">
        <v>202</v>
      </c>
      <c r="D227" s="172" t="s">
        <v>211</v>
      </c>
      <c r="E227" s="172">
        <v>1.5209990778243399E-3</v>
      </c>
      <c r="F227" s="172">
        <v>1.48165467094511E-3</v>
      </c>
      <c r="G227" s="172">
        <v>1.0265543703608999</v>
      </c>
    </row>
    <row r="228" spans="2:7" hidden="1" x14ac:dyDescent="0.3">
      <c r="B228" s="172" t="s">
        <v>187</v>
      </c>
      <c r="C228" s="172" t="s">
        <v>202</v>
      </c>
      <c r="D228" s="172" t="s">
        <v>210</v>
      </c>
      <c r="E228" s="172">
        <v>1.0670612365539199E-3</v>
      </c>
      <c r="F228" s="172">
        <v>6.3709404862463399E-4</v>
      </c>
      <c r="G228" s="172">
        <v>1.67488809361428</v>
      </c>
    </row>
    <row r="229" spans="2:7" hidden="1" x14ac:dyDescent="0.3">
      <c r="B229" s="172" t="s">
        <v>187</v>
      </c>
      <c r="C229" s="172" t="s">
        <v>202</v>
      </c>
      <c r="D229" s="172" t="s">
        <v>211</v>
      </c>
      <c r="E229" s="172">
        <v>1.0603153208209701E-3</v>
      </c>
      <c r="F229" s="172">
        <v>4.5836125771997498E-4</v>
      </c>
      <c r="G229" s="172">
        <v>2.3132743070286801</v>
      </c>
    </row>
    <row r="230" spans="2:7" hidden="1" x14ac:dyDescent="0.3">
      <c r="B230" s="172" t="s">
        <v>185</v>
      </c>
      <c r="C230" s="172" t="s">
        <v>202</v>
      </c>
      <c r="D230" s="172" t="s">
        <v>210</v>
      </c>
      <c r="E230" s="172">
        <v>8.7406776226482403E-4</v>
      </c>
      <c r="F230" s="172">
        <v>5.1337264178869804E-4</v>
      </c>
      <c r="G230" s="172">
        <v>1.7025990306366701</v>
      </c>
    </row>
    <row r="231" spans="2:7" hidden="1" x14ac:dyDescent="0.3">
      <c r="B231" s="172" t="s">
        <v>185</v>
      </c>
      <c r="C231" s="172" t="s">
        <v>202</v>
      </c>
      <c r="D231" s="172" t="s">
        <v>211</v>
      </c>
      <c r="E231" s="172">
        <v>8.8949394399047399E-4</v>
      </c>
      <c r="F231" s="172">
        <v>3.8452077532389798E-4</v>
      </c>
      <c r="G231" s="172">
        <v>2.3132532780347601</v>
      </c>
    </row>
    <row r="232" spans="2:7" hidden="1" x14ac:dyDescent="0.3">
      <c r="B232" s="172" t="s">
        <v>183</v>
      </c>
      <c r="C232" s="172" t="s">
        <v>202</v>
      </c>
      <c r="D232" s="172" t="s">
        <v>210</v>
      </c>
      <c r="E232" s="172">
        <v>6.6059914958734099E-4</v>
      </c>
      <c r="F232" s="172">
        <v>3.5970848599990799E-4</v>
      </c>
      <c r="G232" s="172">
        <v>1.83648475167614</v>
      </c>
    </row>
    <row r="233" spans="2:7" hidden="1" x14ac:dyDescent="0.3">
      <c r="B233" s="172" t="s">
        <v>183</v>
      </c>
      <c r="C233" s="172" t="s">
        <v>202</v>
      </c>
      <c r="D233" s="172" t="s">
        <v>211</v>
      </c>
      <c r="E233" s="172">
        <v>7.2449592764047097E-4</v>
      </c>
      <c r="F233" s="172">
        <v>3.0324899861806502E-4</v>
      </c>
      <c r="G233" s="172">
        <v>2.3891123497260298</v>
      </c>
    </row>
    <row r="234" spans="2:7" hidden="1" x14ac:dyDescent="0.3">
      <c r="B234" s="172" t="s">
        <v>181</v>
      </c>
      <c r="C234" s="172" t="s">
        <v>202</v>
      </c>
      <c r="D234" s="172" t="s">
        <v>210</v>
      </c>
      <c r="E234" s="172">
        <v>4.6263613178106397E-4</v>
      </c>
      <c r="F234" s="172">
        <v>2.18025603815843E-4</v>
      </c>
      <c r="G234" s="172">
        <v>2.1219348722539602</v>
      </c>
    </row>
    <row r="235" spans="2:7" hidden="1" x14ac:dyDescent="0.3">
      <c r="B235" s="172" t="s">
        <v>181</v>
      </c>
      <c r="C235" s="172" t="s">
        <v>202</v>
      </c>
      <c r="D235" s="172" t="s">
        <v>211</v>
      </c>
      <c r="E235" s="172">
        <v>5.6888798162657605E-4</v>
      </c>
      <c r="F235" s="172">
        <v>2.2643324247526801E-4</v>
      </c>
      <c r="G235" s="172">
        <v>2.51238720696549</v>
      </c>
    </row>
    <row r="236" spans="2:7" s="172" customFormat="1" hidden="1" x14ac:dyDescent="0.3">
      <c r="B236" s="172" t="s">
        <v>179</v>
      </c>
      <c r="C236" s="172" t="s">
        <v>202</v>
      </c>
      <c r="D236" s="172" t="s">
        <v>210</v>
      </c>
      <c r="E236" s="172">
        <v>2.8369895867210999E-4</v>
      </c>
      <c r="F236" s="172">
        <v>9.0604085897823402E-5</v>
      </c>
      <c r="G236" s="172">
        <v>3.1311938734423599</v>
      </c>
    </row>
    <row r="237" spans="2:7" hidden="1" x14ac:dyDescent="0.3">
      <c r="B237" s="172" t="s">
        <v>179</v>
      </c>
      <c r="C237" s="172" t="s">
        <v>202</v>
      </c>
      <c r="D237" s="172" t="s">
        <v>211</v>
      </c>
      <c r="E237" s="172">
        <v>4.2606450781615298E-4</v>
      </c>
      <c r="F237" s="172">
        <v>1.55731685932152E-4</v>
      </c>
      <c r="G237" s="172">
        <v>2.7358883663648101</v>
      </c>
    </row>
    <row r="238" spans="2:7" hidden="1" x14ac:dyDescent="0.3">
      <c r="B238" s="172" t="s">
        <v>39</v>
      </c>
      <c r="C238" s="172" t="s">
        <v>202</v>
      </c>
      <c r="D238" s="172" t="s">
        <v>210</v>
      </c>
      <c r="E238" s="172">
        <v>1.6629199556642501E-4</v>
      </c>
      <c r="F238" s="172">
        <v>1.9182461671709001E-5</v>
      </c>
      <c r="G238" s="172">
        <v>8.6689601372527996</v>
      </c>
    </row>
    <row r="239" spans="2:7" s="172" customFormat="1" hidden="1" x14ac:dyDescent="0.3">
      <c r="B239" s="172" t="s">
        <v>39</v>
      </c>
      <c r="C239" s="172" t="s">
        <v>202</v>
      </c>
      <c r="D239" s="172" t="s">
        <v>211</v>
      </c>
      <c r="E239" s="172">
        <v>2.98441005203869E-4</v>
      </c>
      <c r="F239" s="172">
        <v>9.2487657751265994E-5</v>
      </c>
      <c r="G239" s="172">
        <v>3.22681979909675</v>
      </c>
    </row>
    <row r="240" spans="2:7" hidden="1" x14ac:dyDescent="0.3">
      <c r="B240" s="172" t="s">
        <v>26</v>
      </c>
      <c r="C240" s="172" t="s">
        <v>202</v>
      </c>
      <c r="D240" s="172" t="s">
        <v>210</v>
      </c>
      <c r="E240" s="172">
        <v>2.1558732385005999E-4</v>
      </c>
      <c r="F240" s="172">
        <v>1.0667930948343E-4</v>
      </c>
      <c r="G240" s="172">
        <v>2.02089163206991</v>
      </c>
    </row>
    <row r="241" spans="2:7" hidden="1" x14ac:dyDescent="0.3">
      <c r="B241" s="172" t="s">
        <v>26</v>
      </c>
      <c r="C241" s="172" t="s">
        <v>202</v>
      </c>
      <c r="D241" s="172" t="s">
        <v>211</v>
      </c>
      <c r="E241" s="172">
        <v>1.9314696406856299E-4</v>
      </c>
      <c r="F241" s="172">
        <v>4.0675743955281202E-5</v>
      </c>
      <c r="G241" s="172">
        <v>4.7484555975400999</v>
      </c>
    </row>
    <row r="242" spans="2:7" s="172" customFormat="1" hidden="1" x14ac:dyDescent="0.3">
      <c r="B242" s="172" t="s">
        <v>25</v>
      </c>
      <c r="C242" s="172" t="s">
        <v>202</v>
      </c>
      <c r="D242" s="172" t="s">
        <v>210</v>
      </c>
      <c r="E242" s="172">
        <v>2.3639057890806399E-4</v>
      </c>
      <c r="F242" s="172">
        <v>1.6539581674614501E-4</v>
      </c>
      <c r="G242" s="172">
        <v>1.4292415827595299</v>
      </c>
    </row>
    <row r="243" spans="2:7" hidden="1" x14ac:dyDescent="0.3">
      <c r="B243" s="172" t="s">
        <v>24</v>
      </c>
      <c r="C243" s="172" t="s">
        <v>202</v>
      </c>
      <c r="D243" s="172" t="s">
        <v>210</v>
      </c>
      <c r="E243" s="172">
        <v>2.2778205510792001E-4</v>
      </c>
      <c r="F243" s="172">
        <v>1.8729513475581699E-4</v>
      </c>
      <c r="G243" s="172">
        <v>1.21616642848138</v>
      </c>
    </row>
    <row r="244" spans="2:7" hidden="1" x14ac:dyDescent="0.3">
      <c r="B244" s="172" t="s">
        <v>24</v>
      </c>
      <c r="C244" s="172" t="s">
        <v>202</v>
      </c>
      <c r="D244" s="172" t="s">
        <v>211</v>
      </c>
      <c r="E244" s="172">
        <v>8.9847846683493602E-5</v>
      </c>
      <c r="F244" s="172">
        <v>3.3166158190548802E-5</v>
      </c>
      <c r="G244" s="172">
        <v>2.7090218338612702</v>
      </c>
    </row>
    <row r="245" spans="2:7" s="172" customFormat="1" hidden="1" x14ac:dyDescent="0.3">
      <c r="B245" s="172" t="s">
        <v>22</v>
      </c>
      <c r="C245" s="172" t="s">
        <v>202</v>
      </c>
      <c r="D245" s="172" t="s">
        <v>210</v>
      </c>
      <c r="E245" s="172">
        <v>1.70132073379089E-4</v>
      </c>
      <c r="F245" s="172">
        <v>1.52004962298138E-4</v>
      </c>
      <c r="G245" s="172">
        <v>1.1192534165127901</v>
      </c>
    </row>
    <row r="246" spans="2:7" hidden="1" x14ac:dyDescent="0.3">
      <c r="B246" s="172" t="s">
        <v>22</v>
      </c>
      <c r="C246" s="172" t="s">
        <v>202</v>
      </c>
      <c r="D246" s="172" t="s">
        <v>211</v>
      </c>
      <c r="E246" s="172">
        <v>6.39032392157232E-5</v>
      </c>
      <c r="F246" s="172">
        <v>3.8525283702391801E-5</v>
      </c>
      <c r="G246" s="172">
        <v>1.65873507147608</v>
      </c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s="172" customFormat="1" hidden="1" x14ac:dyDescent="0.3"/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s="172" customFormat="1" hidden="1" x14ac:dyDescent="0.3"/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191"/>
      <c r="C268" s="191"/>
      <c r="D268" s="191"/>
      <c r="E268" s="191" t="s">
        <v>7</v>
      </c>
      <c r="F268" s="191" t="s">
        <v>7</v>
      </c>
      <c r="G268" s="192"/>
    </row>
    <row r="269" spans="2:7" s="172" customFormat="1" x14ac:dyDescent="0.3">
      <c r="B269" s="27" t="s">
        <v>213</v>
      </c>
      <c r="C269" s="27" t="s">
        <v>214</v>
      </c>
      <c r="D269" s="27" t="s">
        <v>215</v>
      </c>
      <c r="E269" s="27" t="s">
        <v>216</v>
      </c>
      <c r="F269" s="27" t="s">
        <v>217</v>
      </c>
      <c r="G269" s="27" t="s">
        <v>218</v>
      </c>
    </row>
    <row r="270" spans="2:7" hidden="1" x14ac:dyDescent="0.3">
      <c r="B270" s="172" t="s">
        <v>189</v>
      </c>
      <c r="C270" s="172" t="s">
        <v>79</v>
      </c>
      <c r="D270" s="172" t="s">
        <v>210</v>
      </c>
      <c r="E270" s="172">
        <v>2.20991022375738E-2</v>
      </c>
      <c r="F270" s="172">
        <v>2.1407776684168101E-2</v>
      </c>
      <c r="G270" s="172">
        <v>1.0322931971687099</v>
      </c>
    </row>
    <row r="271" spans="2:7" hidden="1" x14ac:dyDescent="0.3">
      <c r="B271" s="172" t="s">
        <v>189</v>
      </c>
      <c r="C271" s="172" t="s">
        <v>79</v>
      </c>
      <c r="D271" s="172" t="s">
        <v>211</v>
      </c>
      <c r="E271" s="172">
        <v>6.4621199201633601E-3</v>
      </c>
      <c r="F271" s="172">
        <v>5.5979629784063002E-3</v>
      </c>
      <c r="G271" s="172">
        <v>1.1543698922430301</v>
      </c>
    </row>
    <row r="272" spans="2:7" s="172" customFormat="1" hidden="1" x14ac:dyDescent="0.3">
      <c r="B272" s="172" t="s">
        <v>187</v>
      </c>
      <c r="C272" s="172" t="s">
        <v>79</v>
      </c>
      <c r="D272" s="172" t="s">
        <v>210</v>
      </c>
      <c r="E272" s="172">
        <v>2.5070267722540601E-2</v>
      </c>
      <c r="F272" s="172">
        <v>2.24128212089818E-2</v>
      </c>
      <c r="G272" s="172">
        <v>1.1185681395831599</v>
      </c>
    </row>
    <row r="273" spans="2:7" hidden="1" x14ac:dyDescent="0.3">
      <c r="B273" s="172" t="s">
        <v>187</v>
      </c>
      <c r="C273" s="172" t="s">
        <v>79</v>
      </c>
      <c r="D273" s="172" t="s">
        <v>211</v>
      </c>
      <c r="E273" s="172">
        <v>1.16105564685757E-2</v>
      </c>
      <c r="F273" s="172">
        <v>7.8901313495932501E-3</v>
      </c>
      <c r="G273" s="172">
        <v>1.4715289206401101</v>
      </c>
    </row>
    <row r="274" spans="2:7" s="172" customFormat="1" hidden="1" x14ac:dyDescent="0.3">
      <c r="B274" s="172" t="s">
        <v>185</v>
      </c>
      <c r="C274" s="172" t="s">
        <v>79</v>
      </c>
      <c r="D274" s="172" t="s">
        <v>210</v>
      </c>
      <c r="E274" s="172">
        <v>2.4230977460021699E-2</v>
      </c>
      <c r="F274" s="172">
        <v>2.1486872485719299E-2</v>
      </c>
      <c r="G274" s="172">
        <v>1.12771076740583</v>
      </c>
    </row>
    <row r="275" spans="2:7" hidden="1" x14ac:dyDescent="0.3">
      <c r="B275" s="172" t="s">
        <v>185</v>
      </c>
      <c r="C275" s="172" t="s">
        <v>79</v>
      </c>
      <c r="D275" s="172" t="s">
        <v>211</v>
      </c>
      <c r="E275" s="172">
        <v>1.1282524902536799E-2</v>
      </c>
      <c r="F275" s="172">
        <v>7.4407779385133902E-3</v>
      </c>
      <c r="G275" s="172">
        <v>1.5163098530515999</v>
      </c>
    </row>
    <row r="276" spans="2:7" hidden="1" x14ac:dyDescent="0.3">
      <c r="B276" s="172" t="s">
        <v>183</v>
      </c>
      <c r="C276" s="172" t="s">
        <v>79</v>
      </c>
      <c r="D276" s="172" t="s">
        <v>210</v>
      </c>
      <c r="E276" s="172">
        <v>2.2848336005803899E-2</v>
      </c>
      <c r="F276" s="172">
        <v>2.0107617923468199E-2</v>
      </c>
      <c r="G276" s="172">
        <v>1.1363024746524999</v>
      </c>
    </row>
    <row r="277" spans="2:7" s="172" customFormat="1" hidden="1" x14ac:dyDescent="0.3">
      <c r="B277" s="172" t="s">
        <v>183</v>
      </c>
      <c r="C277" s="172" t="s">
        <v>79</v>
      </c>
      <c r="D277" s="172" t="s">
        <v>211</v>
      </c>
      <c r="E277" s="172">
        <v>1.06968106607796E-2</v>
      </c>
      <c r="F277" s="172">
        <v>6.8598053455096297E-3</v>
      </c>
      <c r="G277" s="172">
        <v>1.5593460924925</v>
      </c>
    </row>
    <row r="278" spans="2:7" hidden="1" x14ac:dyDescent="0.3">
      <c r="B278" s="172" t="s">
        <v>181</v>
      </c>
      <c r="C278" s="172" t="s">
        <v>79</v>
      </c>
      <c r="D278" s="172" t="s">
        <v>210</v>
      </c>
      <c r="E278" s="172">
        <v>2.09718125654384E-2</v>
      </c>
      <c r="F278" s="172">
        <v>1.8326659482048199E-2</v>
      </c>
      <c r="G278" s="172">
        <v>1.14433361879077</v>
      </c>
    </row>
    <row r="279" spans="2:7" hidden="1" x14ac:dyDescent="0.3">
      <c r="B279" s="172" t="s">
        <v>181</v>
      </c>
      <c r="C279" s="172" t="s">
        <v>79</v>
      </c>
      <c r="D279" s="172" t="s">
        <v>211</v>
      </c>
      <c r="E279" s="172">
        <v>9.8677570218632694E-3</v>
      </c>
      <c r="F279" s="172">
        <v>6.1645427051169798E-3</v>
      </c>
      <c r="G279" s="172">
        <v>1.6007281470647201</v>
      </c>
    </row>
    <row r="280" spans="2:7" s="172" customFormat="1" hidden="1" x14ac:dyDescent="0.3">
      <c r="B280" s="172" t="s">
        <v>179</v>
      </c>
      <c r="C280" s="172" t="s">
        <v>79</v>
      </c>
      <c r="D280" s="172" t="s">
        <v>210</v>
      </c>
      <c r="E280" s="172">
        <v>1.8676800148079199E-2</v>
      </c>
      <c r="F280" s="172">
        <v>1.6208536338097799E-2</v>
      </c>
      <c r="G280" s="172">
        <v>1.1522817210940799</v>
      </c>
    </row>
    <row r="281" spans="2:7" hidden="1" x14ac:dyDescent="0.3">
      <c r="B281" s="172" t="s">
        <v>179</v>
      </c>
      <c r="C281" s="172" t="s">
        <v>79</v>
      </c>
      <c r="D281" s="172" t="s">
        <v>211</v>
      </c>
      <c r="E281" s="172">
        <v>8.8359844766456499E-3</v>
      </c>
      <c r="F281" s="172">
        <v>5.3804151426715902E-3</v>
      </c>
      <c r="G281" s="172">
        <v>1.6422495741208201</v>
      </c>
    </row>
    <row r="282" spans="2:7" hidden="1" x14ac:dyDescent="0.3">
      <c r="B282" s="172" t="s">
        <v>39</v>
      </c>
      <c r="C282" s="172" t="s">
        <v>79</v>
      </c>
      <c r="D282" s="172" t="s">
        <v>210</v>
      </c>
      <c r="E282" s="172">
        <v>1.6031265125670002E-2</v>
      </c>
      <c r="F282" s="172">
        <v>1.38138043478976E-2</v>
      </c>
      <c r="G282" s="172">
        <v>1.1605249880428401</v>
      </c>
    </row>
    <row r="283" spans="2:7" hidden="1" x14ac:dyDescent="0.3">
      <c r="B283" s="172" t="s">
        <v>39</v>
      </c>
      <c r="C283" s="172" t="s">
        <v>79</v>
      </c>
      <c r="D283" s="172" t="s">
        <v>211</v>
      </c>
      <c r="E283" s="172">
        <v>7.6327107707548896E-3</v>
      </c>
      <c r="F283" s="172">
        <v>4.5282656818735603E-3</v>
      </c>
      <c r="G283" s="172">
        <v>1.68557043843701</v>
      </c>
    </row>
    <row r="284" spans="2:7" hidden="1" x14ac:dyDescent="0.3">
      <c r="B284" s="172" t="s">
        <v>26</v>
      </c>
      <c r="C284" s="172" t="s">
        <v>79</v>
      </c>
      <c r="D284" s="172" t="s">
        <v>210</v>
      </c>
      <c r="E284" s="172">
        <v>1.31087505610714E-2</v>
      </c>
      <c r="F284" s="172">
        <v>1.12209923817586E-2</v>
      </c>
      <c r="G284" s="172">
        <v>1.1682345121614801</v>
      </c>
    </row>
    <row r="285" spans="2:7" hidden="1" x14ac:dyDescent="0.3">
      <c r="B285" s="172" t="s">
        <v>26</v>
      </c>
      <c r="C285" s="172" t="s">
        <v>79</v>
      </c>
      <c r="D285" s="172" t="s">
        <v>211</v>
      </c>
      <c r="E285" s="172">
        <v>6.2694431771198903E-3</v>
      </c>
      <c r="F285" s="172">
        <v>3.6265817260819899E-3</v>
      </c>
      <c r="G285" s="172">
        <v>1.72874724758875</v>
      </c>
    </row>
    <row r="286" spans="2:7" hidden="1" x14ac:dyDescent="0.3">
      <c r="B286" s="172" t="s">
        <v>25</v>
      </c>
      <c r="C286" s="172" t="s">
        <v>79</v>
      </c>
      <c r="D286" s="172" t="s">
        <v>210</v>
      </c>
      <c r="E286" s="172">
        <v>9.9707778488438894E-3</v>
      </c>
      <c r="F286" s="172">
        <v>8.4914641716059593E-3</v>
      </c>
      <c r="G286" s="172">
        <v>1.1742118493751099</v>
      </c>
    </row>
    <row r="287" spans="2:7" hidden="1" x14ac:dyDescent="0.3">
      <c r="B287" s="172" t="s">
        <v>25</v>
      </c>
      <c r="C287" s="172" t="s">
        <v>79</v>
      </c>
      <c r="D287" s="172" t="s">
        <v>211</v>
      </c>
      <c r="E287" s="172">
        <v>4.7663883088379802E-3</v>
      </c>
      <c r="F287" s="172">
        <v>2.6953491607048701E-3</v>
      </c>
      <c r="G287" s="172">
        <v>1.76837508784632</v>
      </c>
    </row>
    <row r="288" spans="2:7" hidden="1" x14ac:dyDescent="0.3">
      <c r="B288" s="172" t="s">
        <v>24</v>
      </c>
      <c r="C288" s="172" t="s">
        <v>79</v>
      </c>
      <c r="D288" s="172" t="s">
        <v>210</v>
      </c>
      <c r="E288" s="172">
        <v>6.6691885048617101E-3</v>
      </c>
      <c r="F288" s="172">
        <v>5.6643857847523899E-3</v>
      </c>
      <c r="G288" s="172">
        <v>1.17738952788387</v>
      </c>
    </row>
    <row r="289" spans="2:7" hidden="1" x14ac:dyDescent="0.3">
      <c r="B289" s="172" t="s">
        <v>24</v>
      </c>
      <c r="C289" s="172" t="s">
        <v>79</v>
      </c>
      <c r="D289" s="172" t="s">
        <v>211</v>
      </c>
      <c r="E289" s="172">
        <v>3.1598368557967799E-3</v>
      </c>
      <c r="F289" s="172">
        <v>1.7531130476437201E-3</v>
      </c>
      <c r="G289" s="172">
        <v>1.8024147729912601</v>
      </c>
    </row>
    <row r="290" spans="2:7" hidden="1" x14ac:dyDescent="0.3">
      <c r="B290" s="172" t="s">
        <v>22</v>
      </c>
      <c r="C290" s="172" t="s">
        <v>79</v>
      </c>
      <c r="D290" s="172" t="s">
        <v>210</v>
      </c>
      <c r="E290" s="172">
        <v>3.2868209450209501E-3</v>
      </c>
      <c r="F290" s="172">
        <v>2.8100028512609001E-3</v>
      </c>
      <c r="G290" s="172">
        <v>1.16968598218542</v>
      </c>
    </row>
    <row r="291" spans="2:7" hidden="1" x14ac:dyDescent="0.3">
      <c r="B291" s="172" t="s">
        <v>22</v>
      </c>
      <c r="C291" s="172" t="s">
        <v>79</v>
      </c>
      <c r="D291" s="172" t="s">
        <v>211</v>
      </c>
      <c r="E291" s="172">
        <v>1.49682421058513E-3</v>
      </c>
      <c r="F291" s="172">
        <v>8.2927887932106705E-4</v>
      </c>
      <c r="G291" s="172">
        <v>1.8049708583083499</v>
      </c>
    </row>
    <row r="292" spans="2:7" hidden="1" x14ac:dyDescent="0.3">
      <c r="B292" s="172" t="s">
        <v>189</v>
      </c>
      <c r="C292" s="172" t="s">
        <v>80</v>
      </c>
      <c r="D292" s="172" t="s">
        <v>210</v>
      </c>
      <c r="E292" s="172">
        <v>2.2728825660227801E-2</v>
      </c>
      <c r="F292" s="172">
        <v>2.2644084583929799E-2</v>
      </c>
      <c r="G292" s="172">
        <v>1.0037423052357799</v>
      </c>
    </row>
    <row r="293" spans="2:7" hidden="1" x14ac:dyDescent="0.3">
      <c r="B293" s="172" t="s">
        <v>189</v>
      </c>
      <c r="C293" s="172" t="s">
        <v>80</v>
      </c>
      <c r="D293" s="172" t="s">
        <v>211</v>
      </c>
      <c r="E293" s="172">
        <v>8.2366363699450593E-3</v>
      </c>
      <c r="F293" s="172">
        <v>8.1307100245725898E-3</v>
      </c>
      <c r="G293" s="172">
        <v>1.0130279329913801</v>
      </c>
    </row>
    <row r="294" spans="2:7" hidden="1" x14ac:dyDescent="0.3">
      <c r="B294" s="172" t="s">
        <v>187</v>
      </c>
      <c r="C294" s="172" t="s">
        <v>80</v>
      </c>
      <c r="D294" s="172" t="s">
        <v>210</v>
      </c>
      <c r="E294" s="172">
        <v>2.2377004960224999E-2</v>
      </c>
      <c r="F294" s="172">
        <v>2.1960575047001499E-2</v>
      </c>
      <c r="G294" s="172">
        <v>1.0189626142454</v>
      </c>
    </row>
    <row r="295" spans="2:7" hidden="1" x14ac:dyDescent="0.3">
      <c r="B295" s="172" t="s">
        <v>187</v>
      </c>
      <c r="C295" s="172" t="s">
        <v>80</v>
      </c>
      <c r="D295" s="172" t="s">
        <v>211</v>
      </c>
      <c r="E295" s="172">
        <v>8.4839141191973104E-3</v>
      </c>
      <c r="F295" s="172">
        <v>7.9009122406844996E-3</v>
      </c>
      <c r="G295" s="172">
        <v>1.0737891854450301</v>
      </c>
    </row>
    <row r="296" spans="2:7" hidden="1" x14ac:dyDescent="0.3">
      <c r="B296" s="172" t="s">
        <v>185</v>
      </c>
      <c r="C296" s="172" t="s">
        <v>80</v>
      </c>
      <c r="D296" s="172" t="s">
        <v>210</v>
      </c>
      <c r="E296" s="172">
        <v>2.16458964328551E-2</v>
      </c>
      <c r="F296" s="172">
        <v>2.1043273173033099E-2</v>
      </c>
      <c r="G296" s="172">
        <v>1.02863733483222</v>
      </c>
    </row>
    <row r="297" spans="2:7" hidden="1" x14ac:dyDescent="0.3">
      <c r="B297" s="172" t="s">
        <v>185</v>
      </c>
      <c r="C297" s="172" t="s">
        <v>80</v>
      </c>
      <c r="D297" s="172" t="s">
        <v>211</v>
      </c>
      <c r="E297" s="172">
        <v>8.2574509730932496E-3</v>
      </c>
      <c r="F297" s="172">
        <v>7.4137784093425002E-3</v>
      </c>
      <c r="G297" s="172">
        <v>1.11379792019243</v>
      </c>
    </row>
    <row r="298" spans="2:7" hidden="1" x14ac:dyDescent="0.3">
      <c r="B298" s="172" t="s">
        <v>183</v>
      </c>
      <c r="C298" s="172" t="s">
        <v>80</v>
      </c>
      <c r="D298" s="172" t="s">
        <v>210</v>
      </c>
      <c r="E298" s="172">
        <v>2.0423659420502501E-2</v>
      </c>
      <c r="F298" s="172">
        <v>1.9682757486507899E-2</v>
      </c>
      <c r="G298" s="172">
        <v>1.03764218171679</v>
      </c>
    </row>
    <row r="299" spans="2:7" hidden="1" x14ac:dyDescent="0.3">
      <c r="B299" s="172" t="s">
        <v>183</v>
      </c>
      <c r="C299" s="172" t="s">
        <v>80</v>
      </c>
      <c r="D299" s="172" t="s">
        <v>211</v>
      </c>
      <c r="E299" s="172">
        <v>7.8380289423044692E-3</v>
      </c>
      <c r="F299" s="172">
        <v>6.8007662347120204E-3</v>
      </c>
      <c r="G299" s="172">
        <v>1.15252144711255</v>
      </c>
    </row>
    <row r="300" spans="2:7" hidden="1" x14ac:dyDescent="0.3">
      <c r="B300" s="172" t="s">
        <v>181</v>
      </c>
      <c r="C300" s="172" t="s">
        <v>80</v>
      </c>
      <c r="D300" s="172" t="s">
        <v>210</v>
      </c>
      <c r="E300" s="172">
        <v>1.87568596000546E-2</v>
      </c>
      <c r="F300" s="172">
        <v>1.7930910434833702E-2</v>
      </c>
      <c r="G300" s="172">
        <v>1.04606286826442</v>
      </c>
    </row>
    <row r="301" spans="2:7" hidden="1" x14ac:dyDescent="0.3">
      <c r="B301" s="172" t="s">
        <v>181</v>
      </c>
      <c r="C301" s="172" t="s">
        <v>80</v>
      </c>
      <c r="D301" s="172" t="s">
        <v>211</v>
      </c>
      <c r="E301" s="172">
        <v>7.2373809889719398E-3</v>
      </c>
      <c r="F301" s="172">
        <v>6.0810521576626902E-3</v>
      </c>
      <c r="G301" s="172">
        <v>1.1901527566824399</v>
      </c>
    </row>
    <row r="302" spans="2:7" hidden="1" x14ac:dyDescent="0.3">
      <c r="B302" s="172" t="s">
        <v>179</v>
      </c>
      <c r="C302" s="172" t="s">
        <v>80</v>
      </c>
      <c r="D302" s="172" t="s">
        <v>210</v>
      </c>
      <c r="E302" s="172">
        <v>1.6714072086629402E-2</v>
      </c>
      <c r="F302" s="172">
        <v>1.5851034941866401E-2</v>
      </c>
      <c r="G302" s="172">
        <v>1.0544467378898801</v>
      </c>
    </row>
    <row r="303" spans="2:7" hidden="1" x14ac:dyDescent="0.3">
      <c r="B303" s="172" t="s">
        <v>179</v>
      </c>
      <c r="C303" s="172" t="s">
        <v>80</v>
      </c>
      <c r="D303" s="172" t="s">
        <v>211</v>
      </c>
      <c r="E303" s="172">
        <v>6.4881294447373698E-3</v>
      </c>
      <c r="F303" s="172">
        <v>5.2798774420690702E-3</v>
      </c>
      <c r="G303" s="172">
        <v>1.22884091835942</v>
      </c>
    </row>
    <row r="304" spans="2:7" hidden="1" x14ac:dyDescent="0.3">
      <c r="B304" s="172" t="s">
        <v>39</v>
      </c>
      <c r="C304" s="172" t="s">
        <v>80</v>
      </c>
      <c r="D304" s="172" t="s">
        <v>210</v>
      </c>
      <c r="E304" s="172">
        <v>1.43561622333363E-2</v>
      </c>
      <c r="F304" s="172">
        <v>1.35024876259289E-2</v>
      </c>
      <c r="G304" s="172">
        <v>1.0632235059981101</v>
      </c>
    </row>
    <row r="305" spans="2:7" hidden="1" x14ac:dyDescent="0.3">
      <c r="B305" s="172" t="s">
        <v>39</v>
      </c>
      <c r="C305" s="172" t="s">
        <v>80</v>
      </c>
      <c r="D305" s="172" t="s">
        <v>211</v>
      </c>
      <c r="E305" s="172">
        <v>5.6134168400839204E-3</v>
      </c>
      <c r="F305" s="172">
        <v>4.4182723897136303E-3</v>
      </c>
      <c r="G305" s="172">
        <v>1.2705004003720399</v>
      </c>
    </row>
    <row r="306" spans="2:7" hidden="1" x14ac:dyDescent="0.3">
      <c r="B306" s="172" t="s">
        <v>26</v>
      </c>
      <c r="C306" s="172" t="s">
        <v>80</v>
      </c>
      <c r="D306" s="172" t="s">
        <v>210</v>
      </c>
      <c r="E306" s="172">
        <v>1.17490205315317E-2</v>
      </c>
      <c r="F306" s="172">
        <v>1.0963589326679299E-2</v>
      </c>
      <c r="G306" s="172">
        <v>1.07163996948893</v>
      </c>
    </row>
    <row r="307" spans="2:7" hidden="1" x14ac:dyDescent="0.3">
      <c r="B307" s="172" t="s">
        <v>26</v>
      </c>
      <c r="C307" s="172" t="s">
        <v>80</v>
      </c>
      <c r="D307" s="172" t="s">
        <v>211</v>
      </c>
      <c r="E307" s="172">
        <v>4.6160067405109102E-3</v>
      </c>
      <c r="F307" s="172">
        <v>3.5164030537174198E-3</v>
      </c>
      <c r="G307" s="172">
        <v>1.3127069536670499</v>
      </c>
    </row>
    <row r="308" spans="2:7" hidden="1" x14ac:dyDescent="0.3">
      <c r="B308" s="172" t="s">
        <v>25</v>
      </c>
      <c r="C308" s="172" t="s">
        <v>80</v>
      </c>
      <c r="D308" s="172" t="s">
        <v>210</v>
      </c>
      <c r="E308" s="172">
        <v>8.9475741366420499E-3</v>
      </c>
      <c r="F308" s="172">
        <v>8.29573967313273E-3</v>
      </c>
      <c r="G308" s="172">
        <v>1.0785746044587701</v>
      </c>
    </row>
    <row r="309" spans="2:7" hidden="1" x14ac:dyDescent="0.3">
      <c r="B309" s="172" t="s">
        <v>25</v>
      </c>
      <c r="C309" s="172" t="s">
        <v>80</v>
      </c>
      <c r="D309" s="172" t="s">
        <v>211</v>
      </c>
      <c r="E309" s="172">
        <v>3.50845876145366E-3</v>
      </c>
      <c r="F309" s="172">
        <v>2.5958905125406098E-3</v>
      </c>
      <c r="G309" s="172">
        <v>1.35154342777728</v>
      </c>
    </row>
    <row r="310" spans="2:7" hidden="1" x14ac:dyDescent="0.3">
      <c r="B310" s="172" t="s">
        <v>24</v>
      </c>
      <c r="C310" s="172" t="s">
        <v>80</v>
      </c>
      <c r="D310" s="172" t="s">
        <v>210</v>
      </c>
      <c r="E310" s="172">
        <v>5.9965675539112298E-3</v>
      </c>
      <c r="F310" s="172">
        <v>5.53589189683029E-3</v>
      </c>
      <c r="G310" s="172">
        <v>1.0832161584197</v>
      </c>
    </row>
    <row r="311" spans="2:7" hidden="1" x14ac:dyDescent="0.3">
      <c r="B311" s="172" t="s">
        <v>24</v>
      </c>
      <c r="C311" s="172" t="s">
        <v>80</v>
      </c>
      <c r="D311" s="172" t="s">
        <v>211</v>
      </c>
      <c r="E311" s="172">
        <v>2.3205677560263101E-3</v>
      </c>
      <c r="F311" s="172">
        <v>1.67562183611299E-3</v>
      </c>
      <c r="G311" s="172">
        <v>1.38489944808157</v>
      </c>
    </row>
    <row r="312" spans="2:7" hidden="1" x14ac:dyDescent="0.3">
      <c r="B312" s="172" t="s">
        <v>22</v>
      </c>
      <c r="C312" s="172" t="s">
        <v>80</v>
      </c>
      <c r="D312" s="172" t="s">
        <v>210</v>
      </c>
      <c r="E312" s="172">
        <v>2.9671149089384101E-3</v>
      </c>
      <c r="F312" s="172">
        <v>2.7517590595888199E-3</v>
      </c>
      <c r="G312" s="172">
        <v>1.0782611575672501</v>
      </c>
    </row>
    <row r="313" spans="2:7" hidden="1" x14ac:dyDescent="0.3">
      <c r="B313" s="172" t="s">
        <v>22</v>
      </c>
      <c r="C313" s="172" t="s">
        <v>80</v>
      </c>
      <c r="D313" s="172" t="s">
        <v>211</v>
      </c>
      <c r="E313" s="172">
        <v>1.0874864544512901E-3</v>
      </c>
      <c r="F313" s="172">
        <v>7.8598826536186296E-4</v>
      </c>
      <c r="G313" s="172">
        <v>1.38359120915199</v>
      </c>
    </row>
    <row r="314" spans="2:7" hidden="1" x14ac:dyDescent="0.3">
      <c r="B314" s="172" t="s">
        <v>189</v>
      </c>
      <c r="C314" s="172" t="s">
        <v>81</v>
      </c>
      <c r="D314" s="172" t="s">
        <v>210</v>
      </c>
      <c r="E314" s="172">
        <v>6.8897690158352702E-3</v>
      </c>
      <c r="F314" s="172">
        <v>6.8211034198471399E-3</v>
      </c>
      <c r="G314" s="172">
        <v>1.0100666405069201</v>
      </c>
    </row>
    <row r="315" spans="2:7" x14ac:dyDescent="0.3">
      <c r="B315" s="172" t="s">
        <v>189</v>
      </c>
      <c r="C315" s="172" t="s">
        <v>81</v>
      </c>
      <c r="D315" s="172" t="s">
        <v>211</v>
      </c>
      <c r="E315" s="172">
        <v>3.1091444115087401E-2</v>
      </c>
      <c r="F315" s="172">
        <v>3.1005612120102301E-2</v>
      </c>
      <c r="G315" s="172">
        <v>1.0027682728743701</v>
      </c>
    </row>
    <row r="316" spans="2:7" hidden="1" x14ac:dyDescent="0.3">
      <c r="B316" s="172" t="s">
        <v>187</v>
      </c>
      <c r="C316" s="172" t="s">
        <v>81</v>
      </c>
      <c r="D316" s="172" t="s">
        <v>210</v>
      </c>
      <c r="E316" s="172">
        <v>6.4213435239438904E-3</v>
      </c>
      <c r="F316" s="172">
        <v>6.3938255741815596E-3</v>
      </c>
      <c r="G316" s="172">
        <v>1.0043038317894399</v>
      </c>
    </row>
    <row r="317" spans="2:7" x14ac:dyDescent="0.3">
      <c r="B317" s="172" t="s">
        <v>187</v>
      </c>
      <c r="C317" s="172" t="s">
        <v>81</v>
      </c>
      <c r="D317" s="172" t="s">
        <v>211</v>
      </c>
      <c r="E317" s="172">
        <v>2.9216375507412701E-2</v>
      </c>
      <c r="F317" s="172">
        <v>2.91778503777455E-2</v>
      </c>
      <c r="G317" s="172">
        <v>1.00132035530954</v>
      </c>
    </row>
    <row r="318" spans="2:7" hidden="1" x14ac:dyDescent="0.3">
      <c r="B318" s="172" t="s">
        <v>185</v>
      </c>
      <c r="C318" s="172" t="s">
        <v>81</v>
      </c>
      <c r="D318" s="172" t="s">
        <v>210</v>
      </c>
      <c r="E318" s="172">
        <v>6.4563872527671103E-3</v>
      </c>
      <c r="F318" s="172">
        <v>6.1523429810437296E-3</v>
      </c>
      <c r="G318" s="172">
        <v>1.04941926558064</v>
      </c>
    </row>
    <row r="319" spans="2:7" x14ac:dyDescent="0.3">
      <c r="B319" s="172" t="s">
        <v>185</v>
      </c>
      <c r="C319" s="172" t="s">
        <v>81</v>
      </c>
      <c r="D319" s="172" t="s">
        <v>211</v>
      </c>
      <c r="E319" s="172">
        <v>2.7966985905778102E-2</v>
      </c>
      <c r="F319" s="172">
        <v>2.7541323925365398E-2</v>
      </c>
      <c r="G319" s="172">
        <v>1.01545539283319</v>
      </c>
    </row>
    <row r="320" spans="2:7" hidden="1" x14ac:dyDescent="0.3">
      <c r="B320" s="172" t="s">
        <v>183</v>
      </c>
      <c r="C320" s="172" t="s">
        <v>81</v>
      </c>
      <c r="D320" s="172" t="s">
        <v>210</v>
      </c>
      <c r="E320" s="172">
        <v>6.3453780787324299E-3</v>
      </c>
      <c r="F320" s="172">
        <v>5.7764538675838502E-3</v>
      </c>
      <c r="G320" s="172">
        <v>1.09849021981137</v>
      </c>
    </row>
    <row r="321" spans="2:7" x14ac:dyDescent="0.3">
      <c r="B321" s="172" t="s">
        <v>183</v>
      </c>
      <c r="C321" s="172" t="s">
        <v>81</v>
      </c>
      <c r="D321" s="172" t="s">
        <v>211</v>
      </c>
      <c r="E321" s="172">
        <v>2.6199238764785301E-2</v>
      </c>
      <c r="F321" s="172">
        <v>2.5402744869177301E-2</v>
      </c>
      <c r="G321" s="172">
        <v>1.03135463902464</v>
      </c>
    </row>
    <row r="322" spans="2:7" hidden="1" x14ac:dyDescent="0.3">
      <c r="B322" s="172" t="s">
        <v>181</v>
      </c>
      <c r="C322" s="172" t="s">
        <v>81</v>
      </c>
      <c r="D322" s="172" t="s">
        <v>210</v>
      </c>
      <c r="E322" s="172">
        <v>6.0463882828646698E-3</v>
      </c>
      <c r="F322" s="172">
        <v>5.2844703088513398E-3</v>
      </c>
      <c r="G322" s="172">
        <v>1.14418057619458</v>
      </c>
    </row>
    <row r="323" spans="2:7" x14ac:dyDescent="0.3">
      <c r="B323" s="172" t="s">
        <v>181</v>
      </c>
      <c r="C323" s="172" t="s">
        <v>81</v>
      </c>
      <c r="D323" s="172" t="s">
        <v>211</v>
      </c>
      <c r="E323" s="172">
        <v>2.38947426435898E-2</v>
      </c>
      <c r="F323" s="172">
        <v>2.28280574799711E-2</v>
      </c>
      <c r="G323" s="172">
        <v>1.0467269352442501</v>
      </c>
    </row>
    <row r="324" spans="2:7" hidden="1" x14ac:dyDescent="0.3">
      <c r="B324" s="172" t="s">
        <v>179</v>
      </c>
      <c r="C324" s="172" t="s">
        <v>81</v>
      </c>
      <c r="D324" s="172" t="s">
        <v>210</v>
      </c>
      <c r="E324" s="172">
        <v>5.58853148522885E-3</v>
      </c>
      <c r="F324" s="172">
        <v>4.6990129594717102E-3</v>
      </c>
      <c r="G324" s="172">
        <v>1.1892990152249201</v>
      </c>
    </row>
    <row r="325" spans="2:7" x14ac:dyDescent="0.3">
      <c r="B325" s="172" t="s">
        <v>179</v>
      </c>
      <c r="C325" s="172" t="s">
        <v>81</v>
      </c>
      <c r="D325" s="172" t="s">
        <v>211</v>
      </c>
      <c r="E325" s="172">
        <v>2.1154617513236999E-2</v>
      </c>
      <c r="F325" s="172">
        <v>1.9909291577177E-2</v>
      </c>
      <c r="G325" s="172">
        <v>1.06254998733795</v>
      </c>
    </row>
    <row r="326" spans="2:7" hidden="1" x14ac:dyDescent="0.3">
      <c r="B326" s="172" t="s">
        <v>39</v>
      </c>
      <c r="C326" s="172" t="s">
        <v>81</v>
      </c>
      <c r="D326" s="172" t="s">
        <v>210</v>
      </c>
      <c r="E326" s="172">
        <v>4.9888115861578004E-3</v>
      </c>
      <c r="F326" s="172">
        <v>4.0364357339814604E-3</v>
      </c>
      <c r="G326" s="172">
        <v>1.2359447579354701</v>
      </c>
    </row>
    <row r="327" spans="2:7" x14ac:dyDescent="0.3">
      <c r="B327" s="172" t="s">
        <v>39</v>
      </c>
      <c r="C327" s="172" t="s">
        <v>81</v>
      </c>
      <c r="D327" s="172" t="s">
        <v>211</v>
      </c>
      <c r="E327" s="172">
        <v>1.8062635187217201E-2</v>
      </c>
      <c r="F327" s="172">
        <v>1.67293089941703E-2</v>
      </c>
      <c r="G327" s="172">
        <v>1.07970001591288</v>
      </c>
    </row>
    <row r="328" spans="2:7" hidden="1" x14ac:dyDescent="0.3">
      <c r="B328" s="172" t="s">
        <v>26</v>
      </c>
      <c r="C328" s="172" t="s">
        <v>81</v>
      </c>
      <c r="D328" s="172" t="s">
        <v>210</v>
      </c>
      <c r="E328" s="172">
        <v>4.2460463024212199E-3</v>
      </c>
      <c r="F328" s="172">
        <v>3.30891403631571E-3</v>
      </c>
      <c r="G328" s="172">
        <v>1.28321444915775</v>
      </c>
    </row>
    <row r="329" spans="2:7" x14ac:dyDescent="0.3">
      <c r="B329" s="172" t="s">
        <v>26</v>
      </c>
      <c r="C329" s="172" t="s">
        <v>81</v>
      </c>
      <c r="D329" s="172" t="s">
        <v>211</v>
      </c>
      <c r="E329" s="172">
        <v>1.4682357977950901E-2</v>
      </c>
      <c r="F329" s="172">
        <v>1.3370372805403199E-2</v>
      </c>
      <c r="G329" s="172">
        <v>1.0981262969733701</v>
      </c>
    </row>
    <row r="330" spans="2:7" hidden="1" x14ac:dyDescent="0.3">
      <c r="B330" s="172" t="s">
        <v>25</v>
      </c>
      <c r="C330" s="172" t="s">
        <v>81</v>
      </c>
      <c r="D330" s="172" t="s">
        <v>210</v>
      </c>
      <c r="E330" s="172">
        <v>3.36617155008893E-3</v>
      </c>
      <c r="F330" s="172">
        <v>2.5356887713490501E-3</v>
      </c>
      <c r="G330" s="172">
        <v>1.32751763076114</v>
      </c>
    </row>
    <row r="331" spans="2:7" x14ac:dyDescent="0.3">
      <c r="B331" s="172" t="s">
        <v>25</v>
      </c>
      <c r="C331" s="172" t="s">
        <v>81</v>
      </c>
      <c r="D331" s="172" t="s">
        <v>211</v>
      </c>
      <c r="E331" s="172">
        <v>1.10687586657166E-2</v>
      </c>
      <c r="F331" s="172">
        <v>9.9060827754808099E-3</v>
      </c>
      <c r="G331" s="172">
        <v>1.1173698944969099</v>
      </c>
    </row>
    <row r="332" spans="2:7" hidden="1" x14ac:dyDescent="0.3">
      <c r="B332" s="172" t="s">
        <v>24</v>
      </c>
      <c r="C332" s="172" t="s">
        <v>81</v>
      </c>
      <c r="D332" s="172" t="s">
        <v>210</v>
      </c>
      <c r="E332" s="172">
        <v>2.3536254478714598E-3</v>
      </c>
      <c r="F332" s="172">
        <v>1.7200112329852401E-3</v>
      </c>
      <c r="G332" s="172">
        <v>1.36837795168728</v>
      </c>
    </row>
    <row r="333" spans="2:7" x14ac:dyDescent="0.3">
      <c r="B333" s="172" t="s">
        <v>24</v>
      </c>
      <c r="C333" s="172" t="s">
        <v>81</v>
      </c>
      <c r="D333" s="172" t="s">
        <v>211</v>
      </c>
      <c r="E333" s="172">
        <v>7.2956709909657398E-3</v>
      </c>
      <c r="F333" s="172">
        <v>6.4086110901250401E-3</v>
      </c>
      <c r="G333" s="172">
        <v>1.13841687198144</v>
      </c>
    </row>
    <row r="334" spans="2:7" hidden="1" x14ac:dyDescent="0.3">
      <c r="B334" s="172" t="s">
        <v>22</v>
      </c>
      <c r="C334" s="172" t="s">
        <v>81</v>
      </c>
      <c r="D334" s="172" t="s">
        <v>210</v>
      </c>
      <c r="E334" s="172">
        <v>1.2168011101170999E-3</v>
      </c>
      <c r="F334" s="172">
        <v>8.7435491515243098E-4</v>
      </c>
      <c r="G334" s="172">
        <v>1.39165582423125</v>
      </c>
    </row>
    <row r="335" spans="2:7" x14ac:dyDescent="0.3">
      <c r="B335" s="172" t="s">
        <v>22</v>
      </c>
      <c r="C335" s="172" t="s">
        <v>81</v>
      </c>
      <c r="D335" s="172" t="s">
        <v>211</v>
      </c>
      <c r="E335" s="172">
        <v>3.4776926604822901E-3</v>
      </c>
      <c r="F335" s="172">
        <v>2.9982679875317502E-3</v>
      </c>
      <c r="G335" s="172">
        <v>1.15990054089368</v>
      </c>
    </row>
    <row r="336" spans="2:7" hidden="1" x14ac:dyDescent="0.3">
      <c r="B336" s="172" t="s">
        <v>189</v>
      </c>
      <c r="C336" s="172" t="s">
        <v>82</v>
      </c>
      <c r="D336" s="172" t="s">
        <v>210</v>
      </c>
      <c r="E336" s="172">
        <v>5.7372053102536296E-3</v>
      </c>
      <c r="F336" s="172">
        <v>4.8181112851842199E-3</v>
      </c>
      <c r="G336" s="172">
        <v>1.19075815618781</v>
      </c>
    </row>
    <row r="337" spans="2:7" hidden="1" x14ac:dyDescent="0.3">
      <c r="B337" s="172" t="s">
        <v>189</v>
      </c>
      <c r="C337" s="172" t="s">
        <v>82</v>
      </c>
      <c r="D337" s="172" t="s">
        <v>211</v>
      </c>
      <c r="E337" s="172">
        <v>2.80482932070216E-2</v>
      </c>
      <c r="F337" s="172">
        <v>2.6899425675684902E-2</v>
      </c>
      <c r="G337" s="172">
        <v>1.0427097420289999</v>
      </c>
    </row>
    <row r="338" spans="2:7" hidden="1" x14ac:dyDescent="0.3">
      <c r="B338" s="172" t="s">
        <v>187</v>
      </c>
      <c r="C338" s="172" t="s">
        <v>82</v>
      </c>
      <c r="D338" s="172" t="s">
        <v>210</v>
      </c>
      <c r="E338" s="172">
        <v>1.07205014945254E-2</v>
      </c>
      <c r="F338" s="172">
        <v>7.1232693973277998E-3</v>
      </c>
      <c r="G338" s="172">
        <v>1.5049973399218901</v>
      </c>
    </row>
    <row r="339" spans="2:7" hidden="1" x14ac:dyDescent="0.3">
      <c r="B339" s="172" t="s">
        <v>187</v>
      </c>
      <c r="C339" s="172" t="s">
        <v>82</v>
      </c>
      <c r="D339" s="172" t="s">
        <v>211</v>
      </c>
      <c r="E339" s="172">
        <v>3.41910806130711E-2</v>
      </c>
      <c r="F339" s="172">
        <v>2.9154955676994599E-2</v>
      </c>
      <c r="G339" s="172">
        <v>1.1727364977629</v>
      </c>
    </row>
    <row r="340" spans="2:7" hidden="1" x14ac:dyDescent="0.3">
      <c r="B340" s="172" t="s">
        <v>185</v>
      </c>
      <c r="C340" s="172" t="s">
        <v>82</v>
      </c>
      <c r="D340" s="172" t="s">
        <v>210</v>
      </c>
      <c r="E340" s="172">
        <v>1.06280341537759E-2</v>
      </c>
      <c r="F340" s="172">
        <v>6.8664260442980003E-3</v>
      </c>
      <c r="G340" s="172">
        <v>1.5478262032111501</v>
      </c>
    </row>
    <row r="341" spans="2:7" hidden="1" x14ac:dyDescent="0.3">
      <c r="B341" s="172" t="s">
        <v>185</v>
      </c>
      <c r="C341" s="172" t="s">
        <v>82</v>
      </c>
      <c r="D341" s="172" t="s">
        <v>211</v>
      </c>
      <c r="E341" s="172">
        <v>3.28459479698259E-2</v>
      </c>
      <c r="F341" s="172">
        <v>2.7579696616556799E-2</v>
      </c>
      <c r="G341" s="172">
        <v>1.19094667452243</v>
      </c>
    </row>
    <row r="342" spans="2:7" hidden="1" x14ac:dyDescent="0.3">
      <c r="B342" s="172" t="s">
        <v>183</v>
      </c>
      <c r="C342" s="172" t="s">
        <v>82</v>
      </c>
      <c r="D342" s="172" t="s">
        <v>210</v>
      </c>
      <c r="E342" s="172">
        <v>1.0246671862660499E-2</v>
      </c>
      <c r="F342" s="172">
        <v>6.4582779315937103E-3</v>
      </c>
      <c r="G342" s="172">
        <v>1.5865950600444301</v>
      </c>
    </row>
    <row r="343" spans="2:7" hidden="1" x14ac:dyDescent="0.3">
      <c r="B343" s="172" t="s">
        <v>183</v>
      </c>
      <c r="C343" s="172" t="s">
        <v>82</v>
      </c>
      <c r="D343" s="172" t="s">
        <v>211</v>
      </c>
      <c r="E343" s="172">
        <v>3.07962528285536E-2</v>
      </c>
      <c r="F343" s="172">
        <v>2.549250132506E-2</v>
      </c>
      <c r="G343" s="172">
        <v>1.20805143582673</v>
      </c>
    </row>
    <row r="344" spans="2:7" hidden="1" x14ac:dyDescent="0.3">
      <c r="B344" s="172" t="s">
        <v>181</v>
      </c>
      <c r="C344" s="172" t="s">
        <v>82</v>
      </c>
      <c r="D344" s="172" t="s">
        <v>210</v>
      </c>
      <c r="E344" s="172">
        <v>9.5984041522899008E-3</v>
      </c>
      <c r="F344" s="172">
        <v>5.91740888989091E-3</v>
      </c>
      <c r="G344" s="172">
        <v>1.62206200904715</v>
      </c>
    </row>
    <row r="345" spans="2:7" hidden="1" x14ac:dyDescent="0.3">
      <c r="B345" s="172" t="s">
        <v>181</v>
      </c>
      <c r="C345" s="172" t="s">
        <v>82</v>
      </c>
      <c r="D345" s="172" t="s">
        <v>211</v>
      </c>
      <c r="E345" s="172">
        <v>2.8110239691129298E-2</v>
      </c>
      <c r="F345" s="172">
        <v>2.2956846323770801E-2</v>
      </c>
      <c r="G345" s="172">
        <v>1.22448176437991</v>
      </c>
    </row>
    <row r="346" spans="2:7" hidden="1" x14ac:dyDescent="0.3">
      <c r="B346" s="172" t="s">
        <v>179</v>
      </c>
      <c r="C346" s="172" t="s">
        <v>82</v>
      </c>
      <c r="D346" s="172" t="s">
        <v>210</v>
      </c>
      <c r="E346" s="172">
        <v>8.7267246736848197E-3</v>
      </c>
      <c r="F346" s="172">
        <v>5.2691051747124403E-3</v>
      </c>
      <c r="G346" s="172">
        <v>1.6562062028228699</v>
      </c>
    </row>
    <row r="347" spans="2:7" hidden="1" x14ac:dyDescent="0.3">
      <c r="B347" s="172" t="s">
        <v>179</v>
      </c>
      <c r="C347" s="172" t="s">
        <v>82</v>
      </c>
      <c r="D347" s="172" t="s">
        <v>211</v>
      </c>
      <c r="E347" s="172">
        <v>2.49061634170165E-2</v>
      </c>
      <c r="F347" s="172">
        <v>2.0065496118455099E-2</v>
      </c>
      <c r="G347" s="172">
        <v>1.24124333981003</v>
      </c>
    </row>
    <row r="348" spans="2:7" hidden="1" x14ac:dyDescent="0.3">
      <c r="B348" s="172" t="s">
        <v>39</v>
      </c>
      <c r="C348" s="172" t="s">
        <v>82</v>
      </c>
      <c r="D348" s="172" t="s">
        <v>210</v>
      </c>
      <c r="E348" s="172">
        <v>7.6611773138279297E-3</v>
      </c>
      <c r="F348" s="172">
        <v>4.5318723482253203E-3</v>
      </c>
      <c r="G348" s="172">
        <v>1.69051039507502</v>
      </c>
    </row>
    <row r="349" spans="2:7" hidden="1" x14ac:dyDescent="0.3">
      <c r="B349" s="172" t="s">
        <v>39</v>
      </c>
      <c r="C349" s="172" t="s">
        <v>82</v>
      </c>
      <c r="D349" s="172" t="s">
        <v>211</v>
      </c>
      <c r="E349" s="172">
        <v>2.12821935344393E-2</v>
      </c>
      <c r="F349" s="172">
        <v>1.69011665825957E-2</v>
      </c>
      <c r="G349" s="172">
        <v>1.25921447081381</v>
      </c>
    </row>
    <row r="350" spans="2:7" hidden="1" x14ac:dyDescent="0.3">
      <c r="B350" s="172" t="s">
        <v>26</v>
      </c>
      <c r="C350" s="172" t="s">
        <v>82</v>
      </c>
      <c r="D350" s="172" t="s">
        <v>210</v>
      </c>
      <c r="E350" s="172">
        <v>6.41224650435805E-3</v>
      </c>
      <c r="F350" s="172">
        <v>3.71810237301379E-3</v>
      </c>
      <c r="G350" s="172">
        <v>1.7246019235238199</v>
      </c>
    </row>
    <row r="351" spans="2:7" hidden="1" x14ac:dyDescent="0.3">
      <c r="B351" s="172" t="s">
        <v>26</v>
      </c>
      <c r="C351" s="172" t="s">
        <v>82</v>
      </c>
      <c r="D351" s="172" t="s">
        <v>211</v>
      </c>
      <c r="E351" s="172">
        <v>1.73151650929011E-2</v>
      </c>
      <c r="F351" s="172">
        <v>1.35433633090192E-2</v>
      </c>
      <c r="G351" s="172">
        <v>1.27849816163243</v>
      </c>
    </row>
    <row r="352" spans="2:7" s="172" customFormat="1" hidden="1" x14ac:dyDescent="0.3">
      <c r="B352" s="172" t="s">
        <v>25</v>
      </c>
      <c r="C352" s="172" t="s">
        <v>82</v>
      </c>
      <c r="D352" s="172" t="s">
        <v>210</v>
      </c>
      <c r="E352" s="172">
        <v>4.9951056044020802E-3</v>
      </c>
      <c r="F352" s="172">
        <v>2.8467236421761098E-3</v>
      </c>
      <c r="G352" s="172">
        <v>1.7546858186008101</v>
      </c>
    </row>
    <row r="353" spans="2:7" hidden="1" x14ac:dyDescent="0.3">
      <c r="B353" s="172" t="s">
        <v>25</v>
      </c>
      <c r="C353" s="172" t="s">
        <v>82</v>
      </c>
      <c r="D353" s="172" t="s">
        <v>211</v>
      </c>
      <c r="E353" s="172">
        <v>1.30706407987388E-2</v>
      </c>
      <c r="F353" s="172">
        <v>1.00629060516225E-2</v>
      </c>
      <c r="G353" s="172">
        <v>1.2988932552571499</v>
      </c>
    </row>
    <row r="354" spans="2:7" hidden="1" x14ac:dyDescent="0.3">
      <c r="B354" s="172" t="s">
        <v>24</v>
      </c>
      <c r="C354" s="172" t="s">
        <v>82</v>
      </c>
      <c r="D354" s="172" t="s">
        <v>210</v>
      </c>
      <c r="E354" s="172">
        <v>3.4241997989559098E-3</v>
      </c>
      <c r="F354" s="172">
        <v>1.92423748263626E-3</v>
      </c>
      <c r="G354" s="172">
        <v>1.7795099772532501</v>
      </c>
    </row>
    <row r="355" spans="2:7" hidden="1" x14ac:dyDescent="0.3">
      <c r="B355" s="172" t="s">
        <v>24</v>
      </c>
      <c r="C355" s="172" t="s">
        <v>82</v>
      </c>
      <c r="D355" s="172" t="s">
        <v>211</v>
      </c>
      <c r="E355" s="172">
        <v>8.6311844399359107E-3</v>
      </c>
      <c r="F355" s="172">
        <v>6.5312371970884103E-3</v>
      </c>
      <c r="G355" s="172">
        <v>1.32152365309648</v>
      </c>
    </row>
    <row r="356" spans="2:7" s="172" customFormat="1" hidden="1" x14ac:dyDescent="0.3">
      <c r="B356" s="172" t="s">
        <v>22</v>
      </c>
      <c r="C356" s="172" t="s">
        <v>82</v>
      </c>
      <c r="D356" s="172" t="s">
        <v>210</v>
      </c>
      <c r="E356" s="172">
        <v>1.7255658651872301E-3</v>
      </c>
      <c r="F356" s="172">
        <v>9.6693667860030903E-4</v>
      </c>
      <c r="G356" s="172">
        <v>1.7845696656011401</v>
      </c>
    </row>
    <row r="357" spans="2:7" hidden="1" x14ac:dyDescent="0.3">
      <c r="B357" s="172" t="s">
        <v>22</v>
      </c>
      <c r="C357" s="172" t="s">
        <v>82</v>
      </c>
      <c r="D357" s="172" t="s">
        <v>211</v>
      </c>
      <c r="E357" s="172">
        <v>4.1290419813850001E-3</v>
      </c>
      <c r="F357" s="172">
        <v>3.0669611201633198E-3</v>
      </c>
      <c r="G357" s="172">
        <v>1.3462974650181201</v>
      </c>
    </row>
    <row r="358" spans="2:7" hidden="1" x14ac:dyDescent="0.3">
      <c r="B358" s="172" t="s">
        <v>189</v>
      </c>
      <c r="C358" s="172" t="s">
        <v>202</v>
      </c>
      <c r="D358" s="172" t="s">
        <v>210</v>
      </c>
      <c r="E358" s="172">
        <v>8.6614253670726097E-4</v>
      </c>
      <c r="F358" s="172">
        <v>8.3466701120387104E-4</v>
      </c>
      <c r="G358" s="172">
        <v>1.0377102785672501</v>
      </c>
    </row>
    <row r="359" spans="2:7" hidden="1" x14ac:dyDescent="0.3">
      <c r="B359" s="172" t="s">
        <v>189</v>
      </c>
      <c r="C359" s="172" t="s">
        <v>202</v>
      </c>
      <c r="D359" s="172" t="s">
        <v>211</v>
      </c>
      <c r="E359" s="172">
        <v>1.5209990778243399E-3</v>
      </c>
      <c r="F359" s="172">
        <v>1.48165467094511E-3</v>
      </c>
      <c r="G359" s="172">
        <v>1.0265543703608999</v>
      </c>
    </row>
    <row r="360" spans="2:7" s="172" customFormat="1" hidden="1" x14ac:dyDescent="0.3">
      <c r="B360" s="172" t="s">
        <v>187</v>
      </c>
      <c r="C360" s="172" t="s">
        <v>202</v>
      </c>
      <c r="D360" s="172" t="s">
        <v>210</v>
      </c>
      <c r="E360" s="172">
        <v>1.0670612365539199E-3</v>
      </c>
      <c r="F360" s="172">
        <v>6.3709404862463399E-4</v>
      </c>
      <c r="G360" s="172">
        <v>1.67488809361428</v>
      </c>
    </row>
    <row r="361" spans="2:7" hidden="1" x14ac:dyDescent="0.3">
      <c r="B361" s="172" t="s">
        <v>187</v>
      </c>
      <c r="C361" s="172" t="s">
        <v>202</v>
      </c>
      <c r="D361" s="172" t="s">
        <v>211</v>
      </c>
      <c r="E361" s="172">
        <v>1.0603153208209701E-3</v>
      </c>
      <c r="F361" s="172">
        <v>4.5836125771997498E-4</v>
      </c>
      <c r="G361" s="172">
        <v>2.3132743070286801</v>
      </c>
    </row>
    <row r="362" spans="2:7" hidden="1" x14ac:dyDescent="0.3">
      <c r="B362" s="172" t="s">
        <v>185</v>
      </c>
      <c r="C362" s="172" t="s">
        <v>202</v>
      </c>
      <c r="D362" s="172" t="s">
        <v>210</v>
      </c>
      <c r="E362" s="172">
        <v>8.7406776226482403E-4</v>
      </c>
      <c r="F362" s="172">
        <v>5.1337264178869804E-4</v>
      </c>
      <c r="G362" s="172">
        <v>1.7025990306366701</v>
      </c>
    </row>
    <row r="363" spans="2:7" hidden="1" x14ac:dyDescent="0.3">
      <c r="B363" s="172" t="s">
        <v>185</v>
      </c>
      <c r="C363" s="172" t="s">
        <v>202</v>
      </c>
      <c r="D363" s="172" t="s">
        <v>211</v>
      </c>
      <c r="E363" s="172">
        <v>8.8949394399047399E-4</v>
      </c>
      <c r="F363" s="172">
        <v>3.8452077532389798E-4</v>
      </c>
      <c r="G363" s="172">
        <v>2.3132532780347601</v>
      </c>
    </row>
    <row r="364" spans="2:7" s="172" customFormat="1" hidden="1" x14ac:dyDescent="0.3">
      <c r="B364" s="172" t="s">
        <v>183</v>
      </c>
      <c r="C364" s="172" t="s">
        <v>202</v>
      </c>
      <c r="D364" s="172" t="s">
        <v>210</v>
      </c>
      <c r="E364" s="172">
        <v>6.6059914958734099E-4</v>
      </c>
      <c r="F364" s="172">
        <v>3.5970848599990799E-4</v>
      </c>
      <c r="G364" s="172">
        <v>1.83648475167614</v>
      </c>
    </row>
    <row r="365" spans="2:7" hidden="1" x14ac:dyDescent="0.3">
      <c r="B365" s="172" t="s">
        <v>183</v>
      </c>
      <c r="C365" s="172" t="s">
        <v>202</v>
      </c>
      <c r="D365" s="172" t="s">
        <v>211</v>
      </c>
      <c r="E365" s="172">
        <v>7.2449592764047097E-4</v>
      </c>
      <c r="F365" s="172">
        <v>3.0324899861806502E-4</v>
      </c>
      <c r="G365" s="172">
        <v>2.3891123497260298</v>
      </c>
    </row>
    <row r="366" spans="2:7" hidden="1" x14ac:dyDescent="0.3">
      <c r="B366" s="172" t="s">
        <v>181</v>
      </c>
      <c r="C366" s="172" t="s">
        <v>202</v>
      </c>
      <c r="D366" s="172" t="s">
        <v>210</v>
      </c>
      <c r="E366" s="172">
        <v>4.6263613178106397E-4</v>
      </c>
      <c r="F366" s="172">
        <v>2.18025603815843E-4</v>
      </c>
      <c r="G366" s="172">
        <v>2.1219348722539602</v>
      </c>
    </row>
    <row r="367" spans="2:7" hidden="1" x14ac:dyDescent="0.3">
      <c r="B367" s="172" t="s">
        <v>181</v>
      </c>
      <c r="C367" s="172" t="s">
        <v>202</v>
      </c>
      <c r="D367" s="172" t="s">
        <v>211</v>
      </c>
      <c r="E367" s="172">
        <v>5.6888798162657605E-4</v>
      </c>
      <c r="F367" s="172">
        <v>2.2643324247526801E-4</v>
      </c>
      <c r="G367" s="172">
        <v>2.51238720696549</v>
      </c>
    </row>
    <row r="368" spans="2:7" s="172" customFormat="1" hidden="1" x14ac:dyDescent="0.3">
      <c r="B368" s="172" t="s">
        <v>179</v>
      </c>
      <c r="C368" s="172" t="s">
        <v>202</v>
      </c>
      <c r="D368" s="172" t="s">
        <v>210</v>
      </c>
      <c r="E368" s="172">
        <v>2.8369895867210999E-4</v>
      </c>
      <c r="F368" s="172">
        <v>9.0604085897823402E-5</v>
      </c>
      <c r="G368" s="172">
        <v>3.1311938734423599</v>
      </c>
    </row>
    <row r="369" spans="2:7" hidden="1" x14ac:dyDescent="0.3">
      <c r="B369" s="172" t="s">
        <v>179</v>
      </c>
      <c r="C369" s="172" t="s">
        <v>202</v>
      </c>
      <c r="D369" s="172" t="s">
        <v>211</v>
      </c>
      <c r="E369" s="172">
        <v>4.2606450781615298E-4</v>
      </c>
      <c r="F369" s="172">
        <v>1.55731685932152E-4</v>
      </c>
      <c r="G369" s="172">
        <v>2.7358883663648101</v>
      </c>
    </row>
    <row r="370" spans="2:7" hidden="1" x14ac:dyDescent="0.3">
      <c r="B370" s="172" t="s">
        <v>39</v>
      </c>
      <c r="C370" s="172" t="s">
        <v>202</v>
      </c>
      <c r="D370" s="172" t="s">
        <v>210</v>
      </c>
      <c r="E370" s="172">
        <v>1.6629199556642501E-4</v>
      </c>
      <c r="F370" s="172">
        <v>1.9182461671709001E-5</v>
      </c>
      <c r="G370" s="172">
        <v>8.6689601372527996</v>
      </c>
    </row>
    <row r="371" spans="2:7" hidden="1" x14ac:dyDescent="0.3">
      <c r="B371" s="172" t="s">
        <v>39</v>
      </c>
      <c r="C371" s="172" t="s">
        <v>202</v>
      </c>
      <c r="D371" s="172" t="s">
        <v>211</v>
      </c>
      <c r="E371" s="172">
        <v>2.98441005203869E-4</v>
      </c>
      <c r="F371" s="172">
        <v>9.2487657751265994E-5</v>
      </c>
      <c r="G371" s="172">
        <v>3.22681979909675</v>
      </c>
    </row>
    <row r="372" spans="2:7" s="172" customFormat="1" hidden="1" x14ac:dyDescent="0.3">
      <c r="B372" s="172" t="s">
        <v>26</v>
      </c>
      <c r="C372" s="172" t="s">
        <v>202</v>
      </c>
      <c r="D372" s="172" t="s">
        <v>210</v>
      </c>
      <c r="E372" s="172">
        <v>2.1558732385005999E-4</v>
      </c>
      <c r="F372" s="172">
        <v>1.0667930948343E-4</v>
      </c>
      <c r="G372" s="172">
        <v>2.02089163206991</v>
      </c>
    </row>
    <row r="373" spans="2:7" hidden="1" x14ac:dyDescent="0.3">
      <c r="B373" s="172" t="s">
        <v>26</v>
      </c>
      <c r="C373" s="172" t="s">
        <v>202</v>
      </c>
      <c r="D373" s="172" t="s">
        <v>211</v>
      </c>
      <c r="E373" s="172">
        <v>1.9314696406856299E-4</v>
      </c>
      <c r="F373" s="172">
        <v>4.0675743955281202E-5</v>
      </c>
      <c r="G373" s="172">
        <v>4.7484555975400999</v>
      </c>
    </row>
    <row r="374" spans="2:7" hidden="1" x14ac:dyDescent="0.3">
      <c r="B374" s="172" t="s">
        <v>25</v>
      </c>
      <c r="C374" s="172" t="s">
        <v>202</v>
      </c>
      <c r="D374" s="172" t="s">
        <v>210</v>
      </c>
      <c r="E374" s="172">
        <v>2.3639057890806399E-4</v>
      </c>
      <c r="F374" s="172">
        <v>1.6539581674614501E-4</v>
      </c>
      <c r="G374" s="172">
        <v>1.4292415827595299</v>
      </c>
    </row>
    <row r="375" spans="2:7" hidden="1" x14ac:dyDescent="0.3">
      <c r="B375" s="172" t="s">
        <v>24</v>
      </c>
      <c r="C375" s="172" t="s">
        <v>202</v>
      </c>
      <c r="D375" s="172" t="s">
        <v>210</v>
      </c>
      <c r="E375" s="172">
        <v>2.2778205510792001E-4</v>
      </c>
      <c r="F375" s="172">
        <v>1.8729513475581699E-4</v>
      </c>
      <c r="G375" s="172">
        <v>1.21616642848138</v>
      </c>
    </row>
    <row r="376" spans="2:7" hidden="1" x14ac:dyDescent="0.3">
      <c r="B376" s="172" t="s">
        <v>24</v>
      </c>
      <c r="C376" s="172" t="s">
        <v>202</v>
      </c>
      <c r="D376" s="172" t="s">
        <v>211</v>
      </c>
      <c r="E376" s="172">
        <v>8.9847846683493602E-5</v>
      </c>
      <c r="F376" s="172">
        <v>3.3166158190548802E-5</v>
      </c>
      <c r="G376" s="172">
        <v>2.7090218338612702</v>
      </c>
    </row>
    <row r="377" spans="2:7" hidden="1" x14ac:dyDescent="0.3">
      <c r="B377" s="172" t="s">
        <v>22</v>
      </c>
      <c r="C377" s="172" t="s">
        <v>202</v>
      </c>
      <c r="D377" s="172" t="s">
        <v>210</v>
      </c>
      <c r="E377" s="172">
        <v>1.70132073379089E-4</v>
      </c>
      <c r="F377" s="172">
        <v>1.52004962298138E-4</v>
      </c>
      <c r="G377" s="172">
        <v>1.1192534165127901</v>
      </c>
    </row>
    <row r="378" spans="2:7" hidden="1" x14ac:dyDescent="0.3">
      <c r="B378" s="172" t="s">
        <v>22</v>
      </c>
      <c r="C378" s="172" t="s">
        <v>202</v>
      </c>
      <c r="D378" s="172" t="s">
        <v>211</v>
      </c>
      <c r="E378" s="172">
        <v>6.39032392157232E-5</v>
      </c>
      <c r="F378" s="172">
        <v>3.8525283702391801E-5</v>
      </c>
      <c r="G378" s="172">
        <v>1.65873507147608</v>
      </c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191"/>
      <c r="C400" s="191"/>
      <c r="D400" s="191"/>
      <c r="E400" s="191" t="s">
        <v>7</v>
      </c>
      <c r="F400" s="191" t="s">
        <v>7</v>
      </c>
      <c r="G400" s="192"/>
    </row>
    <row r="401" spans="2:7" s="172" customFormat="1" x14ac:dyDescent="0.3">
      <c r="B401" s="27" t="s">
        <v>213</v>
      </c>
      <c r="C401" s="27" t="s">
        <v>214</v>
      </c>
      <c r="D401" s="27" t="s">
        <v>215</v>
      </c>
      <c r="E401" s="27" t="s">
        <v>216</v>
      </c>
      <c r="F401" s="27" t="s">
        <v>217</v>
      </c>
      <c r="G401" s="27" t="s">
        <v>218</v>
      </c>
    </row>
    <row r="402" spans="2:7" hidden="1" x14ac:dyDescent="0.3">
      <c r="B402" s="172" t="s">
        <v>189</v>
      </c>
      <c r="C402" s="172" t="s">
        <v>79</v>
      </c>
      <c r="D402" s="172" t="s">
        <v>210</v>
      </c>
      <c r="E402" s="172">
        <v>2.20991022375738E-2</v>
      </c>
      <c r="F402" s="172">
        <v>2.1407776684168101E-2</v>
      </c>
      <c r="G402" s="172">
        <v>1.0322931971687099</v>
      </c>
    </row>
    <row r="403" spans="2:7" hidden="1" x14ac:dyDescent="0.3">
      <c r="B403" s="172" t="s">
        <v>189</v>
      </c>
      <c r="C403" s="172" t="s">
        <v>79</v>
      </c>
      <c r="D403" s="172" t="s">
        <v>211</v>
      </c>
      <c r="E403" s="172">
        <v>6.4621199201633601E-3</v>
      </c>
      <c r="F403" s="172">
        <v>5.5979629784063002E-3</v>
      </c>
      <c r="G403" s="172">
        <v>1.1543698922430301</v>
      </c>
    </row>
    <row r="404" spans="2:7" hidden="1" x14ac:dyDescent="0.3">
      <c r="B404" s="172" t="s">
        <v>187</v>
      </c>
      <c r="C404" s="172" t="s">
        <v>79</v>
      </c>
      <c r="D404" s="172" t="s">
        <v>210</v>
      </c>
      <c r="E404" s="172">
        <v>2.5070267722540601E-2</v>
      </c>
      <c r="F404" s="172">
        <v>2.24128212089818E-2</v>
      </c>
      <c r="G404" s="172">
        <v>1.1185681395831599</v>
      </c>
    </row>
    <row r="405" spans="2:7" s="172" customFormat="1" hidden="1" x14ac:dyDescent="0.3">
      <c r="B405" s="172" t="s">
        <v>187</v>
      </c>
      <c r="C405" s="172" t="s">
        <v>79</v>
      </c>
      <c r="D405" s="172" t="s">
        <v>211</v>
      </c>
      <c r="E405" s="172">
        <v>1.16105564685757E-2</v>
      </c>
      <c r="F405" s="172">
        <v>7.8901313495932501E-3</v>
      </c>
      <c r="G405" s="172">
        <v>1.4715289206401101</v>
      </c>
    </row>
    <row r="406" spans="2:7" hidden="1" x14ac:dyDescent="0.3">
      <c r="B406" s="172" t="s">
        <v>185</v>
      </c>
      <c r="C406" s="172" t="s">
        <v>79</v>
      </c>
      <c r="D406" s="172" t="s">
        <v>210</v>
      </c>
      <c r="E406" s="172">
        <v>2.4230977460021699E-2</v>
      </c>
      <c r="F406" s="172">
        <v>2.1486872485719299E-2</v>
      </c>
      <c r="G406" s="172">
        <v>1.12771076740583</v>
      </c>
    </row>
    <row r="407" spans="2:7" s="172" customFormat="1" hidden="1" x14ac:dyDescent="0.3">
      <c r="B407" s="172" t="s">
        <v>185</v>
      </c>
      <c r="C407" s="172" t="s">
        <v>79</v>
      </c>
      <c r="D407" s="172" t="s">
        <v>211</v>
      </c>
      <c r="E407" s="172">
        <v>1.1282524902536799E-2</v>
      </c>
      <c r="F407" s="172">
        <v>7.4407779385133902E-3</v>
      </c>
      <c r="G407" s="172">
        <v>1.5163098530515999</v>
      </c>
    </row>
    <row r="408" spans="2:7" hidden="1" x14ac:dyDescent="0.3">
      <c r="B408" s="172" t="s">
        <v>183</v>
      </c>
      <c r="C408" s="172" t="s">
        <v>79</v>
      </c>
      <c r="D408" s="172" t="s">
        <v>210</v>
      </c>
      <c r="E408" s="172">
        <v>2.2848336005803899E-2</v>
      </c>
      <c r="F408" s="172">
        <v>2.0107617923468199E-2</v>
      </c>
      <c r="G408" s="172">
        <v>1.1363024746524999</v>
      </c>
    </row>
    <row r="409" spans="2:7" hidden="1" x14ac:dyDescent="0.3">
      <c r="B409" s="172" t="s">
        <v>183</v>
      </c>
      <c r="C409" s="172" t="s">
        <v>79</v>
      </c>
      <c r="D409" s="172" t="s">
        <v>211</v>
      </c>
      <c r="E409" s="172">
        <v>1.06968106607796E-2</v>
      </c>
      <c r="F409" s="172">
        <v>6.8598053455096297E-3</v>
      </c>
      <c r="G409" s="172">
        <v>1.5593460924925</v>
      </c>
    </row>
    <row r="410" spans="2:7" hidden="1" x14ac:dyDescent="0.3">
      <c r="B410" s="172" t="s">
        <v>181</v>
      </c>
      <c r="C410" s="172" t="s">
        <v>79</v>
      </c>
      <c r="D410" s="172" t="s">
        <v>210</v>
      </c>
      <c r="E410" s="172">
        <v>2.09718125654384E-2</v>
      </c>
      <c r="F410" s="172">
        <v>1.8326659482048199E-2</v>
      </c>
      <c r="G410" s="172">
        <v>1.14433361879077</v>
      </c>
    </row>
    <row r="411" spans="2:7" s="172" customFormat="1" hidden="1" x14ac:dyDescent="0.3">
      <c r="B411" s="172" t="s">
        <v>181</v>
      </c>
      <c r="C411" s="172" t="s">
        <v>79</v>
      </c>
      <c r="D411" s="172" t="s">
        <v>211</v>
      </c>
      <c r="E411" s="172">
        <v>9.8677570218632694E-3</v>
      </c>
      <c r="F411" s="172">
        <v>6.1645427051169798E-3</v>
      </c>
      <c r="G411" s="172">
        <v>1.6007281470647201</v>
      </c>
    </row>
    <row r="412" spans="2:7" hidden="1" x14ac:dyDescent="0.3">
      <c r="B412" s="172" t="s">
        <v>179</v>
      </c>
      <c r="C412" s="172" t="s">
        <v>79</v>
      </c>
      <c r="D412" s="172" t="s">
        <v>210</v>
      </c>
      <c r="E412" s="172">
        <v>1.8676800148079199E-2</v>
      </c>
      <c r="F412" s="172">
        <v>1.6208536338097799E-2</v>
      </c>
      <c r="G412" s="172">
        <v>1.1522817210940799</v>
      </c>
    </row>
    <row r="413" spans="2:7" hidden="1" x14ac:dyDescent="0.3">
      <c r="B413" s="172" t="s">
        <v>179</v>
      </c>
      <c r="C413" s="172" t="s">
        <v>79</v>
      </c>
      <c r="D413" s="172" t="s">
        <v>211</v>
      </c>
      <c r="E413" s="172">
        <v>8.8359844766456499E-3</v>
      </c>
      <c r="F413" s="172">
        <v>5.3804151426715902E-3</v>
      </c>
      <c r="G413" s="172">
        <v>1.6422495741208201</v>
      </c>
    </row>
    <row r="414" spans="2:7" hidden="1" x14ac:dyDescent="0.3">
      <c r="B414" s="172" t="s">
        <v>39</v>
      </c>
      <c r="C414" s="172" t="s">
        <v>79</v>
      </c>
      <c r="D414" s="172" t="s">
        <v>210</v>
      </c>
      <c r="E414" s="172">
        <v>1.6031265125670002E-2</v>
      </c>
      <c r="F414" s="172">
        <v>1.38138043478976E-2</v>
      </c>
      <c r="G414" s="172">
        <v>1.1605249880428401</v>
      </c>
    </row>
    <row r="415" spans="2:7" s="172" customFormat="1" hidden="1" x14ac:dyDescent="0.3">
      <c r="B415" s="172" t="s">
        <v>39</v>
      </c>
      <c r="C415" s="172" t="s">
        <v>79</v>
      </c>
      <c r="D415" s="172" t="s">
        <v>211</v>
      </c>
      <c r="E415" s="172">
        <v>7.6327107707548896E-3</v>
      </c>
      <c r="F415" s="172">
        <v>4.5282656818735603E-3</v>
      </c>
      <c r="G415" s="172">
        <v>1.68557043843701</v>
      </c>
    </row>
    <row r="416" spans="2:7" hidden="1" x14ac:dyDescent="0.3">
      <c r="B416" s="172" t="s">
        <v>26</v>
      </c>
      <c r="C416" s="172" t="s">
        <v>79</v>
      </c>
      <c r="D416" s="172" t="s">
        <v>210</v>
      </c>
      <c r="E416" s="172">
        <v>1.31087505610714E-2</v>
      </c>
      <c r="F416" s="172">
        <v>1.12209923817586E-2</v>
      </c>
      <c r="G416" s="172">
        <v>1.1682345121614801</v>
      </c>
    </row>
    <row r="417" spans="2:7" hidden="1" x14ac:dyDescent="0.3">
      <c r="B417" s="172" t="s">
        <v>26</v>
      </c>
      <c r="C417" s="172" t="s">
        <v>79</v>
      </c>
      <c r="D417" s="172" t="s">
        <v>211</v>
      </c>
      <c r="E417" s="172">
        <v>6.2694431771198903E-3</v>
      </c>
      <c r="F417" s="172">
        <v>3.6265817260819899E-3</v>
      </c>
      <c r="G417" s="172">
        <v>1.72874724758875</v>
      </c>
    </row>
    <row r="418" spans="2:7" hidden="1" x14ac:dyDescent="0.3">
      <c r="B418" s="172" t="s">
        <v>25</v>
      </c>
      <c r="C418" s="172" t="s">
        <v>79</v>
      </c>
      <c r="D418" s="172" t="s">
        <v>210</v>
      </c>
      <c r="E418" s="172">
        <v>9.9707778488438894E-3</v>
      </c>
      <c r="F418" s="172">
        <v>8.4914641716059593E-3</v>
      </c>
      <c r="G418" s="172">
        <v>1.1742118493751099</v>
      </c>
    </row>
    <row r="419" spans="2:7" hidden="1" x14ac:dyDescent="0.3">
      <c r="B419" s="172" t="s">
        <v>25</v>
      </c>
      <c r="C419" s="172" t="s">
        <v>79</v>
      </c>
      <c r="D419" s="172" t="s">
        <v>211</v>
      </c>
      <c r="E419" s="172">
        <v>4.7663883088379802E-3</v>
      </c>
      <c r="F419" s="172">
        <v>2.6953491607048701E-3</v>
      </c>
      <c r="G419" s="172">
        <v>1.76837508784632</v>
      </c>
    </row>
    <row r="420" spans="2:7" hidden="1" x14ac:dyDescent="0.3">
      <c r="B420" s="172" t="s">
        <v>24</v>
      </c>
      <c r="C420" s="172" t="s">
        <v>79</v>
      </c>
      <c r="D420" s="172" t="s">
        <v>210</v>
      </c>
      <c r="E420" s="172">
        <v>6.6691885048617101E-3</v>
      </c>
      <c r="F420" s="172">
        <v>5.6643857847523899E-3</v>
      </c>
      <c r="G420" s="172">
        <v>1.17738952788387</v>
      </c>
    </row>
    <row r="421" spans="2:7" hidden="1" x14ac:dyDescent="0.3">
      <c r="B421" s="172" t="s">
        <v>24</v>
      </c>
      <c r="C421" s="172" t="s">
        <v>79</v>
      </c>
      <c r="D421" s="172" t="s">
        <v>211</v>
      </c>
      <c r="E421" s="172">
        <v>3.1598368557967799E-3</v>
      </c>
      <c r="F421" s="172">
        <v>1.7531130476437201E-3</v>
      </c>
      <c r="G421" s="172">
        <v>1.8024147729912601</v>
      </c>
    </row>
    <row r="422" spans="2:7" hidden="1" x14ac:dyDescent="0.3">
      <c r="B422" s="172" t="s">
        <v>22</v>
      </c>
      <c r="C422" s="172" t="s">
        <v>79</v>
      </c>
      <c r="D422" s="172" t="s">
        <v>210</v>
      </c>
      <c r="E422" s="172">
        <v>3.2868209450209501E-3</v>
      </c>
      <c r="F422" s="172">
        <v>2.8100028512609001E-3</v>
      </c>
      <c r="G422" s="172">
        <v>1.16968598218542</v>
      </c>
    </row>
    <row r="423" spans="2:7" hidden="1" x14ac:dyDescent="0.3">
      <c r="B423" s="172" t="s">
        <v>22</v>
      </c>
      <c r="C423" s="172" t="s">
        <v>79</v>
      </c>
      <c r="D423" s="172" t="s">
        <v>211</v>
      </c>
      <c r="E423" s="172">
        <v>1.49682421058513E-3</v>
      </c>
      <c r="F423" s="172">
        <v>8.2927887932106705E-4</v>
      </c>
      <c r="G423" s="172">
        <v>1.8049708583083499</v>
      </c>
    </row>
    <row r="424" spans="2:7" hidden="1" x14ac:dyDescent="0.3">
      <c r="B424" s="172" t="s">
        <v>189</v>
      </c>
      <c r="C424" s="172" t="s">
        <v>80</v>
      </c>
      <c r="D424" s="172" t="s">
        <v>210</v>
      </c>
      <c r="E424" s="172">
        <v>2.2728825660227801E-2</v>
      </c>
      <c r="F424" s="172">
        <v>2.2644084583929799E-2</v>
      </c>
      <c r="G424" s="172">
        <v>1.0037423052357799</v>
      </c>
    </row>
    <row r="425" spans="2:7" hidden="1" x14ac:dyDescent="0.3">
      <c r="B425" s="172" t="s">
        <v>189</v>
      </c>
      <c r="C425" s="172" t="s">
        <v>80</v>
      </c>
      <c r="D425" s="172" t="s">
        <v>211</v>
      </c>
      <c r="E425" s="172">
        <v>8.2366363699450593E-3</v>
      </c>
      <c r="F425" s="172">
        <v>8.1307100245725898E-3</v>
      </c>
      <c r="G425" s="172">
        <v>1.0130279329913801</v>
      </c>
    </row>
    <row r="426" spans="2:7" hidden="1" x14ac:dyDescent="0.3">
      <c r="B426" s="172" t="s">
        <v>187</v>
      </c>
      <c r="C426" s="172" t="s">
        <v>80</v>
      </c>
      <c r="D426" s="172" t="s">
        <v>210</v>
      </c>
      <c r="E426" s="172">
        <v>2.2377004960224999E-2</v>
      </c>
      <c r="F426" s="172">
        <v>2.1960575047001499E-2</v>
      </c>
      <c r="G426" s="172">
        <v>1.0189626142454</v>
      </c>
    </row>
    <row r="427" spans="2:7" hidden="1" x14ac:dyDescent="0.3">
      <c r="B427" s="172" t="s">
        <v>187</v>
      </c>
      <c r="C427" s="172" t="s">
        <v>80</v>
      </c>
      <c r="D427" s="172" t="s">
        <v>211</v>
      </c>
      <c r="E427" s="172">
        <v>8.4839141191973104E-3</v>
      </c>
      <c r="F427" s="172">
        <v>7.9009122406844996E-3</v>
      </c>
      <c r="G427" s="172">
        <v>1.0737891854450301</v>
      </c>
    </row>
    <row r="428" spans="2:7" hidden="1" x14ac:dyDescent="0.3">
      <c r="B428" s="172" t="s">
        <v>185</v>
      </c>
      <c r="C428" s="172" t="s">
        <v>80</v>
      </c>
      <c r="D428" s="172" t="s">
        <v>210</v>
      </c>
      <c r="E428" s="172">
        <v>2.16458964328551E-2</v>
      </c>
      <c r="F428" s="172">
        <v>2.1043273173033099E-2</v>
      </c>
      <c r="G428" s="172">
        <v>1.02863733483222</v>
      </c>
    </row>
    <row r="429" spans="2:7" hidden="1" x14ac:dyDescent="0.3">
      <c r="B429" s="172" t="s">
        <v>185</v>
      </c>
      <c r="C429" s="172" t="s">
        <v>80</v>
      </c>
      <c r="D429" s="172" t="s">
        <v>211</v>
      </c>
      <c r="E429" s="172">
        <v>8.2574509730932496E-3</v>
      </c>
      <c r="F429" s="172">
        <v>7.4137784093425002E-3</v>
      </c>
      <c r="G429" s="172">
        <v>1.11379792019243</v>
      </c>
    </row>
    <row r="430" spans="2:7" hidden="1" x14ac:dyDescent="0.3">
      <c r="B430" s="172" t="s">
        <v>183</v>
      </c>
      <c r="C430" s="172" t="s">
        <v>80</v>
      </c>
      <c r="D430" s="172" t="s">
        <v>210</v>
      </c>
      <c r="E430" s="172">
        <v>2.0423659420502501E-2</v>
      </c>
      <c r="F430" s="172">
        <v>1.9682757486507899E-2</v>
      </c>
      <c r="G430" s="172">
        <v>1.03764218171679</v>
      </c>
    </row>
    <row r="431" spans="2:7" hidden="1" x14ac:dyDescent="0.3">
      <c r="B431" s="172" t="s">
        <v>183</v>
      </c>
      <c r="C431" s="172" t="s">
        <v>80</v>
      </c>
      <c r="D431" s="172" t="s">
        <v>211</v>
      </c>
      <c r="E431" s="172">
        <v>7.8380289423044692E-3</v>
      </c>
      <c r="F431" s="172">
        <v>6.8007662347120204E-3</v>
      </c>
      <c r="G431" s="172">
        <v>1.15252144711255</v>
      </c>
    </row>
    <row r="432" spans="2:7" hidden="1" x14ac:dyDescent="0.3">
      <c r="B432" s="172" t="s">
        <v>181</v>
      </c>
      <c r="C432" s="172" t="s">
        <v>80</v>
      </c>
      <c r="D432" s="172" t="s">
        <v>210</v>
      </c>
      <c r="E432" s="172">
        <v>1.87568596000546E-2</v>
      </c>
      <c r="F432" s="172">
        <v>1.7930910434833702E-2</v>
      </c>
      <c r="G432" s="172">
        <v>1.04606286826442</v>
      </c>
    </row>
    <row r="433" spans="2:7" hidden="1" x14ac:dyDescent="0.3">
      <c r="B433" s="172" t="s">
        <v>181</v>
      </c>
      <c r="C433" s="172" t="s">
        <v>80</v>
      </c>
      <c r="D433" s="172" t="s">
        <v>211</v>
      </c>
      <c r="E433" s="172">
        <v>7.2373809889719398E-3</v>
      </c>
      <c r="F433" s="172">
        <v>6.0810521576626902E-3</v>
      </c>
      <c r="G433" s="172">
        <v>1.1901527566824399</v>
      </c>
    </row>
    <row r="434" spans="2:7" hidden="1" x14ac:dyDescent="0.3">
      <c r="B434" s="172" t="s">
        <v>179</v>
      </c>
      <c r="C434" s="172" t="s">
        <v>80</v>
      </c>
      <c r="D434" s="172" t="s">
        <v>210</v>
      </c>
      <c r="E434" s="172">
        <v>1.6714072086629402E-2</v>
      </c>
      <c r="F434" s="172">
        <v>1.5851034941866401E-2</v>
      </c>
      <c r="G434" s="172">
        <v>1.0544467378898801</v>
      </c>
    </row>
    <row r="435" spans="2:7" hidden="1" x14ac:dyDescent="0.3">
      <c r="B435" s="172" t="s">
        <v>179</v>
      </c>
      <c r="C435" s="172" t="s">
        <v>80</v>
      </c>
      <c r="D435" s="172" t="s">
        <v>211</v>
      </c>
      <c r="E435" s="172">
        <v>6.4881294447373698E-3</v>
      </c>
      <c r="F435" s="172">
        <v>5.2798774420690702E-3</v>
      </c>
      <c r="G435" s="172">
        <v>1.22884091835942</v>
      </c>
    </row>
    <row r="436" spans="2:7" hidden="1" x14ac:dyDescent="0.3">
      <c r="B436" s="172" t="s">
        <v>39</v>
      </c>
      <c r="C436" s="172" t="s">
        <v>80</v>
      </c>
      <c r="D436" s="172" t="s">
        <v>210</v>
      </c>
      <c r="E436" s="172">
        <v>1.43561622333363E-2</v>
      </c>
      <c r="F436" s="172">
        <v>1.35024876259289E-2</v>
      </c>
      <c r="G436" s="172">
        <v>1.0632235059981101</v>
      </c>
    </row>
    <row r="437" spans="2:7" hidden="1" x14ac:dyDescent="0.3">
      <c r="B437" s="172" t="s">
        <v>39</v>
      </c>
      <c r="C437" s="172" t="s">
        <v>80</v>
      </c>
      <c r="D437" s="172" t="s">
        <v>211</v>
      </c>
      <c r="E437" s="172">
        <v>5.6134168400839204E-3</v>
      </c>
      <c r="F437" s="172">
        <v>4.4182723897136303E-3</v>
      </c>
      <c r="G437" s="172">
        <v>1.2705004003720399</v>
      </c>
    </row>
    <row r="438" spans="2:7" hidden="1" x14ac:dyDescent="0.3">
      <c r="B438" s="172" t="s">
        <v>26</v>
      </c>
      <c r="C438" s="172" t="s">
        <v>80</v>
      </c>
      <c r="D438" s="172" t="s">
        <v>210</v>
      </c>
      <c r="E438" s="172">
        <v>1.17490205315317E-2</v>
      </c>
      <c r="F438" s="172">
        <v>1.0963589326679299E-2</v>
      </c>
      <c r="G438" s="172">
        <v>1.07163996948893</v>
      </c>
    </row>
    <row r="439" spans="2:7" hidden="1" x14ac:dyDescent="0.3">
      <c r="B439" s="172" t="s">
        <v>26</v>
      </c>
      <c r="C439" s="172" t="s">
        <v>80</v>
      </c>
      <c r="D439" s="172" t="s">
        <v>211</v>
      </c>
      <c r="E439" s="172">
        <v>4.6160067405109102E-3</v>
      </c>
      <c r="F439" s="172">
        <v>3.5164030537174198E-3</v>
      </c>
      <c r="G439" s="172">
        <v>1.3127069536670499</v>
      </c>
    </row>
    <row r="440" spans="2:7" hidden="1" x14ac:dyDescent="0.3">
      <c r="B440" s="172" t="s">
        <v>25</v>
      </c>
      <c r="C440" s="172" t="s">
        <v>80</v>
      </c>
      <c r="D440" s="172" t="s">
        <v>210</v>
      </c>
      <c r="E440" s="172">
        <v>8.9475741366420499E-3</v>
      </c>
      <c r="F440" s="172">
        <v>8.29573967313273E-3</v>
      </c>
      <c r="G440" s="172">
        <v>1.0785746044587701</v>
      </c>
    </row>
    <row r="441" spans="2:7" hidden="1" x14ac:dyDescent="0.3">
      <c r="B441" s="172" t="s">
        <v>25</v>
      </c>
      <c r="C441" s="172" t="s">
        <v>80</v>
      </c>
      <c r="D441" s="172" t="s">
        <v>211</v>
      </c>
      <c r="E441" s="172">
        <v>3.50845876145366E-3</v>
      </c>
      <c r="F441" s="172">
        <v>2.5958905125406098E-3</v>
      </c>
      <c r="G441" s="172">
        <v>1.35154342777728</v>
      </c>
    </row>
    <row r="442" spans="2:7" hidden="1" x14ac:dyDescent="0.3">
      <c r="B442" s="172" t="s">
        <v>24</v>
      </c>
      <c r="C442" s="172" t="s">
        <v>80</v>
      </c>
      <c r="D442" s="172" t="s">
        <v>210</v>
      </c>
      <c r="E442" s="172">
        <v>5.9965675539112298E-3</v>
      </c>
      <c r="F442" s="172">
        <v>5.53589189683029E-3</v>
      </c>
      <c r="G442" s="172">
        <v>1.0832161584197</v>
      </c>
    </row>
    <row r="443" spans="2:7" hidden="1" x14ac:dyDescent="0.3">
      <c r="B443" s="172" t="s">
        <v>24</v>
      </c>
      <c r="C443" s="172" t="s">
        <v>80</v>
      </c>
      <c r="D443" s="172" t="s">
        <v>211</v>
      </c>
      <c r="E443" s="172">
        <v>2.3205677560263101E-3</v>
      </c>
      <c r="F443" s="172">
        <v>1.67562183611299E-3</v>
      </c>
      <c r="G443" s="172">
        <v>1.38489944808157</v>
      </c>
    </row>
    <row r="444" spans="2:7" hidden="1" x14ac:dyDescent="0.3">
      <c r="B444" s="172" t="s">
        <v>22</v>
      </c>
      <c r="C444" s="172" t="s">
        <v>80</v>
      </c>
      <c r="D444" s="172" t="s">
        <v>210</v>
      </c>
      <c r="E444" s="172">
        <v>2.9671149089384101E-3</v>
      </c>
      <c r="F444" s="172">
        <v>2.7517590595888199E-3</v>
      </c>
      <c r="G444" s="172">
        <v>1.0782611575672501</v>
      </c>
    </row>
    <row r="445" spans="2:7" hidden="1" x14ac:dyDescent="0.3">
      <c r="B445" s="172" t="s">
        <v>22</v>
      </c>
      <c r="C445" s="172" t="s">
        <v>80</v>
      </c>
      <c r="D445" s="172" t="s">
        <v>211</v>
      </c>
      <c r="E445" s="172">
        <v>1.0874864544512901E-3</v>
      </c>
      <c r="F445" s="172">
        <v>7.8598826536186296E-4</v>
      </c>
      <c r="G445" s="172">
        <v>1.38359120915199</v>
      </c>
    </row>
    <row r="446" spans="2:7" hidden="1" x14ac:dyDescent="0.3">
      <c r="B446" s="172" t="s">
        <v>189</v>
      </c>
      <c r="C446" s="172" t="s">
        <v>81</v>
      </c>
      <c r="D446" s="172" t="s">
        <v>210</v>
      </c>
      <c r="E446" s="172">
        <v>6.8897690158352702E-3</v>
      </c>
      <c r="F446" s="172">
        <v>6.8211034198471399E-3</v>
      </c>
      <c r="G446" s="172">
        <v>1.0100666405069201</v>
      </c>
    </row>
    <row r="447" spans="2:7" hidden="1" x14ac:dyDescent="0.3">
      <c r="B447" s="172" t="s">
        <v>189</v>
      </c>
      <c r="C447" s="172" t="s">
        <v>81</v>
      </c>
      <c r="D447" s="172" t="s">
        <v>211</v>
      </c>
      <c r="E447" s="172">
        <v>3.1091444115087401E-2</v>
      </c>
      <c r="F447" s="172">
        <v>3.1005612120102301E-2</v>
      </c>
      <c r="G447" s="172">
        <v>1.0027682728743701</v>
      </c>
    </row>
    <row r="448" spans="2:7" hidden="1" x14ac:dyDescent="0.3">
      <c r="B448" s="172" t="s">
        <v>187</v>
      </c>
      <c r="C448" s="172" t="s">
        <v>81</v>
      </c>
      <c r="D448" s="172" t="s">
        <v>210</v>
      </c>
      <c r="E448" s="172">
        <v>6.4213435239438904E-3</v>
      </c>
      <c r="F448" s="172">
        <v>6.3938255741815596E-3</v>
      </c>
      <c r="G448" s="172">
        <v>1.0043038317894399</v>
      </c>
    </row>
    <row r="449" spans="2:7" hidden="1" x14ac:dyDescent="0.3">
      <c r="B449" s="172" t="s">
        <v>187</v>
      </c>
      <c r="C449" s="172" t="s">
        <v>81</v>
      </c>
      <c r="D449" s="172" t="s">
        <v>211</v>
      </c>
      <c r="E449" s="172">
        <v>2.9216375507412701E-2</v>
      </c>
      <c r="F449" s="172">
        <v>2.91778503777455E-2</v>
      </c>
      <c r="G449" s="172">
        <v>1.00132035530954</v>
      </c>
    </row>
    <row r="450" spans="2:7" hidden="1" x14ac:dyDescent="0.3">
      <c r="B450" s="172" t="s">
        <v>185</v>
      </c>
      <c r="C450" s="172" t="s">
        <v>81</v>
      </c>
      <c r="D450" s="172" t="s">
        <v>210</v>
      </c>
      <c r="E450" s="172">
        <v>6.4563872527671103E-3</v>
      </c>
      <c r="F450" s="172">
        <v>6.1523429810437296E-3</v>
      </c>
      <c r="G450" s="172">
        <v>1.04941926558064</v>
      </c>
    </row>
    <row r="451" spans="2:7" hidden="1" x14ac:dyDescent="0.3">
      <c r="B451" s="172" t="s">
        <v>185</v>
      </c>
      <c r="C451" s="172" t="s">
        <v>81</v>
      </c>
      <c r="D451" s="172" t="s">
        <v>211</v>
      </c>
      <c r="E451" s="172">
        <v>2.7966985905778102E-2</v>
      </c>
      <c r="F451" s="172">
        <v>2.7541323925365398E-2</v>
      </c>
      <c r="G451" s="172">
        <v>1.01545539283319</v>
      </c>
    </row>
    <row r="452" spans="2:7" hidden="1" x14ac:dyDescent="0.3">
      <c r="B452" s="172" t="s">
        <v>183</v>
      </c>
      <c r="C452" s="172" t="s">
        <v>81</v>
      </c>
      <c r="D452" s="172" t="s">
        <v>210</v>
      </c>
      <c r="E452" s="172">
        <v>6.3453780787324299E-3</v>
      </c>
      <c r="F452" s="172">
        <v>5.7764538675838502E-3</v>
      </c>
      <c r="G452" s="172">
        <v>1.09849021981137</v>
      </c>
    </row>
    <row r="453" spans="2:7" hidden="1" x14ac:dyDescent="0.3">
      <c r="B453" s="172" t="s">
        <v>183</v>
      </c>
      <c r="C453" s="172" t="s">
        <v>81</v>
      </c>
      <c r="D453" s="172" t="s">
        <v>211</v>
      </c>
      <c r="E453" s="172">
        <v>2.6199238764785301E-2</v>
      </c>
      <c r="F453" s="172">
        <v>2.5402744869177301E-2</v>
      </c>
      <c r="G453" s="172">
        <v>1.03135463902464</v>
      </c>
    </row>
    <row r="454" spans="2:7" hidden="1" x14ac:dyDescent="0.3">
      <c r="B454" s="172" t="s">
        <v>181</v>
      </c>
      <c r="C454" s="172" t="s">
        <v>81</v>
      </c>
      <c r="D454" s="172" t="s">
        <v>210</v>
      </c>
      <c r="E454" s="172">
        <v>6.0463882828646698E-3</v>
      </c>
      <c r="F454" s="172">
        <v>5.2844703088513398E-3</v>
      </c>
      <c r="G454" s="172">
        <v>1.14418057619458</v>
      </c>
    </row>
    <row r="455" spans="2:7" hidden="1" x14ac:dyDescent="0.3">
      <c r="B455" s="172" t="s">
        <v>181</v>
      </c>
      <c r="C455" s="172" t="s">
        <v>81</v>
      </c>
      <c r="D455" s="172" t="s">
        <v>211</v>
      </c>
      <c r="E455" s="172">
        <v>2.38947426435898E-2</v>
      </c>
      <c r="F455" s="172">
        <v>2.28280574799711E-2</v>
      </c>
      <c r="G455" s="172">
        <v>1.0467269352442501</v>
      </c>
    </row>
    <row r="456" spans="2:7" hidden="1" x14ac:dyDescent="0.3">
      <c r="B456" s="172" t="s">
        <v>179</v>
      </c>
      <c r="C456" s="172" t="s">
        <v>81</v>
      </c>
      <c r="D456" s="172" t="s">
        <v>210</v>
      </c>
      <c r="E456" s="172">
        <v>5.58853148522885E-3</v>
      </c>
      <c r="F456" s="172">
        <v>4.6990129594717102E-3</v>
      </c>
      <c r="G456" s="172">
        <v>1.1892990152249201</v>
      </c>
    </row>
    <row r="457" spans="2:7" hidden="1" x14ac:dyDescent="0.3">
      <c r="B457" s="172" t="s">
        <v>179</v>
      </c>
      <c r="C457" s="172" t="s">
        <v>81</v>
      </c>
      <c r="D457" s="172" t="s">
        <v>211</v>
      </c>
      <c r="E457" s="172">
        <v>2.1154617513236999E-2</v>
      </c>
      <c r="F457" s="172">
        <v>1.9909291577177E-2</v>
      </c>
      <c r="G457" s="172">
        <v>1.06254998733795</v>
      </c>
    </row>
    <row r="458" spans="2:7" hidden="1" x14ac:dyDescent="0.3">
      <c r="B458" s="172" t="s">
        <v>39</v>
      </c>
      <c r="C458" s="172" t="s">
        <v>81</v>
      </c>
      <c r="D458" s="172" t="s">
        <v>210</v>
      </c>
      <c r="E458" s="172">
        <v>4.9888115861578004E-3</v>
      </c>
      <c r="F458" s="172">
        <v>4.0364357339814604E-3</v>
      </c>
      <c r="G458" s="172">
        <v>1.2359447579354701</v>
      </c>
    </row>
    <row r="459" spans="2:7" hidden="1" x14ac:dyDescent="0.3">
      <c r="B459" s="172" t="s">
        <v>39</v>
      </c>
      <c r="C459" s="172" t="s">
        <v>81</v>
      </c>
      <c r="D459" s="172" t="s">
        <v>211</v>
      </c>
      <c r="E459" s="172">
        <v>1.8062635187217201E-2</v>
      </c>
      <c r="F459" s="172">
        <v>1.67293089941703E-2</v>
      </c>
      <c r="G459" s="172">
        <v>1.07970001591288</v>
      </c>
    </row>
    <row r="460" spans="2:7" hidden="1" x14ac:dyDescent="0.3">
      <c r="B460" s="172" t="s">
        <v>26</v>
      </c>
      <c r="C460" s="172" t="s">
        <v>81</v>
      </c>
      <c r="D460" s="172" t="s">
        <v>210</v>
      </c>
      <c r="E460" s="172">
        <v>4.2460463024212199E-3</v>
      </c>
      <c r="F460" s="172">
        <v>3.30891403631571E-3</v>
      </c>
      <c r="G460" s="172">
        <v>1.28321444915775</v>
      </c>
    </row>
    <row r="461" spans="2:7" hidden="1" x14ac:dyDescent="0.3">
      <c r="B461" s="172" t="s">
        <v>26</v>
      </c>
      <c r="C461" s="172" t="s">
        <v>81</v>
      </c>
      <c r="D461" s="172" t="s">
        <v>211</v>
      </c>
      <c r="E461" s="172">
        <v>1.4682357977950901E-2</v>
      </c>
      <c r="F461" s="172">
        <v>1.3370372805403199E-2</v>
      </c>
      <c r="G461" s="172">
        <v>1.0981262969733701</v>
      </c>
    </row>
    <row r="462" spans="2:7" hidden="1" x14ac:dyDescent="0.3">
      <c r="B462" s="172" t="s">
        <v>25</v>
      </c>
      <c r="C462" s="172" t="s">
        <v>81</v>
      </c>
      <c r="D462" s="172" t="s">
        <v>210</v>
      </c>
      <c r="E462" s="172">
        <v>3.36617155008893E-3</v>
      </c>
      <c r="F462" s="172">
        <v>2.5356887713490501E-3</v>
      </c>
      <c r="G462" s="172">
        <v>1.32751763076114</v>
      </c>
    </row>
    <row r="463" spans="2:7" hidden="1" x14ac:dyDescent="0.3">
      <c r="B463" s="172" t="s">
        <v>25</v>
      </c>
      <c r="C463" s="172" t="s">
        <v>81</v>
      </c>
      <c r="D463" s="172" t="s">
        <v>211</v>
      </c>
      <c r="E463" s="172">
        <v>1.10687586657166E-2</v>
      </c>
      <c r="F463" s="172">
        <v>9.9060827754808099E-3</v>
      </c>
      <c r="G463" s="172">
        <v>1.1173698944969099</v>
      </c>
    </row>
    <row r="464" spans="2:7" hidden="1" x14ac:dyDescent="0.3">
      <c r="B464" s="172" t="s">
        <v>24</v>
      </c>
      <c r="C464" s="172" t="s">
        <v>81</v>
      </c>
      <c r="D464" s="172" t="s">
        <v>210</v>
      </c>
      <c r="E464" s="172">
        <v>2.3536254478714598E-3</v>
      </c>
      <c r="F464" s="172">
        <v>1.7200112329852401E-3</v>
      </c>
      <c r="G464" s="172">
        <v>1.36837795168728</v>
      </c>
    </row>
    <row r="465" spans="2:7" hidden="1" x14ac:dyDescent="0.3">
      <c r="B465" s="172" t="s">
        <v>24</v>
      </c>
      <c r="C465" s="172" t="s">
        <v>81</v>
      </c>
      <c r="D465" s="172" t="s">
        <v>211</v>
      </c>
      <c r="E465" s="172">
        <v>7.2956709909657398E-3</v>
      </c>
      <c r="F465" s="172">
        <v>6.4086110901250401E-3</v>
      </c>
      <c r="G465" s="172">
        <v>1.13841687198144</v>
      </c>
    </row>
    <row r="466" spans="2:7" hidden="1" x14ac:dyDescent="0.3">
      <c r="B466" s="172" t="s">
        <v>22</v>
      </c>
      <c r="C466" s="172" t="s">
        <v>81</v>
      </c>
      <c r="D466" s="172" t="s">
        <v>210</v>
      </c>
      <c r="E466" s="172">
        <v>1.2168011101170999E-3</v>
      </c>
      <c r="F466" s="172">
        <v>8.7435491515243098E-4</v>
      </c>
      <c r="G466" s="172">
        <v>1.39165582423125</v>
      </c>
    </row>
    <row r="467" spans="2:7" hidden="1" x14ac:dyDescent="0.3">
      <c r="B467" s="172" t="s">
        <v>22</v>
      </c>
      <c r="C467" s="172" t="s">
        <v>81</v>
      </c>
      <c r="D467" s="172" t="s">
        <v>211</v>
      </c>
      <c r="E467" s="172">
        <v>3.4776926604822901E-3</v>
      </c>
      <c r="F467" s="172">
        <v>2.9982679875317502E-3</v>
      </c>
      <c r="G467" s="172">
        <v>1.15990054089368</v>
      </c>
    </row>
    <row r="468" spans="2:7" hidden="1" x14ac:dyDescent="0.3">
      <c r="B468" s="172" t="s">
        <v>189</v>
      </c>
      <c r="C468" s="172" t="s">
        <v>82</v>
      </c>
      <c r="D468" s="172" t="s">
        <v>210</v>
      </c>
      <c r="E468" s="172">
        <v>5.7372053102536296E-3</v>
      </c>
      <c r="F468" s="172">
        <v>4.8181112851842199E-3</v>
      </c>
      <c r="G468" s="172">
        <v>1.19075815618781</v>
      </c>
    </row>
    <row r="469" spans="2:7" x14ac:dyDescent="0.3">
      <c r="B469" s="172" t="s">
        <v>189</v>
      </c>
      <c r="C469" s="172" t="s">
        <v>82</v>
      </c>
      <c r="D469" s="172" t="s">
        <v>211</v>
      </c>
      <c r="E469" s="172">
        <v>2.80482932070216E-2</v>
      </c>
      <c r="F469" s="172">
        <v>2.6899425675684902E-2</v>
      </c>
      <c r="G469" s="172">
        <v>1.0427097420289999</v>
      </c>
    </row>
    <row r="470" spans="2:7" hidden="1" x14ac:dyDescent="0.3">
      <c r="B470" s="172" t="s">
        <v>187</v>
      </c>
      <c r="C470" s="172" t="s">
        <v>82</v>
      </c>
      <c r="D470" s="172" t="s">
        <v>210</v>
      </c>
      <c r="E470" s="172">
        <v>1.07205014945254E-2</v>
      </c>
      <c r="F470" s="172">
        <v>7.1232693973277998E-3</v>
      </c>
      <c r="G470" s="172">
        <v>1.5049973399218901</v>
      </c>
    </row>
    <row r="471" spans="2:7" x14ac:dyDescent="0.3">
      <c r="B471" s="172" t="s">
        <v>187</v>
      </c>
      <c r="C471" s="172" t="s">
        <v>82</v>
      </c>
      <c r="D471" s="172" t="s">
        <v>211</v>
      </c>
      <c r="E471" s="172">
        <v>3.41910806130711E-2</v>
      </c>
      <c r="F471" s="172">
        <v>2.9154955676994599E-2</v>
      </c>
      <c r="G471" s="172">
        <v>1.1727364977629</v>
      </c>
    </row>
    <row r="472" spans="2:7" hidden="1" x14ac:dyDescent="0.3">
      <c r="B472" s="172" t="s">
        <v>185</v>
      </c>
      <c r="C472" s="172" t="s">
        <v>82</v>
      </c>
      <c r="D472" s="172" t="s">
        <v>210</v>
      </c>
      <c r="E472" s="172">
        <v>1.06280341537759E-2</v>
      </c>
      <c r="F472" s="172">
        <v>6.8664260442980003E-3</v>
      </c>
      <c r="G472" s="172">
        <v>1.5478262032111501</v>
      </c>
    </row>
    <row r="473" spans="2:7" x14ac:dyDescent="0.3">
      <c r="B473" s="172" t="s">
        <v>185</v>
      </c>
      <c r="C473" s="172" t="s">
        <v>82</v>
      </c>
      <c r="D473" s="172" t="s">
        <v>211</v>
      </c>
      <c r="E473" s="172">
        <v>3.28459479698259E-2</v>
      </c>
      <c r="F473" s="172">
        <v>2.7579696616556799E-2</v>
      </c>
      <c r="G473" s="172">
        <v>1.19094667452243</v>
      </c>
    </row>
    <row r="474" spans="2:7" hidden="1" x14ac:dyDescent="0.3">
      <c r="B474" s="172" t="s">
        <v>183</v>
      </c>
      <c r="C474" s="172" t="s">
        <v>82</v>
      </c>
      <c r="D474" s="172" t="s">
        <v>210</v>
      </c>
      <c r="E474" s="172">
        <v>1.0246671862660499E-2</v>
      </c>
      <c r="F474" s="172">
        <v>6.4582779315937103E-3</v>
      </c>
      <c r="G474" s="172">
        <v>1.5865950600444301</v>
      </c>
    </row>
    <row r="475" spans="2:7" x14ac:dyDescent="0.3">
      <c r="B475" s="172" t="s">
        <v>183</v>
      </c>
      <c r="C475" s="172" t="s">
        <v>82</v>
      </c>
      <c r="D475" s="172" t="s">
        <v>211</v>
      </c>
      <c r="E475" s="172">
        <v>3.07962528285536E-2</v>
      </c>
      <c r="F475" s="172">
        <v>2.549250132506E-2</v>
      </c>
      <c r="G475" s="172">
        <v>1.20805143582673</v>
      </c>
    </row>
    <row r="476" spans="2:7" hidden="1" x14ac:dyDescent="0.3">
      <c r="B476" s="172" t="s">
        <v>181</v>
      </c>
      <c r="C476" s="172" t="s">
        <v>82</v>
      </c>
      <c r="D476" s="172" t="s">
        <v>210</v>
      </c>
      <c r="E476" s="172">
        <v>9.5984041522899008E-3</v>
      </c>
      <c r="F476" s="172">
        <v>5.91740888989091E-3</v>
      </c>
      <c r="G476" s="172">
        <v>1.62206200904715</v>
      </c>
    </row>
    <row r="477" spans="2:7" x14ac:dyDescent="0.3">
      <c r="B477" s="172" t="s">
        <v>181</v>
      </c>
      <c r="C477" s="172" t="s">
        <v>82</v>
      </c>
      <c r="D477" s="172" t="s">
        <v>211</v>
      </c>
      <c r="E477" s="172">
        <v>2.8110239691129298E-2</v>
      </c>
      <c r="F477" s="172">
        <v>2.2956846323770801E-2</v>
      </c>
      <c r="G477" s="172">
        <v>1.22448176437991</v>
      </c>
    </row>
    <row r="478" spans="2:7" hidden="1" x14ac:dyDescent="0.3">
      <c r="B478" s="172" t="s">
        <v>179</v>
      </c>
      <c r="C478" s="172" t="s">
        <v>82</v>
      </c>
      <c r="D478" s="172" t="s">
        <v>210</v>
      </c>
      <c r="E478" s="172">
        <v>8.7267246736848197E-3</v>
      </c>
      <c r="F478" s="172">
        <v>5.2691051747124403E-3</v>
      </c>
      <c r="G478" s="172">
        <v>1.6562062028228699</v>
      </c>
    </row>
    <row r="479" spans="2:7" x14ac:dyDescent="0.3">
      <c r="B479" s="172" t="s">
        <v>179</v>
      </c>
      <c r="C479" s="172" t="s">
        <v>82</v>
      </c>
      <c r="D479" s="172" t="s">
        <v>211</v>
      </c>
      <c r="E479" s="172">
        <v>2.49061634170165E-2</v>
      </c>
      <c r="F479" s="172">
        <v>2.0065496118455099E-2</v>
      </c>
      <c r="G479" s="172">
        <v>1.24124333981003</v>
      </c>
    </row>
    <row r="480" spans="2:7" hidden="1" x14ac:dyDescent="0.3">
      <c r="B480" s="172" t="s">
        <v>39</v>
      </c>
      <c r="C480" s="172" t="s">
        <v>82</v>
      </c>
      <c r="D480" s="172" t="s">
        <v>210</v>
      </c>
      <c r="E480" s="172">
        <v>7.6611773138279297E-3</v>
      </c>
      <c r="F480" s="172">
        <v>4.5318723482253203E-3</v>
      </c>
      <c r="G480" s="172">
        <v>1.69051039507502</v>
      </c>
    </row>
    <row r="481" spans="2:7" x14ac:dyDescent="0.3">
      <c r="B481" s="172" t="s">
        <v>39</v>
      </c>
      <c r="C481" s="172" t="s">
        <v>82</v>
      </c>
      <c r="D481" s="172" t="s">
        <v>211</v>
      </c>
      <c r="E481" s="172">
        <v>2.12821935344393E-2</v>
      </c>
      <c r="F481" s="172">
        <v>1.69011665825957E-2</v>
      </c>
      <c r="G481" s="172">
        <v>1.25921447081381</v>
      </c>
    </row>
    <row r="482" spans="2:7" hidden="1" x14ac:dyDescent="0.3">
      <c r="B482" s="172" t="s">
        <v>26</v>
      </c>
      <c r="C482" s="172" t="s">
        <v>82</v>
      </c>
      <c r="D482" s="172" t="s">
        <v>210</v>
      </c>
      <c r="E482" s="172">
        <v>6.41224650435805E-3</v>
      </c>
      <c r="F482" s="172">
        <v>3.71810237301379E-3</v>
      </c>
      <c r="G482" s="172">
        <v>1.7246019235238199</v>
      </c>
    </row>
    <row r="483" spans="2:7" x14ac:dyDescent="0.3">
      <c r="B483" s="172" t="s">
        <v>26</v>
      </c>
      <c r="C483" s="172" t="s">
        <v>82</v>
      </c>
      <c r="D483" s="172" t="s">
        <v>211</v>
      </c>
      <c r="E483" s="172">
        <v>1.73151650929011E-2</v>
      </c>
      <c r="F483" s="172">
        <v>1.35433633090192E-2</v>
      </c>
      <c r="G483" s="172">
        <v>1.27849816163243</v>
      </c>
    </row>
    <row r="484" spans="2:7" hidden="1" x14ac:dyDescent="0.3">
      <c r="B484" s="172" t="s">
        <v>25</v>
      </c>
      <c r="C484" s="172" t="s">
        <v>82</v>
      </c>
      <c r="D484" s="172" t="s">
        <v>210</v>
      </c>
      <c r="E484" s="172">
        <v>4.9951056044020802E-3</v>
      </c>
      <c r="F484" s="172">
        <v>2.8467236421761098E-3</v>
      </c>
      <c r="G484" s="172">
        <v>1.7546858186008101</v>
      </c>
    </row>
    <row r="485" spans="2:7" x14ac:dyDescent="0.3">
      <c r="B485" s="172" t="s">
        <v>25</v>
      </c>
      <c r="C485" s="172" t="s">
        <v>82</v>
      </c>
      <c r="D485" s="172" t="s">
        <v>211</v>
      </c>
      <c r="E485" s="172">
        <v>1.30706407987388E-2</v>
      </c>
      <c r="F485" s="172">
        <v>1.00629060516225E-2</v>
      </c>
      <c r="G485" s="172">
        <v>1.2988932552571499</v>
      </c>
    </row>
    <row r="486" spans="2:7" hidden="1" x14ac:dyDescent="0.3">
      <c r="B486" s="172" t="s">
        <v>24</v>
      </c>
      <c r="C486" s="172" t="s">
        <v>82</v>
      </c>
      <c r="D486" s="172" t="s">
        <v>210</v>
      </c>
      <c r="E486" s="172">
        <v>3.4241997989559098E-3</v>
      </c>
      <c r="F486" s="172">
        <v>1.92423748263626E-3</v>
      </c>
      <c r="G486" s="172">
        <v>1.7795099772532501</v>
      </c>
    </row>
    <row r="487" spans="2:7" x14ac:dyDescent="0.3">
      <c r="B487" s="172" t="s">
        <v>24</v>
      </c>
      <c r="C487" s="172" t="s">
        <v>82</v>
      </c>
      <c r="D487" s="172" t="s">
        <v>211</v>
      </c>
      <c r="E487" s="172">
        <v>8.6311844399359107E-3</v>
      </c>
      <c r="F487" s="172">
        <v>6.5312371970884103E-3</v>
      </c>
      <c r="G487" s="172">
        <v>1.32152365309648</v>
      </c>
    </row>
    <row r="488" spans="2:7" hidden="1" x14ac:dyDescent="0.3">
      <c r="B488" s="172" t="s">
        <v>22</v>
      </c>
      <c r="C488" s="172" t="s">
        <v>82</v>
      </c>
      <c r="D488" s="172" t="s">
        <v>210</v>
      </c>
      <c r="E488" s="172">
        <v>1.7255658651872301E-3</v>
      </c>
      <c r="F488" s="172">
        <v>9.6693667860030903E-4</v>
      </c>
      <c r="G488" s="172">
        <v>1.7845696656011401</v>
      </c>
    </row>
    <row r="489" spans="2:7" x14ac:dyDescent="0.3">
      <c r="B489" s="172" t="s">
        <v>22</v>
      </c>
      <c r="C489" s="172" t="s">
        <v>82</v>
      </c>
      <c r="D489" s="172" t="s">
        <v>211</v>
      </c>
      <c r="E489" s="172">
        <v>4.1290419813850001E-3</v>
      </c>
      <c r="F489" s="172">
        <v>3.0669611201633198E-3</v>
      </c>
      <c r="G489" s="172">
        <v>1.3462974650181201</v>
      </c>
    </row>
    <row r="490" spans="2:7" hidden="1" x14ac:dyDescent="0.3">
      <c r="B490" s="172" t="s">
        <v>189</v>
      </c>
      <c r="C490" s="172" t="s">
        <v>202</v>
      </c>
      <c r="D490" s="172" t="s">
        <v>210</v>
      </c>
      <c r="E490" s="172">
        <v>8.6614253670726097E-4</v>
      </c>
      <c r="F490" s="172">
        <v>8.3466701120387104E-4</v>
      </c>
      <c r="G490" s="172">
        <v>1.0377102785672501</v>
      </c>
    </row>
    <row r="491" spans="2:7" hidden="1" x14ac:dyDescent="0.3">
      <c r="B491" s="172" t="s">
        <v>189</v>
      </c>
      <c r="C491" s="172" t="s">
        <v>202</v>
      </c>
      <c r="D491" s="172" t="s">
        <v>211</v>
      </c>
      <c r="E491" s="172">
        <v>1.5209990778243399E-3</v>
      </c>
      <c r="F491" s="172">
        <v>1.48165467094511E-3</v>
      </c>
      <c r="G491" s="172">
        <v>1.0265543703608999</v>
      </c>
    </row>
    <row r="492" spans="2:7" hidden="1" x14ac:dyDescent="0.3">
      <c r="B492" s="172" t="s">
        <v>187</v>
      </c>
      <c r="C492" s="172" t="s">
        <v>202</v>
      </c>
      <c r="D492" s="172" t="s">
        <v>210</v>
      </c>
      <c r="E492" s="172">
        <v>1.0670612365539199E-3</v>
      </c>
      <c r="F492" s="172">
        <v>6.3709404862463399E-4</v>
      </c>
      <c r="G492" s="172">
        <v>1.67488809361428</v>
      </c>
    </row>
    <row r="493" spans="2:7" hidden="1" x14ac:dyDescent="0.3">
      <c r="B493" s="172" t="s">
        <v>187</v>
      </c>
      <c r="C493" s="172" t="s">
        <v>202</v>
      </c>
      <c r="D493" s="172" t="s">
        <v>211</v>
      </c>
      <c r="E493" s="172">
        <v>1.0603153208209701E-3</v>
      </c>
      <c r="F493" s="172">
        <v>4.5836125771997498E-4</v>
      </c>
      <c r="G493" s="172">
        <v>2.3132743070286801</v>
      </c>
    </row>
    <row r="494" spans="2:7" hidden="1" x14ac:dyDescent="0.3">
      <c r="B494" s="172" t="s">
        <v>185</v>
      </c>
      <c r="C494" s="172" t="s">
        <v>202</v>
      </c>
      <c r="D494" s="172" t="s">
        <v>210</v>
      </c>
      <c r="E494" s="172">
        <v>8.7406776226482403E-4</v>
      </c>
      <c r="F494" s="172">
        <v>5.1337264178869804E-4</v>
      </c>
      <c r="G494" s="172">
        <v>1.7025990306366701</v>
      </c>
    </row>
    <row r="495" spans="2:7" hidden="1" x14ac:dyDescent="0.3">
      <c r="B495" s="172" t="s">
        <v>185</v>
      </c>
      <c r="C495" s="172" t="s">
        <v>202</v>
      </c>
      <c r="D495" s="172" t="s">
        <v>211</v>
      </c>
      <c r="E495" s="172">
        <v>8.8949394399047399E-4</v>
      </c>
      <c r="F495" s="172">
        <v>3.8452077532389798E-4</v>
      </c>
      <c r="G495" s="172">
        <v>2.3132532780347601</v>
      </c>
    </row>
    <row r="496" spans="2:7" hidden="1" x14ac:dyDescent="0.3">
      <c r="B496" s="172" t="s">
        <v>183</v>
      </c>
      <c r="C496" s="172" t="s">
        <v>202</v>
      </c>
      <c r="D496" s="172" t="s">
        <v>210</v>
      </c>
      <c r="E496" s="172">
        <v>6.6059914958734099E-4</v>
      </c>
      <c r="F496" s="172">
        <v>3.5970848599990799E-4</v>
      </c>
      <c r="G496" s="172">
        <v>1.83648475167614</v>
      </c>
    </row>
    <row r="497" spans="2:7" hidden="1" x14ac:dyDescent="0.3">
      <c r="B497" s="172" t="s">
        <v>183</v>
      </c>
      <c r="C497" s="172" t="s">
        <v>202</v>
      </c>
      <c r="D497" s="172" t="s">
        <v>211</v>
      </c>
      <c r="E497" s="172">
        <v>7.2449592764047097E-4</v>
      </c>
      <c r="F497" s="172">
        <v>3.0324899861806502E-4</v>
      </c>
      <c r="G497" s="172">
        <v>2.3891123497260298</v>
      </c>
    </row>
    <row r="498" spans="2:7" hidden="1" x14ac:dyDescent="0.3">
      <c r="B498" s="172" t="s">
        <v>181</v>
      </c>
      <c r="C498" s="172" t="s">
        <v>202</v>
      </c>
      <c r="D498" s="172" t="s">
        <v>210</v>
      </c>
      <c r="E498" s="172">
        <v>4.6263613178106397E-4</v>
      </c>
      <c r="F498" s="172">
        <v>2.18025603815843E-4</v>
      </c>
      <c r="G498" s="172">
        <v>2.1219348722539602</v>
      </c>
    </row>
    <row r="499" spans="2:7" hidden="1" x14ac:dyDescent="0.3">
      <c r="B499" s="172" t="s">
        <v>181</v>
      </c>
      <c r="C499" s="172" t="s">
        <v>202</v>
      </c>
      <c r="D499" s="172" t="s">
        <v>211</v>
      </c>
      <c r="E499" s="172">
        <v>5.6888798162657605E-4</v>
      </c>
      <c r="F499" s="172">
        <v>2.2643324247526801E-4</v>
      </c>
      <c r="G499" s="172">
        <v>2.51238720696549</v>
      </c>
    </row>
    <row r="500" spans="2:7" hidden="1" x14ac:dyDescent="0.3">
      <c r="B500" s="172" t="s">
        <v>179</v>
      </c>
      <c r="C500" s="172" t="s">
        <v>202</v>
      </c>
      <c r="D500" s="172" t="s">
        <v>210</v>
      </c>
      <c r="E500" s="172">
        <v>2.8369895867210999E-4</v>
      </c>
      <c r="F500" s="172">
        <v>9.0604085897823402E-5</v>
      </c>
      <c r="G500" s="172">
        <v>3.1311938734423599</v>
      </c>
    </row>
    <row r="501" spans="2:7" hidden="1" x14ac:dyDescent="0.3">
      <c r="B501" s="172" t="s">
        <v>179</v>
      </c>
      <c r="C501" s="172" t="s">
        <v>202</v>
      </c>
      <c r="D501" s="172" t="s">
        <v>211</v>
      </c>
      <c r="E501" s="172">
        <v>4.2606450781615298E-4</v>
      </c>
      <c r="F501" s="172">
        <v>1.55731685932152E-4</v>
      </c>
      <c r="G501" s="172">
        <v>2.7358883663648101</v>
      </c>
    </row>
    <row r="502" spans="2:7" hidden="1" x14ac:dyDescent="0.3">
      <c r="B502" s="172" t="s">
        <v>39</v>
      </c>
      <c r="C502" s="172" t="s">
        <v>202</v>
      </c>
      <c r="D502" s="172" t="s">
        <v>210</v>
      </c>
      <c r="E502" s="172">
        <v>1.6629199556642501E-4</v>
      </c>
      <c r="F502" s="172">
        <v>1.9182461671709001E-5</v>
      </c>
      <c r="G502" s="172">
        <v>8.6689601372527996</v>
      </c>
    </row>
    <row r="503" spans="2:7" hidden="1" x14ac:dyDescent="0.3">
      <c r="B503" s="172" t="s">
        <v>39</v>
      </c>
      <c r="C503" s="172" t="s">
        <v>202</v>
      </c>
      <c r="D503" s="172" t="s">
        <v>211</v>
      </c>
      <c r="E503" s="172">
        <v>2.98441005203869E-4</v>
      </c>
      <c r="F503" s="172">
        <v>9.2487657751265994E-5</v>
      </c>
      <c r="G503" s="172">
        <v>3.22681979909675</v>
      </c>
    </row>
    <row r="504" spans="2:7" hidden="1" x14ac:dyDescent="0.3">
      <c r="B504" s="172" t="s">
        <v>26</v>
      </c>
      <c r="C504" s="172" t="s">
        <v>202</v>
      </c>
      <c r="D504" s="172" t="s">
        <v>210</v>
      </c>
      <c r="E504" s="172">
        <v>2.1558732385005999E-4</v>
      </c>
      <c r="F504" s="172">
        <v>1.0667930948343E-4</v>
      </c>
      <c r="G504" s="172">
        <v>2.02089163206991</v>
      </c>
    </row>
    <row r="505" spans="2:7" hidden="1" x14ac:dyDescent="0.3">
      <c r="B505" s="172" t="s">
        <v>26</v>
      </c>
      <c r="C505" s="172" t="s">
        <v>202</v>
      </c>
      <c r="D505" s="172" t="s">
        <v>211</v>
      </c>
      <c r="E505" s="172">
        <v>1.9314696406856299E-4</v>
      </c>
      <c r="F505" s="172">
        <v>4.0675743955281202E-5</v>
      </c>
      <c r="G505" s="172">
        <v>4.7484555975400999</v>
      </c>
    </row>
    <row r="506" spans="2:7" hidden="1" x14ac:dyDescent="0.3">
      <c r="B506" s="172" t="s">
        <v>25</v>
      </c>
      <c r="C506" s="172" t="s">
        <v>202</v>
      </c>
      <c r="D506" s="172" t="s">
        <v>210</v>
      </c>
      <c r="E506" s="172">
        <v>2.3639057890806399E-4</v>
      </c>
      <c r="F506" s="172">
        <v>1.6539581674614501E-4</v>
      </c>
      <c r="G506" s="172">
        <v>1.4292415827595299</v>
      </c>
    </row>
    <row r="507" spans="2:7" hidden="1" x14ac:dyDescent="0.3">
      <c r="B507" s="172" t="s">
        <v>24</v>
      </c>
      <c r="C507" s="172" t="s">
        <v>202</v>
      </c>
      <c r="D507" s="172" t="s">
        <v>210</v>
      </c>
      <c r="E507" s="172">
        <v>2.2778205510792001E-4</v>
      </c>
      <c r="F507" s="172">
        <v>1.8729513475581699E-4</v>
      </c>
      <c r="G507" s="172">
        <v>1.21616642848138</v>
      </c>
    </row>
    <row r="508" spans="2:7" hidden="1" x14ac:dyDescent="0.3">
      <c r="B508" s="172" t="s">
        <v>24</v>
      </c>
      <c r="C508" s="172" t="s">
        <v>202</v>
      </c>
      <c r="D508" s="172" t="s">
        <v>211</v>
      </c>
      <c r="E508" s="172">
        <v>8.9847846683493602E-5</v>
      </c>
      <c r="F508" s="172">
        <v>3.3166158190548802E-5</v>
      </c>
      <c r="G508" s="172">
        <v>2.7090218338612702</v>
      </c>
    </row>
    <row r="509" spans="2:7" hidden="1" x14ac:dyDescent="0.3">
      <c r="B509" s="172" t="s">
        <v>22</v>
      </c>
      <c r="C509" s="172" t="s">
        <v>202</v>
      </c>
      <c r="D509" s="172" t="s">
        <v>210</v>
      </c>
      <c r="E509" s="172">
        <v>1.70132073379089E-4</v>
      </c>
      <c r="F509" s="172">
        <v>1.52004962298138E-4</v>
      </c>
      <c r="G509" s="172">
        <v>1.1192534165127901</v>
      </c>
    </row>
    <row r="510" spans="2:7" hidden="1" x14ac:dyDescent="0.3">
      <c r="B510" s="172" t="s">
        <v>22</v>
      </c>
      <c r="C510" s="172" t="s">
        <v>202</v>
      </c>
      <c r="D510" s="172" t="s">
        <v>211</v>
      </c>
      <c r="E510" s="172">
        <v>6.39032392157232E-5</v>
      </c>
      <c r="F510" s="172">
        <v>3.8525283702391801E-5</v>
      </c>
      <c r="G510" s="172">
        <v>1.65873507147608</v>
      </c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655320</xdr:colOff>
                    <xdr:row>0</xdr:row>
                    <xdr:rowOff>0</xdr:rowOff>
                  </from>
                  <to>
                    <xdr:col>11</xdr:col>
                    <xdr:colOff>251460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30" workbookViewId="0">
      <selection activeCell="E409" sqref="E409:E509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207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208</v>
      </c>
      <c r="F3" s="169" t="s">
        <v>209</v>
      </c>
      <c r="G3" s="169" t="s">
        <v>210</v>
      </c>
      <c r="H3" s="169" t="s">
        <v>211</v>
      </c>
      <c r="I3" s="170" t="s">
        <v>212</v>
      </c>
    </row>
    <row r="4" spans="2:9" x14ac:dyDescent="0.3">
      <c r="B4" s="191"/>
      <c r="C4" s="191"/>
      <c r="D4" s="191"/>
      <c r="E4" s="191"/>
      <c r="F4" s="191"/>
      <c r="G4" s="191" t="s">
        <v>7</v>
      </c>
      <c r="H4" s="191" t="s">
        <v>7</v>
      </c>
      <c r="I4" s="192" t="s">
        <v>7</v>
      </c>
    </row>
    <row r="5" spans="2:9" s="172" customFormat="1" x14ac:dyDescent="0.3">
      <c r="B5" s="27" t="s">
        <v>213</v>
      </c>
      <c r="C5" s="27" t="s">
        <v>214</v>
      </c>
      <c r="D5" s="27" t="s">
        <v>215</v>
      </c>
      <c r="E5" s="27" t="s">
        <v>216</v>
      </c>
      <c r="F5" s="27" t="s">
        <v>217</v>
      </c>
      <c r="G5" s="27" t="s">
        <v>218</v>
      </c>
      <c r="H5" s="27" t="s">
        <v>219</v>
      </c>
      <c r="I5" s="27" t="s">
        <v>220</v>
      </c>
    </row>
    <row r="6" spans="2:9" s="172" customFormat="1" x14ac:dyDescent="0.3">
      <c r="B6" s="172" t="s">
        <v>189</v>
      </c>
      <c r="C6" s="172" t="s">
        <v>79</v>
      </c>
      <c r="D6" s="172" t="s">
        <v>210</v>
      </c>
      <c r="E6" s="172">
        <v>3.2035881177986899E-4</v>
      </c>
      <c r="F6" s="172">
        <v>30</v>
      </c>
      <c r="G6" s="172">
        <v>16</v>
      </c>
      <c r="H6" s="172">
        <v>0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211</v>
      </c>
      <c r="E7" s="172">
        <v>1.8803326867947401E-4</v>
      </c>
      <c r="F7" s="172">
        <v>79</v>
      </c>
      <c r="G7" s="172">
        <v>21</v>
      </c>
      <c r="H7" s="172">
        <v>4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210</v>
      </c>
      <c r="E8" s="172">
        <v>3.3839945795123598E-4</v>
      </c>
      <c r="F8" s="172">
        <v>30</v>
      </c>
      <c r="G8" s="172">
        <v>16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211</v>
      </c>
      <c r="E9" s="172">
        <v>2.3562443900947499E-4</v>
      </c>
      <c r="F9" s="172">
        <v>59</v>
      </c>
      <c r="G9" s="172">
        <v>21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210</v>
      </c>
      <c r="E10" s="172">
        <v>1.56141830630461E-4</v>
      </c>
      <c r="F10" s="172">
        <v>30</v>
      </c>
      <c r="G10" s="172">
        <v>16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211</v>
      </c>
      <c r="E11" s="172">
        <v>6.2502286922491105E-4</v>
      </c>
      <c r="F11" s="172">
        <v>59</v>
      </c>
      <c r="G11" s="172">
        <v>21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210</v>
      </c>
      <c r="E12" s="172">
        <v>1.24326653328185E-4</v>
      </c>
      <c r="F12" s="172">
        <v>30</v>
      </c>
      <c r="G12" s="172">
        <v>16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211</v>
      </c>
      <c r="E13" s="172">
        <v>5.43909134476706E-4</v>
      </c>
      <c r="F13" s="172">
        <v>59</v>
      </c>
      <c r="G13" s="172">
        <v>21</v>
      </c>
      <c r="H13" s="172">
        <v>0</v>
      </c>
      <c r="I13" s="172">
        <v>38.5</v>
      </c>
    </row>
    <row r="14" spans="2:9" s="172" customFormat="1" hidden="1" x14ac:dyDescent="0.3">
      <c r="B14" s="172" t="s">
        <v>189</v>
      </c>
      <c r="C14" s="172" t="s">
        <v>202</v>
      </c>
      <c r="D14" s="172" t="s">
        <v>210</v>
      </c>
      <c r="E14" s="172">
        <v>1.9868820833504201E-4</v>
      </c>
      <c r="F14" s="172">
        <v>30</v>
      </c>
      <c r="G14" s="172">
        <v>16</v>
      </c>
      <c r="H14" s="172">
        <v>0</v>
      </c>
      <c r="I14" s="172">
        <v>38.5</v>
      </c>
    </row>
    <row r="15" spans="2:9" s="172" customFormat="1" hidden="1" x14ac:dyDescent="0.3">
      <c r="B15" s="172" t="s">
        <v>189</v>
      </c>
      <c r="C15" s="172" t="s">
        <v>202</v>
      </c>
      <c r="D15" s="172" t="s">
        <v>211</v>
      </c>
      <c r="E15" s="172">
        <v>2.2287991173258401E-4</v>
      </c>
      <c r="F15" s="172">
        <v>30</v>
      </c>
      <c r="G15" s="172">
        <v>16</v>
      </c>
      <c r="H15" s="172">
        <v>0</v>
      </c>
      <c r="I15" s="172">
        <v>38.5</v>
      </c>
    </row>
    <row r="16" spans="2:9" s="172" customFormat="1" x14ac:dyDescent="0.3">
      <c r="B16" s="172" t="s">
        <v>187</v>
      </c>
      <c r="C16" s="172" t="s">
        <v>79</v>
      </c>
      <c r="D16" s="172" t="s">
        <v>210</v>
      </c>
      <c r="E16" s="172">
        <v>2.8931633828743698E-4</v>
      </c>
      <c r="F16" s="172">
        <v>59</v>
      </c>
      <c r="G16" s="172">
        <v>21</v>
      </c>
      <c r="H16" s="172">
        <v>0</v>
      </c>
      <c r="I16" s="172">
        <v>35.5</v>
      </c>
    </row>
    <row r="17" spans="2:9" s="172" customFormat="1" hidden="1" x14ac:dyDescent="0.3">
      <c r="B17" s="172" t="s">
        <v>187</v>
      </c>
      <c r="C17" s="172" t="s">
        <v>79</v>
      </c>
      <c r="D17" s="172" t="s">
        <v>211</v>
      </c>
      <c r="E17" s="172">
        <v>1.63050073177384E-4</v>
      </c>
      <c r="F17" s="172">
        <v>59</v>
      </c>
      <c r="G17" s="172">
        <v>21</v>
      </c>
      <c r="H17" s="172">
        <v>0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210</v>
      </c>
      <c r="E18" s="172">
        <v>3.1528434873341301E-4</v>
      </c>
      <c r="F18" s="172">
        <v>59</v>
      </c>
      <c r="G18" s="172">
        <v>21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80</v>
      </c>
      <c r="D19" s="172" t="s">
        <v>211</v>
      </c>
      <c r="E19" s="172">
        <v>2.13658433308555E-4</v>
      </c>
      <c r="F19" s="172">
        <v>59</v>
      </c>
      <c r="G19" s="172">
        <v>21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81</v>
      </c>
      <c r="D20" s="172" t="s">
        <v>210</v>
      </c>
      <c r="E20" s="172">
        <v>1.63727089892441E-4</v>
      </c>
      <c r="F20" s="172">
        <v>59</v>
      </c>
      <c r="G20" s="172">
        <v>21</v>
      </c>
      <c r="H20" s="172">
        <v>0</v>
      </c>
      <c r="I20" s="172">
        <v>35.5</v>
      </c>
    </row>
    <row r="21" spans="2:9" hidden="1" x14ac:dyDescent="0.3">
      <c r="B21" s="172" t="s">
        <v>187</v>
      </c>
      <c r="C21" s="172" t="s">
        <v>81</v>
      </c>
      <c r="D21" s="172" t="s">
        <v>211</v>
      </c>
      <c r="E21" s="172">
        <v>6.0020387498859904E-4</v>
      </c>
      <c r="F21" s="172">
        <v>59</v>
      </c>
      <c r="G21" s="172">
        <v>21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82</v>
      </c>
      <c r="D22" s="172" t="s">
        <v>210</v>
      </c>
      <c r="E22" s="172">
        <v>1.20348390088616E-4</v>
      </c>
      <c r="F22" s="172">
        <v>59</v>
      </c>
      <c r="G22" s="172">
        <v>21</v>
      </c>
      <c r="H22" s="172">
        <v>0</v>
      </c>
      <c r="I22" s="172">
        <v>35.5</v>
      </c>
    </row>
    <row r="23" spans="2:9" hidden="1" x14ac:dyDescent="0.3">
      <c r="B23" s="172" t="s">
        <v>187</v>
      </c>
      <c r="C23" s="172" t="s">
        <v>82</v>
      </c>
      <c r="D23" s="172" t="s">
        <v>211</v>
      </c>
      <c r="E23" s="172">
        <v>5.1582442218006599E-4</v>
      </c>
      <c r="F23" s="172">
        <v>59</v>
      </c>
      <c r="G23" s="172">
        <v>21</v>
      </c>
      <c r="H23" s="172">
        <v>0</v>
      </c>
      <c r="I23" s="172">
        <v>35.5</v>
      </c>
    </row>
    <row r="24" spans="2:9" hidden="1" x14ac:dyDescent="0.3">
      <c r="B24" s="172" t="s">
        <v>187</v>
      </c>
      <c r="C24" s="172" t="s">
        <v>202</v>
      </c>
      <c r="D24" s="172" t="s">
        <v>210</v>
      </c>
      <c r="E24" s="172">
        <v>5.5932627734241899E-5</v>
      </c>
      <c r="F24" s="172">
        <v>6</v>
      </c>
      <c r="G24" s="172">
        <v>16.25</v>
      </c>
      <c r="H24" s="172">
        <v>15.3</v>
      </c>
      <c r="I24" s="172">
        <v>35.5</v>
      </c>
    </row>
    <row r="25" spans="2:9" hidden="1" x14ac:dyDescent="0.3">
      <c r="B25" s="172" t="s">
        <v>187</v>
      </c>
      <c r="C25" s="172" t="s">
        <v>202</v>
      </c>
      <c r="D25" s="172" t="s">
        <v>211</v>
      </c>
      <c r="E25" s="172">
        <v>4.8806107665855703E-5</v>
      </c>
      <c r="F25" s="172">
        <v>59</v>
      </c>
      <c r="G25" s="172">
        <v>21</v>
      </c>
      <c r="H25" s="172">
        <v>0</v>
      </c>
      <c r="I25" s="172">
        <v>35.5</v>
      </c>
    </row>
    <row r="26" spans="2:9" x14ac:dyDescent="0.3">
      <c r="B26" s="172" t="s">
        <v>185</v>
      </c>
      <c r="C26" s="172" t="s">
        <v>79</v>
      </c>
      <c r="D26" s="172" t="s">
        <v>210</v>
      </c>
      <c r="E26" s="172">
        <v>3.95079118517071E-4</v>
      </c>
      <c r="F26" s="172">
        <v>6</v>
      </c>
      <c r="G26" s="172">
        <v>16.25</v>
      </c>
      <c r="H26" s="172">
        <v>15.3</v>
      </c>
      <c r="I26" s="172">
        <v>32</v>
      </c>
    </row>
    <row r="27" spans="2:9" hidden="1" x14ac:dyDescent="0.3">
      <c r="B27" s="172" t="s">
        <v>185</v>
      </c>
      <c r="C27" s="172" t="s">
        <v>79</v>
      </c>
      <c r="D27" s="172" t="s">
        <v>211</v>
      </c>
      <c r="E27" s="172">
        <v>1.6734692621633799E-4</v>
      </c>
      <c r="F27" s="172">
        <v>21</v>
      </c>
      <c r="G27" s="172">
        <v>0</v>
      </c>
      <c r="H27" s="172">
        <v>15</v>
      </c>
      <c r="I27" s="172">
        <v>32</v>
      </c>
    </row>
    <row r="28" spans="2:9" hidden="1" x14ac:dyDescent="0.3">
      <c r="B28" s="172" t="s">
        <v>185</v>
      </c>
      <c r="C28" s="172" t="s">
        <v>80</v>
      </c>
      <c r="D28" s="172" t="s">
        <v>210</v>
      </c>
      <c r="E28" s="172">
        <v>4.28226960199382E-4</v>
      </c>
      <c r="F28" s="172">
        <v>59</v>
      </c>
      <c r="G28" s="172">
        <v>21</v>
      </c>
      <c r="H28" s="172">
        <v>0</v>
      </c>
      <c r="I28" s="172">
        <v>32</v>
      </c>
    </row>
    <row r="29" spans="2:9" hidden="1" x14ac:dyDescent="0.3">
      <c r="B29" s="172" t="s">
        <v>185</v>
      </c>
      <c r="C29" s="172" t="s">
        <v>80</v>
      </c>
      <c r="D29" s="172" t="s">
        <v>211</v>
      </c>
      <c r="E29" s="172">
        <v>2.30457805277763E-4</v>
      </c>
      <c r="F29" s="172">
        <v>59</v>
      </c>
      <c r="G29" s="172">
        <v>21</v>
      </c>
      <c r="H29" s="172">
        <v>0</v>
      </c>
      <c r="I29" s="172">
        <v>32</v>
      </c>
    </row>
    <row r="30" spans="2:9" hidden="1" x14ac:dyDescent="0.3">
      <c r="B30" s="172" t="s">
        <v>185</v>
      </c>
      <c r="C30" s="172" t="s">
        <v>81</v>
      </c>
      <c r="D30" s="172" t="s">
        <v>210</v>
      </c>
      <c r="E30" s="172">
        <v>1.8307687225288299E-4</v>
      </c>
      <c r="F30" s="172">
        <v>59</v>
      </c>
      <c r="G30" s="172">
        <v>21</v>
      </c>
      <c r="H30" s="172">
        <v>0</v>
      </c>
      <c r="I30" s="172">
        <v>32</v>
      </c>
    </row>
    <row r="31" spans="2:9" hidden="1" x14ac:dyDescent="0.3">
      <c r="B31" s="172" t="s">
        <v>185</v>
      </c>
      <c r="C31" s="172" t="s">
        <v>81</v>
      </c>
      <c r="D31" s="172" t="s">
        <v>211</v>
      </c>
      <c r="E31" s="172">
        <v>7.1697456325239101E-4</v>
      </c>
      <c r="F31" s="172">
        <v>59</v>
      </c>
      <c r="G31" s="172">
        <v>21</v>
      </c>
      <c r="H31" s="172">
        <v>0</v>
      </c>
      <c r="I31" s="172">
        <v>32</v>
      </c>
    </row>
    <row r="32" spans="2:9" hidden="1" x14ac:dyDescent="0.3">
      <c r="B32" s="172" t="s">
        <v>185</v>
      </c>
      <c r="C32" s="172" t="s">
        <v>82</v>
      </c>
      <c r="D32" s="172" t="s">
        <v>210</v>
      </c>
      <c r="E32" s="172">
        <v>1.2426683836948201E-4</v>
      </c>
      <c r="F32" s="172">
        <v>59</v>
      </c>
      <c r="G32" s="172">
        <v>21</v>
      </c>
      <c r="H32" s="172">
        <v>0</v>
      </c>
      <c r="I32" s="172">
        <v>32</v>
      </c>
    </row>
    <row r="33" spans="2:9" hidden="1" x14ac:dyDescent="0.3">
      <c r="B33" s="172" t="s">
        <v>185</v>
      </c>
      <c r="C33" s="172" t="s">
        <v>82</v>
      </c>
      <c r="D33" s="172" t="s">
        <v>211</v>
      </c>
      <c r="E33" s="172">
        <v>6.0705584049178002E-4</v>
      </c>
      <c r="F33" s="172">
        <v>59</v>
      </c>
      <c r="G33" s="172">
        <v>21</v>
      </c>
      <c r="H33" s="172">
        <v>0</v>
      </c>
      <c r="I33" s="172">
        <v>32</v>
      </c>
    </row>
    <row r="34" spans="2:9" hidden="1" x14ac:dyDescent="0.3">
      <c r="B34" s="172" t="s">
        <v>185</v>
      </c>
      <c r="C34" s="172" t="s">
        <v>202</v>
      </c>
      <c r="D34" s="172" t="s">
        <v>210</v>
      </c>
      <c r="E34" s="172">
        <v>6.16745224347903E-5</v>
      </c>
      <c r="F34" s="172">
        <v>6</v>
      </c>
      <c r="G34" s="172">
        <v>16.25</v>
      </c>
      <c r="H34" s="172">
        <v>15.3</v>
      </c>
      <c r="I34" s="172">
        <v>32</v>
      </c>
    </row>
    <row r="35" spans="2:9" hidden="1" x14ac:dyDescent="0.3">
      <c r="B35" s="172" t="s">
        <v>185</v>
      </c>
      <c r="C35" s="172" t="s">
        <v>202</v>
      </c>
      <c r="D35" s="172" t="s">
        <v>211</v>
      </c>
      <c r="E35" s="172">
        <v>4.7142290385715199E-5</v>
      </c>
      <c r="F35" s="172">
        <v>79</v>
      </c>
      <c r="G35" s="172">
        <v>21</v>
      </c>
      <c r="H35" s="172">
        <v>4</v>
      </c>
      <c r="I35" s="172">
        <v>32</v>
      </c>
    </row>
    <row r="36" spans="2:9" x14ac:dyDescent="0.3">
      <c r="B36" s="172" t="s">
        <v>183</v>
      </c>
      <c r="C36" s="172" t="s">
        <v>79</v>
      </c>
      <c r="D36" s="172" t="s">
        <v>210</v>
      </c>
      <c r="E36" s="172">
        <v>5.3724172119639995E-4</v>
      </c>
      <c r="F36" s="172">
        <v>6</v>
      </c>
      <c r="G36" s="172">
        <v>16.25</v>
      </c>
      <c r="H36" s="172">
        <v>15.3</v>
      </c>
      <c r="I36" s="172">
        <v>28.5</v>
      </c>
    </row>
    <row r="37" spans="2:9" hidden="1" x14ac:dyDescent="0.3">
      <c r="B37" s="172" t="s">
        <v>183</v>
      </c>
      <c r="C37" s="172" t="s">
        <v>79</v>
      </c>
      <c r="D37" s="172" t="s">
        <v>211</v>
      </c>
      <c r="E37" s="172">
        <v>2.3687246826181301E-4</v>
      </c>
      <c r="F37" s="172">
        <v>21</v>
      </c>
      <c r="G37" s="172">
        <v>0</v>
      </c>
      <c r="H37" s="172">
        <v>15</v>
      </c>
      <c r="I37" s="172">
        <v>28.5</v>
      </c>
    </row>
    <row r="38" spans="2:9" hidden="1" x14ac:dyDescent="0.3">
      <c r="B38" s="172" t="s">
        <v>183</v>
      </c>
      <c r="C38" s="172" t="s">
        <v>80</v>
      </c>
      <c r="D38" s="172" t="s">
        <v>210</v>
      </c>
      <c r="E38" s="172">
        <v>5.2482693797157795E-4</v>
      </c>
      <c r="F38" s="172">
        <v>59</v>
      </c>
      <c r="G38" s="172">
        <v>21</v>
      </c>
      <c r="H38" s="172">
        <v>0</v>
      </c>
      <c r="I38" s="172">
        <v>28.5</v>
      </c>
    </row>
    <row r="39" spans="2:9" hidden="1" x14ac:dyDescent="0.3">
      <c r="B39" s="172" t="s">
        <v>183</v>
      </c>
      <c r="C39" s="172" t="s">
        <v>80</v>
      </c>
      <c r="D39" s="172" t="s">
        <v>211</v>
      </c>
      <c r="E39" s="172">
        <v>2.3965148593317899E-4</v>
      </c>
      <c r="F39" s="172">
        <v>59</v>
      </c>
      <c r="G39" s="172">
        <v>21</v>
      </c>
      <c r="H39" s="172">
        <v>0</v>
      </c>
      <c r="I39" s="172">
        <v>28.5</v>
      </c>
    </row>
    <row r="40" spans="2:9" hidden="1" x14ac:dyDescent="0.3">
      <c r="B40" s="172" t="s">
        <v>183</v>
      </c>
      <c r="C40" s="172" t="s">
        <v>81</v>
      </c>
      <c r="D40" s="172" t="s">
        <v>210</v>
      </c>
      <c r="E40" s="172">
        <v>1.95707806170642E-4</v>
      </c>
      <c r="F40" s="172">
        <v>59</v>
      </c>
      <c r="G40" s="172">
        <v>21</v>
      </c>
      <c r="H40" s="172">
        <v>0</v>
      </c>
      <c r="I40" s="172">
        <v>28.5</v>
      </c>
    </row>
    <row r="41" spans="2:9" hidden="1" x14ac:dyDescent="0.3">
      <c r="B41" s="172" t="s">
        <v>183</v>
      </c>
      <c r="C41" s="172" t="s">
        <v>81</v>
      </c>
      <c r="D41" s="172" t="s">
        <v>211</v>
      </c>
      <c r="E41" s="172">
        <v>8.1282247349050705E-4</v>
      </c>
      <c r="F41" s="172">
        <v>59</v>
      </c>
      <c r="G41" s="172">
        <v>21</v>
      </c>
      <c r="H41" s="172">
        <v>0</v>
      </c>
      <c r="I41" s="172">
        <v>28.5</v>
      </c>
    </row>
    <row r="42" spans="2:9" hidden="1" x14ac:dyDescent="0.3">
      <c r="B42" s="172" t="s">
        <v>183</v>
      </c>
      <c r="C42" s="172" t="s">
        <v>82</v>
      </c>
      <c r="D42" s="172" t="s">
        <v>210</v>
      </c>
      <c r="E42" s="172">
        <v>1.8644675616021799E-4</v>
      </c>
      <c r="F42" s="172">
        <v>6</v>
      </c>
      <c r="G42" s="172">
        <v>16.25</v>
      </c>
      <c r="H42" s="172">
        <v>15.3</v>
      </c>
      <c r="I42" s="172">
        <v>28.5</v>
      </c>
    </row>
    <row r="43" spans="2:9" hidden="1" x14ac:dyDescent="0.3">
      <c r="B43" s="172" t="s">
        <v>183</v>
      </c>
      <c r="C43" s="172" t="s">
        <v>82</v>
      </c>
      <c r="D43" s="172" t="s">
        <v>211</v>
      </c>
      <c r="E43" s="172">
        <v>7.6743232497834899E-4</v>
      </c>
      <c r="F43" s="172">
        <v>21</v>
      </c>
      <c r="G43" s="172">
        <v>0</v>
      </c>
      <c r="H43" s="172">
        <v>15</v>
      </c>
      <c r="I43" s="172">
        <v>28.5</v>
      </c>
    </row>
    <row r="44" spans="2:9" hidden="1" x14ac:dyDescent="0.3">
      <c r="B44" s="172" t="s">
        <v>183</v>
      </c>
      <c r="C44" s="172" t="s">
        <v>202</v>
      </c>
      <c r="D44" s="172" t="s">
        <v>210</v>
      </c>
      <c r="E44" s="172">
        <v>5.7204069365563E-5</v>
      </c>
      <c r="F44" s="172">
        <v>6</v>
      </c>
      <c r="G44" s="172">
        <v>16.25</v>
      </c>
      <c r="H44" s="172">
        <v>15.3</v>
      </c>
      <c r="I44" s="172">
        <v>28.5</v>
      </c>
    </row>
    <row r="45" spans="2:9" hidden="1" x14ac:dyDescent="0.3">
      <c r="B45" s="172" t="s">
        <v>183</v>
      </c>
      <c r="C45" s="172" t="s">
        <v>202</v>
      </c>
      <c r="D45" s="172" t="s">
        <v>211</v>
      </c>
      <c r="E45" s="172">
        <v>4.4459413146827102E-5</v>
      </c>
      <c r="F45" s="172">
        <v>59</v>
      </c>
      <c r="G45" s="172">
        <v>21</v>
      </c>
      <c r="H45" s="172">
        <v>0</v>
      </c>
      <c r="I45" s="172">
        <v>28.5</v>
      </c>
    </row>
    <row r="46" spans="2:9" x14ac:dyDescent="0.3">
      <c r="B46" s="172" t="s">
        <v>181</v>
      </c>
      <c r="C46" s="172" t="s">
        <v>79</v>
      </c>
      <c r="D46" s="172" t="s">
        <v>210</v>
      </c>
      <c r="E46" s="172">
        <v>6.5773942106748899E-4</v>
      </c>
      <c r="F46" s="172">
        <v>6</v>
      </c>
      <c r="G46" s="172">
        <v>16.25</v>
      </c>
      <c r="H46" s="172">
        <v>15.3</v>
      </c>
      <c r="I46" s="172">
        <v>25</v>
      </c>
    </row>
    <row r="47" spans="2:9" hidden="1" x14ac:dyDescent="0.3">
      <c r="B47" s="172" t="s">
        <v>181</v>
      </c>
      <c r="C47" s="172" t="s">
        <v>79</v>
      </c>
      <c r="D47" s="172" t="s">
        <v>211</v>
      </c>
      <c r="E47" s="172">
        <v>2.9479215577646399E-4</v>
      </c>
      <c r="F47" s="172">
        <v>18</v>
      </c>
      <c r="G47" s="172">
        <v>0</v>
      </c>
      <c r="H47" s="172">
        <v>0</v>
      </c>
      <c r="I47" s="172">
        <v>25</v>
      </c>
    </row>
    <row r="48" spans="2:9" hidden="1" x14ac:dyDescent="0.3">
      <c r="B48" s="172" t="s">
        <v>181</v>
      </c>
      <c r="C48" s="172" t="s">
        <v>80</v>
      </c>
      <c r="D48" s="172" t="s">
        <v>210</v>
      </c>
      <c r="E48" s="172">
        <v>6.0484670643128405E-4</v>
      </c>
      <c r="F48" s="172">
        <v>59</v>
      </c>
      <c r="G48" s="172">
        <v>21</v>
      </c>
      <c r="H48" s="172">
        <v>0</v>
      </c>
      <c r="I48" s="172">
        <v>25</v>
      </c>
    </row>
    <row r="49" spans="2:9" hidden="1" x14ac:dyDescent="0.3">
      <c r="B49" s="172" t="s">
        <v>181</v>
      </c>
      <c r="C49" s="172" t="s">
        <v>80</v>
      </c>
      <c r="D49" s="172" t="s">
        <v>211</v>
      </c>
      <c r="E49" s="172">
        <v>2.4374225341504901E-4</v>
      </c>
      <c r="F49" s="172">
        <v>59</v>
      </c>
      <c r="G49" s="172">
        <v>21</v>
      </c>
      <c r="H49" s="172">
        <v>0</v>
      </c>
      <c r="I49" s="172">
        <v>25</v>
      </c>
    </row>
    <row r="50" spans="2:9" hidden="1" x14ac:dyDescent="0.3">
      <c r="B50" s="172" t="s">
        <v>181</v>
      </c>
      <c r="C50" s="172" t="s">
        <v>81</v>
      </c>
      <c r="D50" s="172" t="s">
        <v>210</v>
      </c>
      <c r="E50" s="172">
        <v>2.0373082889241299E-4</v>
      </c>
      <c r="F50" s="172">
        <v>59</v>
      </c>
      <c r="G50" s="172">
        <v>21</v>
      </c>
      <c r="H50" s="172">
        <v>0</v>
      </c>
      <c r="I50" s="172">
        <v>25</v>
      </c>
    </row>
    <row r="51" spans="2:9" hidden="1" x14ac:dyDescent="0.3">
      <c r="B51" s="172" t="s">
        <v>181</v>
      </c>
      <c r="C51" s="172" t="s">
        <v>81</v>
      </c>
      <c r="D51" s="172" t="s">
        <v>211</v>
      </c>
      <c r="E51" s="172">
        <v>8.8497333578156699E-4</v>
      </c>
      <c r="F51" s="172">
        <v>59</v>
      </c>
      <c r="G51" s="172">
        <v>21</v>
      </c>
      <c r="H51" s="172">
        <v>0</v>
      </c>
      <c r="I51" s="172">
        <v>25</v>
      </c>
    </row>
    <row r="52" spans="2:9" hidden="1" x14ac:dyDescent="0.3">
      <c r="B52" s="172" t="s">
        <v>181</v>
      </c>
      <c r="C52" s="172" t="s">
        <v>82</v>
      </c>
      <c r="D52" s="172" t="s">
        <v>210</v>
      </c>
      <c r="E52" s="172">
        <v>2.5160414299701597E-4</v>
      </c>
      <c r="F52" s="172">
        <v>6</v>
      </c>
      <c r="G52" s="172">
        <v>16.25</v>
      </c>
      <c r="H52" s="172">
        <v>15.3</v>
      </c>
      <c r="I52" s="172">
        <v>25</v>
      </c>
    </row>
    <row r="53" spans="2:9" hidden="1" x14ac:dyDescent="0.3">
      <c r="B53" s="172" t="s">
        <v>181</v>
      </c>
      <c r="C53" s="172" t="s">
        <v>82</v>
      </c>
      <c r="D53" s="172" t="s">
        <v>211</v>
      </c>
      <c r="E53" s="172">
        <v>9.1545036403225502E-4</v>
      </c>
      <c r="F53" s="172">
        <v>21</v>
      </c>
      <c r="G53" s="172">
        <v>0</v>
      </c>
      <c r="H53" s="172">
        <v>15</v>
      </c>
      <c r="I53" s="172">
        <v>25</v>
      </c>
    </row>
    <row r="54" spans="2:9" hidden="1" x14ac:dyDescent="0.3">
      <c r="B54" s="172" t="s">
        <v>181</v>
      </c>
      <c r="C54" s="172" t="s">
        <v>202</v>
      </c>
      <c r="D54" s="172" t="s">
        <v>210</v>
      </c>
      <c r="E54" s="172">
        <v>5.1713662992131902E-5</v>
      </c>
      <c r="F54" s="172">
        <v>6</v>
      </c>
      <c r="G54" s="172">
        <v>16.25</v>
      </c>
      <c r="H54" s="172">
        <v>15.3</v>
      </c>
      <c r="I54" s="172">
        <v>25</v>
      </c>
    </row>
    <row r="55" spans="2:9" hidden="1" x14ac:dyDescent="0.3">
      <c r="B55" s="172" t="s">
        <v>181</v>
      </c>
      <c r="C55" s="172" t="s">
        <v>202</v>
      </c>
      <c r="D55" s="172" t="s">
        <v>211</v>
      </c>
      <c r="E55" s="172">
        <v>4.0806706802977998E-5</v>
      </c>
      <c r="F55" s="172">
        <v>59</v>
      </c>
      <c r="G55" s="172">
        <v>21</v>
      </c>
      <c r="H55" s="172">
        <v>0</v>
      </c>
      <c r="I55" s="172">
        <v>25</v>
      </c>
    </row>
    <row r="56" spans="2:9" x14ac:dyDescent="0.3">
      <c r="B56" s="172" t="s">
        <v>179</v>
      </c>
      <c r="C56" s="172" t="s">
        <v>79</v>
      </c>
      <c r="D56" s="172" t="s">
        <v>210</v>
      </c>
      <c r="E56" s="172">
        <v>7.5873346457583802E-4</v>
      </c>
      <c r="F56" s="172">
        <v>6</v>
      </c>
      <c r="G56" s="172">
        <v>16.25</v>
      </c>
      <c r="H56" s="172">
        <v>15.3</v>
      </c>
      <c r="I56" s="172">
        <v>21.5</v>
      </c>
    </row>
    <row r="57" spans="2:9" hidden="1" x14ac:dyDescent="0.3">
      <c r="B57" s="172" t="s">
        <v>179</v>
      </c>
      <c r="C57" s="172" t="s">
        <v>79</v>
      </c>
      <c r="D57" s="172" t="s">
        <v>211</v>
      </c>
      <c r="E57" s="172">
        <v>3.4379248739735998E-4</v>
      </c>
      <c r="F57" s="172">
        <v>21</v>
      </c>
      <c r="G57" s="172">
        <v>0</v>
      </c>
      <c r="H57" s="172">
        <v>15</v>
      </c>
      <c r="I57" s="172">
        <v>21.5</v>
      </c>
    </row>
    <row r="58" spans="2:9" hidden="1" x14ac:dyDescent="0.3">
      <c r="B58" s="172" t="s">
        <v>179</v>
      </c>
      <c r="C58" s="172" t="s">
        <v>80</v>
      </c>
      <c r="D58" s="172" t="s">
        <v>210</v>
      </c>
      <c r="E58" s="172">
        <v>6.7379552401995301E-4</v>
      </c>
      <c r="F58" s="172">
        <v>6</v>
      </c>
      <c r="G58" s="172">
        <v>16.25</v>
      </c>
      <c r="H58" s="172">
        <v>15.3</v>
      </c>
      <c r="I58" s="172">
        <v>21.5</v>
      </c>
    </row>
    <row r="59" spans="2:9" hidden="1" x14ac:dyDescent="0.3">
      <c r="B59" s="172" t="s">
        <v>179</v>
      </c>
      <c r="C59" s="172" t="s">
        <v>80</v>
      </c>
      <c r="D59" s="172" t="s">
        <v>211</v>
      </c>
      <c r="E59" s="172">
        <v>2.4991788704384202E-4</v>
      </c>
      <c r="F59" s="172">
        <v>21</v>
      </c>
      <c r="G59" s="172">
        <v>0</v>
      </c>
      <c r="H59" s="172">
        <v>15</v>
      </c>
      <c r="I59" s="172">
        <v>21.5</v>
      </c>
    </row>
    <row r="60" spans="2:9" hidden="1" x14ac:dyDescent="0.3">
      <c r="B60" s="172" t="s">
        <v>179</v>
      </c>
      <c r="C60" s="172" t="s">
        <v>81</v>
      </c>
      <c r="D60" s="172" t="s">
        <v>210</v>
      </c>
      <c r="E60" s="172">
        <v>2.0726701483126799E-4</v>
      </c>
      <c r="F60" s="172">
        <v>59</v>
      </c>
      <c r="G60" s="172">
        <v>21</v>
      </c>
      <c r="H60" s="172">
        <v>0</v>
      </c>
      <c r="I60" s="172">
        <v>21.5</v>
      </c>
    </row>
    <row r="61" spans="2:9" hidden="1" x14ac:dyDescent="0.3">
      <c r="B61" s="172" t="s">
        <v>179</v>
      </c>
      <c r="C61" s="172" t="s">
        <v>81</v>
      </c>
      <c r="D61" s="172" t="s">
        <v>211</v>
      </c>
      <c r="E61" s="172">
        <v>9.3370938285529295E-4</v>
      </c>
      <c r="F61" s="172">
        <v>59</v>
      </c>
      <c r="G61" s="172">
        <v>21</v>
      </c>
      <c r="H61" s="172">
        <v>0</v>
      </c>
      <c r="I61" s="172">
        <v>21.5</v>
      </c>
    </row>
    <row r="62" spans="2:9" hidden="1" x14ac:dyDescent="0.3">
      <c r="B62" s="172" t="s">
        <v>179</v>
      </c>
      <c r="C62" s="172" t="s">
        <v>82</v>
      </c>
      <c r="D62" s="172" t="s">
        <v>210</v>
      </c>
      <c r="E62" s="172">
        <v>3.0819426723551201E-4</v>
      </c>
      <c r="F62" s="172">
        <v>6</v>
      </c>
      <c r="G62" s="172">
        <v>16.25</v>
      </c>
      <c r="H62" s="172">
        <v>15.3</v>
      </c>
      <c r="I62" s="172">
        <v>21.5</v>
      </c>
    </row>
    <row r="63" spans="2:9" hidden="1" x14ac:dyDescent="0.3">
      <c r="B63" s="172" t="s">
        <v>179</v>
      </c>
      <c r="C63" s="172" t="s">
        <v>82</v>
      </c>
      <c r="D63" s="172" t="s">
        <v>211</v>
      </c>
      <c r="E63" s="172">
        <v>1.03541996645061E-3</v>
      </c>
      <c r="F63" s="172">
        <v>21</v>
      </c>
      <c r="G63" s="172">
        <v>0</v>
      </c>
      <c r="H63" s="172">
        <v>15</v>
      </c>
      <c r="I63" s="172">
        <v>21.5</v>
      </c>
    </row>
    <row r="64" spans="2:9" hidden="1" x14ac:dyDescent="0.3">
      <c r="B64" s="172" t="s">
        <v>179</v>
      </c>
      <c r="C64" s="172" t="s">
        <v>202</v>
      </c>
      <c r="D64" s="172" t="s">
        <v>210</v>
      </c>
      <c r="E64" s="172">
        <v>4.5031807274036501E-5</v>
      </c>
      <c r="F64" s="172">
        <v>6</v>
      </c>
      <c r="G64" s="172">
        <v>16.25</v>
      </c>
      <c r="H64" s="172">
        <v>15.3</v>
      </c>
      <c r="I64" s="172">
        <v>21.5</v>
      </c>
    </row>
    <row r="65" spans="2:9" hidden="1" x14ac:dyDescent="0.3">
      <c r="B65" s="172" t="s">
        <v>179</v>
      </c>
      <c r="C65" s="172" t="s">
        <v>202</v>
      </c>
      <c r="D65" s="172" t="s">
        <v>211</v>
      </c>
      <c r="E65" s="172">
        <v>3.6463857889224001E-5</v>
      </c>
      <c r="F65" s="172">
        <v>59</v>
      </c>
      <c r="G65" s="172">
        <v>21</v>
      </c>
      <c r="H65" s="172">
        <v>0</v>
      </c>
      <c r="I65" s="172">
        <v>21.5</v>
      </c>
    </row>
    <row r="66" spans="2:9" x14ac:dyDescent="0.3">
      <c r="B66" s="172" t="s">
        <v>39</v>
      </c>
      <c r="C66" s="172" t="s">
        <v>79</v>
      </c>
      <c r="D66" s="172" t="s">
        <v>210</v>
      </c>
      <c r="E66" s="172">
        <v>8.3877218430680701E-4</v>
      </c>
      <c r="F66" s="172">
        <v>6</v>
      </c>
      <c r="G66" s="172">
        <v>16.25</v>
      </c>
      <c r="H66" s="172">
        <v>15.3</v>
      </c>
      <c r="I66" s="172">
        <v>18</v>
      </c>
    </row>
    <row r="67" spans="2:9" hidden="1" x14ac:dyDescent="0.3">
      <c r="B67" s="172" t="s">
        <v>39</v>
      </c>
      <c r="C67" s="172" t="s">
        <v>79</v>
      </c>
      <c r="D67" s="172" t="s">
        <v>211</v>
      </c>
      <c r="E67" s="172">
        <v>3.8950502675285802E-4</v>
      </c>
      <c r="F67" s="172">
        <v>21</v>
      </c>
      <c r="G67" s="172">
        <v>0</v>
      </c>
      <c r="H67" s="172">
        <v>15</v>
      </c>
      <c r="I67" s="172">
        <v>18</v>
      </c>
    </row>
    <row r="68" spans="2:9" hidden="1" x14ac:dyDescent="0.3">
      <c r="B68" s="172" t="s">
        <v>39</v>
      </c>
      <c r="C68" s="172" t="s">
        <v>80</v>
      </c>
      <c r="D68" s="172" t="s">
        <v>210</v>
      </c>
      <c r="E68" s="172">
        <v>7.4567754579220596E-4</v>
      </c>
      <c r="F68" s="172">
        <v>6</v>
      </c>
      <c r="G68" s="172">
        <v>16.25</v>
      </c>
      <c r="H68" s="172">
        <v>15.3</v>
      </c>
      <c r="I68" s="172">
        <v>18</v>
      </c>
    </row>
    <row r="69" spans="2:9" hidden="1" x14ac:dyDescent="0.3">
      <c r="B69" s="172" t="s">
        <v>39</v>
      </c>
      <c r="C69" s="172" t="s">
        <v>80</v>
      </c>
      <c r="D69" s="172" t="s">
        <v>211</v>
      </c>
      <c r="E69" s="172">
        <v>2.84974314163716E-4</v>
      </c>
      <c r="F69" s="172">
        <v>21</v>
      </c>
      <c r="G69" s="172">
        <v>0</v>
      </c>
      <c r="H69" s="172">
        <v>15</v>
      </c>
      <c r="I69" s="172">
        <v>18</v>
      </c>
    </row>
    <row r="70" spans="2:9" hidden="1" x14ac:dyDescent="0.3">
      <c r="B70" s="172" t="s">
        <v>39</v>
      </c>
      <c r="C70" s="172" t="s">
        <v>81</v>
      </c>
      <c r="D70" s="172" t="s">
        <v>210</v>
      </c>
      <c r="E70" s="172">
        <v>2.1239285168460001E-4</v>
      </c>
      <c r="F70" s="172">
        <v>6</v>
      </c>
      <c r="G70" s="172">
        <v>16.25</v>
      </c>
      <c r="H70" s="172">
        <v>15.3</v>
      </c>
      <c r="I70" s="172">
        <v>18</v>
      </c>
    </row>
    <row r="71" spans="2:9" hidden="1" x14ac:dyDescent="0.3">
      <c r="B71" s="172" t="s">
        <v>39</v>
      </c>
      <c r="C71" s="172" t="s">
        <v>81</v>
      </c>
      <c r="D71" s="172" t="s">
        <v>211</v>
      </c>
      <c r="E71" s="172">
        <v>9.6579348836180797E-4</v>
      </c>
      <c r="F71" s="172">
        <v>21</v>
      </c>
      <c r="G71" s="172">
        <v>0</v>
      </c>
      <c r="H71" s="172">
        <v>15</v>
      </c>
      <c r="I71" s="172">
        <v>18</v>
      </c>
    </row>
    <row r="72" spans="2:9" hidden="1" x14ac:dyDescent="0.3">
      <c r="B72" s="172" t="s">
        <v>39</v>
      </c>
      <c r="C72" s="172" t="s">
        <v>82</v>
      </c>
      <c r="D72" s="172" t="s">
        <v>210</v>
      </c>
      <c r="E72" s="172">
        <v>3.6181062941606002E-4</v>
      </c>
      <c r="F72" s="172">
        <v>6</v>
      </c>
      <c r="G72" s="172">
        <v>16.25</v>
      </c>
      <c r="H72" s="172">
        <v>15.3</v>
      </c>
      <c r="I72" s="172">
        <v>18</v>
      </c>
    </row>
    <row r="73" spans="2:9" hidden="1" x14ac:dyDescent="0.3">
      <c r="B73" s="172" t="s">
        <v>39</v>
      </c>
      <c r="C73" s="172" t="s">
        <v>82</v>
      </c>
      <c r="D73" s="172" t="s">
        <v>211</v>
      </c>
      <c r="E73" s="172">
        <v>1.13343669758234E-3</v>
      </c>
      <c r="F73" s="172">
        <v>21</v>
      </c>
      <c r="G73" s="172">
        <v>0</v>
      </c>
      <c r="H73" s="172">
        <v>15</v>
      </c>
      <c r="I73" s="172">
        <v>18</v>
      </c>
    </row>
    <row r="74" spans="2:9" hidden="1" x14ac:dyDescent="0.3">
      <c r="B74" s="172" t="s">
        <v>39</v>
      </c>
      <c r="C74" s="172" t="s">
        <v>202</v>
      </c>
      <c r="D74" s="172" t="s">
        <v>210</v>
      </c>
      <c r="E74" s="172">
        <v>3.6350412482959297E-5</v>
      </c>
      <c r="F74" s="172">
        <v>6</v>
      </c>
      <c r="G74" s="172">
        <v>16.25</v>
      </c>
      <c r="H74" s="172">
        <v>15.3</v>
      </c>
      <c r="I74" s="172">
        <v>18</v>
      </c>
    </row>
    <row r="75" spans="2:9" hidden="1" x14ac:dyDescent="0.3">
      <c r="B75" s="172" t="s">
        <v>39</v>
      </c>
      <c r="C75" s="172" t="s">
        <v>202</v>
      </c>
      <c r="D75" s="172" t="s">
        <v>211</v>
      </c>
      <c r="E75" s="172">
        <v>3.0084011752944601E-5</v>
      </c>
      <c r="F75" s="172">
        <v>59</v>
      </c>
      <c r="G75" s="172">
        <v>21</v>
      </c>
      <c r="H75" s="172">
        <v>0</v>
      </c>
      <c r="I75" s="172">
        <v>18</v>
      </c>
    </row>
    <row r="76" spans="2:9" x14ac:dyDescent="0.3">
      <c r="B76" s="172" t="s">
        <v>26</v>
      </c>
      <c r="C76" s="172" t="s">
        <v>79</v>
      </c>
      <c r="D76" s="172" t="s">
        <v>210</v>
      </c>
      <c r="E76" s="172">
        <v>9.0123156549779101E-4</v>
      </c>
      <c r="F76" s="172">
        <v>6</v>
      </c>
      <c r="G76" s="172">
        <v>16.25</v>
      </c>
      <c r="H76" s="172">
        <v>15.3</v>
      </c>
      <c r="I76" s="172">
        <v>14.5</v>
      </c>
    </row>
    <row r="77" spans="2:9" hidden="1" x14ac:dyDescent="0.3">
      <c r="B77" s="172" t="s">
        <v>26</v>
      </c>
      <c r="C77" s="172" t="s">
        <v>79</v>
      </c>
      <c r="D77" s="172" t="s">
        <v>211</v>
      </c>
      <c r="E77" s="172">
        <v>4.2944424808054598E-4</v>
      </c>
      <c r="F77" s="172">
        <v>18</v>
      </c>
      <c r="G77" s="172">
        <v>0</v>
      </c>
      <c r="H77" s="172">
        <v>0</v>
      </c>
      <c r="I77" s="172">
        <v>14.5</v>
      </c>
    </row>
    <row r="78" spans="2:9" hidden="1" x14ac:dyDescent="0.3">
      <c r="B78" s="172" t="s">
        <v>26</v>
      </c>
      <c r="C78" s="172" t="s">
        <v>80</v>
      </c>
      <c r="D78" s="172" t="s">
        <v>210</v>
      </c>
      <c r="E78" s="172">
        <v>8.0194007114043199E-4</v>
      </c>
      <c r="F78" s="172">
        <v>6</v>
      </c>
      <c r="G78" s="172">
        <v>16.25</v>
      </c>
      <c r="H78" s="172">
        <v>15.3</v>
      </c>
      <c r="I78" s="172">
        <v>14.5</v>
      </c>
    </row>
    <row r="79" spans="2:9" hidden="1" x14ac:dyDescent="0.3">
      <c r="B79" s="172" t="s">
        <v>26</v>
      </c>
      <c r="C79" s="172" t="s">
        <v>80</v>
      </c>
      <c r="D79" s="172" t="s">
        <v>211</v>
      </c>
      <c r="E79" s="172">
        <v>3.1644227973064398E-4</v>
      </c>
      <c r="F79" s="172">
        <v>21</v>
      </c>
      <c r="G79" s="172">
        <v>0</v>
      </c>
      <c r="H79" s="172">
        <v>15</v>
      </c>
      <c r="I79" s="172">
        <v>14.5</v>
      </c>
    </row>
    <row r="80" spans="2:9" hidden="1" x14ac:dyDescent="0.3">
      <c r="B80" s="172" t="s">
        <v>26</v>
      </c>
      <c r="C80" s="172" t="s">
        <v>81</v>
      </c>
      <c r="D80" s="172" t="s">
        <v>210</v>
      </c>
      <c r="E80" s="172">
        <v>2.5261163412453199E-4</v>
      </c>
      <c r="F80" s="172">
        <v>6</v>
      </c>
      <c r="G80" s="172">
        <v>16.25</v>
      </c>
      <c r="H80" s="172">
        <v>15.3</v>
      </c>
      <c r="I80" s="172">
        <v>14.5</v>
      </c>
    </row>
    <row r="81" spans="2:9" hidden="1" x14ac:dyDescent="0.3">
      <c r="B81" s="172" t="s">
        <v>26</v>
      </c>
      <c r="C81" s="172" t="s">
        <v>81</v>
      </c>
      <c r="D81" s="172" t="s">
        <v>211</v>
      </c>
      <c r="E81" s="172">
        <v>1.0324569463526401E-3</v>
      </c>
      <c r="F81" s="172">
        <v>21</v>
      </c>
      <c r="G81" s="172">
        <v>0</v>
      </c>
      <c r="H81" s="172">
        <v>15</v>
      </c>
      <c r="I81" s="172">
        <v>14.5</v>
      </c>
    </row>
    <row r="82" spans="2:9" hidden="1" x14ac:dyDescent="0.3">
      <c r="B82" s="172" t="s">
        <v>26</v>
      </c>
      <c r="C82" s="172" t="s">
        <v>82</v>
      </c>
      <c r="D82" s="172" t="s">
        <v>210</v>
      </c>
      <c r="E82" s="172">
        <v>4.1113467948006001E-4</v>
      </c>
      <c r="F82" s="172">
        <v>6</v>
      </c>
      <c r="G82" s="172">
        <v>16.25</v>
      </c>
      <c r="H82" s="172">
        <v>15.3</v>
      </c>
      <c r="I82" s="172">
        <v>14.5</v>
      </c>
    </row>
    <row r="83" spans="2:9" hidden="1" x14ac:dyDescent="0.3">
      <c r="B83" s="172" t="s">
        <v>26</v>
      </c>
      <c r="C83" s="172" t="s">
        <v>82</v>
      </c>
      <c r="D83" s="172" t="s">
        <v>211</v>
      </c>
      <c r="E83" s="172">
        <v>1.21272122690351E-3</v>
      </c>
      <c r="F83" s="172">
        <v>21</v>
      </c>
      <c r="G83" s="172">
        <v>0</v>
      </c>
      <c r="H83" s="172">
        <v>15</v>
      </c>
      <c r="I83" s="172">
        <v>14.5</v>
      </c>
    </row>
    <row r="84" spans="2:9" hidden="1" x14ac:dyDescent="0.3">
      <c r="B84" s="172" t="s">
        <v>26</v>
      </c>
      <c r="C84" s="172" t="s">
        <v>202</v>
      </c>
      <c r="D84" s="172" t="s">
        <v>210</v>
      </c>
      <c r="E84" s="172">
        <v>2.8041802582437698E-5</v>
      </c>
      <c r="F84" s="172">
        <v>6</v>
      </c>
      <c r="G84" s="172">
        <v>16.25</v>
      </c>
      <c r="H84" s="172">
        <v>15.3</v>
      </c>
      <c r="I84" s="172">
        <v>14.5</v>
      </c>
    </row>
    <row r="85" spans="2:9" hidden="1" x14ac:dyDescent="0.3">
      <c r="B85" s="172" t="s">
        <v>26</v>
      </c>
      <c r="C85" s="172" t="s">
        <v>202</v>
      </c>
      <c r="D85" s="172" t="s">
        <v>211</v>
      </c>
      <c r="E85" s="172">
        <v>2.7926578303162902E-5</v>
      </c>
      <c r="F85" s="172">
        <v>59</v>
      </c>
      <c r="G85" s="172">
        <v>21</v>
      </c>
      <c r="H85" s="172">
        <v>0</v>
      </c>
      <c r="I85" s="172">
        <v>14.5</v>
      </c>
    </row>
    <row r="86" spans="2:9" x14ac:dyDescent="0.3">
      <c r="B86" s="172" t="s">
        <v>25</v>
      </c>
      <c r="C86" s="172" t="s">
        <v>79</v>
      </c>
      <c r="D86" s="172" t="s">
        <v>210</v>
      </c>
      <c r="E86" s="172">
        <v>9.4873421815185402E-4</v>
      </c>
      <c r="F86" s="172">
        <v>6</v>
      </c>
      <c r="G86" s="172">
        <v>16.25</v>
      </c>
      <c r="H86" s="172">
        <v>15.3</v>
      </c>
      <c r="I86" s="172">
        <v>11</v>
      </c>
    </row>
    <row r="87" spans="2:9" hidden="1" x14ac:dyDescent="0.3">
      <c r="B87" s="172" t="s">
        <v>25</v>
      </c>
      <c r="C87" s="172" t="s">
        <v>79</v>
      </c>
      <c r="D87" s="172" t="s">
        <v>211</v>
      </c>
      <c r="E87" s="172">
        <v>4.5901470086891498E-4</v>
      </c>
      <c r="F87" s="172">
        <v>21</v>
      </c>
      <c r="G87" s="172">
        <v>0</v>
      </c>
      <c r="H87" s="172">
        <v>15</v>
      </c>
      <c r="I87" s="172">
        <v>11</v>
      </c>
    </row>
    <row r="88" spans="2:9" hidden="1" x14ac:dyDescent="0.3">
      <c r="B88" s="172" t="s">
        <v>25</v>
      </c>
      <c r="C88" s="172" t="s">
        <v>80</v>
      </c>
      <c r="D88" s="172" t="s">
        <v>210</v>
      </c>
      <c r="E88" s="172">
        <v>8.4532940391292505E-4</v>
      </c>
      <c r="F88" s="172">
        <v>6</v>
      </c>
      <c r="G88" s="172">
        <v>16.25</v>
      </c>
      <c r="H88" s="172">
        <v>15.3</v>
      </c>
      <c r="I88" s="172">
        <v>11</v>
      </c>
    </row>
    <row r="89" spans="2:9" hidden="1" x14ac:dyDescent="0.3">
      <c r="B89" s="172" t="s">
        <v>25</v>
      </c>
      <c r="C89" s="172" t="s">
        <v>80</v>
      </c>
      <c r="D89" s="172" t="s">
        <v>211</v>
      </c>
      <c r="E89" s="172">
        <v>3.39397430122098E-4</v>
      </c>
      <c r="F89" s="172">
        <v>21</v>
      </c>
      <c r="G89" s="172">
        <v>0</v>
      </c>
      <c r="H89" s="172">
        <v>15</v>
      </c>
      <c r="I89" s="172">
        <v>11</v>
      </c>
    </row>
    <row r="90" spans="2:9" hidden="1" x14ac:dyDescent="0.3">
      <c r="B90" s="172" t="s">
        <v>25</v>
      </c>
      <c r="C90" s="172" t="s">
        <v>81</v>
      </c>
      <c r="D90" s="172" t="s">
        <v>210</v>
      </c>
      <c r="E90" s="172">
        <v>2.9154880890503598E-4</v>
      </c>
      <c r="F90" s="172">
        <v>6</v>
      </c>
      <c r="G90" s="172">
        <v>16.25</v>
      </c>
      <c r="H90" s="172">
        <v>15.3</v>
      </c>
      <c r="I90" s="172">
        <v>11</v>
      </c>
    </row>
    <row r="91" spans="2:9" hidden="1" x14ac:dyDescent="0.3">
      <c r="B91" s="172" t="s">
        <v>25</v>
      </c>
      <c r="C91" s="172" t="s">
        <v>81</v>
      </c>
      <c r="D91" s="172" t="s">
        <v>211</v>
      </c>
      <c r="E91" s="172">
        <v>1.07802504992882E-3</v>
      </c>
      <c r="F91" s="172">
        <v>21</v>
      </c>
      <c r="G91" s="172">
        <v>0</v>
      </c>
      <c r="H91" s="172">
        <v>15</v>
      </c>
      <c r="I91" s="172">
        <v>11</v>
      </c>
    </row>
    <row r="92" spans="2:9" hidden="1" x14ac:dyDescent="0.3">
      <c r="B92" s="172" t="s">
        <v>25</v>
      </c>
      <c r="C92" s="172" t="s">
        <v>82</v>
      </c>
      <c r="D92" s="172" t="s">
        <v>210</v>
      </c>
      <c r="E92" s="172">
        <v>4.56240737646569E-4</v>
      </c>
      <c r="F92" s="172">
        <v>6</v>
      </c>
      <c r="G92" s="172">
        <v>16.25</v>
      </c>
      <c r="H92" s="172">
        <v>15.3</v>
      </c>
      <c r="I92" s="172">
        <v>11</v>
      </c>
    </row>
    <row r="93" spans="2:9" hidden="1" x14ac:dyDescent="0.3">
      <c r="B93" s="172" t="s">
        <v>25</v>
      </c>
      <c r="C93" s="172" t="s">
        <v>82</v>
      </c>
      <c r="D93" s="172" t="s">
        <v>211</v>
      </c>
      <c r="E93" s="172">
        <v>1.2684161025151199E-3</v>
      </c>
      <c r="F93" s="172">
        <v>21</v>
      </c>
      <c r="G93" s="172">
        <v>0</v>
      </c>
      <c r="H93" s="172">
        <v>15</v>
      </c>
      <c r="I93" s="172">
        <v>11</v>
      </c>
    </row>
    <row r="94" spans="2:9" hidden="1" x14ac:dyDescent="0.3">
      <c r="B94" s="172" t="s">
        <v>25</v>
      </c>
      <c r="C94" s="172" t="s">
        <v>202</v>
      </c>
      <c r="D94" s="172" t="s">
        <v>210</v>
      </c>
      <c r="E94" s="172">
        <v>1.5322145952216899E-5</v>
      </c>
      <c r="F94" s="172">
        <v>6</v>
      </c>
      <c r="G94" s="172">
        <v>16.25</v>
      </c>
      <c r="H94" s="172">
        <v>15.3</v>
      </c>
      <c r="I94" s="172">
        <v>11</v>
      </c>
    </row>
    <row r="95" spans="2:9" hidden="1" x14ac:dyDescent="0.3">
      <c r="B95" s="172" t="s">
        <v>25</v>
      </c>
      <c r="C95" s="172" t="s">
        <v>202</v>
      </c>
      <c r="D95" s="172" t="s">
        <v>211</v>
      </c>
      <c r="E95" s="172">
        <v>2.0539545630027699E-5</v>
      </c>
      <c r="F95" s="172">
        <v>59</v>
      </c>
      <c r="G95" s="172">
        <v>21</v>
      </c>
      <c r="H95" s="172">
        <v>0</v>
      </c>
      <c r="I95" s="172">
        <v>11</v>
      </c>
    </row>
    <row r="96" spans="2:9" x14ac:dyDescent="0.3">
      <c r="B96" s="172" t="s">
        <v>24</v>
      </c>
      <c r="C96" s="172" t="s">
        <v>79</v>
      </c>
      <c r="D96" s="172" t="s">
        <v>210</v>
      </c>
      <c r="E96" s="172">
        <v>9.7242484278345202E-4</v>
      </c>
      <c r="F96" s="172">
        <v>6</v>
      </c>
      <c r="G96" s="172">
        <v>16.25</v>
      </c>
      <c r="H96" s="172">
        <v>15.3</v>
      </c>
      <c r="I96" s="172">
        <v>7.5</v>
      </c>
    </row>
    <row r="97" spans="2:9" hidden="1" x14ac:dyDescent="0.3">
      <c r="B97" s="172" t="s">
        <v>24</v>
      </c>
      <c r="C97" s="172" t="s">
        <v>79</v>
      </c>
      <c r="D97" s="172" t="s">
        <v>211</v>
      </c>
      <c r="E97" s="172">
        <v>4.7514647006047001E-4</v>
      </c>
      <c r="F97" s="172">
        <v>21</v>
      </c>
      <c r="G97" s="172">
        <v>0</v>
      </c>
      <c r="H97" s="172">
        <v>15</v>
      </c>
      <c r="I97" s="172">
        <v>7.5</v>
      </c>
    </row>
    <row r="98" spans="2:9" hidden="1" x14ac:dyDescent="0.3">
      <c r="B98" s="172" t="s">
        <v>24</v>
      </c>
      <c r="C98" s="172" t="s">
        <v>80</v>
      </c>
      <c r="D98" s="172" t="s">
        <v>210</v>
      </c>
      <c r="E98" s="172">
        <v>8.6836155500499498E-4</v>
      </c>
      <c r="F98" s="172">
        <v>6</v>
      </c>
      <c r="G98" s="172">
        <v>16.25</v>
      </c>
      <c r="H98" s="172">
        <v>15.3</v>
      </c>
      <c r="I98" s="172">
        <v>7.5</v>
      </c>
    </row>
    <row r="99" spans="2:9" hidden="1" x14ac:dyDescent="0.3">
      <c r="B99" s="172" t="s">
        <v>24</v>
      </c>
      <c r="C99" s="172" t="s">
        <v>80</v>
      </c>
      <c r="D99" s="172" t="s">
        <v>211</v>
      </c>
      <c r="E99" s="172">
        <v>3.5230894330714899E-4</v>
      </c>
      <c r="F99" s="172">
        <v>21</v>
      </c>
      <c r="G99" s="172">
        <v>0</v>
      </c>
      <c r="H99" s="172">
        <v>15</v>
      </c>
      <c r="I99" s="172">
        <v>7.5</v>
      </c>
    </row>
    <row r="100" spans="2:9" hidden="1" x14ac:dyDescent="0.3">
      <c r="B100" s="172" t="s">
        <v>24</v>
      </c>
      <c r="C100" s="172" t="s">
        <v>81</v>
      </c>
      <c r="D100" s="172" t="s">
        <v>210</v>
      </c>
      <c r="E100" s="172">
        <v>3.2813458491321698E-4</v>
      </c>
      <c r="F100" s="172">
        <v>6</v>
      </c>
      <c r="G100" s="172">
        <v>16.25</v>
      </c>
      <c r="H100" s="172">
        <v>15.3</v>
      </c>
      <c r="I100" s="172">
        <v>7.5</v>
      </c>
    </row>
    <row r="101" spans="2:9" hidden="1" x14ac:dyDescent="0.3">
      <c r="B101" s="172" t="s">
        <v>24</v>
      </c>
      <c r="C101" s="172" t="s">
        <v>81</v>
      </c>
      <c r="D101" s="172" t="s">
        <v>211</v>
      </c>
      <c r="E101" s="172">
        <v>1.0908509515667E-3</v>
      </c>
      <c r="F101" s="172">
        <v>21</v>
      </c>
      <c r="G101" s="172">
        <v>0</v>
      </c>
      <c r="H101" s="172">
        <v>15</v>
      </c>
      <c r="I101" s="172">
        <v>7.5</v>
      </c>
    </row>
    <row r="102" spans="2:9" hidden="1" x14ac:dyDescent="0.3">
      <c r="B102" s="172" t="s">
        <v>24</v>
      </c>
      <c r="C102" s="172" t="s">
        <v>82</v>
      </c>
      <c r="D102" s="172" t="s">
        <v>210</v>
      </c>
      <c r="E102" s="172">
        <v>4.9379635628819503E-4</v>
      </c>
      <c r="F102" s="172">
        <v>6</v>
      </c>
      <c r="G102" s="172">
        <v>16.25</v>
      </c>
      <c r="H102" s="172">
        <v>15.3</v>
      </c>
      <c r="I102" s="172">
        <v>7.5</v>
      </c>
    </row>
    <row r="103" spans="2:9" hidden="1" x14ac:dyDescent="0.3">
      <c r="B103" s="172" t="s">
        <v>24</v>
      </c>
      <c r="C103" s="172" t="s">
        <v>82</v>
      </c>
      <c r="D103" s="172" t="s">
        <v>211</v>
      </c>
      <c r="E103" s="172">
        <v>1.28632641672883E-3</v>
      </c>
      <c r="F103" s="172">
        <v>21</v>
      </c>
      <c r="G103" s="172">
        <v>0</v>
      </c>
      <c r="H103" s="172">
        <v>15</v>
      </c>
      <c r="I103" s="172">
        <v>7.5</v>
      </c>
    </row>
    <row r="104" spans="2:9" hidden="1" x14ac:dyDescent="0.3">
      <c r="B104" s="172" t="s">
        <v>24</v>
      </c>
      <c r="C104" s="172" t="s">
        <v>202</v>
      </c>
      <c r="D104" s="172" t="s">
        <v>210</v>
      </c>
      <c r="E104" s="172">
        <v>1.6471423351094698E-5</v>
      </c>
      <c r="F104" s="172">
        <v>59</v>
      </c>
      <c r="G104" s="172">
        <v>21</v>
      </c>
      <c r="H104" s="172">
        <v>0</v>
      </c>
      <c r="I104" s="172">
        <v>7.5</v>
      </c>
    </row>
    <row r="105" spans="2:9" hidden="1" x14ac:dyDescent="0.3">
      <c r="B105" s="172" t="s">
        <v>24</v>
      </c>
      <c r="C105" s="172" t="s">
        <v>202</v>
      </c>
      <c r="D105" s="172" t="s">
        <v>211</v>
      </c>
      <c r="E105" s="172">
        <v>1.04751024261304E-5</v>
      </c>
      <c r="F105" s="172">
        <v>59</v>
      </c>
      <c r="G105" s="172">
        <v>21</v>
      </c>
      <c r="H105" s="172">
        <v>0</v>
      </c>
      <c r="I105" s="172">
        <v>7.5</v>
      </c>
    </row>
    <row r="106" spans="2:9" x14ac:dyDescent="0.3">
      <c r="B106" s="172" t="s">
        <v>22</v>
      </c>
      <c r="C106" s="172" t="s">
        <v>79</v>
      </c>
      <c r="D106" s="172" t="s">
        <v>210</v>
      </c>
      <c r="E106" s="172">
        <v>8.2170523625523602E-4</v>
      </c>
      <c r="F106" s="172">
        <v>33</v>
      </c>
      <c r="G106" s="172">
        <v>16</v>
      </c>
      <c r="H106" s="172">
        <v>15</v>
      </c>
      <c r="I106" s="172">
        <v>4</v>
      </c>
    </row>
    <row r="107" spans="2:9" hidden="1" x14ac:dyDescent="0.3">
      <c r="B107" s="172" t="s">
        <v>22</v>
      </c>
      <c r="C107" s="172" t="s">
        <v>79</v>
      </c>
      <c r="D107" s="172" t="s">
        <v>211</v>
      </c>
      <c r="E107" s="172">
        <v>3.7420605264628298E-4</v>
      </c>
      <c r="F107" s="172">
        <v>21</v>
      </c>
      <c r="G107" s="172">
        <v>0</v>
      </c>
      <c r="H107" s="172">
        <v>15</v>
      </c>
      <c r="I107" s="172">
        <v>4</v>
      </c>
    </row>
    <row r="108" spans="2:9" hidden="1" x14ac:dyDescent="0.3">
      <c r="B108" s="172" t="s">
        <v>22</v>
      </c>
      <c r="C108" s="172" t="s">
        <v>80</v>
      </c>
      <c r="D108" s="172" t="s">
        <v>210</v>
      </c>
      <c r="E108" s="172">
        <v>7.4177872723460198E-4</v>
      </c>
      <c r="F108" s="172">
        <v>33</v>
      </c>
      <c r="G108" s="172">
        <v>16</v>
      </c>
      <c r="H108" s="172">
        <v>15</v>
      </c>
      <c r="I108" s="172">
        <v>4</v>
      </c>
    </row>
    <row r="109" spans="2:9" hidden="1" x14ac:dyDescent="0.3">
      <c r="B109" s="172" t="s">
        <v>22</v>
      </c>
      <c r="C109" s="172" t="s">
        <v>80</v>
      </c>
      <c r="D109" s="172" t="s">
        <v>211</v>
      </c>
      <c r="E109" s="172">
        <v>2.7187161361282399E-4</v>
      </c>
      <c r="F109" s="172">
        <v>21</v>
      </c>
      <c r="G109" s="172">
        <v>0</v>
      </c>
      <c r="H109" s="172">
        <v>15</v>
      </c>
      <c r="I109" s="172">
        <v>4</v>
      </c>
    </row>
    <row r="110" spans="2:9" hidden="1" x14ac:dyDescent="0.3">
      <c r="B110" s="172" t="s">
        <v>22</v>
      </c>
      <c r="C110" s="172" t="s">
        <v>81</v>
      </c>
      <c r="D110" s="172" t="s">
        <v>210</v>
      </c>
      <c r="E110" s="172">
        <v>3.04200277529274E-4</v>
      </c>
      <c r="F110" s="172">
        <v>33</v>
      </c>
      <c r="G110" s="172">
        <v>16</v>
      </c>
      <c r="H110" s="172">
        <v>15</v>
      </c>
      <c r="I110" s="172">
        <v>4</v>
      </c>
    </row>
    <row r="111" spans="2:9" hidden="1" x14ac:dyDescent="0.3">
      <c r="B111" s="172" t="s">
        <v>22</v>
      </c>
      <c r="C111" s="172" t="s">
        <v>81</v>
      </c>
      <c r="D111" s="172" t="s">
        <v>211</v>
      </c>
      <c r="E111" s="172">
        <v>8.6942316512057197E-4</v>
      </c>
      <c r="F111" s="172">
        <v>21</v>
      </c>
      <c r="G111" s="172">
        <v>0</v>
      </c>
      <c r="H111" s="172">
        <v>15</v>
      </c>
      <c r="I111" s="172">
        <v>4</v>
      </c>
    </row>
    <row r="112" spans="2:9" hidden="1" x14ac:dyDescent="0.3">
      <c r="B112" s="172" t="s">
        <v>22</v>
      </c>
      <c r="C112" s="172" t="s">
        <v>82</v>
      </c>
      <c r="D112" s="172" t="s">
        <v>210</v>
      </c>
      <c r="E112" s="172">
        <v>4.3139146629680698E-4</v>
      </c>
      <c r="F112" s="172">
        <v>33</v>
      </c>
      <c r="G112" s="172">
        <v>16</v>
      </c>
      <c r="H112" s="172">
        <v>15</v>
      </c>
      <c r="I112" s="172">
        <v>4</v>
      </c>
    </row>
    <row r="113" spans="2:9" hidden="1" x14ac:dyDescent="0.3">
      <c r="B113" s="172" t="s">
        <v>22</v>
      </c>
      <c r="C113" s="172" t="s">
        <v>82</v>
      </c>
      <c r="D113" s="172" t="s">
        <v>211</v>
      </c>
      <c r="E113" s="172">
        <v>1.03226049534625E-3</v>
      </c>
      <c r="F113" s="172">
        <v>21</v>
      </c>
      <c r="G113" s="172">
        <v>0</v>
      </c>
      <c r="H113" s="172">
        <v>15</v>
      </c>
      <c r="I113" s="172">
        <v>4</v>
      </c>
    </row>
    <row r="114" spans="2:9" hidden="1" x14ac:dyDescent="0.3">
      <c r="B114" s="172" t="s">
        <v>22</v>
      </c>
      <c r="C114" s="172" t="s">
        <v>202</v>
      </c>
      <c r="D114" s="172" t="s">
        <v>210</v>
      </c>
      <c r="E114" s="172">
        <v>4.2533018344772303E-5</v>
      </c>
      <c r="F114" s="172">
        <v>59</v>
      </c>
      <c r="G114" s="172">
        <v>21</v>
      </c>
      <c r="H114" s="172">
        <v>0</v>
      </c>
      <c r="I114" s="172">
        <v>4</v>
      </c>
    </row>
    <row r="115" spans="2:9" hidden="1" x14ac:dyDescent="0.3">
      <c r="B115" s="172" t="s">
        <v>22</v>
      </c>
      <c r="C115" s="172" t="s">
        <v>202</v>
      </c>
      <c r="D115" s="172" t="s">
        <v>211</v>
      </c>
      <c r="E115" s="172">
        <v>1.59758098039308E-5</v>
      </c>
      <c r="F115" s="172">
        <v>21</v>
      </c>
      <c r="G115" s="172">
        <v>0</v>
      </c>
      <c r="H115" s="172">
        <v>15</v>
      </c>
      <c r="I115" s="172">
        <v>4</v>
      </c>
    </row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hidden="1" x14ac:dyDescent="0.3">
      <c r="B117" s="172"/>
      <c r="C117" s="172"/>
      <c r="D117" s="172"/>
      <c r="E117" s="172"/>
      <c r="F117" s="172"/>
      <c r="G117" s="172"/>
      <c r="H117" s="172"/>
      <c r="I117" s="172"/>
    </row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s="172" customFormat="1" hidden="1" x14ac:dyDescent="0.3"/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s="172" customFormat="1" hidden="1" x14ac:dyDescent="0.3"/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207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208</v>
      </c>
      <c r="F135" s="169" t="s">
        <v>209</v>
      </c>
      <c r="G135" s="169" t="s">
        <v>210</v>
      </c>
      <c r="H135" s="169" t="s">
        <v>211</v>
      </c>
      <c r="I135" s="170" t="s">
        <v>212</v>
      </c>
    </row>
    <row r="136" spans="2:9" x14ac:dyDescent="0.3">
      <c r="B136" s="191"/>
      <c r="C136" s="191"/>
      <c r="D136" s="191"/>
      <c r="E136" s="191"/>
      <c r="F136" s="191"/>
      <c r="G136" s="191" t="s">
        <v>7</v>
      </c>
      <c r="H136" s="191" t="s">
        <v>7</v>
      </c>
      <c r="I136" s="192" t="s">
        <v>7</v>
      </c>
    </row>
    <row r="137" spans="2:9" s="172" customFormat="1" x14ac:dyDescent="0.3">
      <c r="B137" s="27" t="s">
        <v>213</v>
      </c>
      <c r="C137" s="27" t="s">
        <v>214</v>
      </c>
      <c r="D137" s="27" t="s">
        <v>215</v>
      </c>
      <c r="E137" s="27" t="s">
        <v>216</v>
      </c>
      <c r="F137" s="27" t="s">
        <v>217</v>
      </c>
      <c r="G137" s="27" t="s">
        <v>218</v>
      </c>
      <c r="H137" s="27" t="s">
        <v>219</v>
      </c>
      <c r="I137" s="27" t="s">
        <v>220</v>
      </c>
    </row>
    <row r="138" spans="2:9" hidden="1" x14ac:dyDescent="0.3">
      <c r="B138" s="172" t="s">
        <v>189</v>
      </c>
      <c r="C138" s="172" t="s">
        <v>79</v>
      </c>
      <c r="D138" s="172" t="s">
        <v>210</v>
      </c>
      <c r="E138" s="172">
        <v>3.2035881177986899E-4</v>
      </c>
      <c r="F138" s="172">
        <v>30</v>
      </c>
      <c r="G138" s="172">
        <v>16</v>
      </c>
      <c r="H138" s="172">
        <v>0</v>
      </c>
      <c r="I138" s="172">
        <v>38.5</v>
      </c>
    </row>
    <row r="139" spans="2:9" s="172" customFormat="1" hidden="1" x14ac:dyDescent="0.3">
      <c r="B139" s="172" t="s">
        <v>189</v>
      </c>
      <c r="C139" s="172" t="s">
        <v>79</v>
      </c>
      <c r="D139" s="172" t="s">
        <v>211</v>
      </c>
      <c r="E139" s="172">
        <v>1.8803326867947401E-4</v>
      </c>
      <c r="F139" s="172">
        <v>79</v>
      </c>
      <c r="G139" s="172">
        <v>21</v>
      </c>
      <c r="H139" s="172">
        <v>4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210</v>
      </c>
      <c r="E140" s="172">
        <v>3.3839945795123598E-4</v>
      </c>
      <c r="F140" s="172">
        <v>30</v>
      </c>
      <c r="G140" s="172">
        <v>16</v>
      </c>
      <c r="H140" s="172">
        <v>0</v>
      </c>
      <c r="I140" s="172">
        <v>38.5</v>
      </c>
    </row>
    <row r="141" spans="2:9" s="172" customFormat="1" hidden="1" x14ac:dyDescent="0.3">
      <c r="B141" s="172" t="s">
        <v>189</v>
      </c>
      <c r="C141" s="172" t="s">
        <v>80</v>
      </c>
      <c r="D141" s="172" t="s">
        <v>211</v>
      </c>
      <c r="E141" s="172">
        <v>2.3562443900947499E-4</v>
      </c>
      <c r="F141" s="172">
        <v>59</v>
      </c>
      <c r="G141" s="172">
        <v>21</v>
      </c>
      <c r="H141" s="172">
        <v>0</v>
      </c>
      <c r="I141" s="172">
        <v>38.5</v>
      </c>
    </row>
    <row r="142" spans="2:9" hidden="1" x14ac:dyDescent="0.3">
      <c r="B142" s="172" t="s">
        <v>189</v>
      </c>
      <c r="C142" s="172" t="s">
        <v>81</v>
      </c>
      <c r="D142" s="172" t="s">
        <v>210</v>
      </c>
      <c r="E142" s="172">
        <v>1.56141830630461E-4</v>
      </c>
      <c r="F142" s="172">
        <v>30</v>
      </c>
      <c r="G142" s="172">
        <v>16</v>
      </c>
      <c r="H142" s="172">
        <v>0</v>
      </c>
      <c r="I142" s="172">
        <v>38.5</v>
      </c>
    </row>
    <row r="143" spans="2:9" s="172" customFormat="1" hidden="1" x14ac:dyDescent="0.3">
      <c r="B143" s="172" t="s">
        <v>189</v>
      </c>
      <c r="C143" s="172" t="s">
        <v>81</v>
      </c>
      <c r="D143" s="172" t="s">
        <v>211</v>
      </c>
      <c r="E143" s="172">
        <v>6.2502286922491105E-4</v>
      </c>
      <c r="F143" s="172">
        <v>59</v>
      </c>
      <c r="G143" s="172">
        <v>21</v>
      </c>
      <c r="H143" s="172">
        <v>0</v>
      </c>
      <c r="I143" s="172">
        <v>38.5</v>
      </c>
    </row>
    <row r="144" spans="2:9" s="172" customFormat="1" hidden="1" x14ac:dyDescent="0.3">
      <c r="B144" s="172" t="s">
        <v>189</v>
      </c>
      <c r="C144" s="172" t="s">
        <v>82</v>
      </c>
      <c r="D144" s="172" t="s">
        <v>210</v>
      </c>
      <c r="E144" s="172">
        <v>1.24326653328185E-4</v>
      </c>
      <c r="F144" s="172">
        <v>30</v>
      </c>
      <c r="G144" s="172">
        <v>16</v>
      </c>
      <c r="H144" s="172">
        <v>0</v>
      </c>
      <c r="I144" s="172">
        <v>38.5</v>
      </c>
    </row>
    <row r="145" spans="2:9" hidden="1" x14ac:dyDescent="0.3">
      <c r="B145" s="172" t="s">
        <v>189</v>
      </c>
      <c r="C145" s="172" t="s">
        <v>82</v>
      </c>
      <c r="D145" s="172" t="s">
        <v>211</v>
      </c>
      <c r="E145" s="172">
        <v>5.43909134476706E-4</v>
      </c>
      <c r="F145" s="172">
        <v>59</v>
      </c>
      <c r="G145" s="172">
        <v>21</v>
      </c>
      <c r="H145" s="172">
        <v>0</v>
      </c>
      <c r="I145" s="172">
        <v>38.5</v>
      </c>
    </row>
    <row r="146" spans="2:9" hidden="1" x14ac:dyDescent="0.3">
      <c r="B146" s="172" t="s">
        <v>189</v>
      </c>
      <c r="C146" s="172" t="s">
        <v>202</v>
      </c>
      <c r="D146" s="172" t="s">
        <v>210</v>
      </c>
      <c r="E146" s="172">
        <v>1.9868820833504201E-4</v>
      </c>
      <c r="F146" s="172">
        <v>30</v>
      </c>
      <c r="G146" s="172">
        <v>16</v>
      </c>
      <c r="H146" s="172">
        <v>0</v>
      </c>
      <c r="I146" s="172">
        <v>38.5</v>
      </c>
    </row>
    <row r="147" spans="2:9" hidden="1" x14ac:dyDescent="0.3">
      <c r="B147" s="172" t="s">
        <v>189</v>
      </c>
      <c r="C147" s="172" t="s">
        <v>202</v>
      </c>
      <c r="D147" s="172" t="s">
        <v>211</v>
      </c>
      <c r="E147" s="172">
        <v>2.2287991173258401E-4</v>
      </c>
      <c r="F147" s="172">
        <v>30</v>
      </c>
      <c r="G147" s="172">
        <v>16</v>
      </c>
      <c r="H147" s="172">
        <v>0</v>
      </c>
      <c r="I147" s="172">
        <v>38.5</v>
      </c>
    </row>
    <row r="148" spans="2:9" hidden="1" x14ac:dyDescent="0.3">
      <c r="B148" s="172" t="s">
        <v>187</v>
      </c>
      <c r="C148" s="172" t="s">
        <v>79</v>
      </c>
      <c r="D148" s="172" t="s">
        <v>210</v>
      </c>
      <c r="E148" s="172">
        <v>2.8931633828743698E-4</v>
      </c>
      <c r="F148" s="172">
        <v>59</v>
      </c>
      <c r="G148" s="172">
        <v>21</v>
      </c>
      <c r="H148" s="172">
        <v>0</v>
      </c>
      <c r="I148" s="172">
        <v>35.5</v>
      </c>
    </row>
    <row r="149" spans="2:9" hidden="1" x14ac:dyDescent="0.3">
      <c r="B149" s="172" t="s">
        <v>187</v>
      </c>
      <c r="C149" s="172" t="s">
        <v>79</v>
      </c>
      <c r="D149" s="172" t="s">
        <v>211</v>
      </c>
      <c r="E149" s="172">
        <v>1.63050073177384E-4</v>
      </c>
      <c r="F149" s="172">
        <v>59</v>
      </c>
      <c r="G149" s="172">
        <v>21</v>
      </c>
      <c r="H149" s="172">
        <v>0</v>
      </c>
      <c r="I149" s="172">
        <v>35.5</v>
      </c>
    </row>
    <row r="150" spans="2:9" x14ac:dyDescent="0.3">
      <c r="B150" s="172" t="s">
        <v>187</v>
      </c>
      <c r="C150" s="172" t="s">
        <v>80</v>
      </c>
      <c r="D150" s="172" t="s">
        <v>210</v>
      </c>
      <c r="E150" s="172">
        <v>3.1528434873341301E-4</v>
      </c>
      <c r="F150" s="172">
        <v>59</v>
      </c>
      <c r="G150" s="172">
        <v>21</v>
      </c>
      <c r="H150" s="172">
        <v>0</v>
      </c>
      <c r="I150" s="172">
        <v>35.5</v>
      </c>
    </row>
    <row r="151" spans="2:9" hidden="1" x14ac:dyDescent="0.3">
      <c r="B151" s="172" t="s">
        <v>187</v>
      </c>
      <c r="C151" s="172" t="s">
        <v>80</v>
      </c>
      <c r="D151" s="172" t="s">
        <v>211</v>
      </c>
      <c r="E151" s="172">
        <v>2.13658433308555E-4</v>
      </c>
      <c r="F151" s="172">
        <v>59</v>
      </c>
      <c r="G151" s="172">
        <v>21</v>
      </c>
      <c r="H151" s="172">
        <v>0</v>
      </c>
      <c r="I151" s="172">
        <v>35.5</v>
      </c>
    </row>
    <row r="152" spans="2:9" hidden="1" x14ac:dyDescent="0.3">
      <c r="B152" s="172" t="s">
        <v>187</v>
      </c>
      <c r="C152" s="172" t="s">
        <v>81</v>
      </c>
      <c r="D152" s="172" t="s">
        <v>210</v>
      </c>
      <c r="E152" s="172">
        <v>1.63727089892441E-4</v>
      </c>
      <c r="F152" s="172">
        <v>59</v>
      </c>
      <c r="G152" s="172">
        <v>21</v>
      </c>
      <c r="H152" s="172">
        <v>0</v>
      </c>
      <c r="I152" s="172">
        <v>35.5</v>
      </c>
    </row>
    <row r="153" spans="2:9" hidden="1" x14ac:dyDescent="0.3">
      <c r="B153" s="172" t="s">
        <v>187</v>
      </c>
      <c r="C153" s="172" t="s">
        <v>81</v>
      </c>
      <c r="D153" s="172" t="s">
        <v>211</v>
      </c>
      <c r="E153" s="172">
        <v>6.0020387498859904E-4</v>
      </c>
      <c r="F153" s="172">
        <v>59</v>
      </c>
      <c r="G153" s="172">
        <v>21</v>
      </c>
      <c r="H153" s="172">
        <v>0</v>
      </c>
      <c r="I153" s="172">
        <v>35.5</v>
      </c>
    </row>
    <row r="154" spans="2:9" hidden="1" x14ac:dyDescent="0.3">
      <c r="B154" s="172" t="s">
        <v>187</v>
      </c>
      <c r="C154" s="172" t="s">
        <v>82</v>
      </c>
      <c r="D154" s="172" t="s">
        <v>210</v>
      </c>
      <c r="E154" s="172">
        <v>1.20348390088616E-4</v>
      </c>
      <c r="F154" s="172">
        <v>59</v>
      </c>
      <c r="G154" s="172">
        <v>21</v>
      </c>
      <c r="H154" s="172">
        <v>0</v>
      </c>
      <c r="I154" s="172">
        <v>35.5</v>
      </c>
    </row>
    <row r="155" spans="2:9" hidden="1" x14ac:dyDescent="0.3">
      <c r="B155" s="172" t="s">
        <v>187</v>
      </c>
      <c r="C155" s="172" t="s">
        <v>82</v>
      </c>
      <c r="D155" s="172" t="s">
        <v>211</v>
      </c>
      <c r="E155" s="172">
        <v>5.1582442218006599E-4</v>
      </c>
      <c r="F155" s="172">
        <v>59</v>
      </c>
      <c r="G155" s="172">
        <v>21</v>
      </c>
      <c r="H155" s="172">
        <v>0</v>
      </c>
      <c r="I155" s="172">
        <v>35.5</v>
      </c>
    </row>
    <row r="156" spans="2:9" hidden="1" x14ac:dyDescent="0.3">
      <c r="B156" s="172" t="s">
        <v>187</v>
      </c>
      <c r="C156" s="172" t="s">
        <v>202</v>
      </c>
      <c r="D156" s="172" t="s">
        <v>210</v>
      </c>
      <c r="E156" s="172">
        <v>5.5932627734241899E-5</v>
      </c>
      <c r="F156" s="172">
        <v>6</v>
      </c>
      <c r="G156" s="172">
        <v>16.25</v>
      </c>
      <c r="H156" s="172">
        <v>15.3</v>
      </c>
      <c r="I156" s="172">
        <v>35.5</v>
      </c>
    </row>
    <row r="157" spans="2:9" hidden="1" x14ac:dyDescent="0.3">
      <c r="B157" s="172" t="s">
        <v>187</v>
      </c>
      <c r="C157" s="172" t="s">
        <v>202</v>
      </c>
      <c r="D157" s="172" t="s">
        <v>211</v>
      </c>
      <c r="E157" s="172">
        <v>4.8806107665855703E-5</v>
      </c>
      <c r="F157" s="172">
        <v>59</v>
      </c>
      <c r="G157" s="172">
        <v>21</v>
      </c>
      <c r="H157" s="172">
        <v>0</v>
      </c>
      <c r="I157" s="172">
        <v>35.5</v>
      </c>
    </row>
    <row r="158" spans="2:9" hidden="1" x14ac:dyDescent="0.3">
      <c r="B158" s="172" t="s">
        <v>185</v>
      </c>
      <c r="C158" s="172" t="s">
        <v>79</v>
      </c>
      <c r="D158" s="172" t="s">
        <v>210</v>
      </c>
      <c r="E158" s="172">
        <v>3.95079118517071E-4</v>
      </c>
      <c r="F158" s="172">
        <v>6</v>
      </c>
      <c r="G158" s="172">
        <v>16.25</v>
      </c>
      <c r="H158" s="172">
        <v>15.3</v>
      </c>
      <c r="I158" s="172">
        <v>32</v>
      </c>
    </row>
    <row r="159" spans="2:9" hidden="1" x14ac:dyDescent="0.3">
      <c r="B159" s="172" t="s">
        <v>185</v>
      </c>
      <c r="C159" s="172" t="s">
        <v>79</v>
      </c>
      <c r="D159" s="172" t="s">
        <v>211</v>
      </c>
      <c r="E159" s="172">
        <v>1.6734692621633799E-4</v>
      </c>
      <c r="F159" s="172">
        <v>21</v>
      </c>
      <c r="G159" s="172">
        <v>0</v>
      </c>
      <c r="H159" s="172">
        <v>15</v>
      </c>
      <c r="I159" s="172">
        <v>32</v>
      </c>
    </row>
    <row r="160" spans="2:9" x14ac:dyDescent="0.3">
      <c r="B160" s="172" t="s">
        <v>185</v>
      </c>
      <c r="C160" s="172" t="s">
        <v>80</v>
      </c>
      <c r="D160" s="172" t="s">
        <v>210</v>
      </c>
      <c r="E160" s="172">
        <v>4.28226960199382E-4</v>
      </c>
      <c r="F160" s="172">
        <v>59</v>
      </c>
      <c r="G160" s="172">
        <v>21</v>
      </c>
      <c r="H160" s="172">
        <v>0</v>
      </c>
      <c r="I160" s="172">
        <v>32</v>
      </c>
    </row>
    <row r="161" spans="2:9" hidden="1" x14ac:dyDescent="0.3">
      <c r="B161" s="172" t="s">
        <v>185</v>
      </c>
      <c r="C161" s="172" t="s">
        <v>80</v>
      </c>
      <c r="D161" s="172" t="s">
        <v>211</v>
      </c>
      <c r="E161" s="172">
        <v>2.30457805277763E-4</v>
      </c>
      <c r="F161" s="172">
        <v>59</v>
      </c>
      <c r="G161" s="172">
        <v>21</v>
      </c>
      <c r="H161" s="172">
        <v>0</v>
      </c>
      <c r="I161" s="172">
        <v>32</v>
      </c>
    </row>
    <row r="162" spans="2:9" hidden="1" x14ac:dyDescent="0.3">
      <c r="B162" s="172" t="s">
        <v>185</v>
      </c>
      <c r="C162" s="172" t="s">
        <v>81</v>
      </c>
      <c r="D162" s="172" t="s">
        <v>210</v>
      </c>
      <c r="E162" s="172">
        <v>1.8307687225288299E-4</v>
      </c>
      <c r="F162" s="172">
        <v>59</v>
      </c>
      <c r="G162" s="172">
        <v>21</v>
      </c>
      <c r="H162" s="172">
        <v>0</v>
      </c>
      <c r="I162" s="172">
        <v>32</v>
      </c>
    </row>
    <row r="163" spans="2:9" hidden="1" x14ac:dyDescent="0.3">
      <c r="B163" s="172" t="s">
        <v>185</v>
      </c>
      <c r="C163" s="172" t="s">
        <v>81</v>
      </c>
      <c r="D163" s="172" t="s">
        <v>211</v>
      </c>
      <c r="E163" s="172">
        <v>7.1697456325239101E-4</v>
      </c>
      <c r="F163" s="172">
        <v>59</v>
      </c>
      <c r="G163" s="172">
        <v>21</v>
      </c>
      <c r="H163" s="172">
        <v>0</v>
      </c>
      <c r="I163" s="172">
        <v>32</v>
      </c>
    </row>
    <row r="164" spans="2:9" hidden="1" x14ac:dyDescent="0.3">
      <c r="B164" s="172" t="s">
        <v>185</v>
      </c>
      <c r="C164" s="172" t="s">
        <v>82</v>
      </c>
      <c r="D164" s="172" t="s">
        <v>210</v>
      </c>
      <c r="E164" s="172">
        <v>1.2426683836948201E-4</v>
      </c>
      <c r="F164" s="172">
        <v>59</v>
      </c>
      <c r="G164" s="172">
        <v>21</v>
      </c>
      <c r="H164" s="172">
        <v>0</v>
      </c>
      <c r="I164" s="172">
        <v>32</v>
      </c>
    </row>
    <row r="165" spans="2:9" hidden="1" x14ac:dyDescent="0.3">
      <c r="B165" s="172" t="s">
        <v>185</v>
      </c>
      <c r="C165" s="172" t="s">
        <v>82</v>
      </c>
      <c r="D165" s="172" t="s">
        <v>211</v>
      </c>
      <c r="E165" s="172">
        <v>6.0705584049178002E-4</v>
      </c>
      <c r="F165" s="172">
        <v>59</v>
      </c>
      <c r="G165" s="172">
        <v>21</v>
      </c>
      <c r="H165" s="172">
        <v>0</v>
      </c>
      <c r="I165" s="172">
        <v>32</v>
      </c>
    </row>
    <row r="166" spans="2:9" hidden="1" x14ac:dyDescent="0.3">
      <c r="B166" s="172" t="s">
        <v>185</v>
      </c>
      <c r="C166" s="172" t="s">
        <v>202</v>
      </c>
      <c r="D166" s="172" t="s">
        <v>210</v>
      </c>
      <c r="E166" s="172">
        <v>6.16745224347903E-5</v>
      </c>
      <c r="F166" s="172">
        <v>6</v>
      </c>
      <c r="G166" s="172">
        <v>16.25</v>
      </c>
      <c r="H166" s="172">
        <v>15.3</v>
      </c>
      <c r="I166" s="172">
        <v>32</v>
      </c>
    </row>
    <row r="167" spans="2:9" hidden="1" x14ac:dyDescent="0.3">
      <c r="B167" s="172" t="s">
        <v>185</v>
      </c>
      <c r="C167" s="172" t="s">
        <v>202</v>
      </c>
      <c r="D167" s="172" t="s">
        <v>211</v>
      </c>
      <c r="E167" s="172">
        <v>4.7142290385715199E-5</v>
      </c>
      <c r="F167" s="172">
        <v>79</v>
      </c>
      <c r="G167" s="172">
        <v>21</v>
      </c>
      <c r="H167" s="172">
        <v>4</v>
      </c>
      <c r="I167" s="172">
        <v>32</v>
      </c>
    </row>
    <row r="168" spans="2:9" hidden="1" x14ac:dyDescent="0.3">
      <c r="B168" s="172" t="s">
        <v>183</v>
      </c>
      <c r="C168" s="172" t="s">
        <v>79</v>
      </c>
      <c r="D168" s="172" t="s">
        <v>210</v>
      </c>
      <c r="E168" s="172">
        <v>5.3724172119639995E-4</v>
      </c>
      <c r="F168" s="172">
        <v>6</v>
      </c>
      <c r="G168" s="172">
        <v>16.25</v>
      </c>
      <c r="H168" s="172">
        <v>15.3</v>
      </c>
      <c r="I168" s="172">
        <v>28.5</v>
      </c>
    </row>
    <row r="169" spans="2:9" hidden="1" x14ac:dyDescent="0.3">
      <c r="B169" s="172" t="s">
        <v>183</v>
      </c>
      <c r="C169" s="172" t="s">
        <v>79</v>
      </c>
      <c r="D169" s="172" t="s">
        <v>211</v>
      </c>
      <c r="E169" s="172">
        <v>2.3687246826181301E-4</v>
      </c>
      <c r="F169" s="172">
        <v>21</v>
      </c>
      <c r="G169" s="172">
        <v>0</v>
      </c>
      <c r="H169" s="172">
        <v>15</v>
      </c>
      <c r="I169" s="172">
        <v>28.5</v>
      </c>
    </row>
    <row r="170" spans="2:9" x14ac:dyDescent="0.3">
      <c r="B170" s="172" t="s">
        <v>183</v>
      </c>
      <c r="C170" s="172" t="s">
        <v>80</v>
      </c>
      <c r="D170" s="172" t="s">
        <v>210</v>
      </c>
      <c r="E170" s="172">
        <v>5.2482693797157795E-4</v>
      </c>
      <c r="F170" s="172">
        <v>59</v>
      </c>
      <c r="G170" s="172">
        <v>21</v>
      </c>
      <c r="H170" s="172">
        <v>0</v>
      </c>
      <c r="I170" s="172">
        <v>28.5</v>
      </c>
    </row>
    <row r="171" spans="2:9" hidden="1" x14ac:dyDescent="0.3">
      <c r="B171" s="172" t="s">
        <v>183</v>
      </c>
      <c r="C171" s="172" t="s">
        <v>80</v>
      </c>
      <c r="D171" s="172" t="s">
        <v>211</v>
      </c>
      <c r="E171" s="172">
        <v>2.3965148593317899E-4</v>
      </c>
      <c r="F171" s="172">
        <v>59</v>
      </c>
      <c r="G171" s="172">
        <v>21</v>
      </c>
      <c r="H171" s="172">
        <v>0</v>
      </c>
      <c r="I171" s="172">
        <v>28.5</v>
      </c>
    </row>
    <row r="172" spans="2:9" hidden="1" x14ac:dyDescent="0.3">
      <c r="B172" s="172" t="s">
        <v>183</v>
      </c>
      <c r="C172" s="172" t="s">
        <v>81</v>
      </c>
      <c r="D172" s="172" t="s">
        <v>210</v>
      </c>
      <c r="E172" s="172">
        <v>1.95707806170642E-4</v>
      </c>
      <c r="F172" s="172">
        <v>59</v>
      </c>
      <c r="G172" s="172">
        <v>21</v>
      </c>
      <c r="H172" s="172">
        <v>0</v>
      </c>
      <c r="I172" s="172">
        <v>28.5</v>
      </c>
    </row>
    <row r="173" spans="2:9" hidden="1" x14ac:dyDescent="0.3">
      <c r="B173" s="172" t="s">
        <v>183</v>
      </c>
      <c r="C173" s="172" t="s">
        <v>81</v>
      </c>
      <c r="D173" s="172" t="s">
        <v>211</v>
      </c>
      <c r="E173" s="172">
        <v>8.1282247349050705E-4</v>
      </c>
      <c r="F173" s="172">
        <v>59</v>
      </c>
      <c r="G173" s="172">
        <v>21</v>
      </c>
      <c r="H173" s="172">
        <v>0</v>
      </c>
      <c r="I173" s="172">
        <v>28.5</v>
      </c>
    </row>
    <row r="174" spans="2:9" hidden="1" x14ac:dyDescent="0.3">
      <c r="B174" s="172" t="s">
        <v>183</v>
      </c>
      <c r="C174" s="172" t="s">
        <v>82</v>
      </c>
      <c r="D174" s="172" t="s">
        <v>210</v>
      </c>
      <c r="E174" s="172">
        <v>1.8644675616021799E-4</v>
      </c>
      <c r="F174" s="172">
        <v>6</v>
      </c>
      <c r="G174" s="172">
        <v>16.25</v>
      </c>
      <c r="H174" s="172">
        <v>15.3</v>
      </c>
      <c r="I174" s="172">
        <v>28.5</v>
      </c>
    </row>
    <row r="175" spans="2:9" hidden="1" x14ac:dyDescent="0.3">
      <c r="B175" s="172" t="s">
        <v>183</v>
      </c>
      <c r="C175" s="172" t="s">
        <v>82</v>
      </c>
      <c r="D175" s="172" t="s">
        <v>211</v>
      </c>
      <c r="E175" s="172">
        <v>7.6743232497834899E-4</v>
      </c>
      <c r="F175" s="172">
        <v>21</v>
      </c>
      <c r="G175" s="172">
        <v>0</v>
      </c>
      <c r="H175" s="172">
        <v>15</v>
      </c>
      <c r="I175" s="172">
        <v>28.5</v>
      </c>
    </row>
    <row r="176" spans="2:9" hidden="1" x14ac:dyDescent="0.3">
      <c r="B176" s="172" t="s">
        <v>183</v>
      </c>
      <c r="C176" s="172" t="s">
        <v>202</v>
      </c>
      <c r="D176" s="172" t="s">
        <v>210</v>
      </c>
      <c r="E176" s="172">
        <v>5.7204069365563E-5</v>
      </c>
      <c r="F176" s="172">
        <v>6</v>
      </c>
      <c r="G176" s="172">
        <v>16.25</v>
      </c>
      <c r="H176" s="172">
        <v>15.3</v>
      </c>
      <c r="I176" s="172">
        <v>28.5</v>
      </c>
    </row>
    <row r="177" spans="2:9" hidden="1" x14ac:dyDescent="0.3">
      <c r="B177" s="172" t="s">
        <v>183</v>
      </c>
      <c r="C177" s="172" t="s">
        <v>202</v>
      </c>
      <c r="D177" s="172" t="s">
        <v>211</v>
      </c>
      <c r="E177" s="172">
        <v>4.4459413146827102E-5</v>
      </c>
      <c r="F177" s="172">
        <v>59</v>
      </c>
      <c r="G177" s="172">
        <v>21</v>
      </c>
      <c r="H177" s="172">
        <v>0</v>
      </c>
      <c r="I177" s="172">
        <v>28.5</v>
      </c>
    </row>
    <row r="178" spans="2:9" hidden="1" x14ac:dyDescent="0.3">
      <c r="B178" s="172" t="s">
        <v>181</v>
      </c>
      <c r="C178" s="172" t="s">
        <v>79</v>
      </c>
      <c r="D178" s="172" t="s">
        <v>210</v>
      </c>
      <c r="E178" s="172">
        <v>6.5773942106748899E-4</v>
      </c>
      <c r="F178" s="172">
        <v>6</v>
      </c>
      <c r="G178" s="172">
        <v>16.25</v>
      </c>
      <c r="H178" s="172">
        <v>15.3</v>
      </c>
      <c r="I178" s="172">
        <v>25</v>
      </c>
    </row>
    <row r="179" spans="2:9" hidden="1" x14ac:dyDescent="0.3">
      <c r="B179" s="172" t="s">
        <v>181</v>
      </c>
      <c r="C179" s="172" t="s">
        <v>79</v>
      </c>
      <c r="D179" s="172" t="s">
        <v>211</v>
      </c>
      <c r="E179" s="172">
        <v>2.9479215577646399E-4</v>
      </c>
      <c r="F179" s="172">
        <v>18</v>
      </c>
      <c r="G179" s="172">
        <v>0</v>
      </c>
      <c r="H179" s="172">
        <v>0</v>
      </c>
      <c r="I179" s="172">
        <v>25</v>
      </c>
    </row>
    <row r="180" spans="2:9" x14ac:dyDescent="0.3">
      <c r="B180" s="172" t="s">
        <v>181</v>
      </c>
      <c r="C180" s="172" t="s">
        <v>80</v>
      </c>
      <c r="D180" s="172" t="s">
        <v>210</v>
      </c>
      <c r="E180" s="172">
        <v>6.0484670643128405E-4</v>
      </c>
      <c r="F180" s="172">
        <v>59</v>
      </c>
      <c r="G180" s="172">
        <v>21</v>
      </c>
      <c r="H180" s="172">
        <v>0</v>
      </c>
      <c r="I180" s="172">
        <v>25</v>
      </c>
    </row>
    <row r="181" spans="2:9" hidden="1" x14ac:dyDescent="0.3">
      <c r="B181" s="172" t="s">
        <v>181</v>
      </c>
      <c r="C181" s="172" t="s">
        <v>80</v>
      </c>
      <c r="D181" s="172" t="s">
        <v>211</v>
      </c>
      <c r="E181" s="172">
        <v>2.4374225341504901E-4</v>
      </c>
      <c r="F181" s="172">
        <v>59</v>
      </c>
      <c r="G181" s="172">
        <v>21</v>
      </c>
      <c r="H181" s="172">
        <v>0</v>
      </c>
      <c r="I181" s="172">
        <v>25</v>
      </c>
    </row>
    <row r="182" spans="2:9" hidden="1" x14ac:dyDescent="0.3">
      <c r="B182" s="172" t="s">
        <v>181</v>
      </c>
      <c r="C182" s="172" t="s">
        <v>81</v>
      </c>
      <c r="D182" s="172" t="s">
        <v>210</v>
      </c>
      <c r="E182" s="172">
        <v>2.0373082889241299E-4</v>
      </c>
      <c r="F182" s="172">
        <v>59</v>
      </c>
      <c r="G182" s="172">
        <v>21</v>
      </c>
      <c r="H182" s="172">
        <v>0</v>
      </c>
      <c r="I182" s="172">
        <v>25</v>
      </c>
    </row>
    <row r="183" spans="2:9" hidden="1" x14ac:dyDescent="0.3">
      <c r="B183" s="172" t="s">
        <v>181</v>
      </c>
      <c r="C183" s="172" t="s">
        <v>81</v>
      </c>
      <c r="D183" s="172" t="s">
        <v>211</v>
      </c>
      <c r="E183" s="172">
        <v>8.8497333578156699E-4</v>
      </c>
      <c r="F183" s="172">
        <v>59</v>
      </c>
      <c r="G183" s="172">
        <v>21</v>
      </c>
      <c r="H183" s="172">
        <v>0</v>
      </c>
      <c r="I183" s="172">
        <v>25</v>
      </c>
    </row>
    <row r="184" spans="2:9" hidden="1" x14ac:dyDescent="0.3">
      <c r="B184" s="172" t="s">
        <v>181</v>
      </c>
      <c r="C184" s="172" t="s">
        <v>82</v>
      </c>
      <c r="D184" s="172" t="s">
        <v>210</v>
      </c>
      <c r="E184" s="172">
        <v>2.5160414299701597E-4</v>
      </c>
      <c r="F184" s="172">
        <v>6</v>
      </c>
      <c r="G184" s="172">
        <v>16.25</v>
      </c>
      <c r="H184" s="172">
        <v>15.3</v>
      </c>
      <c r="I184" s="172">
        <v>25</v>
      </c>
    </row>
    <row r="185" spans="2:9" hidden="1" x14ac:dyDescent="0.3">
      <c r="B185" s="172" t="s">
        <v>181</v>
      </c>
      <c r="C185" s="172" t="s">
        <v>82</v>
      </c>
      <c r="D185" s="172" t="s">
        <v>211</v>
      </c>
      <c r="E185" s="172">
        <v>9.1545036403225502E-4</v>
      </c>
      <c r="F185" s="172">
        <v>21</v>
      </c>
      <c r="G185" s="172">
        <v>0</v>
      </c>
      <c r="H185" s="172">
        <v>15</v>
      </c>
      <c r="I185" s="172">
        <v>25</v>
      </c>
    </row>
    <row r="186" spans="2:9" hidden="1" x14ac:dyDescent="0.3">
      <c r="B186" s="172" t="s">
        <v>181</v>
      </c>
      <c r="C186" s="172" t="s">
        <v>202</v>
      </c>
      <c r="D186" s="172" t="s">
        <v>210</v>
      </c>
      <c r="E186" s="172">
        <v>5.1713662992131902E-5</v>
      </c>
      <c r="F186" s="172">
        <v>6</v>
      </c>
      <c r="G186" s="172">
        <v>16.25</v>
      </c>
      <c r="H186" s="172">
        <v>15.3</v>
      </c>
      <c r="I186" s="172">
        <v>25</v>
      </c>
    </row>
    <row r="187" spans="2:9" hidden="1" x14ac:dyDescent="0.3">
      <c r="B187" s="172" t="s">
        <v>181</v>
      </c>
      <c r="C187" s="172" t="s">
        <v>202</v>
      </c>
      <c r="D187" s="172" t="s">
        <v>211</v>
      </c>
      <c r="E187" s="172">
        <v>4.0806706802977998E-5</v>
      </c>
      <c r="F187" s="172">
        <v>59</v>
      </c>
      <c r="G187" s="172">
        <v>21</v>
      </c>
      <c r="H187" s="172">
        <v>0</v>
      </c>
      <c r="I187" s="172">
        <v>25</v>
      </c>
    </row>
    <row r="188" spans="2:9" hidden="1" x14ac:dyDescent="0.3">
      <c r="B188" s="172" t="s">
        <v>179</v>
      </c>
      <c r="C188" s="172" t="s">
        <v>79</v>
      </c>
      <c r="D188" s="172" t="s">
        <v>210</v>
      </c>
      <c r="E188" s="172">
        <v>7.5873346457583802E-4</v>
      </c>
      <c r="F188" s="172">
        <v>6</v>
      </c>
      <c r="G188" s="172">
        <v>16.25</v>
      </c>
      <c r="H188" s="172">
        <v>15.3</v>
      </c>
      <c r="I188" s="172">
        <v>21.5</v>
      </c>
    </row>
    <row r="189" spans="2:9" hidden="1" x14ac:dyDescent="0.3">
      <c r="B189" s="172" t="s">
        <v>179</v>
      </c>
      <c r="C189" s="172" t="s">
        <v>79</v>
      </c>
      <c r="D189" s="172" t="s">
        <v>211</v>
      </c>
      <c r="E189" s="172">
        <v>3.4379248739735998E-4</v>
      </c>
      <c r="F189" s="172">
        <v>21</v>
      </c>
      <c r="G189" s="172">
        <v>0</v>
      </c>
      <c r="H189" s="172">
        <v>15</v>
      </c>
      <c r="I189" s="172">
        <v>21.5</v>
      </c>
    </row>
    <row r="190" spans="2:9" x14ac:dyDescent="0.3">
      <c r="B190" s="172" t="s">
        <v>179</v>
      </c>
      <c r="C190" s="172" t="s">
        <v>80</v>
      </c>
      <c r="D190" s="172" t="s">
        <v>210</v>
      </c>
      <c r="E190" s="172">
        <v>6.7379552401995301E-4</v>
      </c>
      <c r="F190" s="172">
        <v>6</v>
      </c>
      <c r="G190" s="172">
        <v>16.25</v>
      </c>
      <c r="H190" s="172">
        <v>15.3</v>
      </c>
      <c r="I190" s="172">
        <v>21.5</v>
      </c>
    </row>
    <row r="191" spans="2:9" hidden="1" x14ac:dyDescent="0.3">
      <c r="B191" s="172" t="s">
        <v>179</v>
      </c>
      <c r="C191" s="172" t="s">
        <v>80</v>
      </c>
      <c r="D191" s="172" t="s">
        <v>211</v>
      </c>
      <c r="E191" s="172">
        <v>2.4991788704384202E-4</v>
      </c>
      <c r="F191" s="172">
        <v>21</v>
      </c>
      <c r="G191" s="172">
        <v>0</v>
      </c>
      <c r="H191" s="172">
        <v>15</v>
      </c>
      <c r="I191" s="172">
        <v>21.5</v>
      </c>
    </row>
    <row r="192" spans="2:9" hidden="1" x14ac:dyDescent="0.3">
      <c r="B192" s="172" t="s">
        <v>179</v>
      </c>
      <c r="C192" s="172" t="s">
        <v>81</v>
      </c>
      <c r="D192" s="172" t="s">
        <v>210</v>
      </c>
      <c r="E192" s="172">
        <v>2.0726701483126799E-4</v>
      </c>
      <c r="F192" s="172">
        <v>59</v>
      </c>
      <c r="G192" s="172">
        <v>21</v>
      </c>
      <c r="H192" s="172">
        <v>0</v>
      </c>
      <c r="I192" s="172">
        <v>21.5</v>
      </c>
    </row>
    <row r="193" spans="2:9" hidden="1" x14ac:dyDescent="0.3">
      <c r="B193" s="172" t="s">
        <v>179</v>
      </c>
      <c r="C193" s="172" t="s">
        <v>81</v>
      </c>
      <c r="D193" s="172" t="s">
        <v>211</v>
      </c>
      <c r="E193" s="172">
        <v>9.3370938285529295E-4</v>
      </c>
      <c r="F193" s="172">
        <v>59</v>
      </c>
      <c r="G193" s="172">
        <v>21</v>
      </c>
      <c r="H193" s="172">
        <v>0</v>
      </c>
      <c r="I193" s="172">
        <v>21.5</v>
      </c>
    </row>
    <row r="194" spans="2:9" hidden="1" x14ac:dyDescent="0.3">
      <c r="B194" s="172" t="s">
        <v>179</v>
      </c>
      <c r="C194" s="172" t="s">
        <v>82</v>
      </c>
      <c r="D194" s="172" t="s">
        <v>210</v>
      </c>
      <c r="E194" s="172">
        <v>3.0819426723551201E-4</v>
      </c>
      <c r="F194" s="172">
        <v>6</v>
      </c>
      <c r="G194" s="172">
        <v>16.25</v>
      </c>
      <c r="H194" s="172">
        <v>15.3</v>
      </c>
      <c r="I194" s="172">
        <v>21.5</v>
      </c>
    </row>
    <row r="195" spans="2:9" hidden="1" x14ac:dyDescent="0.3">
      <c r="B195" s="172" t="s">
        <v>179</v>
      </c>
      <c r="C195" s="172" t="s">
        <v>82</v>
      </c>
      <c r="D195" s="172" t="s">
        <v>211</v>
      </c>
      <c r="E195" s="172">
        <v>1.03541996645061E-3</v>
      </c>
      <c r="F195" s="172">
        <v>21</v>
      </c>
      <c r="G195" s="172">
        <v>0</v>
      </c>
      <c r="H195" s="172">
        <v>15</v>
      </c>
      <c r="I195" s="172">
        <v>21.5</v>
      </c>
    </row>
    <row r="196" spans="2:9" hidden="1" x14ac:dyDescent="0.3">
      <c r="B196" s="172" t="s">
        <v>179</v>
      </c>
      <c r="C196" s="172" t="s">
        <v>202</v>
      </c>
      <c r="D196" s="172" t="s">
        <v>210</v>
      </c>
      <c r="E196" s="172">
        <v>4.5031807274036501E-5</v>
      </c>
      <c r="F196" s="172">
        <v>6</v>
      </c>
      <c r="G196" s="172">
        <v>16.25</v>
      </c>
      <c r="H196" s="172">
        <v>15.3</v>
      </c>
      <c r="I196" s="172">
        <v>21.5</v>
      </c>
    </row>
    <row r="197" spans="2:9" hidden="1" x14ac:dyDescent="0.3">
      <c r="B197" s="172" t="s">
        <v>179</v>
      </c>
      <c r="C197" s="172" t="s">
        <v>202</v>
      </c>
      <c r="D197" s="172" t="s">
        <v>211</v>
      </c>
      <c r="E197" s="172">
        <v>3.6463857889224001E-5</v>
      </c>
      <c r="F197" s="172">
        <v>59</v>
      </c>
      <c r="G197" s="172">
        <v>21</v>
      </c>
      <c r="H197" s="172">
        <v>0</v>
      </c>
      <c r="I197" s="172">
        <v>21.5</v>
      </c>
    </row>
    <row r="198" spans="2:9" hidden="1" x14ac:dyDescent="0.3">
      <c r="B198" s="172" t="s">
        <v>39</v>
      </c>
      <c r="C198" s="172" t="s">
        <v>79</v>
      </c>
      <c r="D198" s="172" t="s">
        <v>210</v>
      </c>
      <c r="E198" s="172">
        <v>8.3877218430680701E-4</v>
      </c>
      <c r="F198" s="172">
        <v>6</v>
      </c>
      <c r="G198" s="172">
        <v>16.25</v>
      </c>
      <c r="H198" s="172">
        <v>15.3</v>
      </c>
      <c r="I198" s="172">
        <v>18</v>
      </c>
    </row>
    <row r="199" spans="2:9" hidden="1" x14ac:dyDescent="0.3">
      <c r="B199" s="172" t="s">
        <v>39</v>
      </c>
      <c r="C199" s="172" t="s">
        <v>79</v>
      </c>
      <c r="D199" s="172" t="s">
        <v>211</v>
      </c>
      <c r="E199" s="172">
        <v>3.8950502675285802E-4</v>
      </c>
      <c r="F199" s="172">
        <v>21</v>
      </c>
      <c r="G199" s="172">
        <v>0</v>
      </c>
      <c r="H199" s="172">
        <v>15</v>
      </c>
      <c r="I199" s="172">
        <v>18</v>
      </c>
    </row>
    <row r="200" spans="2:9" x14ac:dyDescent="0.3">
      <c r="B200" s="172" t="s">
        <v>39</v>
      </c>
      <c r="C200" s="172" t="s">
        <v>80</v>
      </c>
      <c r="D200" s="172" t="s">
        <v>210</v>
      </c>
      <c r="E200" s="172">
        <v>7.4567754579220596E-4</v>
      </c>
      <c r="F200" s="172">
        <v>6</v>
      </c>
      <c r="G200" s="172">
        <v>16.25</v>
      </c>
      <c r="H200" s="172">
        <v>15.3</v>
      </c>
      <c r="I200" s="172">
        <v>18</v>
      </c>
    </row>
    <row r="201" spans="2:9" hidden="1" x14ac:dyDescent="0.3">
      <c r="B201" s="172" t="s">
        <v>39</v>
      </c>
      <c r="C201" s="172" t="s">
        <v>80</v>
      </c>
      <c r="D201" s="172" t="s">
        <v>211</v>
      </c>
      <c r="E201" s="172">
        <v>2.84974314163716E-4</v>
      </c>
      <c r="F201" s="172">
        <v>21</v>
      </c>
      <c r="G201" s="172">
        <v>0</v>
      </c>
      <c r="H201" s="172">
        <v>15</v>
      </c>
      <c r="I201" s="172">
        <v>18</v>
      </c>
    </row>
    <row r="202" spans="2:9" hidden="1" x14ac:dyDescent="0.3">
      <c r="B202" s="172" t="s">
        <v>39</v>
      </c>
      <c r="C202" s="172" t="s">
        <v>81</v>
      </c>
      <c r="D202" s="172" t="s">
        <v>210</v>
      </c>
      <c r="E202" s="172">
        <v>2.1239285168460001E-4</v>
      </c>
      <c r="F202" s="172">
        <v>6</v>
      </c>
      <c r="G202" s="172">
        <v>16.25</v>
      </c>
      <c r="H202" s="172">
        <v>15.3</v>
      </c>
      <c r="I202" s="172">
        <v>18</v>
      </c>
    </row>
    <row r="203" spans="2:9" hidden="1" x14ac:dyDescent="0.3">
      <c r="B203" s="172" t="s">
        <v>39</v>
      </c>
      <c r="C203" s="172" t="s">
        <v>81</v>
      </c>
      <c r="D203" s="172" t="s">
        <v>211</v>
      </c>
      <c r="E203" s="172">
        <v>9.6579348836180797E-4</v>
      </c>
      <c r="F203" s="172">
        <v>21</v>
      </c>
      <c r="G203" s="172">
        <v>0</v>
      </c>
      <c r="H203" s="172">
        <v>15</v>
      </c>
      <c r="I203" s="172">
        <v>18</v>
      </c>
    </row>
    <row r="204" spans="2:9" hidden="1" x14ac:dyDescent="0.3">
      <c r="B204" s="172" t="s">
        <v>39</v>
      </c>
      <c r="C204" s="172" t="s">
        <v>82</v>
      </c>
      <c r="D204" s="172" t="s">
        <v>210</v>
      </c>
      <c r="E204" s="172">
        <v>3.6181062941606002E-4</v>
      </c>
      <c r="F204" s="172">
        <v>6</v>
      </c>
      <c r="G204" s="172">
        <v>16.25</v>
      </c>
      <c r="H204" s="172">
        <v>15.3</v>
      </c>
      <c r="I204" s="172">
        <v>18</v>
      </c>
    </row>
    <row r="205" spans="2:9" hidden="1" x14ac:dyDescent="0.3">
      <c r="B205" s="172" t="s">
        <v>39</v>
      </c>
      <c r="C205" s="172" t="s">
        <v>82</v>
      </c>
      <c r="D205" s="172" t="s">
        <v>211</v>
      </c>
      <c r="E205" s="172">
        <v>1.13343669758234E-3</v>
      </c>
      <c r="F205" s="172">
        <v>21</v>
      </c>
      <c r="G205" s="172">
        <v>0</v>
      </c>
      <c r="H205" s="172">
        <v>15</v>
      </c>
      <c r="I205" s="172">
        <v>18</v>
      </c>
    </row>
    <row r="206" spans="2:9" hidden="1" x14ac:dyDescent="0.3">
      <c r="B206" s="172" t="s">
        <v>39</v>
      </c>
      <c r="C206" s="172" t="s">
        <v>202</v>
      </c>
      <c r="D206" s="172" t="s">
        <v>210</v>
      </c>
      <c r="E206" s="172">
        <v>3.6350412482959297E-5</v>
      </c>
      <c r="F206" s="172">
        <v>6</v>
      </c>
      <c r="G206" s="172">
        <v>16.25</v>
      </c>
      <c r="H206" s="172">
        <v>15.3</v>
      </c>
      <c r="I206" s="172">
        <v>18</v>
      </c>
    </row>
    <row r="207" spans="2:9" hidden="1" x14ac:dyDescent="0.3">
      <c r="B207" s="172" t="s">
        <v>39</v>
      </c>
      <c r="C207" s="172" t="s">
        <v>202</v>
      </c>
      <c r="D207" s="172" t="s">
        <v>211</v>
      </c>
      <c r="E207" s="172">
        <v>3.0084011752944601E-5</v>
      </c>
      <c r="F207" s="172">
        <v>59</v>
      </c>
      <c r="G207" s="172">
        <v>21</v>
      </c>
      <c r="H207" s="172">
        <v>0</v>
      </c>
      <c r="I207" s="172">
        <v>18</v>
      </c>
    </row>
    <row r="208" spans="2:9" hidden="1" x14ac:dyDescent="0.3">
      <c r="B208" s="172" t="s">
        <v>26</v>
      </c>
      <c r="C208" s="172" t="s">
        <v>79</v>
      </c>
      <c r="D208" s="172" t="s">
        <v>210</v>
      </c>
      <c r="E208" s="172">
        <v>9.0123156549779101E-4</v>
      </c>
      <c r="F208" s="172">
        <v>6</v>
      </c>
      <c r="G208" s="172">
        <v>16.25</v>
      </c>
      <c r="H208" s="172">
        <v>15.3</v>
      </c>
      <c r="I208" s="172">
        <v>14.5</v>
      </c>
    </row>
    <row r="209" spans="2:9" hidden="1" x14ac:dyDescent="0.3">
      <c r="B209" s="172" t="s">
        <v>26</v>
      </c>
      <c r="C209" s="172" t="s">
        <v>79</v>
      </c>
      <c r="D209" s="172" t="s">
        <v>211</v>
      </c>
      <c r="E209" s="172">
        <v>4.2944424808054598E-4</v>
      </c>
      <c r="F209" s="172">
        <v>18</v>
      </c>
      <c r="G209" s="172">
        <v>0</v>
      </c>
      <c r="H209" s="172">
        <v>0</v>
      </c>
      <c r="I209" s="172">
        <v>14.5</v>
      </c>
    </row>
    <row r="210" spans="2:9" x14ac:dyDescent="0.3">
      <c r="B210" s="172" t="s">
        <v>26</v>
      </c>
      <c r="C210" s="172" t="s">
        <v>80</v>
      </c>
      <c r="D210" s="172" t="s">
        <v>210</v>
      </c>
      <c r="E210" s="172">
        <v>8.0194007114043199E-4</v>
      </c>
      <c r="F210" s="172">
        <v>6</v>
      </c>
      <c r="G210" s="172">
        <v>16.25</v>
      </c>
      <c r="H210" s="172">
        <v>15.3</v>
      </c>
      <c r="I210" s="172">
        <v>14.5</v>
      </c>
    </row>
    <row r="211" spans="2:9" hidden="1" x14ac:dyDescent="0.3">
      <c r="B211" s="172" t="s">
        <v>26</v>
      </c>
      <c r="C211" s="172" t="s">
        <v>80</v>
      </c>
      <c r="D211" s="172" t="s">
        <v>211</v>
      </c>
      <c r="E211" s="172">
        <v>3.1644227973064398E-4</v>
      </c>
      <c r="F211" s="172">
        <v>21</v>
      </c>
      <c r="G211" s="172">
        <v>0</v>
      </c>
      <c r="H211" s="172">
        <v>15</v>
      </c>
      <c r="I211" s="172">
        <v>14.5</v>
      </c>
    </row>
    <row r="212" spans="2:9" hidden="1" x14ac:dyDescent="0.3">
      <c r="B212" s="172" t="s">
        <v>26</v>
      </c>
      <c r="C212" s="172" t="s">
        <v>81</v>
      </c>
      <c r="D212" s="172" t="s">
        <v>210</v>
      </c>
      <c r="E212" s="172">
        <v>2.5261163412453199E-4</v>
      </c>
      <c r="F212" s="172">
        <v>6</v>
      </c>
      <c r="G212" s="172">
        <v>16.25</v>
      </c>
      <c r="H212" s="172">
        <v>15.3</v>
      </c>
      <c r="I212" s="172">
        <v>14.5</v>
      </c>
    </row>
    <row r="213" spans="2:9" hidden="1" x14ac:dyDescent="0.3">
      <c r="B213" s="172" t="s">
        <v>26</v>
      </c>
      <c r="C213" s="172" t="s">
        <v>81</v>
      </c>
      <c r="D213" s="172" t="s">
        <v>211</v>
      </c>
      <c r="E213" s="172">
        <v>1.0324569463526401E-3</v>
      </c>
      <c r="F213" s="172">
        <v>21</v>
      </c>
      <c r="G213" s="172">
        <v>0</v>
      </c>
      <c r="H213" s="172">
        <v>15</v>
      </c>
      <c r="I213" s="172">
        <v>14.5</v>
      </c>
    </row>
    <row r="214" spans="2:9" hidden="1" x14ac:dyDescent="0.3">
      <c r="B214" s="172" t="s">
        <v>26</v>
      </c>
      <c r="C214" s="172" t="s">
        <v>82</v>
      </c>
      <c r="D214" s="172" t="s">
        <v>210</v>
      </c>
      <c r="E214" s="172">
        <v>4.1113467948006001E-4</v>
      </c>
      <c r="F214" s="172">
        <v>6</v>
      </c>
      <c r="G214" s="172">
        <v>16.25</v>
      </c>
      <c r="H214" s="172">
        <v>15.3</v>
      </c>
      <c r="I214" s="172">
        <v>14.5</v>
      </c>
    </row>
    <row r="215" spans="2:9" hidden="1" x14ac:dyDescent="0.3">
      <c r="B215" s="172" t="s">
        <v>26</v>
      </c>
      <c r="C215" s="172" t="s">
        <v>82</v>
      </c>
      <c r="D215" s="172" t="s">
        <v>211</v>
      </c>
      <c r="E215" s="172">
        <v>1.21272122690351E-3</v>
      </c>
      <c r="F215" s="172">
        <v>21</v>
      </c>
      <c r="G215" s="172">
        <v>0</v>
      </c>
      <c r="H215" s="172">
        <v>15</v>
      </c>
      <c r="I215" s="172">
        <v>14.5</v>
      </c>
    </row>
    <row r="216" spans="2:9" hidden="1" x14ac:dyDescent="0.3">
      <c r="B216" s="172" t="s">
        <v>26</v>
      </c>
      <c r="C216" s="172" t="s">
        <v>202</v>
      </c>
      <c r="D216" s="172" t="s">
        <v>210</v>
      </c>
      <c r="E216" s="172">
        <v>2.8041802582437698E-5</v>
      </c>
      <c r="F216" s="172">
        <v>6</v>
      </c>
      <c r="G216" s="172">
        <v>16.25</v>
      </c>
      <c r="H216" s="172">
        <v>15.3</v>
      </c>
      <c r="I216" s="172">
        <v>14.5</v>
      </c>
    </row>
    <row r="217" spans="2:9" hidden="1" x14ac:dyDescent="0.3">
      <c r="B217" s="172" t="s">
        <v>26</v>
      </c>
      <c r="C217" s="172" t="s">
        <v>202</v>
      </c>
      <c r="D217" s="172" t="s">
        <v>211</v>
      </c>
      <c r="E217" s="172">
        <v>2.7926578303162902E-5</v>
      </c>
      <c r="F217" s="172">
        <v>59</v>
      </c>
      <c r="G217" s="172">
        <v>21</v>
      </c>
      <c r="H217" s="172">
        <v>0</v>
      </c>
      <c r="I217" s="172">
        <v>14.5</v>
      </c>
    </row>
    <row r="218" spans="2:9" hidden="1" x14ac:dyDescent="0.3">
      <c r="B218" s="172" t="s">
        <v>25</v>
      </c>
      <c r="C218" s="172" t="s">
        <v>79</v>
      </c>
      <c r="D218" s="172" t="s">
        <v>210</v>
      </c>
      <c r="E218" s="172">
        <v>9.4873421815185402E-4</v>
      </c>
      <c r="F218" s="172">
        <v>6</v>
      </c>
      <c r="G218" s="172">
        <v>16.25</v>
      </c>
      <c r="H218" s="172">
        <v>15.3</v>
      </c>
      <c r="I218" s="172">
        <v>11</v>
      </c>
    </row>
    <row r="219" spans="2:9" hidden="1" x14ac:dyDescent="0.3">
      <c r="B219" s="172" t="s">
        <v>25</v>
      </c>
      <c r="C219" s="172" t="s">
        <v>79</v>
      </c>
      <c r="D219" s="172" t="s">
        <v>211</v>
      </c>
      <c r="E219" s="172">
        <v>4.5901470086891498E-4</v>
      </c>
      <c r="F219" s="172">
        <v>21</v>
      </c>
      <c r="G219" s="172">
        <v>0</v>
      </c>
      <c r="H219" s="172">
        <v>15</v>
      </c>
      <c r="I219" s="172">
        <v>11</v>
      </c>
    </row>
    <row r="220" spans="2:9" x14ac:dyDescent="0.3">
      <c r="B220" s="172" t="s">
        <v>25</v>
      </c>
      <c r="C220" s="172" t="s">
        <v>80</v>
      </c>
      <c r="D220" s="172" t="s">
        <v>210</v>
      </c>
      <c r="E220" s="172">
        <v>8.4532940391292505E-4</v>
      </c>
      <c r="F220" s="172">
        <v>6</v>
      </c>
      <c r="G220" s="172">
        <v>16.25</v>
      </c>
      <c r="H220" s="172">
        <v>15.3</v>
      </c>
      <c r="I220" s="172">
        <v>11</v>
      </c>
    </row>
    <row r="221" spans="2:9" hidden="1" x14ac:dyDescent="0.3">
      <c r="B221" s="172" t="s">
        <v>25</v>
      </c>
      <c r="C221" s="172" t="s">
        <v>80</v>
      </c>
      <c r="D221" s="172" t="s">
        <v>211</v>
      </c>
      <c r="E221" s="172">
        <v>3.39397430122098E-4</v>
      </c>
      <c r="F221" s="172">
        <v>21</v>
      </c>
      <c r="G221" s="172">
        <v>0</v>
      </c>
      <c r="H221" s="172">
        <v>15</v>
      </c>
      <c r="I221" s="172">
        <v>11</v>
      </c>
    </row>
    <row r="222" spans="2:9" hidden="1" x14ac:dyDescent="0.3">
      <c r="B222" s="172" t="s">
        <v>25</v>
      </c>
      <c r="C222" s="172" t="s">
        <v>81</v>
      </c>
      <c r="D222" s="172" t="s">
        <v>210</v>
      </c>
      <c r="E222" s="172">
        <v>2.9154880890503598E-4</v>
      </c>
      <c r="F222" s="172">
        <v>6</v>
      </c>
      <c r="G222" s="172">
        <v>16.25</v>
      </c>
      <c r="H222" s="172">
        <v>15.3</v>
      </c>
      <c r="I222" s="172">
        <v>11</v>
      </c>
    </row>
    <row r="223" spans="2:9" hidden="1" x14ac:dyDescent="0.3">
      <c r="B223" s="172" t="s">
        <v>25</v>
      </c>
      <c r="C223" s="172" t="s">
        <v>81</v>
      </c>
      <c r="D223" s="172" t="s">
        <v>211</v>
      </c>
      <c r="E223" s="172">
        <v>1.07802504992882E-3</v>
      </c>
      <c r="F223" s="172">
        <v>21</v>
      </c>
      <c r="G223" s="172">
        <v>0</v>
      </c>
      <c r="H223" s="172">
        <v>15</v>
      </c>
      <c r="I223" s="172">
        <v>11</v>
      </c>
    </row>
    <row r="224" spans="2:9" hidden="1" x14ac:dyDescent="0.3">
      <c r="B224" s="172" t="s">
        <v>25</v>
      </c>
      <c r="C224" s="172" t="s">
        <v>82</v>
      </c>
      <c r="D224" s="172" t="s">
        <v>210</v>
      </c>
      <c r="E224" s="172">
        <v>4.56240737646569E-4</v>
      </c>
      <c r="F224" s="172">
        <v>6</v>
      </c>
      <c r="G224" s="172">
        <v>16.25</v>
      </c>
      <c r="H224" s="172">
        <v>15.3</v>
      </c>
      <c r="I224" s="172">
        <v>11</v>
      </c>
    </row>
    <row r="225" spans="2:9" hidden="1" x14ac:dyDescent="0.3">
      <c r="B225" s="172" t="s">
        <v>25</v>
      </c>
      <c r="C225" s="172" t="s">
        <v>82</v>
      </c>
      <c r="D225" s="172" t="s">
        <v>211</v>
      </c>
      <c r="E225" s="172">
        <v>1.2684161025151199E-3</v>
      </c>
      <c r="F225" s="172">
        <v>21</v>
      </c>
      <c r="G225" s="172">
        <v>0</v>
      </c>
      <c r="H225" s="172">
        <v>15</v>
      </c>
      <c r="I225" s="172">
        <v>11</v>
      </c>
    </row>
    <row r="226" spans="2:9" hidden="1" x14ac:dyDescent="0.3">
      <c r="B226" s="172" t="s">
        <v>25</v>
      </c>
      <c r="C226" s="172" t="s">
        <v>202</v>
      </c>
      <c r="D226" s="172" t="s">
        <v>210</v>
      </c>
      <c r="E226" s="172">
        <v>1.5322145952216899E-5</v>
      </c>
      <c r="F226" s="172">
        <v>6</v>
      </c>
      <c r="G226" s="172">
        <v>16.25</v>
      </c>
      <c r="H226" s="172">
        <v>15.3</v>
      </c>
      <c r="I226" s="172">
        <v>11</v>
      </c>
    </row>
    <row r="227" spans="2:9" hidden="1" x14ac:dyDescent="0.3">
      <c r="B227" s="172" t="s">
        <v>25</v>
      </c>
      <c r="C227" s="172" t="s">
        <v>202</v>
      </c>
      <c r="D227" s="172" t="s">
        <v>211</v>
      </c>
      <c r="E227" s="172">
        <v>2.0539545630027699E-5</v>
      </c>
      <c r="F227" s="172">
        <v>59</v>
      </c>
      <c r="G227" s="172">
        <v>21</v>
      </c>
      <c r="H227" s="172">
        <v>0</v>
      </c>
      <c r="I227" s="172">
        <v>11</v>
      </c>
    </row>
    <row r="228" spans="2:9" hidden="1" x14ac:dyDescent="0.3">
      <c r="B228" s="172" t="s">
        <v>24</v>
      </c>
      <c r="C228" s="172" t="s">
        <v>79</v>
      </c>
      <c r="D228" s="172" t="s">
        <v>210</v>
      </c>
      <c r="E228" s="172">
        <v>9.7242484278345202E-4</v>
      </c>
      <c r="F228" s="172">
        <v>6</v>
      </c>
      <c r="G228" s="172">
        <v>16.25</v>
      </c>
      <c r="H228" s="172">
        <v>15.3</v>
      </c>
      <c r="I228" s="172">
        <v>7.5</v>
      </c>
    </row>
    <row r="229" spans="2:9" hidden="1" x14ac:dyDescent="0.3">
      <c r="B229" s="172" t="s">
        <v>24</v>
      </c>
      <c r="C229" s="172" t="s">
        <v>79</v>
      </c>
      <c r="D229" s="172" t="s">
        <v>211</v>
      </c>
      <c r="E229" s="172">
        <v>4.7514647006047001E-4</v>
      </c>
      <c r="F229" s="172">
        <v>21</v>
      </c>
      <c r="G229" s="172">
        <v>0</v>
      </c>
      <c r="H229" s="172">
        <v>15</v>
      </c>
      <c r="I229" s="172">
        <v>7.5</v>
      </c>
    </row>
    <row r="230" spans="2:9" x14ac:dyDescent="0.3">
      <c r="B230" s="172" t="s">
        <v>24</v>
      </c>
      <c r="C230" s="172" t="s">
        <v>80</v>
      </c>
      <c r="D230" s="172" t="s">
        <v>210</v>
      </c>
      <c r="E230" s="172">
        <v>8.6836155500499498E-4</v>
      </c>
      <c r="F230" s="172">
        <v>6</v>
      </c>
      <c r="G230" s="172">
        <v>16.25</v>
      </c>
      <c r="H230" s="172">
        <v>15.3</v>
      </c>
      <c r="I230" s="172">
        <v>7.5</v>
      </c>
    </row>
    <row r="231" spans="2:9" hidden="1" x14ac:dyDescent="0.3">
      <c r="B231" s="172" t="s">
        <v>24</v>
      </c>
      <c r="C231" s="172" t="s">
        <v>80</v>
      </c>
      <c r="D231" s="172" t="s">
        <v>211</v>
      </c>
      <c r="E231" s="172">
        <v>3.5230894330714899E-4</v>
      </c>
      <c r="F231" s="172">
        <v>21</v>
      </c>
      <c r="G231" s="172">
        <v>0</v>
      </c>
      <c r="H231" s="172">
        <v>15</v>
      </c>
      <c r="I231" s="172">
        <v>7.5</v>
      </c>
    </row>
    <row r="232" spans="2:9" hidden="1" x14ac:dyDescent="0.3">
      <c r="B232" s="172" t="s">
        <v>24</v>
      </c>
      <c r="C232" s="172" t="s">
        <v>81</v>
      </c>
      <c r="D232" s="172" t="s">
        <v>210</v>
      </c>
      <c r="E232" s="172">
        <v>3.2813458491321698E-4</v>
      </c>
      <c r="F232" s="172">
        <v>6</v>
      </c>
      <c r="G232" s="172">
        <v>16.25</v>
      </c>
      <c r="H232" s="172">
        <v>15.3</v>
      </c>
      <c r="I232" s="172">
        <v>7.5</v>
      </c>
    </row>
    <row r="233" spans="2:9" hidden="1" x14ac:dyDescent="0.3">
      <c r="B233" s="172" t="s">
        <v>24</v>
      </c>
      <c r="C233" s="172" t="s">
        <v>81</v>
      </c>
      <c r="D233" s="172" t="s">
        <v>211</v>
      </c>
      <c r="E233" s="172">
        <v>1.0908509515667E-3</v>
      </c>
      <c r="F233" s="172">
        <v>21</v>
      </c>
      <c r="G233" s="172">
        <v>0</v>
      </c>
      <c r="H233" s="172">
        <v>15</v>
      </c>
      <c r="I233" s="172">
        <v>7.5</v>
      </c>
    </row>
    <row r="234" spans="2:9" hidden="1" x14ac:dyDescent="0.3">
      <c r="B234" s="172" t="s">
        <v>24</v>
      </c>
      <c r="C234" s="172" t="s">
        <v>82</v>
      </c>
      <c r="D234" s="172" t="s">
        <v>210</v>
      </c>
      <c r="E234" s="172">
        <v>4.9379635628819503E-4</v>
      </c>
      <c r="F234" s="172">
        <v>6</v>
      </c>
      <c r="G234" s="172">
        <v>16.25</v>
      </c>
      <c r="H234" s="172">
        <v>15.3</v>
      </c>
      <c r="I234" s="172">
        <v>7.5</v>
      </c>
    </row>
    <row r="235" spans="2:9" s="172" customFormat="1" hidden="1" x14ac:dyDescent="0.3">
      <c r="B235" s="172" t="s">
        <v>24</v>
      </c>
      <c r="C235" s="172" t="s">
        <v>82</v>
      </c>
      <c r="D235" s="172" t="s">
        <v>211</v>
      </c>
      <c r="E235" s="172">
        <v>1.28632641672883E-3</v>
      </c>
      <c r="F235" s="172">
        <v>21</v>
      </c>
      <c r="G235" s="172">
        <v>0</v>
      </c>
      <c r="H235" s="172">
        <v>15</v>
      </c>
      <c r="I235" s="172">
        <v>7.5</v>
      </c>
    </row>
    <row r="236" spans="2:9" hidden="1" x14ac:dyDescent="0.3">
      <c r="B236" s="172" t="s">
        <v>24</v>
      </c>
      <c r="C236" s="172" t="s">
        <v>202</v>
      </c>
      <c r="D236" s="172" t="s">
        <v>210</v>
      </c>
      <c r="E236" s="172">
        <v>1.6471423351094698E-5</v>
      </c>
      <c r="F236" s="172">
        <v>59</v>
      </c>
      <c r="G236" s="172">
        <v>21</v>
      </c>
      <c r="H236" s="172">
        <v>0</v>
      </c>
      <c r="I236" s="172">
        <v>7.5</v>
      </c>
    </row>
    <row r="237" spans="2:9" hidden="1" x14ac:dyDescent="0.3">
      <c r="B237" s="172" t="s">
        <v>24</v>
      </c>
      <c r="C237" s="172" t="s">
        <v>202</v>
      </c>
      <c r="D237" s="172" t="s">
        <v>211</v>
      </c>
      <c r="E237" s="172">
        <v>1.04751024261304E-5</v>
      </c>
      <c r="F237" s="172">
        <v>59</v>
      </c>
      <c r="G237" s="172">
        <v>21</v>
      </c>
      <c r="H237" s="172">
        <v>0</v>
      </c>
      <c r="I237" s="172">
        <v>7.5</v>
      </c>
    </row>
    <row r="238" spans="2:9" s="172" customFormat="1" hidden="1" x14ac:dyDescent="0.3">
      <c r="B238" s="172" t="s">
        <v>22</v>
      </c>
      <c r="C238" s="172" t="s">
        <v>79</v>
      </c>
      <c r="D238" s="172" t="s">
        <v>210</v>
      </c>
      <c r="E238" s="172">
        <v>8.2170523625523602E-4</v>
      </c>
      <c r="F238" s="172">
        <v>33</v>
      </c>
      <c r="G238" s="172">
        <v>16</v>
      </c>
      <c r="H238" s="172">
        <v>15</v>
      </c>
      <c r="I238" s="172">
        <v>4</v>
      </c>
    </row>
    <row r="239" spans="2:9" hidden="1" x14ac:dyDescent="0.3">
      <c r="B239" s="172" t="s">
        <v>22</v>
      </c>
      <c r="C239" s="172" t="s">
        <v>79</v>
      </c>
      <c r="D239" s="172" t="s">
        <v>211</v>
      </c>
      <c r="E239" s="172">
        <v>3.7420605264628298E-4</v>
      </c>
      <c r="F239" s="172">
        <v>21</v>
      </c>
      <c r="G239" s="172">
        <v>0</v>
      </c>
      <c r="H239" s="172">
        <v>15</v>
      </c>
      <c r="I239" s="172">
        <v>4</v>
      </c>
    </row>
    <row r="240" spans="2:9" x14ac:dyDescent="0.3">
      <c r="B240" s="172" t="s">
        <v>22</v>
      </c>
      <c r="C240" s="172" t="s">
        <v>80</v>
      </c>
      <c r="D240" s="172" t="s">
        <v>210</v>
      </c>
      <c r="E240" s="172">
        <v>7.4177872723460198E-4</v>
      </c>
      <c r="F240" s="172">
        <v>33</v>
      </c>
      <c r="G240" s="172">
        <v>16</v>
      </c>
      <c r="H240" s="172">
        <v>15</v>
      </c>
      <c r="I240" s="172">
        <v>4</v>
      </c>
    </row>
    <row r="241" spans="2:9" s="172" customFormat="1" hidden="1" x14ac:dyDescent="0.3">
      <c r="B241" s="172" t="s">
        <v>22</v>
      </c>
      <c r="C241" s="172" t="s">
        <v>80</v>
      </c>
      <c r="D241" s="172" t="s">
        <v>211</v>
      </c>
      <c r="E241" s="172">
        <v>2.7187161361282399E-4</v>
      </c>
      <c r="F241" s="172">
        <v>21</v>
      </c>
      <c r="G241" s="172">
        <v>0</v>
      </c>
      <c r="H241" s="172">
        <v>15</v>
      </c>
      <c r="I241" s="172">
        <v>4</v>
      </c>
    </row>
    <row r="242" spans="2:9" hidden="1" x14ac:dyDescent="0.3">
      <c r="B242" s="172" t="s">
        <v>22</v>
      </c>
      <c r="C242" s="172" t="s">
        <v>81</v>
      </c>
      <c r="D242" s="172" t="s">
        <v>210</v>
      </c>
      <c r="E242" s="172">
        <v>3.04200277529274E-4</v>
      </c>
      <c r="F242" s="172">
        <v>33</v>
      </c>
      <c r="G242" s="172">
        <v>16</v>
      </c>
      <c r="H242" s="172">
        <v>15</v>
      </c>
      <c r="I242" s="172">
        <v>4</v>
      </c>
    </row>
    <row r="243" spans="2:9" hidden="1" x14ac:dyDescent="0.3">
      <c r="B243" s="172" t="s">
        <v>22</v>
      </c>
      <c r="C243" s="172" t="s">
        <v>81</v>
      </c>
      <c r="D243" s="172" t="s">
        <v>211</v>
      </c>
      <c r="E243" s="172">
        <v>8.6942316512057197E-4</v>
      </c>
      <c r="F243" s="172">
        <v>21</v>
      </c>
      <c r="G243" s="172">
        <v>0</v>
      </c>
      <c r="H243" s="172">
        <v>15</v>
      </c>
      <c r="I243" s="172">
        <v>4</v>
      </c>
    </row>
    <row r="244" spans="2:9" s="172" customFormat="1" hidden="1" x14ac:dyDescent="0.3">
      <c r="B244" s="172" t="s">
        <v>22</v>
      </c>
      <c r="C244" s="172" t="s">
        <v>82</v>
      </c>
      <c r="D244" s="172" t="s">
        <v>210</v>
      </c>
      <c r="E244" s="172">
        <v>4.3139146629680698E-4</v>
      </c>
      <c r="F244" s="172">
        <v>33</v>
      </c>
      <c r="G244" s="172">
        <v>16</v>
      </c>
      <c r="H244" s="172">
        <v>15</v>
      </c>
      <c r="I244" s="172">
        <v>4</v>
      </c>
    </row>
    <row r="245" spans="2:9" hidden="1" x14ac:dyDescent="0.3">
      <c r="B245" s="172" t="s">
        <v>22</v>
      </c>
      <c r="C245" s="172" t="s">
        <v>82</v>
      </c>
      <c r="D245" s="172" t="s">
        <v>211</v>
      </c>
      <c r="E245" s="172">
        <v>1.03226049534625E-3</v>
      </c>
      <c r="F245" s="172">
        <v>21</v>
      </c>
      <c r="G245" s="172">
        <v>0</v>
      </c>
      <c r="H245" s="172">
        <v>15</v>
      </c>
      <c r="I245" s="172">
        <v>4</v>
      </c>
    </row>
    <row r="246" spans="2:9" hidden="1" x14ac:dyDescent="0.3">
      <c r="B246" s="172" t="s">
        <v>22</v>
      </c>
      <c r="C246" s="172" t="s">
        <v>202</v>
      </c>
      <c r="D246" s="172" t="s">
        <v>210</v>
      </c>
      <c r="E246" s="172">
        <v>4.2533018344772303E-5</v>
      </c>
      <c r="F246" s="172">
        <v>59</v>
      </c>
      <c r="G246" s="172">
        <v>21</v>
      </c>
      <c r="H246" s="172">
        <v>0</v>
      </c>
      <c r="I246" s="172">
        <v>4</v>
      </c>
    </row>
    <row r="247" spans="2:9" s="172" customFormat="1" hidden="1" x14ac:dyDescent="0.3">
      <c r="B247" s="172" t="s">
        <v>22</v>
      </c>
      <c r="C247" s="172" t="s">
        <v>202</v>
      </c>
      <c r="D247" s="172" t="s">
        <v>211</v>
      </c>
      <c r="E247" s="172">
        <v>1.59758098039308E-5</v>
      </c>
      <c r="F247" s="172">
        <v>21</v>
      </c>
      <c r="G247" s="172">
        <v>0</v>
      </c>
      <c r="H247" s="172">
        <v>15</v>
      </c>
      <c r="I247" s="172">
        <v>4</v>
      </c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s="172" customFormat="1" hidden="1" x14ac:dyDescent="0.3"/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207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208</v>
      </c>
      <c r="F267" s="169" t="s">
        <v>209</v>
      </c>
      <c r="G267" s="169" t="s">
        <v>210</v>
      </c>
      <c r="H267" s="169" t="s">
        <v>211</v>
      </c>
      <c r="I267" s="170" t="s">
        <v>212</v>
      </c>
    </row>
    <row r="268" spans="2:9" x14ac:dyDescent="0.3">
      <c r="B268" s="191"/>
      <c r="C268" s="191"/>
      <c r="D268" s="191"/>
      <c r="E268" s="191"/>
      <c r="F268" s="191"/>
      <c r="G268" s="191" t="s">
        <v>7</v>
      </c>
      <c r="H268" s="191" t="s">
        <v>7</v>
      </c>
      <c r="I268" s="192" t="s">
        <v>7</v>
      </c>
    </row>
    <row r="269" spans="2:9" s="172" customFormat="1" x14ac:dyDescent="0.3">
      <c r="B269" s="27" t="s">
        <v>213</v>
      </c>
      <c r="C269" s="27" t="s">
        <v>214</v>
      </c>
      <c r="D269" s="27" t="s">
        <v>215</v>
      </c>
      <c r="E269" s="27" t="s">
        <v>216</v>
      </c>
      <c r="F269" s="27" t="s">
        <v>217</v>
      </c>
      <c r="G269" s="27" t="s">
        <v>218</v>
      </c>
      <c r="H269" s="27" t="s">
        <v>219</v>
      </c>
      <c r="I269" s="27" t="s">
        <v>220</v>
      </c>
    </row>
    <row r="270" spans="2:9" hidden="1" x14ac:dyDescent="0.3">
      <c r="B270" s="172" t="s">
        <v>189</v>
      </c>
      <c r="C270" s="172" t="s">
        <v>79</v>
      </c>
      <c r="D270" s="172" t="s">
        <v>210</v>
      </c>
      <c r="E270" s="172">
        <v>3.2035881177986899E-4</v>
      </c>
      <c r="F270" s="172">
        <v>30</v>
      </c>
      <c r="G270" s="172">
        <v>16</v>
      </c>
      <c r="H270" s="172">
        <v>0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211</v>
      </c>
      <c r="E271" s="172">
        <v>1.8803326867947401E-4</v>
      </c>
      <c r="F271" s="172">
        <v>79</v>
      </c>
      <c r="G271" s="172">
        <v>21</v>
      </c>
      <c r="H271" s="172">
        <v>4</v>
      </c>
      <c r="I271" s="172">
        <v>38.5</v>
      </c>
    </row>
    <row r="272" spans="2:9" s="172" customFormat="1" hidden="1" x14ac:dyDescent="0.3">
      <c r="B272" s="172" t="s">
        <v>189</v>
      </c>
      <c r="C272" s="172" t="s">
        <v>80</v>
      </c>
      <c r="D272" s="172" t="s">
        <v>210</v>
      </c>
      <c r="E272" s="172">
        <v>3.3839945795123598E-4</v>
      </c>
      <c r="F272" s="172">
        <v>30</v>
      </c>
      <c r="G272" s="172">
        <v>16</v>
      </c>
      <c r="H272" s="172">
        <v>0</v>
      </c>
      <c r="I272" s="172">
        <v>38.5</v>
      </c>
    </row>
    <row r="273" spans="2:9" hidden="1" x14ac:dyDescent="0.3">
      <c r="B273" s="172" t="s">
        <v>189</v>
      </c>
      <c r="C273" s="172" t="s">
        <v>80</v>
      </c>
      <c r="D273" s="172" t="s">
        <v>211</v>
      </c>
      <c r="E273" s="172">
        <v>2.3562443900947499E-4</v>
      </c>
      <c r="F273" s="172">
        <v>59</v>
      </c>
      <c r="G273" s="172">
        <v>21</v>
      </c>
      <c r="H273" s="172">
        <v>0</v>
      </c>
      <c r="I273" s="172">
        <v>38.5</v>
      </c>
    </row>
    <row r="274" spans="2:9" s="172" customFormat="1" hidden="1" x14ac:dyDescent="0.3">
      <c r="B274" s="172" t="s">
        <v>189</v>
      </c>
      <c r="C274" s="172" t="s">
        <v>81</v>
      </c>
      <c r="D274" s="172" t="s">
        <v>210</v>
      </c>
      <c r="E274" s="172">
        <v>1.56141830630461E-4</v>
      </c>
      <c r="F274" s="172">
        <v>30</v>
      </c>
      <c r="G274" s="172">
        <v>16</v>
      </c>
      <c r="H274" s="172">
        <v>0</v>
      </c>
      <c r="I274" s="172">
        <v>38.5</v>
      </c>
    </row>
    <row r="275" spans="2:9" x14ac:dyDescent="0.3">
      <c r="B275" s="172" t="s">
        <v>189</v>
      </c>
      <c r="C275" s="172" t="s">
        <v>81</v>
      </c>
      <c r="D275" s="172" t="s">
        <v>211</v>
      </c>
      <c r="E275" s="172">
        <v>6.2502286922491105E-4</v>
      </c>
      <c r="F275" s="172">
        <v>59</v>
      </c>
      <c r="G275" s="172">
        <v>21</v>
      </c>
      <c r="H275" s="172">
        <v>0</v>
      </c>
      <c r="I275" s="172">
        <v>38.5</v>
      </c>
    </row>
    <row r="276" spans="2:9" hidden="1" x14ac:dyDescent="0.3">
      <c r="B276" s="172" t="s">
        <v>189</v>
      </c>
      <c r="C276" s="172" t="s">
        <v>82</v>
      </c>
      <c r="D276" s="172" t="s">
        <v>210</v>
      </c>
      <c r="E276" s="172">
        <v>1.24326653328185E-4</v>
      </c>
      <c r="F276" s="172">
        <v>30</v>
      </c>
      <c r="G276" s="172">
        <v>16</v>
      </c>
      <c r="H276" s="172">
        <v>0</v>
      </c>
      <c r="I276" s="172">
        <v>38.5</v>
      </c>
    </row>
    <row r="277" spans="2:9" s="172" customFormat="1" hidden="1" x14ac:dyDescent="0.3">
      <c r="B277" s="172" t="s">
        <v>189</v>
      </c>
      <c r="C277" s="172" t="s">
        <v>82</v>
      </c>
      <c r="D277" s="172" t="s">
        <v>211</v>
      </c>
      <c r="E277" s="172">
        <v>5.43909134476706E-4</v>
      </c>
      <c r="F277" s="172">
        <v>59</v>
      </c>
      <c r="G277" s="172">
        <v>21</v>
      </c>
      <c r="H277" s="172">
        <v>0</v>
      </c>
      <c r="I277" s="172">
        <v>38.5</v>
      </c>
    </row>
    <row r="278" spans="2:9" hidden="1" x14ac:dyDescent="0.3">
      <c r="B278" s="172" t="s">
        <v>189</v>
      </c>
      <c r="C278" s="172" t="s">
        <v>202</v>
      </c>
      <c r="D278" s="172" t="s">
        <v>210</v>
      </c>
      <c r="E278" s="172">
        <v>1.9868820833504201E-4</v>
      </c>
      <c r="F278" s="172">
        <v>30</v>
      </c>
      <c r="G278" s="172">
        <v>16</v>
      </c>
      <c r="H278" s="172">
        <v>0</v>
      </c>
      <c r="I278" s="172">
        <v>38.5</v>
      </c>
    </row>
    <row r="279" spans="2:9" s="172" customFormat="1" hidden="1" x14ac:dyDescent="0.3">
      <c r="B279" s="172" t="s">
        <v>189</v>
      </c>
      <c r="C279" s="172" t="s">
        <v>202</v>
      </c>
      <c r="D279" s="172" t="s">
        <v>211</v>
      </c>
      <c r="E279" s="172">
        <v>2.2287991173258401E-4</v>
      </c>
      <c r="F279" s="172">
        <v>30</v>
      </c>
      <c r="G279" s="172">
        <v>16</v>
      </c>
      <c r="H279" s="172">
        <v>0</v>
      </c>
      <c r="I279" s="172">
        <v>38.5</v>
      </c>
    </row>
    <row r="280" spans="2:9" hidden="1" x14ac:dyDescent="0.3">
      <c r="B280" s="172" t="s">
        <v>187</v>
      </c>
      <c r="C280" s="172" t="s">
        <v>79</v>
      </c>
      <c r="D280" s="172" t="s">
        <v>210</v>
      </c>
      <c r="E280" s="172">
        <v>2.8931633828743698E-4</v>
      </c>
      <c r="F280" s="172">
        <v>59</v>
      </c>
      <c r="G280" s="172">
        <v>21</v>
      </c>
      <c r="H280" s="172">
        <v>0</v>
      </c>
      <c r="I280" s="172">
        <v>35.5</v>
      </c>
    </row>
    <row r="281" spans="2:9" hidden="1" x14ac:dyDescent="0.3">
      <c r="B281" s="172" t="s">
        <v>187</v>
      </c>
      <c r="C281" s="172" t="s">
        <v>79</v>
      </c>
      <c r="D281" s="172" t="s">
        <v>211</v>
      </c>
      <c r="E281" s="172">
        <v>1.63050073177384E-4</v>
      </c>
      <c r="F281" s="172">
        <v>59</v>
      </c>
      <c r="G281" s="172">
        <v>21</v>
      </c>
      <c r="H281" s="172">
        <v>0</v>
      </c>
      <c r="I281" s="172">
        <v>35.5</v>
      </c>
    </row>
    <row r="282" spans="2:9" hidden="1" x14ac:dyDescent="0.3">
      <c r="B282" s="172" t="s">
        <v>187</v>
      </c>
      <c r="C282" s="172" t="s">
        <v>80</v>
      </c>
      <c r="D282" s="172" t="s">
        <v>210</v>
      </c>
      <c r="E282" s="172">
        <v>3.1528434873341301E-4</v>
      </c>
      <c r="F282" s="172">
        <v>59</v>
      </c>
      <c r="G282" s="172">
        <v>21</v>
      </c>
      <c r="H282" s="172">
        <v>0</v>
      </c>
      <c r="I282" s="172">
        <v>35.5</v>
      </c>
    </row>
    <row r="283" spans="2:9" hidden="1" x14ac:dyDescent="0.3">
      <c r="B283" s="172" t="s">
        <v>187</v>
      </c>
      <c r="C283" s="172" t="s">
        <v>80</v>
      </c>
      <c r="D283" s="172" t="s">
        <v>211</v>
      </c>
      <c r="E283" s="172">
        <v>2.13658433308555E-4</v>
      </c>
      <c r="F283" s="172">
        <v>59</v>
      </c>
      <c r="G283" s="172">
        <v>21</v>
      </c>
      <c r="H283" s="172">
        <v>0</v>
      </c>
      <c r="I283" s="172">
        <v>35.5</v>
      </c>
    </row>
    <row r="284" spans="2:9" hidden="1" x14ac:dyDescent="0.3">
      <c r="B284" s="172" t="s">
        <v>187</v>
      </c>
      <c r="C284" s="172" t="s">
        <v>81</v>
      </c>
      <c r="D284" s="172" t="s">
        <v>210</v>
      </c>
      <c r="E284" s="172">
        <v>1.63727089892441E-4</v>
      </c>
      <c r="F284" s="172">
        <v>59</v>
      </c>
      <c r="G284" s="172">
        <v>21</v>
      </c>
      <c r="H284" s="172">
        <v>0</v>
      </c>
      <c r="I284" s="172">
        <v>35.5</v>
      </c>
    </row>
    <row r="285" spans="2:9" x14ac:dyDescent="0.3">
      <c r="B285" s="172" t="s">
        <v>187</v>
      </c>
      <c r="C285" s="172" t="s">
        <v>81</v>
      </c>
      <c r="D285" s="172" t="s">
        <v>211</v>
      </c>
      <c r="E285" s="172">
        <v>6.0020387498859904E-4</v>
      </c>
      <c r="F285" s="172">
        <v>59</v>
      </c>
      <c r="G285" s="172">
        <v>21</v>
      </c>
      <c r="H285" s="172">
        <v>0</v>
      </c>
      <c r="I285" s="172">
        <v>35.5</v>
      </c>
    </row>
    <row r="286" spans="2:9" hidden="1" x14ac:dyDescent="0.3">
      <c r="B286" s="172" t="s">
        <v>187</v>
      </c>
      <c r="C286" s="172" t="s">
        <v>82</v>
      </c>
      <c r="D286" s="172" t="s">
        <v>210</v>
      </c>
      <c r="E286" s="172">
        <v>1.20348390088616E-4</v>
      </c>
      <c r="F286" s="172">
        <v>59</v>
      </c>
      <c r="G286" s="172">
        <v>21</v>
      </c>
      <c r="H286" s="172">
        <v>0</v>
      </c>
      <c r="I286" s="172">
        <v>35.5</v>
      </c>
    </row>
    <row r="287" spans="2:9" hidden="1" x14ac:dyDescent="0.3">
      <c r="B287" s="172" t="s">
        <v>187</v>
      </c>
      <c r="C287" s="172" t="s">
        <v>82</v>
      </c>
      <c r="D287" s="172" t="s">
        <v>211</v>
      </c>
      <c r="E287" s="172">
        <v>5.1582442218006599E-4</v>
      </c>
      <c r="F287" s="172">
        <v>59</v>
      </c>
      <c r="G287" s="172">
        <v>21</v>
      </c>
      <c r="H287" s="172">
        <v>0</v>
      </c>
      <c r="I287" s="172">
        <v>35.5</v>
      </c>
    </row>
    <row r="288" spans="2:9" hidden="1" x14ac:dyDescent="0.3">
      <c r="B288" s="172" t="s">
        <v>187</v>
      </c>
      <c r="C288" s="172" t="s">
        <v>202</v>
      </c>
      <c r="D288" s="172" t="s">
        <v>210</v>
      </c>
      <c r="E288" s="172">
        <v>5.5932627734241899E-5</v>
      </c>
      <c r="F288" s="172">
        <v>6</v>
      </c>
      <c r="G288" s="172">
        <v>16.25</v>
      </c>
      <c r="H288" s="172">
        <v>15.3</v>
      </c>
      <c r="I288" s="172">
        <v>35.5</v>
      </c>
    </row>
    <row r="289" spans="2:9" hidden="1" x14ac:dyDescent="0.3">
      <c r="B289" s="172" t="s">
        <v>187</v>
      </c>
      <c r="C289" s="172" t="s">
        <v>202</v>
      </c>
      <c r="D289" s="172" t="s">
        <v>211</v>
      </c>
      <c r="E289" s="172">
        <v>4.8806107665855703E-5</v>
      </c>
      <c r="F289" s="172">
        <v>59</v>
      </c>
      <c r="G289" s="172">
        <v>21</v>
      </c>
      <c r="H289" s="172">
        <v>0</v>
      </c>
      <c r="I289" s="172">
        <v>35.5</v>
      </c>
    </row>
    <row r="290" spans="2:9" hidden="1" x14ac:dyDescent="0.3">
      <c r="B290" s="172" t="s">
        <v>185</v>
      </c>
      <c r="C290" s="172" t="s">
        <v>79</v>
      </c>
      <c r="D290" s="172" t="s">
        <v>210</v>
      </c>
      <c r="E290" s="172">
        <v>3.95079118517071E-4</v>
      </c>
      <c r="F290" s="172">
        <v>6</v>
      </c>
      <c r="G290" s="172">
        <v>16.25</v>
      </c>
      <c r="H290" s="172">
        <v>15.3</v>
      </c>
      <c r="I290" s="172">
        <v>32</v>
      </c>
    </row>
    <row r="291" spans="2:9" hidden="1" x14ac:dyDescent="0.3">
      <c r="B291" s="172" t="s">
        <v>185</v>
      </c>
      <c r="C291" s="172" t="s">
        <v>79</v>
      </c>
      <c r="D291" s="172" t="s">
        <v>211</v>
      </c>
      <c r="E291" s="172">
        <v>1.6734692621633799E-4</v>
      </c>
      <c r="F291" s="172">
        <v>21</v>
      </c>
      <c r="G291" s="172">
        <v>0</v>
      </c>
      <c r="H291" s="172">
        <v>15</v>
      </c>
      <c r="I291" s="172">
        <v>32</v>
      </c>
    </row>
    <row r="292" spans="2:9" hidden="1" x14ac:dyDescent="0.3">
      <c r="B292" s="172" t="s">
        <v>185</v>
      </c>
      <c r="C292" s="172" t="s">
        <v>80</v>
      </c>
      <c r="D292" s="172" t="s">
        <v>210</v>
      </c>
      <c r="E292" s="172">
        <v>4.28226960199382E-4</v>
      </c>
      <c r="F292" s="172">
        <v>59</v>
      </c>
      <c r="G292" s="172">
        <v>21</v>
      </c>
      <c r="H292" s="172">
        <v>0</v>
      </c>
      <c r="I292" s="172">
        <v>32</v>
      </c>
    </row>
    <row r="293" spans="2:9" hidden="1" x14ac:dyDescent="0.3">
      <c r="B293" s="172" t="s">
        <v>185</v>
      </c>
      <c r="C293" s="172" t="s">
        <v>80</v>
      </c>
      <c r="D293" s="172" t="s">
        <v>211</v>
      </c>
      <c r="E293" s="172">
        <v>2.30457805277763E-4</v>
      </c>
      <c r="F293" s="172">
        <v>59</v>
      </c>
      <c r="G293" s="172">
        <v>21</v>
      </c>
      <c r="H293" s="172">
        <v>0</v>
      </c>
      <c r="I293" s="172">
        <v>32</v>
      </c>
    </row>
    <row r="294" spans="2:9" hidden="1" x14ac:dyDescent="0.3">
      <c r="B294" s="172" t="s">
        <v>185</v>
      </c>
      <c r="C294" s="172" t="s">
        <v>81</v>
      </c>
      <c r="D294" s="172" t="s">
        <v>210</v>
      </c>
      <c r="E294" s="172">
        <v>1.8307687225288299E-4</v>
      </c>
      <c r="F294" s="172">
        <v>59</v>
      </c>
      <c r="G294" s="172">
        <v>21</v>
      </c>
      <c r="H294" s="172">
        <v>0</v>
      </c>
      <c r="I294" s="172">
        <v>32</v>
      </c>
    </row>
    <row r="295" spans="2:9" x14ac:dyDescent="0.3">
      <c r="B295" s="172" t="s">
        <v>185</v>
      </c>
      <c r="C295" s="172" t="s">
        <v>81</v>
      </c>
      <c r="D295" s="172" t="s">
        <v>211</v>
      </c>
      <c r="E295" s="172">
        <v>7.1697456325239101E-4</v>
      </c>
      <c r="F295" s="172">
        <v>59</v>
      </c>
      <c r="G295" s="172">
        <v>21</v>
      </c>
      <c r="H295" s="172">
        <v>0</v>
      </c>
      <c r="I295" s="172">
        <v>32</v>
      </c>
    </row>
    <row r="296" spans="2:9" hidden="1" x14ac:dyDescent="0.3">
      <c r="B296" s="172" t="s">
        <v>185</v>
      </c>
      <c r="C296" s="172" t="s">
        <v>82</v>
      </c>
      <c r="D296" s="172" t="s">
        <v>210</v>
      </c>
      <c r="E296" s="172">
        <v>1.2426683836948201E-4</v>
      </c>
      <c r="F296" s="172">
        <v>59</v>
      </c>
      <c r="G296" s="172">
        <v>21</v>
      </c>
      <c r="H296" s="172">
        <v>0</v>
      </c>
      <c r="I296" s="172">
        <v>32</v>
      </c>
    </row>
    <row r="297" spans="2:9" hidden="1" x14ac:dyDescent="0.3">
      <c r="B297" s="172" t="s">
        <v>185</v>
      </c>
      <c r="C297" s="172" t="s">
        <v>82</v>
      </c>
      <c r="D297" s="172" t="s">
        <v>211</v>
      </c>
      <c r="E297" s="172">
        <v>6.0705584049178002E-4</v>
      </c>
      <c r="F297" s="172">
        <v>59</v>
      </c>
      <c r="G297" s="172">
        <v>21</v>
      </c>
      <c r="H297" s="172">
        <v>0</v>
      </c>
      <c r="I297" s="172">
        <v>32</v>
      </c>
    </row>
    <row r="298" spans="2:9" hidden="1" x14ac:dyDescent="0.3">
      <c r="B298" s="172" t="s">
        <v>185</v>
      </c>
      <c r="C298" s="172" t="s">
        <v>202</v>
      </c>
      <c r="D298" s="172" t="s">
        <v>210</v>
      </c>
      <c r="E298" s="172">
        <v>6.16745224347903E-5</v>
      </c>
      <c r="F298" s="172">
        <v>6</v>
      </c>
      <c r="G298" s="172">
        <v>16.25</v>
      </c>
      <c r="H298" s="172">
        <v>15.3</v>
      </c>
      <c r="I298" s="172">
        <v>32</v>
      </c>
    </row>
    <row r="299" spans="2:9" hidden="1" x14ac:dyDescent="0.3">
      <c r="B299" s="172" t="s">
        <v>185</v>
      </c>
      <c r="C299" s="172" t="s">
        <v>202</v>
      </c>
      <c r="D299" s="172" t="s">
        <v>211</v>
      </c>
      <c r="E299" s="172">
        <v>4.7142290385715199E-5</v>
      </c>
      <c r="F299" s="172">
        <v>79</v>
      </c>
      <c r="G299" s="172">
        <v>21</v>
      </c>
      <c r="H299" s="172">
        <v>4</v>
      </c>
      <c r="I299" s="172">
        <v>32</v>
      </c>
    </row>
    <row r="300" spans="2:9" hidden="1" x14ac:dyDescent="0.3">
      <c r="B300" s="172" t="s">
        <v>183</v>
      </c>
      <c r="C300" s="172" t="s">
        <v>79</v>
      </c>
      <c r="D300" s="172" t="s">
        <v>210</v>
      </c>
      <c r="E300" s="172">
        <v>5.3724172119639995E-4</v>
      </c>
      <c r="F300" s="172">
        <v>6</v>
      </c>
      <c r="G300" s="172">
        <v>16.25</v>
      </c>
      <c r="H300" s="172">
        <v>15.3</v>
      </c>
      <c r="I300" s="172">
        <v>28.5</v>
      </c>
    </row>
    <row r="301" spans="2:9" hidden="1" x14ac:dyDescent="0.3">
      <c r="B301" s="172" t="s">
        <v>183</v>
      </c>
      <c r="C301" s="172" t="s">
        <v>79</v>
      </c>
      <c r="D301" s="172" t="s">
        <v>211</v>
      </c>
      <c r="E301" s="172">
        <v>2.3687246826181301E-4</v>
      </c>
      <c r="F301" s="172">
        <v>21</v>
      </c>
      <c r="G301" s="172">
        <v>0</v>
      </c>
      <c r="H301" s="172">
        <v>15</v>
      </c>
      <c r="I301" s="172">
        <v>28.5</v>
      </c>
    </row>
    <row r="302" spans="2:9" hidden="1" x14ac:dyDescent="0.3">
      <c r="B302" s="172" t="s">
        <v>183</v>
      </c>
      <c r="C302" s="172" t="s">
        <v>80</v>
      </c>
      <c r="D302" s="172" t="s">
        <v>210</v>
      </c>
      <c r="E302" s="172">
        <v>5.2482693797157795E-4</v>
      </c>
      <c r="F302" s="172">
        <v>59</v>
      </c>
      <c r="G302" s="172">
        <v>21</v>
      </c>
      <c r="H302" s="172">
        <v>0</v>
      </c>
      <c r="I302" s="172">
        <v>28.5</v>
      </c>
    </row>
    <row r="303" spans="2:9" hidden="1" x14ac:dyDescent="0.3">
      <c r="B303" s="172" t="s">
        <v>183</v>
      </c>
      <c r="C303" s="172" t="s">
        <v>80</v>
      </c>
      <c r="D303" s="172" t="s">
        <v>211</v>
      </c>
      <c r="E303" s="172">
        <v>2.3965148593317899E-4</v>
      </c>
      <c r="F303" s="172">
        <v>59</v>
      </c>
      <c r="G303" s="172">
        <v>21</v>
      </c>
      <c r="H303" s="172">
        <v>0</v>
      </c>
      <c r="I303" s="172">
        <v>28.5</v>
      </c>
    </row>
    <row r="304" spans="2:9" hidden="1" x14ac:dyDescent="0.3">
      <c r="B304" s="172" t="s">
        <v>183</v>
      </c>
      <c r="C304" s="172" t="s">
        <v>81</v>
      </c>
      <c r="D304" s="172" t="s">
        <v>210</v>
      </c>
      <c r="E304" s="172">
        <v>1.95707806170642E-4</v>
      </c>
      <c r="F304" s="172">
        <v>59</v>
      </c>
      <c r="G304" s="172">
        <v>21</v>
      </c>
      <c r="H304" s="172">
        <v>0</v>
      </c>
      <c r="I304" s="172">
        <v>28.5</v>
      </c>
    </row>
    <row r="305" spans="2:9" x14ac:dyDescent="0.3">
      <c r="B305" s="172" t="s">
        <v>183</v>
      </c>
      <c r="C305" s="172" t="s">
        <v>81</v>
      </c>
      <c r="D305" s="172" t="s">
        <v>211</v>
      </c>
      <c r="E305" s="172">
        <v>8.1282247349050705E-4</v>
      </c>
      <c r="F305" s="172">
        <v>59</v>
      </c>
      <c r="G305" s="172">
        <v>21</v>
      </c>
      <c r="H305" s="172">
        <v>0</v>
      </c>
      <c r="I305" s="172">
        <v>28.5</v>
      </c>
    </row>
    <row r="306" spans="2:9" hidden="1" x14ac:dyDescent="0.3">
      <c r="B306" s="172" t="s">
        <v>183</v>
      </c>
      <c r="C306" s="172" t="s">
        <v>82</v>
      </c>
      <c r="D306" s="172" t="s">
        <v>210</v>
      </c>
      <c r="E306" s="172">
        <v>1.8644675616021799E-4</v>
      </c>
      <c r="F306" s="172">
        <v>6</v>
      </c>
      <c r="G306" s="172">
        <v>16.25</v>
      </c>
      <c r="H306" s="172">
        <v>15.3</v>
      </c>
      <c r="I306" s="172">
        <v>28.5</v>
      </c>
    </row>
    <row r="307" spans="2:9" hidden="1" x14ac:dyDescent="0.3">
      <c r="B307" s="172" t="s">
        <v>183</v>
      </c>
      <c r="C307" s="172" t="s">
        <v>82</v>
      </c>
      <c r="D307" s="172" t="s">
        <v>211</v>
      </c>
      <c r="E307" s="172">
        <v>7.6743232497834899E-4</v>
      </c>
      <c r="F307" s="172">
        <v>21</v>
      </c>
      <c r="G307" s="172">
        <v>0</v>
      </c>
      <c r="H307" s="172">
        <v>15</v>
      </c>
      <c r="I307" s="172">
        <v>28.5</v>
      </c>
    </row>
    <row r="308" spans="2:9" hidden="1" x14ac:dyDescent="0.3">
      <c r="B308" s="172" t="s">
        <v>183</v>
      </c>
      <c r="C308" s="172" t="s">
        <v>202</v>
      </c>
      <c r="D308" s="172" t="s">
        <v>210</v>
      </c>
      <c r="E308" s="172">
        <v>5.7204069365563E-5</v>
      </c>
      <c r="F308" s="172">
        <v>6</v>
      </c>
      <c r="G308" s="172">
        <v>16.25</v>
      </c>
      <c r="H308" s="172">
        <v>15.3</v>
      </c>
      <c r="I308" s="172">
        <v>28.5</v>
      </c>
    </row>
    <row r="309" spans="2:9" hidden="1" x14ac:dyDescent="0.3">
      <c r="B309" s="172" t="s">
        <v>183</v>
      </c>
      <c r="C309" s="172" t="s">
        <v>202</v>
      </c>
      <c r="D309" s="172" t="s">
        <v>211</v>
      </c>
      <c r="E309" s="172">
        <v>4.4459413146827102E-5</v>
      </c>
      <c r="F309" s="172">
        <v>59</v>
      </c>
      <c r="G309" s="172">
        <v>21</v>
      </c>
      <c r="H309" s="172">
        <v>0</v>
      </c>
      <c r="I309" s="172">
        <v>28.5</v>
      </c>
    </row>
    <row r="310" spans="2:9" hidden="1" x14ac:dyDescent="0.3">
      <c r="B310" s="172" t="s">
        <v>181</v>
      </c>
      <c r="C310" s="172" t="s">
        <v>79</v>
      </c>
      <c r="D310" s="172" t="s">
        <v>210</v>
      </c>
      <c r="E310" s="172">
        <v>6.5773942106748899E-4</v>
      </c>
      <c r="F310" s="172">
        <v>6</v>
      </c>
      <c r="G310" s="172">
        <v>16.25</v>
      </c>
      <c r="H310" s="172">
        <v>15.3</v>
      </c>
      <c r="I310" s="172">
        <v>25</v>
      </c>
    </row>
    <row r="311" spans="2:9" hidden="1" x14ac:dyDescent="0.3">
      <c r="B311" s="172" t="s">
        <v>181</v>
      </c>
      <c r="C311" s="172" t="s">
        <v>79</v>
      </c>
      <c r="D311" s="172" t="s">
        <v>211</v>
      </c>
      <c r="E311" s="172">
        <v>2.9479215577646399E-4</v>
      </c>
      <c r="F311" s="172">
        <v>18</v>
      </c>
      <c r="G311" s="172">
        <v>0</v>
      </c>
      <c r="H311" s="172">
        <v>0</v>
      </c>
      <c r="I311" s="172">
        <v>25</v>
      </c>
    </row>
    <row r="312" spans="2:9" hidden="1" x14ac:dyDescent="0.3">
      <c r="B312" s="172" t="s">
        <v>181</v>
      </c>
      <c r="C312" s="172" t="s">
        <v>80</v>
      </c>
      <c r="D312" s="172" t="s">
        <v>210</v>
      </c>
      <c r="E312" s="172">
        <v>6.0484670643128405E-4</v>
      </c>
      <c r="F312" s="172">
        <v>59</v>
      </c>
      <c r="G312" s="172">
        <v>21</v>
      </c>
      <c r="H312" s="172">
        <v>0</v>
      </c>
      <c r="I312" s="172">
        <v>25</v>
      </c>
    </row>
    <row r="313" spans="2:9" hidden="1" x14ac:dyDescent="0.3">
      <c r="B313" s="172" t="s">
        <v>181</v>
      </c>
      <c r="C313" s="172" t="s">
        <v>80</v>
      </c>
      <c r="D313" s="172" t="s">
        <v>211</v>
      </c>
      <c r="E313" s="172">
        <v>2.4374225341504901E-4</v>
      </c>
      <c r="F313" s="172">
        <v>59</v>
      </c>
      <c r="G313" s="172">
        <v>21</v>
      </c>
      <c r="H313" s="172">
        <v>0</v>
      </c>
      <c r="I313" s="172">
        <v>25</v>
      </c>
    </row>
    <row r="314" spans="2:9" hidden="1" x14ac:dyDescent="0.3">
      <c r="B314" s="172" t="s">
        <v>181</v>
      </c>
      <c r="C314" s="172" t="s">
        <v>81</v>
      </c>
      <c r="D314" s="172" t="s">
        <v>210</v>
      </c>
      <c r="E314" s="172">
        <v>2.0373082889241299E-4</v>
      </c>
      <c r="F314" s="172">
        <v>59</v>
      </c>
      <c r="G314" s="172">
        <v>21</v>
      </c>
      <c r="H314" s="172">
        <v>0</v>
      </c>
      <c r="I314" s="172">
        <v>25</v>
      </c>
    </row>
    <row r="315" spans="2:9" x14ac:dyDescent="0.3">
      <c r="B315" s="172" t="s">
        <v>181</v>
      </c>
      <c r="C315" s="172" t="s">
        <v>81</v>
      </c>
      <c r="D315" s="172" t="s">
        <v>211</v>
      </c>
      <c r="E315" s="172">
        <v>8.8497333578156699E-4</v>
      </c>
      <c r="F315" s="172">
        <v>59</v>
      </c>
      <c r="G315" s="172">
        <v>21</v>
      </c>
      <c r="H315" s="172">
        <v>0</v>
      </c>
      <c r="I315" s="172">
        <v>25</v>
      </c>
    </row>
    <row r="316" spans="2:9" hidden="1" x14ac:dyDescent="0.3">
      <c r="B316" s="172" t="s">
        <v>181</v>
      </c>
      <c r="C316" s="172" t="s">
        <v>82</v>
      </c>
      <c r="D316" s="172" t="s">
        <v>210</v>
      </c>
      <c r="E316" s="172">
        <v>2.5160414299701597E-4</v>
      </c>
      <c r="F316" s="172">
        <v>6</v>
      </c>
      <c r="G316" s="172">
        <v>16.25</v>
      </c>
      <c r="H316" s="172">
        <v>15.3</v>
      </c>
      <c r="I316" s="172">
        <v>25</v>
      </c>
    </row>
    <row r="317" spans="2:9" hidden="1" x14ac:dyDescent="0.3">
      <c r="B317" s="172" t="s">
        <v>181</v>
      </c>
      <c r="C317" s="172" t="s">
        <v>82</v>
      </c>
      <c r="D317" s="172" t="s">
        <v>211</v>
      </c>
      <c r="E317" s="172">
        <v>9.1545036403225502E-4</v>
      </c>
      <c r="F317" s="172">
        <v>21</v>
      </c>
      <c r="G317" s="172">
        <v>0</v>
      </c>
      <c r="H317" s="172">
        <v>15</v>
      </c>
      <c r="I317" s="172">
        <v>25</v>
      </c>
    </row>
    <row r="318" spans="2:9" hidden="1" x14ac:dyDescent="0.3">
      <c r="B318" s="172" t="s">
        <v>181</v>
      </c>
      <c r="C318" s="172" t="s">
        <v>202</v>
      </c>
      <c r="D318" s="172" t="s">
        <v>210</v>
      </c>
      <c r="E318" s="172">
        <v>5.1713662992131902E-5</v>
      </c>
      <c r="F318" s="172">
        <v>6</v>
      </c>
      <c r="G318" s="172">
        <v>16.25</v>
      </c>
      <c r="H318" s="172">
        <v>15.3</v>
      </c>
      <c r="I318" s="172">
        <v>25</v>
      </c>
    </row>
    <row r="319" spans="2:9" hidden="1" x14ac:dyDescent="0.3">
      <c r="B319" s="172" t="s">
        <v>181</v>
      </c>
      <c r="C319" s="172" t="s">
        <v>202</v>
      </c>
      <c r="D319" s="172" t="s">
        <v>211</v>
      </c>
      <c r="E319" s="172">
        <v>4.0806706802977998E-5</v>
      </c>
      <c r="F319" s="172">
        <v>59</v>
      </c>
      <c r="G319" s="172">
        <v>21</v>
      </c>
      <c r="H319" s="172">
        <v>0</v>
      </c>
      <c r="I319" s="172">
        <v>25</v>
      </c>
    </row>
    <row r="320" spans="2:9" hidden="1" x14ac:dyDescent="0.3">
      <c r="B320" s="172" t="s">
        <v>179</v>
      </c>
      <c r="C320" s="172" t="s">
        <v>79</v>
      </c>
      <c r="D320" s="172" t="s">
        <v>210</v>
      </c>
      <c r="E320" s="172">
        <v>7.5873346457583802E-4</v>
      </c>
      <c r="F320" s="172">
        <v>6</v>
      </c>
      <c r="G320" s="172">
        <v>16.25</v>
      </c>
      <c r="H320" s="172">
        <v>15.3</v>
      </c>
      <c r="I320" s="172">
        <v>21.5</v>
      </c>
    </row>
    <row r="321" spans="2:9" hidden="1" x14ac:dyDescent="0.3">
      <c r="B321" s="172" t="s">
        <v>179</v>
      </c>
      <c r="C321" s="172" t="s">
        <v>79</v>
      </c>
      <c r="D321" s="172" t="s">
        <v>211</v>
      </c>
      <c r="E321" s="172">
        <v>3.4379248739735998E-4</v>
      </c>
      <c r="F321" s="172">
        <v>21</v>
      </c>
      <c r="G321" s="172">
        <v>0</v>
      </c>
      <c r="H321" s="172">
        <v>15</v>
      </c>
      <c r="I321" s="172">
        <v>21.5</v>
      </c>
    </row>
    <row r="322" spans="2:9" hidden="1" x14ac:dyDescent="0.3">
      <c r="B322" s="172" t="s">
        <v>179</v>
      </c>
      <c r="C322" s="172" t="s">
        <v>80</v>
      </c>
      <c r="D322" s="172" t="s">
        <v>210</v>
      </c>
      <c r="E322" s="172">
        <v>6.7379552401995301E-4</v>
      </c>
      <c r="F322" s="172">
        <v>6</v>
      </c>
      <c r="G322" s="172">
        <v>16.25</v>
      </c>
      <c r="H322" s="172">
        <v>15.3</v>
      </c>
      <c r="I322" s="172">
        <v>21.5</v>
      </c>
    </row>
    <row r="323" spans="2:9" hidden="1" x14ac:dyDescent="0.3">
      <c r="B323" s="172" t="s">
        <v>179</v>
      </c>
      <c r="C323" s="172" t="s">
        <v>80</v>
      </c>
      <c r="D323" s="172" t="s">
        <v>211</v>
      </c>
      <c r="E323" s="172">
        <v>2.4991788704384202E-4</v>
      </c>
      <c r="F323" s="172">
        <v>21</v>
      </c>
      <c r="G323" s="172">
        <v>0</v>
      </c>
      <c r="H323" s="172">
        <v>15</v>
      </c>
      <c r="I323" s="172">
        <v>21.5</v>
      </c>
    </row>
    <row r="324" spans="2:9" hidden="1" x14ac:dyDescent="0.3">
      <c r="B324" s="172" t="s">
        <v>179</v>
      </c>
      <c r="C324" s="172" t="s">
        <v>81</v>
      </c>
      <c r="D324" s="172" t="s">
        <v>210</v>
      </c>
      <c r="E324" s="172">
        <v>2.0726701483126799E-4</v>
      </c>
      <c r="F324" s="172">
        <v>59</v>
      </c>
      <c r="G324" s="172">
        <v>21</v>
      </c>
      <c r="H324" s="172">
        <v>0</v>
      </c>
      <c r="I324" s="172">
        <v>21.5</v>
      </c>
    </row>
    <row r="325" spans="2:9" x14ac:dyDescent="0.3">
      <c r="B325" s="172" t="s">
        <v>179</v>
      </c>
      <c r="C325" s="172" t="s">
        <v>81</v>
      </c>
      <c r="D325" s="172" t="s">
        <v>211</v>
      </c>
      <c r="E325" s="172">
        <v>9.3370938285529295E-4</v>
      </c>
      <c r="F325" s="172">
        <v>59</v>
      </c>
      <c r="G325" s="172">
        <v>21</v>
      </c>
      <c r="H325" s="172">
        <v>0</v>
      </c>
      <c r="I325" s="172">
        <v>21.5</v>
      </c>
    </row>
    <row r="326" spans="2:9" hidden="1" x14ac:dyDescent="0.3">
      <c r="B326" s="172" t="s">
        <v>179</v>
      </c>
      <c r="C326" s="172" t="s">
        <v>82</v>
      </c>
      <c r="D326" s="172" t="s">
        <v>210</v>
      </c>
      <c r="E326" s="172">
        <v>3.0819426723551201E-4</v>
      </c>
      <c r="F326" s="172">
        <v>6</v>
      </c>
      <c r="G326" s="172">
        <v>16.25</v>
      </c>
      <c r="H326" s="172">
        <v>15.3</v>
      </c>
      <c r="I326" s="172">
        <v>21.5</v>
      </c>
    </row>
    <row r="327" spans="2:9" hidden="1" x14ac:dyDescent="0.3">
      <c r="B327" s="172" t="s">
        <v>179</v>
      </c>
      <c r="C327" s="172" t="s">
        <v>82</v>
      </c>
      <c r="D327" s="172" t="s">
        <v>211</v>
      </c>
      <c r="E327" s="172">
        <v>1.03541996645061E-3</v>
      </c>
      <c r="F327" s="172">
        <v>21</v>
      </c>
      <c r="G327" s="172">
        <v>0</v>
      </c>
      <c r="H327" s="172">
        <v>15</v>
      </c>
      <c r="I327" s="172">
        <v>21.5</v>
      </c>
    </row>
    <row r="328" spans="2:9" hidden="1" x14ac:dyDescent="0.3">
      <c r="B328" s="172" t="s">
        <v>179</v>
      </c>
      <c r="C328" s="172" t="s">
        <v>202</v>
      </c>
      <c r="D328" s="172" t="s">
        <v>210</v>
      </c>
      <c r="E328" s="172">
        <v>4.5031807274036501E-5</v>
      </c>
      <c r="F328" s="172">
        <v>6</v>
      </c>
      <c r="G328" s="172">
        <v>16.25</v>
      </c>
      <c r="H328" s="172">
        <v>15.3</v>
      </c>
      <c r="I328" s="172">
        <v>21.5</v>
      </c>
    </row>
    <row r="329" spans="2:9" hidden="1" x14ac:dyDescent="0.3">
      <c r="B329" s="172" t="s">
        <v>179</v>
      </c>
      <c r="C329" s="172" t="s">
        <v>202</v>
      </c>
      <c r="D329" s="172" t="s">
        <v>211</v>
      </c>
      <c r="E329" s="172">
        <v>3.6463857889224001E-5</v>
      </c>
      <c r="F329" s="172">
        <v>59</v>
      </c>
      <c r="G329" s="172">
        <v>21</v>
      </c>
      <c r="H329" s="172">
        <v>0</v>
      </c>
      <c r="I329" s="172">
        <v>21.5</v>
      </c>
    </row>
    <row r="330" spans="2:9" hidden="1" x14ac:dyDescent="0.3">
      <c r="B330" s="172" t="s">
        <v>39</v>
      </c>
      <c r="C330" s="172" t="s">
        <v>79</v>
      </c>
      <c r="D330" s="172" t="s">
        <v>210</v>
      </c>
      <c r="E330" s="172">
        <v>8.3877218430680701E-4</v>
      </c>
      <c r="F330" s="172">
        <v>6</v>
      </c>
      <c r="G330" s="172">
        <v>16.25</v>
      </c>
      <c r="H330" s="172">
        <v>15.3</v>
      </c>
      <c r="I330" s="172">
        <v>18</v>
      </c>
    </row>
    <row r="331" spans="2:9" hidden="1" x14ac:dyDescent="0.3">
      <c r="B331" s="172" t="s">
        <v>39</v>
      </c>
      <c r="C331" s="172" t="s">
        <v>79</v>
      </c>
      <c r="D331" s="172" t="s">
        <v>211</v>
      </c>
      <c r="E331" s="172">
        <v>3.8950502675285802E-4</v>
      </c>
      <c r="F331" s="172">
        <v>21</v>
      </c>
      <c r="G331" s="172">
        <v>0</v>
      </c>
      <c r="H331" s="172">
        <v>15</v>
      </c>
      <c r="I331" s="172">
        <v>18</v>
      </c>
    </row>
    <row r="332" spans="2:9" hidden="1" x14ac:dyDescent="0.3">
      <c r="B332" s="172" t="s">
        <v>39</v>
      </c>
      <c r="C332" s="172" t="s">
        <v>80</v>
      </c>
      <c r="D332" s="172" t="s">
        <v>210</v>
      </c>
      <c r="E332" s="172">
        <v>7.4567754579220596E-4</v>
      </c>
      <c r="F332" s="172">
        <v>6</v>
      </c>
      <c r="G332" s="172">
        <v>16.25</v>
      </c>
      <c r="H332" s="172">
        <v>15.3</v>
      </c>
      <c r="I332" s="172">
        <v>18</v>
      </c>
    </row>
    <row r="333" spans="2:9" hidden="1" x14ac:dyDescent="0.3">
      <c r="B333" s="172" t="s">
        <v>39</v>
      </c>
      <c r="C333" s="172" t="s">
        <v>80</v>
      </c>
      <c r="D333" s="172" t="s">
        <v>211</v>
      </c>
      <c r="E333" s="172">
        <v>2.84974314163716E-4</v>
      </c>
      <c r="F333" s="172">
        <v>21</v>
      </c>
      <c r="G333" s="172">
        <v>0</v>
      </c>
      <c r="H333" s="172">
        <v>15</v>
      </c>
      <c r="I333" s="172">
        <v>18</v>
      </c>
    </row>
    <row r="334" spans="2:9" hidden="1" x14ac:dyDescent="0.3">
      <c r="B334" s="172" t="s">
        <v>39</v>
      </c>
      <c r="C334" s="172" t="s">
        <v>81</v>
      </c>
      <c r="D334" s="172" t="s">
        <v>210</v>
      </c>
      <c r="E334" s="172">
        <v>2.1239285168460001E-4</v>
      </c>
      <c r="F334" s="172">
        <v>6</v>
      </c>
      <c r="G334" s="172">
        <v>16.25</v>
      </c>
      <c r="H334" s="172">
        <v>15.3</v>
      </c>
      <c r="I334" s="172">
        <v>18</v>
      </c>
    </row>
    <row r="335" spans="2:9" x14ac:dyDescent="0.3">
      <c r="B335" s="172" t="s">
        <v>39</v>
      </c>
      <c r="C335" s="172" t="s">
        <v>81</v>
      </c>
      <c r="D335" s="172" t="s">
        <v>211</v>
      </c>
      <c r="E335" s="172">
        <v>9.6579348836180797E-4</v>
      </c>
      <c r="F335" s="172">
        <v>21</v>
      </c>
      <c r="G335" s="172">
        <v>0</v>
      </c>
      <c r="H335" s="172">
        <v>15</v>
      </c>
      <c r="I335" s="172">
        <v>18</v>
      </c>
    </row>
    <row r="336" spans="2:9" hidden="1" x14ac:dyDescent="0.3">
      <c r="B336" s="172" t="s">
        <v>39</v>
      </c>
      <c r="C336" s="172" t="s">
        <v>82</v>
      </c>
      <c r="D336" s="172" t="s">
        <v>210</v>
      </c>
      <c r="E336" s="172">
        <v>3.6181062941606002E-4</v>
      </c>
      <c r="F336" s="172">
        <v>6</v>
      </c>
      <c r="G336" s="172">
        <v>16.25</v>
      </c>
      <c r="H336" s="172">
        <v>15.3</v>
      </c>
      <c r="I336" s="172">
        <v>18</v>
      </c>
    </row>
    <row r="337" spans="2:9" hidden="1" x14ac:dyDescent="0.3">
      <c r="B337" s="172" t="s">
        <v>39</v>
      </c>
      <c r="C337" s="172" t="s">
        <v>82</v>
      </c>
      <c r="D337" s="172" t="s">
        <v>211</v>
      </c>
      <c r="E337" s="172">
        <v>1.13343669758234E-3</v>
      </c>
      <c r="F337" s="172">
        <v>21</v>
      </c>
      <c r="G337" s="172">
        <v>0</v>
      </c>
      <c r="H337" s="172">
        <v>15</v>
      </c>
      <c r="I337" s="172">
        <v>18</v>
      </c>
    </row>
    <row r="338" spans="2:9" hidden="1" x14ac:dyDescent="0.3">
      <c r="B338" s="172" t="s">
        <v>39</v>
      </c>
      <c r="C338" s="172" t="s">
        <v>202</v>
      </c>
      <c r="D338" s="172" t="s">
        <v>210</v>
      </c>
      <c r="E338" s="172">
        <v>3.6350412482959297E-5</v>
      </c>
      <c r="F338" s="172">
        <v>6</v>
      </c>
      <c r="G338" s="172">
        <v>16.25</v>
      </c>
      <c r="H338" s="172">
        <v>15.3</v>
      </c>
      <c r="I338" s="172">
        <v>18</v>
      </c>
    </row>
    <row r="339" spans="2:9" hidden="1" x14ac:dyDescent="0.3">
      <c r="B339" s="172" t="s">
        <v>39</v>
      </c>
      <c r="C339" s="172" t="s">
        <v>202</v>
      </c>
      <c r="D339" s="172" t="s">
        <v>211</v>
      </c>
      <c r="E339" s="172">
        <v>3.0084011752944601E-5</v>
      </c>
      <c r="F339" s="172">
        <v>59</v>
      </c>
      <c r="G339" s="172">
        <v>21</v>
      </c>
      <c r="H339" s="172">
        <v>0</v>
      </c>
      <c r="I339" s="172">
        <v>18</v>
      </c>
    </row>
    <row r="340" spans="2:9" hidden="1" x14ac:dyDescent="0.3">
      <c r="B340" s="172" t="s">
        <v>26</v>
      </c>
      <c r="C340" s="172" t="s">
        <v>79</v>
      </c>
      <c r="D340" s="172" t="s">
        <v>210</v>
      </c>
      <c r="E340" s="172">
        <v>9.0123156549779101E-4</v>
      </c>
      <c r="F340" s="172">
        <v>6</v>
      </c>
      <c r="G340" s="172">
        <v>16.25</v>
      </c>
      <c r="H340" s="172">
        <v>15.3</v>
      </c>
      <c r="I340" s="172">
        <v>14.5</v>
      </c>
    </row>
    <row r="341" spans="2:9" hidden="1" x14ac:dyDescent="0.3">
      <c r="B341" s="172" t="s">
        <v>26</v>
      </c>
      <c r="C341" s="172" t="s">
        <v>79</v>
      </c>
      <c r="D341" s="172" t="s">
        <v>211</v>
      </c>
      <c r="E341" s="172">
        <v>4.2944424808054598E-4</v>
      </c>
      <c r="F341" s="172">
        <v>18</v>
      </c>
      <c r="G341" s="172">
        <v>0</v>
      </c>
      <c r="H341" s="172">
        <v>0</v>
      </c>
      <c r="I341" s="172">
        <v>14.5</v>
      </c>
    </row>
    <row r="342" spans="2:9" hidden="1" x14ac:dyDescent="0.3">
      <c r="B342" s="172" t="s">
        <v>26</v>
      </c>
      <c r="C342" s="172" t="s">
        <v>80</v>
      </c>
      <c r="D342" s="172" t="s">
        <v>210</v>
      </c>
      <c r="E342" s="172">
        <v>8.0194007114043199E-4</v>
      </c>
      <c r="F342" s="172">
        <v>6</v>
      </c>
      <c r="G342" s="172">
        <v>16.25</v>
      </c>
      <c r="H342" s="172">
        <v>15.3</v>
      </c>
      <c r="I342" s="172">
        <v>14.5</v>
      </c>
    </row>
    <row r="343" spans="2:9" hidden="1" x14ac:dyDescent="0.3">
      <c r="B343" s="172" t="s">
        <v>26</v>
      </c>
      <c r="C343" s="172" t="s">
        <v>80</v>
      </c>
      <c r="D343" s="172" t="s">
        <v>211</v>
      </c>
      <c r="E343" s="172">
        <v>3.1644227973064398E-4</v>
      </c>
      <c r="F343" s="172">
        <v>21</v>
      </c>
      <c r="G343" s="172">
        <v>0</v>
      </c>
      <c r="H343" s="172">
        <v>15</v>
      </c>
      <c r="I343" s="172">
        <v>14.5</v>
      </c>
    </row>
    <row r="344" spans="2:9" hidden="1" x14ac:dyDescent="0.3">
      <c r="B344" s="172" t="s">
        <v>26</v>
      </c>
      <c r="C344" s="172" t="s">
        <v>81</v>
      </c>
      <c r="D344" s="172" t="s">
        <v>210</v>
      </c>
      <c r="E344" s="172">
        <v>2.5261163412453199E-4</v>
      </c>
      <c r="F344" s="172">
        <v>6</v>
      </c>
      <c r="G344" s="172">
        <v>16.25</v>
      </c>
      <c r="H344" s="172">
        <v>15.3</v>
      </c>
      <c r="I344" s="172">
        <v>14.5</v>
      </c>
    </row>
    <row r="345" spans="2:9" x14ac:dyDescent="0.3">
      <c r="B345" s="172" t="s">
        <v>26</v>
      </c>
      <c r="C345" s="172" t="s">
        <v>81</v>
      </c>
      <c r="D345" s="172" t="s">
        <v>211</v>
      </c>
      <c r="E345" s="172">
        <v>1.0324569463526401E-3</v>
      </c>
      <c r="F345" s="172">
        <v>21</v>
      </c>
      <c r="G345" s="172">
        <v>0</v>
      </c>
      <c r="H345" s="172">
        <v>15</v>
      </c>
      <c r="I345" s="172">
        <v>14.5</v>
      </c>
    </row>
    <row r="346" spans="2:9" hidden="1" x14ac:dyDescent="0.3">
      <c r="B346" s="172" t="s">
        <v>26</v>
      </c>
      <c r="C346" s="172" t="s">
        <v>82</v>
      </c>
      <c r="D346" s="172" t="s">
        <v>210</v>
      </c>
      <c r="E346" s="172">
        <v>4.1113467948006001E-4</v>
      </c>
      <c r="F346" s="172">
        <v>6</v>
      </c>
      <c r="G346" s="172">
        <v>16.25</v>
      </c>
      <c r="H346" s="172">
        <v>15.3</v>
      </c>
      <c r="I346" s="172">
        <v>14.5</v>
      </c>
    </row>
    <row r="347" spans="2:9" hidden="1" x14ac:dyDescent="0.3">
      <c r="B347" s="172" t="s">
        <v>26</v>
      </c>
      <c r="C347" s="172" t="s">
        <v>82</v>
      </c>
      <c r="D347" s="172" t="s">
        <v>211</v>
      </c>
      <c r="E347" s="172">
        <v>1.21272122690351E-3</v>
      </c>
      <c r="F347" s="172">
        <v>21</v>
      </c>
      <c r="G347" s="172">
        <v>0</v>
      </c>
      <c r="H347" s="172">
        <v>15</v>
      </c>
      <c r="I347" s="172">
        <v>14.5</v>
      </c>
    </row>
    <row r="348" spans="2:9" hidden="1" x14ac:dyDescent="0.3">
      <c r="B348" s="172" t="s">
        <v>26</v>
      </c>
      <c r="C348" s="172" t="s">
        <v>202</v>
      </c>
      <c r="D348" s="172" t="s">
        <v>210</v>
      </c>
      <c r="E348" s="172">
        <v>2.8041802582437698E-5</v>
      </c>
      <c r="F348" s="172">
        <v>6</v>
      </c>
      <c r="G348" s="172">
        <v>16.25</v>
      </c>
      <c r="H348" s="172">
        <v>15.3</v>
      </c>
      <c r="I348" s="172">
        <v>14.5</v>
      </c>
    </row>
    <row r="349" spans="2:9" hidden="1" x14ac:dyDescent="0.3">
      <c r="B349" s="172" t="s">
        <v>26</v>
      </c>
      <c r="C349" s="172" t="s">
        <v>202</v>
      </c>
      <c r="D349" s="172" t="s">
        <v>211</v>
      </c>
      <c r="E349" s="172">
        <v>2.7926578303162902E-5</v>
      </c>
      <c r="F349" s="172">
        <v>59</v>
      </c>
      <c r="G349" s="172">
        <v>21</v>
      </c>
      <c r="H349" s="172">
        <v>0</v>
      </c>
      <c r="I349" s="172">
        <v>14.5</v>
      </c>
    </row>
    <row r="350" spans="2:9" hidden="1" x14ac:dyDescent="0.3">
      <c r="B350" s="172" t="s">
        <v>25</v>
      </c>
      <c r="C350" s="172" t="s">
        <v>79</v>
      </c>
      <c r="D350" s="172" t="s">
        <v>210</v>
      </c>
      <c r="E350" s="172">
        <v>9.4873421815185402E-4</v>
      </c>
      <c r="F350" s="172">
        <v>6</v>
      </c>
      <c r="G350" s="172">
        <v>16.25</v>
      </c>
      <c r="H350" s="172">
        <v>15.3</v>
      </c>
      <c r="I350" s="172">
        <v>11</v>
      </c>
    </row>
    <row r="351" spans="2:9" s="172" customFormat="1" hidden="1" x14ac:dyDescent="0.3">
      <c r="B351" s="172" t="s">
        <v>25</v>
      </c>
      <c r="C351" s="172" t="s">
        <v>79</v>
      </c>
      <c r="D351" s="172" t="s">
        <v>211</v>
      </c>
      <c r="E351" s="172">
        <v>4.5901470086891498E-4</v>
      </c>
      <c r="F351" s="172">
        <v>21</v>
      </c>
      <c r="G351" s="172">
        <v>0</v>
      </c>
      <c r="H351" s="172">
        <v>15</v>
      </c>
      <c r="I351" s="172">
        <v>11</v>
      </c>
    </row>
    <row r="352" spans="2:9" hidden="1" x14ac:dyDescent="0.3">
      <c r="B352" s="172" t="s">
        <v>25</v>
      </c>
      <c r="C352" s="172" t="s">
        <v>80</v>
      </c>
      <c r="D352" s="172" t="s">
        <v>210</v>
      </c>
      <c r="E352" s="172">
        <v>8.4532940391292505E-4</v>
      </c>
      <c r="F352" s="172">
        <v>6</v>
      </c>
      <c r="G352" s="172">
        <v>16.25</v>
      </c>
      <c r="H352" s="172">
        <v>15.3</v>
      </c>
      <c r="I352" s="172">
        <v>11</v>
      </c>
    </row>
    <row r="353" spans="2:9" hidden="1" x14ac:dyDescent="0.3">
      <c r="B353" s="172" t="s">
        <v>25</v>
      </c>
      <c r="C353" s="172" t="s">
        <v>80</v>
      </c>
      <c r="D353" s="172" t="s">
        <v>211</v>
      </c>
      <c r="E353" s="172">
        <v>3.39397430122098E-4</v>
      </c>
      <c r="F353" s="172">
        <v>21</v>
      </c>
      <c r="G353" s="172">
        <v>0</v>
      </c>
      <c r="H353" s="172">
        <v>15</v>
      </c>
      <c r="I353" s="172">
        <v>11</v>
      </c>
    </row>
    <row r="354" spans="2:9" hidden="1" x14ac:dyDescent="0.3">
      <c r="B354" s="172" t="s">
        <v>25</v>
      </c>
      <c r="C354" s="172" t="s">
        <v>81</v>
      </c>
      <c r="D354" s="172" t="s">
        <v>210</v>
      </c>
      <c r="E354" s="172">
        <v>2.9154880890503598E-4</v>
      </c>
      <c r="F354" s="172">
        <v>6</v>
      </c>
      <c r="G354" s="172">
        <v>16.25</v>
      </c>
      <c r="H354" s="172">
        <v>15.3</v>
      </c>
      <c r="I354" s="172">
        <v>11</v>
      </c>
    </row>
    <row r="355" spans="2:9" s="172" customFormat="1" x14ac:dyDescent="0.3">
      <c r="B355" s="172" t="s">
        <v>25</v>
      </c>
      <c r="C355" s="172" t="s">
        <v>81</v>
      </c>
      <c r="D355" s="172" t="s">
        <v>211</v>
      </c>
      <c r="E355" s="172">
        <v>1.07802504992882E-3</v>
      </c>
      <c r="F355" s="172">
        <v>21</v>
      </c>
      <c r="G355" s="172">
        <v>0</v>
      </c>
      <c r="H355" s="172">
        <v>15</v>
      </c>
      <c r="I355" s="172">
        <v>11</v>
      </c>
    </row>
    <row r="356" spans="2:9" hidden="1" x14ac:dyDescent="0.3">
      <c r="B356" s="172" t="s">
        <v>25</v>
      </c>
      <c r="C356" s="172" t="s">
        <v>82</v>
      </c>
      <c r="D356" s="172" t="s">
        <v>210</v>
      </c>
      <c r="E356" s="172">
        <v>4.56240737646569E-4</v>
      </c>
      <c r="F356" s="172">
        <v>6</v>
      </c>
      <c r="G356" s="172">
        <v>16.25</v>
      </c>
      <c r="H356" s="172">
        <v>15.3</v>
      </c>
      <c r="I356" s="172">
        <v>11</v>
      </c>
    </row>
    <row r="357" spans="2:9" hidden="1" x14ac:dyDescent="0.3">
      <c r="B357" s="172" t="s">
        <v>25</v>
      </c>
      <c r="C357" s="172" t="s">
        <v>82</v>
      </c>
      <c r="D357" s="172" t="s">
        <v>211</v>
      </c>
      <c r="E357" s="172">
        <v>1.2684161025151199E-3</v>
      </c>
      <c r="F357" s="172">
        <v>21</v>
      </c>
      <c r="G357" s="172">
        <v>0</v>
      </c>
      <c r="H357" s="172">
        <v>15</v>
      </c>
      <c r="I357" s="172">
        <v>11</v>
      </c>
    </row>
    <row r="358" spans="2:9" hidden="1" x14ac:dyDescent="0.3">
      <c r="B358" s="172" t="s">
        <v>25</v>
      </c>
      <c r="C358" s="172" t="s">
        <v>202</v>
      </c>
      <c r="D358" s="172" t="s">
        <v>210</v>
      </c>
      <c r="E358" s="172">
        <v>1.5322145952216899E-5</v>
      </c>
      <c r="F358" s="172">
        <v>6</v>
      </c>
      <c r="G358" s="172">
        <v>16.25</v>
      </c>
      <c r="H358" s="172">
        <v>15.3</v>
      </c>
      <c r="I358" s="172">
        <v>11</v>
      </c>
    </row>
    <row r="359" spans="2:9" s="172" customFormat="1" hidden="1" x14ac:dyDescent="0.3">
      <c r="B359" s="172" t="s">
        <v>25</v>
      </c>
      <c r="C359" s="172" t="s">
        <v>202</v>
      </c>
      <c r="D359" s="172" t="s">
        <v>211</v>
      </c>
      <c r="E359" s="172">
        <v>2.0539545630027699E-5</v>
      </c>
      <c r="F359" s="172">
        <v>59</v>
      </c>
      <c r="G359" s="172">
        <v>21</v>
      </c>
      <c r="H359" s="172">
        <v>0</v>
      </c>
      <c r="I359" s="172">
        <v>11</v>
      </c>
    </row>
    <row r="360" spans="2:9" hidden="1" x14ac:dyDescent="0.3">
      <c r="B360" s="172" t="s">
        <v>24</v>
      </c>
      <c r="C360" s="172" t="s">
        <v>79</v>
      </c>
      <c r="D360" s="172" t="s">
        <v>210</v>
      </c>
      <c r="E360" s="172">
        <v>9.7242484278345202E-4</v>
      </c>
      <c r="F360" s="172">
        <v>6</v>
      </c>
      <c r="G360" s="172">
        <v>16.25</v>
      </c>
      <c r="H360" s="172">
        <v>15.3</v>
      </c>
      <c r="I360" s="172">
        <v>7.5</v>
      </c>
    </row>
    <row r="361" spans="2:9" hidden="1" x14ac:dyDescent="0.3">
      <c r="B361" s="172" t="s">
        <v>24</v>
      </c>
      <c r="C361" s="172" t="s">
        <v>79</v>
      </c>
      <c r="D361" s="172" t="s">
        <v>211</v>
      </c>
      <c r="E361" s="172">
        <v>4.7514647006047001E-4</v>
      </c>
      <c r="F361" s="172">
        <v>21</v>
      </c>
      <c r="G361" s="172">
        <v>0</v>
      </c>
      <c r="H361" s="172">
        <v>15</v>
      </c>
      <c r="I361" s="172">
        <v>7.5</v>
      </c>
    </row>
    <row r="362" spans="2:9" hidden="1" x14ac:dyDescent="0.3">
      <c r="B362" s="172" t="s">
        <v>24</v>
      </c>
      <c r="C362" s="172" t="s">
        <v>80</v>
      </c>
      <c r="D362" s="172" t="s">
        <v>210</v>
      </c>
      <c r="E362" s="172">
        <v>8.6836155500499498E-4</v>
      </c>
      <c r="F362" s="172">
        <v>6</v>
      </c>
      <c r="G362" s="172">
        <v>16.25</v>
      </c>
      <c r="H362" s="172">
        <v>15.3</v>
      </c>
      <c r="I362" s="172">
        <v>7.5</v>
      </c>
    </row>
    <row r="363" spans="2:9" s="172" customFormat="1" hidden="1" x14ac:dyDescent="0.3">
      <c r="B363" s="172" t="s">
        <v>24</v>
      </c>
      <c r="C363" s="172" t="s">
        <v>80</v>
      </c>
      <c r="D363" s="172" t="s">
        <v>211</v>
      </c>
      <c r="E363" s="172">
        <v>3.5230894330714899E-4</v>
      </c>
      <c r="F363" s="172">
        <v>21</v>
      </c>
      <c r="G363" s="172">
        <v>0</v>
      </c>
      <c r="H363" s="172">
        <v>15</v>
      </c>
      <c r="I363" s="172">
        <v>7.5</v>
      </c>
    </row>
    <row r="364" spans="2:9" hidden="1" x14ac:dyDescent="0.3">
      <c r="B364" s="172" t="s">
        <v>24</v>
      </c>
      <c r="C364" s="172" t="s">
        <v>81</v>
      </c>
      <c r="D364" s="172" t="s">
        <v>210</v>
      </c>
      <c r="E364" s="172">
        <v>3.2813458491321698E-4</v>
      </c>
      <c r="F364" s="172">
        <v>6</v>
      </c>
      <c r="G364" s="172">
        <v>16.25</v>
      </c>
      <c r="H364" s="172">
        <v>15.3</v>
      </c>
      <c r="I364" s="172">
        <v>7.5</v>
      </c>
    </row>
    <row r="365" spans="2:9" x14ac:dyDescent="0.3">
      <c r="B365" s="172" t="s">
        <v>24</v>
      </c>
      <c r="C365" s="172" t="s">
        <v>81</v>
      </c>
      <c r="D365" s="172" t="s">
        <v>211</v>
      </c>
      <c r="E365" s="172">
        <v>1.0908509515667E-3</v>
      </c>
      <c r="F365" s="172">
        <v>21</v>
      </c>
      <c r="G365" s="172">
        <v>0</v>
      </c>
      <c r="H365" s="172">
        <v>15</v>
      </c>
      <c r="I365" s="172">
        <v>7.5</v>
      </c>
    </row>
    <row r="366" spans="2:9" hidden="1" x14ac:dyDescent="0.3">
      <c r="B366" s="172" t="s">
        <v>24</v>
      </c>
      <c r="C366" s="172" t="s">
        <v>82</v>
      </c>
      <c r="D366" s="172" t="s">
        <v>210</v>
      </c>
      <c r="E366" s="172">
        <v>4.9379635628819503E-4</v>
      </c>
      <c r="F366" s="172">
        <v>6</v>
      </c>
      <c r="G366" s="172">
        <v>16.25</v>
      </c>
      <c r="H366" s="172">
        <v>15.3</v>
      </c>
      <c r="I366" s="172">
        <v>7.5</v>
      </c>
    </row>
    <row r="367" spans="2:9" s="172" customFormat="1" hidden="1" x14ac:dyDescent="0.3">
      <c r="B367" s="172" t="s">
        <v>24</v>
      </c>
      <c r="C367" s="172" t="s">
        <v>82</v>
      </c>
      <c r="D367" s="172" t="s">
        <v>211</v>
      </c>
      <c r="E367" s="172">
        <v>1.28632641672883E-3</v>
      </c>
      <c r="F367" s="172">
        <v>21</v>
      </c>
      <c r="G367" s="172">
        <v>0</v>
      </c>
      <c r="H367" s="172">
        <v>15</v>
      </c>
      <c r="I367" s="172">
        <v>7.5</v>
      </c>
    </row>
    <row r="368" spans="2:9" hidden="1" x14ac:dyDescent="0.3">
      <c r="B368" s="172" t="s">
        <v>24</v>
      </c>
      <c r="C368" s="172" t="s">
        <v>202</v>
      </c>
      <c r="D368" s="172" t="s">
        <v>210</v>
      </c>
      <c r="E368" s="172">
        <v>1.6471423351094698E-5</v>
      </c>
      <c r="F368" s="172">
        <v>59</v>
      </c>
      <c r="G368" s="172">
        <v>21</v>
      </c>
      <c r="H368" s="172">
        <v>0</v>
      </c>
      <c r="I368" s="172">
        <v>7.5</v>
      </c>
    </row>
    <row r="369" spans="2:9" hidden="1" x14ac:dyDescent="0.3">
      <c r="B369" s="172" t="s">
        <v>24</v>
      </c>
      <c r="C369" s="172" t="s">
        <v>202</v>
      </c>
      <c r="D369" s="172" t="s">
        <v>211</v>
      </c>
      <c r="E369" s="172">
        <v>1.04751024261304E-5</v>
      </c>
      <c r="F369" s="172">
        <v>59</v>
      </c>
      <c r="G369" s="172">
        <v>21</v>
      </c>
      <c r="H369" s="172">
        <v>0</v>
      </c>
      <c r="I369" s="172">
        <v>7.5</v>
      </c>
    </row>
    <row r="370" spans="2:9" hidden="1" x14ac:dyDescent="0.3">
      <c r="B370" s="172" t="s">
        <v>22</v>
      </c>
      <c r="C370" s="172" t="s">
        <v>79</v>
      </c>
      <c r="D370" s="172" t="s">
        <v>210</v>
      </c>
      <c r="E370" s="172">
        <v>8.2170523625523602E-4</v>
      </c>
      <c r="F370" s="172">
        <v>33</v>
      </c>
      <c r="G370" s="172">
        <v>16</v>
      </c>
      <c r="H370" s="172">
        <v>15</v>
      </c>
      <c r="I370" s="172">
        <v>4</v>
      </c>
    </row>
    <row r="371" spans="2:9" s="172" customFormat="1" hidden="1" x14ac:dyDescent="0.3">
      <c r="B371" s="172" t="s">
        <v>22</v>
      </c>
      <c r="C371" s="172" t="s">
        <v>79</v>
      </c>
      <c r="D371" s="172" t="s">
        <v>211</v>
      </c>
      <c r="E371" s="172">
        <v>3.7420605264628298E-4</v>
      </c>
      <c r="F371" s="172">
        <v>21</v>
      </c>
      <c r="G371" s="172">
        <v>0</v>
      </c>
      <c r="H371" s="172">
        <v>15</v>
      </c>
      <c r="I371" s="172">
        <v>4</v>
      </c>
    </row>
    <row r="372" spans="2:9" hidden="1" x14ac:dyDescent="0.3">
      <c r="B372" s="172" t="s">
        <v>22</v>
      </c>
      <c r="C372" s="172" t="s">
        <v>80</v>
      </c>
      <c r="D372" s="172" t="s">
        <v>210</v>
      </c>
      <c r="E372" s="172">
        <v>7.4177872723460198E-4</v>
      </c>
      <c r="F372" s="172">
        <v>33</v>
      </c>
      <c r="G372" s="172">
        <v>16</v>
      </c>
      <c r="H372" s="172">
        <v>15</v>
      </c>
      <c r="I372" s="172">
        <v>4</v>
      </c>
    </row>
    <row r="373" spans="2:9" hidden="1" x14ac:dyDescent="0.3">
      <c r="B373" s="172" t="s">
        <v>22</v>
      </c>
      <c r="C373" s="172" t="s">
        <v>80</v>
      </c>
      <c r="D373" s="172" t="s">
        <v>211</v>
      </c>
      <c r="E373" s="172">
        <v>2.7187161361282399E-4</v>
      </c>
      <c r="F373" s="172">
        <v>21</v>
      </c>
      <c r="G373" s="172">
        <v>0</v>
      </c>
      <c r="H373" s="172">
        <v>15</v>
      </c>
      <c r="I373" s="172">
        <v>4</v>
      </c>
    </row>
    <row r="374" spans="2:9" hidden="1" x14ac:dyDescent="0.3">
      <c r="B374" s="172" t="s">
        <v>22</v>
      </c>
      <c r="C374" s="172" t="s">
        <v>81</v>
      </c>
      <c r="D374" s="172" t="s">
        <v>210</v>
      </c>
      <c r="E374" s="172">
        <v>3.04200277529274E-4</v>
      </c>
      <c r="F374" s="172">
        <v>33</v>
      </c>
      <c r="G374" s="172">
        <v>16</v>
      </c>
      <c r="H374" s="172">
        <v>15</v>
      </c>
      <c r="I374" s="172">
        <v>4</v>
      </c>
    </row>
    <row r="375" spans="2:9" x14ac:dyDescent="0.3">
      <c r="B375" s="172" t="s">
        <v>22</v>
      </c>
      <c r="C375" s="172" t="s">
        <v>81</v>
      </c>
      <c r="D375" s="172" t="s">
        <v>211</v>
      </c>
      <c r="E375" s="172">
        <v>8.6942316512057197E-4</v>
      </c>
      <c r="F375" s="172">
        <v>21</v>
      </c>
      <c r="G375" s="172">
        <v>0</v>
      </c>
      <c r="H375" s="172">
        <v>15</v>
      </c>
      <c r="I375" s="172">
        <v>4</v>
      </c>
    </row>
    <row r="376" spans="2:9" hidden="1" x14ac:dyDescent="0.3">
      <c r="B376" s="172" t="s">
        <v>22</v>
      </c>
      <c r="C376" s="172" t="s">
        <v>82</v>
      </c>
      <c r="D376" s="172" t="s">
        <v>210</v>
      </c>
      <c r="E376" s="172">
        <v>4.3139146629680698E-4</v>
      </c>
      <c r="F376" s="172">
        <v>33</v>
      </c>
      <c r="G376" s="172">
        <v>16</v>
      </c>
      <c r="H376" s="172">
        <v>15</v>
      </c>
      <c r="I376" s="172">
        <v>4</v>
      </c>
    </row>
    <row r="377" spans="2:9" hidden="1" x14ac:dyDescent="0.3">
      <c r="B377" s="172" t="s">
        <v>22</v>
      </c>
      <c r="C377" s="172" t="s">
        <v>82</v>
      </c>
      <c r="D377" s="172" t="s">
        <v>211</v>
      </c>
      <c r="E377" s="172">
        <v>1.03226049534625E-3</v>
      </c>
      <c r="F377" s="172">
        <v>21</v>
      </c>
      <c r="G377" s="172">
        <v>0</v>
      </c>
      <c r="H377" s="172">
        <v>15</v>
      </c>
      <c r="I377" s="172">
        <v>4</v>
      </c>
    </row>
    <row r="378" spans="2:9" hidden="1" x14ac:dyDescent="0.3">
      <c r="B378" s="172" t="s">
        <v>22</v>
      </c>
      <c r="C378" s="172" t="s">
        <v>202</v>
      </c>
      <c r="D378" s="172" t="s">
        <v>210</v>
      </c>
      <c r="E378" s="172">
        <v>4.2533018344772303E-5</v>
      </c>
      <c r="F378" s="172">
        <v>59</v>
      </c>
      <c r="G378" s="172">
        <v>21</v>
      </c>
      <c r="H378" s="172">
        <v>0</v>
      </c>
      <c r="I378" s="172">
        <v>4</v>
      </c>
    </row>
    <row r="379" spans="2:9" hidden="1" x14ac:dyDescent="0.3">
      <c r="B379" s="172" t="s">
        <v>22</v>
      </c>
      <c r="C379" s="172" t="s">
        <v>202</v>
      </c>
      <c r="D379" s="172" t="s">
        <v>211</v>
      </c>
      <c r="E379" s="172">
        <v>1.59758098039308E-5</v>
      </c>
      <c r="F379" s="172">
        <v>21</v>
      </c>
      <c r="G379" s="172">
        <v>0</v>
      </c>
      <c r="H379" s="172">
        <v>15</v>
      </c>
      <c r="I379" s="172">
        <v>4</v>
      </c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207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208</v>
      </c>
      <c r="F399" s="169" t="s">
        <v>209</v>
      </c>
      <c r="G399" s="169" t="s">
        <v>210</v>
      </c>
      <c r="H399" s="169" t="s">
        <v>211</v>
      </c>
      <c r="I399" s="170" t="s">
        <v>212</v>
      </c>
    </row>
    <row r="400" spans="2:9" x14ac:dyDescent="0.3">
      <c r="B400" s="191"/>
      <c r="C400" s="191"/>
      <c r="D400" s="191"/>
      <c r="E400" s="191"/>
      <c r="F400" s="191"/>
      <c r="G400" s="191" t="s">
        <v>7</v>
      </c>
      <c r="H400" s="191" t="s">
        <v>7</v>
      </c>
      <c r="I400" s="192" t="s">
        <v>7</v>
      </c>
    </row>
    <row r="401" spans="2:9" s="172" customFormat="1" x14ac:dyDescent="0.3">
      <c r="B401" s="27" t="s">
        <v>213</v>
      </c>
      <c r="C401" s="27" t="s">
        <v>214</v>
      </c>
      <c r="D401" s="27" t="s">
        <v>215</v>
      </c>
      <c r="E401" s="27" t="s">
        <v>216</v>
      </c>
      <c r="F401" s="27" t="s">
        <v>217</v>
      </c>
      <c r="G401" s="27" t="s">
        <v>218</v>
      </c>
      <c r="H401" s="27" t="s">
        <v>219</v>
      </c>
      <c r="I401" s="27" t="s">
        <v>220</v>
      </c>
    </row>
    <row r="402" spans="2:9" hidden="1" x14ac:dyDescent="0.3">
      <c r="B402" s="172" t="s">
        <v>189</v>
      </c>
      <c r="C402" s="172" t="s">
        <v>79</v>
      </c>
      <c r="D402" s="172" t="s">
        <v>210</v>
      </c>
      <c r="E402" s="172">
        <v>3.2035881177986899E-4</v>
      </c>
      <c r="F402" s="172">
        <v>30</v>
      </c>
      <c r="G402" s="172">
        <v>16</v>
      </c>
      <c r="H402" s="172">
        <v>0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211</v>
      </c>
      <c r="E403" s="172">
        <v>1.8803326867947401E-4</v>
      </c>
      <c r="F403" s="172">
        <v>79</v>
      </c>
      <c r="G403" s="172">
        <v>21</v>
      </c>
      <c r="H403" s="172">
        <v>4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210</v>
      </c>
      <c r="E404" s="172">
        <v>3.3839945795123598E-4</v>
      </c>
      <c r="F404" s="172">
        <v>30</v>
      </c>
      <c r="G404" s="172">
        <v>16</v>
      </c>
      <c r="H404" s="172">
        <v>0</v>
      </c>
      <c r="I404" s="172">
        <v>38.5</v>
      </c>
    </row>
    <row r="405" spans="2:9" s="172" customFormat="1" hidden="1" x14ac:dyDescent="0.3">
      <c r="B405" s="172" t="s">
        <v>189</v>
      </c>
      <c r="C405" s="172" t="s">
        <v>80</v>
      </c>
      <c r="D405" s="172" t="s">
        <v>211</v>
      </c>
      <c r="E405" s="172">
        <v>2.3562443900947499E-4</v>
      </c>
      <c r="F405" s="172">
        <v>59</v>
      </c>
      <c r="G405" s="172">
        <v>21</v>
      </c>
      <c r="H405" s="172">
        <v>0</v>
      </c>
      <c r="I405" s="172">
        <v>38.5</v>
      </c>
    </row>
    <row r="406" spans="2:9" hidden="1" x14ac:dyDescent="0.3">
      <c r="B406" s="172" t="s">
        <v>189</v>
      </c>
      <c r="C406" s="172" t="s">
        <v>81</v>
      </c>
      <c r="D406" s="172" t="s">
        <v>210</v>
      </c>
      <c r="E406" s="172">
        <v>1.56141830630461E-4</v>
      </c>
      <c r="F406" s="172">
        <v>30</v>
      </c>
      <c r="G406" s="172">
        <v>16</v>
      </c>
      <c r="H406" s="172">
        <v>0</v>
      </c>
      <c r="I406" s="172">
        <v>38.5</v>
      </c>
    </row>
    <row r="407" spans="2:9" s="172" customFormat="1" hidden="1" x14ac:dyDescent="0.3">
      <c r="B407" s="172" t="s">
        <v>189</v>
      </c>
      <c r="C407" s="172" t="s">
        <v>81</v>
      </c>
      <c r="D407" s="172" t="s">
        <v>211</v>
      </c>
      <c r="E407" s="172">
        <v>6.2502286922491105E-4</v>
      </c>
      <c r="F407" s="172">
        <v>59</v>
      </c>
      <c r="G407" s="172">
        <v>21</v>
      </c>
      <c r="H407" s="172">
        <v>0</v>
      </c>
      <c r="I407" s="172">
        <v>38.5</v>
      </c>
    </row>
    <row r="408" spans="2:9" hidden="1" x14ac:dyDescent="0.3">
      <c r="B408" s="172" t="s">
        <v>189</v>
      </c>
      <c r="C408" s="172" t="s">
        <v>82</v>
      </c>
      <c r="D408" s="172" t="s">
        <v>210</v>
      </c>
      <c r="E408" s="172">
        <v>1.24326653328185E-4</v>
      </c>
      <c r="F408" s="172">
        <v>30</v>
      </c>
      <c r="G408" s="172">
        <v>16</v>
      </c>
      <c r="H408" s="172">
        <v>0</v>
      </c>
      <c r="I408" s="172">
        <v>38.5</v>
      </c>
    </row>
    <row r="409" spans="2:9" x14ac:dyDescent="0.3">
      <c r="B409" s="172" t="s">
        <v>189</v>
      </c>
      <c r="C409" s="172" t="s">
        <v>82</v>
      </c>
      <c r="D409" s="172" t="s">
        <v>211</v>
      </c>
      <c r="E409" s="172">
        <v>5.43909134476706E-4</v>
      </c>
      <c r="F409" s="172">
        <v>59</v>
      </c>
      <c r="G409" s="172">
        <v>21</v>
      </c>
      <c r="H409" s="172">
        <v>0</v>
      </c>
      <c r="I409" s="172">
        <v>38.5</v>
      </c>
    </row>
    <row r="410" spans="2:9" hidden="1" x14ac:dyDescent="0.3">
      <c r="B410" s="172" t="s">
        <v>189</v>
      </c>
      <c r="C410" s="172" t="s">
        <v>202</v>
      </c>
      <c r="D410" s="172" t="s">
        <v>210</v>
      </c>
      <c r="E410" s="172">
        <v>1.9868820833504201E-4</v>
      </c>
      <c r="F410" s="172">
        <v>30</v>
      </c>
      <c r="G410" s="172">
        <v>16</v>
      </c>
      <c r="H410" s="172">
        <v>0</v>
      </c>
      <c r="I410" s="172">
        <v>38.5</v>
      </c>
    </row>
    <row r="411" spans="2:9" s="172" customFormat="1" hidden="1" x14ac:dyDescent="0.3">
      <c r="B411" s="172" t="s">
        <v>189</v>
      </c>
      <c r="C411" s="172" t="s">
        <v>202</v>
      </c>
      <c r="D411" s="172" t="s">
        <v>211</v>
      </c>
      <c r="E411" s="172">
        <v>2.2287991173258401E-4</v>
      </c>
      <c r="F411" s="172">
        <v>30</v>
      </c>
      <c r="G411" s="172">
        <v>16</v>
      </c>
      <c r="H411" s="172">
        <v>0</v>
      </c>
      <c r="I411" s="172">
        <v>38.5</v>
      </c>
    </row>
    <row r="412" spans="2:9" hidden="1" x14ac:dyDescent="0.3">
      <c r="B412" s="172" t="s">
        <v>187</v>
      </c>
      <c r="C412" s="172" t="s">
        <v>79</v>
      </c>
      <c r="D412" s="172" t="s">
        <v>210</v>
      </c>
      <c r="E412" s="172">
        <v>2.8931633828743698E-4</v>
      </c>
      <c r="F412" s="172">
        <v>59</v>
      </c>
      <c r="G412" s="172">
        <v>21</v>
      </c>
      <c r="H412" s="172">
        <v>0</v>
      </c>
      <c r="I412" s="172">
        <v>35.5</v>
      </c>
    </row>
    <row r="413" spans="2:9" hidden="1" x14ac:dyDescent="0.3">
      <c r="B413" s="172" t="s">
        <v>187</v>
      </c>
      <c r="C413" s="172" t="s">
        <v>79</v>
      </c>
      <c r="D413" s="172" t="s">
        <v>211</v>
      </c>
      <c r="E413" s="172">
        <v>1.63050073177384E-4</v>
      </c>
      <c r="F413" s="172">
        <v>59</v>
      </c>
      <c r="G413" s="172">
        <v>21</v>
      </c>
      <c r="H413" s="172">
        <v>0</v>
      </c>
      <c r="I413" s="172">
        <v>35.5</v>
      </c>
    </row>
    <row r="414" spans="2:9" s="172" customFormat="1" hidden="1" x14ac:dyDescent="0.3">
      <c r="B414" s="172" t="s">
        <v>187</v>
      </c>
      <c r="C414" s="172" t="s">
        <v>80</v>
      </c>
      <c r="D414" s="172" t="s">
        <v>210</v>
      </c>
      <c r="E414" s="172">
        <v>3.1528434873341301E-4</v>
      </c>
      <c r="F414" s="172">
        <v>59</v>
      </c>
      <c r="G414" s="172">
        <v>21</v>
      </c>
      <c r="H414" s="172">
        <v>0</v>
      </c>
      <c r="I414" s="172">
        <v>35.5</v>
      </c>
    </row>
    <row r="415" spans="2:9" hidden="1" x14ac:dyDescent="0.3">
      <c r="B415" s="172" t="s">
        <v>187</v>
      </c>
      <c r="C415" s="172" t="s">
        <v>80</v>
      </c>
      <c r="D415" s="172" t="s">
        <v>211</v>
      </c>
      <c r="E415" s="172">
        <v>2.13658433308555E-4</v>
      </c>
      <c r="F415" s="172">
        <v>59</v>
      </c>
      <c r="G415" s="172">
        <v>21</v>
      </c>
      <c r="H415" s="172">
        <v>0</v>
      </c>
      <c r="I415" s="172">
        <v>35.5</v>
      </c>
    </row>
    <row r="416" spans="2:9" hidden="1" x14ac:dyDescent="0.3">
      <c r="B416" s="172" t="s">
        <v>187</v>
      </c>
      <c r="C416" s="172" t="s">
        <v>81</v>
      </c>
      <c r="D416" s="172" t="s">
        <v>210</v>
      </c>
      <c r="E416" s="172">
        <v>1.63727089892441E-4</v>
      </c>
      <c r="F416" s="172">
        <v>59</v>
      </c>
      <c r="G416" s="172">
        <v>21</v>
      </c>
      <c r="H416" s="172">
        <v>0</v>
      </c>
      <c r="I416" s="172">
        <v>35.5</v>
      </c>
    </row>
    <row r="417" spans="2:9" hidden="1" x14ac:dyDescent="0.3">
      <c r="B417" s="172" t="s">
        <v>187</v>
      </c>
      <c r="C417" s="172" t="s">
        <v>81</v>
      </c>
      <c r="D417" s="172" t="s">
        <v>211</v>
      </c>
      <c r="E417" s="172">
        <v>6.0020387498859904E-4</v>
      </c>
      <c r="F417" s="172">
        <v>59</v>
      </c>
      <c r="G417" s="172">
        <v>21</v>
      </c>
      <c r="H417" s="172">
        <v>0</v>
      </c>
      <c r="I417" s="172">
        <v>35.5</v>
      </c>
    </row>
    <row r="418" spans="2:9" hidden="1" x14ac:dyDescent="0.3">
      <c r="B418" s="172" t="s">
        <v>187</v>
      </c>
      <c r="C418" s="172" t="s">
        <v>82</v>
      </c>
      <c r="D418" s="172" t="s">
        <v>210</v>
      </c>
      <c r="E418" s="172">
        <v>1.20348390088616E-4</v>
      </c>
      <c r="F418" s="172">
        <v>59</v>
      </c>
      <c r="G418" s="172">
        <v>21</v>
      </c>
      <c r="H418" s="172">
        <v>0</v>
      </c>
      <c r="I418" s="172">
        <v>35.5</v>
      </c>
    </row>
    <row r="419" spans="2:9" x14ac:dyDescent="0.3">
      <c r="B419" s="172" t="s">
        <v>187</v>
      </c>
      <c r="C419" s="172" t="s">
        <v>82</v>
      </c>
      <c r="D419" s="172" t="s">
        <v>211</v>
      </c>
      <c r="E419" s="172">
        <v>5.1582442218006599E-4</v>
      </c>
      <c r="F419" s="172">
        <v>59</v>
      </c>
      <c r="G419" s="172">
        <v>21</v>
      </c>
      <c r="H419" s="172">
        <v>0</v>
      </c>
      <c r="I419" s="172">
        <v>35.5</v>
      </c>
    </row>
    <row r="420" spans="2:9" hidden="1" x14ac:dyDescent="0.3">
      <c r="B420" s="172" t="s">
        <v>187</v>
      </c>
      <c r="C420" s="172" t="s">
        <v>202</v>
      </c>
      <c r="D420" s="172" t="s">
        <v>210</v>
      </c>
      <c r="E420" s="172">
        <v>5.5932627734241899E-5</v>
      </c>
      <c r="F420" s="172">
        <v>6</v>
      </c>
      <c r="G420" s="172">
        <v>16.25</v>
      </c>
      <c r="H420" s="172">
        <v>15.3</v>
      </c>
      <c r="I420" s="172">
        <v>35.5</v>
      </c>
    </row>
    <row r="421" spans="2:9" hidden="1" x14ac:dyDescent="0.3">
      <c r="B421" s="172" t="s">
        <v>187</v>
      </c>
      <c r="C421" s="172" t="s">
        <v>202</v>
      </c>
      <c r="D421" s="172" t="s">
        <v>211</v>
      </c>
      <c r="E421" s="172">
        <v>4.8806107665855703E-5</v>
      </c>
      <c r="F421" s="172">
        <v>59</v>
      </c>
      <c r="G421" s="172">
        <v>21</v>
      </c>
      <c r="H421" s="172">
        <v>0</v>
      </c>
      <c r="I421" s="172">
        <v>35.5</v>
      </c>
    </row>
    <row r="422" spans="2:9" hidden="1" x14ac:dyDescent="0.3">
      <c r="B422" s="172" t="s">
        <v>185</v>
      </c>
      <c r="C422" s="172" t="s">
        <v>79</v>
      </c>
      <c r="D422" s="172" t="s">
        <v>210</v>
      </c>
      <c r="E422" s="172">
        <v>3.95079118517071E-4</v>
      </c>
      <c r="F422" s="172">
        <v>6</v>
      </c>
      <c r="G422" s="172">
        <v>16.25</v>
      </c>
      <c r="H422" s="172">
        <v>15.3</v>
      </c>
      <c r="I422" s="172">
        <v>32</v>
      </c>
    </row>
    <row r="423" spans="2:9" hidden="1" x14ac:dyDescent="0.3">
      <c r="B423" s="172" t="s">
        <v>185</v>
      </c>
      <c r="C423" s="172" t="s">
        <v>79</v>
      </c>
      <c r="D423" s="172" t="s">
        <v>211</v>
      </c>
      <c r="E423" s="172">
        <v>1.6734692621633799E-4</v>
      </c>
      <c r="F423" s="172">
        <v>21</v>
      </c>
      <c r="G423" s="172">
        <v>0</v>
      </c>
      <c r="H423" s="172">
        <v>15</v>
      </c>
      <c r="I423" s="172">
        <v>32</v>
      </c>
    </row>
    <row r="424" spans="2:9" hidden="1" x14ac:dyDescent="0.3">
      <c r="B424" s="172" t="s">
        <v>185</v>
      </c>
      <c r="C424" s="172" t="s">
        <v>80</v>
      </c>
      <c r="D424" s="172" t="s">
        <v>210</v>
      </c>
      <c r="E424" s="172">
        <v>4.28226960199382E-4</v>
      </c>
      <c r="F424" s="172">
        <v>59</v>
      </c>
      <c r="G424" s="172">
        <v>21</v>
      </c>
      <c r="H424" s="172">
        <v>0</v>
      </c>
      <c r="I424" s="172">
        <v>32</v>
      </c>
    </row>
    <row r="425" spans="2:9" hidden="1" x14ac:dyDescent="0.3">
      <c r="B425" s="172" t="s">
        <v>185</v>
      </c>
      <c r="C425" s="172" t="s">
        <v>80</v>
      </c>
      <c r="D425" s="172" t="s">
        <v>211</v>
      </c>
      <c r="E425" s="172">
        <v>2.30457805277763E-4</v>
      </c>
      <c r="F425" s="172">
        <v>59</v>
      </c>
      <c r="G425" s="172">
        <v>21</v>
      </c>
      <c r="H425" s="172">
        <v>0</v>
      </c>
      <c r="I425" s="172">
        <v>32</v>
      </c>
    </row>
    <row r="426" spans="2:9" hidden="1" x14ac:dyDescent="0.3">
      <c r="B426" s="172" t="s">
        <v>185</v>
      </c>
      <c r="C426" s="172" t="s">
        <v>81</v>
      </c>
      <c r="D426" s="172" t="s">
        <v>210</v>
      </c>
      <c r="E426" s="172">
        <v>1.8307687225288299E-4</v>
      </c>
      <c r="F426" s="172">
        <v>59</v>
      </c>
      <c r="G426" s="172">
        <v>21</v>
      </c>
      <c r="H426" s="172">
        <v>0</v>
      </c>
      <c r="I426" s="172">
        <v>32</v>
      </c>
    </row>
    <row r="427" spans="2:9" hidden="1" x14ac:dyDescent="0.3">
      <c r="B427" s="172" t="s">
        <v>185</v>
      </c>
      <c r="C427" s="172" t="s">
        <v>81</v>
      </c>
      <c r="D427" s="172" t="s">
        <v>211</v>
      </c>
      <c r="E427" s="172">
        <v>7.1697456325239101E-4</v>
      </c>
      <c r="F427" s="172">
        <v>59</v>
      </c>
      <c r="G427" s="172">
        <v>21</v>
      </c>
      <c r="H427" s="172">
        <v>0</v>
      </c>
      <c r="I427" s="172">
        <v>32</v>
      </c>
    </row>
    <row r="428" spans="2:9" hidden="1" x14ac:dyDescent="0.3">
      <c r="B428" s="172" t="s">
        <v>185</v>
      </c>
      <c r="C428" s="172" t="s">
        <v>82</v>
      </c>
      <c r="D428" s="172" t="s">
        <v>210</v>
      </c>
      <c r="E428" s="172">
        <v>1.2426683836948201E-4</v>
      </c>
      <c r="F428" s="172">
        <v>59</v>
      </c>
      <c r="G428" s="172">
        <v>21</v>
      </c>
      <c r="H428" s="172">
        <v>0</v>
      </c>
      <c r="I428" s="172">
        <v>32</v>
      </c>
    </row>
    <row r="429" spans="2:9" x14ac:dyDescent="0.3">
      <c r="B429" s="172" t="s">
        <v>185</v>
      </c>
      <c r="C429" s="172" t="s">
        <v>82</v>
      </c>
      <c r="D429" s="172" t="s">
        <v>211</v>
      </c>
      <c r="E429" s="172">
        <v>6.0705584049178002E-4</v>
      </c>
      <c r="F429" s="172">
        <v>59</v>
      </c>
      <c r="G429" s="172">
        <v>21</v>
      </c>
      <c r="H429" s="172">
        <v>0</v>
      </c>
      <c r="I429" s="172">
        <v>32</v>
      </c>
    </row>
    <row r="430" spans="2:9" hidden="1" x14ac:dyDescent="0.3">
      <c r="B430" s="172" t="s">
        <v>185</v>
      </c>
      <c r="C430" s="172" t="s">
        <v>202</v>
      </c>
      <c r="D430" s="172" t="s">
        <v>210</v>
      </c>
      <c r="E430" s="172">
        <v>6.16745224347903E-5</v>
      </c>
      <c r="F430" s="172">
        <v>6</v>
      </c>
      <c r="G430" s="172">
        <v>16.25</v>
      </c>
      <c r="H430" s="172">
        <v>15.3</v>
      </c>
      <c r="I430" s="172">
        <v>32</v>
      </c>
    </row>
    <row r="431" spans="2:9" hidden="1" x14ac:dyDescent="0.3">
      <c r="B431" s="172" t="s">
        <v>185</v>
      </c>
      <c r="C431" s="172" t="s">
        <v>202</v>
      </c>
      <c r="D431" s="172" t="s">
        <v>211</v>
      </c>
      <c r="E431" s="172">
        <v>4.7142290385715199E-5</v>
      </c>
      <c r="F431" s="172">
        <v>79</v>
      </c>
      <c r="G431" s="172">
        <v>21</v>
      </c>
      <c r="H431" s="172">
        <v>4</v>
      </c>
      <c r="I431" s="172">
        <v>32</v>
      </c>
    </row>
    <row r="432" spans="2:9" hidden="1" x14ac:dyDescent="0.3">
      <c r="B432" s="172" t="s">
        <v>183</v>
      </c>
      <c r="C432" s="172" t="s">
        <v>79</v>
      </c>
      <c r="D432" s="172" t="s">
        <v>210</v>
      </c>
      <c r="E432" s="172">
        <v>5.3724172119639995E-4</v>
      </c>
      <c r="F432" s="172">
        <v>6</v>
      </c>
      <c r="G432" s="172">
        <v>16.25</v>
      </c>
      <c r="H432" s="172">
        <v>15.3</v>
      </c>
      <c r="I432" s="172">
        <v>28.5</v>
      </c>
    </row>
    <row r="433" spans="2:9" hidden="1" x14ac:dyDescent="0.3">
      <c r="B433" s="172" t="s">
        <v>183</v>
      </c>
      <c r="C433" s="172" t="s">
        <v>79</v>
      </c>
      <c r="D433" s="172" t="s">
        <v>211</v>
      </c>
      <c r="E433" s="172">
        <v>2.3687246826181301E-4</v>
      </c>
      <c r="F433" s="172">
        <v>21</v>
      </c>
      <c r="G433" s="172">
        <v>0</v>
      </c>
      <c r="H433" s="172">
        <v>15</v>
      </c>
      <c r="I433" s="172">
        <v>28.5</v>
      </c>
    </row>
    <row r="434" spans="2:9" hidden="1" x14ac:dyDescent="0.3">
      <c r="B434" s="172" t="s">
        <v>183</v>
      </c>
      <c r="C434" s="172" t="s">
        <v>80</v>
      </c>
      <c r="D434" s="172" t="s">
        <v>210</v>
      </c>
      <c r="E434" s="172">
        <v>5.2482693797157795E-4</v>
      </c>
      <c r="F434" s="172">
        <v>59</v>
      </c>
      <c r="G434" s="172">
        <v>21</v>
      </c>
      <c r="H434" s="172">
        <v>0</v>
      </c>
      <c r="I434" s="172">
        <v>28.5</v>
      </c>
    </row>
    <row r="435" spans="2:9" hidden="1" x14ac:dyDescent="0.3">
      <c r="B435" s="172" t="s">
        <v>183</v>
      </c>
      <c r="C435" s="172" t="s">
        <v>80</v>
      </c>
      <c r="D435" s="172" t="s">
        <v>211</v>
      </c>
      <c r="E435" s="172">
        <v>2.3965148593317899E-4</v>
      </c>
      <c r="F435" s="172">
        <v>59</v>
      </c>
      <c r="G435" s="172">
        <v>21</v>
      </c>
      <c r="H435" s="172">
        <v>0</v>
      </c>
      <c r="I435" s="172">
        <v>28.5</v>
      </c>
    </row>
    <row r="436" spans="2:9" hidden="1" x14ac:dyDescent="0.3">
      <c r="B436" s="172" t="s">
        <v>183</v>
      </c>
      <c r="C436" s="172" t="s">
        <v>81</v>
      </c>
      <c r="D436" s="172" t="s">
        <v>210</v>
      </c>
      <c r="E436" s="172">
        <v>1.95707806170642E-4</v>
      </c>
      <c r="F436" s="172">
        <v>59</v>
      </c>
      <c r="G436" s="172">
        <v>21</v>
      </c>
      <c r="H436" s="172">
        <v>0</v>
      </c>
      <c r="I436" s="172">
        <v>28.5</v>
      </c>
    </row>
    <row r="437" spans="2:9" hidden="1" x14ac:dyDescent="0.3">
      <c r="B437" s="172" t="s">
        <v>183</v>
      </c>
      <c r="C437" s="172" t="s">
        <v>81</v>
      </c>
      <c r="D437" s="172" t="s">
        <v>211</v>
      </c>
      <c r="E437" s="172">
        <v>8.1282247349050705E-4</v>
      </c>
      <c r="F437" s="172">
        <v>59</v>
      </c>
      <c r="G437" s="172">
        <v>21</v>
      </c>
      <c r="H437" s="172">
        <v>0</v>
      </c>
      <c r="I437" s="172">
        <v>28.5</v>
      </c>
    </row>
    <row r="438" spans="2:9" hidden="1" x14ac:dyDescent="0.3">
      <c r="B438" s="172" t="s">
        <v>183</v>
      </c>
      <c r="C438" s="172" t="s">
        <v>82</v>
      </c>
      <c r="D438" s="172" t="s">
        <v>210</v>
      </c>
      <c r="E438" s="172">
        <v>1.8644675616021799E-4</v>
      </c>
      <c r="F438" s="172">
        <v>6</v>
      </c>
      <c r="G438" s="172">
        <v>16.25</v>
      </c>
      <c r="H438" s="172">
        <v>15.3</v>
      </c>
      <c r="I438" s="172">
        <v>28.5</v>
      </c>
    </row>
    <row r="439" spans="2:9" x14ac:dyDescent="0.3">
      <c r="B439" s="172" t="s">
        <v>183</v>
      </c>
      <c r="C439" s="172" t="s">
        <v>82</v>
      </c>
      <c r="D439" s="172" t="s">
        <v>211</v>
      </c>
      <c r="E439" s="172">
        <v>7.6743232497834899E-4</v>
      </c>
      <c r="F439" s="172">
        <v>21</v>
      </c>
      <c r="G439" s="172">
        <v>0</v>
      </c>
      <c r="H439" s="172">
        <v>15</v>
      </c>
      <c r="I439" s="172">
        <v>28.5</v>
      </c>
    </row>
    <row r="440" spans="2:9" hidden="1" x14ac:dyDescent="0.3">
      <c r="B440" s="172" t="s">
        <v>183</v>
      </c>
      <c r="C440" s="172" t="s">
        <v>202</v>
      </c>
      <c r="D440" s="172" t="s">
        <v>210</v>
      </c>
      <c r="E440" s="172">
        <v>5.7204069365563E-5</v>
      </c>
      <c r="F440" s="172">
        <v>6</v>
      </c>
      <c r="G440" s="172">
        <v>16.25</v>
      </c>
      <c r="H440" s="172">
        <v>15.3</v>
      </c>
      <c r="I440" s="172">
        <v>28.5</v>
      </c>
    </row>
    <row r="441" spans="2:9" hidden="1" x14ac:dyDescent="0.3">
      <c r="B441" s="172" t="s">
        <v>183</v>
      </c>
      <c r="C441" s="172" t="s">
        <v>202</v>
      </c>
      <c r="D441" s="172" t="s">
        <v>211</v>
      </c>
      <c r="E441" s="172">
        <v>4.4459413146827102E-5</v>
      </c>
      <c r="F441" s="172">
        <v>59</v>
      </c>
      <c r="G441" s="172">
        <v>21</v>
      </c>
      <c r="H441" s="172">
        <v>0</v>
      </c>
      <c r="I441" s="172">
        <v>28.5</v>
      </c>
    </row>
    <row r="442" spans="2:9" hidden="1" x14ac:dyDescent="0.3">
      <c r="B442" s="172" t="s">
        <v>181</v>
      </c>
      <c r="C442" s="172" t="s">
        <v>79</v>
      </c>
      <c r="D442" s="172" t="s">
        <v>210</v>
      </c>
      <c r="E442" s="172">
        <v>6.5773942106748899E-4</v>
      </c>
      <c r="F442" s="172">
        <v>6</v>
      </c>
      <c r="G442" s="172">
        <v>16.25</v>
      </c>
      <c r="H442" s="172">
        <v>15.3</v>
      </c>
      <c r="I442" s="172">
        <v>25</v>
      </c>
    </row>
    <row r="443" spans="2:9" hidden="1" x14ac:dyDescent="0.3">
      <c r="B443" s="172" t="s">
        <v>181</v>
      </c>
      <c r="C443" s="172" t="s">
        <v>79</v>
      </c>
      <c r="D443" s="172" t="s">
        <v>211</v>
      </c>
      <c r="E443" s="172">
        <v>2.9479215577646399E-4</v>
      </c>
      <c r="F443" s="172">
        <v>18</v>
      </c>
      <c r="G443" s="172">
        <v>0</v>
      </c>
      <c r="H443" s="172">
        <v>0</v>
      </c>
      <c r="I443" s="172">
        <v>25</v>
      </c>
    </row>
    <row r="444" spans="2:9" hidden="1" x14ac:dyDescent="0.3">
      <c r="B444" s="172" t="s">
        <v>181</v>
      </c>
      <c r="C444" s="172" t="s">
        <v>80</v>
      </c>
      <c r="D444" s="172" t="s">
        <v>210</v>
      </c>
      <c r="E444" s="172">
        <v>6.0484670643128405E-4</v>
      </c>
      <c r="F444" s="172">
        <v>59</v>
      </c>
      <c r="G444" s="172">
        <v>21</v>
      </c>
      <c r="H444" s="172">
        <v>0</v>
      </c>
      <c r="I444" s="172">
        <v>25</v>
      </c>
    </row>
    <row r="445" spans="2:9" hidden="1" x14ac:dyDescent="0.3">
      <c r="B445" s="172" t="s">
        <v>181</v>
      </c>
      <c r="C445" s="172" t="s">
        <v>80</v>
      </c>
      <c r="D445" s="172" t="s">
        <v>211</v>
      </c>
      <c r="E445" s="172">
        <v>2.4374225341504901E-4</v>
      </c>
      <c r="F445" s="172">
        <v>59</v>
      </c>
      <c r="G445" s="172">
        <v>21</v>
      </c>
      <c r="H445" s="172">
        <v>0</v>
      </c>
      <c r="I445" s="172">
        <v>25</v>
      </c>
    </row>
    <row r="446" spans="2:9" hidden="1" x14ac:dyDescent="0.3">
      <c r="B446" s="172" t="s">
        <v>181</v>
      </c>
      <c r="C446" s="172" t="s">
        <v>81</v>
      </c>
      <c r="D446" s="172" t="s">
        <v>210</v>
      </c>
      <c r="E446" s="172">
        <v>2.0373082889241299E-4</v>
      </c>
      <c r="F446" s="172">
        <v>59</v>
      </c>
      <c r="G446" s="172">
        <v>21</v>
      </c>
      <c r="H446" s="172">
        <v>0</v>
      </c>
      <c r="I446" s="172">
        <v>25</v>
      </c>
    </row>
    <row r="447" spans="2:9" hidden="1" x14ac:dyDescent="0.3">
      <c r="B447" s="172" t="s">
        <v>181</v>
      </c>
      <c r="C447" s="172" t="s">
        <v>81</v>
      </c>
      <c r="D447" s="172" t="s">
        <v>211</v>
      </c>
      <c r="E447" s="172">
        <v>8.8497333578156699E-4</v>
      </c>
      <c r="F447" s="172">
        <v>59</v>
      </c>
      <c r="G447" s="172">
        <v>21</v>
      </c>
      <c r="H447" s="172">
        <v>0</v>
      </c>
      <c r="I447" s="172">
        <v>25</v>
      </c>
    </row>
    <row r="448" spans="2:9" hidden="1" x14ac:dyDescent="0.3">
      <c r="B448" s="172" t="s">
        <v>181</v>
      </c>
      <c r="C448" s="172" t="s">
        <v>82</v>
      </c>
      <c r="D448" s="172" t="s">
        <v>210</v>
      </c>
      <c r="E448" s="172">
        <v>2.5160414299701597E-4</v>
      </c>
      <c r="F448" s="172">
        <v>6</v>
      </c>
      <c r="G448" s="172">
        <v>16.25</v>
      </c>
      <c r="H448" s="172">
        <v>15.3</v>
      </c>
      <c r="I448" s="172">
        <v>25</v>
      </c>
    </row>
    <row r="449" spans="2:9" x14ac:dyDescent="0.3">
      <c r="B449" s="172" t="s">
        <v>181</v>
      </c>
      <c r="C449" s="172" t="s">
        <v>82</v>
      </c>
      <c r="D449" s="172" t="s">
        <v>211</v>
      </c>
      <c r="E449" s="172">
        <v>9.1545036403225502E-4</v>
      </c>
      <c r="F449" s="172">
        <v>21</v>
      </c>
      <c r="G449" s="172">
        <v>0</v>
      </c>
      <c r="H449" s="172">
        <v>15</v>
      </c>
      <c r="I449" s="172">
        <v>25</v>
      </c>
    </row>
    <row r="450" spans="2:9" hidden="1" x14ac:dyDescent="0.3">
      <c r="B450" s="172" t="s">
        <v>181</v>
      </c>
      <c r="C450" s="172" t="s">
        <v>202</v>
      </c>
      <c r="D450" s="172" t="s">
        <v>210</v>
      </c>
      <c r="E450" s="172">
        <v>5.1713662992131902E-5</v>
      </c>
      <c r="F450" s="172">
        <v>6</v>
      </c>
      <c r="G450" s="172">
        <v>16.25</v>
      </c>
      <c r="H450" s="172">
        <v>15.3</v>
      </c>
      <c r="I450" s="172">
        <v>25</v>
      </c>
    </row>
    <row r="451" spans="2:9" hidden="1" x14ac:dyDescent="0.3">
      <c r="B451" s="172" t="s">
        <v>181</v>
      </c>
      <c r="C451" s="172" t="s">
        <v>202</v>
      </c>
      <c r="D451" s="172" t="s">
        <v>211</v>
      </c>
      <c r="E451" s="172">
        <v>4.0806706802977998E-5</v>
      </c>
      <c r="F451" s="172">
        <v>59</v>
      </c>
      <c r="G451" s="172">
        <v>21</v>
      </c>
      <c r="H451" s="172">
        <v>0</v>
      </c>
      <c r="I451" s="172">
        <v>25</v>
      </c>
    </row>
    <row r="452" spans="2:9" hidden="1" x14ac:dyDescent="0.3">
      <c r="B452" s="172" t="s">
        <v>179</v>
      </c>
      <c r="C452" s="172" t="s">
        <v>79</v>
      </c>
      <c r="D452" s="172" t="s">
        <v>210</v>
      </c>
      <c r="E452" s="172">
        <v>7.5873346457583802E-4</v>
      </c>
      <c r="F452" s="172">
        <v>6</v>
      </c>
      <c r="G452" s="172">
        <v>16.25</v>
      </c>
      <c r="H452" s="172">
        <v>15.3</v>
      </c>
      <c r="I452" s="172">
        <v>21.5</v>
      </c>
    </row>
    <row r="453" spans="2:9" hidden="1" x14ac:dyDescent="0.3">
      <c r="B453" s="172" t="s">
        <v>179</v>
      </c>
      <c r="C453" s="172" t="s">
        <v>79</v>
      </c>
      <c r="D453" s="172" t="s">
        <v>211</v>
      </c>
      <c r="E453" s="172">
        <v>3.4379248739735998E-4</v>
      </c>
      <c r="F453" s="172">
        <v>21</v>
      </c>
      <c r="G453" s="172">
        <v>0</v>
      </c>
      <c r="H453" s="172">
        <v>15</v>
      </c>
      <c r="I453" s="172">
        <v>21.5</v>
      </c>
    </row>
    <row r="454" spans="2:9" hidden="1" x14ac:dyDescent="0.3">
      <c r="B454" s="172" t="s">
        <v>179</v>
      </c>
      <c r="C454" s="172" t="s">
        <v>80</v>
      </c>
      <c r="D454" s="172" t="s">
        <v>210</v>
      </c>
      <c r="E454" s="172">
        <v>6.7379552401995301E-4</v>
      </c>
      <c r="F454" s="172">
        <v>6</v>
      </c>
      <c r="G454" s="172">
        <v>16.25</v>
      </c>
      <c r="H454" s="172">
        <v>15.3</v>
      </c>
      <c r="I454" s="172">
        <v>21.5</v>
      </c>
    </row>
    <row r="455" spans="2:9" hidden="1" x14ac:dyDescent="0.3">
      <c r="B455" s="172" t="s">
        <v>179</v>
      </c>
      <c r="C455" s="172" t="s">
        <v>80</v>
      </c>
      <c r="D455" s="172" t="s">
        <v>211</v>
      </c>
      <c r="E455" s="172">
        <v>2.4991788704384202E-4</v>
      </c>
      <c r="F455" s="172">
        <v>21</v>
      </c>
      <c r="G455" s="172">
        <v>0</v>
      </c>
      <c r="H455" s="172">
        <v>15</v>
      </c>
      <c r="I455" s="172">
        <v>21.5</v>
      </c>
    </row>
    <row r="456" spans="2:9" hidden="1" x14ac:dyDescent="0.3">
      <c r="B456" s="172" t="s">
        <v>179</v>
      </c>
      <c r="C456" s="172" t="s">
        <v>81</v>
      </c>
      <c r="D456" s="172" t="s">
        <v>210</v>
      </c>
      <c r="E456" s="172">
        <v>2.0726701483126799E-4</v>
      </c>
      <c r="F456" s="172">
        <v>59</v>
      </c>
      <c r="G456" s="172">
        <v>21</v>
      </c>
      <c r="H456" s="172">
        <v>0</v>
      </c>
      <c r="I456" s="172">
        <v>21.5</v>
      </c>
    </row>
    <row r="457" spans="2:9" hidden="1" x14ac:dyDescent="0.3">
      <c r="B457" s="172" t="s">
        <v>179</v>
      </c>
      <c r="C457" s="172" t="s">
        <v>81</v>
      </c>
      <c r="D457" s="172" t="s">
        <v>211</v>
      </c>
      <c r="E457" s="172">
        <v>9.3370938285529295E-4</v>
      </c>
      <c r="F457" s="172">
        <v>59</v>
      </c>
      <c r="G457" s="172">
        <v>21</v>
      </c>
      <c r="H457" s="172">
        <v>0</v>
      </c>
      <c r="I457" s="172">
        <v>21.5</v>
      </c>
    </row>
    <row r="458" spans="2:9" hidden="1" x14ac:dyDescent="0.3">
      <c r="B458" s="172" t="s">
        <v>179</v>
      </c>
      <c r="C458" s="172" t="s">
        <v>82</v>
      </c>
      <c r="D458" s="172" t="s">
        <v>210</v>
      </c>
      <c r="E458" s="172">
        <v>3.0819426723551201E-4</v>
      </c>
      <c r="F458" s="172">
        <v>6</v>
      </c>
      <c r="G458" s="172">
        <v>16.25</v>
      </c>
      <c r="H458" s="172">
        <v>15.3</v>
      </c>
      <c r="I458" s="172">
        <v>21.5</v>
      </c>
    </row>
    <row r="459" spans="2:9" x14ac:dyDescent="0.3">
      <c r="B459" s="172" t="s">
        <v>179</v>
      </c>
      <c r="C459" s="172" t="s">
        <v>82</v>
      </c>
      <c r="D459" s="172" t="s">
        <v>211</v>
      </c>
      <c r="E459" s="172">
        <v>1.03541996645061E-3</v>
      </c>
      <c r="F459" s="172">
        <v>21</v>
      </c>
      <c r="G459" s="172">
        <v>0</v>
      </c>
      <c r="H459" s="172">
        <v>15</v>
      </c>
      <c r="I459" s="172">
        <v>21.5</v>
      </c>
    </row>
    <row r="460" spans="2:9" hidden="1" x14ac:dyDescent="0.3">
      <c r="B460" s="172" t="s">
        <v>179</v>
      </c>
      <c r="C460" s="172" t="s">
        <v>202</v>
      </c>
      <c r="D460" s="172" t="s">
        <v>210</v>
      </c>
      <c r="E460" s="172">
        <v>4.5031807274036501E-5</v>
      </c>
      <c r="F460" s="172">
        <v>6</v>
      </c>
      <c r="G460" s="172">
        <v>16.25</v>
      </c>
      <c r="H460" s="172">
        <v>15.3</v>
      </c>
      <c r="I460" s="172">
        <v>21.5</v>
      </c>
    </row>
    <row r="461" spans="2:9" hidden="1" x14ac:dyDescent="0.3">
      <c r="B461" s="172" t="s">
        <v>179</v>
      </c>
      <c r="C461" s="172" t="s">
        <v>202</v>
      </c>
      <c r="D461" s="172" t="s">
        <v>211</v>
      </c>
      <c r="E461" s="172">
        <v>3.6463857889224001E-5</v>
      </c>
      <c r="F461" s="172">
        <v>59</v>
      </c>
      <c r="G461" s="172">
        <v>21</v>
      </c>
      <c r="H461" s="172">
        <v>0</v>
      </c>
      <c r="I461" s="172">
        <v>21.5</v>
      </c>
    </row>
    <row r="462" spans="2:9" hidden="1" x14ac:dyDescent="0.3">
      <c r="B462" s="172" t="s">
        <v>39</v>
      </c>
      <c r="C462" s="172" t="s">
        <v>79</v>
      </c>
      <c r="D462" s="172" t="s">
        <v>210</v>
      </c>
      <c r="E462" s="172">
        <v>8.3877218430680701E-4</v>
      </c>
      <c r="F462" s="172">
        <v>6</v>
      </c>
      <c r="G462" s="172">
        <v>16.25</v>
      </c>
      <c r="H462" s="172">
        <v>15.3</v>
      </c>
      <c r="I462" s="172">
        <v>18</v>
      </c>
    </row>
    <row r="463" spans="2:9" hidden="1" x14ac:dyDescent="0.3">
      <c r="B463" s="172" t="s">
        <v>39</v>
      </c>
      <c r="C463" s="172" t="s">
        <v>79</v>
      </c>
      <c r="D463" s="172" t="s">
        <v>211</v>
      </c>
      <c r="E463" s="172">
        <v>3.8950502675285802E-4</v>
      </c>
      <c r="F463" s="172">
        <v>21</v>
      </c>
      <c r="G463" s="172">
        <v>0</v>
      </c>
      <c r="H463" s="172">
        <v>15</v>
      </c>
      <c r="I463" s="172">
        <v>18</v>
      </c>
    </row>
    <row r="464" spans="2:9" hidden="1" x14ac:dyDescent="0.3">
      <c r="B464" s="172" t="s">
        <v>39</v>
      </c>
      <c r="C464" s="172" t="s">
        <v>80</v>
      </c>
      <c r="D464" s="172" t="s">
        <v>210</v>
      </c>
      <c r="E464" s="172">
        <v>7.4567754579220596E-4</v>
      </c>
      <c r="F464" s="172">
        <v>6</v>
      </c>
      <c r="G464" s="172">
        <v>16.25</v>
      </c>
      <c r="H464" s="172">
        <v>15.3</v>
      </c>
      <c r="I464" s="172">
        <v>18</v>
      </c>
    </row>
    <row r="465" spans="2:9" hidden="1" x14ac:dyDescent="0.3">
      <c r="B465" s="172" t="s">
        <v>39</v>
      </c>
      <c r="C465" s="172" t="s">
        <v>80</v>
      </c>
      <c r="D465" s="172" t="s">
        <v>211</v>
      </c>
      <c r="E465" s="172">
        <v>2.84974314163716E-4</v>
      </c>
      <c r="F465" s="172">
        <v>21</v>
      </c>
      <c r="G465" s="172">
        <v>0</v>
      </c>
      <c r="H465" s="172">
        <v>15</v>
      </c>
      <c r="I465" s="172">
        <v>18</v>
      </c>
    </row>
    <row r="466" spans="2:9" hidden="1" x14ac:dyDescent="0.3">
      <c r="B466" s="172" t="s">
        <v>39</v>
      </c>
      <c r="C466" s="172" t="s">
        <v>81</v>
      </c>
      <c r="D466" s="172" t="s">
        <v>210</v>
      </c>
      <c r="E466" s="172">
        <v>2.1239285168460001E-4</v>
      </c>
      <c r="F466" s="172">
        <v>6</v>
      </c>
      <c r="G466" s="172">
        <v>16.25</v>
      </c>
      <c r="H466" s="172">
        <v>15.3</v>
      </c>
      <c r="I466" s="172">
        <v>18</v>
      </c>
    </row>
    <row r="467" spans="2:9" hidden="1" x14ac:dyDescent="0.3">
      <c r="B467" s="172" t="s">
        <v>39</v>
      </c>
      <c r="C467" s="172" t="s">
        <v>81</v>
      </c>
      <c r="D467" s="172" t="s">
        <v>211</v>
      </c>
      <c r="E467" s="172">
        <v>9.6579348836180797E-4</v>
      </c>
      <c r="F467" s="172">
        <v>21</v>
      </c>
      <c r="G467" s="172">
        <v>0</v>
      </c>
      <c r="H467" s="172">
        <v>15</v>
      </c>
      <c r="I467" s="172">
        <v>18</v>
      </c>
    </row>
    <row r="468" spans="2:9" hidden="1" x14ac:dyDescent="0.3">
      <c r="B468" s="172" t="s">
        <v>39</v>
      </c>
      <c r="C468" s="172" t="s">
        <v>82</v>
      </c>
      <c r="D468" s="172" t="s">
        <v>210</v>
      </c>
      <c r="E468" s="172">
        <v>3.6181062941606002E-4</v>
      </c>
      <c r="F468" s="172">
        <v>6</v>
      </c>
      <c r="G468" s="172">
        <v>16.25</v>
      </c>
      <c r="H468" s="172">
        <v>15.3</v>
      </c>
      <c r="I468" s="172">
        <v>18</v>
      </c>
    </row>
    <row r="469" spans="2:9" x14ac:dyDescent="0.3">
      <c r="B469" s="172" t="s">
        <v>39</v>
      </c>
      <c r="C469" s="172" t="s">
        <v>82</v>
      </c>
      <c r="D469" s="172" t="s">
        <v>211</v>
      </c>
      <c r="E469" s="172">
        <v>1.13343669758234E-3</v>
      </c>
      <c r="F469" s="172">
        <v>21</v>
      </c>
      <c r="G469" s="172">
        <v>0</v>
      </c>
      <c r="H469" s="172">
        <v>15</v>
      </c>
      <c r="I469" s="172">
        <v>18</v>
      </c>
    </row>
    <row r="470" spans="2:9" hidden="1" x14ac:dyDescent="0.3">
      <c r="B470" s="172" t="s">
        <v>39</v>
      </c>
      <c r="C470" s="172" t="s">
        <v>202</v>
      </c>
      <c r="D470" s="172" t="s">
        <v>210</v>
      </c>
      <c r="E470" s="172">
        <v>3.6350412482959297E-5</v>
      </c>
      <c r="F470" s="172">
        <v>6</v>
      </c>
      <c r="G470" s="172">
        <v>16.25</v>
      </c>
      <c r="H470" s="172">
        <v>15.3</v>
      </c>
      <c r="I470" s="172">
        <v>18</v>
      </c>
    </row>
    <row r="471" spans="2:9" hidden="1" x14ac:dyDescent="0.3">
      <c r="B471" s="172" t="s">
        <v>39</v>
      </c>
      <c r="C471" s="172" t="s">
        <v>202</v>
      </c>
      <c r="D471" s="172" t="s">
        <v>211</v>
      </c>
      <c r="E471" s="172">
        <v>3.0084011752944601E-5</v>
      </c>
      <c r="F471" s="172">
        <v>59</v>
      </c>
      <c r="G471" s="172">
        <v>21</v>
      </c>
      <c r="H471" s="172">
        <v>0</v>
      </c>
      <c r="I471" s="172">
        <v>18</v>
      </c>
    </row>
    <row r="472" spans="2:9" hidden="1" x14ac:dyDescent="0.3">
      <c r="B472" s="172" t="s">
        <v>26</v>
      </c>
      <c r="C472" s="172" t="s">
        <v>79</v>
      </c>
      <c r="D472" s="172" t="s">
        <v>210</v>
      </c>
      <c r="E472" s="172">
        <v>9.0123156549779101E-4</v>
      </c>
      <c r="F472" s="172">
        <v>6</v>
      </c>
      <c r="G472" s="172">
        <v>16.25</v>
      </c>
      <c r="H472" s="172">
        <v>15.3</v>
      </c>
      <c r="I472" s="172">
        <v>14.5</v>
      </c>
    </row>
    <row r="473" spans="2:9" hidden="1" x14ac:dyDescent="0.3">
      <c r="B473" s="172" t="s">
        <v>26</v>
      </c>
      <c r="C473" s="172" t="s">
        <v>79</v>
      </c>
      <c r="D473" s="172" t="s">
        <v>211</v>
      </c>
      <c r="E473" s="172">
        <v>4.2944424808054598E-4</v>
      </c>
      <c r="F473" s="172">
        <v>18</v>
      </c>
      <c r="G473" s="172">
        <v>0</v>
      </c>
      <c r="H473" s="172">
        <v>0</v>
      </c>
      <c r="I473" s="172">
        <v>14.5</v>
      </c>
    </row>
    <row r="474" spans="2:9" hidden="1" x14ac:dyDescent="0.3">
      <c r="B474" s="172" t="s">
        <v>26</v>
      </c>
      <c r="C474" s="172" t="s">
        <v>80</v>
      </c>
      <c r="D474" s="172" t="s">
        <v>210</v>
      </c>
      <c r="E474" s="172">
        <v>8.0194007114043199E-4</v>
      </c>
      <c r="F474" s="172">
        <v>6</v>
      </c>
      <c r="G474" s="172">
        <v>16.25</v>
      </c>
      <c r="H474" s="172">
        <v>15.3</v>
      </c>
      <c r="I474" s="172">
        <v>14.5</v>
      </c>
    </row>
    <row r="475" spans="2:9" hidden="1" x14ac:dyDescent="0.3">
      <c r="B475" s="172" t="s">
        <v>26</v>
      </c>
      <c r="C475" s="172" t="s">
        <v>80</v>
      </c>
      <c r="D475" s="172" t="s">
        <v>211</v>
      </c>
      <c r="E475" s="172">
        <v>3.1644227973064398E-4</v>
      </c>
      <c r="F475" s="172">
        <v>21</v>
      </c>
      <c r="G475" s="172">
        <v>0</v>
      </c>
      <c r="H475" s="172">
        <v>15</v>
      </c>
      <c r="I475" s="172">
        <v>14.5</v>
      </c>
    </row>
    <row r="476" spans="2:9" hidden="1" x14ac:dyDescent="0.3">
      <c r="B476" s="172" t="s">
        <v>26</v>
      </c>
      <c r="C476" s="172" t="s">
        <v>81</v>
      </c>
      <c r="D476" s="172" t="s">
        <v>210</v>
      </c>
      <c r="E476" s="172">
        <v>2.5261163412453199E-4</v>
      </c>
      <c r="F476" s="172">
        <v>6</v>
      </c>
      <c r="G476" s="172">
        <v>16.25</v>
      </c>
      <c r="H476" s="172">
        <v>15.3</v>
      </c>
      <c r="I476" s="172">
        <v>14.5</v>
      </c>
    </row>
    <row r="477" spans="2:9" hidden="1" x14ac:dyDescent="0.3">
      <c r="B477" s="172" t="s">
        <v>26</v>
      </c>
      <c r="C477" s="172" t="s">
        <v>81</v>
      </c>
      <c r="D477" s="172" t="s">
        <v>211</v>
      </c>
      <c r="E477" s="172">
        <v>1.0324569463526401E-3</v>
      </c>
      <c r="F477" s="172">
        <v>21</v>
      </c>
      <c r="G477" s="172">
        <v>0</v>
      </c>
      <c r="H477" s="172">
        <v>15</v>
      </c>
      <c r="I477" s="172">
        <v>14.5</v>
      </c>
    </row>
    <row r="478" spans="2:9" hidden="1" x14ac:dyDescent="0.3">
      <c r="B478" s="172" t="s">
        <v>26</v>
      </c>
      <c r="C478" s="172" t="s">
        <v>82</v>
      </c>
      <c r="D478" s="172" t="s">
        <v>210</v>
      </c>
      <c r="E478" s="172">
        <v>4.1113467948006001E-4</v>
      </c>
      <c r="F478" s="172">
        <v>6</v>
      </c>
      <c r="G478" s="172">
        <v>16.25</v>
      </c>
      <c r="H478" s="172">
        <v>15.3</v>
      </c>
      <c r="I478" s="172">
        <v>14.5</v>
      </c>
    </row>
    <row r="479" spans="2:9" x14ac:dyDescent="0.3">
      <c r="B479" s="172" t="s">
        <v>26</v>
      </c>
      <c r="C479" s="172" t="s">
        <v>82</v>
      </c>
      <c r="D479" s="172" t="s">
        <v>211</v>
      </c>
      <c r="E479" s="172">
        <v>1.21272122690351E-3</v>
      </c>
      <c r="F479" s="172">
        <v>21</v>
      </c>
      <c r="G479" s="172">
        <v>0</v>
      </c>
      <c r="H479" s="172">
        <v>15</v>
      </c>
      <c r="I479" s="172">
        <v>14.5</v>
      </c>
    </row>
    <row r="480" spans="2:9" hidden="1" x14ac:dyDescent="0.3">
      <c r="B480" s="172" t="s">
        <v>26</v>
      </c>
      <c r="C480" s="172" t="s">
        <v>202</v>
      </c>
      <c r="D480" s="172" t="s">
        <v>210</v>
      </c>
      <c r="E480" s="172">
        <v>2.8041802582437698E-5</v>
      </c>
      <c r="F480" s="172">
        <v>6</v>
      </c>
      <c r="G480" s="172">
        <v>16.25</v>
      </c>
      <c r="H480" s="172">
        <v>15.3</v>
      </c>
      <c r="I480" s="172">
        <v>14.5</v>
      </c>
    </row>
    <row r="481" spans="2:9" hidden="1" x14ac:dyDescent="0.3">
      <c r="B481" s="172" t="s">
        <v>26</v>
      </c>
      <c r="C481" s="172" t="s">
        <v>202</v>
      </c>
      <c r="D481" s="172" t="s">
        <v>211</v>
      </c>
      <c r="E481" s="172">
        <v>2.7926578303162902E-5</v>
      </c>
      <c r="F481" s="172">
        <v>59</v>
      </c>
      <c r="G481" s="172">
        <v>21</v>
      </c>
      <c r="H481" s="172">
        <v>0</v>
      </c>
      <c r="I481" s="172">
        <v>14.5</v>
      </c>
    </row>
    <row r="482" spans="2:9" hidden="1" x14ac:dyDescent="0.3">
      <c r="B482" s="172" t="s">
        <v>25</v>
      </c>
      <c r="C482" s="172" t="s">
        <v>79</v>
      </c>
      <c r="D482" s="172" t="s">
        <v>210</v>
      </c>
      <c r="E482" s="172">
        <v>9.4873421815185402E-4</v>
      </c>
      <c r="F482" s="172">
        <v>6</v>
      </c>
      <c r="G482" s="172">
        <v>16.25</v>
      </c>
      <c r="H482" s="172">
        <v>15.3</v>
      </c>
      <c r="I482" s="172">
        <v>11</v>
      </c>
    </row>
    <row r="483" spans="2:9" hidden="1" x14ac:dyDescent="0.3">
      <c r="B483" s="172" t="s">
        <v>25</v>
      </c>
      <c r="C483" s="172" t="s">
        <v>79</v>
      </c>
      <c r="D483" s="172" t="s">
        <v>211</v>
      </c>
      <c r="E483" s="172">
        <v>4.5901470086891498E-4</v>
      </c>
      <c r="F483" s="172">
        <v>21</v>
      </c>
      <c r="G483" s="172">
        <v>0</v>
      </c>
      <c r="H483" s="172">
        <v>15</v>
      </c>
      <c r="I483" s="172">
        <v>11</v>
      </c>
    </row>
    <row r="484" spans="2:9" hidden="1" x14ac:dyDescent="0.3">
      <c r="B484" s="172" t="s">
        <v>25</v>
      </c>
      <c r="C484" s="172" t="s">
        <v>80</v>
      </c>
      <c r="D484" s="172" t="s">
        <v>210</v>
      </c>
      <c r="E484" s="172">
        <v>8.4532940391292505E-4</v>
      </c>
      <c r="F484" s="172">
        <v>6</v>
      </c>
      <c r="G484" s="172">
        <v>16.25</v>
      </c>
      <c r="H484" s="172">
        <v>15.3</v>
      </c>
      <c r="I484" s="172">
        <v>11</v>
      </c>
    </row>
    <row r="485" spans="2:9" hidden="1" x14ac:dyDescent="0.3">
      <c r="B485" s="172" t="s">
        <v>25</v>
      </c>
      <c r="C485" s="172" t="s">
        <v>80</v>
      </c>
      <c r="D485" s="172" t="s">
        <v>211</v>
      </c>
      <c r="E485" s="172">
        <v>3.39397430122098E-4</v>
      </c>
      <c r="F485" s="172">
        <v>21</v>
      </c>
      <c r="G485" s="172">
        <v>0</v>
      </c>
      <c r="H485" s="172">
        <v>15</v>
      </c>
      <c r="I485" s="172">
        <v>11</v>
      </c>
    </row>
    <row r="486" spans="2:9" hidden="1" x14ac:dyDescent="0.3">
      <c r="B486" s="172" t="s">
        <v>25</v>
      </c>
      <c r="C486" s="172" t="s">
        <v>81</v>
      </c>
      <c r="D486" s="172" t="s">
        <v>210</v>
      </c>
      <c r="E486" s="172">
        <v>2.9154880890503598E-4</v>
      </c>
      <c r="F486" s="172">
        <v>6</v>
      </c>
      <c r="G486" s="172">
        <v>16.25</v>
      </c>
      <c r="H486" s="172">
        <v>15.3</v>
      </c>
      <c r="I486" s="172">
        <v>11</v>
      </c>
    </row>
    <row r="487" spans="2:9" hidden="1" x14ac:dyDescent="0.3">
      <c r="B487" s="172" t="s">
        <v>25</v>
      </c>
      <c r="C487" s="172" t="s">
        <v>81</v>
      </c>
      <c r="D487" s="172" t="s">
        <v>211</v>
      </c>
      <c r="E487" s="172">
        <v>1.07802504992882E-3</v>
      </c>
      <c r="F487" s="172">
        <v>21</v>
      </c>
      <c r="G487" s="172">
        <v>0</v>
      </c>
      <c r="H487" s="172">
        <v>15</v>
      </c>
      <c r="I487" s="172">
        <v>11</v>
      </c>
    </row>
    <row r="488" spans="2:9" hidden="1" x14ac:dyDescent="0.3">
      <c r="B488" s="172" t="s">
        <v>25</v>
      </c>
      <c r="C488" s="172" t="s">
        <v>82</v>
      </c>
      <c r="D488" s="172" t="s">
        <v>210</v>
      </c>
      <c r="E488" s="172">
        <v>4.56240737646569E-4</v>
      </c>
      <c r="F488" s="172">
        <v>6</v>
      </c>
      <c r="G488" s="172">
        <v>16.25</v>
      </c>
      <c r="H488" s="172">
        <v>15.3</v>
      </c>
      <c r="I488" s="172">
        <v>11</v>
      </c>
    </row>
    <row r="489" spans="2:9" x14ac:dyDescent="0.3">
      <c r="B489" s="172" t="s">
        <v>25</v>
      </c>
      <c r="C489" s="172" t="s">
        <v>82</v>
      </c>
      <c r="D489" s="172" t="s">
        <v>211</v>
      </c>
      <c r="E489" s="172">
        <v>1.2684161025151199E-3</v>
      </c>
      <c r="F489" s="172">
        <v>21</v>
      </c>
      <c r="G489" s="172">
        <v>0</v>
      </c>
      <c r="H489" s="172">
        <v>15</v>
      </c>
      <c r="I489" s="172">
        <v>11</v>
      </c>
    </row>
    <row r="490" spans="2:9" hidden="1" x14ac:dyDescent="0.3">
      <c r="B490" s="172" t="s">
        <v>25</v>
      </c>
      <c r="C490" s="172" t="s">
        <v>202</v>
      </c>
      <c r="D490" s="172" t="s">
        <v>210</v>
      </c>
      <c r="E490" s="172">
        <v>1.5322145952216899E-5</v>
      </c>
      <c r="F490" s="172">
        <v>6</v>
      </c>
      <c r="G490" s="172">
        <v>16.25</v>
      </c>
      <c r="H490" s="172">
        <v>15.3</v>
      </c>
      <c r="I490" s="172">
        <v>11</v>
      </c>
    </row>
    <row r="491" spans="2:9" hidden="1" x14ac:dyDescent="0.3">
      <c r="B491" s="172" t="s">
        <v>25</v>
      </c>
      <c r="C491" s="172" t="s">
        <v>202</v>
      </c>
      <c r="D491" s="172" t="s">
        <v>211</v>
      </c>
      <c r="E491" s="172">
        <v>2.0539545630027699E-5</v>
      </c>
      <c r="F491" s="172">
        <v>59</v>
      </c>
      <c r="G491" s="172">
        <v>21</v>
      </c>
      <c r="H491" s="172">
        <v>0</v>
      </c>
      <c r="I491" s="172">
        <v>11</v>
      </c>
    </row>
    <row r="492" spans="2:9" hidden="1" x14ac:dyDescent="0.3">
      <c r="B492" s="172" t="s">
        <v>24</v>
      </c>
      <c r="C492" s="172" t="s">
        <v>79</v>
      </c>
      <c r="D492" s="172" t="s">
        <v>210</v>
      </c>
      <c r="E492" s="172">
        <v>9.7242484278345202E-4</v>
      </c>
      <c r="F492" s="172">
        <v>6</v>
      </c>
      <c r="G492" s="172">
        <v>16.25</v>
      </c>
      <c r="H492" s="172">
        <v>15.3</v>
      </c>
      <c r="I492" s="172">
        <v>7.5</v>
      </c>
    </row>
    <row r="493" spans="2:9" hidden="1" x14ac:dyDescent="0.3">
      <c r="B493" s="172" t="s">
        <v>24</v>
      </c>
      <c r="C493" s="172" t="s">
        <v>79</v>
      </c>
      <c r="D493" s="172" t="s">
        <v>211</v>
      </c>
      <c r="E493" s="172">
        <v>4.7514647006047001E-4</v>
      </c>
      <c r="F493" s="172">
        <v>21</v>
      </c>
      <c r="G493" s="172">
        <v>0</v>
      </c>
      <c r="H493" s="172">
        <v>15</v>
      </c>
      <c r="I493" s="172">
        <v>7.5</v>
      </c>
    </row>
    <row r="494" spans="2:9" hidden="1" x14ac:dyDescent="0.3">
      <c r="B494" s="172" t="s">
        <v>24</v>
      </c>
      <c r="C494" s="172" t="s">
        <v>80</v>
      </c>
      <c r="D494" s="172" t="s">
        <v>210</v>
      </c>
      <c r="E494" s="172">
        <v>8.6836155500499498E-4</v>
      </c>
      <c r="F494" s="172">
        <v>6</v>
      </c>
      <c r="G494" s="172">
        <v>16.25</v>
      </c>
      <c r="H494" s="172">
        <v>15.3</v>
      </c>
      <c r="I494" s="172">
        <v>7.5</v>
      </c>
    </row>
    <row r="495" spans="2:9" hidden="1" x14ac:dyDescent="0.3">
      <c r="B495" s="172" t="s">
        <v>24</v>
      </c>
      <c r="C495" s="172" t="s">
        <v>80</v>
      </c>
      <c r="D495" s="172" t="s">
        <v>211</v>
      </c>
      <c r="E495" s="172">
        <v>3.5230894330714899E-4</v>
      </c>
      <c r="F495" s="172">
        <v>21</v>
      </c>
      <c r="G495" s="172">
        <v>0</v>
      </c>
      <c r="H495" s="172">
        <v>15</v>
      </c>
      <c r="I495" s="172">
        <v>7.5</v>
      </c>
    </row>
    <row r="496" spans="2:9" hidden="1" x14ac:dyDescent="0.3">
      <c r="B496" s="172" t="s">
        <v>24</v>
      </c>
      <c r="C496" s="172" t="s">
        <v>81</v>
      </c>
      <c r="D496" s="172" t="s">
        <v>210</v>
      </c>
      <c r="E496" s="172">
        <v>3.2813458491321698E-4</v>
      </c>
      <c r="F496" s="172">
        <v>6</v>
      </c>
      <c r="G496" s="172">
        <v>16.25</v>
      </c>
      <c r="H496" s="172">
        <v>15.3</v>
      </c>
      <c r="I496" s="172">
        <v>7.5</v>
      </c>
    </row>
    <row r="497" spans="2:9" hidden="1" x14ac:dyDescent="0.3">
      <c r="B497" s="172" t="s">
        <v>24</v>
      </c>
      <c r="C497" s="172" t="s">
        <v>81</v>
      </c>
      <c r="D497" s="172" t="s">
        <v>211</v>
      </c>
      <c r="E497" s="172">
        <v>1.0908509515667E-3</v>
      </c>
      <c r="F497" s="172">
        <v>21</v>
      </c>
      <c r="G497" s="172">
        <v>0</v>
      </c>
      <c r="H497" s="172">
        <v>15</v>
      </c>
      <c r="I497" s="172">
        <v>7.5</v>
      </c>
    </row>
    <row r="498" spans="2:9" hidden="1" x14ac:dyDescent="0.3">
      <c r="B498" s="172" t="s">
        <v>24</v>
      </c>
      <c r="C498" s="172" t="s">
        <v>82</v>
      </c>
      <c r="D498" s="172" t="s">
        <v>210</v>
      </c>
      <c r="E498" s="172">
        <v>4.9379635628819503E-4</v>
      </c>
      <c r="F498" s="172">
        <v>6</v>
      </c>
      <c r="G498" s="172">
        <v>16.25</v>
      </c>
      <c r="H498" s="172">
        <v>15.3</v>
      </c>
      <c r="I498" s="172">
        <v>7.5</v>
      </c>
    </row>
    <row r="499" spans="2:9" x14ac:dyDescent="0.3">
      <c r="B499" s="172" t="s">
        <v>24</v>
      </c>
      <c r="C499" s="172" t="s">
        <v>82</v>
      </c>
      <c r="D499" s="172" t="s">
        <v>211</v>
      </c>
      <c r="E499" s="172">
        <v>1.28632641672883E-3</v>
      </c>
      <c r="F499" s="172">
        <v>21</v>
      </c>
      <c r="G499" s="172">
        <v>0</v>
      </c>
      <c r="H499" s="172">
        <v>15</v>
      </c>
      <c r="I499" s="172">
        <v>7.5</v>
      </c>
    </row>
    <row r="500" spans="2:9" hidden="1" x14ac:dyDescent="0.3">
      <c r="B500" s="172" t="s">
        <v>24</v>
      </c>
      <c r="C500" s="172" t="s">
        <v>202</v>
      </c>
      <c r="D500" s="172" t="s">
        <v>210</v>
      </c>
      <c r="E500" s="172">
        <v>1.6471423351094698E-5</v>
      </c>
      <c r="F500" s="172">
        <v>59</v>
      </c>
      <c r="G500" s="172">
        <v>21</v>
      </c>
      <c r="H500" s="172">
        <v>0</v>
      </c>
      <c r="I500" s="172">
        <v>7.5</v>
      </c>
    </row>
    <row r="501" spans="2:9" hidden="1" x14ac:dyDescent="0.3">
      <c r="B501" s="172" t="s">
        <v>24</v>
      </c>
      <c r="C501" s="172" t="s">
        <v>202</v>
      </c>
      <c r="D501" s="172" t="s">
        <v>211</v>
      </c>
      <c r="E501" s="172">
        <v>1.04751024261304E-5</v>
      </c>
      <c r="F501" s="172">
        <v>59</v>
      </c>
      <c r="G501" s="172">
        <v>21</v>
      </c>
      <c r="H501" s="172">
        <v>0</v>
      </c>
      <c r="I501" s="172">
        <v>7.5</v>
      </c>
    </row>
    <row r="502" spans="2:9" hidden="1" x14ac:dyDescent="0.3">
      <c r="B502" s="172" t="s">
        <v>22</v>
      </c>
      <c r="C502" s="172" t="s">
        <v>79</v>
      </c>
      <c r="D502" s="172" t="s">
        <v>210</v>
      </c>
      <c r="E502" s="172">
        <v>8.2170523625523602E-4</v>
      </c>
      <c r="F502" s="172">
        <v>33</v>
      </c>
      <c r="G502" s="172">
        <v>16</v>
      </c>
      <c r="H502" s="172">
        <v>15</v>
      </c>
      <c r="I502" s="172">
        <v>4</v>
      </c>
    </row>
    <row r="503" spans="2:9" hidden="1" x14ac:dyDescent="0.3">
      <c r="B503" s="172" t="s">
        <v>22</v>
      </c>
      <c r="C503" s="172" t="s">
        <v>79</v>
      </c>
      <c r="D503" s="172" t="s">
        <v>211</v>
      </c>
      <c r="E503" s="172">
        <v>3.7420605264628298E-4</v>
      </c>
      <c r="F503" s="172">
        <v>21</v>
      </c>
      <c r="G503" s="172">
        <v>0</v>
      </c>
      <c r="H503" s="172">
        <v>15</v>
      </c>
      <c r="I503" s="172">
        <v>4</v>
      </c>
    </row>
    <row r="504" spans="2:9" hidden="1" x14ac:dyDescent="0.3">
      <c r="B504" s="172" t="s">
        <v>22</v>
      </c>
      <c r="C504" s="172" t="s">
        <v>80</v>
      </c>
      <c r="D504" s="172" t="s">
        <v>210</v>
      </c>
      <c r="E504" s="172">
        <v>7.4177872723460198E-4</v>
      </c>
      <c r="F504" s="172">
        <v>33</v>
      </c>
      <c r="G504" s="172">
        <v>16</v>
      </c>
      <c r="H504" s="172">
        <v>15</v>
      </c>
      <c r="I504" s="172">
        <v>4</v>
      </c>
    </row>
    <row r="505" spans="2:9" hidden="1" x14ac:dyDescent="0.3">
      <c r="B505" s="172" t="s">
        <v>22</v>
      </c>
      <c r="C505" s="172" t="s">
        <v>80</v>
      </c>
      <c r="D505" s="172" t="s">
        <v>211</v>
      </c>
      <c r="E505" s="172">
        <v>2.7187161361282399E-4</v>
      </c>
      <c r="F505" s="172">
        <v>21</v>
      </c>
      <c r="G505" s="172">
        <v>0</v>
      </c>
      <c r="H505" s="172">
        <v>15</v>
      </c>
      <c r="I505" s="172">
        <v>4</v>
      </c>
    </row>
    <row r="506" spans="2:9" hidden="1" x14ac:dyDescent="0.3">
      <c r="B506" s="172" t="s">
        <v>22</v>
      </c>
      <c r="C506" s="172" t="s">
        <v>81</v>
      </c>
      <c r="D506" s="172" t="s">
        <v>210</v>
      </c>
      <c r="E506" s="172">
        <v>3.04200277529274E-4</v>
      </c>
      <c r="F506" s="172">
        <v>33</v>
      </c>
      <c r="G506" s="172">
        <v>16</v>
      </c>
      <c r="H506" s="172">
        <v>15</v>
      </c>
      <c r="I506" s="172">
        <v>4</v>
      </c>
    </row>
    <row r="507" spans="2:9" hidden="1" x14ac:dyDescent="0.3">
      <c r="B507" s="172" t="s">
        <v>22</v>
      </c>
      <c r="C507" s="172" t="s">
        <v>81</v>
      </c>
      <c r="D507" s="172" t="s">
        <v>211</v>
      </c>
      <c r="E507" s="172">
        <v>8.6942316512057197E-4</v>
      </c>
      <c r="F507" s="172">
        <v>21</v>
      </c>
      <c r="G507" s="172">
        <v>0</v>
      </c>
      <c r="H507" s="172">
        <v>15</v>
      </c>
      <c r="I507" s="172">
        <v>4</v>
      </c>
    </row>
    <row r="508" spans="2:9" hidden="1" x14ac:dyDescent="0.3">
      <c r="B508" s="172" t="s">
        <v>22</v>
      </c>
      <c r="C508" s="172" t="s">
        <v>82</v>
      </c>
      <c r="D508" s="172" t="s">
        <v>210</v>
      </c>
      <c r="E508" s="172">
        <v>4.3139146629680698E-4</v>
      </c>
      <c r="F508" s="172">
        <v>33</v>
      </c>
      <c r="G508" s="172">
        <v>16</v>
      </c>
      <c r="H508" s="172">
        <v>15</v>
      </c>
      <c r="I508" s="172">
        <v>4</v>
      </c>
    </row>
    <row r="509" spans="2:9" x14ac:dyDescent="0.3">
      <c r="B509" s="172" t="s">
        <v>22</v>
      </c>
      <c r="C509" s="172" t="s">
        <v>82</v>
      </c>
      <c r="D509" s="172" t="s">
        <v>211</v>
      </c>
      <c r="E509" s="172">
        <v>1.03226049534625E-3</v>
      </c>
      <c r="F509" s="172">
        <v>21</v>
      </c>
      <c r="G509" s="172">
        <v>0</v>
      </c>
      <c r="H509" s="172">
        <v>15</v>
      </c>
      <c r="I509" s="172">
        <v>4</v>
      </c>
    </row>
    <row r="510" spans="2:9" hidden="1" x14ac:dyDescent="0.3">
      <c r="B510" s="172" t="s">
        <v>22</v>
      </c>
      <c r="C510" s="172" t="s">
        <v>202</v>
      </c>
      <c r="D510" s="172" t="s">
        <v>210</v>
      </c>
      <c r="E510" s="172">
        <v>4.2533018344772303E-5</v>
      </c>
      <c r="F510" s="172">
        <v>59</v>
      </c>
      <c r="G510" s="172">
        <v>21</v>
      </c>
      <c r="H510" s="172">
        <v>0</v>
      </c>
      <c r="I510" s="172">
        <v>4</v>
      </c>
    </row>
    <row r="511" spans="2:9" hidden="1" x14ac:dyDescent="0.3">
      <c r="B511" s="172" t="s">
        <v>22</v>
      </c>
      <c r="C511" s="172" t="s">
        <v>202</v>
      </c>
      <c r="D511" s="172" t="s">
        <v>211</v>
      </c>
      <c r="E511" s="172">
        <v>1.59758098039308E-5</v>
      </c>
      <c r="F511" s="172">
        <v>21</v>
      </c>
      <c r="G511" s="172">
        <v>0</v>
      </c>
      <c r="H511" s="172">
        <v>15</v>
      </c>
      <c r="I511" s="172">
        <v>4</v>
      </c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11</xdr:col>
                    <xdr:colOff>480060</xdr:colOff>
                    <xdr:row>0</xdr:row>
                    <xdr:rowOff>30480</xdr:rowOff>
                  </from>
                  <to>
                    <xdr:col>14</xdr:col>
                    <xdr:colOff>297180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G67" sqref="G67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201" t="s">
        <v>78</v>
      </c>
      <c r="C2" s="201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3.2035881177986899E-4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2.8931633828743698E-4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3.95079118517071E-4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5.3724172119639995E-4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6.5773942106748899E-4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7.5873346457583802E-4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8.3877218430680701E-4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9.0123156549779101E-4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9.4873421815185402E-4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9.7242484278345202E-4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8.2170523625523602E-4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3.3839945795123598E-4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3.1528434873341301E-4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4.28226960199382E-4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5.2482693797157795E-4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6.0484670643128405E-4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6.7379552401995301E-4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7.4567754579220596E-4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8.0194007114043199E-4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8.4532940391292505E-4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8.6836155500499498E-4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7.4177872723460198E-4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6.2502286922491105E-4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6.0020387498859904E-4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7.1697456325239101E-4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8.1282247349050705E-4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8.8497333578156699E-4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9.3370938285529295E-4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9.6579348836180797E-4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1.0324569463526401E-3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1.07802504992882E-3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1.0908509515667E-3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8.6942316512057197E-4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5.43909134476706E-4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5.1582442218006599E-4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6.0705584049178002E-4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7.6743232497834899E-4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9.1545036403225502E-4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1.03541996645061E-3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1.13343669758234E-3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1.21272122690351E-3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1.2684161025151199E-3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1.28632641672883E-3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1.03226049534625E-3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zoomScale="80" zoomScaleNormal="80" workbookViewId="0">
      <selection activeCell="N4" sqref="N4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4" t="s">
        <v>194</v>
      </c>
      <c r="N2" s="204"/>
      <c r="O2" s="204"/>
      <c r="P2" s="204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21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210</v>
      </c>
      <c r="E6" s="185">
        <v>2.20991022375738E-2</v>
      </c>
      <c r="F6" s="185">
        <v>2.1407776684168101E-2</v>
      </c>
      <c r="G6" s="186">
        <v>1.0322931971687099</v>
      </c>
      <c r="H6" s="42">
        <f>+E6/(1.2*F6)</f>
        <v>0.86024433097393072</v>
      </c>
      <c r="I6" s="47">
        <f>+'Centers of Mass and Rigidity'!L5-'Centers of Mass and Rigidity'!F5</f>
        <v>-2.6268368322098006</v>
      </c>
      <c r="J6" s="47">
        <f>+'Centers of Mass and Rigidity'!M5-'Centers of Mass and Rigidity'!G5</f>
        <v>1.2065025694284301</v>
      </c>
      <c r="K6" s="172">
        <f>IF(+'Sismo UBC-94 y Dinamico'!O15=0,'Sismo UBC-94 y Dinamico'!M15,'Sismo UBC-94 y Dinamico'!O15)</f>
        <v>990.77095886772315</v>
      </c>
      <c r="L6" s="172">
        <f>IF(+'Sismo UBC-94 y Dinamico'!P15=0,'Sismo UBC-94 y Dinamico'!N15,'Sismo UBC-94 y Dinamico'!P15)</f>
        <v>740.66719203609364</v>
      </c>
      <c r="M6" s="52">
        <f>0.05*N6*K6*(H6-1)+0.05*O6*L6*(H6-1)</f>
        <v>-212.53745455221673</v>
      </c>
      <c r="N6">
        <f>+$N$3</f>
        <v>15</v>
      </c>
      <c r="O6">
        <f>+$O$3</f>
        <v>21</v>
      </c>
      <c r="P6" s="95">
        <f>+K6*(J6+0.05*N6*H6)-K6*(J6+0.05*N6)</f>
        <v>-103.84939365611922</v>
      </c>
      <c r="Q6" s="95">
        <f>+L6*(I6+0.05*O6*H6)-L6*(I6+0.05*O6)</f>
        <v>-108.6880608960978</v>
      </c>
      <c r="R6" s="95">
        <f>+P6+Q6</f>
        <v>-212.53745455221701</v>
      </c>
    </row>
    <row r="7" spans="2:18" x14ac:dyDescent="0.3">
      <c r="B7" s="184" t="s">
        <v>187</v>
      </c>
      <c r="C7" s="185" t="s">
        <v>79</v>
      </c>
      <c r="D7" s="185" t="s">
        <v>210</v>
      </c>
      <c r="E7" s="185">
        <v>2.5070267722540601E-2</v>
      </c>
      <c r="F7" s="185">
        <v>2.24128212089818E-2</v>
      </c>
      <c r="G7" s="186">
        <v>1.1185681395831599</v>
      </c>
      <c r="H7" s="42">
        <f t="shared" ref="H7:H16" si="0">+E7/(1.2*F7)</f>
        <v>0.93214011631929405</v>
      </c>
      <c r="I7" s="47">
        <f>+'Centers of Mass and Rigidity'!L6-'Centers of Mass and Rigidity'!F6</f>
        <v>0.42789804907688911</v>
      </c>
      <c r="J7" s="47">
        <f>+'Centers of Mass and Rigidity'!M6-'Centers of Mass and Rigidity'!G6</f>
        <v>-0.53162310401130952</v>
      </c>
      <c r="K7" s="172">
        <f>IF(+'Sismo UBC-94 y Dinamico'!O16=0,'Sismo UBC-94 y Dinamico'!M16,'Sismo UBC-94 y Dinamico'!O16)</f>
        <v>11894.112996134685</v>
      </c>
      <c r="L7" s="172">
        <f>IF(+'Sismo UBC-94 y Dinamico'!P16=0,'Sismo UBC-94 y Dinamico'!N16,'Sismo UBC-94 y Dinamico'!P16)</f>
        <v>3009.2144310606541</v>
      </c>
      <c r="M7" s="52">
        <f>0.05*N7*K7*(H7-1)+0.05*O7*L7*(H7-1)</f>
        <v>-819.76503162733604</v>
      </c>
      <c r="N7" s="172">
        <f t="shared" ref="N7:N16" si="1">+$N$3</f>
        <v>15</v>
      </c>
      <c r="O7" s="172">
        <f t="shared" ref="O7:O16" si="2">+$O$3</f>
        <v>21</v>
      </c>
      <c r="P7" s="95">
        <f>+K7*(J7+0.05*N7*H7)-K7*(J7+0.05*N7)</f>
        <v>-605.3498433021548</v>
      </c>
      <c r="Q7" s="95">
        <f>+L7*(I7+0.05*O7*H7)-L7*(I7+0.05*O7)</f>
        <v>-214.41518832518159</v>
      </c>
      <c r="R7" s="95">
        <f>+P7+Q7</f>
        <v>-819.76503162733638</v>
      </c>
    </row>
    <row r="8" spans="2:18" x14ac:dyDescent="0.3">
      <c r="B8" s="184" t="s">
        <v>185</v>
      </c>
      <c r="C8" s="185" t="s">
        <v>79</v>
      </c>
      <c r="D8" s="185" t="s">
        <v>210</v>
      </c>
      <c r="E8" s="185">
        <v>2.4230977460021699E-2</v>
      </c>
      <c r="F8" s="185">
        <v>2.1486872485719299E-2</v>
      </c>
      <c r="G8" s="186">
        <v>1.12771076740583</v>
      </c>
      <c r="H8" s="42">
        <f t="shared" si="0"/>
        <v>0.93975897283819065</v>
      </c>
      <c r="I8" s="47">
        <f>+'Centers of Mass and Rigidity'!L7-'Centers of Mass and Rigidity'!F7</f>
        <v>0.88864581125426056</v>
      </c>
      <c r="J8" s="47">
        <f>+'Centers of Mass and Rigidity'!M7-'Centers of Mass and Rigidity'!G7</f>
        <v>-0.75760832080028973</v>
      </c>
      <c r="K8" s="172">
        <f>IF(+'Sismo UBC-94 y Dinamico'!O17=0,'Sismo UBC-94 y Dinamico'!M17,'Sismo UBC-94 y Dinamico'!O17)</f>
        <v>13902.319166823047</v>
      </c>
      <c r="L8" s="172">
        <f>IF(+'Sismo UBC-94 y Dinamico'!P17=0,'Sismo UBC-94 y Dinamico'!N17,'Sismo UBC-94 y Dinamico'!P17)</f>
        <v>3530.1072651242239</v>
      </c>
      <c r="M8" s="52">
        <f>0.05*N8*K8*(H8-1)+0.05*O8*L8*(H8-1)</f>
        <v>-851.40764193011876</v>
      </c>
      <c r="N8" s="172">
        <f t="shared" si="1"/>
        <v>15</v>
      </c>
      <c r="O8" s="172">
        <f t="shared" si="2"/>
        <v>21</v>
      </c>
      <c r="P8" s="95">
        <f>+K8*(J8+0.05*N8*H8)-K8*(J8+0.05*N8)</f>
        <v>-628.1174899055477</v>
      </c>
      <c r="Q8" s="95">
        <f>+L8*(I8+0.05*O8*H8)-L8*(I8+0.05*O8)</f>
        <v>-223.29015202457049</v>
      </c>
      <c r="R8" s="95">
        <f>+P8+Q8</f>
        <v>-851.40764193011819</v>
      </c>
    </row>
    <row r="9" spans="2:18" x14ac:dyDescent="0.3">
      <c r="B9" s="184" t="s">
        <v>183</v>
      </c>
      <c r="C9" s="185" t="s">
        <v>79</v>
      </c>
      <c r="D9" s="185" t="s">
        <v>210</v>
      </c>
      <c r="E9" s="185">
        <v>2.2848336005803899E-2</v>
      </c>
      <c r="F9" s="185">
        <v>2.0107617923468199E-2</v>
      </c>
      <c r="G9" s="186">
        <v>1.1363024746524999</v>
      </c>
      <c r="H9" s="42">
        <f t="shared" si="0"/>
        <v>0.94691872887708417</v>
      </c>
      <c r="I9" s="47">
        <f>+'Centers of Mass and Rigidity'!L8-'Centers of Mass and Rigidity'!F8</f>
        <v>1.1258224373713599</v>
      </c>
      <c r="J9" s="47">
        <f>+'Centers of Mass and Rigidity'!M8-'Centers of Mass and Rigidity'!G8</f>
        <v>-0.84026133856711027</v>
      </c>
      <c r="K9" s="172">
        <f>IF(+'Sismo UBC-94 y Dinamico'!O18=0,'Sismo UBC-94 y Dinamico'!M18,'Sismo UBC-94 y Dinamico'!O18)</f>
        <v>11858.755790883961</v>
      </c>
      <c r="L9" s="172">
        <f>IF(+'Sismo UBC-94 y Dinamico'!P18=0,'Sismo UBC-94 y Dinamico'!N18,'Sismo UBC-94 y Dinamico'!P18)</f>
        <v>2799.2524510001858</v>
      </c>
      <c r="M9" s="52">
        <f>0.05*N9*K9*(H9-1)+0.05*O9*L9*(H9-1)</f>
        <v>-628.12564569494862</v>
      </c>
      <c r="N9" s="172">
        <f t="shared" si="1"/>
        <v>15</v>
      </c>
      <c r="O9" s="172">
        <f t="shared" si="2"/>
        <v>21</v>
      </c>
      <c r="P9" s="95">
        <f>+K9*(J9+0.05*N9*H9)-K9*(J9+0.05*N9)</f>
        <v>-472.10837348726977</v>
      </c>
      <c r="Q9" s="95">
        <f>+L9*(I9+0.05*O9*H9)-L9*(I9+0.05*O9)</f>
        <v>-156.01727220767953</v>
      </c>
      <c r="R9" s="95">
        <f>+P9+Q9</f>
        <v>-628.1256456949493</v>
      </c>
    </row>
    <row r="10" spans="2:18" x14ac:dyDescent="0.3">
      <c r="B10" s="184" t="s">
        <v>181</v>
      </c>
      <c r="C10" s="185" t="s">
        <v>79</v>
      </c>
      <c r="D10" s="185" t="s">
        <v>210</v>
      </c>
      <c r="E10" s="185">
        <v>2.09718125654384E-2</v>
      </c>
      <c r="F10" s="185">
        <v>1.8326659482048199E-2</v>
      </c>
      <c r="G10" s="186">
        <v>1.14433361879077</v>
      </c>
      <c r="H10" s="42">
        <f t="shared" si="0"/>
        <v>0.9536113489923087</v>
      </c>
      <c r="I10" s="47">
        <f>+'Centers of Mass and Rigidity'!L9-'Centers of Mass and Rigidity'!F9</f>
        <v>1.3547532984799595</v>
      </c>
      <c r="J10" s="47">
        <f>+'Centers of Mass and Rigidity'!M9-'Centers of Mass and Rigidity'!G9</f>
        <v>-0.92071141678418034</v>
      </c>
      <c r="K10" s="172">
        <f>IF(+'Sismo UBC-94 y Dinamico'!O19=0,'Sismo UBC-94 y Dinamico'!M19,'Sismo UBC-94 y Dinamico'!O19)</f>
        <v>10083.741517536942</v>
      </c>
      <c r="L10" s="172">
        <f>IF(+'Sismo UBC-94 y Dinamico'!P19=0,'Sismo UBC-94 y Dinamico'!N19,'Sismo UBC-94 y Dinamico'!P19)</f>
        <v>2273.21602776293</v>
      </c>
      <c r="M10" s="52">
        <f>0.05*N10*K10*(H10-1)+0.05*O10*L10*(H10-1)</f>
        <v>-461.55237080742552</v>
      </c>
      <c r="N10" s="172">
        <f t="shared" si="1"/>
        <v>15</v>
      </c>
      <c r="O10" s="172">
        <f t="shared" si="2"/>
        <v>21</v>
      </c>
      <c r="P10" s="95">
        <f>+K10*(J10+0.05*N10*H10)-K10*(J10+0.05*N10)</f>
        <v>-350.82837458159179</v>
      </c>
      <c r="Q10" s="95">
        <f>+L10*(I10+0.05*O10*H10)-L10*(I10+0.05*O10)</f>
        <v>-110.72399622583271</v>
      </c>
      <c r="R10" s="95">
        <f>+P10+Q10</f>
        <v>-461.5523708074245</v>
      </c>
    </row>
    <row r="11" spans="2:18" s="151" customFormat="1" x14ac:dyDescent="0.3">
      <c r="B11" s="184" t="s">
        <v>179</v>
      </c>
      <c r="C11" s="185" t="s">
        <v>79</v>
      </c>
      <c r="D11" s="185" t="s">
        <v>210</v>
      </c>
      <c r="E11" s="185">
        <v>1.8676800148079199E-2</v>
      </c>
      <c r="F11" s="185">
        <v>1.6208536338097799E-2</v>
      </c>
      <c r="G11" s="186">
        <v>1.1522817210940799</v>
      </c>
      <c r="H11" s="42">
        <f t="shared" si="0"/>
        <v>0.96023476757839643</v>
      </c>
      <c r="I11" s="47">
        <f>+'Centers of Mass and Rigidity'!L10-'Centers of Mass and Rigidity'!F10</f>
        <v>1.5772090574675595</v>
      </c>
      <c r="J11" s="47">
        <f>+'Centers of Mass and Rigidity'!M10-'Centers of Mass and Rigidity'!G10</f>
        <v>-0.9999535148909402</v>
      </c>
      <c r="K11" s="172">
        <f>IF(+'Sismo UBC-94 y Dinamico'!O20=0,'Sismo UBC-94 y Dinamico'!M20,'Sismo UBC-94 y Dinamico'!O20)</f>
        <v>8666.8738209804324</v>
      </c>
      <c r="L11" s="172">
        <f>IF(+'Sismo UBC-94 y Dinamico'!P20=0,'Sismo UBC-94 y Dinamico'!N20,'Sismo UBC-94 y Dinamico'!P20)</f>
        <v>1928.7106751405763</v>
      </c>
      <c r="M11" s="52">
        <f t="shared" ref="M11:M16" si="3">0.05*N11*K11*(H11-1)+0.05*O11*L11*(H11-1)</f>
        <v>-339.01059857954135</v>
      </c>
      <c r="N11" s="172">
        <f t="shared" si="1"/>
        <v>15</v>
      </c>
      <c r="O11" s="172">
        <f t="shared" si="2"/>
        <v>21</v>
      </c>
      <c r="P11" s="95">
        <f t="shared" ref="P11:P16" si="4">+K11*(J11+0.05*N11*H11)-K11*(J11+0.05*N11)</f>
        <v>-258.48018889499826</v>
      </c>
      <c r="Q11" s="95">
        <f t="shared" ref="Q11:Q16" si="5">+L11*(I11+0.05*O11*H11)-L11*(I11+0.05*O11)</f>
        <v>-80.530409684542974</v>
      </c>
      <c r="R11" s="95">
        <f t="shared" ref="R11:R16" si="6">+P11+Q11</f>
        <v>-339.01059857954124</v>
      </c>
    </row>
    <row r="12" spans="2:18" s="151" customFormat="1" x14ac:dyDescent="0.3">
      <c r="B12" s="184" t="s">
        <v>39</v>
      </c>
      <c r="C12" s="185" t="s">
        <v>79</v>
      </c>
      <c r="D12" s="185" t="s">
        <v>210</v>
      </c>
      <c r="E12" s="185">
        <v>1.6031265125670002E-2</v>
      </c>
      <c r="F12" s="185">
        <v>1.38138043478976E-2</v>
      </c>
      <c r="G12" s="186">
        <v>1.1605249880428401</v>
      </c>
      <c r="H12" s="42">
        <f t="shared" si="0"/>
        <v>0.96710415670236705</v>
      </c>
      <c r="I12" s="47">
        <f>+'Centers of Mass and Rigidity'!L11-'Centers of Mass and Rigidity'!F11</f>
        <v>1.7938432564967588</v>
      </c>
      <c r="J12" s="47">
        <f>+'Centers of Mass and Rigidity'!M11-'Centers of Mass and Rigidity'!G11</f>
        <v>-1.0786682029049404</v>
      </c>
      <c r="K12" s="172">
        <f>IF(+'Sismo UBC-94 y Dinamico'!O21=0,'Sismo UBC-94 y Dinamico'!M21,'Sismo UBC-94 y Dinamico'!O21)</f>
        <v>7506.3448163962312</v>
      </c>
      <c r="L12" s="172">
        <f>IF(+'Sismo UBC-94 y Dinamico'!P21=0,'Sismo UBC-94 y Dinamico'!N21,'Sismo UBC-94 y Dinamico'!P21)</f>
        <v>1666.3498576299905</v>
      </c>
      <c r="M12" s="52">
        <f t="shared" si="3"/>
        <v>-242.75244009903798</v>
      </c>
      <c r="N12" s="172">
        <f t="shared" si="1"/>
        <v>15</v>
      </c>
      <c r="O12" s="172">
        <f t="shared" si="2"/>
        <v>21</v>
      </c>
      <c r="P12" s="95">
        <f t="shared" si="4"/>
        <v>-185.19565711362748</v>
      </c>
      <c r="Q12" s="95">
        <f t="shared" si="5"/>
        <v>-57.556782985410791</v>
      </c>
      <c r="R12" s="95">
        <f t="shared" si="6"/>
        <v>-242.75244009903827</v>
      </c>
    </row>
    <row r="13" spans="2:18" s="151" customFormat="1" x14ac:dyDescent="0.3">
      <c r="B13" s="184" t="s">
        <v>26</v>
      </c>
      <c r="C13" s="185" t="s">
        <v>79</v>
      </c>
      <c r="D13" s="185" t="s">
        <v>210</v>
      </c>
      <c r="E13" s="185">
        <v>1.31087505610714E-2</v>
      </c>
      <c r="F13" s="185">
        <v>1.12209923817586E-2</v>
      </c>
      <c r="G13" s="186">
        <v>1.1682345121614801</v>
      </c>
      <c r="H13" s="42">
        <f t="shared" si="0"/>
        <v>0.97352876013456369</v>
      </c>
      <c r="I13" s="47">
        <f>+'Centers of Mass and Rigidity'!L12-'Centers of Mass and Rigidity'!F12</f>
        <v>1.866900491910501</v>
      </c>
      <c r="J13" s="47">
        <f>+'Centers of Mass and Rigidity'!M12-'Centers of Mass and Rigidity'!G12</f>
        <v>-1.0733431941919802</v>
      </c>
      <c r="K13" s="172">
        <f>IF(+'Sismo UBC-94 y Dinamico'!O22=0,'Sismo UBC-94 y Dinamico'!M22,'Sismo UBC-94 y Dinamico'!O22)</f>
        <v>6518.7297560758971</v>
      </c>
      <c r="L13" s="172">
        <f>IF(+'Sismo UBC-94 y Dinamico'!P22=0,'Sismo UBC-94 y Dinamico'!N22,'Sismo UBC-94 y Dinamico'!P22)</f>
        <v>1439.8575708641345</v>
      </c>
      <c r="M13" s="52">
        <f t="shared" si="3"/>
        <v>-169.43970013021109</v>
      </c>
      <c r="N13" s="172">
        <f t="shared" si="1"/>
        <v>15</v>
      </c>
      <c r="O13" s="172">
        <f t="shared" si="2"/>
        <v>21</v>
      </c>
      <c r="P13" s="95">
        <f t="shared" si="4"/>
        <v>-129.41914424328206</v>
      </c>
      <c r="Q13" s="95">
        <f t="shared" si="5"/>
        <v>-40.020555886928378</v>
      </c>
      <c r="R13" s="95">
        <f t="shared" si="6"/>
        <v>-169.43970013021044</v>
      </c>
    </row>
    <row r="14" spans="2:18" s="151" customFormat="1" x14ac:dyDescent="0.3">
      <c r="B14" s="184" t="s">
        <v>25</v>
      </c>
      <c r="C14" s="185" t="s">
        <v>79</v>
      </c>
      <c r="D14" s="185" t="s">
        <v>210</v>
      </c>
      <c r="E14" s="185">
        <v>9.9707778488438894E-3</v>
      </c>
      <c r="F14" s="185">
        <v>8.4914641716059593E-3</v>
      </c>
      <c r="G14" s="186">
        <v>1.1742118493751099</v>
      </c>
      <c r="H14" s="42">
        <f t="shared" si="0"/>
        <v>0.97850987447925541</v>
      </c>
      <c r="I14" s="47">
        <f>+'Centers of Mass and Rigidity'!L13-'Centers of Mass and Rigidity'!F13</f>
        <v>2.0244523695934014</v>
      </c>
      <c r="J14" s="47">
        <f>+'Centers of Mass and Rigidity'!M13-'Centers of Mass and Rigidity'!G13</f>
        <v>-1.10083334595181</v>
      </c>
      <c r="K14" s="172">
        <f>IF(+'Sismo UBC-94 y Dinamico'!O23=0,'Sismo UBC-94 y Dinamico'!M23,'Sismo UBC-94 y Dinamico'!O23)</f>
        <v>5491.2709283971635</v>
      </c>
      <c r="L14" s="172">
        <f>IF(+'Sismo UBC-94 y Dinamico'!P23=0,'Sismo UBC-94 y Dinamico'!N23,'Sismo UBC-94 y Dinamico'!P23)</f>
        <v>1209.6819803173858</v>
      </c>
      <c r="M14" s="52">
        <f t="shared" si="3"/>
        <v>-115.80210461681669</v>
      </c>
      <c r="N14" s="172">
        <f t="shared" si="1"/>
        <v>15</v>
      </c>
      <c r="O14" s="172">
        <f t="shared" si="2"/>
        <v>21</v>
      </c>
      <c r="P14" s="95">
        <f t="shared" si="4"/>
        <v>-88.506076139753304</v>
      </c>
      <c r="Q14" s="95">
        <f t="shared" si="5"/>
        <v>-27.296028477063373</v>
      </c>
      <c r="R14" s="95">
        <f t="shared" si="6"/>
        <v>-115.80210461681668</v>
      </c>
    </row>
    <row r="15" spans="2:18" s="151" customFormat="1" x14ac:dyDescent="0.3">
      <c r="B15" s="184" t="s">
        <v>24</v>
      </c>
      <c r="C15" s="185" t="s">
        <v>79</v>
      </c>
      <c r="D15" s="185" t="s">
        <v>210</v>
      </c>
      <c r="E15" s="185">
        <v>6.6691885048617101E-3</v>
      </c>
      <c r="F15" s="185">
        <v>5.6643857847523899E-3</v>
      </c>
      <c r="G15" s="186">
        <v>1.17738952788387</v>
      </c>
      <c r="H15" s="42">
        <f t="shared" si="0"/>
        <v>0.98115793990322342</v>
      </c>
      <c r="I15" s="47">
        <f>+'Centers of Mass and Rigidity'!L14-'Centers of Mass and Rigidity'!F14</f>
        <v>2.1190939131300013</v>
      </c>
      <c r="J15" s="47">
        <f>+'Centers of Mass and Rigidity'!M14-'Centers of Mass and Rigidity'!G14</f>
        <v>-1.0682694768517802</v>
      </c>
      <c r="K15" s="172">
        <f>IF(+'Sismo UBC-94 y Dinamico'!O24=0,'Sismo UBC-94 y Dinamico'!M24,'Sismo UBC-94 y Dinamico'!O24)</f>
        <v>4239.8426830786048</v>
      </c>
      <c r="L15" s="172">
        <f>IF(+'Sismo UBC-94 y Dinamico'!P24=0,'Sismo UBC-94 y Dinamico'!N24,'Sismo UBC-94 y Dinamico'!P24)</f>
        <v>975.43055530672416</v>
      </c>
      <c r="M15" s="52">
        <f t="shared" si="3"/>
        <v>-79.21360517707167</v>
      </c>
      <c r="N15" s="172">
        <f t="shared" si="1"/>
        <v>15</v>
      </c>
      <c r="O15" s="172">
        <f t="shared" si="2"/>
        <v>21</v>
      </c>
      <c r="P15" s="95">
        <f t="shared" si="4"/>
        <v>-59.915527976584144</v>
      </c>
      <c r="Q15" s="95">
        <f t="shared" si="5"/>
        <v>-19.298077200487569</v>
      </c>
      <c r="R15" s="95">
        <f t="shared" si="6"/>
        <v>-79.213605177071713</v>
      </c>
    </row>
    <row r="16" spans="2:18" s="151" customFormat="1" x14ac:dyDescent="0.3">
      <c r="B16" s="187" t="s">
        <v>22</v>
      </c>
      <c r="C16" s="188" t="s">
        <v>79</v>
      </c>
      <c r="D16" s="188" t="s">
        <v>210</v>
      </c>
      <c r="E16" s="188">
        <v>3.2868209450209501E-3</v>
      </c>
      <c r="F16" s="188">
        <v>2.8100028512609001E-3</v>
      </c>
      <c r="G16" s="189">
        <v>1.16968598218542</v>
      </c>
      <c r="H16" s="42">
        <f t="shared" si="0"/>
        <v>0.97473831848785397</v>
      </c>
      <c r="I16" s="47">
        <f>+'Centers of Mass and Rigidity'!L15-'Centers of Mass and Rigidity'!F15</f>
        <v>1.97914352095159</v>
      </c>
      <c r="J16" s="47">
        <f>+'Centers of Mass and Rigidity'!M15-'Centers of Mass and Rigidity'!G15</f>
        <v>-0.81956150311624043</v>
      </c>
      <c r="K16" s="172">
        <f>IF(+'Sismo UBC-94 y Dinamico'!O25=0,'Sismo UBC-94 y Dinamico'!M25,'Sismo UBC-94 y Dinamico'!O25)</f>
        <v>2527.6116050094779</v>
      </c>
      <c r="L16" s="172">
        <f>IF(+'Sismo UBC-94 y Dinamico'!P25=0,'Sismo UBC-94 y Dinamico'!N25,'Sismo UBC-94 y Dinamico'!P25)</f>
        <v>603.41651012666534</v>
      </c>
      <c r="M16" s="52">
        <f t="shared" si="3"/>
        <v>-63.894270997005236</v>
      </c>
      <c r="N16" s="172">
        <f t="shared" si="1"/>
        <v>15</v>
      </c>
      <c r="O16" s="172">
        <f t="shared" si="2"/>
        <v>21</v>
      </c>
      <c r="P16" s="95">
        <f t="shared" si="4"/>
        <v>-47.888789514115388</v>
      </c>
      <c r="Q16" s="95">
        <f t="shared" si="5"/>
        <v>-16.005481482889991</v>
      </c>
      <c r="R16" s="95">
        <f t="shared" si="6"/>
        <v>-63.894270997005378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210</v>
      </c>
      <c r="E24" s="185">
        <v>2.2728825660227801E-2</v>
      </c>
      <c r="F24" s="185">
        <v>2.2644084583929799E-2</v>
      </c>
      <c r="G24" s="186">
        <v>1.0037423052357799</v>
      </c>
      <c r="H24" s="42">
        <f>+E24/(1.2*F24)</f>
        <v>0.83645192102982102</v>
      </c>
      <c r="I24" s="47">
        <f t="shared" ref="I24:L28" si="7">+I6</f>
        <v>-2.6268368322098006</v>
      </c>
      <c r="J24" s="47">
        <f t="shared" si="7"/>
        <v>1.2065025694284301</v>
      </c>
      <c r="K24" s="48">
        <f>+K6</f>
        <v>990.77095886772315</v>
      </c>
      <c r="L24" s="48">
        <f>+L6</f>
        <v>740.66719203609364</v>
      </c>
      <c r="M24" s="52">
        <f>-0.05*N24*K24*(H24-1)-0.05*O24*L24*(H24-1)</f>
        <v>248.72044650112053</v>
      </c>
      <c r="N24" s="172">
        <f>+$N$3</f>
        <v>15</v>
      </c>
      <c r="O24" s="172">
        <f>+$O$3</f>
        <v>21</v>
      </c>
      <c r="P24" s="95">
        <f>+K24*(J24-0.05*N24*H24)-K24*(J24-0.05*N24)</f>
        <v>121.5290152666937</v>
      </c>
      <c r="Q24" s="95">
        <f>+L24*(I24-0.05*O24*H24)-L24*(I24-0.05*O24)</f>
        <v>127.19143123442655</v>
      </c>
      <c r="R24" s="95">
        <f>+P24+Q24</f>
        <v>248.72044650112025</v>
      </c>
    </row>
    <row r="25" spans="2:18" x14ac:dyDescent="0.3">
      <c r="B25" s="184" t="s">
        <v>187</v>
      </c>
      <c r="C25" s="185" t="s">
        <v>80</v>
      </c>
      <c r="D25" s="185" t="s">
        <v>210</v>
      </c>
      <c r="E25" s="185">
        <v>2.2377004960224999E-2</v>
      </c>
      <c r="F25" s="185">
        <v>2.1960575047001499E-2</v>
      </c>
      <c r="G25" s="186">
        <v>1.0189626142454</v>
      </c>
      <c r="H25" s="42">
        <f>+E25/(1.2*F25)</f>
        <v>0.84913551187116876</v>
      </c>
      <c r="I25" s="47">
        <f t="shared" si="7"/>
        <v>0.42789804907688911</v>
      </c>
      <c r="J25" s="47">
        <f t="shared" si="7"/>
        <v>-0.53162310401130952</v>
      </c>
      <c r="K25" s="48">
        <f t="shared" si="7"/>
        <v>11894.112996134685</v>
      </c>
      <c r="L25" s="48">
        <f t="shared" si="7"/>
        <v>3009.2144310606541</v>
      </c>
      <c r="M25" s="52">
        <f>-0.05*N25*K25*(H25-1)-0.05*O25*L25*(H25-1)</f>
        <v>1822.4822262337045</v>
      </c>
      <c r="N25" s="172">
        <f t="shared" ref="N25:N34" si="8">+$N$3</f>
        <v>15</v>
      </c>
      <c r="O25" s="172">
        <f t="shared" ref="O25:O34" si="9">+$O$3</f>
        <v>21</v>
      </c>
      <c r="P25" s="95">
        <f>+K25*(J25-0.05*N25*H25)-K25*(J25-0.05*N25)</f>
        <v>1345.799451681256</v>
      </c>
      <c r="Q25" s="95">
        <f>+L25*(I25-0.05*O25*H25)-L25*(I25-0.05*O25)</f>
        <v>476.68277455245061</v>
      </c>
      <c r="R25" s="95">
        <f>+P25+Q25</f>
        <v>1822.4822262337066</v>
      </c>
    </row>
    <row r="26" spans="2:18" x14ac:dyDescent="0.3">
      <c r="B26" s="184" t="s">
        <v>185</v>
      </c>
      <c r="C26" s="185" t="s">
        <v>80</v>
      </c>
      <c r="D26" s="185" t="s">
        <v>210</v>
      </c>
      <c r="E26" s="185">
        <v>2.16458964328551E-2</v>
      </c>
      <c r="F26" s="185">
        <v>2.1043273173033099E-2</v>
      </c>
      <c r="G26" s="186">
        <v>1.02863733483222</v>
      </c>
      <c r="H26" s="42">
        <f>+E26/(1.2*F26)</f>
        <v>0.85719777902684913</v>
      </c>
      <c r="I26" s="47">
        <f t="shared" si="7"/>
        <v>0.88864581125426056</v>
      </c>
      <c r="J26" s="47">
        <f t="shared" si="7"/>
        <v>-0.75760832080028973</v>
      </c>
      <c r="K26" s="48">
        <f t="shared" si="7"/>
        <v>13902.319166823047</v>
      </c>
      <c r="L26" s="48">
        <f t="shared" si="7"/>
        <v>3530.1072651242239</v>
      </c>
      <c r="M26" s="52">
        <f>-0.05*N26*K26*(H26-1)-0.05*O26*L26*(H26-1)</f>
        <v>2018.2740558948062</v>
      </c>
      <c r="N26" s="172">
        <f t="shared" si="8"/>
        <v>15</v>
      </c>
      <c r="O26" s="172">
        <f t="shared" si="9"/>
        <v>21</v>
      </c>
      <c r="P26" s="95">
        <f>+K26*(J26-0.05*N26*H26)-K26*(J26-0.05*N26)</f>
        <v>1488.9615402749514</v>
      </c>
      <c r="Q26" s="95">
        <f>+L26*(I26-0.05*O26*H26)-L26*(I26-0.05*O26)</f>
        <v>529.31251561985437</v>
      </c>
      <c r="R26" s="95">
        <f>+P26+Q26</f>
        <v>2018.2740558948058</v>
      </c>
    </row>
    <row r="27" spans="2:18" x14ac:dyDescent="0.3">
      <c r="B27" s="184" t="s">
        <v>183</v>
      </c>
      <c r="C27" s="185" t="s">
        <v>80</v>
      </c>
      <c r="D27" s="185" t="s">
        <v>210</v>
      </c>
      <c r="E27" s="185">
        <v>2.0423659420502501E-2</v>
      </c>
      <c r="F27" s="185">
        <v>1.9682757486507899E-2</v>
      </c>
      <c r="G27" s="186">
        <v>1.03764218171679</v>
      </c>
      <c r="H27" s="42">
        <f>+E27/(1.2*F27)</f>
        <v>0.86470181809732349</v>
      </c>
      <c r="I27" s="47">
        <f t="shared" si="7"/>
        <v>1.1258224373713599</v>
      </c>
      <c r="J27" s="47">
        <f t="shared" si="7"/>
        <v>-0.84026133856711027</v>
      </c>
      <c r="K27" s="48">
        <f t="shared" si="7"/>
        <v>11858.755790883961</v>
      </c>
      <c r="L27" s="48">
        <f t="shared" si="7"/>
        <v>2799.2524510001858</v>
      </c>
      <c r="M27" s="52">
        <f>-0.05*N27*K27*(H27-1)-0.05*O27*L27*(H27-1)</f>
        <v>1601.0215292731104</v>
      </c>
      <c r="N27" s="172">
        <f t="shared" si="8"/>
        <v>15</v>
      </c>
      <c r="O27" s="172">
        <f t="shared" si="9"/>
        <v>21</v>
      </c>
      <c r="P27" s="95">
        <f>+K27*(J27-0.05*N27*H27)-K27*(J27-0.05*N27)</f>
        <v>1203.3510736008284</v>
      </c>
      <c r="Q27" s="95">
        <f>+L27*(I27-0.05*O27*H27)-L27*(I27-0.05*O27)</f>
        <v>397.67045567228297</v>
      </c>
      <c r="R27" s="95">
        <f>+P27+Q27</f>
        <v>1601.0215292731114</v>
      </c>
    </row>
    <row r="28" spans="2:18" x14ac:dyDescent="0.3">
      <c r="B28" s="184" t="s">
        <v>181</v>
      </c>
      <c r="C28" s="185" t="s">
        <v>80</v>
      </c>
      <c r="D28" s="185" t="s">
        <v>210</v>
      </c>
      <c r="E28" s="185">
        <v>1.87568596000546E-2</v>
      </c>
      <c r="F28" s="185">
        <v>1.7930910434833702E-2</v>
      </c>
      <c r="G28" s="186">
        <v>1.04606286826442</v>
      </c>
      <c r="H28" s="42">
        <f>+E28/(1.2*F28)</f>
        <v>0.87171905688701856</v>
      </c>
      <c r="I28" s="47">
        <f t="shared" si="7"/>
        <v>1.3547532984799595</v>
      </c>
      <c r="J28" s="47">
        <f t="shared" si="7"/>
        <v>-0.92071141678418034</v>
      </c>
      <c r="K28" s="48">
        <f t="shared" si="7"/>
        <v>10083.741517536942</v>
      </c>
      <c r="L28" s="48">
        <f t="shared" si="7"/>
        <v>2273.21602776293</v>
      </c>
      <c r="M28" s="52">
        <f>-0.05*N28*K28*(H28-1)-0.05*O28*L28*(H28-1)</f>
        <v>1276.3547147208969</v>
      </c>
      <c r="N28" s="172">
        <f t="shared" si="8"/>
        <v>15</v>
      </c>
      <c r="O28" s="172">
        <f t="shared" si="9"/>
        <v>21</v>
      </c>
      <c r="P28" s="95">
        <f>+K28*(J28-0.05*N28*H28)-K28*(J28-0.05*N28)</f>
        <v>970.16390398287513</v>
      </c>
      <c r="Q28" s="95">
        <f>+L28*(I28-0.05*O28*H28)-L28*(I28-0.05*O28)</f>
        <v>306.19081073802283</v>
      </c>
      <c r="R28" s="95">
        <f>+P28+Q28</f>
        <v>1276.3547147208978</v>
      </c>
    </row>
    <row r="29" spans="2:18" s="151" customFormat="1" x14ac:dyDescent="0.3">
      <c r="B29" s="184" t="s">
        <v>179</v>
      </c>
      <c r="C29" s="185" t="s">
        <v>80</v>
      </c>
      <c r="D29" s="185" t="s">
        <v>210</v>
      </c>
      <c r="E29" s="185">
        <v>1.6714072086629402E-2</v>
      </c>
      <c r="F29" s="185">
        <v>1.5851034941866401E-2</v>
      </c>
      <c r="G29" s="186">
        <v>1.0544467378898801</v>
      </c>
      <c r="H29" s="42">
        <f t="shared" ref="H29:H34" si="10">+E29/(1.2*F29)</f>
        <v>0.87870561490822652</v>
      </c>
      <c r="I29" s="47">
        <f t="shared" ref="I29:L34" si="11">+I11</f>
        <v>1.5772090574675595</v>
      </c>
      <c r="J29" s="47">
        <f t="shared" si="11"/>
        <v>-0.9999535148909402</v>
      </c>
      <c r="K29" s="48">
        <f t="shared" si="11"/>
        <v>8666.8738209804324</v>
      </c>
      <c r="L29" s="48">
        <f t="shared" si="11"/>
        <v>1928.7106751405763</v>
      </c>
      <c r="M29" s="52">
        <f t="shared" ref="M29:M34" si="12">-0.05*N29*K29*(H29-1)-0.05*O29*L29*(H29-1)</f>
        <v>1034.0712122170294</v>
      </c>
      <c r="N29" s="172">
        <f t="shared" si="8"/>
        <v>15</v>
      </c>
      <c r="O29" s="172">
        <f t="shared" si="9"/>
        <v>21</v>
      </c>
      <c r="P29" s="95">
        <f t="shared" ref="P29:P34" si="13">+K29*(J29-0.05*N29*H29)-K29*(J29-0.05*N29)</f>
        <v>788.43234808785928</v>
      </c>
      <c r="Q29" s="95">
        <f t="shared" ref="Q29:Q34" si="14">+L29*(I29-0.05*O29*H29)-L29*(I29-0.05*O29)</f>
        <v>245.63886412917122</v>
      </c>
      <c r="R29" s="95">
        <f t="shared" ref="R29:R34" si="15">+P29+Q29</f>
        <v>1034.0712122170305</v>
      </c>
    </row>
    <row r="30" spans="2:18" s="151" customFormat="1" x14ac:dyDescent="0.3">
      <c r="B30" s="184" t="s">
        <v>39</v>
      </c>
      <c r="C30" s="185" t="s">
        <v>80</v>
      </c>
      <c r="D30" s="185" t="s">
        <v>210</v>
      </c>
      <c r="E30" s="185">
        <v>1.43561622333363E-2</v>
      </c>
      <c r="F30" s="185">
        <v>1.35024876259289E-2</v>
      </c>
      <c r="G30" s="186">
        <v>1.0632235059981101</v>
      </c>
      <c r="H30" s="42">
        <f t="shared" si="10"/>
        <v>0.8860195883317632</v>
      </c>
      <c r="I30" s="47">
        <f t="shared" si="11"/>
        <v>1.7938432564967588</v>
      </c>
      <c r="J30" s="47">
        <f t="shared" si="11"/>
        <v>-1.0786682029049404</v>
      </c>
      <c r="K30" s="48">
        <f t="shared" si="11"/>
        <v>7506.3448163962312</v>
      </c>
      <c r="L30" s="48">
        <f t="shared" si="11"/>
        <v>1666.3498576299905</v>
      </c>
      <c r="M30" s="52">
        <f t="shared" si="12"/>
        <v>841.11000911620624</v>
      </c>
      <c r="N30" s="172">
        <f t="shared" si="8"/>
        <v>15</v>
      </c>
      <c r="O30" s="172">
        <f t="shared" si="9"/>
        <v>21</v>
      </c>
      <c r="P30" s="95">
        <f t="shared" si="13"/>
        <v>641.68220422243394</v>
      </c>
      <c r="Q30" s="95">
        <f t="shared" si="14"/>
        <v>199.42780489377287</v>
      </c>
      <c r="R30" s="95">
        <f t="shared" si="15"/>
        <v>841.11000911620681</v>
      </c>
    </row>
    <row r="31" spans="2:18" s="151" customFormat="1" x14ac:dyDescent="0.3">
      <c r="B31" s="184" t="s">
        <v>26</v>
      </c>
      <c r="C31" s="185" t="s">
        <v>80</v>
      </c>
      <c r="D31" s="185" t="s">
        <v>210</v>
      </c>
      <c r="E31" s="185">
        <v>1.17490205315317E-2</v>
      </c>
      <c r="F31" s="185">
        <v>1.0963589326679299E-2</v>
      </c>
      <c r="G31" s="186">
        <v>1.07163996948893</v>
      </c>
      <c r="H31" s="42">
        <f t="shared" si="10"/>
        <v>0.89303330790743696</v>
      </c>
      <c r="I31" s="47">
        <f t="shared" si="11"/>
        <v>1.866900491910501</v>
      </c>
      <c r="J31" s="47">
        <f t="shared" si="11"/>
        <v>-1.0733431941919802</v>
      </c>
      <c r="K31" s="48">
        <f t="shared" si="11"/>
        <v>6518.7297560758971</v>
      </c>
      <c r="L31" s="48">
        <f t="shared" si="11"/>
        <v>1439.8575708641345</v>
      </c>
      <c r="M31" s="52">
        <f t="shared" si="12"/>
        <v>684.68286050135748</v>
      </c>
      <c r="N31" s="172">
        <f t="shared" si="8"/>
        <v>15</v>
      </c>
      <c r="O31" s="172">
        <f t="shared" si="9"/>
        <v>21</v>
      </c>
      <c r="P31" s="95">
        <f t="shared" si="13"/>
        <v>522.96521898959872</v>
      </c>
      <c r="Q31" s="95">
        <f t="shared" si="14"/>
        <v>161.71764151175807</v>
      </c>
      <c r="R31" s="95">
        <f t="shared" si="15"/>
        <v>684.6828605013568</v>
      </c>
    </row>
    <row r="32" spans="2:18" s="151" customFormat="1" x14ac:dyDescent="0.3">
      <c r="B32" s="184" t="s">
        <v>25</v>
      </c>
      <c r="C32" s="185" t="s">
        <v>80</v>
      </c>
      <c r="D32" s="185" t="s">
        <v>210</v>
      </c>
      <c r="E32" s="185">
        <v>8.9475741366420499E-3</v>
      </c>
      <c r="F32" s="185">
        <v>8.29573967313273E-3</v>
      </c>
      <c r="G32" s="186">
        <v>1.0785746044587701</v>
      </c>
      <c r="H32" s="42">
        <f t="shared" si="10"/>
        <v>0.89881217038230732</v>
      </c>
      <c r="I32" s="47">
        <f t="shared" si="11"/>
        <v>2.0244523695934014</v>
      </c>
      <c r="J32" s="47">
        <f t="shared" si="11"/>
        <v>-1.10083334595181</v>
      </c>
      <c r="K32" s="48">
        <f t="shared" si="11"/>
        <v>5491.2709283971635</v>
      </c>
      <c r="L32" s="48">
        <f t="shared" si="11"/>
        <v>1209.6819803173858</v>
      </c>
      <c r="M32" s="52">
        <f t="shared" si="12"/>
        <v>545.26268913717718</v>
      </c>
      <c r="N32" s="172">
        <f t="shared" si="8"/>
        <v>15</v>
      </c>
      <c r="O32" s="172">
        <f t="shared" si="9"/>
        <v>21</v>
      </c>
      <c r="P32" s="95">
        <f t="shared" si="13"/>
        <v>416.73734031543063</v>
      </c>
      <c r="Q32" s="95">
        <f t="shared" si="14"/>
        <v>128.52534882174587</v>
      </c>
      <c r="R32" s="95">
        <f t="shared" si="15"/>
        <v>545.26268913717649</v>
      </c>
    </row>
    <row r="33" spans="2:18" s="151" customFormat="1" x14ac:dyDescent="0.3">
      <c r="B33" s="184" t="s">
        <v>24</v>
      </c>
      <c r="C33" s="185" t="s">
        <v>80</v>
      </c>
      <c r="D33" s="185" t="s">
        <v>210</v>
      </c>
      <c r="E33" s="185">
        <v>5.9965675539112298E-3</v>
      </c>
      <c r="F33" s="185">
        <v>5.53589189683029E-3</v>
      </c>
      <c r="G33" s="186">
        <v>1.0832161584197</v>
      </c>
      <c r="H33" s="42">
        <f t="shared" si="10"/>
        <v>0.90268013201641317</v>
      </c>
      <c r="I33" s="47">
        <f t="shared" si="11"/>
        <v>2.1190939131300013</v>
      </c>
      <c r="J33" s="47">
        <f t="shared" si="11"/>
        <v>-1.0682694768517802</v>
      </c>
      <c r="K33" s="48">
        <f t="shared" si="11"/>
        <v>4239.8426830786048</v>
      </c>
      <c r="L33" s="48">
        <f t="shared" si="11"/>
        <v>975.43055530672416</v>
      </c>
      <c r="M33" s="52">
        <f t="shared" si="12"/>
        <v>409.14090915437737</v>
      </c>
      <c r="N33" s="172">
        <f t="shared" si="8"/>
        <v>15</v>
      </c>
      <c r="O33" s="172">
        <f t="shared" si="9"/>
        <v>21</v>
      </c>
      <c r="P33" s="95">
        <f t="shared" si="13"/>
        <v>309.46569764128981</v>
      </c>
      <c r="Q33" s="95">
        <f t="shared" si="14"/>
        <v>99.675211513087561</v>
      </c>
      <c r="R33" s="95">
        <f t="shared" si="15"/>
        <v>409.14090915437737</v>
      </c>
    </row>
    <row r="34" spans="2:18" s="151" customFormat="1" x14ac:dyDescent="0.3">
      <c r="B34" s="187" t="s">
        <v>22</v>
      </c>
      <c r="C34" s="188" t="s">
        <v>80</v>
      </c>
      <c r="D34" s="188" t="s">
        <v>210</v>
      </c>
      <c r="E34" s="188">
        <v>2.9671149089384101E-3</v>
      </c>
      <c r="F34" s="188">
        <v>2.7517590595888199E-3</v>
      </c>
      <c r="G34" s="189">
        <v>1.0782611575672501</v>
      </c>
      <c r="H34" s="42">
        <f t="shared" si="10"/>
        <v>0.89855096463937556</v>
      </c>
      <c r="I34" s="47">
        <f t="shared" si="11"/>
        <v>1.97914352095159</v>
      </c>
      <c r="J34" s="47">
        <f t="shared" si="11"/>
        <v>-0.81956150311624043</v>
      </c>
      <c r="K34" s="48">
        <f t="shared" si="11"/>
        <v>2527.6116050094779</v>
      </c>
      <c r="L34" s="48">
        <f t="shared" si="11"/>
        <v>603.41651012666534</v>
      </c>
      <c r="M34" s="52">
        <f t="shared" si="12"/>
        <v>256.59464333757433</v>
      </c>
      <c r="N34" s="172">
        <f t="shared" si="8"/>
        <v>15</v>
      </c>
      <c r="O34" s="172">
        <f t="shared" si="9"/>
        <v>21</v>
      </c>
      <c r="P34" s="95">
        <f t="shared" si="13"/>
        <v>192.31781932089871</v>
      </c>
      <c r="Q34" s="95">
        <f t="shared" si="14"/>
        <v>64.27682401667596</v>
      </c>
      <c r="R34" s="95">
        <f t="shared" si="15"/>
        <v>256.59464333757467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211</v>
      </c>
      <c r="E42" s="185">
        <v>3.1091444115087401E-2</v>
      </c>
      <c r="F42" s="185">
        <v>3.1005612120102301E-2</v>
      </c>
      <c r="G42" s="186">
        <v>1.0027682728743701</v>
      </c>
      <c r="H42" s="42">
        <f>+E42/(1.2*F42)</f>
        <v>0.83564022739530253</v>
      </c>
      <c r="I42" s="181">
        <f>+I24</f>
        <v>-2.6268368322098006</v>
      </c>
      <c r="J42" s="181">
        <f>+J24</f>
        <v>1.2065025694284301</v>
      </c>
      <c r="K42" s="48">
        <f>IF(+'Sismo UBC-94 y Dinamico'!O34=0,'Sismo UBC-94 y Dinamico'!M34,'Sismo UBC-94 y Dinamico'!O34)</f>
        <v>451.14401090909666</v>
      </c>
      <c r="L42" s="48">
        <f>IF(+'Sismo UBC-94 y Dinamico'!P34=0,'Sismo UBC-94 y Dinamico'!N34,'Sismo UBC-94 y Dinamico'!P34)</f>
        <v>889.28792392345474</v>
      </c>
      <c r="M42" s="52">
        <f>0.05*N42*K42*(H42-1)+0.05*O42*L42*(H42-1)</f>
        <v>-209.08376428771336</v>
      </c>
      <c r="N42" s="172">
        <f>+$N$3</f>
        <v>15</v>
      </c>
      <c r="O42" s="172">
        <f>+$O$3</f>
        <v>21</v>
      </c>
      <c r="P42" s="95">
        <f>+K42*(J42+0.05*N42*H42)-K42*(J42+0.05*N42)</f>
        <v>-55.612445283742773</v>
      </c>
      <c r="Q42" s="95">
        <f>+L42*(I42+0.05*O42*H42)-L42*(I42+0.05*O42)</f>
        <v>-153.47131900397062</v>
      </c>
      <c r="R42" s="95">
        <f>+P42+Q42</f>
        <v>-209.08376428771339</v>
      </c>
    </row>
    <row r="43" spans="2:18" x14ac:dyDescent="0.3">
      <c r="B43" s="184" t="s">
        <v>187</v>
      </c>
      <c r="C43" s="185" t="s">
        <v>81</v>
      </c>
      <c r="D43" s="185" t="s">
        <v>211</v>
      </c>
      <c r="E43" s="185">
        <v>2.9216375507412701E-2</v>
      </c>
      <c r="F43" s="185">
        <v>2.91778503777455E-2</v>
      </c>
      <c r="G43" s="186">
        <v>1.00132035530954</v>
      </c>
      <c r="H43" s="42">
        <f t="shared" ref="H43:H52" si="16">+E43/(1.2*F43)</f>
        <v>0.83443362942461619</v>
      </c>
      <c r="I43" s="181">
        <f t="shared" ref="I43:J43" si="17">+I25</f>
        <v>0.42789804907688911</v>
      </c>
      <c r="J43" s="181">
        <f t="shared" si="17"/>
        <v>-0.53162310401130952</v>
      </c>
      <c r="K43" s="48">
        <f>IF(+'Sismo UBC-94 y Dinamico'!O35=0,'Sismo UBC-94 y Dinamico'!M35,'Sismo UBC-94 y Dinamico'!O35)</f>
        <v>3483.087252837151</v>
      </c>
      <c r="L43" s="48">
        <f>IF(+'Sismo UBC-94 y Dinamico'!P35=0,'Sismo UBC-94 y Dinamico'!N35,'Sismo UBC-94 y Dinamico'!P35)</f>
        <v>12246.537501384773</v>
      </c>
      <c r="M43" s="52">
        <f>0.05*N43*K43*(H43-1)+0.05*O43*L43*(H43-1)</f>
        <v>-2561.5070906678102</v>
      </c>
      <c r="N43" s="172">
        <f t="shared" ref="N43:N52" si="18">+$N$3</f>
        <v>15</v>
      </c>
      <c r="O43" s="172">
        <f t="shared" ref="O43:O52" si="19">+$O$3</f>
        <v>21</v>
      </c>
      <c r="P43" s="95">
        <f>+K43*(J43+0.05*N43*H43)-K43*(J43+0.05*N43)</f>
        <v>-432.51158613722345</v>
      </c>
      <c r="Q43" s="95">
        <f>+L43*(I43+0.05*O43*H43)-L43*(I43+0.05*O43)</f>
        <v>-2128.9955045305851</v>
      </c>
      <c r="R43" s="95">
        <f>+P43+Q43</f>
        <v>-2561.5070906678084</v>
      </c>
    </row>
    <row r="44" spans="2:18" x14ac:dyDescent="0.3">
      <c r="B44" s="184" t="s">
        <v>185</v>
      </c>
      <c r="C44" s="185" t="s">
        <v>81</v>
      </c>
      <c r="D44" s="185" t="s">
        <v>211</v>
      </c>
      <c r="E44" s="185">
        <v>2.7966985905778102E-2</v>
      </c>
      <c r="F44" s="185">
        <v>2.7541323925365398E-2</v>
      </c>
      <c r="G44" s="186">
        <v>1.01545539283319</v>
      </c>
      <c r="H44" s="42">
        <f t="shared" si="16"/>
        <v>0.84621282736099313</v>
      </c>
      <c r="I44" s="181">
        <f t="shared" ref="I44:J44" si="20">+I26</f>
        <v>0.88864581125426056</v>
      </c>
      <c r="J44" s="181">
        <f t="shared" si="20"/>
        <v>-0.75760832080028973</v>
      </c>
      <c r="K44" s="48">
        <f>IF(+'Sismo UBC-94 y Dinamico'!O36=0,'Sismo UBC-94 y Dinamico'!M36,'Sismo UBC-94 y Dinamico'!O36)</f>
        <v>3917.40456701521</v>
      </c>
      <c r="L44" s="48">
        <f>IF(+'Sismo UBC-94 y Dinamico'!P36=0,'Sismo UBC-94 y Dinamico'!N36,'Sismo UBC-94 y Dinamico'!P36)</f>
        <v>14005.067539672775</v>
      </c>
      <c r="M44" s="52">
        <f>0.05*N44*K44*(H44-1)+0.05*O44*L44*(H44-1)</f>
        <v>-2713.3246558551405</v>
      </c>
      <c r="N44" s="172">
        <f t="shared" si="18"/>
        <v>15</v>
      </c>
      <c r="O44" s="172">
        <f t="shared" si="19"/>
        <v>21</v>
      </c>
      <c r="P44" s="95">
        <f>+K44*(J44+0.05*N44*H44)-K44*(J44+0.05*N44)</f>
        <v>-451.83492933330143</v>
      </c>
      <c r="Q44" s="95">
        <f>+L44*(I44+0.05*O44*H44)-L44*(I44+0.05*O44)</f>
        <v>-2261.4897265218387</v>
      </c>
      <c r="R44" s="95">
        <f>+P44+Q44</f>
        <v>-2713.32465585514</v>
      </c>
    </row>
    <row r="45" spans="2:18" x14ac:dyDescent="0.3">
      <c r="B45" s="184" t="s">
        <v>183</v>
      </c>
      <c r="C45" s="185" t="s">
        <v>81</v>
      </c>
      <c r="D45" s="185" t="s">
        <v>211</v>
      </c>
      <c r="E45" s="185">
        <v>2.6199238764785301E-2</v>
      </c>
      <c r="F45" s="185">
        <v>2.5402744869177301E-2</v>
      </c>
      <c r="G45" s="186">
        <v>1.03135463902464</v>
      </c>
      <c r="H45" s="42">
        <f t="shared" si="16"/>
        <v>0.85946219918719746</v>
      </c>
      <c r="I45" s="181">
        <f t="shared" ref="I45:J45" si="21">+I27</f>
        <v>1.1258224373713599</v>
      </c>
      <c r="J45" s="181">
        <f t="shared" si="21"/>
        <v>-0.84026133856711027</v>
      </c>
      <c r="K45" s="48">
        <f>IF(+'Sismo UBC-94 y Dinamico'!O37=0,'Sismo UBC-94 y Dinamico'!M37,'Sismo UBC-94 y Dinamico'!O37)</f>
        <v>3109.503124949812</v>
      </c>
      <c r="L45" s="48">
        <f>IF(+'Sismo UBC-94 y Dinamico'!P37=0,'Sismo UBC-94 y Dinamico'!N37,'Sismo UBC-94 y Dinamico'!P37)</f>
        <v>11547.09766115481</v>
      </c>
      <c r="M45" s="52">
        <f>0.05*N45*K45*(H45-1)+0.05*O45*L45*(H45-1)</f>
        <v>-2031.6959447235581</v>
      </c>
      <c r="N45" s="172">
        <f t="shared" si="18"/>
        <v>15</v>
      </c>
      <c r="O45" s="172">
        <f t="shared" si="19"/>
        <v>21</v>
      </c>
      <c r="P45" s="95">
        <f>+K45*(J45+0.05*N45*H45)-K45*(J45+0.05*N45)</f>
        <v>-327.75204810073785</v>
      </c>
      <c r="Q45" s="95">
        <f>+L45*(I45+0.05*O45*H45)-L45*(I45+0.05*O45)</f>
        <v>-1703.943896622819</v>
      </c>
      <c r="R45" s="95">
        <f>+P45+Q45</f>
        <v>-2031.6959447235567</v>
      </c>
    </row>
    <row r="46" spans="2:18" x14ac:dyDescent="0.3">
      <c r="B46" s="184" t="s">
        <v>181</v>
      </c>
      <c r="C46" s="185" t="s">
        <v>81</v>
      </c>
      <c r="D46" s="185" t="s">
        <v>211</v>
      </c>
      <c r="E46" s="185">
        <v>2.38947426435898E-2</v>
      </c>
      <c r="F46" s="185">
        <v>2.28280574799711E-2</v>
      </c>
      <c r="G46" s="186">
        <v>1.0467269352442501</v>
      </c>
      <c r="H46" s="42">
        <f t="shared" si="16"/>
        <v>0.8722724460368777</v>
      </c>
      <c r="I46" s="181">
        <f t="shared" ref="I46:J46" si="22">+I28</f>
        <v>1.3547532984799595</v>
      </c>
      <c r="J46" s="181">
        <f t="shared" si="22"/>
        <v>-0.92071141678418034</v>
      </c>
      <c r="K46" s="48">
        <f>IF(+'Sismo UBC-94 y Dinamico'!O38=0,'Sismo UBC-94 y Dinamico'!M38,'Sismo UBC-94 y Dinamico'!O38)</f>
        <v>2520.2847810389044</v>
      </c>
      <c r="L46" s="48">
        <f>IF(+'Sismo UBC-94 y Dinamico'!P38=0,'Sismo UBC-94 y Dinamico'!N38,'Sismo UBC-94 y Dinamico'!P38)</f>
        <v>9474.8793648685769</v>
      </c>
      <c r="M46" s="52">
        <f>0.05*N46*K46*(H46-1)+0.05*O46*L46*(H46-1)</f>
        <v>-1512.1456814182782</v>
      </c>
      <c r="N46" s="172">
        <f t="shared" si="18"/>
        <v>15</v>
      </c>
      <c r="O46" s="172">
        <f t="shared" si="19"/>
        <v>21</v>
      </c>
      <c r="P46" s="95">
        <f>+K46*(J46+0.05*N46*H46)-K46*(J46+0.05*N46)</f>
        <v>-241.43235777943698</v>
      </c>
      <c r="Q46" s="95">
        <f>+L46*(I46+0.05*O46*H46)-L46*(I46+0.05*O46)</f>
        <v>-1270.7133236388363</v>
      </c>
      <c r="R46" s="95">
        <f>+P46+Q46</f>
        <v>-1512.1456814182734</v>
      </c>
    </row>
    <row r="47" spans="2:18" s="151" customFormat="1" x14ac:dyDescent="0.3">
      <c r="B47" s="184" t="s">
        <v>179</v>
      </c>
      <c r="C47" s="185" t="s">
        <v>81</v>
      </c>
      <c r="D47" s="185" t="s">
        <v>211</v>
      </c>
      <c r="E47" s="185">
        <v>2.1154617513236999E-2</v>
      </c>
      <c r="F47" s="185">
        <v>1.9909291577177E-2</v>
      </c>
      <c r="G47" s="186">
        <v>1.06254998733795</v>
      </c>
      <c r="H47" s="42">
        <f t="shared" si="16"/>
        <v>0.88545832278162606</v>
      </c>
      <c r="I47" s="181">
        <f t="shared" ref="I47:J47" si="23">+I29</f>
        <v>1.5772090574675595</v>
      </c>
      <c r="J47" s="181">
        <f t="shared" si="23"/>
        <v>-0.9999535148909402</v>
      </c>
      <c r="K47" s="48">
        <f>IF(+'Sismo UBC-94 y Dinamico'!O39=0,'Sismo UBC-94 y Dinamico'!M39,'Sismo UBC-94 y Dinamico'!O39)</f>
        <v>2132.5137261111727</v>
      </c>
      <c r="L47" s="48">
        <f>IF(+'Sismo UBC-94 y Dinamico'!P39=0,'Sismo UBC-94 y Dinamico'!N39,'Sismo UBC-94 y Dinamico'!P39)</f>
        <v>7981.4091511190945</v>
      </c>
      <c r="M47" s="52">
        <f t="shared" ref="M47:M52" si="24">0.05*N47*K47*(H47-1)+0.05*O47*L47*(H47-1)</f>
        <v>-1143.1104644320058</v>
      </c>
      <c r="N47" s="172">
        <f t="shared" si="18"/>
        <v>15</v>
      </c>
      <c r="O47" s="172">
        <f t="shared" si="19"/>
        <v>21</v>
      </c>
      <c r="P47" s="95">
        <f t="shared" ref="P47:P52" si="25">+K47*(J47+0.05*N47*H47)-K47*(J47+0.05*N47)</f>
        <v>-183.19627415998343</v>
      </c>
      <c r="Q47" s="95">
        <f t="shared" ref="Q47:Q52" si="26">+L47*(I47+0.05*O47*H47)-L47*(I47+0.05*O47)</f>
        <v>-959.9141902720221</v>
      </c>
      <c r="R47" s="95">
        <f t="shared" ref="R47:R52" si="27">+P47+Q47</f>
        <v>-1143.1104644320055</v>
      </c>
    </row>
    <row r="48" spans="2:18" s="151" customFormat="1" x14ac:dyDescent="0.3">
      <c r="B48" s="184" t="s">
        <v>39</v>
      </c>
      <c r="C48" s="185" t="s">
        <v>81</v>
      </c>
      <c r="D48" s="185" t="s">
        <v>211</v>
      </c>
      <c r="E48" s="185">
        <v>1.8062635187217201E-2</v>
      </c>
      <c r="F48" s="185">
        <v>1.67293089941703E-2</v>
      </c>
      <c r="G48" s="186">
        <v>1.07970001591288</v>
      </c>
      <c r="H48" s="42">
        <f t="shared" si="16"/>
        <v>0.89975001326073534</v>
      </c>
      <c r="I48" s="181">
        <f t="shared" ref="I48:J48" si="28">+I30</f>
        <v>1.7938432564967588</v>
      </c>
      <c r="J48" s="181">
        <f t="shared" si="28"/>
        <v>-1.0786682029049404</v>
      </c>
      <c r="K48" s="48">
        <f>IF(+'Sismo UBC-94 y Dinamico'!O40=0,'Sismo UBC-94 y Dinamico'!M40,'Sismo UBC-94 y Dinamico'!O40)</f>
        <v>1878.5334751305654</v>
      </c>
      <c r="L48" s="48">
        <f>IF(+'Sismo UBC-94 y Dinamico'!P40=0,'Sismo UBC-94 y Dinamico'!N40,'Sismo UBC-94 y Dinamico'!P40)</f>
        <v>6964.533185106884</v>
      </c>
      <c r="M48" s="52">
        <f t="shared" si="24"/>
        <v>-874.34629440306844</v>
      </c>
      <c r="N48" s="172">
        <f t="shared" si="18"/>
        <v>15</v>
      </c>
      <c r="O48" s="172">
        <f t="shared" si="19"/>
        <v>21</v>
      </c>
      <c r="P48" s="95">
        <f t="shared" si="25"/>
        <v>-141.24221697832797</v>
      </c>
      <c r="Q48" s="95">
        <f t="shared" si="26"/>
        <v>-733.10407742474126</v>
      </c>
      <c r="R48" s="95">
        <f t="shared" si="27"/>
        <v>-874.34629440306924</v>
      </c>
    </row>
    <row r="49" spans="2:18" s="151" customFormat="1" x14ac:dyDescent="0.3">
      <c r="B49" s="184" t="s">
        <v>26</v>
      </c>
      <c r="C49" s="185" t="s">
        <v>81</v>
      </c>
      <c r="D49" s="185" t="s">
        <v>211</v>
      </c>
      <c r="E49" s="185">
        <v>1.4682357977950901E-2</v>
      </c>
      <c r="F49" s="185">
        <v>1.3370372805403199E-2</v>
      </c>
      <c r="G49" s="186">
        <v>1.0981262969733701</v>
      </c>
      <c r="H49" s="42">
        <f t="shared" si="16"/>
        <v>0.91510524747781063</v>
      </c>
      <c r="I49" s="181">
        <f t="shared" ref="I49:J49" si="29">+I31</f>
        <v>1.866900491910501</v>
      </c>
      <c r="J49" s="181">
        <f t="shared" si="29"/>
        <v>-1.0733431941919802</v>
      </c>
      <c r="K49" s="48">
        <f>IF(+'Sismo UBC-94 y Dinamico'!O41=0,'Sismo UBC-94 y Dinamico'!M41,'Sismo UBC-94 y Dinamico'!O41)</f>
        <v>1686.5049792442305</v>
      </c>
      <c r="L49" s="48">
        <f>IF(+'Sismo UBC-94 y Dinamico'!P41=0,'Sismo UBC-94 y Dinamico'!N41,'Sismo UBC-94 y Dinamico'!P41)</f>
        <v>6209.3163464798045</v>
      </c>
      <c r="M49" s="52">
        <f t="shared" si="24"/>
        <v>-660.87686042499183</v>
      </c>
      <c r="N49" s="172">
        <f t="shared" si="18"/>
        <v>15</v>
      </c>
      <c r="O49" s="172">
        <f t="shared" si="19"/>
        <v>21</v>
      </c>
      <c r="P49" s="95">
        <f t="shared" si="25"/>
        <v>-107.38156713028434</v>
      </c>
      <c r="Q49" s="95">
        <f t="shared" si="26"/>
        <v>-553.49529329470533</v>
      </c>
      <c r="R49" s="95">
        <f t="shared" si="27"/>
        <v>-660.87686042498967</v>
      </c>
    </row>
    <row r="50" spans="2:18" s="151" customFormat="1" x14ac:dyDescent="0.3">
      <c r="B50" s="184" t="s">
        <v>25</v>
      </c>
      <c r="C50" s="185" t="s">
        <v>81</v>
      </c>
      <c r="D50" s="185" t="s">
        <v>211</v>
      </c>
      <c r="E50" s="185">
        <v>1.10687586657166E-2</v>
      </c>
      <c r="F50" s="185">
        <v>9.9060827754808099E-3</v>
      </c>
      <c r="G50" s="186">
        <v>1.1173698944969099</v>
      </c>
      <c r="H50" s="42">
        <f t="shared" si="16"/>
        <v>0.93114157874742087</v>
      </c>
      <c r="I50" s="181">
        <f t="shared" ref="I50:J50" si="30">+I32</f>
        <v>2.0244523695934014</v>
      </c>
      <c r="J50" s="181">
        <f t="shared" si="30"/>
        <v>-1.10083334595181</v>
      </c>
      <c r="K50" s="48">
        <f>IF(+'Sismo UBC-94 y Dinamico'!O42=0,'Sismo UBC-94 y Dinamico'!M42,'Sismo UBC-94 y Dinamico'!O42)</f>
        <v>1505.9158592568658</v>
      </c>
      <c r="L50" s="48">
        <f>IF(+'Sismo UBC-94 y Dinamico'!P42=0,'Sismo UBC-94 y Dinamico'!N42,'Sismo UBC-94 y Dinamico'!P42)</f>
        <v>5409.5922084493923</v>
      </c>
      <c r="M50" s="52">
        <f t="shared" si="24"/>
        <v>-468.89201950451866</v>
      </c>
      <c r="N50" s="172">
        <f t="shared" si="18"/>
        <v>15</v>
      </c>
      <c r="O50" s="172">
        <f t="shared" si="19"/>
        <v>21</v>
      </c>
      <c r="P50" s="95">
        <f t="shared" si="25"/>
        <v>-77.771241455736686</v>
      </c>
      <c r="Q50" s="95">
        <f t="shared" si="26"/>
        <v>-391.12077804878209</v>
      </c>
      <c r="R50" s="95">
        <f t="shared" si="27"/>
        <v>-468.89201950451877</v>
      </c>
    </row>
    <row r="51" spans="2:18" s="151" customFormat="1" x14ac:dyDescent="0.3">
      <c r="B51" s="184" t="s">
        <v>24</v>
      </c>
      <c r="C51" s="185" t="s">
        <v>81</v>
      </c>
      <c r="D51" s="185" t="s">
        <v>211</v>
      </c>
      <c r="E51" s="185">
        <v>7.2956709909657398E-3</v>
      </c>
      <c r="F51" s="185">
        <v>6.4086110901250401E-3</v>
      </c>
      <c r="G51" s="186">
        <v>1.13841687198144</v>
      </c>
      <c r="H51" s="42">
        <f t="shared" si="16"/>
        <v>0.9486807266512034</v>
      </c>
      <c r="I51" s="181">
        <f t="shared" ref="I51:J51" si="31">+I33</f>
        <v>2.1190939131300013</v>
      </c>
      <c r="J51" s="181">
        <f t="shared" si="31"/>
        <v>-1.0682694768517802</v>
      </c>
      <c r="K51" s="48">
        <f>IF(+'Sismo UBC-94 y Dinamico'!O43=0,'Sismo UBC-94 y Dinamico'!M43,'Sismo UBC-94 y Dinamico'!O43)</f>
        <v>1284.6462922909079</v>
      </c>
      <c r="L51" s="48">
        <f>IF(+'Sismo UBC-94 y Dinamico'!P43=0,'Sismo UBC-94 y Dinamico'!N43,'Sismo UBC-94 y Dinamico'!P43)</f>
        <v>4316.3302426303162</v>
      </c>
      <c r="M51" s="52">
        <f t="shared" si="24"/>
        <v>-282.03181383743026</v>
      </c>
      <c r="N51" s="172">
        <f t="shared" si="18"/>
        <v>15</v>
      </c>
      <c r="O51" s="172">
        <f t="shared" si="19"/>
        <v>21</v>
      </c>
      <c r="P51" s="95">
        <f t="shared" si="25"/>
        <v>-49.445335672946442</v>
      </c>
      <c r="Q51" s="95">
        <f t="shared" si="26"/>
        <v>-232.5864781644832</v>
      </c>
      <c r="R51" s="95">
        <f t="shared" si="27"/>
        <v>-282.03181383742964</v>
      </c>
    </row>
    <row r="52" spans="2:18" s="151" customFormat="1" x14ac:dyDescent="0.3">
      <c r="B52" s="187" t="s">
        <v>22</v>
      </c>
      <c r="C52" s="188" t="s">
        <v>81</v>
      </c>
      <c r="D52" s="188" t="s">
        <v>211</v>
      </c>
      <c r="E52" s="188">
        <v>3.4776926604822901E-3</v>
      </c>
      <c r="F52" s="188">
        <v>2.9982679875317502E-3</v>
      </c>
      <c r="G52" s="189">
        <v>1.15990054089368</v>
      </c>
      <c r="H52" s="42">
        <f t="shared" si="16"/>
        <v>0.96658378407806889</v>
      </c>
      <c r="I52" s="181">
        <f t="shared" ref="I52:J52" si="32">+I34</f>
        <v>1.97914352095159</v>
      </c>
      <c r="J52" s="181">
        <f t="shared" si="32"/>
        <v>-0.81956150311624043</v>
      </c>
      <c r="K52" s="48">
        <f>IF(+'Sismo UBC-94 y Dinamico'!O44=0,'Sismo UBC-94 y Dinamico'!M44,'Sismo UBC-94 y Dinamico'!O44)</f>
        <v>842.11920249011723</v>
      </c>
      <c r="L52" s="48">
        <f>IF(+'Sismo UBC-94 y Dinamico'!P44=0,'Sismo UBC-94 y Dinamico'!N44,'Sismo UBC-94 y Dinamico'!P44)</f>
        <v>2588.9069574365235</v>
      </c>
      <c r="M52" s="52">
        <f t="shared" si="24"/>
        <v>-111.94237541287367</v>
      </c>
      <c r="N52" s="172">
        <f t="shared" si="18"/>
        <v>15</v>
      </c>
      <c r="O52" s="172">
        <f t="shared" si="19"/>
        <v>21</v>
      </c>
      <c r="P52" s="95">
        <f t="shared" si="25"/>
        <v>-21.105327826810687</v>
      </c>
      <c r="Q52" s="95">
        <f t="shared" si="26"/>
        <v>-90.837047586062909</v>
      </c>
      <c r="R52" s="95">
        <f t="shared" si="27"/>
        <v>-111.94237541287359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211</v>
      </c>
      <c r="E60" s="185">
        <v>2.80482932070216E-2</v>
      </c>
      <c r="F60" s="185">
        <v>2.6899425675684902E-2</v>
      </c>
      <c r="G60" s="186">
        <v>1.0427097420289999</v>
      </c>
      <c r="H60" s="42">
        <f>+E60/(1.2*F60)</f>
        <v>0.8689247850241647</v>
      </c>
      <c r="I60" s="181">
        <f>+I42</f>
        <v>-2.6268368322098006</v>
      </c>
      <c r="J60" s="181">
        <f>+J42</f>
        <v>1.2065025694284301</v>
      </c>
      <c r="K60" s="48">
        <f>+K42</f>
        <v>451.14401090909666</v>
      </c>
      <c r="L60" s="48">
        <f>+L42</f>
        <v>889.28792392345474</v>
      </c>
      <c r="M60" s="52">
        <f>-0.05*N60*K60*(H60-1)-0.05*O60*L60*(H60-1)</f>
        <v>166.74213475509296</v>
      </c>
      <c r="N60" s="172">
        <f>+$N$3</f>
        <v>15</v>
      </c>
      <c r="O60" s="172">
        <f>+$O$3</f>
        <v>21</v>
      </c>
      <c r="P60" s="95">
        <f>+K60*(J60-0.05*N60*H60)-K60*(J60-0.05*N60)</f>
        <v>44.350348661227798</v>
      </c>
      <c r="Q60" s="95">
        <f>+L60*(I60-0.05*O60*H60)-L60*(I60-0.05*O60)</f>
        <v>122.39178609386499</v>
      </c>
      <c r="R60" s="95">
        <f>+P60+Q60</f>
        <v>166.74213475509279</v>
      </c>
    </row>
    <row r="61" spans="2:18" x14ac:dyDescent="0.3">
      <c r="B61" s="184" t="s">
        <v>187</v>
      </c>
      <c r="C61" s="185" t="s">
        <v>82</v>
      </c>
      <c r="D61" s="185" t="s">
        <v>211</v>
      </c>
      <c r="E61" s="185">
        <v>3.41910806130711E-2</v>
      </c>
      <c r="F61" s="185">
        <v>2.9154955676994599E-2</v>
      </c>
      <c r="G61" s="186">
        <v>1.1727364977629</v>
      </c>
      <c r="H61" s="42">
        <f t="shared" ref="H61:H70" si="33">+E61/(1.2*F61)</f>
        <v>0.97728041480241312</v>
      </c>
      <c r="I61" s="181">
        <f t="shared" ref="I61:J61" si="34">+I43</f>
        <v>0.42789804907688911</v>
      </c>
      <c r="J61" s="181">
        <f t="shared" si="34"/>
        <v>-0.53162310401130952</v>
      </c>
      <c r="K61" s="48">
        <f t="shared" ref="K61:L64" si="35">+K43</f>
        <v>3483.087252837151</v>
      </c>
      <c r="L61" s="48">
        <f t="shared" si="35"/>
        <v>12246.537501384773</v>
      </c>
      <c r="M61" s="52">
        <f>-0.05*N61*K61*(H61-1)-0.05*O61*L61*(H61-1)</f>
        <v>351.49878793865867</v>
      </c>
      <c r="N61" s="172">
        <f t="shared" ref="N61:N70" si="36">+$N$3</f>
        <v>15</v>
      </c>
      <c r="O61" s="172">
        <f t="shared" ref="O61:O70" si="37">+$O$3</f>
        <v>21</v>
      </c>
      <c r="P61" s="95">
        <f>+K61*(J61-0.05*N61*H61)-K61*(J61-0.05*N61)</f>
        <v>59.350723193596423</v>
      </c>
      <c r="Q61" s="95">
        <f>+L61*(I61-0.05*O61*H61)-L61*(I61-0.05*O61)</f>
        <v>292.14806474506258</v>
      </c>
      <c r="R61" s="95">
        <f>+P61+Q61</f>
        <v>351.49878793865901</v>
      </c>
    </row>
    <row r="62" spans="2:18" x14ac:dyDescent="0.3">
      <c r="B62" s="184" t="s">
        <v>185</v>
      </c>
      <c r="C62" s="185" t="s">
        <v>82</v>
      </c>
      <c r="D62" s="185" t="s">
        <v>211</v>
      </c>
      <c r="E62" s="185">
        <v>3.28459479698259E-2</v>
      </c>
      <c r="F62" s="185">
        <v>2.7579696616556799E-2</v>
      </c>
      <c r="G62" s="186">
        <v>1.19094667452243</v>
      </c>
      <c r="H62" s="42">
        <f t="shared" si="33"/>
        <v>0.9924555621020269</v>
      </c>
      <c r="I62" s="181">
        <f t="shared" ref="I62:J62" si="38">+I44</f>
        <v>0.88864581125426056</v>
      </c>
      <c r="J62" s="181">
        <f t="shared" si="38"/>
        <v>-0.75760832080028973</v>
      </c>
      <c r="K62" s="48">
        <f t="shared" si="35"/>
        <v>3917.40456701521</v>
      </c>
      <c r="L62" s="48">
        <f t="shared" si="35"/>
        <v>14005.067539672775</v>
      </c>
      <c r="M62" s="52">
        <f>-0.05*N62*K62*(H62-1)-0.05*O62*L62*(H62-1)</f>
        <v>133.109342033291</v>
      </c>
      <c r="N62" s="172">
        <f t="shared" si="36"/>
        <v>15</v>
      </c>
      <c r="O62" s="172">
        <f t="shared" si="37"/>
        <v>21</v>
      </c>
      <c r="P62" s="95">
        <f>+K62*(J62-0.05*N62*H62)-K62*(J62-0.05*N62)</f>
        <v>22.165961607811369</v>
      </c>
      <c r="Q62" s="95">
        <f>+L62*(I62-0.05*O62*H62)-L62*(I62-0.05*O62)</f>
        <v>110.94338042547861</v>
      </c>
      <c r="R62" s="95">
        <f>+P62+Q62</f>
        <v>133.10934203328998</v>
      </c>
    </row>
    <row r="63" spans="2:18" x14ac:dyDescent="0.3">
      <c r="B63" s="184" t="s">
        <v>183</v>
      </c>
      <c r="C63" s="185" t="s">
        <v>82</v>
      </c>
      <c r="D63" s="185" t="s">
        <v>211</v>
      </c>
      <c r="E63" s="185">
        <v>3.07962528285536E-2</v>
      </c>
      <c r="F63" s="185">
        <v>2.549250132506E-2</v>
      </c>
      <c r="G63" s="186">
        <v>1.20805143582673</v>
      </c>
      <c r="H63" s="42">
        <f t="shared" si="33"/>
        <v>1.0067095298556101</v>
      </c>
      <c r="I63" s="181">
        <f t="shared" ref="I63:J63" si="39">+I45</f>
        <v>1.1258224373713599</v>
      </c>
      <c r="J63" s="181">
        <f t="shared" si="39"/>
        <v>-0.84026133856711027</v>
      </c>
      <c r="K63" s="48">
        <f t="shared" si="35"/>
        <v>3109.503124949812</v>
      </c>
      <c r="L63" s="48">
        <f t="shared" si="35"/>
        <v>11547.09766115481</v>
      </c>
      <c r="M63" s="52">
        <f>-0.05*N63*K63*(H63-1)-0.05*O63*L63*(H63-1)</f>
        <v>-96.996854368045135</v>
      </c>
      <c r="N63" s="172">
        <f t="shared" si="36"/>
        <v>15</v>
      </c>
      <c r="O63" s="172">
        <f t="shared" si="37"/>
        <v>21</v>
      </c>
      <c r="P63" s="95">
        <f>+K63*(J63-0.05*N63*H63)-K63*(J63-0.05*N63)</f>
        <v>-15.647478039722955</v>
      </c>
      <c r="Q63" s="95">
        <f>+L63*(I63-0.05*O63*H63)-L63*(I63-0.05*O63)</f>
        <v>-81.349376328322705</v>
      </c>
      <c r="R63" s="95">
        <f>+P63+Q63</f>
        <v>-96.996854368045661</v>
      </c>
    </row>
    <row r="64" spans="2:18" x14ac:dyDescent="0.3">
      <c r="B64" s="184" t="s">
        <v>181</v>
      </c>
      <c r="C64" s="185" t="s">
        <v>82</v>
      </c>
      <c r="D64" s="185" t="s">
        <v>211</v>
      </c>
      <c r="E64" s="185">
        <v>2.8110239691129298E-2</v>
      </c>
      <c r="F64" s="185">
        <v>2.2956846323770801E-2</v>
      </c>
      <c r="G64" s="186">
        <v>1.22448176437991</v>
      </c>
      <c r="H64" s="42">
        <f t="shared" si="33"/>
        <v>1.0204014703165909</v>
      </c>
      <c r="I64" s="181">
        <f t="shared" ref="I64:J64" si="40">+I46</f>
        <v>1.3547532984799595</v>
      </c>
      <c r="J64" s="181">
        <f t="shared" si="40"/>
        <v>-0.92071141678418034</v>
      </c>
      <c r="K64" s="48">
        <f t="shared" si="35"/>
        <v>2520.2847810389044</v>
      </c>
      <c r="L64" s="48">
        <f t="shared" si="35"/>
        <v>9474.8793648685769</v>
      </c>
      <c r="M64" s="52">
        <f>-0.05*N64*K64*(H64-1)-0.05*O64*L64*(H64-1)</f>
        <v>-241.52967998371892</v>
      </c>
      <c r="N64" s="172">
        <f t="shared" si="36"/>
        <v>15</v>
      </c>
      <c r="O64" s="172">
        <f t="shared" si="37"/>
        <v>21</v>
      </c>
      <c r="P64" s="95">
        <f>+K64*(J64-0.05*N64*H64)-K64*(J64-0.05*N64)</f>
        <v>-38.563136362291516</v>
      </c>
      <c r="Q64" s="95">
        <f>+L64*(I64-0.05*O64*H64)-L64*(I64-0.05*O64)</f>
        <v>-202.96654362142726</v>
      </c>
      <c r="R64" s="95">
        <f>+P64+Q64</f>
        <v>-241.52967998371878</v>
      </c>
    </row>
    <row r="65" spans="2:18" x14ac:dyDescent="0.3">
      <c r="B65" s="184" t="s">
        <v>179</v>
      </c>
      <c r="C65" s="185" t="s">
        <v>82</v>
      </c>
      <c r="D65" s="185" t="s">
        <v>211</v>
      </c>
      <c r="E65" s="185">
        <v>2.49061634170165E-2</v>
      </c>
      <c r="F65" s="185">
        <v>2.0065496118455099E-2</v>
      </c>
      <c r="G65" s="186">
        <v>1.24124333981003</v>
      </c>
      <c r="H65" s="42">
        <f t="shared" si="33"/>
        <v>1.0343694498416958</v>
      </c>
      <c r="I65" s="181">
        <f t="shared" ref="I65:J65" si="41">+I47</f>
        <v>1.5772090574675595</v>
      </c>
      <c r="J65" s="181">
        <f t="shared" si="41"/>
        <v>-0.9999535148909402</v>
      </c>
      <c r="K65" s="48">
        <f t="shared" ref="K65:L70" si="42">+K47</f>
        <v>2132.5137261111727</v>
      </c>
      <c r="L65" s="48">
        <f t="shared" si="42"/>
        <v>7981.4091511190945</v>
      </c>
      <c r="M65" s="52">
        <f t="shared" ref="M65:M70" si="43">-0.05*N65*K65*(H65-1)-0.05*O65*L65*(H65-1)</f>
        <v>-343.00246621944058</v>
      </c>
      <c r="N65" s="172">
        <f t="shared" si="36"/>
        <v>15</v>
      </c>
      <c r="O65" s="172">
        <f t="shared" si="37"/>
        <v>21</v>
      </c>
      <c r="P65" s="95">
        <f t="shared" ref="P65:P70" si="44">+K65*(J65-0.05*N65*H65)-K65*(J65-0.05*N65)</f>
        <v>-54.969992659729087</v>
      </c>
      <c r="Q65" s="95">
        <f t="shared" ref="Q65:Q70" si="45">+L65*(I65-0.05*O65*H65)-L65*(I65-0.05*O65)</f>
        <v>-288.03247355971189</v>
      </c>
      <c r="R65" s="95">
        <f t="shared" ref="R65:R70" si="46">+P65+Q65</f>
        <v>-343.00246621944098</v>
      </c>
    </row>
    <row r="66" spans="2:18" x14ac:dyDescent="0.3">
      <c r="B66" s="184" t="s">
        <v>39</v>
      </c>
      <c r="C66" s="185" t="s">
        <v>82</v>
      </c>
      <c r="D66" s="185" t="s">
        <v>211</v>
      </c>
      <c r="E66" s="185">
        <v>2.12821935344393E-2</v>
      </c>
      <c r="F66" s="185">
        <v>1.69011665825957E-2</v>
      </c>
      <c r="G66" s="186">
        <v>1.25921447081381</v>
      </c>
      <c r="H66" s="42">
        <f t="shared" si="33"/>
        <v>1.0493453923448419</v>
      </c>
      <c r="I66" s="181">
        <f t="shared" ref="I66:J66" si="47">+I48</f>
        <v>1.7938432564967588</v>
      </c>
      <c r="J66" s="181">
        <f t="shared" si="47"/>
        <v>-1.0786682029049404</v>
      </c>
      <c r="K66" s="48">
        <f t="shared" si="42"/>
        <v>1878.5334751305654</v>
      </c>
      <c r="L66" s="48">
        <f t="shared" si="42"/>
        <v>6964.533185106884</v>
      </c>
      <c r="M66" s="52">
        <f t="shared" si="43"/>
        <v>-430.37373216608711</v>
      </c>
      <c r="N66" s="172">
        <f t="shared" si="36"/>
        <v>15</v>
      </c>
      <c r="O66" s="172">
        <f t="shared" si="37"/>
        <v>21</v>
      </c>
      <c r="P66" s="95">
        <f t="shared" si="44"/>
        <v>-69.522728522427769</v>
      </c>
      <c r="Q66" s="95">
        <f t="shared" si="45"/>
        <v>-360.85100364365917</v>
      </c>
      <c r="R66" s="95">
        <f t="shared" si="46"/>
        <v>-430.37373216608694</v>
      </c>
    </row>
    <row r="67" spans="2:18" x14ac:dyDescent="0.3">
      <c r="B67" s="184" t="s">
        <v>26</v>
      </c>
      <c r="C67" s="185" t="s">
        <v>82</v>
      </c>
      <c r="D67" s="185" t="s">
        <v>211</v>
      </c>
      <c r="E67" s="185">
        <v>1.73151650929011E-2</v>
      </c>
      <c r="F67" s="185">
        <v>1.35433633090192E-2</v>
      </c>
      <c r="G67" s="186">
        <v>1.27849816163243</v>
      </c>
      <c r="H67" s="42">
        <f t="shared" si="33"/>
        <v>1.0654151346936886</v>
      </c>
      <c r="I67" s="181">
        <f t="shared" ref="I67:J67" si="48">+I49</f>
        <v>1.866900491910501</v>
      </c>
      <c r="J67" s="181">
        <f t="shared" si="48"/>
        <v>-1.0733431941919802</v>
      </c>
      <c r="K67" s="48">
        <f t="shared" si="42"/>
        <v>1686.5049792442305</v>
      </c>
      <c r="L67" s="48">
        <f t="shared" si="42"/>
        <v>6209.3163464798045</v>
      </c>
      <c r="M67" s="52">
        <f t="shared" si="43"/>
        <v>-509.23464120286246</v>
      </c>
      <c r="N67" s="172">
        <f t="shared" si="36"/>
        <v>15</v>
      </c>
      <c r="O67" s="172">
        <f t="shared" si="37"/>
        <v>21</v>
      </c>
      <c r="P67" s="95">
        <f t="shared" si="44"/>
        <v>-82.742212784128242</v>
      </c>
      <c r="Q67" s="95">
        <f t="shared" si="45"/>
        <v>-426.49242841873365</v>
      </c>
      <c r="R67" s="95">
        <f t="shared" si="46"/>
        <v>-509.23464120286189</v>
      </c>
    </row>
    <row r="68" spans="2:18" x14ac:dyDescent="0.3">
      <c r="B68" s="184" t="s">
        <v>25</v>
      </c>
      <c r="C68" s="185" t="s">
        <v>82</v>
      </c>
      <c r="D68" s="185" t="s">
        <v>211</v>
      </c>
      <c r="E68" s="185">
        <v>1.30706407987388E-2</v>
      </c>
      <c r="F68" s="185">
        <v>1.00629060516225E-2</v>
      </c>
      <c r="G68" s="186">
        <v>1.2988932552571499</v>
      </c>
      <c r="H68" s="42">
        <f t="shared" si="33"/>
        <v>1.0824110460476231</v>
      </c>
      <c r="I68" s="181">
        <f t="shared" ref="I68:J68" si="49">+I50</f>
        <v>2.0244523695934014</v>
      </c>
      <c r="J68" s="181">
        <f t="shared" si="49"/>
        <v>-1.10083334595181</v>
      </c>
      <c r="K68" s="48">
        <f t="shared" si="42"/>
        <v>1505.9158592568658</v>
      </c>
      <c r="L68" s="48">
        <f t="shared" si="42"/>
        <v>5409.5922084493923</v>
      </c>
      <c r="M68" s="52">
        <f t="shared" si="43"/>
        <v>-561.17873613465258</v>
      </c>
      <c r="N68" s="172">
        <f t="shared" si="36"/>
        <v>15</v>
      </c>
      <c r="O68" s="172">
        <f t="shared" si="37"/>
        <v>21</v>
      </c>
      <c r="P68" s="95">
        <f t="shared" si="44"/>
        <v>-93.078075915797399</v>
      </c>
      <c r="Q68" s="95">
        <f t="shared" si="45"/>
        <v>-468.1006602188545</v>
      </c>
      <c r="R68" s="95">
        <f t="shared" si="46"/>
        <v>-561.1787361346519</v>
      </c>
    </row>
    <row r="69" spans="2:18" x14ac:dyDescent="0.3">
      <c r="B69" s="184" t="s">
        <v>24</v>
      </c>
      <c r="C69" s="185" t="s">
        <v>82</v>
      </c>
      <c r="D69" s="185" t="s">
        <v>211</v>
      </c>
      <c r="E69" s="185">
        <v>8.6311844399359107E-3</v>
      </c>
      <c r="F69" s="185">
        <v>6.5312371970884103E-3</v>
      </c>
      <c r="G69" s="186">
        <v>1.32152365309648</v>
      </c>
      <c r="H69" s="42">
        <f t="shared" si="33"/>
        <v>1.1012697109137359</v>
      </c>
      <c r="I69" s="181">
        <f t="shared" ref="I69:J69" si="50">+I51</f>
        <v>2.1190939131300013</v>
      </c>
      <c r="J69" s="181">
        <f t="shared" si="50"/>
        <v>-1.0682694768517802</v>
      </c>
      <c r="K69" s="48">
        <f t="shared" si="42"/>
        <v>1284.6462922909079</v>
      </c>
      <c r="L69" s="48">
        <f t="shared" si="42"/>
        <v>4316.3302426303162</v>
      </c>
      <c r="M69" s="52">
        <f t="shared" si="43"/>
        <v>-556.54101065838449</v>
      </c>
      <c r="N69" s="172">
        <f t="shared" si="36"/>
        <v>15</v>
      </c>
      <c r="O69" s="172">
        <f t="shared" si="37"/>
        <v>21</v>
      </c>
      <c r="P69" s="95">
        <f t="shared" si="44"/>
        <v>-97.571818985027221</v>
      </c>
      <c r="Q69" s="95">
        <f t="shared" si="45"/>
        <v>-458.96919167335727</v>
      </c>
      <c r="R69" s="95">
        <f t="shared" si="46"/>
        <v>-556.54101065838449</v>
      </c>
    </row>
    <row r="70" spans="2:18" x14ac:dyDescent="0.3">
      <c r="B70" s="187" t="s">
        <v>22</v>
      </c>
      <c r="C70" s="188" t="s">
        <v>82</v>
      </c>
      <c r="D70" s="188" t="s">
        <v>211</v>
      </c>
      <c r="E70" s="188">
        <v>4.1290419813850001E-3</v>
      </c>
      <c r="F70" s="188">
        <v>3.0669611201633198E-3</v>
      </c>
      <c r="G70" s="189">
        <v>1.3462974650181201</v>
      </c>
      <c r="H70" s="42">
        <f t="shared" si="33"/>
        <v>1.1219145541817637</v>
      </c>
      <c r="I70" s="181">
        <f t="shared" ref="I70:J70" si="51">+I52</f>
        <v>1.97914352095159</v>
      </c>
      <c r="J70" s="181">
        <f t="shared" si="51"/>
        <v>-0.81956150311624043</v>
      </c>
      <c r="K70" s="48">
        <f t="shared" si="42"/>
        <v>842.11920249011723</v>
      </c>
      <c r="L70" s="48">
        <f t="shared" si="42"/>
        <v>2588.9069574365235</v>
      </c>
      <c r="M70" s="52">
        <f t="shared" si="43"/>
        <v>-408.40664976525073</v>
      </c>
      <c r="N70" s="172">
        <f t="shared" si="36"/>
        <v>15</v>
      </c>
      <c r="O70" s="172">
        <f t="shared" si="37"/>
        <v>21</v>
      </c>
      <c r="P70" s="95">
        <f t="shared" si="44"/>
        <v>-76.999940354613727</v>
      </c>
      <c r="Q70" s="95">
        <f t="shared" si="45"/>
        <v>-331.40670941063718</v>
      </c>
      <c r="R70" s="95">
        <f t="shared" si="46"/>
        <v>-408.4066497652509</v>
      </c>
    </row>
  </sheetData>
  <mergeCells count="1">
    <mergeCell ref="M2:P2"/>
  </mergeCells>
  <conditionalFormatting sqref="G1:G5 G19:G23 G37:G41 G55:G59 G71:G1048576">
    <cfRule type="cellIs" dxfId="1" priority="2" operator="greaterThan">
      <formula>1.2</formula>
    </cfRule>
  </conditionalFormatting>
  <conditionalFormatting sqref="G1:G23 G35:G41 G53:G59 G71:G1048576">
    <cfRule type="cellIs" dxfId="0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1115194.13826959</v>
      </c>
      <c r="E6" s="53">
        <f>0.7*D6</f>
        <v>780635.89678871294</v>
      </c>
      <c r="F6" s="1" t="str">
        <f>+IF(D6&lt;E5,"piso suave","ok")</f>
        <v>ok</v>
      </c>
      <c r="G6" s="53">
        <f>0.9*D6</f>
        <v>1003674.724442631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12383211.251441199</v>
      </c>
      <c r="E7" s="53">
        <f>0.7*D7</f>
        <v>8668247.8760088384</v>
      </c>
      <c r="F7" s="1" t="str">
        <f>+IF(D7&lt;E6,"piso suave","ok")</f>
        <v>ok</v>
      </c>
      <c r="G7" s="53">
        <f>0.9*D7</f>
        <v>11144890.126297079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17824871.800452199</v>
      </c>
      <c r="E8" s="53">
        <f>0.7*D8</f>
        <v>12477410.260316538</v>
      </c>
      <c r="F8" s="1" t="str">
        <f>+IF(D8&lt;E7,"piso suave","ok")</f>
        <v>ok</v>
      </c>
      <c r="G8" s="53">
        <f>0.9*D8</f>
        <v>16042384.62040698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21275923.0850126</v>
      </c>
      <c r="E9" s="53">
        <f>0.7*D9</f>
        <v>14893146.159508819</v>
      </c>
      <c r="F9" s="1" t="str">
        <f>+IF(D9&lt;E8,"piso suave","ok")</f>
        <v>ok</v>
      </c>
      <c r="G9" s="53">
        <f>0.9*D9</f>
        <v>19148330.776511341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23006080.582850501</v>
      </c>
      <c r="E10" s="53">
        <f>0.7*D10</f>
        <v>16104256.407995349</v>
      </c>
      <c r="F10" s="1" t="str">
        <f>+IF(D10&lt;E9,"piso suave","ok")</f>
        <v>ok</v>
      </c>
      <c r="G10" s="53">
        <f>0.9*D10</f>
        <v>20705472.524565451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23967850.213470101</v>
      </c>
      <c r="E11" s="53">
        <f t="shared" ref="E11:E16" si="0">0.7*D11</f>
        <v>16777495.149429072</v>
      </c>
      <c r="F11" s="1" t="str">
        <f t="shared" ref="F11:F16" si="1">+IF(D11&lt;E10,"piso suave","ok")</f>
        <v>ok</v>
      </c>
      <c r="G11" s="53">
        <f t="shared" ref="G11:G16" si="2">0.9*D11</f>
        <v>21571065.192123093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25059485.834885001</v>
      </c>
      <c r="E12" s="53">
        <f t="shared" si="0"/>
        <v>17541640.0844195</v>
      </c>
      <c r="F12" s="1" t="str">
        <f t="shared" si="1"/>
        <v>ok</v>
      </c>
      <c r="G12" s="53">
        <f t="shared" si="2"/>
        <v>22553537.251396503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26166303.949661799</v>
      </c>
      <c r="E13" s="53">
        <f t="shared" si="0"/>
        <v>18316412.764763258</v>
      </c>
      <c r="F13" s="1" t="str">
        <f t="shared" si="1"/>
        <v>ok</v>
      </c>
      <c r="G13" s="53">
        <f t="shared" si="2"/>
        <v>23549673.554695621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27271306.808242001</v>
      </c>
      <c r="E14" s="53">
        <f t="shared" si="0"/>
        <v>19089914.7657694</v>
      </c>
      <c r="F14" s="1" t="str">
        <f t="shared" si="1"/>
        <v>ok</v>
      </c>
      <c r="G14" s="53">
        <f t="shared" si="2"/>
        <v>24544176.127417803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28925562.900662299</v>
      </c>
      <c r="E15" s="53">
        <f t="shared" si="0"/>
        <v>20247894.03046361</v>
      </c>
      <c r="F15" s="1" t="str">
        <f t="shared" si="1"/>
        <v>ok</v>
      </c>
      <c r="G15" s="53">
        <f t="shared" si="2"/>
        <v>26033006.610596068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29779462.3494814</v>
      </c>
      <c r="E16" s="53">
        <f t="shared" si="0"/>
        <v>20845623.644636977</v>
      </c>
      <c r="F16" s="1" t="str">
        <f t="shared" si="1"/>
        <v>ok</v>
      </c>
      <c r="G16" s="53">
        <f t="shared" si="2"/>
        <v>26801516.11453326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1064983.58614773</v>
      </c>
      <c r="E23" s="53">
        <f>0.7*D23</f>
        <v>745488.51030341093</v>
      </c>
      <c r="F23" s="1" t="str">
        <f>+IF(D23&lt;E22,"piso suave","ok")</f>
        <v>ok</v>
      </c>
      <c r="G23" s="53">
        <f>0.9*D23</f>
        <v>958485.22753295698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12751005.244108699</v>
      </c>
      <c r="E24" s="53">
        <f>0.7*D24</f>
        <v>8925703.6708760895</v>
      </c>
      <c r="F24" s="1" t="str">
        <f>+IF(D24&lt;E23,"piso suave","ok")</f>
        <v>ok</v>
      </c>
      <c r="G24" s="53">
        <f>0.9*D24</f>
        <v>11475904.719697829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18448868.485085599</v>
      </c>
      <c r="E25" s="53">
        <f>0.7*D25</f>
        <v>12914207.939559918</v>
      </c>
      <c r="F25" s="1" t="str">
        <f>+IF(D25&lt;E24,"piso suave","ok")</f>
        <v>ok</v>
      </c>
      <c r="G25" s="53">
        <f>0.9*D25</f>
        <v>16603981.63657704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21062686.347160202</v>
      </c>
      <c r="E26" s="53">
        <f>0.7*D26</f>
        <v>14743880.443012141</v>
      </c>
      <c r="F26" s="1" t="str">
        <f>+IF(D26&lt;E25,"piso suave","ok")</f>
        <v>ok</v>
      </c>
      <c r="G26" s="53">
        <f>0.9*D26</f>
        <v>18956417.712444182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22590355.6739677</v>
      </c>
      <c r="E27" s="53">
        <f>0.7*D27</f>
        <v>15813248.971777389</v>
      </c>
      <c r="F27" s="1" t="str">
        <f>+IF(D27&lt;E26,"piso suave","ok")</f>
        <v>ok</v>
      </c>
      <c r="G27" s="53">
        <f>0.9*D27</f>
        <v>20331320.106570929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23724007.6439525</v>
      </c>
      <c r="E28" s="53">
        <f t="shared" ref="E28:E33" si="4">0.7*D28</f>
        <v>16606805.350766748</v>
      </c>
      <c r="F28" s="1" t="str">
        <f t="shared" ref="F28:F33" si="5">+IF(D28&lt;E27,"piso suave","ok")</f>
        <v>ok</v>
      </c>
      <c r="G28" s="53">
        <f t="shared" ref="G28:G33" si="6">0.9*D28</f>
        <v>21351606.879557252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25612386.9435625</v>
      </c>
      <c r="E29" s="53">
        <f t="shared" si="4"/>
        <v>17928670.860493749</v>
      </c>
      <c r="F29" s="1" t="str">
        <f t="shared" si="5"/>
        <v>ok</v>
      </c>
      <c r="G29" s="53">
        <f t="shared" si="6"/>
        <v>23051148.249206252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26771246.193141699</v>
      </c>
      <c r="E30" s="53">
        <f t="shared" si="4"/>
        <v>18739872.335199188</v>
      </c>
      <c r="F30" s="1" t="str">
        <f t="shared" si="5"/>
        <v>ok</v>
      </c>
      <c r="G30" s="53">
        <f t="shared" si="6"/>
        <v>24094121.573827531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27958981.788803101</v>
      </c>
      <c r="E31" s="53">
        <f t="shared" si="4"/>
        <v>19571287.25216217</v>
      </c>
      <c r="F31" s="1" t="str">
        <f t="shared" si="5"/>
        <v>ok</v>
      </c>
      <c r="G31" s="53">
        <f t="shared" si="6"/>
        <v>25163083.609922793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29822520.607583299</v>
      </c>
      <c r="E32" s="53">
        <f t="shared" si="4"/>
        <v>20875764.425308309</v>
      </c>
      <c r="F32" s="1" t="str">
        <f t="shared" si="5"/>
        <v>ok</v>
      </c>
      <c r="G32" s="53">
        <f t="shared" si="6"/>
        <v>26840268.546824969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30409775.0921444</v>
      </c>
      <c r="E33" s="53">
        <f t="shared" si="4"/>
        <v>21286842.564501077</v>
      </c>
      <c r="F33" s="1" t="str">
        <f t="shared" si="5"/>
        <v>ok</v>
      </c>
      <c r="G33" s="53">
        <f t="shared" si="6"/>
        <v>27368797.582929961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494485.84495910001</v>
      </c>
      <c r="E40" s="53">
        <f>0.7*D40</f>
        <v>346140.09147136996</v>
      </c>
      <c r="F40" s="1" t="str">
        <f>+IF(D40&lt;E39,"piso suave","ok")</f>
        <v>ok</v>
      </c>
      <c r="G40" s="53">
        <f>0.9*D40</f>
        <v>445037.26046319003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7480669.59507968</v>
      </c>
      <c r="E41" s="53">
        <f>0.7*D41</f>
        <v>5236468.7165557761</v>
      </c>
      <c r="F41" s="1" t="str">
        <f>+IF(D41&lt;E40,"piso suave","ok")</f>
        <v>ok</v>
      </c>
      <c r="G41" s="53">
        <f>0.9*D41</f>
        <v>6732602.6355717117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12076544.1215811</v>
      </c>
      <c r="E42" s="53">
        <f>0.7*D42</f>
        <v>8453580.8851067703</v>
      </c>
      <c r="F42" s="1" t="str">
        <f>+IF(D42&lt;E41,"piso suave","ok")</f>
        <v>ok</v>
      </c>
      <c r="G42" s="53">
        <f>0.9*D42</f>
        <v>10868889.709422991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14534731.621468499</v>
      </c>
      <c r="E43" s="53">
        <f>0.7*D43</f>
        <v>10174312.135027949</v>
      </c>
      <c r="F43" s="1" t="str">
        <f>+IF(D43&lt;E42,"piso suave","ok")</f>
        <v>ok</v>
      </c>
      <c r="G43" s="53">
        <f>0.9*D43</f>
        <v>13081258.45932165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16130690.427426299</v>
      </c>
      <c r="E44" s="53">
        <f>0.7*D44</f>
        <v>11291483.29919841</v>
      </c>
      <c r="F44" s="1" t="str">
        <f>+IF(D44&lt;E43,"piso suave","ok")</f>
        <v>ok</v>
      </c>
      <c r="G44" s="53">
        <f>0.9*D44</f>
        <v>14517621.384683669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17364031.7444814</v>
      </c>
      <c r="E45" s="53">
        <f t="shared" ref="E45:E50" si="8">0.7*D45</f>
        <v>12154822.22113698</v>
      </c>
      <c r="F45" s="1" t="str">
        <f t="shared" ref="F45:F50" si="9">+IF(D45&lt;E44,"piso suave","ok")</f>
        <v>ok</v>
      </c>
      <c r="G45" s="53">
        <f t="shared" ref="G45:G50" si="10">0.9*D45</f>
        <v>15627628.57003326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18855078.841894101</v>
      </c>
      <c r="E46" s="53">
        <f t="shared" si="8"/>
        <v>13198555.189325871</v>
      </c>
      <c r="F46" s="1" t="str">
        <f t="shared" si="9"/>
        <v>ok</v>
      </c>
      <c r="G46" s="53">
        <f t="shared" si="10"/>
        <v>16969570.957704693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20168101.6075041</v>
      </c>
      <c r="E47" s="53">
        <f t="shared" si="8"/>
        <v>14117671.125252869</v>
      </c>
      <c r="F47" s="1" t="str">
        <f t="shared" si="9"/>
        <v>ok</v>
      </c>
      <c r="G47" s="53">
        <f t="shared" si="10"/>
        <v>18151291.446753692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21778168.958589401</v>
      </c>
      <c r="E48" s="53">
        <f t="shared" si="8"/>
        <v>15244718.27101258</v>
      </c>
      <c r="F48" s="1" t="str">
        <f t="shared" si="9"/>
        <v>ok</v>
      </c>
      <c r="G48" s="53">
        <f t="shared" si="10"/>
        <v>19600352.062730461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24008225.872317199</v>
      </c>
      <c r="E49" s="53">
        <f t="shared" si="8"/>
        <v>16805758.110622037</v>
      </c>
      <c r="F49" s="1" t="str">
        <f t="shared" si="9"/>
        <v>ok</v>
      </c>
      <c r="G49" s="53">
        <f t="shared" si="10"/>
        <v>21607403.285085481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27226705.0216836</v>
      </c>
      <c r="E50" s="53">
        <f t="shared" si="8"/>
        <v>19058693.51517852</v>
      </c>
      <c r="F50" s="1" t="str">
        <f t="shared" si="9"/>
        <v>ok</v>
      </c>
      <c r="G50" s="53">
        <f t="shared" si="10"/>
        <v>24504034.519515239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562300.37606221798</v>
      </c>
      <c r="E57" s="53">
        <f>0.7*D57</f>
        <v>393610.26324355259</v>
      </c>
      <c r="F57" s="1" t="str">
        <f>+IF(D57&lt;E56,"piso suave","ok")</f>
        <v>ok</v>
      </c>
      <c r="G57" s="53">
        <f>0.9*D57</f>
        <v>506070.33845599619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7789380.8649374703</v>
      </c>
      <c r="E58" s="53">
        <f>0.7*D58</f>
        <v>5452566.6054562293</v>
      </c>
      <c r="F58" s="1" t="str">
        <f>+IF(D58&lt;E57,"piso suave","ok")</f>
        <v>ok</v>
      </c>
      <c r="G58" s="53">
        <f>0.9*D58</f>
        <v>7010442.778443723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12335803.618858799</v>
      </c>
      <c r="E59" s="53">
        <f>0.7*D59</f>
        <v>8635062.5332011599</v>
      </c>
      <c r="F59" s="1" t="str">
        <f>+IF(D59&lt;E58,"piso suave","ok")</f>
        <v>ok</v>
      </c>
      <c r="G59" s="53">
        <f>0.9*D59</f>
        <v>11102223.25697292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15244678.561082801</v>
      </c>
      <c r="E60" s="53">
        <f>0.7*D60</f>
        <v>10671274.992757959</v>
      </c>
      <c r="F60" s="1" t="str">
        <f>+IF(D60&lt;E59,"piso suave","ok")</f>
        <v>ok</v>
      </c>
      <c r="G60" s="53">
        <f>0.9*D60</f>
        <v>13720210.704974521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16631872.1032176</v>
      </c>
      <c r="E61" s="53">
        <f>0.7*D61</f>
        <v>11642310.472252319</v>
      </c>
      <c r="F61" s="1" t="str">
        <f>+IF(D61&lt;E60,"piso suave","ok")</f>
        <v>ok</v>
      </c>
      <c r="G61" s="53">
        <f>0.9*D61</f>
        <v>14968684.89289584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17706125.395084601</v>
      </c>
      <c r="E62" s="53">
        <f t="shared" ref="E62:E67" si="12">0.7*D62</f>
        <v>12394287.776559221</v>
      </c>
      <c r="F62" s="1" t="str">
        <f t="shared" ref="F62:F67" si="13">+IF(D62&lt;E61,"piso suave","ok")</f>
        <v>ok</v>
      </c>
      <c r="G62" s="53">
        <f t="shared" ref="G62:G67" si="14">0.9*D62</f>
        <v>15935512.855576141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18865622.737448599</v>
      </c>
      <c r="E63" s="53">
        <f t="shared" si="12"/>
        <v>13205935.916214019</v>
      </c>
      <c r="F63" s="1" t="str">
        <f t="shared" si="13"/>
        <v>ok</v>
      </c>
      <c r="G63" s="53">
        <f t="shared" si="14"/>
        <v>16979060.46370374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20055170.708030399</v>
      </c>
      <c r="E64" s="53">
        <f t="shared" si="12"/>
        <v>14038619.495621279</v>
      </c>
      <c r="F64" s="1" t="str">
        <f t="shared" si="13"/>
        <v>ok</v>
      </c>
      <c r="G64" s="53">
        <f t="shared" si="14"/>
        <v>18049653.63722736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21501821.460903101</v>
      </c>
      <c r="E65" s="53">
        <f t="shared" si="12"/>
        <v>15051275.022632169</v>
      </c>
      <c r="F65" s="1" t="str">
        <f t="shared" si="13"/>
        <v>ok</v>
      </c>
      <c r="G65" s="53">
        <f t="shared" si="14"/>
        <v>19351639.314812791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23488351.049562901</v>
      </c>
      <c r="E66" s="53">
        <f t="shared" si="12"/>
        <v>16441845.73469403</v>
      </c>
      <c r="F66" s="1" t="str">
        <f t="shared" si="13"/>
        <v>ok</v>
      </c>
      <c r="G66" s="53">
        <f t="shared" si="14"/>
        <v>21139515.944606613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26616887.164073002</v>
      </c>
      <c r="E67" s="53">
        <f t="shared" si="12"/>
        <v>18631821.014851101</v>
      </c>
      <c r="F67" s="1" t="str">
        <f t="shared" si="13"/>
        <v>ok</v>
      </c>
      <c r="G67" s="53">
        <f t="shared" si="14"/>
        <v>23955198.447665703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782.285475187766</v>
      </c>
      <c r="E7" s="171">
        <f>+'Centers of Mass and Rigidity'!E5</f>
        <v>782.285475187766</v>
      </c>
      <c r="F7" s="68">
        <f>+E7*9.807</f>
        <v>7671.8736551664215</v>
      </c>
      <c r="G7">
        <f>1.5*F7</f>
        <v>11507.810482749632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7792.0105378261896</v>
      </c>
      <c r="E8" s="171">
        <f>+'Centers of Mass and Rigidity'!E6</f>
        <v>7792.0105378261896</v>
      </c>
      <c r="F8" s="68">
        <f t="shared" ref="F8:F17" si="0">+E8*9.807</f>
        <v>76416.247344461444</v>
      </c>
      <c r="G8" s="68">
        <f t="shared" ref="G8:G17" si="1">1.5*F8</f>
        <v>114624.37101669217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9639.6459369793702</v>
      </c>
      <c r="E9" s="171">
        <f>+'Centers of Mass and Rigidity'!E7</f>
        <v>9639.6459369793702</v>
      </c>
      <c r="F9" s="68">
        <f t="shared" si="0"/>
        <v>94536.007703956682</v>
      </c>
      <c r="G9" s="68">
        <f t="shared" si="1"/>
        <v>141804.01155593502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9639.6459369793702</v>
      </c>
      <c r="E10" s="171">
        <f>+'Centers of Mass and Rigidity'!E8</f>
        <v>9639.6459369793702</v>
      </c>
      <c r="F10" s="68">
        <f t="shared" si="0"/>
        <v>94536.007703956682</v>
      </c>
      <c r="G10" s="68">
        <f t="shared" si="1"/>
        <v>141804.01155593502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9639.6459369793702</v>
      </c>
      <c r="E11" s="171">
        <f>+'Centers of Mass and Rigidity'!E9</f>
        <v>9639.6459369793702</v>
      </c>
      <c r="F11" s="68">
        <f t="shared" si="0"/>
        <v>94536.007703956682</v>
      </c>
      <c r="G11" s="68">
        <f t="shared" si="1"/>
        <v>141804.01155593502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9639.6459369793702</v>
      </c>
      <c r="E12" s="171">
        <f>+'Centers of Mass and Rigidity'!E10</f>
        <v>9639.6459369793702</v>
      </c>
      <c r="F12" s="158">
        <f t="shared" si="0"/>
        <v>94536.007703956682</v>
      </c>
      <c r="G12" s="158">
        <f t="shared" si="1"/>
        <v>141804.01155593502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9639.6459369793702</v>
      </c>
      <c r="E13" s="171">
        <f>+'Centers of Mass and Rigidity'!E11</f>
        <v>9639.6459369793702</v>
      </c>
      <c r="F13" s="158">
        <f t="shared" si="0"/>
        <v>94536.007703956682</v>
      </c>
      <c r="G13" s="158">
        <f t="shared" si="1"/>
        <v>141804.01155593502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9773.2695468082002</v>
      </c>
      <c r="E14" s="171">
        <f>+'Centers of Mass and Rigidity'!E12</f>
        <v>9773.2695468082002</v>
      </c>
      <c r="F14" s="158">
        <f t="shared" si="0"/>
        <v>95846.454445548021</v>
      </c>
      <c r="G14" s="158">
        <f t="shared" si="1"/>
        <v>143769.68166832204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9773.2695468082002</v>
      </c>
      <c r="E15" s="171">
        <f>+'Centers of Mass and Rigidity'!E13</f>
        <v>9773.2695468082002</v>
      </c>
      <c r="F15" s="158">
        <f t="shared" si="0"/>
        <v>95846.454445548021</v>
      </c>
      <c r="G15" s="158">
        <f t="shared" si="1"/>
        <v>143769.68166832204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9773.2695468082002</v>
      </c>
      <c r="E16" s="171">
        <f>+'Centers of Mass and Rigidity'!E14</f>
        <v>9773.2695468082002</v>
      </c>
      <c r="F16" s="158">
        <f t="shared" si="0"/>
        <v>95846.454445548021</v>
      </c>
      <c r="G16" s="158">
        <f t="shared" si="1"/>
        <v>143769.68166832204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10130.0365199105</v>
      </c>
      <c r="E17" s="171">
        <f>+'Centers of Mass and Rigidity'!E15</f>
        <v>10130.0365199105</v>
      </c>
      <c r="F17" s="158">
        <f t="shared" si="0"/>
        <v>99345.268150762276</v>
      </c>
      <c r="G17" s="158">
        <f t="shared" si="1"/>
        <v>149017.9022261434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943652.7910068176</v>
      </c>
      <c r="G18">
        <f>1.5*F18</f>
        <v>1415479.1865102265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202</v>
      </c>
      <c r="D5" s="172" t="s">
        <v>201</v>
      </c>
      <c r="E5" s="172">
        <v>17697.5999999944</v>
      </c>
      <c r="F5" s="172">
        <v>-2.0108927856199402E-9</v>
      </c>
      <c r="G5" s="172">
        <v>5.0802668738469897E-9</v>
      </c>
      <c r="H5" s="172">
        <v>9.4858933152863796E-8</v>
      </c>
      <c r="I5" s="172">
        <v>35395.199999975601</v>
      </c>
      <c r="J5" s="172">
        <v>-327405.59999990102</v>
      </c>
    </row>
    <row r="6" spans="2:10" x14ac:dyDescent="0.3">
      <c r="B6" s="172" t="s">
        <v>187</v>
      </c>
      <c r="C6" s="172" t="s">
        <v>202</v>
      </c>
      <c r="D6" s="172" t="s">
        <v>201</v>
      </c>
      <c r="E6" s="172">
        <v>341064.64764764003</v>
      </c>
      <c r="F6" s="172">
        <v>1.68435803971079E-7</v>
      </c>
      <c r="G6" s="172">
        <v>-2.1292976271070099E-9</v>
      </c>
      <c r="H6" s="172">
        <v>2.4078758542600601E-7</v>
      </c>
      <c r="I6" s="172">
        <v>2254042.4067628901</v>
      </c>
      <c r="J6" s="172">
        <v>-3324967.5400135601</v>
      </c>
    </row>
    <row r="7" spans="2:10" x14ac:dyDescent="0.3">
      <c r="B7" s="172" t="s">
        <v>185</v>
      </c>
      <c r="C7" s="172" t="s">
        <v>202</v>
      </c>
      <c r="D7" s="172" t="s">
        <v>201</v>
      </c>
      <c r="E7" s="172">
        <v>659268.09529546497</v>
      </c>
      <c r="F7" s="172">
        <v>5.5075997806852705E-7</v>
      </c>
      <c r="G7" s="172">
        <v>-1.7729064438754001E-8</v>
      </c>
      <c r="H7" s="172">
        <v>-2.60123192674655E-6</v>
      </c>
      <c r="I7" s="172">
        <v>4433962.6135265101</v>
      </c>
      <c r="J7" s="172">
        <v>-6281349.7700289199</v>
      </c>
    </row>
    <row r="8" spans="2:10" x14ac:dyDescent="0.3">
      <c r="B8" s="172" t="s">
        <v>183</v>
      </c>
      <c r="C8" s="172" t="s">
        <v>202</v>
      </c>
      <c r="D8" s="172" t="s">
        <v>201</v>
      </c>
      <c r="E8" s="172">
        <v>977471.54294315097</v>
      </c>
      <c r="F8" s="172">
        <v>8.1288544606650195E-7</v>
      </c>
      <c r="G8" s="172">
        <v>-1.47698528962792E-8</v>
      </c>
      <c r="H8" s="172">
        <v>-4.2530787141004103E-6</v>
      </c>
      <c r="I8" s="172">
        <v>6613882.8202897198</v>
      </c>
      <c r="J8" s="172">
        <v>-9237732.0000410695</v>
      </c>
    </row>
    <row r="9" spans="2:10" x14ac:dyDescent="0.3">
      <c r="B9" s="172" t="s">
        <v>181</v>
      </c>
      <c r="C9" s="172" t="s">
        <v>202</v>
      </c>
      <c r="D9" s="172" t="s">
        <v>201</v>
      </c>
      <c r="E9" s="172">
        <v>1295674.99059071</v>
      </c>
      <c r="F9" s="172">
        <v>1.0015006637331699E-6</v>
      </c>
      <c r="G9" s="172">
        <v>-1.6023420812416599E-8</v>
      </c>
      <c r="H9" s="172">
        <v>-5.2562725159077698E-6</v>
      </c>
      <c r="I9" s="172">
        <v>8793803.0270524304</v>
      </c>
      <c r="J9" s="172">
        <v>-12194114.2300507</v>
      </c>
    </row>
    <row r="10" spans="2:10" s="158" customFormat="1" x14ac:dyDescent="0.3">
      <c r="B10" s="172" t="s">
        <v>179</v>
      </c>
      <c r="C10" s="172" t="s">
        <v>202</v>
      </c>
      <c r="D10" s="172" t="s">
        <v>201</v>
      </c>
      <c r="E10" s="172">
        <v>1613878.4382380999</v>
      </c>
      <c r="F10" s="172">
        <v>9.87289240583777E-7</v>
      </c>
      <c r="G10" s="172">
        <v>-1.70318799064262E-8</v>
      </c>
      <c r="H10" s="172">
        <v>-5.3872788612352502E-6</v>
      </c>
      <c r="I10" s="172">
        <v>10973723.233814901</v>
      </c>
      <c r="J10" s="172">
        <v>-15150496.460057</v>
      </c>
    </row>
    <row r="11" spans="2:10" s="158" customFormat="1" x14ac:dyDescent="0.3">
      <c r="B11" s="172" t="s">
        <v>39</v>
      </c>
      <c r="C11" s="172" t="s">
        <v>202</v>
      </c>
      <c r="D11" s="172" t="s">
        <v>201</v>
      </c>
      <c r="E11" s="172">
        <v>1932081.8858855099</v>
      </c>
      <c r="F11" s="172">
        <v>9.9176190815342103E-7</v>
      </c>
      <c r="G11" s="172">
        <v>-8.7787270786066107E-9</v>
      </c>
      <c r="H11" s="172">
        <v>-5.4300787724059799E-6</v>
      </c>
      <c r="I11" s="172">
        <v>13153643.440577401</v>
      </c>
      <c r="J11" s="172">
        <v>-18106878.690063801</v>
      </c>
    </row>
    <row r="12" spans="2:10" s="158" customFormat="1" x14ac:dyDescent="0.3">
      <c r="B12" s="172" t="s">
        <v>26</v>
      </c>
      <c r="C12" s="172" t="s">
        <v>202</v>
      </c>
      <c r="D12" s="172" t="s">
        <v>201</v>
      </c>
      <c r="E12" s="172">
        <v>2251595.7335331398</v>
      </c>
      <c r="F12" s="172">
        <v>1.0420992566651E-6</v>
      </c>
      <c r="G12" s="172">
        <v>-5.5825353229010902E-9</v>
      </c>
      <c r="H12" s="172">
        <v>-5.27340694134182E-6</v>
      </c>
      <c r="I12" s="172">
        <v>15336184.447340099</v>
      </c>
      <c r="J12" s="172">
        <v>-21087503.320073798</v>
      </c>
    </row>
    <row r="13" spans="2:10" s="158" customFormat="1" x14ac:dyDescent="0.3">
      <c r="B13" s="172" t="s">
        <v>25</v>
      </c>
      <c r="C13" s="172" t="s">
        <v>202</v>
      </c>
      <c r="D13" s="172" t="s">
        <v>201</v>
      </c>
      <c r="E13" s="172">
        <v>2571109.5811808598</v>
      </c>
      <c r="F13" s="172">
        <v>1.0537420394030099E-6</v>
      </c>
      <c r="G13" s="172">
        <v>-4.8563038035354103E-9</v>
      </c>
      <c r="H13" s="172">
        <v>-5.2439208957366603E-6</v>
      </c>
      <c r="I13" s="172">
        <v>17518725.4541035</v>
      </c>
      <c r="J13" s="172">
        <v>-24068127.950085301</v>
      </c>
    </row>
    <row r="14" spans="2:10" s="158" customFormat="1" x14ac:dyDescent="0.3">
      <c r="B14" s="172" t="s">
        <v>24</v>
      </c>
      <c r="C14" s="172" t="s">
        <v>202</v>
      </c>
      <c r="D14" s="172" t="s">
        <v>201</v>
      </c>
      <c r="E14" s="172">
        <v>2890623.4288285198</v>
      </c>
      <c r="F14" s="172">
        <v>1.0490604154256299E-6</v>
      </c>
      <c r="G14" s="172">
        <v>-2.02993533093832E-9</v>
      </c>
      <c r="H14" s="172">
        <v>-4.9161485549120698E-6</v>
      </c>
      <c r="I14" s="172">
        <v>19701266.460866701</v>
      </c>
      <c r="J14" s="172">
        <v>-27048752.5800956</v>
      </c>
    </row>
    <row r="15" spans="2:10" s="158" customFormat="1" x14ac:dyDescent="0.3">
      <c r="B15" s="172" t="s">
        <v>22</v>
      </c>
      <c r="C15" s="172" t="s">
        <v>202</v>
      </c>
      <c r="D15" s="172" t="s">
        <v>201</v>
      </c>
      <c r="E15" s="172">
        <v>3293532.8006866099</v>
      </c>
      <c r="F15" s="172">
        <v>9.9452336144167909E-7</v>
      </c>
      <c r="G15" s="172">
        <v>-5.8548721426632294E-11</v>
      </c>
      <c r="H15" s="172">
        <v>-4.5924039113742799E-6</v>
      </c>
      <c r="I15" s="172">
        <v>22504010.368892599</v>
      </c>
      <c r="J15" s="172">
        <v>-30707131.3936828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6" t="s">
        <v>73</v>
      </c>
      <c r="F19" s="206"/>
      <c r="G19" s="206"/>
      <c r="H19" s="206"/>
      <c r="I19" s="206"/>
      <c r="J19" s="206"/>
      <c r="K19" s="206"/>
      <c r="L19" s="206"/>
      <c r="M19" s="206"/>
      <c r="N19" s="206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2.20991022375738E-2</v>
      </c>
      <c r="F22" s="83">
        <f t="shared" ref="F22:F32" si="0">+E5</f>
        <v>17697.5999999944</v>
      </c>
      <c r="G22" s="83">
        <v>0</v>
      </c>
      <c r="H22" s="83">
        <f t="shared" ref="H22:H32" si="1">+E22</f>
        <v>2.20991022375738E-2</v>
      </c>
      <c r="I22" s="83">
        <f t="shared" ref="I22:I31" si="2">+H22-H23</f>
        <v>-2.9711654849668007E-3</v>
      </c>
      <c r="J22" s="83">
        <f>IF(+'Sismo UBC-94 y Dinamico'!O15=0,'Sismo UBC-94 y Dinamico'!M15,'Sismo UBC-94 y Dinamico'!O15)</f>
        <v>990.77095886772315</v>
      </c>
      <c r="K22" s="83">
        <f t="shared" ref="K22:K32" si="3">+C22</f>
        <v>38.5</v>
      </c>
      <c r="L22" s="83">
        <f>+G22*I22</f>
        <v>0</v>
      </c>
      <c r="M22" s="83">
        <f>+J22*K22</f>
        <v>38144.681916407339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2.5070267722540601E-2</v>
      </c>
      <c r="F23" s="165">
        <f t="shared" si="0"/>
        <v>341064.64764764003</v>
      </c>
      <c r="G23" s="83">
        <f>+F23</f>
        <v>341064.64764764003</v>
      </c>
      <c r="H23" s="83">
        <f t="shared" si="1"/>
        <v>2.5070267722540601E-2</v>
      </c>
      <c r="I23" s="83">
        <f t="shared" si="2"/>
        <v>8.3929026251890193E-4</v>
      </c>
      <c r="J23" s="172">
        <f>IF(+'Sismo UBC-94 y Dinamico'!O16=0,'Sismo UBC-94 y Dinamico'!M16,'Sismo UBC-94 y Dinamico'!O16)</f>
        <v>11894.112996134685</v>
      </c>
      <c r="K23" s="172">
        <f t="shared" si="3"/>
        <v>35.5</v>
      </c>
      <c r="L23" s="83">
        <f t="shared" ref="L23:L32" si="4">+G23*I23</f>
        <v>286.25223766010458</v>
      </c>
      <c r="M23" s="83">
        <f t="shared" ref="M23:M32" si="5">+J23*K23</f>
        <v>422241.01136278134</v>
      </c>
      <c r="N23" s="83">
        <f t="shared" ref="N23:N32" si="6">+L23/M23</f>
        <v>6.7793565749624013E-4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2.4230977460021699E-2</v>
      </c>
      <c r="F24" s="165">
        <f t="shared" si="0"/>
        <v>659268.09529546497</v>
      </c>
      <c r="G24" s="83">
        <f>+F24-F23</f>
        <v>318203.44764782494</v>
      </c>
      <c r="H24" s="83">
        <f t="shared" si="1"/>
        <v>2.4230977460021699E-2</v>
      </c>
      <c r="I24" s="83">
        <f t="shared" si="2"/>
        <v>1.3826414542177992E-3</v>
      </c>
      <c r="J24" s="172">
        <f>IF(+'Sismo UBC-94 y Dinamico'!O17=0,'Sismo UBC-94 y Dinamico'!M17,'Sismo UBC-94 y Dinamico'!O17)</f>
        <v>13902.319166823047</v>
      </c>
      <c r="K24" s="172">
        <f t="shared" si="3"/>
        <v>32</v>
      </c>
      <c r="L24" s="83">
        <f t="shared" si="4"/>
        <v>439.96127759290601</v>
      </c>
      <c r="M24" s="83">
        <f t="shared" si="5"/>
        <v>444874.21333833749</v>
      </c>
      <c r="N24" s="83">
        <f t="shared" si="6"/>
        <v>9.8895657334560974E-4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2.2848336005803899E-2</v>
      </c>
      <c r="F25" s="165">
        <f t="shared" si="0"/>
        <v>977471.54294315097</v>
      </c>
      <c r="G25" s="83">
        <f>+F25-F24</f>
        <v>318203.447647686</v>
      </c>
      <c r="H25" s="83">
        <f t="shared" si="1"/>
        <v>2.2848336005803899E-2</v>
      </c>
      <c r="I25" s="83">
        <f t="shared" si="2"/>
        <v>1.876523440365499E-3</v>
      </c>
      <c r="J25" s="172">
        <f>IF(+'Sismo UBC-94 y Dinamico'!O18=0,'Sismo UBC-94 y Dinamico'!M18,'Sismo UBC-94 y Dinamico'!O18)</f>
        <v>11858.755790883961</v>
      </c>
      <c r="K25" s="172">
        <f t="shared" si="3"/>
        <v>28.5</v>
      </c>
      <c r="L25" s="83">
        <f t="shared" si="4"/>
        <v>597.11622831599868</v>
      </c>
      <c r="M25" s="83">
        <f t="shared" si="5"/>
        <v>337974.54004019289</v>
      </c>
      <c r="N25" s="83">
        <f t="shared" si="6"/>
        <v>1.7667491410595245E-3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2.09718125654384E-2</v>
      </c>
      <c r="F26" s="165">
        <f t="shared" si="0"/>
        <v>1295674.99059071</v>
      </c>
      <c r="G26" s="83">
        <f>+F26-F25</f>
        <v>318203.44764755899</v>
      </c>
      <c r="H26" s="83">
        <f t="shared" si="1"/>
        <v>2.09718125654384E-2</v>
      </c>
      <c r="I26" s="83">
        <f t="shared" si="2"/>
        <v>2.2950124173592018E-3</v>
      </c>
      <c r="J26" s="172">
        <f>IF(+'Sismo UBC-94 y Dinamico'!O19=0,'Sismo UBC-94 y Dinamico'!M19,'Sismo UBC-94 y Dinamico'!O19)</f>
        <v>10083.741517536942</v>
      </c>
      <c r="K26" s="172">
        <f t="shared" si="3"/>
        <v>25</v>
      </c>
      <c r="L26" s="83">
        <f t="shared" si="4"/>
        <v>730.28086359765655</v>
      </c>
      <c r="M26" s="83">
        <f t="shared" si="5"/>
        <v>252093.53793842357</v>
      </c>
      <c r="N26" s="83">
        <f t="shared" si="6"/>
        <v>2.8968646700338473E-3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1.8676800148079199E-2</v>
      </c>
      <c r="F27" s="165">
        <f t="shared" si="0"/>
        <v>1613878.4382380999</v>
      </c>
      <c r="G27" s="165">
        <f t="shared" ref="G27:G32" si="8">+F27-F26</f>
        <v>318203.44764738996</v>
      </c>
      <c r="H27" s="165">
        <f t="shared" si="1"/>
        <v>1.8676800148079199E-2</v>
      </c>
      <c r="I27" s="165">
        <f t="shared" si="2"/>
        <v>2.645535022409197E-3</v>
      </c>
      <c r="J27" s="172">
        <f>IF(+'Sismo UBC-94 y Dinamico'!O20=0,'Sismo UBC-94 y Dinamico'!M20,'Sismo UBC-94 y Dinamico'!O20)</f>
        <v>8666.8738209804324</v>
      </c>
      <c r="K27" s="172">
        <f t="shared" si="3"/>
        <v>21.5</v>
      </c>
      <c r="L27" s="165">
        <f t="shared" si="4"/>
        <v>841.81836500252155</v>
      </c>
      <c r="M27" s="165">
        <f t="shared" si="5"/>
        <v>186337.7871510793</v>
      </c>
      <c r="N27" s="165">
        <f t="shared" si="6"/>
        <v>4.5177007727369356E-3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1.6031265125670002E-2</v>
      </c>
      <c r="F28" s="165">
        <f t="shared" si="0"/>
        <v>1932081.8858855099</v>
      </c>
      <c r="G28" s="165">
        <f t="shared" si="8"/>
        <v>318203.44764740998</v>
      </c>
      <c r="H28" s="165">
        <f t="shared" si="1"/>
        <v>1.6031265125670002E-2</v>
      </c>
      <c r="I28" s="165">
        <f t="shared" si="2"/>
        <v>2.9225145645986016E-3</v>
      </c>
      <c r="J28" s="172">
        <f>IF(+'Sismo UBC-94 y Dinamico'!O21=0,'Sismo UBC-94 y Dinamico'!M21,'Sismo UBC-94 y Dinamico'!O21)</f>
        <v>7506.3448163962312</v>
      </c>
      <c r="K28" s="172">
        <f t="shared" si="3"/>
        <v>18</v>
      </c>
      <c r="L28" s="165">
        <f t="shared" si="4"/>
        <v>929.95421025504425</v>
      </c>
      <c r="M28" s="165">
        <f t="shared" si="5"/>
        <v>135114.20669513216</v>
      </c>
      <c r="N28" s="165">
        <f t="shared" si="6"/>
        <v>6.8827270869699616E-3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1.31087505610714E-2</v>
      </c>
      <c r="F29" s="165">
        <f t="shared" si="0"/>
        <v>2251595.7335331398</v>
      </c>
      <c r="G29" s="165">
        <f t="shared" si="8"/>
        <v>319513.84764762991</v>
      </c>
      <c r="H29" s="165">
        <f t="shared" si="1"/>
        <v>1.31087505610714E-2</v>
      </c>
      <c r="I29" s="165">
        <f t="shared" si="2"/>
        <v>3.1379727122275106E-3</v>
      </c>
      <c r="J29" s="172">
        <f>IF(+'Sismo UBC-94 y Dinamico'!O22=0,'Sismo UBC-94 y Dinamico'!M22,'Sismo UBC-94 y Dinamico'!O22)</f>
        <v>6518.7297560758971</v>
      </c>
      <c r="K29" s="172">
        <f t="shared" si="3"/>
        <v>14.5</v>
      </c>
      <c r="L29" s="165">
        <f t="shared" si="4"/>
        <v>1002.6257350970809</v>
      </c>
      <c r="M29" s="165">
        <f t="shared" si="5"/>
        <v>94521.581463100505</v>
      </c>
      <c r="N29" s="165">
        <f t="shared" si="6"/>
        <v>1.060737367675643E-2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9.9707778488438894E-3</v>
      </c>
      <c r="F30" s="165">
        <f t="shared" si="0"/>
        <v>2571109.5811808598</v>
      </c>
      <c r="G30" s="165">
        <f t="shared" si="8"/>
        <v>319513.84764772002</v>
      </c>
      <c r="H30" s="165">
        <f t="shared" si="1"/>
        <v>9.9707778488438894E-3</v>
      </c>
      <c r="I30" s="165">
        <f t="shared" si="2"/>
        <v>3.3015893439821793E-3</v>
      </c>
      <c r="J30" s="172">
        <f>IF(+'Sismo UBC-94 y Dinamico'!O23=0,'Sismo UBC-94 y Dinamico'!M23,'Sismo UBC-94 y Dinamico'!O23)</f>
        <v>5491.2709283971635</v>
      </c>
      <c r="K30" s="172">
        <f t="shared" si="3"/>
        <v>11</v>
      </c>
      <c r="L30" s="165">
        <f t="shared" si="4"/>
        <v>1054.903514648458</v>
      </c>
      <c r="M30" s="165">
        <f t="shared" si="5"/>
        <v>60403.980212368799</v>
      </c>
      <c r="N30" s="165">
        <f t="shared" si="6"/>
        <v>1.7464139133540866E-2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6.6691885048617101E-3</v>
      </c>
      <c r="F31" s="165">
        <f t="shared" si="0"/>
        <v>2890623.4288285198</v>
      </c>
      <c r="G31" s="165">
        <f t="shared" si="8"/>
        <v>319513.84764765995</v>
      </c>
      <c r="H31" s="165">
        <f t="shared" si="1"/>
        <v>6.6691885048617101E-3</v>
      </c>
      <c r="I31" s="165">
        <f t="shared" si="2"/>
        <v>3.38236755984076E-3</v>
      </c>
      <c r="J31" s="172">
        <f>IF(+'Sismo UBC-94 y Dinamico'!O24=0,'Sismo UBC-94 y Dinamico'!M24,'Sismo UBC-94 y Dinamico'!O24)</f>
        <v>4239.8426830786048</v>
      </c>
      <c r="K31" s="172">
        <f t="shared" si="3"/>
        <v>7.5</v>
      </c>
      <c r="L31" s="165">
        <f t="shared" si="4"/>
        <v>1080.7132732033479</v>
      </c>
      <c r="M31" s="165">
        <f t="shared" si="5"/>
        <v>31798.820123089536</v>
      </c>
      <c r="N31" s="165">
        <f t="shared" si="6"/>
        <v>3.3985955108398122E-2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3.2868209450209501E-3</v>
      </c>
      <c r="F32" s="165">
        <f t="shared" si="0"/>
        <v>3293532.8006866099</v>
      </c>
      <c r="G32" s="165">
        <f t="shared" si="8"/>
        <v>402909.37185809016</v>
      </c>
      <c r="H32" s="165">
        <f t="shared" si="1"/>
        <v>3.2868209450209501E-3</v>
      </c>
      <c r="I32" s="165">
        <f>+H32-I33</f>
        <v>3.2868209450209501E-3</v>
      </c>
      <c r="J32" s="172">
        <f>IF(+'Sismo UBC-94 y Dinamico'!O25=0,'Sismo UBC-94 y Dinamico'!M25,'Sismo UBC-94 y Dinamico'!O25)</f>
        <v>2527.6116050094779</v>
      </c>
      <c r="K32" s="172">
        <f t="shared" si="3"/>
        <v>4</v>
      </c>
      <c r="L32" s="165">
        <f t="shared" si="4"/>
        <v>1324.2909623684054</v>
      </c>
      <c r="M32" s="165">
        <f t="shared" si="5"/>
        <v>10110.446420037912</v>
      </c>
      <c r="N32" s="165">
        <f t="shared" si="6"/>
        <v>0.13098244205555462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6" t="s">
        <v>73</v>
      </c>
      <c r="F37" s="206"/>
      <c r="G37" s="206"/>
      <c r="H37" s="206"/>
      <c r="I37" s="206"/>
      <c r="J37" s="206"/>
      <c r="K37" s="206"/>
      <c r="L37" s="206"/>
      <c r="M37" s="206"/>
      <c r="N37" s="206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2.2728825660227801E-2</v>
      </c>
      <c r="F40" s="165">
        <f t="shared" ref="F40:F50" si="9">+E5</f>
        <v>17697.5999999944</v>
      </c>
      <c r="G40" s="165">
        <v>0</v>
      </c>
      <c r="H40" s="165">
        <f t="shared" ref="H40:H50" si="10">+E40</f>
        <v>2.2728825660227801E-2</v>
      </c>
      <c r="I40" s="165">
        <f t="shared" ref="I40:I49" si="11">+H40-H41</f>
        <v>3.5182070000280147E-4</v>
      </c>
      <c r="J40" s="165">
        <f>+J22</f>
        <v>990.77095886772315</v>
      </c>
      <c r="K40" s="165">
        <f t="shared" ref="K40:K50" si="12">+C40</f>
        <v>38.5</v>
      </c>
      <c r="L40" s="165">
        <f>+G40*I40</f>
        <v>0</v>
      </c>
      <c r="M40" s="165">
        <f>+J40*K40</f>
        <v>38144.681916407339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2.2377004960224999E-2</v>
      </c>
      <c r="F41" s="165">
        <f t="shared" si="9"/>
        <v>341064.64764764003</v>
      </c>
      <c r="G41" s="165">
        <f>+F41</f>
        <v>341064.64764764003</v>
      </c>
      <c r="H41" s="165">
        <f t="shared" si="10"/>
        <v>2.2377004960224999E-2</v>
      </c>
      <c r="I41" s="165">
        <f t="shared" si="11"/>
        <v>7.311085273698989E-4</v>
      </c>
      <c r="J41" s="172">
        <f t="shared" ref="J41:J50" si="13">+J23</f>
        <v>11894.112996134685</v>
      </c>
      <c r="K41" s="172">
        <f t="shared" si="12"/>
        <v>35.5</v>
      </c>
      <c r="L41" s="165">
        <f t="shared" ref="L41:L50" si="14">+G41*I41</f>
        <v>249.35527227959955</v>
      </c>
      <c r="M41" s="165">
        <f t="shared" ref="M41:M50" si="15">+J41*K41</f>
        <v>422241.01136278134</v>
      </c>
      <c r="N41" s="165">
        <f t="shared" ref="N41:N50" si="16">+L41/M41</f>
        <v>5.9055199653583218E-4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2.16458964328551E-2</v>
      </c>
      <c r="F42" s="165">
        <f t="shared" si="9"/>
        <v>659268.09529546497</v>
      </c>
      <c r="G42" s="165">
        <f>+F42-F41</f>
        <v>318203.44764782494</v>
      </c>
      <c r="H42" s="165">
        <f t="shared" si="10"/>
        <v>2.16458964328551E-2</v>
      </c>
      <c r="I42" s="165">
        <f t="shared" si="11"/>
        <v>1.2222370123525991E-3</v>
      </c>
      <c r="J42" s="172">
        <f t="shared" si="13"/>
        <v>13902.319166823047</v>
      </c>
      <c r="K42" s="172">
        <f t="shared" si="12"/>
        <v>32</v>
      </c>
      <c r="L42" s="165">
        <f t="shared" si="14"/>
        <v>388.92003117337424</v>
      </c>
      <c r="M42" s="165">
        <f t="shared" si="15"/>
        <v>444874.21333833749</v>
      </c>
      <c r="N42" s="165">
        <f t="shared" si="16"/>
        <v>8.7422471231793169E-4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2.0423659420502501E-2</v>
      </c>
      <c r="F43" s="165">
        <f t="shared" si="9"/>
        <v>977471.54294315097</v>
      </c>
      <c r="G43" s="165">
        <f t="shared" ref="G43:G50" si="18">+F43-F42</f>
        <v>318203.447647686</v>
      </c>
      <c r="H43" s="165">
        <f t="shared" si="10"/>
        <v>2.0423659420502501E-2</v>
      </c>
      <c r="I43" s="165">
        <f t="shared" si="11"/>
        <v>1.6667998204479006E-3</v>
      </c>
      <c r="J43" s="172">
        <f t="shared" si="13"/>
        <v>11858.755790883961</v>
      </c>
      <c r="K43" s="172">
        <f t="shared" si="12"/>
        <v>28.5</v>
      </c>
      <c r="L43" s="165">
        <f t="shared" si="14"/>
        <v>530.38144940506595</v>
      </c>
      <c r="M43" s="165">
        <f t="shared" si="15"/>
        <v>337974.54004019289</v>
      </c>
      <c r="N43" s="165">
        <f t="shared" si="16"/>
        <v>1.5692940934012114E-3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1.87568596000546E-2</v>
      </c>
      <c r="F44" s="165">
        <f t="shared" si="9"/>
        <v>1295674.99059071</v>
      </c>
      <c r="G44" s="165">
        <f t="shared" si="18"/>
        <v>318203.44764755899</v>
      </c>
      <c r="H44" s="165">
        <f t="shared" si="10"/>
        <v>1.87568596000546E-2</v>
      </c>
      <c r="I44" s="165">
        <f t="shared" si="11"/>
        <v>2.042787513425199E-3</v>
      </c>
      <c r="J44" s="172">
        <f t="shared" si="13"/>
        <v>10083.741517536942</v>
      </c>
      <c r="K44" s="172">
        <f t="shared" si="12"/>
        <v>25</v>
      </c>
      <c r="L44" s="165">
        <f t="shared" si="14"/>
        <v>650.02202958328246</v>
      </c>
      <c r="M44" s="165">
        <f t="shared" si="15"/>
        <v>252093.53793842357</v>
      </c>
      <c r="N44" s="165">
        <f t="shared" si="16"/>
        <v>2.578495406502871E-3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1.6714072086629402E-2</v>
      </c>
      <c r="F45" s="165">
        <f t="shared" si="9"/>
        <v>1613878.4382380999</v>
      </c>
      <c r="G45" s="165">
        <f t="shared" si="18"/>
        <v>318203.44764738996</v>
      </c>
      <c r="H45" s="165">
        <f t="shared" si="10"/>
        <v>1.6714072086629402E-2</v>
      </c>
      <c r="I45" s="165">
        <f t="shared" si="11"/>
        <v>2.3579098532931012E-3</v>
      </c>
      <c r="J45" s="172">
        <f t="shared" si="13"/>
        <v>8666.8738209804324</v>
      </c>
      <c r="K45" s="172">
        <f t="shared" si="12"/>
        <v>21.5</v>
      </c>
      <c r="L45" s="165">
        <f t="shared" si="14"/>
        <v>750.29504455961626</v>
      </c>
      <c r="M45" s="165">
        <f t="shared" si="15"/>
        <v>186337.7871510793</v>
      </c>
      <c r="N45" s="165">
        <f t="shared" si="16"/>
        <v>4.0265319022560388E-3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1.43561622333363E-2</v>
      </c>
      <c r="F46" s="165">
        <f t="shared" si="9"/>
        <v>1932081.8858855099</v>
      </c>
      <c r="G46" s="165">
        <f t="shared" si="18"/>
        <v>318203.44764740998</v>
      </c>
      <c r="H46" s="165">
        <f t="shared" si="10"/>
        <v>1.43561622333363E-2</v>
      </c>
      <c r="I46" s="165">
        <f t="shared" si="11"/>
        <v>2.6071417018046009E-3</v>
      </c>
      <c r="J46" s="172">
        <f t="shared" si="13"/>
        <v>7506.3448163962312</v>
      </c>
      <c r="K46" s="172">
        <f t="shared" si="12"/>
        <v>18</v>
      </c>
      <c r="L46" s="165">
        <f t="shared" si="14"/>
        <v>829.60147801955964</v>
      </c>
      <c r="M46" s="165">
        <f t="shared" si="15"/>
        <v>135114.20669513216</v>
      </c>
      <c r="N46" s="165">
        <f t="shared" si="16"/>
        <v>6.1400018422300235E-3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1.17490205315317E-2</v>
      </c>
      <c r="F47" s="165">
        <f t="shared" si="9"/>
        <v>2251595.7335331398</v>
      </c>
      <c r="G47" s="165">
        <f t="shared" si="18"/>
        <v>319513.84764762991</v>
      </c>
      <c r="H47" s="165">
        <f t="shared" si="10"/>
        <v>1.17490205315317E-2</v>
      </c>
      <c r="I47" s="165">
        <f t="shared" si="11"/>
        <v>2.8014463948896496E-3</v>
      </c>
      <c r="J47" s="172">
        <f t="shared" si="13"/>
        <v>6518.7297560758971</v>
      </c>
      <c r="K47" s="172">
        <f t="shared" si="12"/>
        <v>14.5</v>
      </c>
      <c r="L47" s="165">
        <f t="shared" si="14"/>
        <v>895.10091660977355</v>
      </c>
      <c r="M47" s="165">
        <f t="shared" si="15"/>
        <v>94521.581463100505</v>
      </c>
      <c r="N47" s="165">
        <f t="shared" si="16"/>
        <v>9.4698047023176884E-3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8.9475741366420499E-3</v>
      </c>
      <c r="F48" s="165">
        <f t="shared" si="9"/>
        <v>2571109.5811808598</v>
      </c>
      <c r="G48" s="165">
        <f t="shared" si="18"/>
        <v>319513.84764772002</v>
      </c>
      <c r="H48" s="165">
        <f t="shared" si="10"/>
        <v>8.9475741366420499E-3</v>
      </c>
      <c r="I48" s="165">
        <f t="shared" si="11"/>
        <v>2.9510065827308201E-3</v>
      </c>
      <c r="J48" s="172">
        <f t="shared" si="13"/>
        <v>5491.2709283971635</v>
      </c>
      <c r="K48" s="172">
        <f t="shared" si="12"/>
        <v>11</v>
      </c>
      <c r="L48" s="165">
        <f t="shared" si="14"/>
        <v>942.88746768207409</v>
      </c>
      <c r="M48" s="165">
        <f t="shared" si="15"/>
        <v>60403.980212368799</v>
      </c>
      <c r="N48" s="165">
        <f t="shared" si="16"/>
        <v>1.5609691023125673E-2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5.9965675539112298E-3</v>
      </c>
      <c r="F49" s="165">
        <f t="shared" si="9"/>
        <v>2890623.4288285198</v>
      </c>
      <c r="G49" s="165">
        <f t="shared" si="18"/>
        <v>319513.84764765995</v>
      </c>
      <c r="H49" s="165">
        <f t="shared" si="10"/>
        <v>5.9965675539112298E-3</v>
      </c>
      <c r="I49" s="165">
        <f t="shared" si="11"/>
        <v>3.0294526449728197E-3</v>
      </c>
      <c r="J49" s="172">
        <f t="shared" si="13"/>
        <v>4239.8426830786048</v>
      </c>
      <c r="K49" s="172">
        <f t="shared" si="12"/>
        <v>7.5</v>
      </c>
      <c r="L49" s="165">
        <f t="shared" si="14"/>
        <v>967.95207086164601</v>
      </c>
      <c r="M49" s="165">
        <f t="shared" si="15"/>
        <v>31798.820123089536</v>
      </c>
      <c r="N49" s="165">
        <f t="shared" si="16"/>
        <v>3.0439873778801103E-2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2.9671149089384101E-3</v>
      </c>
      <c r="F50" s="165">
        <f t="shared" si="9"/>
        <v>3293532.8006866099</v>
      </c>
      <c r="G50" s="165">
        <f t="shared" si="18"/>
        <v>402909.37185809016</v>
      </c>
      <c r="H50" s="165">
        <f t="shared" si="10"/>
        <v>2.9671149089384101E-3</v>
      </c>
      <c r="I50" s="165">
        <f>+H50-I51</f>
        <v>2.9671149089384101E-3</v>
      </c>
      <c r="J50" s="172">
        <f t="shared" si="13"/>
        <v>2527.6116050094779</v>
      </c>
      <c r="K50" s="172">
        <f t="shared" si="12"/>
        <v>4</v>
      </c>
      <c r="L50" s="165">
        <f t="shared" si="14"/>
        <v>1195.4784041911491</v>
      </c>
      <c r="M50" s="165">
        <f t="shared" si="15"/>
        <v>10110.446420037912</v>
      </c>
      <c r="N50" s="165">
        <f t="shared" si="16"/>
        <v>0.11824190095323867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6" t="s">
        <v>73</v>
      </c>
      <c r="F55" s="206"/>
      <c r="G55" s="206"/>
      <c r="H55" s="206"/>
      <c r="I55" s="206"/>
      <c r="J55" s="206"/>
      <c r="K55" s="206"/>
      <c r="L55" s="206"/>
      <c r="M55" s="206"/>
      <c r="N55" s="206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3.1091444115087401E-2</v>
      </c>
      <c r="F58" s="83">
        <f t="shared" ref="F58:F68" si="19">+E5</f>
        <v>17697.5999999944</v>
      </c>
      <c r="G58" s="83">
        <v>0</v>
      </c>
      <c r="H58" s="83">
        <f>+E58</f>
        <v>3.1091444115087401E-2</v>
      </c>
      <c r="I58" s="83">
        <f>+H58-H59</f>
        <v>1.8750686076746993E-3</v>
      </c>
      <c r="J58" s="83">
        <f>IF(+'Sismo UBC-94 y Dinamico'!P34=0,'Sismo UBC-94 y Dinamico'!N34,'Sismo UBC-94 y Dinamico'!P34)</f>
        <v>889.28792392345474</v>
      </c>
      <c r="K58" s="83">
        <f t="shared" ref="K58:K68" si="20">+C58</f>
        <v>38.5</v>
      </c>
      <c r="L58" s="83">
        <f>+G58*I58</f>
        <v>0</v>
      </c>
      <c r="M58" s="83">
        <f>+J58*K58</f>
        <v>34237.585071053007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2.9216375507412701E-2</v>
      </c>
      <c r="F59" s="165">
        <f t="shared" si="19"/>
        <v>341064.64764764003</v>
      </c>
      <c r="G59" s="83">
        <f>+F59</f>
        <v>341064.64764764003</v>
      </c>
      <c r="H59" s="83">
        <f t="shared" ref="H59:H68" si="21">+E59</f>
        <v>2.9216375507412701E-2</v>
      </c>
      <c r="I59" s="83">
        <f>+H59-H60</f>
        <v>1.2493896016345998E-3</v>
      </c>
      <c r="J59" s="172">
        <f>IF(+'Sismo UBC-94 y Dinamico'!P35=0,'Sismo UBC-94 y Dinamico'!N35,'Sismo UBC-94 y Dinamico'!P35)</f>
        <v>12246.537501384773</v>
      </c>
      <c r="K59" s="172">
        <f t="shared" si="20"/>
        <v>35.5</v>
      </c>
      <c r="L59" s="83">
        <f>+G59*I59</f>
        <v>426.12262425613011</v>
      </c>
      <c r="M59" s="83">
        <f>+J59*K59</f>
        <v>434752.08129915944</v>
      </c>
      <c r="N59" s="83">
        <f>+L59/M59</f>
        <v>9.8015085513278701E-4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2.7966985905778102E-2</v>
      </c>
      <c r="F60" s="165">
        <f t="shared" si="19"/>
        <v>659268.09529546497</v>
      </c>
      <c r="G60" s="83">
        <f>+F60-F59</f>
        <v>318203.44764782494</v>
      </c>
      <c r="H60" s="83">
        <f t="shared" si="21"/>
        <v>2.7966985905778102E-2</v>
      </c>
      <c r="I60" s="83">
        <f>+H60-H61</f>
        <v>1.7677471409928008E-3</v>
      </c>
      <c r="J60" s="172">
        <f>IF(+'Sismo UBC-94 y Dinamico'!P36=0,'Sismo UBC-94 y Dinamico'!N36,'Sismo UBC-94 y Dinamico'!P36)</f>
        <v>14005.067539672775</v>
      </c>
      <c r="K60" s="172">
        <f t="shared" si="20"/>
        <v>32</v>
      </c>
      <c r="L60" s="83">
        <f>+G60*I60</f>
        <v>562.50323483349496</v>
      </c>
      <c r="M60" s="83">
        <f>+J60*K60</f>
        <v>448162.16126952879</v>
      </c>
      <c r="N60" s="83">
        <f>+L60/M60</f>
        <v>1.2551332607823632E-3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2.6199238764785301E-2</v>
      </c>
      <c r="F61" s="165">
        <f t="shared" si="19"/>
        <v>977471.54294315097</v>
      </c>
      <c r="G61" s="83">
        <f t="shared" ref="G61:G68" si="22">+F61-F60</f>
        <v>318203.447647686</v>
      </c>
      <c r="H61" s="83">
        <f t="shared" si="21"/>
        <v>2.6199238764785301E-2</v>
      </c>
      <c r="I61" s="83">
        <f>+H61-H62</f>
        <v>2.3044961211955012E-3</v>
      </c>
      <c r="J61" s="172">
        <f>IF(+'Sismo UBC-94 y Dinamico'!P37=0,'Sismo UBC-94 y Dinamico'!N37,'Sismo UBC-94 y Dinamico'!P37)</f>
        <v>11547.09766115481</v>
      </c>
      <c r="K61" s="172">
        <f t="shared" si="20"/>
        <v>28.5</v>
      </c>
      <c r="L61" s="83">
        <f>+G61*I61</f>
        <v>733.29861085512812</v>
      </c>
      <c r="M61" s="83">
        <f>+J61*K61</f>
        <v>329092.28334291209</v>
      </c>
      <c r="N61" s="83">
        <f>+L61/M61</f>
        <v>2.2282461424081327E-3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2.38947426435898E-2</v>
      </c>
      <c r="F62" s="165">
        <f t="shared" si="19"/>
        <v>1295674.99059071</v>
      </c>
      <c r="G62" s="83">
        <f t="shared" si="22"/>
        <v>318203.44764755899</v>
      </c>
      <c r="H62" s="83">
        <f t="shared" si="21"/>
        <v>2.38947426435898E-2</v>
      </c>
      <c r="I62" s="83">
        <f>+H62-H63</f>
        <v>2.740125130352801E-3</v>
      </c>
      <c r="J62" s="172">
        <f>IF(+'Sismo UBC-94 y Dinamico'!P38=0,'Sismo UBC-94 y Dinamico'!N38,'Sismo UBC-94 y Dinamico'!P38)</f>
        <v>9474.8793648685769</v>
      </c>
      <c r="K62" s="172">
        <f t="shared" si="20"/>
        <v>25</v>
      </c>
      <c r="L62" s="83">
        <f>+G62*I62</f>
        <v>871.91726346397832</v>
      </c>
      <c r="M62" s="83">
        <f>+J62*K62</f>
        <v>236871.98412171443</v>
      </c>
      <c r="N62" s="83">
        <f>+L62/M62</f>
        <v>3.6809640730494828E-3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2.1154617513236999E-2</v>
      </c>
      <c r="F63" s="165">
        <f t="shared" si="19"/>
        <v>1613878.4382380999</v>
      </c>
      <c r="G63" s="165">
        <f t="shared" si="22"/>
        <v>318203.44764738996</v>
      </c>
      <c r="H63" s="165">
        <f t="shared" si="21"/>
        <v>2.1154617513236999E-2</v>
      </c>
      <c r="I63" s="165">
        <f t="shared" ref="I63:I68" si="23">+H63-H64</f>
        <v>3.091982326019798E-3</v>
      </c>
      <c r="J63" s="172">
        <f>IF(+'Sismo UBC-94 y Dinamico'!P39=0,'Sismo UBC-94 y Dinamico'!N39,'Sismo UBC-94 y Dinamico'!P39)</f>
        <v>7981.4091511190945</v>
      </c>
      <c r="K63" s="172">
        <f t="shared" si="20"/>
        <v>21.5</v>
      </c>
      <c r="L63" s="165">
        <f t="shared" ref="L63:L68" si="24">+G63*I63</f>
        <v>983.87943620429587</v>
      </c>
      <c r="M63" s="165">
        <f t="shared" ref="M63:M68" si="25">+J63*K63</f>
        <v>171600.29674906054</v>
      </c>
      <c r="N63" s="165">
        <f t="shared" ref="N63:N68" si="26">+L63/M63</f>
        <v>5.7335532329706321E-3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1.8062635187217201E-2</v>
      </c>
      <c r="F64" s="165">
        <f t="shared" si="19"/>
        <v>1932081.8858855099</v>
      </c>
      <c r="G64" s="165">
        <f t="shared" si="22"/>
        <v>318203.44764740998</v>
      </c>
      <c r="H64" s="165">
        <f t="shared" si="21"/>
        <v>1.8062635187217201E-2</v>
      </c>
      <c r="I64" s="165">
        <f t="shared" si="23"/>
        <v>3.3802772092662997E-3</v>
      </c>
      <c r="J64" s="172">
        <f>IF(+'Sismo UBC-94 y Dinamico'!P40=0,'Sismo UBC-94 y Dinamico'!N40,'Sismo UBC-94 y Dinamico'!P40)</f>
        <v>6964.533185106884</v>
      </c>
      <c r="K64" s="172">
        <f t="shared" si="20"/>
        <v>18</v>
      </c>
      <c r="L64" s="165">
        <f t="shared" si="24"/>
        <v>1075.615861992502</v>
      </c>
      <c r="M64" s="165">
        <f t="shared" si="25"/>
        <v>125361.59733192391</v>
      </c>
      <c r="N64" s="165">
        <f t="shared" si="26"/>
        <v>8.5801065468602746E-3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1.4682357977950901E-2</v>
      </c>
      <c r="F65" s="165">
        <f t="shared" si="19"/>
        <v>2251595.7335331398</v>
      </c>
      <c r="G65" s="165">
        <f t="shared" si="22"/>
        <v>319513.84764762991</v>
      </c>
      <c r="H65" s="165">
        <f t="shared" si="21"/>
        <v>1.4682357977950901E-2</v>
      </c>
      <c r="I65" s="165">
        <f t="shared" si="23"/>
        <v>3.6135993122343012E-3</v>
      </c>
      <c r="J65" s="172">
        <f>IF(+'Sismo UBC-94 y Dinamico'!P41=0,'Sismo UBC-94 y Dinamico'!N41,'Sismo UBC-94 y Dinamico'!P41)</f>
        <v>6209.3163464798045</v>
      </c>
      <c r="K65" s="172">
        <f t="shared" si="20"/>
        <v>14.5</v>
      </c>
      <c r="L65" s="165">
        <f t="shared" si="24"/>
        <v>1154.5950201088108</v>
      </c>
      <c r="M65" s="165">
        <f t="shared" si="25"/>
        <v>90035.087023957167</v>
      </c>
      <c r="N65" s="165">
        <f t="shared" si="26"/>
        <v>1.2823834110379524E-2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1.10687586657166E-2</v>
      </c>
      <c r="F66" s="165">
        <f t="shared" si="19"/>
        <v>2571109.5811808598</v>
      </c>
      <c r="G66" s="165">
        <f t="shared" si="22"/>
        <v>319513.84764772002</v>
      </c>
      <c r="H66" s="165">
        <f t="shared" si="21"/>
        <v>1.10687586657166E-2</v>
      </c>
      <c r="I66" s="165">
        <f t="shared" si="23"/>
        <v>3.7730876747508598E-3</v>
      </c>
      <c r="J66" s="172">
        <f>IF(+'Sismo UBC-94 y Dinamico'!P42=0,'Sismo UBC-94 y Dinamico'!N42,'Sismo UBC-94 y Dinamico'!P42)</f>
        <v>5409.5922084493923</v>
      </c>
      <c r="K66" s="172">
        <f t="shared" si="20"/>
        <v>11</v>
      </c>
      <c r="L66" s="165">
        <f t="shared" si="24"/>
        <v>1205.5537604718363</v>
      </c>
      <c r="M66" s="165">
        <f t="shared" si="25"/>
        <v>59505.514292943313</v>
      </c>
      <c r="N66" s="165">
        <f t="shared" si="26"/>
        <v>2.0259530142651024E-2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7.2956709909657398E-3</v>
      </c>
      <c r="F67" s="165">
        <f t="shared" si="19"/>
        <v>2890623.4288285198</v>
      </c>
      <c r="G67" s="165">
        <f t="shared" si="22"/>
        <v>319513.84764765995</v>
      </c>
      <c r="H67" s="165">
        <f t="shared" si="21"/>
        <v>7.2956709909657398E-3</v>
      </c>
      <c r="I67" s="165">
        <f t="shared" si="23"/>
        <v>3.8179783304834497E-3</v>
      </c>
      <c r="J67" s="172">
        <f>IF(+'Sismo UBC-94 y Dinamico'!P43=0,'Sismo UBC-94 y Dinamico'!N43,'Sismo UBC-94 y Dinamico'!P43)</f>
        <v>4316.3302426303162</v>
      </c>
      <c r="K67" s="172">
        <f t="shared" si="20"/>
        <v>7.5</v>
      </c>
      <c r="L67" s="165">
        <f t="shared" si="24"/>
        <v>1219.896946608156</v>
      </c>
      <c r="M67" s="165">
        <f t="shared" si="25"/>
        <v>32372.476819727373</v>
      </c>
      <c r="N67" s="165">
        <f t="shared" si="26"/>
        <v>3.7683151443783452E-2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3.4776926604822901E-3</v>
      </c>
      <c r="F68" s="165">
        <f t="shared" si="19"/>
        <v>3293532.8006866099</v>
      </c>
      <c r="G68" s="165">
        <f t="shared" si="22"/>
        <v>402909.37185809016</v>
      </c>
      <c r="H68" s="165">
        <f t="shared" si="21"/>
        <v>3.4776926604822901E-3</v>
      </c>
      <c r="I68" s="165">
        <f t="shared" si="23"/>
        <v>3.4776926604822901E-3</v>
      </c>
      <c r="J68" s="172">
        <f>IF(+'Sismo UBC-94 y Dinamico'!P44=0,'Sismo UBC-94 y Dinamico'!N44,'Sismo UBC-94 y Dinamico'!P44)</f>
        <v>2588.9069574365235</v>
      </c>
      <c r="K68" s="172">
        <f t="shared" si="20"/>
        <v>4</v>
      </c>
      <c r="L68" s="165">
        <f t="shared" si="24"/>
        <v>1401.1949653504098</v>
      </c>
      <c r="M68" s="165">
        <f t="shared" si="25"/>
        <v>10355.627829746094</v>
      </c>
      <c r="N68" s="165">
        <f t="shared" si="26"/>
        <v>0.13530758234913945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6" t="s">
        <v>73</v>
      </c>
      <c r="F73" s="206"/>
      <c r="G73" s="206"/>
      <c r="H73" s="206"/>
      <c r="I73" s="206"/>
      <c r="J73" s="206"/>
      <c r="K73" s="206"/>
      <c r="L73" s="206"/>
      <c r="M73" s="206"/>
      <c r="N73" s="206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2.80482932070216E-2</v>
      </c>
      <c r="F76" s="83">
        <f t="shared" ref="F76:F86" si="28">+E5</f>
        <v>17697.5999999944</v>
      </c>
      <c r="G76" s="83">
        <v>0</v>
      </c>
      <c r="H76" s="83">
        <f>+E76</f>
        <v>2.80482932070216E-2</v>
      </c>
      <c r="I76" s="83">
        <f>+H76-H77</f>
        <v>-6.1427874060494998E-3</v>
      </c>
      <c r="J76" s="83">
        <f>+J58</f>
        <v>889.28792392345474</v>
      </c>
      <c r="K76" s="83">
        <f t="shared" ref="K76:K86" si="29">+C76</f>
        <v>38.5</v>
      </c>
      <c r="L76" s="83">
        <f>+G76*I76</f>
        <v>0</v>
      </c>
      <c r="M76" s="83">
        <f>+J76*K76</f>
        <v>34237.585071053007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3.41910806130711E-2</v>
      </c>
      <c r="F77" s="165">
        <f t="shared" si="28"/>
        <v>341064.64764764003</v>
      </c>
      <c r="G77" s="83">
        <f>+F77</f>
        <v>341064.64764764003</v>
      </c>
      <c r="H77" s="83">
        <f>+E77</f>
        <v>3.41910806130711E-2</v>
      </c>
      <c r="I77" s="83">
        <f>+H77-H78</f>
        <v>1.345132643245199E-3</v>
      </c>
      <c r="J77" s="172">
        <f t="shared" ref="J77:J86" si="30">+J59</f>
        <v>12246.537501384773</v>
      </c>
      <c r="K77" s="172">
        <f t="shared" si="29"/>
        <v>35.5</v>
      </c>
      <c r="L77" s="83">
        <f>+G77*I77</f>
        <v>458.7771910077625</v>
      </c>
      <c r="M77" s="83">
        <f>+J77*K77</f>
        <v>434752.08129915944</v>
      </c>
      <c r="N77" s="83">
        <f>+L77/M77</f>
        <v>1.0552616324154432E-3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3.28459479698259E-2</v>
      </c>
      <c r="F78" s="165">
        <f t="shared" si="28"/>
        <v>659268.09529546497</v>
      </c>
      <c r="G78" s="83">
        <f>+F78-F77</f>
        <v>318203.44764782494</v>
      </c>
      <c r="H78" s="83">
        <f>+E78</f>
        <v>3.28459479698259E-2</v>
      </c>
      <c r="I78" s="83">
        <f>+H78-H79</f>
        <v>2.0496951412723001E-3</v>
      </c>
      <c r="J78" s="172">
        <f t="shared" si="30"/>
        <v>14005.067539672775</v>
      </c>
      <c r="K78" s="172">
        <f t="shared" si="29"/>
        <v>32</v>
      </c>
      <c r="L78" s="83">
        <f>+G78*I78</f>
        <v>652.22006057984152</v>
      </c>
      <c r="M78" s="83">
        <f>+J78*K78</f>
        <v>448162.16126952879</v>
      </c>
      <c r="N78" s="83">
        <f>+L78/M78</f>
        <v>1.4553215709516146E-3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3.07962528285536E-2</v>
      </c>
      <c r="F79" s="165">
        <f t="shared" si="28"/>
        <v>977471.54294315097</v>
      </c>
      <c r="G79" s="83">
        <f t="shared" ref="G79:G86" si="31">+F79-F78</f>
        <v>318203.447647686</v>
      </c>
      <c r="H79" s="83">
        <f>+E79</f>
        <v>3.07962528285536E-2</v>
      </c>
      <c r="I79" s="83">
        <f>+H79-H80</f>
        <v>2.6860131374243021E-3</v>
      </c>
      <c r="J79" s="172">
        <f t="shared" si="30"/>
        <v>11547.09766115481</v>
      </c>
      <c r="K79" s="172">
        <f t="shared" si="29"/>
        <v>28.5</v>
      </c>
      <c r="L79" s="83">
        <f>+G79*I79</f>
        <v>854.69864075539078</v>
      </c>
      <c r="M79" s="83">
        <f>+J79*K79</f>
        <v>329092.28334291209</v>
      </c>
      <c r="N79" s="83">
        <f>+L79/M79</f>
        <v>2.5971397204254715E-3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2.8110239691129298E-2</v>
      </c>
      <c r="F80" s="165">
        <f t="shared" si="28"/>
        <v>1295674.99059071</v>
      </c>
      <c r="G80" s="83">
        <f t="shared" si="31"/>
        <v>318203.44764755899</v>
      </c>
      <c r="H80" s="83">
        <f>+E80</f>
        <v>2.8110239691129298E-2</v>
      </c>
      <c r="I80" s="83">
        <f>+H80-H81</f>
        <v>3.2040762741127986E-3</v>
      </c>
      <c r="J80" s="172">
        <f t="shared" si="30"/>
        <v>9474.8793648685769</v>
      </c>
      <c r="K80" s="172">
        <f t="shared" si="29"/>
        <v>25</v>
      </c>
      <c r="L80" s="83">
        <f>+G80*I80</f>
        <v>1019.5481169484377</v>
      </c>
      <c r="M80" s="83">
        <f>+J80*K80</f>
        <v>236871.98412171443</v>
      </c>
      <c r="N80" s="83">
        <f>+L80/M80</f>
        <v>4.304215716893529E-3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2.49061634170165E-2</v>
      </c>
      <c r="F81" s="165">
        <f t="shared" si="28"/>
        <v>1613878.4382380999</v>
      </c>
      <c r="G81" s="165">
        <f t="shared" si="31"/>
        <v>318203.44764738996</v>
      </c>
      <c r="H81" s="165">
        <f t="shared" ref="H81:H86" si="32">+E81</f>
        <v>2.49061634170165E-2</v>
      </c>
      <c r="I81" s="165">
        <f t="shared" ref="I81:I86" si="33">+H81-H82</f>
        <v>3.6239698825772E-3</v>
      </c>
      <c r="J81" s="172">
        <f t="shared" si="30"/>
        <v>7981.4091511190945</v>
      </c>
      <c r="K81" s="172">
        <f t="shared" si="29"/>
        <v>21.5</v>
      </c>
      <c r="L81" s="165">
        <f t="shared" ref="L81:L86" si="34">+G81*I81</f>
        <v>1153.159710806372</v>
      </c>
      <c r="M81" s="165">
        <f t="shared" ref="M81:M86" si="35">+J81*K81</f>
        <v>171600.29674906054</v>
      </c>
      <c r="N81" s="165">
        <f t="shared" ref="N81:N86" si="36">+L81/M81</f>
        <v>6.720033313769227E-3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2.12821935344393E-2</v>
      </c>
      <c r="F82" s="165">
        <f t="shared" si="28"/>
        <v>1932081.8858855099</v>
      </c>
      <c r="G82" s="165">
        <f t="shared" si="31"/>
        <v>318203.44764740998</v>
      </c>
      <c r="H82" s="165">
        <f t="shared" si="32"/>
        <v>2.12821935344393E-2</v>
      </c>
      <c r="I82" s="165">
        <f t="shared" si="33"/>
        <v>3.9670284415381993E-3</v>
      </c>
      <c r="J82" s="172">
        <f t="shared" si="30"/>
        <v>6964.533185106884</v>
      </c>
      <c r="K82" s="172">
        <f t="shared" si="29"/>
        <v>18</v>
      </c>
      <c r="L82" s="165">
        <f t="shared" si="34"/>
        <v>1262.3221270127867</v>
      </c>
      <c r="M82" s="165">
        <f t="shared" si="35"/>
        <v>125361.59733192391</v>
      </c>
      <c r="N82" s="165">
        <f t="shared" si="36"/>
        <v>1.0069448330899103E-2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1.73151650929011E-2</v>
      </c>
      <c r="F83" s="165">
        <f t="shared" si="28"/>
        <v>2251595.7335331398</v>
      </c>
      <c r="G83" s="165">
        <f t="shared" si="31"/>
        <v>319513.84764762991</v>
      </c>
      <c r="H83" s="165">
        <f t="shared" si="32"/>
        <v>1.73151650929011E-2</v>
      </c>
      <c r="I83" s="165">
        <f t="shared" si="33"/>
        <v>4.2445242941622999E-3</v>
      </c>
      <c r="J83" s="172">
        <f t="shared" si="30"/>
        <v>6209.3163464798045</v>
      </c>
      <c r="K83" s="172">
        <f t="shared" si="29"/>
        <v>14.5</v>
      </c>
      <c r="L83" s="165">
        <f t="shared" si="34"/>
        <v>1356.1842886616371</v>
      </c>
      <c r="M83" s="165">
        <f t="shared" si="35"/>
        <v>90035.087023957167</v>
      </c>
      <c r="N83" s="165">
        <f t="shared" si="36"/>
        <v>1.5062841981823975E-2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1.30706407987388E-2</v>
      </c>
      <c r="F84" s="165">
        <f t="shared" si="28"/>
        <v>2571109.5811808598</v>
      </c>
      <c r="G84" s="165">
        <f t="shared" si="31"/>
        <v>319513.84764772002</v>
      </c>
      <c r="H84" s="165">
        <f t="shared" si="32"/>
        <v>1.30706407987388E-2</v>
      </c>
      <c r="I84" s="165">
        <f t="shared" si="33"/>
        <v>4.4394563588028898E-3</v>
      </c>
      <c r="J84" s="172">
        <f t="shared" si="30"/>
        <v>5409.5922084493923</v>
      </c>
      <c r="K84" s="172">
        <f t="shared" si="29"/>
        <v>11</v>
      </c>
      <c r="L84" s="165">
        <f t="shared" si="34"/>
        <v>1418.4677826652485</v>
      </c>
      <c r="M84" s="165">
        <f t="shared" si="35"/>
        <v>59505.514292943313</v>
      </c>
      <c r="N84" s="165">
        <f t="shared" si="36"/>
        <v>2.383758546615003E-2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8.6311844399359107E-3</v>
      </c>
      <c r="F85" s="165">
        <f t="shared" si="28"/>
        <v>2890623.4288285198</v>
      </c>
      <c r="G85" s="165">
        <f t="shared" si="31"/>
        <v>319513.84764765995</v>
      </c>
      <c r="H85" s="165">
        <f t="shared" si="32"/>
        <v>8.6311844399359107E-3</v>
      </c>
      <c r="I85" s="165">
        <f t="shared" si="33"/>
        <v>4.5021424585509106E-3</v>
      </c>
      <c r="J85" s="172">
        <f t="shared" si="30"/>
        <v>4316.3302426303162</v>
      </c>
      <c r="K85" s="172">
        <f t="shared" si="29"/>
        <v>7.5</v>
      </c>
      <c r="L85" s="165">
        <f t="shared" si="34"/>
        <v>1438.4968595894968</v>
      </c>
      <c r="M85" s="165">
        <f t="shared" si="35"/>
        <v>32372.476819727373</v>
      </c>
      <c r="N85" s="165">
        <f t="shared" si="36"/>
        <v>4.4435798582853417E-2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4.1290419813850001E-3</v>
      </c>
      <c r="F86" s="165">
        <f t="shared" si="28"/>
        <v>3293532.8006866099</v>
      </c>
      <c r="G86" s="165">
        <f t="shared" si="31"/>
        <v>402909.37185809016</v>
      </c>
      <c r="H86" s="165">
        <f t="shared" si="32"/>
        <v>4.1290419813850001E-3</v>
      </c>
      <c r="I86" s="165">
        <f t="shared" si="33"/>
        <v>4.1290419813850001E-3</v>
      </c>
      <c r="J86" s="172">
        <f t="shared" si="30"/>
        <v>2588.9069574365235</v>
      </c>
      <c r="K86" s="172">
        <f t="shared" si="29"/>
        <v>4</v>
      </c>
      <c r="L86" s="165">
        <f t="shared" si="34"/>
        <v>1663.6297110955145</v>
      </c>
      <c r="M86" s="165">
        <f t="shared" si="35"/>
        <v>10355.627829746094</v>
      </c>
      <c r="N86" s="165">
        <f t="shared" si="36"/>
        <v>0.16064981654871857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5"/>
      <c r="D104" s="205"/>
      <c r="E104" s="205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2021-05-22T14:03:52Z</dcterms:modified>
</cp:coreProperties>
</file>