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8.xml" ContentType="application/vnd.openxmlformats-officedocument.drawing+xml"/>
  <Override PartName="/xl/ctrlProps/ctrlProp8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Documentos\Maestria Unitec\Seminario Cientifico\MODELO EDIFICIO\VOLUMENES DE EDIFICIOS\TABULACIONES\CASO 3\"/>
    </mc:Choice>
  </mc:AlternateContent>
  <bookViews>
    <workbookView xWindow="0" yWindow="0" windowWidth="23040" windowHeight="9972" tabRatio="830"/>
  </bookViews>
  <sheets>
    <sheet name="DIRECTOR" sheetId="18" r:id="rId1"/>
    <sheet name="Carga muerta y viva" sheetId="1" r:id="rId2"/>
    <sheet name="ESPECTROS HONDURAS" sheetId="12" r:id="rId3"/>
    <sheet name="Centers of Mass and Rigidity" sheetId="3" r:id="rId4"/>
    <sheet name="Story Forces Inicial" sheetId="13" r:id="rId5"/>
    <sheet name="Sismo UBC-94 y Dinamico" sheetId="4" r:id="rId6"/>
    <sheet name="Story Stiffness" sheetId="14" r:id="rId7"/>
    <sheet name="Story Forces Final" sheetId="15" r:id="rId8"/>
    <sheet name="Story Max Avg Displacements" sheetId="16" r:id="rId9"/>
    <sheet name="Story Drifts" sheetId="17" r:id="rId10"/>
    <sheet name="Derivas por EQ Manual" sheetId="6" r:id="rId11"/>
    <sheet name="Irre. Torsional" sheetId="8" r:id="rId12"/>
    <sheet name="Irre. Piso Suave" sheetId="9" r:id="rId13"/>
    <sheet name="Irre. Masa" sheetId="10" r:id="rId14"/>
    <sheet name="P-Delta" sheetId="11" r:id="rId15"/>
  </sheets>
  <definedNames>
    <definedName name="_xlnm._FilterDatabase" localSheetId="7" hidden="1">'Story Forces Final'!$B$5:$L$115</definedName>
    <definedName name="_xlnm._FilterDatabase" localSheetId="4" hidden="1">'Story Forces Inicial'!$B$5:$K$49</definedName>
    <definedName name="_xlnm._FilterDatabase" localSheetId="6" hidden="1">'Story Stiffness'!$B$5:$I$49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61" i="8" l="1"/>
  <c r="H62" i="8"/>
  <c r="H63" i="8"/>
  <c r="H64" i="8"/>
  <c r="H65" i="8"/>
  <c r="H66" i="8"/>
  <c r="H67" i="8"/>
  <c r="H68" i="8"/>
  <c r="H69" i="8"/>
  <c r="H70" i="8"/>
  <c r="H60" i="8"/>
  <c r="H43" i="8"/>
  <c r="H44" i="8"/>
  <c r="H45" i="8"/>
  <c r="H46" i="8"/>
  <c r="H47" i="8"/>
  <c r="H48" i="8"/>
  <c r="H49" i="8"/>
  <c r="H50" i="8"/>
  <c r="H51" i="8"/>
  <c r="H52" i="8"/>
  <c r="H42" i="8"/>
  <c r="C5" i="3" l="1"/>
  <c r="D5" i="3"/>
  <c r="E5" i="3"/>
  <c r="F5" i="3"/>
  <c r="G5" i="3"/>
  <c r="H5" i="3"/>
  <c r="I5" i="3"/>
  <c r="J5" i="3"/>
  <c r="K5" i="3"/>
  <c r="L5" i="3"/>
  <c r="M5" i="3"/>
  <c r="C6" i="3"/>
  <c r="D6" i="3"/>
  <c r="E6" i="3"/>
  <c r="F6" i="3"/>
  <c r="G6" i="3"/>
  <c r="H6" i="3"/>
  <c r="I6" i="3"/>
  <c r="J6" i="3"/>
  <c r="K6" i="3"/>
  <c r="L6" i="3"/>
  <c r="M6" i="3"/>
  <c r="C7" i="3"/>
  <c r="D7" i="3"/>
  <c r="E7" i="3"/>
  <c r="F7" i="3"/>
  <c r="G7" i="3"/>
  <c r="H7" i="3"/>
  <c r="I7" i="3"/>
  <c r="J7" i="3"/>
  <c r="K7" i="3"/>
  <c r="L7" i="3"/>
  <c r="M7" i="3"/>
  <c r="C8" i="3"/>
  <c r="D8" i="3"/>
  <c r="E8" i="3"/>
  <c r="F8" i="3"/>
  <c r="G8" i="3"/>
  <c r="H8" i="3"/>
  <c r="I8" i="3"/>
  <c r="J8" i="3"/>
  <c r="K8" i="3"/>
  <c r="L8" i="3"/>
  <c r="M8" i="3"/>
  <c r="C9" i="3"/>
  <c r="D9" i="3"/>
  <c r="E9" i="3"/>
  <c r="F9" i="3"/>
  <c r="G9" i="3"/>
  <c r="H9" i="3"/>
  <c r="I9" i="3"/>
  <c r="J9" i="3"/>
  <c r="K9" i="3"/>
  <c r="L9" i="3"/>
  <c r="M9" i="3"/>
  <c r="C10" i="3"/>
  <c r="D10" i="3"/>
  <c r="E10" i="3"/>
  <c r="F10" i="3"/>
  <c r="G10" i="3"/>
  <c r="H10" i="3"/>
  <c r="I10" i="3"/>
  <c r="J10" i="3"/>
  <c r="K10" i="3"/>
  <c r="L10" i="3"/>
  <c r="M10" i="3"/>
  <c r="C11" i="3"/>
  <c r="D11" i="3"/>
  <c r="E11" i="3"/>
  <c r="F11" i="3"/>
  <c r="G11" i="3"/>
  <c r="H11" i="3"/>
  <c r="I11" i="3"/>
  <c r="J11" i="3"/>
  <c r="K11" i="3"/>
  <c r="L11" i="3"/>
  <c r="M11" i="3"/>
  <c r="C12" i="3"/>
  <c r="D12" i="3"/>
  <c r="E12" i="3"/>
  <c r="F12" i="3"/>
  <c r="G12" i="3"/>
  <c r="H12" i="3"/>
  <c r="I12" i="3"/>
  <c r="J12" i="3"/>
  <c r="K12" i="3"/>
  <c r="L12" i="3"/>
  <c r="M12" i="3"/>
  <c r="C13" i="3"/>
  <c r="D13" i="3"/>
  <c r="E13" i="3"/>
  <c r="F13" i="3"/>
  <c r="G13" i="3"/>
  <c r="H13" i="3"/>
  <c r="I13" i="3"/>
  <c r="J13" i="3"/>
  <c r="K13" i="3"/>
  <c r="L13" i="3"/>
  <c r="M13" i="3"/>
  <c r="C14" i="3"/>
  <c r="D14" i="3"/>
  <c r="E14" i="3"/>
  <c r="F14" i="3"/>
  <c r="G14" i="3"/>
  <c r="H14" i="3"/>
  <c r="I14" i="3"/>
  <c r="J14" i="3"/>
  <c r="K14" i="3"/>
  <c r="L14" i="3"/>
  <c r="M14" i="3"/>
  <c r="C15" i="3"/>
  <c r="D15" i="3"/>
  <c r="E15" i="3"/>
  <c r="F15" i="3"/>
  <c r="G15" i="3"/>
  <c r="H15" i="3"/>
  <c r="I15" i="3"/>
  <c r="J15" i="3"/>
  <c r="K15" i="3"/>
  <c r="L15" i="3"/>
  <c r="M15" i="3"/>
  <c r="B15" i="3"/>
  <c r="B14" i="3"/>
  <c r="B13" i="3"/>
  <c r="B12" i="3"/>
  <c r="B11" i="3"/>
  <c r="B10" i="3"/>
  <c r="B9" i="3"/>
  <c r="B8" i="3"/>
  <c r="B7" i="3"/>
  <c r="B6" i="3"/>
  <c r="B5" i="3"/>
  <c r="F44" i="6" l="1"/>
  <c r="F51" i="6" s="1"/>
  <c r="F72" i="6" s="1"/>
  <c r="F6" i="6"/>
  <c r="F13" i="6" s="1"/>
  <c r="F32" i="6" s="1"/>
  <c r="O70" i="8"/>
  <c r="N70" i="8"/>
  <c r="O69" i="8"/>
  <c r="N69" i="8"/>
  <c r="O68" i="8"/>
  <c r="N68" i="8"/>
  <c r="O67" i="8"/>
  <c r="N67" i="8"/>
  <c r="O66" i="8"/>
  <c r="N66" i="8"/>
  <c r="O65" i="8"/>
  <c r="N65" i="8"/>
  <c r="O64" i="8"/>
  <c r="N64" i="8"/>
  <c r="O63" i="8"/>
  <c r="N63" i="8"/>
  <c r="O62" i="8"/>
  <c r="N62" i="8"/>
  <c r="O61" i="8"/>
  <c r="N61" i="8"/>
  <c r="O60" i="8"/>
  <c r="N60" i="8"/>
  <c r="O52" i="8"/>
  <c r="N52" i="8"/>
  <c r="O51" i="8"/>
  <c r="N51" i="8"/>
  <c r="O50" i="8"/>
  <c r="N50" i="8"/>
  <c r="O49" i="8"/>
  <c r="N49" i="8"/>
  <c r="O48" i="8"/>
  <c r="N48" i="8"/>
  <c r="O47" i="8"/>
  <c r="N47" i="8"/>
  <c r="O46" i="8"/>
  <c r="N46" i="8"/>
  <c r="O45" i="8"/>
  <c r="N45" i="8"/>
  <c r="O44" i="8"/>
  <c r="N44" i="8"/>
  <c r="O43" i="8"/>
  <c r="N43" i="8"/>
  <c r="O42" i="8"/>
  <c r="N42" i="8"/>
  <c r="O34" i="8"/>
  <c r="N34" i="8"/>
  <c r="O33" i="8"/>
  <c r="N33" i="8"/>
  <c r="O32" i="8"/>
  <c r="N32" i="8"/>
  <c r="O31" i="8"/>
  <c r="N31" i="8"/>
  <c r="O30" i="8"/>
  <c r="N30" i="8"/>
  <c r="O29" i="8"/>
  <c r="N29" i="8"/>
  <c r="O28" i="8"/>
  <c r="N28" i="8"/>
  <c r="O27" i="8"/>
  <c r="N27" i="8"/>
  <c r="O26" i="8"/>
  <c r="N26" i="8"/>
  <c r="O25" i="8"/>
  <c r="N25" i="8"/>
  <c r="O24" i="8"/>
  <c r="N24" i="8"/>
  <c r="N7" i="8"/>
  <c r="O7" i="8"/>
  <c r="N8" i="8"/>
  <c r="O8" i="8"/>
  <c r="N9" i="8"/>
  <c r="O9" i="8"/>
  <c r="N10" i="8"/>
  <c r="O10" i="8"/>
  <c r="N11" i="8"/>
  <c r="O11" i="8"/>
  <c r="N12" i="8"/>
  <c r="O12" i="8"/>
  <c r="N13" i="8"/>
  <c r="O13" i="8"/>
  <c r="N14" i="8"/>
  <c r="O14" i="8"/>
  <c r="N15" i="8"/>
  <c r="O15" i="8"/>
  <c r="N16" i="8"/>
  <c r="O16" i="8"/>
  <c r="O6" i="8"/>
  <c r="N6" i="8"/>
  <c r="F45" i="6" l="1"/>
  <c r="F66" i="6" s="1"/>
  <c r="F17" i="6"/>
  <c r="F36" i="6" s="1"/>
  <c r="F55" i="6"/>
  <c r="F76" i="6" s="1"/>
  <c r="F47" i="6"/>
  <c r="F68" i="6" s="1"/>
  <c r="F12" i="6"/>
  <c r="F31" i="6" s="1"/>
  <c r="F50" i="6"/>
  <c r="F71" i="6" s="1"/>
  <c r="F11" i="6"/>
  <c r="F30" i="6" s="1"/>
  <c r="F49" i="6"/>
  <c r="F70" i="6" s="1"/>
  <c r="F10" i="6"/>
  <c r="F29" i="6" s="1"/>
  <c r="F9" i="6"/>
  <c r="F28" i="6" s="1"/>
  <c r="F16" i="6"/>
  <c r="F35" i="6" s="1"/>
  <c r="F8" i="6"/>
  <c r="F27" i="6" s="1"/>
  <c r="F54" i="6"/>
  <c r="F75" i="6" s="1"/>
  <c r="F46" i="6"/>
  <c r="F67" i="6" s="1"/>
  <c r="F15" i="6"/>
  <c r="F34" i="6" s="1"/>
  <c r="F25" i="6"/>
  <c r="F53" i="6"/>
  <c r="F74" i="6" s="1"/>
  <c r="F65" i="6"/>
  <c r="F7" i="6"/>
  <c r="F26" i="6" s="1"/>
  <c r="F48" i="6"/>
  <c r="F69" i="6" s="1"/>
  <c r="F14" i="6"/>
  <c r="F33" i="6" s="1"/>
  <c r="F52" i="6"/>
  <c r="F73" i="6" s="1"/>
  <c r="E77" i="11"/>
  <c r="E78" i="11"/>
  <c r="E79" i="11"/>
  <c r="E80" i="11"/>
  <c r="E81" i="11"/>
  <c r="E82" i="11"/>
  <c r="E83" i="11"/>
  <c r="E84" i="11"/>
  <c r="E85" i="11"/>
  <c r="E86" i="11"/>
  <c r="E76" i="11"/>
  <c r="E59" i="11"/>
  <c r="E60" i="11"/>
  <c r="E61" i="11"/>
  <c r="E62" i="11"/>
  <c r="E63" i="11"/>
  <c r="E64" i="11"/>
  <c r="E65" i="11"/>
  <c r="E66" i="11"/>
  <c r="E67" i="11"/>
  <c r="E68" i="11"/>
  <c r="E58" i="11"/>
  <c r="E41" i="11"/>
  <c r="E42" i="11"/>
  <c r="E43" i="11"/>
  <c r="E44" i="11"/>
  <c r="E45" i="11"/>
  <c r="E46" i="11"/>
  <c r="E47" i="11"/>
  <c r="E48" i="11"/>
  <c r="E49" i="11"/>
  <c r="E50" i="11"/>
  <c r="E40" i="11"/>
  <c r="E23" i="11"/>
  <c r="E24" i="11"/>
  <c r="E25" i="11"/>
  <c r="E26" i="11"/>
  <c r="E27" i="11"/>
  <c r="E28" i="11"/>
  <c r="E29" i="11"/>
  <c r="E30" i="11"/>
  <c r="E31" i="11"/>
  <c r="E32" i="11"/>
  <c r="E22" i="11"/>
  <c r="K77" i="11" l="1"/>
  <c r="K78" i="11"/>
  <c r="K79" i="11"/>
  <c r="K80" i="11"/>
  <c r="K81" i="11"/>
  <c r="K82" i="11"/>
  <c r="K83" i="11"/>
  <c r="K84" i="11"/>
  <c r="K85" i="11"/>
  <c r="K86" i="11"/>
  <c r="K76" i="11"/>
  <c r="K59" i="11"/>
  <c r="K60" i="11"/>
  <c r="K61" i="11"/>
  <c r="K62" i="11"/>
  <c r="K63" i="11"/>
  <c r="K64" i="11"/>
  <c r="K65" i="11"/>
  <c r="K66" i="11"/>
  <c r="K67" i="11"/>
  <c r="K68" i="11"/>
  <c r="K58" i="11"/>
  <c r="K41" i="11"/>
  <c r="K42" i="11"/>
  <c r="K43" i="11"/>
  <c r="K44" i="11"/>
  <c r="K45" i="11"/>
  <c r="K46" i="11"/>
  <c r="K47" i="11"/>
  <c r="K48" i="11"/>
  <c r="K49" i="11"/>
  <c r="K50" i="11"/>
  <c r="K40" i="11"/>
  <c r="K23" i="11"/>
  <c r="K24" i="11"/>
  <c r="K25" i="11"/>
  <c r="K26" i="11"/>
  <c r="K27" i="11"/>
  <c r="K28" i="11"/>
  <c r="K29" i="11"/>
  <c r="K30" i="11"/>
  <c r="K31" i="11"/>
  <c r="K32" i="11"/>
  <c r="K22" i="11"/>
  <c r="E7" i="10"/>
  <c r="E8" i="10"/>
  <c r="E9" i="10"/>
  <c r="E10" i="10"/>
  <c r="E11" i="10"/>
  <c r="E12" i="10"/>
  <c r="E13" i="10"/>
  <c r="E14" i="10"/>
  <c r="E15" i="10"/>
  <c r="E16" i="10"/>
  <c r="E17" i="10"/>
  <c r="D8" i="10"/>
  <c r="D9" i="10"/>
  <c r="D10" i="10"/>
  <c r="D11" i="10"/>
  <c r="D12" i="10"/>
  <c r="D13" i="10"/>
  <c r="D14" i="10"/>
  <c r="D15" i="10"/>
  <c r="D16" i="10"/>
  <c r="D17" i="10"/>
  <c r="D7" i="10"/>
  <c r="G46" i="6"/>
  <c r="G47" i="6"/>
  <c r="G48" i="6"/>
  <c r="G49" i="6"/>
  <c r="G50" i="6"/>
  <c r="G51" i="6"/>
  <c r="G52" i="6"/>
  <c r="G53" i="6"/>
  <c r="G54" i="6"/>
  <c r="G55" i="6"/>
  <c r="G45" i="6"/>
  <c r="G67" i="6"/>
  <c r="G68" i="6"/>
  <c r="G69" i="6"/>
  <c r="G70" i="6"/>
  <c r="G71" i="6"/>
  <c r="G72" i="6"/>
  <c r="G73" i="6"/>
  <c r="G74" i="6"/>
  <c r="G75" i="6"/>
  <c r="G76" i="6"/>
  <c r="G66" i="6"/>
  <c r="H81" i="11" l="1"/>
  <c r="H82" i="11"/>
  <c r="H83" i="11"/>
  <c r="H84" i="11"/>
  <c r="H85" i="11"/>
  <c r="H86" i="11"/>
  <c r="I86" i="11" s="1"/>
  <c r="F77" i="11"/>
  <c r="F78" i="11"/>
  <c r="F79" i="11"/>
  <c r="F80" i="11"/>
  <c r="F81" i="11"/>
  <c r="F82" i="11"/>
  <c r="F83" i="11"/>
  <c r="F84" i="11"/>
  <c r="F85" i="11"/>
  <c r="F86" i="11"/>
  <c r="F76" i="11"/>
  <c r="H63" i="11"/>
  <c r="H64" i="11"/>
  <c r="H65" i="11"/>
  <c r="H66" i="11"/>
  <c r="H67" i="11"/>
  <c r="H68" i="11"/>
  <c r="I68" i="11" s="1"/>
  <c r="F59" i="11"/>
  <c r="F60" i="11"/>
  <c r="F61" i="11"/>
  <c r="F62" i="11"/>
  <c r="F63" i="11"/>
  <c r="F64" i="11"/>
  <c r="F65" i="11"/>
  <c r="F66" i="11"/>
  <c r="F67" i="11"/>
  <c r="F68" i="11"/>
  <c r="F58" i="11"/>
  <c r="F41" i="11"/>
  <c r="G41" i="11" s="1"/>
  <c r="F42" i="11"/>
  <c r="F43" i="11"/>
  <c r="F44" i="11"/>
  <c r="F45" i="11"/>
  <c r="F46" i="11"/>
  <c r="F47" i="11"/>
  <c r="F48" i="11"/>
  <c r="F49" i="11"/>
  <c r="F50" i="11"/>
  <c r="F40" i="11"/>
  <c r="H50" i="11"/>
  <c r="I50" i="11" s="1"/>
  <c r="H49" i="11"/>
  <c r="H48" i="11"/>
  <c r="H47" i="11"/>
  <c r="H46" i="11"/>
  <c r="H45" i="11"/>
  <c r="H44" i="11"/>
  <c r="H43" i="11"/>
  <c r="H42" i="11"/>
  <c r="H41" i="11"/>
  <c r="H40" i="11"/>
  <c r="H27" i="11"/>
  <c r="H28" i="11"/>
  <c r="H29" i="11"/>
  <c r="H30" i="11"/>
  <c r="H31" i="11"/>
  <c r="H32" i="11"/>
  <c r="I32" i="11" s="1"/>
  <c r="F23" i="11"/>
  <c r="F24" i="11"/>
  <c r="F25" i="11"/>
  <c r="F26" i="11"/>
  <c r="F27" i="11"/>
  <c r="F28" i="11"/>
  <c r="F29" i="11"/>
  <c r="F30" i="11"/>
  <c r="F31" i="11"/>
  <c r="F32" i="11"/>
  <c r="F22" i="11"/>
  <c r="F12" i="10"/>
  <c r="G12" i="10" s="1"/>
  <c r="F13" i="10"/>
  <c r="F14" i="10"/>
  <c r="G14" i="10" s="1"/>
  <c r="F15" i="10"/>
  <c r="G15" i="10" s="1"/>
  <c r="F16" i="10"/>
  <c r="G16" i="10" s="1"/>
  <c r="F17" i="10"/>
  <c r="G17" i="10" s="1"/>
  <c r="E62" i="9"/>
  <c r="F63" i="9" s="1"/>
  <c r="G62" i="9"/>
  <c r="E63" i="9"/>
  <c r="F64" i="9" s="1"/>
  <c r="G63" i="9"/>
  <c r="E64" i="9"/>
  <c r="F65" i="9" s="1"/>
  <c r="G64" i="9"/>
  <c r="E65" i="9"/>
  <c r="F66" i="9" s="1"/>
  <c r="G65" i="9"/>
  <c r="E66" i="9"/>
  <c r="F67" i="9" s="1"/>
  <c r="G66" i="9"/>
  <c r="E67" i="9"/>
  <c r="G67" i="9"/>
  <c r="E45" i="9"/>
  <c r="F46" i="9" s="1"/>
  <c r="G45" i="9"/>
  <c r="E46" i="9"/>
  <c r="F47" i="9" s="1"/>
  <c r="G46" i="9"/>
  <c r="E47" i="9"/>
  <c r="F48" i="9" s="1"/>
  <c r="G47" i="9"/>
  <c r="E48" i="9"/>
  <c r="F49" i="9" s="1"/>
  <c r="G48" i="9"/>
  <c r="E49" i="9"/>
  <c r="F50" i="9" s="1"/>
  <c r="G49" i="9"/>
  <c r="E50" i="9"/>
  <c r="G50" i="9"/>
  <c r="E28" i="9"/>
  <c r="F29" i="9" s="1"/>
  <c r="G28" i="9"/>
  <c r="E29" i="9"/>
  <c r="F30" i="9" s="1"/>
  <c r="G29" i="9"/>
  <c r="E30" i="9"/>
  <c r="F31" i="9" s="1"/>
  <c r="G30" i="9"/>
  <c r="E31" i="9"/>
  <c r="F32" i="9" s="1"/>
  <c r="G31" i="9"/>
  <c r="E32" i="9"/>
  <c r="F33" i="9" s="1"/>
  <c r="G32" i="9"/>
  <c r="E33" i="9"/>
  <c r="G33" i="9"/>
  <c r="E11" i="9"/>
  <c r="F12" i="9" s="1"/>
  <c r="G11" i="9"/>
  <c r="E12" i="9"/>
  <c r="F13" i="9" s="1"/>
  <c r="G12" i="9"/>
  <c r="E13" i="9"/>
  <c r="F14" i="9" s="1"/>
  <c r="G13" i="9"/>
  <c r="E14" i="9"/>
  <c r="F15" i="9" s="1"/>
  <c r="G14" i="9"/>
  <c r="E15" i="9"/>
  <c r="F16" i="9" s="1"/>
  <c r="G15" i="9"/>
  <c r="E16" i="9"/>
  <c r="G16" i="9"/>
  <c r="E6" i="9"/>
  <c r="F7" i="9" s="1"/>
  <c r="F6" i="9"/>
  <c r="E7" i="9"/>
  <c r="F8" i="9" s="1"/>
  <c r="E8" i="9"/>
  <c r="F9" i="9" s="1"/>
  <c r="E9" i="9"/>
  <c r="F10" i="9" s="1"/>
  <c r="E10" i="9"/>
  <c r="F11" i="9" s="1"/>
  <c r="H29" i="8"/>
  <c r="H30" i="8"/>
  <c r="H31" i="8"/>
  <c r="H32" i="8"/>
  <c r="H33" i="8"/>
  <c r="H34" i="8"/>
  <c r="I11" i="8"/>
  <c r="I29" i="8" s="1"/>
  <c r="I47" i="8" s="1"/>
  <c r="I65" i="8" s="1"/>
  <c r="J11" i="8"/>
  <c r="J29" i="8" s="1"/>
  <c r="J47" i="8" s="1"/>
  <c r="J65" i="8" s="1"/>
  <c r="I12" i="8"/>
  <c r="I30" i="8" s="1"/>
  <c r="I48" i="8" s="1"/>
  <c r="I66" i="8" s="1"/>
  <c r="J12" i="8"/>
  <c r="J30" i="8" s="1"/>
  <c r="J48" i="8" s="1"/>
  <c r="J66" i="8" s="1"/>
  <c r="I13" i="8"/>
  <c r="J13" i="8"/>
  <c r="I14" i="8"/>
  <c r="I32" i="8" s="1"/>
  <c r="I50" i="8" s="1"/>
  <c r="I68" i="8" s="1"/>
  <c r="J14" i="8"/>
  <c r="J32" i="8" s="1"/>
  <c r="J50" i="8" s="1"/>
  <c r="J68" i="8" s="1"/>
  <c r="I15" i="8"/>
  <c r="I33" i="8" s="1"/>
  <c r="I51" i="8" s="1"/>
  <c r="I69" i="8" s="1"/>
  <c r="J15" i="8"/>
  <c r="I16" i="8"/>
  <c r="I34" i="8" s="1"/>
  <c r="I52" i="8" s="1"/>
  <c r="I70" i="8" s="1"/>
  <c r="J16" i="8"/>
  <c r="H11" i="8"/>
  <c r="H12" i="8"/>
  <c r="H13" i="8"/>
  <c r="H14" i="8"/>
  <c r="H15" i="8"/>
  <c r="H16" i="8"/>
  <c r="I13" i="6"/>
  <c r="I14" i="6"/>
  <c r="I15" i="6"/>
  <c r="I16" i="6"/>
  <c r="I17" i="6"/>
  <c r="I32" i="6"/>
  <c r="I33" i="6"/>
  <c r="I34" i="6"/>
  <c r="I35" i="6"/>
  <c r="I36" i="6"/>
  <c r="I51" i="6"/>
  <c r="I52" i="6"/>
  <c r="I53" i="6"/>
  <c r="I54" i="6"/>
  <c r="I55" i="6"/>
  <c r="I72" i="6"/>
  <c r="I73" i="6"/>
  <c r="I74" i="6"/>
  <c r="I75" i="6"/>
  <c r="I76" i="6"/>
  <c r="G32" i="6"/>
  <c r="G33" i="6"/>
  <c r="G34" i="6"/>
  <c r="G35" i="6"/>
  <c r="G36" i="6"/>
  <c r="G13" i="6"/>
  <c r="G14" i="6"/>
  <c r="G15" i="6"/>
  <c r="G16" i="6"/>
  <c r="G17" i="6"/>
  <c r="G46" i="11" l="1"/>
  <c r="G84" i="11"/>
  <c r="I83" i="11"/>
  <c r="G85" i="11"/>
  <c r="I45" i="11"/>
  <c r="H48" i="9"/>
  <c r="H50" i="9"/>
  <c r="I82" i="11"/>
  <c r="I47" i="11"/>
  <c r="H31" i="9"/>
  <c r="G44" i="11"/>
  <c r="G64" i="11"/>
  <c r="G83" i="11"/>
  <c r="L83" i="11" s="1"/>
  <c r="G81" i="11"/>
  <c r="G31" i="11"/>
  <c r="G65" i="11"/>
  <c r="G50" i="11"/>
  <c r="L50" i="11" s="1"/>
  <c r="G42" i="11"/>
  <c r="G63" i="11"/>
  <c r="G82" i="11"/>
  <c r="G48" i="11"/>
  <c r="H33" i="9"/>
  <c r="I66" i="11"/>
  <c r="I31" i="11"/>
  <c r="I28" i="11"/>
  <c r="I63" i="11"/>
  <c r="I43" i="11"/>
  <c r="I40" i="11"/>
  <c r="L40" i="11" s="1"/>
  <c r="I30" i="11"/>
  <c r="I27" i="11"/>
  <c r="G27" i="11"/>
  <c r="G67" i="11"/>
  <c r="G29" i="11"/>
  <c r="G45" i="11"/>
  <c r="G66" i="11"/>
  <c r="G86" i="11"/>
  <c r="L86" i="11" s="1"/>
  <c r="H49" i="9"/>
  <c r="H16" i="9"/>
  <c r="I85" i="11"/>
  <c r="I81" i="11"/>
  <c r="I65" i="11"/>
  <c r="I64" i="11"/>
  <c r="H16" i="10"/>
  <c r="H17" i="10"/>
  <c r="H13" i="10"/>
  <c r="I84" i="11"/>
  <c r="I67" i="11"/>
  <c r="I42" i="11"/>
  <c r="I29" i="11"/>
  <c r="G68" i="11"/>
  <c r="L68" i="11" s="1"/>
  <c r="H66" i="9"/>
  <c r="H67" i="9"/>
  <c r="G13" i="10"/>
  <c r="H14" i="10" s="1"/>
  <c r="H15" i="10"/>
  <c r="J31" i="8"/>
  <c r="J49" i="8" s="1"/>
  <c r="J67" i="8" s="1"/>
  <c r="J33" i="8"/>
  <c r="J51" i="8" s="1"/>
  <c r="J69" i="8" s="1"/>
  <c r="I31" i="8"/>
  <c r="I49" i="8" s="1"/>
  <c r="I67" i="8" s="1"/>
  <c r="J34" i="8"/>
  <c r="J52" i="8" s="1"/>
  <c r="J70" i="8" s="1"/>
  <c r="I48" i="11"/>
  <c r="I41" i="11"/>
  <c r="L41" i="11" s="1"/>
  <c r="I46" i="11"/>
  <c r="I49" i="11"/>
  <c r="I44" i="11"/>
  <c r="G49" i="11"/>
  <c r="G43" i="11"/>
  <c r="G47" i="11"/>
  <c r="G30" i="11"/>
  <c r="G32" i="11"/>
  <c r="L32" i="11" s="1"/>
  <c r="G28" i="11"/>
  <c r="H65" i="9"/>
  <c r="H32" i="9"/>
  <c r="H14" i="9"/>
  <c r="H15" i="9"/>
  <c r="M7" i="4"/>
  <c r="J6" i="8"/>
  <c r="J7" i="8"/>
  <c r="J8" i="8"/>
  <c r="J9" i="8"/>
  <c r="J10" i="8"/>
  <c r="I7" i="8"/>
  <c r="I8" i="8"/>
  <c r="I9" i="8"/>
  <c r="I10" i="8"/>
  <c r="I6" i="8"/>
  <c r="L46" i="11" l="1"/>
  <c r="L65" i="11"/>
  <c r="L84" i="11"/>
  <c r="L85" i="11"/>
  <c r="L81" i="11"/>
  <c r="L43" i="11"/>
  <c r="L45" i="11"/>
  <c r="L30" i="11"/>
  <c r="L64" i="11"/>
  <c r="L82" i="11"/>
  <c r="L63" i="11"/>
  <c r="L47" i="11"/>
  <c r="L31" i="11"/>
  <c r="L29" i="11"/>
  <c r="L44" i="11"/>
  <c r="L48" i="11"/>
  <c r="L27" i="11"/>
  <c r="L42" i="11"/>
  <c r="L66" i="11"/>
  <c r="L28" i="11"/>
  <c r="L67" i="11"/>
  <c r="L49" i="11"/>
  <c r="M56" i="4" l="1"/>
  <c r="M55" i="4"/>
  <c r="N20" i="4"/>
  <c r="N21" i="4"/>
  <c r="N22" i="4"/>
  <c r="N23" i="4"/>
  <c r="N24" i="4"/>
  <c r="N25" i="4"/>
  <c r="M20" i="4"/>
  <c r="M21" i="4"/>
  <c r="M22" i="4"/>
  <c r="M23" i="4"/>
  <c r="M24" i="4"/>
  <c r="M25" i="4"/>
  <c r="N39" i="4"/>
  <c r="N40" i="4"/>
  <c r="N41" i="4"/>
  <c r="N42" i="4"/>
  <c r="N43" i="4"/>
  <c r="N44" i="4"/>
  <c r="M39" i="4"/>
  <c r="M40" i="4"/>
  <c r="M41" i="4"/>
  <c r="M42" i="4"/>
  <c r="M43" i="4"/>
  <c r="M44" i="4"/>
  <c r="I7" i="4"/>
  <c r="I8" i="4" s="1"/>
  <c r="J83" i="1"/>
  <c r="J82" i="1"/>
  <c r="J81" i="1"/>
  <c r="J80" i="1"/>
  <c r="K83" i="1"/>
  <c r="N83" i="1" s="1"/>
  <c r="L83" i="1"/>
  <c r="O83" i="1" s="1"/>
  <c r="J77" i="1"/>
  <c r="J76" i="1"/>
  <c r="J75" i="1"/>
  <c r="J74" i="1"/>
  <c r="J71" i="1"/>
  <c r="K71" i="1" s="1"/>
  <c r="N71" i="1" s="1"/>
  <c r="J70" i="1"/>
  <c r="J69" i="1"/>
  <c r="J68" i="1"/>
  <c r="J65" i="1"/>
  <c r="J64" i="1"/>
  <c r="L64" i="1" s="1"/>
  <c r="O64" i="1" s="1"/>
  <c r="J63" i="1"/>
  <c r="J62" i="1"/>
  <c r="I83" i="1"/>
  <c r="H83" i="1"/>
  <c r="I82" i="1"/>
  <c r="H82" i="1"/>
  <c r="I81" i="1"/>
  <c r="H81" i="1"/>
  <c r="I80" i="1"/>
  <c r="H80" i="1"/>
  <c r="I77" i="1"/>
  <c r="H77" i="1"/>
  <c r="K76" i="1"/>
  <c r="I76" i="1"/>
  <c r="H76" i="1"/>
  <c r="I75" i="1"/>
  <c r="H75" i="1"/>
  <c r="I74" i="1"/>
  <c r="H74" i="1"/>
  <c r="I71" i="1"/>
  <c r="H71" i="1"/>
  <c r="I70" i="1"/>
  <c r="H70" i="1"/>
  <c r="I69" i="1"/>
  <c r="H69" i="1"/>
  <c r="I68" i="1"/>
  <c r="H68" i="1"/>
  <c r="I65" i="1"/>
  <c r="H65" i="1"/>
  <c r="I64" i="1"/>
  <c r="H64" i="1"/>
  <c r="I63" i="1"/>
  <c r="H63" i="1"/>
  <c r="I62" i="1"/>
  <c r="H62" i="1"/>
  <c r="L71" i="1" l="1"/>
  <c r="O71" i="1" s="1"/>
  <c r="K80" i="1"/>
  <c r="L80" i="1"/>
  <c r="O80" i="1" s="1"/>
  <c r="L62" i="1"/>
  <c r="O62" i="1" s="1"/>
  <c r="K62" i="1"/>
  <c r="N76" i="1"/>
  <c r="K68" i="1"/>
  <c r="L68" i="1"/>
  <c r="O68" i="1" s="1"/>
  <c r="L82" i="1"/>
  <c r="O82" i="1" s="1"/>
  <c r="K82" i="1"/>
  <c r="K77" i="1"/>
  <c r="L77" i="1"/>
  <c r="O77" i="1" s="1"/>
  <c r="L70" i="1"/>
  <c r="O70" i="1" s="1"/>
  <c r="K70" i="1"/>
  <c r="K65" i="1"/>
  <c r="L65" i="1"/>
  <c r="O65" i="1" s="1"/>
  <c r="K81" i="1"/>
  <c r="L81" i="1"/>
  <c r="O81" i="1" s="1"/>
  <c r="L63" i="1"/>
  <c r="O63" i="1" s="1"/>
  <c r="K63" i="1"/>
  <c r="L69" i="1"/>
  <c r="O69" i="1" s="1"/>
  <c r="K69" i="1"/>
  <c r="L74" i="1"/>
  <c r="O74" i="1" s="1"/>
  <c r="K74" i="1"/>
  <c r="L75" i="1"/>
  <c r="O75" i="1" s="1"/>
  <c r="K75" i="1"/>
  <c r="K64" i="1"/>
  <c r="L76" i="1"/>
  <c r="O76" i="1" s="1"/>
  <c r="M83" i="1"/>
  <c r="P83" i="1" s="1"/>
  <c r="W10" i="12"/>
  <c r="W11" i="12"/>
  <c r="W12" i="12"/>
  <c r="W13" i="12"/>
  <c r="W14" i="12"/>
  <c r="W15" i="12"/>
  <c r="W16" i="12"/>
  <c r="W17" i="12"/>
  <c r="W18" i="12"/>
  <c r="W19" i="12"/>
  <c r="W20" i="12"/>
  <c r="W21" i="12"/>
  <c r="W22" i="12"/>
  <c r="W23" i="12"/>
  <c r="W24" i="12"/>
  <c r="W25" i="12"/>
  <c r="W26" i="12"/>
  <c r="W27" i="12"/>
  <c r="W28" i="12"/>
  <c r="W29" i="12"/>
  <c r="W30" i="12"/>
  <c r="W31" i="12"/>
  <c r="W32" i="12"/>
  <c r="W33" i="12"/>
  <c r="W34" i="12"/>
  <c r="W35" i="12"/>
  <c r="W36" i="12"/>
  <c r="W37" i="12"/>
  <c r="W38" i="12"/>
  <c r="M71" i="1" l="1"/>
  <c r="P71" i="1" s="1"/>
  <c r="Q71" i="1" s="1"/>
  <c r="N65" i="1"/>
  <c r="M65" i="1"/>
  <c r="P65" i="1" s="1"/>
  <c r="N68" i="1"/>
  <c r="M68" i="1"/>
  <c r="P68" i="1" s="1"/>
  <c r="R83" i="1"/>
  <c r="Q83" i="1"/>
  <c r="M69" i="1"/>
  <c r="P69" i="1" s="1"/>
  <c r="N69" i="1"/>
  <c r="M70" i="1"/>
  <c r="P70" i="1" s="1"/>
  <c r="N70" i="1"/>
  <c r="M76" i="1"/>
  <c r="P76" i="1" s="1"/>
  <c r="N74" i="1"/>
  <c r="M74" i="1"/>
  <c r="P74" i="1" s="1"/>
  <c r="N63" i="1"/>
  <c r="M63" i="1"/>
  <c r="P63" i="1" s="1"/>
  <c r="N62" i="1"/>
  <c r="M62" i="1"/>
  <c r="P62" i="1" s="1"/>
  <c r="M80" i="1"/>
  <c r="P80" i="1" s="1"/>
  <c r="N80" i="1"/>
  <c r="M64" i="1"/>
  <c r="P64" i="1" s="1"/>
  <c r="N64" i="1"/>
  <c r="N77" i="1"/>
  <c r="M77" i="1"/>
  <c r="P77" i="1" s="1"/>
  <c r="N81" i="1"/>
  <c r="M81" i="1"/>
  <c r="P81" i="1" s="1"/>
  <c r="N75" i="1"/>
  <c r="M75" i="1"/>
  <c r="P75" i="1" s="1"/>
  <c r="M82" i="1"/>
  <c r="P82" i="1" s="1"/>
  <c r="N82" i="1"/>
  <c r="L54" i="1"/>
  <c r="L53" i="1"/>
  <c r="L52" i="1"/>
  <c r="L51" i="1"/>
  <c r="L48" i="1"/>
  <c r="L47" i="1"/>
  <c r="L46" i="1"/>
  <c r="L45" i="1"/>
  <c r="L42" i="1"/>
  <c r="L41" i="1"/>
  <c r="O41" i="1" s="1"/>
  <c r="L40" i="1"/>
  <c r="L39" i="1"/>
  <c r="O39" i="1" s="1"/>
  <c r="L34" i="1"/>
  <c r="O34" i="1" s="1"/>
  <c r="L35" i="1"/>
  <c r="O35" i="1" s="1"/>
  <c r="L36" i="1"/>
  <c r="O36" i="1" s="1"/>
  <c r="L33" i="1"/>
  <c r="O33" i="1" s="1"/>
  <c r="K54" i="1"/>
  <c r="K53" i="1"/>
  <c r="K52" i="1"/>
  <c r="N52" i="1" s="1"/>
  <c r="K51" i="1"/>
  <c r="N51" i="1" s="1"/>
  <c r="K48" i="1"/>
  <c r="K47" i="1"/>
  <c r="O47" i="1" s="1"/>
  <c r="K46" i="1"/>
  <c r="N46" i="1" s="1"/>
  <c r="K45" i="1"/>
  <c r="N45" i="1" s="1"/>
  <c r="K42" i="1"/>
  <c r="K41" i="1"/>
  <c r="K40" i="1"/>
  <c r="K39" i="1"/>
  <c r="K34" i="1"/>
  <c r="K35" i="1"/>
  <c r="N35" i="1" s="1"/>
  <c r="K36" i="1"/>
  <c r="K33" i="1"/>
  <c r="N33" i="1" s="1"/>
  <c r="N53" i="1"/>
  <c r="N47" i="1"/>
  <c r="N41" i="1"/>
  <c r="N40" i="1"/>
  <c r="N39" i="1"/>
  <c r="N34" i="1"/>
  <c r="N36" i="1"/>
  <c r="H52" i="1"/>
  <c r="H53" i="1"/>
  <c r="H54" i="1"/>
  <c r="H51" i="1"/>
  <c r="I52" i="1"/>
  <c r="I53" i="1"/>
  <c r="I54" i="1"/>
  <c r="I51" i="1"/>
  <c r="I46" i="1"/>
  <c r="I47" i="1"/>
  <c r="I48" i="1"/>
  <c r="I45" i="1"/>
  <c r="H46" i="1"/>
  <c r="H47" i="1"/>
  <c r="H48" i="1"/>
  <c r="J48" i="1" s="1"/>
  <c r="H45" i="1"/>
  <c r="J54" i="1"/>
  <c r="I40" i="1"/>
  <c r="I41" i="1"/>
  <c r="I42" i="1"/>
  <c r="I39" i="1"/>
  <c r="I34" i="1"/>
  <c r="I35" i="1"/>
  <c r="I36" i="1"/>
  <c r="I33" i="1"/>
  <c r="H40" i="1"/>
  <c r="H41" i="1"/>
  <c r="H42" i="1"/>
  <c r="H39" i="1"/>
  <c r="H34" i="1"/>
  <c r="H35" i="1"/>
  <c r="H36" i="1"/>
  <c r="H33" i="1"/>
  <c r="D38" i="1"/>
  <c r="C38" i="1"/>
  <c r="D37" i="1"/>
  <c r="C37" i="1"/>
  <c r="C34" i="1"/>
  <c r="D9" i="1"/>
  <c r="D8" i="1"/>
  <c r="C8" i="1"/>
  <c r="R71" i="1" l="1"/>
  <c r="R69" i="1"/>
  <c r="Q69" i="1"/>
  <c r="Q75" i="1"/>
  <c r="R75" i="1"/>
  <c r="R80" i="1"/>
  <c r="Q80" i="1"/>
  <c r="R68" i="1"/>
  <c r="Q68" i="1"/>
  <c r="R82" i="1"/>
  <c r="Q82" i="1"/>
  <c r="Q74" i="1"/>
  <c r="R74" i="1"/>
  <c r="R81" i="1"/>
  <c r="Q81" i="1"/>
  <c r="R62" i="1"/>
  <c r="Q62" i="1"/>
  <c r="Q76" i="1"/>
  <c r="R76" i="1"/>
  <c r="Q64" i="1"/>
  <c r="R64" i="1"/>
  <c r="R65" i="1"/>
  <c r="Q65" i="1"/>
  <c r="Q77" i="1"/>
  <c r="R77" i="1"/>
  <c r="Q63" i="1"/>
  <c r="R63" i="1"/>
  <c r="Q70" i="1"/>
  <c r="R70" i="1"/>
  <c r="O53" i="1"/>
  <c r="O54" i="1"/>
  <c r="O48" i="1"/>
  <c r="O42" i="1"/>
  <c r="O40" i="1"/>
  <c r="O51" i="1"/>
  <c r="N54" i="1"/>
  <c r="O52" i="1"/>
  <c r="O45" i="1"/>
  <c r="N48" i="1"/>
  <c r="O46" i="1"/>
  <c r="N42" i="1"/>
  <c r="J47" i="1"/>
  <c r="J53" i="1"/>
  <c r="J52" i="1"/>
  <c r="J51" i="1"/>
  <c r="J46" i="1"/>
  <c r="J45" i="1"/>
  <c r="J41" i="1"/>
  <c r="J36" i="1"/>
  <c r="J40" i="1"/>
  <c r="J42" i="1"/>
  <c r="J39" i="1"/>
  <c r="M41" i="1"/>
  <c r="P41" i="1" s="1"/>
  <c r="J34" i="1"/>
  <c r="J35" i="1"/>
  <c r="J33" i="1"/>
  <c r="D80" i="12"/>
  <c r="C80" i="12"/>
  <c r="D79" i="12"/>
  <c r="C79" i="12"/>
  <c r="C78" i="12"/>
  <c r="D78" i="12" s="1"/>
  <c r="C77" i="12"/>
  <c r="D77" i="12" s="1"/>
  <c r="D76" i="12"/>
  <c r="C76" i="12"/>
  <c r="D75" i="12"/>
  <c r="C75" i="12"/>
  <c r="C74" i="12"/>
  <c r="D74" i="12" s="1"/>
  <c r="C73" i="12"/>
  <c r="D73" i="12" s="1"/>
  <c r="D72" i="12"/>
  <c r="C72" i="12"/>
  <c r="D71" i="12"/>
  <c r="C71" i="12"/>
  <c r="C70" i="12"/>
  <c r="D70" i="12" s="1"/>
  <c r="C69" i="12"/>
  <c r="D69" i="12" s="1"/>
  <c r="D68" i="12"/>
  <c r="C68" i="12"/>
  <c r="D67" i="12"/>
  <c r="C67" i="12"/>
  <c r="C66" i="12"/>
  <c r="D66" i="12" s="1"/>
  <c r="C65" i="12"/>
  <c r="D65" i="12" s="1"/>
  <c r="D64" i="12"/>
  <c r="C64" i="12"/>
  <c r="D63" i="12"/>
  <c r="C63" i="12"/>
  <c r="C62" i="12"/>
  <c r="D62" i="12" s="1"/>
  <c r="C61" i="12"/>
  <c r="D61" i="12" s="1"/>
  <c r="D60" i="12"/>
  <c r="C60" i="12"/>
  <c r="D59" i="12"/>
  <c r="C59" i="12"/>
  <c r="C58" i="12"/>
  <c r="D58" i="12" s="1"/>
  <c r="C57" i="12"/>
  <c r="D57" i="12" s="1"/>
  <c r="D56" i="12"/>
  <c r="C56" i="12"/>
  <c r="D55" i="12"/>
  <c r="C55" i="12"/>
  <c r="C54" i="12"/>
  <c r="D54" i="12" s="1"/>
  <c r="C53" i="12"/>
  <c r="D53" i="12" s="1"/>
  <c r="D52" i="12"/>
  <c r="C52" i="12"/>
  <c r="D51" i="12"/>
  <c r="C51" i="12"/>
  <c r="C50" i="12"/>
  <c r="D50" i="12" s="1"/>
  <c r="V38" i="12"/>
  <c r="S38" i="12"/>
  <c r="T38" i="12" s="1"/>
  <c r="P38" i="12"/>
  <c r="Q38" i="12" s="1"/>
  <c r="F38" i="12"/>
  <c r="C38" i="12"/>
  <c r="V37" i="12"/>
  <c r="T37" i="12"/>
  <c r="S37" i="12"/>
  <c r="P37" i="12"/>
  <c r="Q37" i="12" s="1"/>
  <c r="F37" i="12"/>
  <c r="C37" i="12"/>
  <c r="V36" i="12"/>
  <c r="S36" i="12"/>
  <c r="T36" i="12" s="1"/>
  <c r="P36" i="12"/>
  <c r="Q36" i="12" s="1"/>
  <c r="F36" i="12"/>
  <c r="C36" i="12"/>
  <c r="V35" i="12"/>
  <c r="S35" i="12"/>
  <c r="T35" i="12" s="1"/>
  <c r="Q35" i="12"/>
  <c r="P35" i="12"/>
  <c r="F35" i="12"/>
  <c r="C35" i="12"/>
  <c r="V34" i="12"/>
  <c r="S34" i="12"/>
  <c r="T34" i="12" s="1"/>
  <c r="P34" i="12"/>
  <c r="Q34" i="12" s="1"/>
  <c r="F34" i="12"/>
  <c r="C34" i="12"/>
  <c r="V33" i="12"/>
  <c r="S33" i="12"/>
  <c r="T33" i="12" s="1"/>
  <c r="P33" i="12"/>
  <c r="Q33" i="12" s="1"/>
  <c r="F33" i="12"/>
  <c r="C33" i="12"/>
  <c r="V32" i="12"/>
  <c r="S32" i="12"/>
  <c r="T32" i="12" s="1"/>
  <c r="P32" i="12"/>
  <c r="Q32" i="12" s="1"/>
  <c r="F32" i="12"/>
  <c r="C32" i="12"/>
  <c r="V31" i="12"/>
  <c r="S31" i="12"/>
  <c r="T31" i="12" s="1"/>
  <c r="Q31" i="12"/>
  <c r="P31" i="12"/>
  <c r="F31" i="12"/>
  <c r="C31" i="12"/>
  <c r="V30" i="12"/>
  <c r="S30" i="12"/>
  <c r="T30" i="12" s="1"/>
  <c r="P30" i="12"/>
  <c r="Q30" i="12" s="1"/>
  <c r="F30" i="12"/>
  <c r="C30" i="12"/>
  <c r="V29" i="12"/>
  <c r="T29" i="12"/>
  <c r="S29" i="12"/>
  <c r="P29" i="12"/>
  <c r="Q29" i="12" s="1"/>
  <c r="F29" i="12"/>
  <c r="C29" i="12"/>
  <c r="V28" i="12"/>
  <c r="S28" i="12"/>
  <c r="T28" i="12" s="1"/>
  <c r="P28" i="12"/>
  <c r="Q28" i="12" s="1"/>
  <c r="F28" i="12"/>
  <c r="C28" i="12"/>
  <c r="V27" i="12"/>
  <c r="S27" i="12"/>
  <c r="T27" i="12" s="1"/>
  <c r="Q27" i="12"/>
  <c r="P27" i="12"/>
  <c r="F27" i="12"/>
  <c r="C27" i="12"/>
  <c r="V26" i="12"/>
  <c r="S26" i="12"/>
  <c r="T26" i="12" s="1"/>
  <c r="P26" i="12"/>
  <c r="Q26" i="12" s="1"/>
  <c r="F26" i="12"/>
  <c r="C26" i="12"/>
  <c r="V25" i="12"/>
  <c r="T25" i="12"/>
  <c r="S25" i="12"/>
  <c r="P25" i="12"/>
  <c r="Q25" i="12" s="1"/>
  <c r="F25" i="12"/>
  <c r="C25" i="12"/>
  <c r="V24" i="12"/>
  <c r="T24" i="12"/>
  <c r="S24" i="12"/>
  <c r="P24" i="12"/>
  <c r="Q24" i="12" s="1"/>
  <c r="F24" i="12"/>
  <c r="C24" i="12"/>
  <c r="V23" i="12"/>
  <c r="S23" i="12"/>
  <c r="T23" i="12" s="1"/>
  <c r="Q23" i="12"/>
  <c r="P23" i="12"/>
  <c r="F23" i="12"/>
  <c r="C23" i="12"/>
  <c r="V22" i="12"/>
  <c r="S22" i="12"/>
  <c r="T22" i="12" s="1"/>
  <c r="Q22" i="12"/>
  <c r="P22" i="12"/>
  <c r="F22" i="12"/>
  <c r="C22" i="12"/>
  <c r="V21" i="12"/>
  <c r="T21" i="12"/>
  <c r="S21" i="12"/>
  <c r="P21" i="12"/>
  <c r="Q21" i="12" s="1"/>
  <c r="F21" i="12"/>
  <c r="C21" i="12"/>
  <c r="V20" i="12"/>
  <c r="S20" i="12"/>
  <c r="T20" i="12" s="1"/>
  <c r="P20" i="12"/>
  <c r="Q20" i="12" s="1"/>
  <c r="F20" i="12"/>
  <c r="C20" i="12"/>
  <c r="V19" i="12"/>
  <c r="S19" i="12"/>
  <c r="T19" i="12" s="1"/>
  <c r="Q19" i="12"/>
  <c r="P19" i="12"/>
  <c r="F19" i="12"/>
  <c r="C19" i="12"/>
  <c r="V18" i="12"/>
  <c r="S18" i="12"/>
  <c r="T18" i="12" s="1"/>
  <c r="P18" i="12"/>
  <c r="Q18" i="12" s="1"/>
  <c r="F18" i="12"/>
  <c r="C18" i="12"/>
  <c r="V17" i="12"/>
  <c r="S17" i="12"/>
  <c r="T17" i="12" s="1"/>
  <c r="P17" i="12"/>
  <c r="Q17" i="12" s="1"/>
  <c r="F17" i="12"/>
  <c r="C17" i="12"/>
  <c r="V16" i="12"/>
  <c r="S16" i="12"/>
  <c r="T16" i="12" s="1"/>
  <c r="P16" i="12"/>
  <c r="Q16" i="12" s="1"/>
  <c r="F16" i="12"/>
  <c r="C16" i="12"/>
  <c r="V15" i="12"/>
  <c r="S15" i="12"/>
  <c r="T15" i="12" s="1"/>
  <c r="P15" i="12"/>
  <c r="Q15" i="12" s="1"/>
  <c r="F15" i="12"/>
  <c r="C15" i="12"/>
  <c r="V14" i="12"/>
  <c r="S14" i="12"/>
  <c r="T14" i="12" s="1"/>
  <c r="P14" i="12"/>
  <c r="Q14" i="12" s="1"/>
  <c r="F14" i="12"/>
  <c r="C14" i="12"/>
  <c r="V13" i="12"/>
  <c r="S13" i="12"/>
  <c r="T13" i="12" s="1"/>
  <c r="P13" i="12"/>
  <c r="Q13" i="12" s="1"/>
  <c r="F13" i="12"/>
  <c r="C13" i="12"/>
  <c r="V12" i="12"/>
  <c r="S12" i="12"/>
  <c r="T12" i="12" s="1"/>
  <c r="P12" i="12"/>
  <c r="Q12" i="12" s="1"/>
  <c r="F12" i="12"/>
  <c r="C12" i="12"/>
  <c r="V11" i="12"/>
  <c r="S11" i="12"/>
  <c r="T11" i="12" s="1"/>
  <c r="P11" i="12"/>
  <c r="Q11" i="12" s="1"/>
  <c r="F11" i="12"/>
  <c r="C11" i="12"/>
  <c r="V10" i="12"/>
  <c r="S10" i="12"/>
  <c r="T10" i="12" s="1"/>
  <c r="P10" i="12"/>
  <c r="Q10" i="12" s="1"/>
  <c r="F10" i="12"/>
  <c r="C10" i="12"/>
  <c r="Q41" i="1" l="1"/>
  <c r="R41" i="1"/>
  <c r="M45" i="1"/>
  <c r="P45" i="1" s="1"/>
  <c r="M53" i="1"/>
  <c r="P53" i="1" s="1"/>
  <c r="M47" i="1"/>
  <c r="P47" i="1" s="1"/>
  <c r="M46" i="1"/>
  <c r="P46" i="1" s="1"/>
  <c r="M48" i="1"/>
  <c r="P48" i="1" s="1"/>
  <c r="M52" i="1"/>
  <c r="P52" i="1" s="1"/>
  <c r="M51" i="1"/>
  <c r="P51" i="1" s="1"/>
  <c r="M54" i="1"/>
  <c r="P54" i="1" s="1"/>
  <c r="M40" i="1"/>
  <c r="P40" i="1" s="1"/>
  <c r="M42" i="1"/>
  <c r="P42" i="1" s="1"/>
  <c r="M39" i="1"/>
  <c r="P39" i="1" s="1"/>
  <c r="M35" i="1"/>
  <c r="P35" i="1" s="1"/>
  <c r="M33" i="1"/>
  <c r="P33" i="1" s="1"/>
  <c r="M34" i="1"/>
  <c r="P34" i="1" s="1"/>
  <c r="M36" i="1"/>
  <c r="P36" i="1" s="1"/>
  <c r="N51" i="4"/>
  <c r="R51" i="1" l="1"/>
  <c r="Q51" i="1"/>
  <c r="R54" i="1"/>
  <c r="Q54" i="1"/>
  <c r="Q52" i="1"/>
  <c r="R52" i="1"/>
  <c r="R53" i="1"/>
  <c r="Q53" i="1"/>
  <c r="Q48" i="1"/>
  <c r="R48" i="1"/>
  <c r="R46" i="1"/>
  <c r="Q46" i="1"/>
  <c r="R47" i="1"/>
  <c r="Q47" i="1"/>
  <c r="R45" i="1"/>
  <c r="Q45" i="1"/>
  <c r="R39" i="1"/>
  <c r="Q39" i="1"/>
  <c r="Q42" i="1"/>
  <c r="R42" i="1"/>
  <c r="R40" i="1"/>
  <c r="Q40" i="1"/>
  <c r="Q36" i="1"/>
  <c r="R36" i="1"/>
  <c r="R34" i="1"/>
  <c r="Q34" i="1"/>
  <c r="R35" i="1"/>
  <c r="Q35" i="1"/>
  <c r="Q33" i="1"/>
  <c r="R33" i="1"/>
  <c r="H80" i="11" l="1"/>
  <c r="H79" i="11"/>
  <c r="G80" i="11"/>
  <c r="H78" i="11"/>
  <c r="G78" i="11"/>
  <c r="H77" i="11"/>
  <c r="G77" i="11"/>
  <c r="H76" i="11"/>
  <c r="H59" i="11"/>
  <c r="H60" i="11"/>
  <c r="H61" i="11"/>
  <c r="H62" i="11"/>
  <c r="I62" i="11" s="1"/>
  <c r="H58" i="11"/>
  <c r="G61" i="11"/>
  <c r="G59" i="11"/>
  <c r="G26" i="11"/>
  <c r="G23" i="11"/>
  <c r="H23" i="11"/>
  <c r="H24" i="11"/>
  <c r="H25" i="11"/>
  <c r="H26" i="11"/>
  <c r="I26" i="11" s="1"/>
  <c r="H22" i="11"/>
  <c r="I78" i="11" l="1"/>
  <c r="L78" i="11" s="1"/>
  <c r="I76" i="11"/>
  <c r="L76" i="11" s="1"/>
  <c r="I22" i="11"/>
  <c r="L22" i="11" s="1"/>
  <c r="G62" i="11"/>
  <c r="L62" i="11" s="1"/>
  <c r="G60" i="11"/>
  <c r="I60" i="11"/>
  <c r="I59" i="11"/>
  <c r="L59" i="11" s="1"/>
  <c r="I61" i="11"/>
  <c r="L61" i="11" s="1"/>
  <c r="I23" i="11"/>
  <c r="L23" i="11" s="1"/>
  <c r="I25" i="11"/>
  <c r="I24" i="11"/>
  <c r="I77" i="11"/>
  <c r="I79" i="11"/>
  <c r="L77" i="11"/>
  <c r="I58" i="11"/>
  <c r="L58" i="11" s="1"/>
  <c r="L26" i="11"/>
  <c r="I80" i="11"/>
  <c r="L80" i="11" s="1"/>
  <c r="G79" i="11"/>
  <c r="G25" i="11"/>
  <c r="G24" i="11"/>
  <c r="L79" i="11" l="1"/>
  <c r="L60" i="11"/>
  <c r="L25" i="11"/>
  <c r="L24" i="11"/>
  <c r="I67" i="6"/>
  <c r="I68" i="6"/>
  <c r="I66" i="6"/>
  <c r="I47" i="6"/>
  <c r="I48" i="6"/>
  <c r="I49" i="6"/>
  <c r="H66" i="6"/>
  <c r="H45" i="6"/>
  <c r="I31" i="6"/>
  <c r="I30" i="6"/>
  <c r="I29" i="6"/>
  <c r="I28" i="6"/>
  <c r="H26" i="6"/>
  <c r="I8" i="6"/>
  <c r="I9" i="6"/>
  <c r="I10" i="6"/>
  <c r="I11" i="6"/>
  <c r="I12" i="6"/>
  <c r="H7" i="6"/>
  <c r="I69" i="6" s="1"/>
  <c r="I46" i="6" l="1"/>
  <c r="I26" i="6"/>
  <c r="I45" i="6"/>
  <c r="I70" i="6"/>
  <c r="I71" i="6"/>
  <c r="I7" i="6"/>
  <c r="I27" i="6"/>
  <c r="I50" i="6"/>
  <c r="F7" i="10"/>
  <c r="F8" i="10"/>
  <c r="G8" i="10" s="1"/>
  <c r="F9" i="10"/>
  <c r="G9" i="10" s="1"/>
  <c r="F10" i="10"/>
  <c r="G10" i="10" s="1"/>
  <c r="F11" i="10"/>
  <c r="G61" i="9"/>
  <c r="H64" i="9" s="1"/>
  <c r="E61" i="9"/>
  <c r="F62" i="9" s="1"/>
  <c r="G60" i="9"/>
  <c r="H63" i="9" s="1"/>
  <c r="E60" i="9"/>
  <c r="F61" i="9" s="1"/>
  <c r="G59" i="9"/>
  <c r="E59" i="9"/>
  <c r="F60" i="9" s="1"/>
  <c r="G58" i="9"/>
  <c r="E58" i="9"/>
  <c r="F59" i="9" s="1"/>
  <c r="G57" i="9"/>
  <c r="F57" i="9"/>
  <c r="E57" i="9"/>
  <c r="F58" i="9" s="1"/>
  <c r="G44" i="9"/>
  <c r="H47" i="9" s="1"/>
  <c r="E44" i="9"/>
  <c r="F45" i="9" s="1"/>
  <c r="G43" i="9"/>
  <c r="E43" i="9"/>
  <c r="F44" i="9" s="1"/>
  <c r="G42" i="9"/>
  <c r="E42" i="9"/>
  <c r="F43" i="9" s="1"/>
  <c r="G41" i="9"/>
  <c r="E41" i="9"/>
  <c r="F42" i="9" s="1"/>
  <c r="G40" i="9"/>
  <c r="F40" i="9"/>
  <c r="E40" i="9"/>
  <c r="F41" i="9" s="1"/>
  <c r="G27" i="9"/>
  <c r="H30" i="9" s="1"/>
  <c r="E27" i="9"/>
  <c r="F28" i="9" s="1"/>
  <c r="G26" i="9"/>
  <c r="E26" i="9"/>
  <c r="F27" i="9" s="1"/>
  <c r="G25" i="9"/>
  <c r="E25" i="9"/>
  <c r="F26" i="9" s="1"/>
  <c r="G24" i="9"/>
  <c r="E24" i="9"/>
  <c r="F25" i="9" s="1"/>
  <c r="G23" i="9"/>
  <c r="F23" i="9"/>
  <c r="E23" i="9"/>
  <c r="F24" i="9" s="1"/>
  <c r="G7" i="9"/>
  <c r="G8" i="9"/>
  <c r="G9" i="9"/>
  <c r="G10" i="9"/>
  <c r="H13" i="9" s="1"/>
  <c r="G6" i="9"/>
  <c r="H7" i="9" s="1"/>
  <c r="H29" i="9" l="1"/>
  <c r="H28" i="9"/>
  <c r="H12" i="9"/>
  <c r="H62" i="9"/>
  <c r="H45" i="9"/>
  <c r="H46" i="9"/>
  <c r="H25" i="9"/>
  <c r="F18" i="10"/>
  <c r="G18" i="10" s="1"/>
  <c r="G7" i="10"/>
  <c r="H11" i="10"/>
  <c r="H9" i="10"/>
  <c r="H8" i="10"/>
  <c r="H11" i="9"/>
  <c r="H61" i="9"/>
  <c r="H60" i="9"/>
  <c r="H42" i="9"/>
  <c r="H10" i="9"/>
  <c r="H7" i="10"/>
  <c r="G11" i="10"/>
  <c r="H59" i="9"/>
  <c r="H44" i="9"/>
  <c r="H26" i="9"/>
  <c r="H24" i="9"/>
  <c r="H9" i="9"/>
  <c r="H8" i="9"/>
  <c r="H58" i="9"/>
  <c r="H41" i="9"/>
  <c r="H43" i="9"/>
  <c r="H27" i="9"/>
  <c r="H10" i="10" l="1"/>
  <c r="H12" i="10"/>
  <c r="J28" i="8"/>
  <c r="J46" i="8" s="1"/>
  <c r="J64" i="8" s="1"/>
  <c r="J27" i="8"/>
  <c r="J45" i="8" s="1"/>
  <c r="J63" i="8" s="1"/>
  <c r="J24" i="8"/>
  <c r="J42" i="8" s="1"/>
  <c r="J60" i="8" s="1"/>
  <c r="I26" i="8"/>
  <c r="I44" i="8" s="1"/>
  <c r="I62" i="8" s="1"/>
  <c r="I24" i="8"/>
  <c r="I42" i="8" s="1"/>
  <c r="I60" i="8" s="1"/>
  <c r="J25" i="8"/>
  <c r="J43" i="8" s="1"/>
  <c r="J61" i="8" s="1"/>
  <c r="I25" i="8"/>
  <c r="I43" i="8" s="1"/>
  <c r="I61" i="8" s="1"/>
  <c r="J26" i="8"/>
  <c r="J44" i="8" s="1"/>
  <c r="J62" i="8" s="1"/>
  <c r="I28" i="8"/>
  <c r="I46" i="8" s="1"/>
  <c r="I64" i="8" s="1"/>
  <c r="I27" i="8"/>
  <c r="I45" i="8" s="1"/>
  <c r="I63" i="8" s="1"/>
  <c r="H28" i="8"/>
  <c r="H27" i="8"/>
  <c r="H26" i="8"/>
  <c r="H25" i="8"/>
  <c r="H24" i="8"/>
  <c r="H10" i="8"/>
  <c r="H9" i="8"/>
  <c r="H8" i="8"/>
  <c r="H7" i="8"/>
  <c r="H6" i="8"/>
  <c r="G31" i="6"/>
  <c r="G30" i="6"/>
  <c r="G29" i="6"/>
  <c r="G28" i="6"/>
  <c r="G27" i="6"/>
  <c r="G26" i="6"/>
  <c r="G12" i="6"/>
  <c r="G11" i="6"/>
  <c r="G10" i="6"/>
  <c r="G9" i="6"/>
  <c r="G8" i="6"/>
  <c r="G7" i="6"/>
  <c r="I9" i="4" l="1"/>
  <c r="N38" i="4"/>
  <c r="M38" i="4"/>
  <c r="N37" i="4"/>
  <c r="M37" i="4"/>
  <c r="N36" i="4"/>
  <c r="M36" i="4"/>
  <c r="N35" i="4"/>
  <c r="M35" i="4"/>
  <c r="N34" i="4"/>
  <c r="M34" i="4"/>
  <c r="N17" i="4"/>
  <c r="N18" i="4"/>
  <c r="N19" i="4"/>
  <c r="N16" i="4"/>
  <c r="N15" i="4"/>
  <c r="M17" i="4"/>
  <c r="M18" i="4"/>
  <c r="M19" i="4"/>
  <c r="M16" i="4"/>
  <c r="M15" i="4"/>
  <c r="I11" i="4" l="1"/>
  <c r="I10" i="4"/>
  <c r="N52" i="4"/>
  <c r="M8" i="4"/>
  <c r="K11" i="4" l="1"/>
  <c r="O52" i="4" s="1"/>
  <c r="P52" i="4" s="1"/>
  <c r="N56" i="4" s="1"/>
  <c r="O56" i="4" s="1"/>
  <c r="C29" i="1"/>
  <c r="D28" i="1"/>
  <c r="D27" i="1"/>
  <c r="C27" i="1"/>
  <c r="C22" i="1"/>
  <c r="C28" i="1" s="1"/>
  <c r="O34" i="4" l="1"/>
  <c r="K42" i="8" s="1"/>
  <c r="O40" i="4"/>
  <c r="K48" i="8" s="1"/>
  <c r="P39" i="4"/>
  <c r="P40" i="4"/>
  <c r="P41" i="4"/>
  <c r="O43" i="4"/>
  <c r="K51" i="8" s="1"/>
  <c r="O44" i="4"/>
  <c r="K52" i="8" s="1"/>
  <c r="O41" i="4"/>
  <c r="K49" i="8" s="1"/>
  <c r="P56" i="4"/>
  <c r="O42" i="4"/>
  <c r="K50" i="8" s="1"/>
  <c r="P42" i="4"/>
  <c r="P43" i="4"/>
  <c r="P44" i="4"/>
  <c r="O39" i="4"/>
  <c r="K47" i="8" s="1"/>
  <c r="O38" i="4"/>
  <c r="K46" i="8" s="1"/>
  <c r="P36" i="4"/>
  <c r="P34" i="4"/>
  <c r="P38" i="4"/>
  <c r="O35" i="4"/>
  <c r="K43" i="8" s="1"/>
  <c r="P35" i="4"/>
  <c r="O36" i="4"/>
  <c r="K44" i="8" s="1"/>
  <c r="O37" i="4"/>
  <c r="K45" i="8" s="1"/>
  <c r="P37" i="4"/>
  <c r="D17" i="1"/>
  <c r="C17" i="1"/>
  <c r="K64" i="8" l="1"/>
  <c r="P46" i="8"/>
  <c r="K69" i="8"/>
  <c r="P51" i="8"/>
  <c r="J68" i="11"/>
  <c r="J86" i="11" s="1"/>
  <c r="M86" i="11" s="1"/>
  <c r="N86" i="11" s="1"/>
  <c r="L52" i="8"/>
  <c r="J65" i="11"/>
  <c r="J83" i="11" s="1"/>
  <c r="M83" i="11" s="1"/>
  <c r="N83" i="11" s="1"/>
  <c r="L49" i="8"/>
  <c r="M49" i="8" s="1"/>
  <c r="K63" i="8"/>
  <c r="P45" i="8"/>
  <c r="L43" i="8"/>
  <c r="M43" i="8" s="1"/>
  <c r="J59" i="11"/>
  <c r="J77" i="11" s="1"/>
  <c r="L48" i="8"/>
  <c r="M48" i="8" s="1"/>
  <c r="J64" i="11"/>
  <c r="J82" i="11" s="1"/>
  <c r="M82" i="11" s="1"/>
  <c r="N82" i="11" s="1"/>
  <c r="K70" i="8"/>
  <c r="P52" i="8"/>
  <c r="K61" i="8"/>
  <c r="P43" i="8"/>
  <c r="L50" i="8"/>
  <c r="J66" i="11"/>
  <c r="J84" i="11" s="1"/>
  <c r="M84" i="11" s="1"/>
  <c r="N84" i="11" s="1"/>
  <c r="J63" i="11"/>
  <c r="J81" i="11" s="1"/>
  <c r="M81" i="11" s="1"/>
  <c r="N81" i="11" s="1"/>
  <c r="L47" i="8"/>
  <c r="M47" i="8" s="1"/>
  <c r="K67" i="8"/>
  <c r="P49" i="8"/>
  <c r="J62" i="11"/>
  <c r="J80" i="11" s="1"/>
  <c r="L46" i="8"/>
  <c r="L44" i="8"/>
  <c r="M44" i="8" s="1"/>
  <c r="J60" i="11"/>
  <c r="J78" i="11" s="1"/>
  <c r="L45" i="8"/>
  <c r="M45" i="8" s="1"/>
  <c r="J61" i="11"/>
  <c r="J79" i="11" s="1"/>
  <c r="K65" i="8"/>
  <c r="P47" i="8"/>
  <c r="K62" i="8"/>
  <c r="P44" i="8"/>
  <c r="L51" i="8"/>
  <c r="M51" i="8" s="1"/>
  <c r="J67" i="11"/>
  <c r="J85" i="11" s="1"/>
  <c r="M85" i="11" s="1"/>
  <c r="N85" i="11" s="1"/>
  <c r="K68" i="8"/>
  <c r="P50" i="8"/>
  <c r="K66" i="8"/>
  <c r="P48" i="8"/>
  <c r="J58" i="11"/>
  <c r="J76" i="11" s="1"/>
  <c r="L42" i="8"/>
  <c r="M42" i="8" s="1"/>
  <c r="K60" i="8"/>
  <c r="P42" i="8"/>
  <c r="M68" i="11"/>
  <c r="N68" i="11" s="1"/>
  <c r="M63" i="11" l="1"/>
  <c r="N63" i="11" s="1"/>
  <c r="M67" i="11"/>
  <c r="N67" i="11" s="1"/>
  <c r="L66" i="8"/>
  <c r="Q66" i="8" s="1"/>
  <c r="Q48" i="8"/>
  <c r="R48" i="8" s="1"/>
  <c r="M65" i="11"/>
  <c r="N65" i="11" s="1"/>
  <c r="L68" i="8"/>
  <c r="Q68" i="8" s="1"/>
  <c r="Q50" i="8"/>
  <c r="R50" i="8" s="1"/>
  <c r="L61" i="8"/>
  <c r="Q61" i="8" s="1"/>
  <c r="Q43" i="8"/>
  <c r="R43" i="8" s="1"/>
  <c r="P60" i="8"/>
  <c r="P68" i="8"/>
  <c r="P65" i="8"/>
  <c r="P61" i="8"/>
  <c r="L62" i="8"/>
  <c r="Q62" i="8" s="1"/>
  <c r="Q44" i="8"/>
  <c r="R44" i="8" s="1"/>
  <c r="P66" i="8"/>
  <c r="L70" i="8"/>
  <c r="Q70" i="8" s="1"/>
  <c r="Q52" i="8"/>
  <c r="R52" i="8" s="1"/>
  <c r="L60" i="8"/>
  <c r="Q60" i="8" s="1"/>
  <c r="Q42" i="8"/>
  <c r="R42" i="8" s="1"/>
  <c r="P67" i="8"/>
  <c r="P69" i="8"/>
  <c r="P64" i="8"/>
  <c r="P62" i="8"/>
  <c r="M66" i="11"/>
  <c r="N66" i="11" s="1"/>
  <c r="L69" i="8"/>
  <c r="Q69" i="8" s="1"/>
  <c r="Q51" i="8"/>
  <c r="R51" i="8" s="1"/>
  <c r="L63" i="8"/>
  <c r="Q63" i="8" s="1"/>
  <c r="Q45" i="8"/>
  <c r="R45" i="8" s="1"/>
  <c r="L65" i="8"/>
  <c r="Q65" i="8" s="1"/>
  <c r="Q47" i="8"/>
  <c r="R47" i="8" s="1"/>
  <c r="M52" i="8"/>
  <c r="P63" i="8"/>
  <c r="L64" i="8"/>
  <c r="Q64" i="8" s="1"/>
  <c r="Q46" i="8"/>
  <c r="R46" i="8" s="1"/>
  <c r="M50" i="8"/>
  <c r="M64" i="11"/>
  <c r="N64" i="11" s="1"/>
  <c r="P70" i="8"/>
  <c r="L67" i="8"/>
  <c r="Q67" i="8" s="1"/>
  <c r="Q49" i="8"/>
  <c r="R49" i="8" s="1"/>
  <c r="M46" i="8"/>
  <c r="D18" i="1"/>
  <c r="C13" i="1"/>
  <c r="C18" i="1" s="1"/>
  <c r="C3" i="1"/>
  <c r="C9" i="1" s="1"/>
  <c r="K10" i="4"/>
  <c r="O51" i="4" s="1"/>
  <c r="P51" i="4" s="1"/>
  <c r="N55" i="4" s="1"/>
  <c r="O55" i="4" s="1"/>
  <c r="R69" i="8" l="1"/>
  <c r="M69" i="8"/>
  <c r="M66" i="8"/>
  <c r="M65" i="8"/>
  <c r="R62" i="8"/>
  <c r="R66" i="8"/>
  <c r="M68" i="8"/>
  <c r="R63" i="8"/>
  <c r="R64" i="8"/>
  <c r="R67" i="8"/>
  <c r="M60" i="8"/>
  <c r="M67" i="8"/>
  <c r="R68" i="8"/>
  <c r="R70" i="8"/>
  <c r="M70" i="8"/>
  <c r="M62" i="8"/>
  <c r="R61" i="8"/>
  <c r="M63" i="8"/>
  <c r="R60" i="8"/>
  <c r="M61" i="8"/>
  <c r="M64" i="8"/>
  <c r="R65" i="8"/>
  <c r="P55" i="4"/>
  <c r="O20" i="4"/>
  <c r="O21" i="4"/>
  <c r="P20" i="4"/>
  <c r="O22" i="4"/>
  <c r="P21" i="4"/>
  <c r="O23" i="4"/>
  <c r="P22" i="4"/>
  <c r="O24" i="4"/>
  <c r="P23" i="4"/>
  <c r="O25" i="4"/>
  <c r="P24" i="4"/>
  <c r="P25" i="4"/>
  <c r="P17" i="4"/>
  <c r="O15" i="4"/>
  <c r="O18" i="4"/>
  <c r="P19" i="4"/>
  <c r="O17" i="4"/>
  <c r="O16" i="4"/>
  <c r="O19" i="4"/>
  <c r="P16" i="4"/>
  <c r="P18" i="4"/>
  <c r="P15" i="4"/>
  <c r="L13" i="8" l="1"/>
  <c r="L31" i="8" s="1"/>
  <c r="Q31" i="8" s="1"/>
  <c r="J22" i="11"/>
  <c r="J40" i="11" s="1"/>
  <c r="M40" i="11" s="1"/>
  <c r="N40" i="11" s="1"/>
  <c r="O40" i="11" s="1"/>
  <c r="K6" i="8"/>
  <c r="K24" i="8" s="1"/>
  <c r="L12" i="8"/>
  <c r="L30" i="8" s="1"/>
  <c r="Q30" i="8" s="1"/>
  <c r="L15" i="8"/>
  <c r="L33" i="8" s="1"/>
  <c r="Q33" i="8" s="1"/>
  <c r="L16" i="8"/>
  <c r="L34" i="8" s="1"/>
  <c r="Q34" i="8" s="1"/>
  <c r="K12" i="8"/>
  <c r="K30" i="8" s="1"/>
  <c r="J28" i="11"/>
  <c r="J46" i="11" s="1"/>
  <c r="M46" i="11" s="1"/>
  <c r="N46" i="11" s="1"/>
  <c r="K14" i="8"/>
  <c r="K32" i="8" s="1"/>
  <c r="J30" i="11"/>
  <c r="J48" i="11" s="1"/>
  <c r="M48" i="11" s="1"/>
  <c r="N48" i="11" s="1"/>
  <c r="L7" i="8"/>
  <c r="L25" i="8" s="1"/>
  <c r="Q25" i="8" s="1"/>
  <c r="L11" i="8"/>
  <c r="L29" i="8" s="1"/>
  <c r="Q29" i="8" s="1"/>
  <c r="J32" i="11"/>
  <c r="J50" i="11" s="1"/>
  <c r="M50" i="11" s="1"/>
  <c r="N50" i="11" s="1"/>
  <c r="K16" i="8"/>
  <c r="K34" i="8" s="1"/>
  <c r="J27" i="11"/>
  <c r="J45" i="11" s="1"/>
  <c r="M45" i="11" s="1"/>
  <c r="N45" i="11" s="1"/>
  <c r="K11" i="8"/>
  <c r="K29" i="8" s="1"/>
  <c r="J25" i="11"/>
  <c r="J43" i="11" s="1"/>
  <c r="M43" i="11" s="1"/>
  <c r="N43" i="11" s="1"/>
  <c r="K9" i="8"/>
  <c r="K27" i="8" s="1"/>
  <c r="L6" i="8"/>
  <c r="L24" i="8" s="1"/>
  <c r="Q24" i="8" s="1"/>
  <c r="L9" i="8"/>
  <c r="L27" i="8" s="1"/>
  <c r="Q27" i="8" s="1"/>
  <c r="L8" i="8"/>
  <c r="L26" i="8" s="1"/>
  <c r="Q26" i="8" s="1"/>
  <c r="K13" i="8"/>
  <c r="K31" i="8" s="1"/>
  <c r="J29" i="11"/>
  <c r="J47" i="11" s="1"/>
  <c r="M47" i="11" s="1"/>
  <c r="N47" i="11" s="1"/>
  <c r="J26" i="11"/>
  <c r="J44" i="11" s="1"/>
  <c r="M44" i="11" s="1"/>
  <c r="N44" i="11" s="1"/>
  <c r="K10" i="8"/>
  <c r="K28" i="8" s="1"/>
  <c r="J23" i="11"/>
  <c r="J41" i="11" s="1"/>
  <c r="M41" i="11" s="1"/>
  <c r="N41" i="11" s="1"/>
  <c r="K7" i="8"/>
  <c r="K25" i="8" s="1"/>
  <c r="J24" i="11"/>
  <c r="J42" i="11" s="1"/>
  <c r="M42" i="11" s="1"/>
  <c r="N42" i="11" s="1"/>
  <c r="K8" i="8"/>
  <c r="K26" i="8" s="1"/>
  <c r="L14" i="8"/>
  <c r="L32" i="8" s="1"/>
  <c r="Q32" i="8" s="1"/>
  <c r="L10" i="8"/>
  <c r="L28" i="8" s="1"/>
  <c r="Q28" i="8" s="1"/>
  <c r="K15" i="8"/>
  <c r="K33" i="8" s="1"/>
  <c r="J31" i="11"/>
  <c r="J49" i="11" s="1"/>
  <c r="M49" i="11" s="1"/>
  <c r="N49" i="11" s="1"/>
  <c r="M31" i="11" l="1"/>
  <c r="N31" i="11" s="1"/>
  <c r="M28" i="11"/>
  <c r="N28" i="11" s="1"/>
  <c r="Q16" i="8"/>
  <c r="M27" i="11"/>
  <c r="N27" i="11" s="1"/>
  <c r="Q9" i="8"/>
  <c r="M23" i="11"/>
  <c r="N23" i="11" s="1"/>
  <c r="Q13" i="8"/>
  <c r="Q11" i="8"/>
  <c r="Q10" i="8"/>
  <c r="Q12" i="8"/>
  <c r="M30" i="11"/>
  <c r="N30" i="11" s="1"/>
  <c r="Q8" i="8"/>
  <c r="Q6" i="8"/>
  <c r="M29" i="11"/>
  <c r="N29" i="11" s="1"/>
  <c r="Q14" i="8"/>
  <c r="Q7" i="8"/>
  <c r="Q15" i="8"/>
  <c r="M24" i="11"/>
  <c r="N24" i="11" s="1"/>
  <c r="M32" i="11"/>
  <c r="N32" i="11" s="1"/>
  <c r="M22" i="11"/>
  <c r="N22" i="11" s="1"/>
  <c r="O22" i="11" s="1"/>
  <c r="M25" i="11"/>
  <c r="N25" i="11" s="1"/>
  <c r="M26" i="11"/>
  <c r="N26" i="11" s="1"/>
  <c r="O41" i="11"/>
  <c r="O42" i="11" s="1"/>
  <c r="O43" i="11" s="1"/>
  <c r="O44" i="11" s="1"/>
  <c r="O45" i="11" s="1"/>
  <c r="O46" i="11" s="1"/>
  <c r="O47" i="11" s="1"/>
  <c r="O48" i="11" s="1"/>
  <c r="O49" i="11" s="1"/>
  <c r="O50" i="11" s="1"/>
  <c r="P10" i="8"/>
  <c r="M10" i="8"/>
  <c r="M11" i="8"/>
  <c r="P11" i="8"/>
  <c r="M8" i="8"/>
  <c r="P8" i="8"/>
  <c r="P7" i="8"/>
  <c r="M7" i="8"/>
  <c r="M14" i="8"/>
  <c r="P14" i="8"/>
  <c r="M13" i="8"/>
  <c r="P13" i="8"/>
  <c r="M9" i="8"/>
  <c r="P9" i="8"/>
  <c r="M16" i="8"/>
  <c r="P16" i="8"/>
  <c r="M6" i="8"/>
  <c r="P6" i="8"/>
  <c r="M15" i="8"/>
  <c r="P15" i="8"/>
  <c r="M12" i="8"/>
  <c r="P12" i="8"/>
  <c r="R16" i="8" l="1"/>
  <c r="R9" i="8"/>
  <c r="O23" i="11"/>
  <c r="O24" i="11" s="1"/>
  <c r="O25" i="11" s="1"/>
  <c r="O26" i="11" s="1"/>
  <c r="O27" i="11" s="1"/>
  <c r="O28" i="11" s="1"/>
  <c r="O29" i="11" s="1"/>
  <c r="O30" i="11" s="1"/>
  <c r="O31" i="11" s="1"/>
  <c r="O32" i="11" s="1"/>
  <c r="R13" i="8"/>
  <c r="R10" i="8"/>
  <c r="R12" i="8"/>
  <c r="R8" i="8"/>
  <c r="R7" i="8"/>
  <c r="R11" i="8"/>
  <c r="R6" i="8"/>
  <c r="R14" i="8"/>
  <c r="R15" i="8"/>
  <c r="M29" i="8"/>
  <c r="P29" i="8"/>
  <c r="R29" i="8" s="1"/>
  <c r="P26" i="8"/>
  <c r="R26" i="8" s="1"/>
  <c r="M26" i="8"/>
  <c r="M34" i="8"/>
  <c r="P34" i="8"/>
  <c r="R34" i="8" s="1"/>
  <c r="M32" i="8"/>
  <c r="P32" i="8"/>
  <c r="R32" i="8" s="1"/>
  <c r="M33" i="8"/>
  <c r="P33" i="8"/>
  <c r="R33" i="8" s="1"/>
  <c r="P27" i="8"/>
  <c r="R27" i="8" s="1"/>
  <c r="M27" i="8"/>
  <c r="P25" i="8"/>
  <c r="R25" i="8" s="1"/>
  <c r="M25" i="8"/>
  <c r="M31" i="8"/>
  <c r="P31" i="8"/>
  <c r="R31" i="8" s="1"/>
  <c r="M30" i="8"/>
  <c r="P30" i="8"/>
  <c r="R30" i="8" s="1"/>
  <c r="P24" i="8"/>
  <c r="R24" i="8" s="1"/>
  <c r="M24" i="8"/>
  <c r="M28" i="8"/>
  <c r="P28" i="8"/>
  <c r="R28" i="8" s="1"/>
  <c r="M59" i="11"/>
  <c r="N59" i="11" s="1"/>
  <c r="M77" i="11"/>
  <c r="N77" i="11" s="1"/>
  <c r="M80" i="11"/>
  <c r="N80" i="11" s="1"/>
  <c r="M62" i="11"/>
  <c r="N62" i="11" s="1"/>
  <c r="M61" i="11"/>
  <c r="N61" i="11" s="1"/>
  <c r="M79" i="11"/>
  <c r="N79" i="11" s="1"/>
  <c r="M58" i="11"/>
  <c r="N58" i="11" s="1"/>
  <c r="O58" i="11" s="1"/>
  <c r="M76" i="11"/>
  <c r="N76" i="11" s="1"/>
  <c r="O76" i="11" s="1"/>
  <c r="M60" i="11"/>
  <c r="N60" i="11" s="1"/>
  <c r="M78" i="11"/>
  <c r="N78" i="11" s="1"/>
  <c r="O77" i="11" l="1"/>
  <c r="O78" i="11" s="1"/>
  <c r="O79" i="11" s="1"/>
  <c r="O80" i="11" s="1"/>
  <c r="O81" i="11" s="1"/>
  <c r="O82" i="11" s="1"/>
  <c r="O83" i="11" s="1"/>
  <c r="O84" i="11" s="1"/>
  <c r="O85" i="11" s="1"/>
  <c r="O86" i="11" s="1"/>
  <c r="O59" i="11"/>
  <c r="O60" i="11" s="1"/>
  <c r="O61" i="11" s="1"/>
  <c r="O62" i="11" s="1"/>
  <c r="O63" i="11" s="1"/>
  <c r="O64" i="11" s="1"/>
  <c r="O65" i="11" s="1"/>
  <c r="O66" i="11" s="1"/>
  <c r="O67" i="11" s="1"/>
  <c r="O68" i="11" s="1"/>
</calcChain>
</file>

<file path=xl/sharedStrings.xml><?xml version="1.0" encoding="utf-8"?>
<sst xmlns="http://schemas.openxmlformats.org/spreadsheetml/2006/main" count="4136" uniqueCount="262">
  <si>
    <t>Losa 15cm</t>
  </si>
  <si>
    <t>Cielo Falso e instalaciones</t>
  </si>
  <si>
    <t xml:space="preserve">Ceramica + Pegamix </t>
  </si>
  <si>
    <t>Total</t>
  </si>
  <si>
    <t>Pendientes de techo</t>
  </si>
  <si>
    <t>Kg/m2</t>
  </si>
  <si>
    <t>SISMO</t>
  </si>
  <si>
    <t>m</t>
  </si>
  <si>
    <t>TABLE:  Centers of Mass and Rigidity</t>
  </si>
  <si>
    <t>Story</t>
  </si>
  <si>
    <t>Diaphragm</t>
  </si>
  <si>
    <t>Mass X</t>
  </si>
  <si>
    <t>Mass Y</t>
  </si>
  <si>
    <t>XCM</t>
  </si>
  <si>
    <t>YCM</t>
  </si>
  <si>
    <t>Cumulative X</t>
  </si>
  <si>
    <t>Cumulative Y</t>
  </si>
  <si>
    <t>XCCM</t>
  </si>
  <si>
    <t>YCCM</t>
  </si>
  <si>
    <t>XCR</t>
  </si>
  <si>
    <t>YCR</t>
  </si>
  <si>
    <t>kgf-s²/m</t>
  </si>
  <si>
    <t>Story1</t>
  </si>
  <si>
    <t>D1</t>
  </si>
  <si>
    <t>Story2</t>
  </si>
  <si>
    <t>Story3</t>
  </si>
  <si>
    <t>Story4</t>
  </si>
  <si>
    <t>ETABS</t>
  </si>
  <si>
    <t xml:space="preserve">Sub-total </t>
  </si>
  <si>
    <t>Sub-total</t>
  </si>
  <si>
    <t>Firme de nivelacion</t>
  </si>
  <si>
    <t>CARGA MUERTA GRADAS</t>
  </si>
  <si>
    <t>Huella de grada (0.17x0.30m)</t>
  </si>
  <si>
    <t xml:space="preserve">Firme de nivelacion 2.5cm </t>
  </si>
  <si>
    <t>Instalaciones</t>
  </si>
  <si>
    <t>PESO PARED DE 15CM</t>
  </si>
  <si>
    <t>PESO PARED DE 10CM</t>
  </si>
  <si>
    <t>KG/M2</t>
  </si>
  <si>
    <t xml:space="preserve">Peso de pared encima de grada H=3.23m </t>
  </si>
  <si>
    <t>Story5</t>
  </si>
  <si>
    <t>Peso Z</t>
  </si>
  <si>
    <t>Kgf</t>
  </si>
  <si>
    <t>Direction</t>
  </si>
  <si>
    <t>kgf</t>
  </si>
  <si>
    <t>Base</t>
  </si>
  <si>
    <t>TABLE:  Story Forces</t>
  </si>
  <si>
    <t>Load Case/Combo</t>
  </si>
  <si>
    <t>Location</t>
  </si>
  <si>
    <t>P</t>
  </si>
  <si>
    <t>VX</t>
  </si>
  <si>
    <t>VY</t>
  </si>
  <si>
    <t>T</t>
  </si>
  <si>
    <t>MX</t>
  </si>
  <si>
    <t>MY</t>
  </si>
  <si>
    <t>kgf-m</t>
  </si>
  <si>
    <t>TA</t>
  </si>
  <si>
    <t>1.4TA</t>
  </si>
  <si>
    <t>ESCALAMIENTO DE SISMO DINAMICO</t>
  </si>
  <si>
    <t>90% ESTATICO X</t>
  </si>
  <si>
    <t>90% ESTATICO Y</t>
  </si>
  <si>
    <t>DINAMICO</t>
  </si>
  <si>
    <t>FUERZAS POR PISO DEBIDO AL ESPECTRO DINAMICO</t>
  </si>
  <si>
    <t>Vx</t>
  </si>
  <si>
    <t>Vy</t>
  </si>
  <si>
    <t>Dinamico X</t>
  </si>
  <si>
    <t>Dinamico Y</t>
  </si>
  <si>
    <t xml:space="preserve">ESCALAMIENTO DE FUERZAS </t>
  </si>
  <si>
    <t>ESCALAMIENTO DE FUERZAS</t>
  </si>
  <si>
    <t>TABLE:  Story Response</t>
  </si>
  <si>
    <t>Elevation</t>
  </si>
  <si>
    <t>X-Dir</t>
  </si>
  <si>
    <t>Y-Dir</t>
  </si>
  <si>
    <t>Top</t>
  </si>
  <si>
    <t>STORY DISPLACEMENT</t>
  </si>
  <si>
    <t>Revision</t>
  </si>
  <si>
    <t>CHOC X-Dir</t>
  </si>
  <si>
    <t>CHOC Y-Dir</t>
  </si>
  <si>
    <t>RW</t>
  </si>
  <si>
    <t>DERIVAS POR NIVEL</t>
  </si>
  <si>
    <t>EQXEP</t>
  </si>
  <si>
    <t>EQXEN</t>
  </si>
  <si>
    <t>EQYEP</t>
  </si>
  <si>
    <t>EQYEN</t>
  </si>
  <si>
    <t>TABLE:  Story Max/Avg Displacements</t>
  </si>
  <si>
    <t>Maximum</t>
  </si>
  <si>
    <t>Average</t>
  </si>
  <si>
    <t>Ratio</t>
  </si>
  <si>
    <t>Ax</t>
  </si>
  <si>
    <t>FX</t>
  </si>
  <si>
    <t>eX (m)</t>
  </si>
  <si>
    <t>eY (m)</t>
  </si>
  <si>
    <t>Mz</t>
  </si>
  <si>
    <t>FY</t>
  </si>
  <si>
    <t>TABLE:  Story Stiffness</t>
  </si>
  <si>
    <t>Load Case</t>
  </si>
  <si>
    <t>Stiffness X</t>
  </si>
  <si>
    <t>Stiffness Y</t>
  </si>
  <si>
    <t>kgf/m</t>
  </si>
  <si>
    <t>0.7 RIGIDEZ</t>
  </si>
  <si>
    <t>0.9 RIGIDEZ</t>
  </si>
  <si>
    <t>REVISION IRREGULARIDAD PISO SUAVE CHOC 1.3.4-4</t>
  </si>
  <si>
    <t>REVISION IRREGULARIDAD TORSIONAL CHOC 1.3.4-4</t>
  </si>
  <si>
    <t>150% W</t>
  </si>
  <si>
    <t>REVISION IRREGULARIDAD DE MASA CHOC 1.3.4-4</t>
  </si>
  <si>
    <t>D+L</t>
  </si>
  <si>
    <t>(D+L)i</t>
  </si>
  <si>
    <t>Despl.relativo</t>
  </si>
  <si>
    <t>Fx</t>
  </si>
  <si>
    <t>hi</t>
  </si>
  <si>
    <t>(D+L)*Desplaz</t>
  </si>
  <si>
    <t>Fi*hi</t>
  </si>
  <si>
    <t>M2/M1</t>
  </si>
  <si>
    <t>P-Delta</t>
  </si>
  <si>
    <t>REVISION</t>
  </si>
  <si>
    <t>B</t>
  </si>
  <si>
    <t>L</t>
  </si>
  <si>
    <t>MVX</t>
  </si>
  <si>
    <t>MVY</t>
  </si>
  <si>
    <t>MZ</t>
  </si>
  <si>
    <t>C</t>
  </si>
  <si>
    <t>V</t>
  </si>
  <si>
    <t>VA</t>
  </si>
  <si>
    <t>W</t>
  </si>
  <si>
    <t xml:space="preserve">Kgf </t>
  </si>
  <si>
    <t>Cortante del 80% periodo TA</t>
  </si>
  <si>
    <t>CHOC 1.3.6.5.2</t>
  </si>
  <si>
    <t>VAX</t>
  </si>
  <si>
    <t>VAY</t>
  </si>
  <si>
    <t>PERIODO TB</t>
  </si>
  <si>
    <t>ESPECTROS SEGÚN CHOC-08</t>
  </si>
  <si>
    <t>SUELO S-2</t>
  </si>
  <si>
    <t>Ta</t>
  </si>
  <si>
    <t>Tb</t>
  </si>
  <si>
    <t>Exponente</t>
  </si>
  <si>
    <t>Zona Sismica</t>
  </si>
  <si>
    <t>SUELO S-3</t>
  </si>
  <si>
    <t>T (seg)</t>
  </si>
  <si>
    <t>a (m/s2)</t>
  </si>
  <si>
    <t>SUELO S-1</t>
  </si>
  <si>
    <t>Divisiones</t>
  </si>
  <si>
    <t>NIVEL</t>
  </si>
  <si>
    <t>Sala de reuniones y Gimnasio</t>
  </si>
  <si>
    <t>Residencial</t>
  </si>
  <si>
    <t>Azotea (Equipos, paneles y terraza)</t>
  </si>
  <si>
    <t>DIMENSIONAMIENTO COLUMNAS</t>
  </si>
  <si>
    <t>CENTRAL</t>
  </si>
  <si>
    <t>ESQUINA</t>
  </si>
  <si>
    <t>AREA (m2)</t>
  </si>
  <si>
    <t>PuViva (Kip)</t>
  </si>
  <si>
    <t>PuMuerta (Kip)</t>
  </si>
  <si>
    <t>INTERMEDIA CENTRAL</t>
  </si>
  <si>
    <t>ORILLA</t>
  </si>
  <si>
    <t>Fc</t>
  </si>
  <si>
    <t>Fy</t>
  </si>
  <si>
    <t>ρ</t>
  </si>
  <si>
    <t>Ksi</t>
  </si>
  <si>
    <t>AREA FINAL in2</t>
  </si>
  <si>
    <t>B in</t>
  </si>
  <si>
    <t>H in</t>
  </si>
  <si>
    <r>
      <t xml:space="preserve">AREA in2 COLUMNA TOMANDO </t>
    </r>
    <r>
      <rPr>
        <b/>
        <sz val="11"/>
        <color theme="1"/>
        <rFont val="Calibri"/>
        <family val="2"/>
      </rPr>
      <t>ρ=0.02</t>
    </r>
  </si>
  <si>
    <t>Ecuacion tomada de libro de mcgregor</t>
  </si>
  <si>
    <t>CARGA MUERTA LOSA 1 a 9</t>
  </si>
  <si>
    <t>CARGA MUERTA LOSA 10 SOCIAL</t>
  </si>
  <si>
    <t>CARGA MUERTA LOSA 10 EQUIPOS Y PANELES</t>
  </si>
  <si>
    <t>PARA 10 NIVELES</t>
  </si>
  <si>
    <t>PARA 7 NIVELES</t>
  </si>
  <si>
    <t>PARA 5 NIVELES</t>
  </si>
  <si>
    <t>PARA 3 NIVELES</t>
  </si>
  <si>
    <t>B CM</t>
  </si>
  <si>
    <t>H CM</t>
  </si>
  <si>
    <t>ACERO IN2</t>
  </si>
  <si>
    <t>#BARRAS #8</t>
  </si>
  <si>
    <t>#BARRAS #6</t>
  </si>
  <si>
    <t>30CM MENOR DIMENSION</t>
  </si>
  <si>
    <t>Ecuacion tomada de libro de Oviedo Peru</t>
  </si>
  <si>
    <t>D2</t>
  </si>
  <si>
    <t>D3</t>
  </si>
  <si>
    <t>D4</t>
  </si>
  <si>
    <t>D5</t>
  </si>
  <si>
    <t>Story6</t>
  </si>
  <si>
    <t>D6</t>
  </si>
  <si>
    <t>Story7</t>
  </si>
  <si>
    <t>D7</t>
  </si>
  <si>
    <t>Story8</t>
  </si>
  <si>
    <t>D8</t>
  </si>
  <si>
    <t>Story9</t>
  </si>
  <si>
    <t>D9</t>
  </si>
  <si>
    <t>Story10</t>
  </si>
  <si>
    <t>D10</t>
  </si>
  <si>
    <t>Story11</t>
  </si>
  <si>
    <t>D11</t>
  </si>
  <si>
    <t>CARGA  VIVA LOSA 1 AL 10</t>
  </si>
  <si>
    <t>ALTURA EDIFICIO</t>
  </si>
  <si>
    <t xml:space="preserve">m </t>
  </si>
  <si>
    <t>VALORES INGRESADOS MANUAL</t>
  </si>
  <si>
    <t>TABLE:  Auto Seismic - UBC 94</t>
  </si>
  <si>
    <t>Load Pattern</t>
  </si>
  <si>
    <t>Type</t>
  </si>
  <si>
    <t>Period Method</t>
  </si>
  <si>
    <t>Ct</t>
  </si>
  <si>
    <t>Top Story</t>
  </si>
  <si>
    <t>Bottom Story</t>
  </si>
  <si>
    <t>Rw</t>
  </si>
  <si>
    <t>Z</t>
  </si>
  <si>
    <t>S</t>
  </si>
  <si>
    <t>I</t>
  </si>
  <si>
    <t>Period Used</t>
  </si>
  <si>
    <t>Coeff Used</t>
  </si>
  <si>
    <t>Weight Used</t>
  </si>
  <si>
    <t>Base Shear</t>
  </si>
  <si>
    <t>Ft Used</t>
  </si>
  <si>
    <t>ft</t>
  </si>
  <si>
    <t>sec</t>
  </si>
  <si>
    <t>SX</t>
  </si>
  <si>
    <t>Seismic</t>
  </si>
  <si>
    <t>X</t>
  </si>
  <si>
    <t>Program Calculated</t>
  </si>
  <si>
    <t>SY</t>
  </si>
  <si>
    <t>Y</t>
  </si>
  <si>
    <t>TABLE:  Modal Participating Mass Ratios</t>
  </si>
  <si>
    <t>Case</t>
  </si>
  <si>
    <t>Mode</t>
  </si>
  <si>
    <t>Period</t>
  </si>
  <si>
    <t>UX</t>
  </si>
  <si>
    <t>UY</t>
  </si>
  <si>
    <t>UZ</t>
  </si>
  <si>
    <t>Sum UX</t>
  </si>
  <si>
    <t>Sum UY</t>
  </si>
  <si>
    <t>Sum UZ</t>
  </si>
  <si>
    <t>RX</t>
  </si>
  <si>
    <t>RY</t>
  </si>
  <si>
    <t>RZ</t>
  </si>
  <si>
    <t>Sum RX</t>
  </si>
  <si>
    <t>Sum RY</t>
  </si>
  <si>
    <t>Sum RZ</t>
  </si>
  <si>
    <t>Modal</t>
  </si>
  <si>
    <t>Step Type</t>
  </si>
  <si>
    <t>ESPECTRO X</t>
  </si>
  <si>
    <t>Max</t>
  </si>
  <si>
    <t>Bottom</t>
  </si>
  <si>
    <t>ESPECTRO Y</t>
  </si>
  <si>
    <t>Step</t>
  </si>
  <si>
    <t>Single Step</t>
  </si>
  <si>
    <t>S D+L</t>
  </si>
  <si>
    <t>Shear X</t>
  </si>
  <si>
    <t>Drift X</t>
  </si>
  <si>
    <t>Shear Y</t>
  </si>
  <si>
    <t>Drift Y</t>
  </si>
  <si>
    <t>TABLE:  Story Drifts</t>
  </si>
  <si>
    <t>Drift</t>
  </si>
  <si>
    <t>Label</t>
  </si>
  <si>
    <t>Columna1</t>
  </si>
  <si>
    <t>Columna2</t>
  </si>
  <si>
    <t>Columna3</t>
  </si>
  <si>
    <t>Columna4</t>
  </si>
  <si>
    <t>Columna5</t>
  </si>
  <si>
    <t>Columna6</t>
  </si>
  <si>
    <t>Columna7</t>
  </si>
  <si>
    <t>Columna8</t>
  </si>
  <si>
    <t>ESTE BOTON SE DEBE PRESIONAR CUANDO SE HA CORRIDO EL MODELO DE ETABS POR PRIMERA VEZ, CARGADO CON EL ESPECTRO, Y EXPORTADO LAS TABLAS INICIALES Y GUARDADO COMO LIBRO1.XLSX</t>
  </si>
  <si>
    <t>ESTE BOTON SE DEBE PRESIONAR UNA VEZ QUE SE HA CORRIDO EL MODELO DE ETABS CON LAS CARGAS SISMICAS DEL DINAMICO MAYORADO  Y EXPORTADO LAS TABLAS DE DISEÑO Y GUARDADO COMO LIBRO2.XLSX</t>
  </si>
  <si>
    <t>ESTE BOTON SE DEBE PRESIONAR 2 VECES, LUEGO DE HABER CORRIDO TODAS LAS MACROS DENTRO DE CADA UNA DE LAS HOJAS DEL EXCEL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</si>
</sst>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_-;\-* #,##0.00_-;_-* &quot;-&quot;??_-;_-@_-"/>
    <numFmt numFmtId="164" formatCode="_-* #,##0.000000_-;\-* #,##0.000000_-;_-* &quot;-&quot;??_-;_-@_-"/>
    <numFmt numFmtId="165" formatCode="_-* #,##0.0000_-;\-* #,##0.0000_-;_-* &quot;-&quot;??_-;_-@_-"/>
    <numFmt numFmtId="166" formatCode="0.00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  <charset val="204"/>
    </font>
    <font>
      <b/>
      <u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/>
      <top style="thin">
        <color indexed="22"/>
      </top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64"/>
      </top>
      <bottom/>
      <diagonal/>
    </border>
    <border>
      <left style="thin">
        <color indexed="22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</borders>
  <cellStyleXfs count="3">
    <xf numFmtId="0" fontId="0" fillId="0" borderId="0"/>
    <xf numFmtId="0" fontId="5" fillId="0" borderId="0"/>
    <xf numFmtId="43" fontId="8" fillId="0" borderId="0" applyFont="0" applyFill="0" applyBorder="0" applyAlignment="0" applyProtection="0"/>
  </cellStyleXfs>
  <cellXfs count="206">
    <xf numFmtId="0" fontId="0" fillId="0" borderId="0" xfId="0"/>
    <xf numFmtId="0" fontId="0" fillId="0" borderId="1" xfId="0" applyBorder="1"/>
    <xf numFmtId="0" fontId="1" fillId="0" borderId="1" xfId="0" applyFont="1" applyBorder="1"/>
    <xf numFmtId="0" fontId="3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0" xfId="0"/>
    <xf numFmtId="0" fontId="2" fillId="0" borderId="0" xfId="0" applyFont="1"/>
    <xf numFmtId="0" fontId="4" fillId="0" borderId="0" xfId="0" applyFont="1"/>
    <xf numFmtId="0" fontId="3" fillId="4" borderId="1" xfId="0" applyFont="1" applyFill="1" applyBorder="1"/>
    <xf numFmtId="0" fontId="1" fillId="0" borderId="0" xfId="0" applyFont="1"/>
    <xf numFmtId="0" fontId="0" fillId="0" borderId="1" xfId="0" applyFont="1" applyBorder="1"/>
    <xf numFmtId="0" fontId="0" fillId="0" borderId="1" xfId="0" applyFill="1" applyBorder="1"/>
    <xf numFmtId="0" fontId="0" fillId="0" borderId="0" xfId="0"/>
    <xf numFmtId="0" fontId="0" fillId="0" borderId="0" xfId="0"/>
    <xf numFmtId="0" fontId="0" fillId="0" borderId="0" xfId="0" applyBorder="1"/>
    <xf numFmtId="0" fontId="0" fillId="0" borderId="0" xfId="0" applyBorder="1" applyAlignment="1">
      <alignment horizontal="center"/>
    </xf>
    <xf numFmtId="0" fontId="1" fillId="0" borderId="0" xfId="0" applyFont="1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2" xfId="0" applyFill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/>
    <xf numFmtId="0" fontId="0" fillId="0" borderId="16" xfId="0" applyBorder="1"/>
    <xf numFmtId="0" fontId="0" fillId="6" borderId="12" xfId="0" applyFill="1" applyBorder="1"/>
    <xf numFmtId="0" fontId="0" fillId="0" borderId="15" xfId="0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1" fillId="3" borderId="0" xfId="0" applyFont="1" applyFill="1" applyBorder="1" applyAlignment="1">
      <alignment horizontal="center"/>
    </xf>
    <xf numFmtId="0" fontId="0" fillId="0" borderId="9" xfId="0" applyBorder="1"/>
    <xf numFmtId="0" fontId="0" fillId="0" borderId="14" xfId="0" applyBorder="1"/>
    <xf numFmtId="0" fontId="1" fillId="3" borderId="12" xfId="0" applyFont="1" applyFill="1" applyBorder="1" applyAlignment="1">
      <alignment horizontal="center"/>
    </xf>
    <xf numFmtId="0" fontId="1" fillId="3" borderId="13" xfId="0" applyFont="1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3" borderId="13" xfId="0" applyFill="1" applyBorder="1" applyAlignment="1">
      <alignment horizontal="center"/>
    </xf>
    <xf numFmtId="0" fontId="0" fillId="0" borderId="0" xfId="0"/>
    <xf numFmtId="164" fontId="0" fillId="0" borderId="0" xfId="0" applyNumberFormat="1"/>
    <xf numFmtId="0" fontId="0" fillId="0" borderId="0" xfId="0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7" fillId="0" borderId="0" xfId="0" applyFont="1" applyAlignment="1">
      <alignment horizontal="center"/>
    </xf>
    <xf numFmtId="0" fontId="0" fillId="0" borderId="0" xfId="0" applyFont="1"/>
    <xf numFmtId="0" fontId="0" fillId="2" borderId="0" xfId="0" applyFont="1" applyFill="1"/>
    <xf numFmtId="0" fontId="1" fillId="2" borderId="0" xfId="0" applyFont="1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165" fontId="0" fillId="0" borderId="0" xfId="2" applyNumberFormat="1" applyFont="1"/>
    <xf numFmtId="43" fontId="0" fillId="0" borderId="0" xfId="2" applyFont="1"/>
    <xf numFmtId="0" fontId="1" fillId="3" borderId="5" xfId="0" applyFont="1" applyFill="1" applyBorder="1" applyAlignment="1">
      <alignment horizontal="center" vertical="center" wrapText="1"/>
    </xf>
    <xf numFmtId="0" fontId="0" fillId="3" borderId="6" xfId="0" applyFont="1" applyFill="1" applyBorder="1" applyAlignment="1">
      <alignment horizontal="center"/>
    </xf>
    <xf numFmtId="0" fontId="0" fillId="3" borderId="3" xfId="0" applyFont="1" applyFill="1" applyBorder="1" applyAlignment="1">
      <alignment horizontal="center"/>
    </xf>
    <xf numFmtId="166" fontId="0" fillId="0" borderId="0" xfId="0" applyNumberFormat="1" applyFont="1"/>
    <xf numFmtId="0" fontId="0" fillId="0" borderId="0" xfId="0" applyAlignment="1">
      <alignment vertical="center" wrapText="1"/>
    </xf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0" xfId="0" applyFill="1"/>
    <xf numFmtId="0" fontId="1" fillId="0" borderId="4" xfId="0" applyFont="1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0" xfId="0" applyFill="1" applyAlignment="1">
      <alignment vertical="center" wrapText="1"/>
    </xf>
    <xf numFmtId="0" fontId="6" fillId="0" borderId="0" xfId="0" applyFont="1"/>
    <xf numFmtId="0" fontId="1" fillId="3" borderId="8" xfId="0" applyFont="1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1" fillId="8" borderId="1" xfId="0" applyFont="1" applyFill="1" applyBorder="1" applyAlignment="1">
      <alignment horizontal="center"/>
    </xf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0" fillId="0" borderId="0" xfId="0" applyFill="1" applyBorder="1"/>
    <xf numFmtId="0" fontId="1" fillId="0" borderId="0" xfId="0" applyFont="1" applyFill="1" applyBorder="1"/>
    <xf numFmtId="0" fontId="0" fillId="0" borderId="0" xfId="0" applyFill="1" applyBorder="1" applyAlignment="1">
      <alignment horizontal="center"/>
    </xf>
    <xf numFmtId="0" fontId="0" fillId="0" borderId="0" xfId="0" applyFill="1" applyBorder="1" applyAlignment="1">
      <alignment vertical="center" wrapText="1"/>
    </xf>
    <xf numFmtId="43" fontId="0" fillId="0" borderId="0" xfId="0" applyNumberFormat="1"/>
    <xf numFmtId="0" fontId="0" fillId="3" borderId="8" xfId="0" applyFont="1" applyFill="1" applyBorder="1" applyAlignment="1">
      <alignment horizontal="center"/>
    </xf>
    <xf numFmtId="0" fontId="1" fillId="0" borderId="0" xfId="0" applyFont="1" applyFill="1"/>
    <xf numFmtId="0" fontId="1" fillId="0" borderId="5" xfId="0" applyFont="1" applyFill="1" applyBorder="1" applyAlignment="1">
      <alignment horizontal="center"/>
    </xf>
    <xf numFmtId="0" fontId="0" fillId="0" borderId="6" xfId="0" applyFill="1" applyBorder="1" applyAlignment="1">
      <alignment horizontal="center"/>
    </xf>
    <xf numFmtId="0" fontId="0" fillId="0" borderId="0" xfId="0"/>
    <xf numFmtId="0" fontId="4" fillId="0" borderId="0" xfId="0" applyFont="1" applyFill="1" applyAlignment="1"/>
    <xf numFmtId="0" fontId="4" fillId="0" borderId="0" xfId="0" applyFont="1" applyFill="1" applyAlignment="1">
      <alignment horizontal="center"/>
    </xf>
    <xf numFmtId="0" fontId="0" fillId="5" borderId="0" xfId="0" applyFont="1" applyFill="1" applyAlignment="1"/>
    <xf numFmtId="0" fontId="0" fillId="0" borderId="0" xfId="0" applyFont="1" applyFill="1" applyBorder="1" applyAlignment="1">
      <alignment horizontal="center"/>
    </xf>
    <xf numFmtId="0" fontId="0" fillId="6" borderId="11" xfId="0" applyFill="1" applyBorder="1"/>
    <xf numFmtId="0" fontId="0" fillId="0" borderId="13" xfId="0" applyBorder="1" applyAlignment="1">
      <alignment horizontal="center"/>
    </xf>
    <xf numFmtId="0" fontId="0" fillId="7" borderId="13" xfId="0" applyFill="1" applyBorder="1"/>
    <xf numFmtId="11" fontId="0" fillId="0" borderId="0" xfId="0" applyNumberFormat="1" applyAlignment="1">
      <alignment vertical="center" wrapText="1"/>
    </xf>
    <xf numFmtId="0" fontId="9" fillId="0" borderId="0" xfId="0" applyFont="1"/>
    <xf numFmtId="2" fontId="0" fillId="0" borderId="0" xfId="0" applyNumberFormat="1"/>
    <xf numFmtId="0" fontId="0" fillId="0" borderId="0" xfId="0" applyFont="1" applyBorder="1"/>
    <xf numFmtId="0" fontId="1" fillId="0" borderId="15" xfId="0" applyFont="1" applyBorder="1"/>
    <xf numFmtId="0" fontId="0" fillId="0" borderId="0" xfId="0"/>
    <xf numFmtId="0" fontId="3" fillId="0" borderId="2" xfId="0" applyFont="1" applyBorder="1" applyAlignment="1">
      <alignment horizontal="center"/>
    </xf>
    <xf numFmtId="0" fontId="0" fillId="0" borderId="2" xfId="0" applyBorder="1"/>
    <xf numFmtId="0" fontId="3" fillId="4" borderId="2" xfId="0" applyFont="1" applyFill="1" applyBorder="1"/>
    <xf numFmtId="0" fontId="1" fillId="0" borderId="2" xfId="0" applyFont="1" applyBorder="1"/>
    <xf numFmtId="0" fontId="1" fillId="0" borderId="1" xfId="0" applyFont="1" applyBorder="1" applyAlignment="1">
      <alignment horizontal="right"/>
    </xf>
    <xf numFmtId="43" fontId="1" fillId="0" borderId="0" xfId="0" applyNumberFormat="1" applyFont="1" applyFill="1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0" xfId="0"/>
    <xf numFmtId="0" fontId="1" fillId="0" borderId="0" xfId="0" applyFont="1" applyAlignment="1">
      <alignment horizontal="right"/>
    </xf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0" xfId="0"/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0" borderId="0" xfId="0"/>
    <xf numFmtId="0" fontId="0" fillId="0" borderId="0" xfId="0"/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9" xfId="0" applyBorder="1" applyAlignment="1"/>
    <xf numFmtId="0" fontId="0" fillId="0" borderId="11" xfId="0" applyBorder="1" applyAlignment="1"/>
    <xf numFmtId="0" fontId="0" fillId="0" borderId="18" xfId="0" applyBorder="1"/>
    <xf numFmtId="0" fontId="1" fillId="2" borderId="17" xfId="0" applyFont="1" applyFill="1" applyBorder="1" applyAlignment="1"/>
    <xf numFmtId="0" fontId="1" fillId="2" borderId="0" xfId="0" applyFont="1" applyFill="1" applyBorder="1" applyAlignment="1"/>
    <xf numFmtId="0" fontId="1" fillId="0" borderId="0" xfId="0" applyFont="1" applyFill="1" applyBorder="1" applyAlignment="1"/>
    <xf numFmtId="165" fontId="0" fillId="0" borderId="0" xfId="0" applyNumberFormat="1"/>
    <xf numFmtId="0" fontId="1" fillId="3" borderId="20" xfId="0" applyFont="1" applyFill="1" applyBorder="1" applyAlignment="1">
      <alignment horizontal="center"/>
    </xf>
    <xf numFmtId="0" fontId="3" fillId="9" borderId="19" xfId="0" applyFont="1" applyFill="1" applyBorder="1"/>
    <xf numFmtId="0" fontId="0" fillId="0" borderId="21" xfId="0" applyFont="1" applyBorder="1"/>
    <xf numFmtId="0" fontId="0" fillId="0" borderId="22" xfId="0" applyFont="1" applyBorder="1"/>
    <xf numFmtId="0" fontId="0" fillId="0" borderId="23" xfId="0" applyFont="1" applyBorder="1"/>
    <xf numFmtId="0" fontId="0" fillId="0" borderId="24" xfId="0" applyFont="1" applyBorder="1"/>
    <xf numFmtId="0" fontId="0" fillId="0" borderId="25" xfId="0" applyFont="1" applyBorder="1"/>
    <xf numFmtId="0" fontId="0" fillId="0" borderId="26" xfId="0" applyFont="1" applyBorder="1"/>
    <xf numFmtId="0" fontId="0" fillId="3" borderId="5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3" fillId="0" borderId="0" xfId="0" applyFont="1" applyAlignment="1">
      <alignment horizontal="center" wrapText="1"/>
    </xf>
    <xf numFmtId="0" fontId="3" fillId="0" borderId="0" xfId="0" applyFont="1" applyFill="1" applyAlignment="1">
      <alignment horizontal="center" vertical="center" wrapText="1"/>
    </xf>
    <xf numFmtId="0" fontId="0" fillId="0" borderId="7" xfId="0" applyFill="1" applyBorder="1" applyAlignment="1">
      <alignment horizontal="center" wrapText="1"/>
    </xf>
    <xf numFmtId="0" fontId="0" fillId="0" borderId="0" xfId="0" applyFill="1" applyBorder="1" applyAlignment="1">
      <alignment horizontal="center" wrapText="1"/>
    </xf>
    <xf numFmtId="0" fontId="0" fillId="0" borderId="7" xfId="0" applyBorder="1" applyAlignment="1">
      <alignment horizontal="center"/>
    </xf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 wrapText="1"/>
    </xf>
    <xf numFmtId="0" fontId="1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1" fillId="6" borderId="9" xfId="0" applyFont="1" applyFill="1" applyBorder="1" applyAlignment="1">
      <alignment horizontal="center"/>
    </xf>
    <xf numFmtId="0" fontId="1" fillId="6" borderId="10" xfId="0" applyFont="1" applyFill="1" applyBorder="1" applyAlignment="1">
      <alignment horizontal="center"/>
    </xf>
    <xf numFmtId="0" fontId="2" fillId="9" borderId="0" xfId="0" applyFont="1" applyFill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1" fillId="2" borderId="17" xfId="0" applyFont="1" applyFill="1" applyBorder="1" applyAlignment="1">
      <alignment horizontal="center"/>
    </xf>
  </cellXfs>
  <cellStyles count="3">
    <cellStyle name="Millares" xfId="2" builtinId="3"/>
    <cellStyle name="Normal" xfId="0" builtinId="0"/>
    <cellStyle name="Normal 2" xfId="1"/>
  </cellStyles>
  <dxfs count="1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 outline="0">
        <top style="thin">
          <color indexed="22"/>
        </top>
      </border>
    </dxf>
    <dxf>
      <fill>
        <patternFill patternType="solid">
          <fgColor indexed="64"/>
          <bgColor indexed="44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22"/>
        </top>
      </border>
    </dxf>
    <dxf>
      <fill>
        <patternFill patternType="solid">
          <fgColor indexed="64"/>
          <bgColor indexed="44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22"/>
        </top>
      </border>
    </dxf>
    <dxf>
      <fill>
        <patternFill patternType="solid">
          <fgColor indexed="64"/>
          <bgColor indexed="44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22"/>
        </top>
      </border>
    </dxf>
    <dxf>
      <fill>
        <patternFill patternType="solid">
          <fgColor indexed="64"/>
          <bgColor indexed="44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22"/>
        </top>
      </border>
    </dxf>
    <dxf>
      <fill>
        <patternFill patternType="solid">
          <fgColor indexed="64"/>
          <bgColor indexed="44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22"/>
        </top>
      </border>
    </dxf>
    <dxf>
      <fill>
        <patternFill patternType="solid">
          <fgColor indexed="64"/>
          <bgColor indexed="44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22"/>
        </top>
      </border>
    </dxf>
    <dxf>
      <fill>
        <patternFill patternType="solid">
          <fgColor indexed="64"/>
          <bgColor indexed="44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22"/>
        </top>
      </border>
    </dxf>
    <dxf>
      <fill>
        <patternFill patternType="solid">
          <fgColor indexed="64"/>
          <bgColor indexed="44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350520</xdr:colOff>
          <xdr:row>1</xdr:row>
          <xdr:rowOff>121920</xdr:rowOff>
        </xdr:from>
        <xdr:to>
          <xdr:col>5</xdr:col>
          <xdr:colOff>449580</xdr:colOff>
          <xdr:row>8</xdr:row>
          <xdr:rowOff>45720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CORRIDA INICIAL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350520</xdr:colOff>
          <xdr:row>10</xdr:row>
          <xdr:rowOff>83820</xdr:rowOff>
        </xdr:from>
        <xdr:to>
          <xdr:col>5</xdr:col>
          <xdr:colOff>449580</xdr:colOff>
          <xdr:row>16</xdr:row>
          <xdr:rowOff>144780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CORRIDA DISEÑO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396240</xdr:colOff>
          <xdr:row>19</xdr:row>
          <xdr:rowOff>38100</xdr:rowOff>
        </xdr:from>
        <xdr:to>
          <xdr:col>5</xdr:col>
          <xdr:colOff>472440</xdr:colOff>
          <xdr:row>25</xdr:row>
          <xdr:rowOff>152400</xdr:rowOff>
        </xdr:to>
        <xdr:sp macro="" textlink="">
          <xdr:nvSpPr>
            <xdr:cNvPr id="25606" name="Button 6" hidden="1">
              <a:extLst>
                <a:ext uri="{63B3BB69-23CF-44E3-9099-C40C66FF867C}">
                  <a14:compatExt spid="_x0000_s25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BORRAR TABLAS COPIADAS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114300</xdr:colOff>
      <xdr:row>1</xdr:row>
      <xdr:rowOff>114300</xdr:rowOff>
    </xdr:from>
    <xdr:to>
      <xdr:col>16</xdr:col>
      <xdr:colOff>335280</xdr:colOff>
      <xdr:row>4</xdr:row>
      <xdr:rowOff>38100</xdr:rowOff>
    </xdr:to>
    <xdr:sp macro="" textlink="">
      <xdr:nvSpPr>
        <xdr:cNvPr id="2" name="CuadroTexto 1">
          <a:hlinkClick xmlns:r="http://schemas.openxmlformats.org/officeDocument/2006/relationships" r:id="rId1"/>
        </xdr:cNvPr>
        <xdr:cNvSpPr txBox="1"/>
      </xdr:nvSpPr>
      <xdr:spPr>
        <a:xfrm>
          <a:off x="11376660" y="29718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693420</xdr:colOff>
          <xdr:row>3</xdr:row>
          <xdr:rowOff>99060</xdr:rowOff>
        </xdr:from>
        <xdr:to>
          <xdr:col>15</xdr:col>
          <xdr:colOff>38100</xdr:colOff>
          <xdr:row>13</xdr:row>
          <xdr:rowOff>167640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FUERZAS ESPECTRALES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259080</xdr:colOff>
      <xdr:row>0</xdr:row>
      <xdr:rowOff>45720</xdr:rowOff>
    </xdr:from>
    <xdr:to>
      <xdr:col>14</xdr:col>
      <xdr:colOff>480060</xdr:colOff>
      <xdr:row>2</xdr:row>
      <xdr:rowOff>152400</xdr:rowOff>
    </xdr:to>
    <xdr:sp macro="" textlink="">
      <xdr:nvSpPr>
        <xdr:cNvPr id="3" name="CuadroTexto 2">
          <a:hlinkClick xmlns:r="http://schemas.openxmlformats.org/officeDocument/2006/relationships" r:id="rId1"/>
        </xdr:cNvPr>
        <xdr:cNvSpPr txBox="1"/>
      </xdr:nvSpPr>
      <xdr:spPr>
        <a:xfrm>
          <a:off x="8976360" y="4572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180975</xdr:colOff>
      <xdr:row>0</xdr:row>
      <xdr:rowOff>104775</xdr:rowOff>
    </xdr:from>
    <xdr:to>
      <xdr:col>19</xdr:col>
      <xdr:colOff>405765</xdr:colOff>
      <xdr:row>3</xdr:row>
      <xdr:rowOff>34290</xdr:rowOff>
    </xdr:to>
    <xdr:sp macro="" textlink="">
      <xdr:nvSpPr>
        <xdr:cNvPr id="2" name="CuadroTexto 1">
          <a:hlinkClick xmlns:r="http://schemas.openxmlformats.org/officeDocument/2006/relationships" r:id="rId1"/>
        </xdr:cNvPr>
        <xdr:cNvSpPr txBox="1"/>
      </xdr:nvSpPr>
      <xdr:spPr>
        <a:xfrm>
          <a:off x="15801975" y="104775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556260</xdr:colOff>
          <xdr:row>3</xdr:row>
          <xdr:rowOff>83820</xdr:rowOff>
        </xdr:from>
        <xdr:to>
          <xdr:col>12</xdr:col>
          <xdr:colOff>152400</xdr:colOff>
          <xdr:row>35</xdr:row>
          <xdr:rowOff>15240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RIGIDEZ PISO SUAVE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624840</xdr:colOff>
      <xdr:row>0</xdr:row>
      <xdr:rowOff>53340</xdr:rowOff>
    </xdr:from>
    <xdr:to>
      <xdr:col>12</xdr:col>
      <xdr:colOff>53340</xdr:colOff>
      <xdr:row>2</xdr:row>
      <xdr:rowOff>160020</xdr:rowOff>
    </xdr:to>
    <xdr:sp macro="" textlink="">
      <xdr:nvSpPr>
        <xdr:cNvPr id="3" name="CuadroTexto 2">
          <a:hlinkClick xmlns:r="http://schemas.openxmlformats.org/officeDocument/2006/relationships" r:id="rId1"/>
        </xdr:cNvPr>
        <xdr:cNvSpPr txBox="1"/>
      </xdr:nvSpPr>
      <xdr:spPr>
        <a:xfrm>
          <a:off x="7757160" y="5334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640080</xdr:colOff>
          <xdr:row>5</xdr:row>
          <xdr:rowOff>0</xdr:rowOff>
        </xdr:from>
        <xdr:to>
          <xdr:col>15</xdr:col>
          <xdr:colOff>510540</xdr:colOff>
          <xdr:row>45</xdr:row>
          <xdr:rowOff>7620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P-DELTA/ SERVICIO DL+LL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144780</xdr:colOff>
      <xdr:row>0</xdr:row>
      <xdr:rowOff>137160</xdr:rowOff>
    </xdr:from>
    <xdr:to>
      <xdr:col>15</xdr:col>
      <xdr:colOff>365760</xdr:colOff>
      <xdr:row>3</xdr:row>
      <xdr:rowOff>60960</xdr:rowOff>
    </xdr:to>
    <xdr:sp macro="" textlink="">
      <xdr:nvSpPr>
        <xdr:cNvPr id="3" name="CuadroTexto 2">
          <a:hlinkClick xmlns:r="http://schemas.openxmlformats.org/officeDocument/2006/relationships" r:id="rId1"/>
        </xdr:cNvPr>
        <xdr:cNvSpPr txBox="1"/>
      </xdr:nvSpPr>
      <xdr:spPr>
        <a:xfrm>
          <a:off x="8862060" y="13716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480060</xdr:colOff>
          <xdr:row>0</xdr:row>
          <xdr:rowOff>106680</xdr:rowOff>
        </xdr:from>
        <xdr:to>
          <xdr:col>15</xdr:col>
          <xdr:colOff>76200</xdr:colOff>
          <xdr:row>13</xdr:row>
          <xdr:rowOff>53340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IRRE_TORSIONAL</a:t>
              </a:r>
            </a:p>
          </xdr:txBody>
        </xdr:sp>
        <xdr:clientData fPrintsWithSheet="0"/>
      </xdr:twoCellAnchor>
    </mc:Choice>
    <mc:Fallback/>
  </mc:AlternateContent>
  <xdr:twoCellAnchor>
    <xdr:from>
      <xdr:col>15</xdr:col>
      <xdr:colOff>343988</xdr:colOff>
      <xdr:row>1</xdr:row>
      <xdr:rowOff>149134</xdr:rowOff>
    </xdr:from>
    <xdr:to>
      <xdr:col>17</xdr:col>
      <xdr:colOff>564968</xdr:colOff>
      <xdr:row>8</xdr:row>
      <xdr:rowOff>70757</xdr:rowOff>
    </xdr:to>
    <xdr:sp macro="" textlink="">
      <xdr:nvSpPr>
        <xdr:cNvPr id="3" name="CuadroTexto 2">
          <a:hlinkClick xmlns:r="http://schemas.openxmlformats.org/officeDocument/2006/relationships" r:id="rId1"/>
        </xdr:cNvPr>
        <xdr:cNvSpPr txBox="1"/>
      </xdr:nvSpPr>
      <xdr:spPr>
        <a:xfrm>
          <a:off x="13853159" y="334191"/>
          <a:ext cx="1810295" cy="1031966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335280</xdr:colOff>
          <xdr:row>0</xdr:row>
          <xdr:rowOff>99060</xdr:rowOff>
        </xdr:from>
        <xdr:to>
          <xdr:col>13</xdr:col>
          <xdr:colOff>152400</xdr:colOff>
          <xdr:row>6</xdr:row>
          <xdr:rowOff>129540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DERIVAS POR PISO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434340</xdr:colOff>
      <xdr:row>1</xdr:row>
      <xdr:rowOff>91440</xdr:rowOff>
    </xdr:from>
    <xdr:to>
      <xdr:col>15</xdr:col>
      <xdr:colOff>655320</xdr:colOff>
      <xdr:row>5</xdr:row>
      <xdr:rowOff>91440</xdr:rowOff>
    </xdr:to>
    <xdr:sp macro="" textlink="">
      <xdr:nvSpPr>
        <xdr:cNvPr id="3" name="CuadroTexto 2">
          <a:hlinkClick xmlns:r="http://schemas.openxmlformats.org/officeDocument/2006/relationships" r:id="rId1"/>
        </xdr:cNvPr>
        <xdr:cNvSpPr txBox="1"/>
      </xdr:nvSpPr>
      <xdr:spPr>
        <a:xfrm>
          <a:off x="12321540" y="274320"/>
          <a:ext cx="1805940" cy="5486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771525</xdr:colOff>
      <xdr:row>0</xdr:row>
      <xdr:rowOff>114300</xdr:rowOff>
    </xdr:from>
    <xdr:to>
      <xdr:col>12</xdr:col>
      <xdr:colOff>205740</xdr:colOff>
      <xdr:row>3</xdr:row>
      <xdr:rowOff>43815</xdr:rowOff>
    </xdr:to>
    <xdr:sp macro="" textlink="">
      <xdr:nvSpPr>
        <xdr:cNvPr id="2" name="CuadroTexto 1">
          <a:hlinkClick xmlns:r="http://schemas.openxmlformats.org/officeDocument/2006/relationships" r:id="rId1"/>
        </xdr:cNvPr>
        <xdr:cNvSpPr txBox="1"/>
      </xdr:nvSpPr>
      <xdr:spPr>
        <a:xfrm>
          <a:off x="8039100" y="11430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409575</xdr:colOff>
      <xdr:row>0</xdr:row>
      <xdr:rowOff>104775</xdr:rowOff>
    </xdr:from>
    <xdr:to>
      <xdr:col>20</xdr:col>
      <xdr:colOff>634365</xdr:colOff>
      <xdr:row>3</xdr:row>
      <xdr:rowOff>15240</xdr:rowOff>
    </xdr:to>
    <xdr:sp macro="" textlink="">
      <xdr:nvSpPr>
        <xdr:cNvPr id="3" name="CuadroTexto 2">
          <a:hlinkClick xmlns:r="http://schemas.openxmlformats.org/officeDocument/2006/relationships" r:id="rId1"/>
        </xdr:cNvPr>
        <xdr:cNvSpPr txBox="1"/>
      </xdr:nvSpPr>
      <xdr:spPr>
        <a:xfrm>
          <a:off x="14906625" y="104775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662940</xdr:colOff>
      <xdr:row>0</xdr:row>
      <xdr:rowOff>160020</xdr:rowOff>
    </xdr:from>
    <xdr:to>
      <xdr:col>11</xdr:col>
      <xdr:colOff>91440</xdr:colOff>
      <xdr:row>3</xdr:row>
      <xdr:rowOff>83820</xdr:rowOff>
    </xdr:to>
    <xdr:sp macro="" textlink="">
      <xdr:nvSpPr>
        <xdr:cNvPr id="2" name="CuadroTexto 1">
          <a:hlinkClick xmlns:r="http://schemas.openxmlformats.org/officeDocument/2006/relationships" r:id="rId1"/>
        </xdr:cNvPr>
        <xdr:cNvSpPr txBox="1"/>
      </xdr:nvSpPr>
      <xdr:spPr>
        <a:xfrm>
          <a:off x="7002780" y="16002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647700</xdr:colOff>
      <xdr:row>1</xdr:row>
      <xdr:rowOff>0</xdr:rowOff>
    </xdr:from>
    <xdr:to>
      <xdr:col>11</xdr:col>
      <xdr:colOff>76200</xdr:colOff>
      <xdr:row>3</xdr:row>
      <xdr:rowOff>106680</xdr:rowOff>
    </xdr:to>
    <xdr:sp macro="" textlink="">
      <xdr:nvSpPr>
        <xdr:cNvPr id="2" name="CuadroTexto 1">
          <a:hlinkClick xmlns:r="http://schemas.openxmlformats.org/officeDocument/2006/relationships" r:id="rId1"/>
        </xdr:cNvPr>
        <xdr:cNvSpPr txBox="1"/>
      </xdr:nvSpPr>
      <xdr:spPr>
        <a:xfrm>
          <a:off x="6987540" y="18288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104775</xdr:colOff>
      <xdr:row>0</xdr:row>
      <xdr:rowOff>104775</xdr:rowOff>
    </xdr:from>
    <xdr:to>
      <xdr:col>17</xdr:col>
      <xdr:colOff>329565</xdr:colOff>
      <xdr:row>3</xdr:row>
      <xdr:rowOff>34290</xdr:rowOff>
    </xdr:to>
    <xdr:sp macro="" textlink="">
      <xdr:nvSpPr>
        <xdr:cNvPr id="2" name="CuadroTexto 1">
          <a:hlinkClick xmlns:r="http://schemas.openxmlformats.org/officeDocument/2006/relationships" r:id="rId1"/>
        </xdr:cNvPr>
        <xdr:cNvSpPr txBox="1"/>
      </xdr:nvSpPr>
      <xdr:spPr>
        <a:xfrm>
          <a:off x="13306425" y="104775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21" name="Tabla1" displayName="Tabla1" ref="B5:G109" totalsRowShown="0" headerRowDxfId="17" tableBorderDxfId="16">
  <autoFilter ref="B5:G109">
    <filterColumn colId="1">
      <filters>
        <filter val="EQXEP"/>
      </filters>
    </filterColumn>
    <filterColumn colId="2">
      <filters>
        <filter val="X"/>
      </filters>
    </filterColumn>
  </autoFilter>
  <tableColumns count="6">
    <tableColumn id="1" name="Columna1"/>
    <tableColumn id="2" name="Columna2"/>
    <tableColumn id="3" name="Columna3"/>
    <tableColumn id="4" name="Columna4"/>
    <tableColumn id="5" name="Columna5"/>
    <tableColumn id="6" name="Columna6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22" name="Tabla2" displayName="Tabla2" ref="B114:G219" totalsRowShown="0" headerRowDxfId="15" tableBorderDxfId="14">
  <autoFilter ref="B114:G219">
    <filterColumn colId="1">
      <filters>
        <filter val="EQXEN"/>
      </filters>
    </filterColumn>
    <filterColumn colId="2">
      <filters>
        <filter val="X"/>
      </filters>
    </filterColumn>
  </autoFilter>
  <tableColumns count="6">
    <tableColumn id="1" name="Columna1"/>
    <tableColumn id="2" name="Columna2"/>
    <tableColumn id="3" name="Columna3"/>
    <tableColumn id="4" name="Columna4"/>
    <tableColumn id="5" name="Columna5"/>
    <tableColumn id="6" name="Columna6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23" name="Tabla3" displayName="Tabla3" ref="B225:G329" totalsRowShown="0" headerRowDxfId="13" tableBorderDxfId="12">
  <autoFilter ref="B225:G329">
    <filterColumn colId="1">
      <filters>
        <filter val="EQYEP"/>
      </filters>
    </filterColumn>
    <filterColumn colId="2">
      <filters>
        <filter val="Y"/>
      </filters>
    </filterColumn>
  </autoFilter>
  <tableColumns count="6">
    <tableColumn id="1" name="Columna1"/>
    <tableColumn id="2" name="Columna2"/>
    <tableColumn id="3" name="Columna3"/>
    <tableColumn id="4" name="Columna4"/>
    <tableColumn id="5" name="Columna5"/>
    <tableColumn id="6" name="Columna6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id="24" name="Tabla4" displayName="Tabla4" ref="B336:G439" totalsRowShown="0" headerRowDxfId="11" tableBorderDxfId="10">
  <autoFilter ref="B336:G439">
    <filterColumn colId="1">
      <filters>
        <filter val="EQYEN"/>
      </filters>
    </filterColumn>
    <filterColumn colId="2">
      <filters>
        <filter val="Y"/>
      </filters>
    </filterColumn>
  </autoFilter>
  <tableColumns count="6">
    <tableColumn id="1" name="Columna1"/>
    <tableColumn id="2" name="Columna2"/>
    <tableColumn id="3" name="Columna3"/>
    <tableColumn id="4" name="Columna4"/>
    <tableColumn id="5" name="Columna5"/>
    <tableColumn id="6" name="Columna6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25" name="Tabla5" displayName="Tabla5" ref="B5:I109" totalsRowShown="0" headerRowDxfId="9" tableBorderDxfId="8">
  <autoFilter ref="B5:I109">
    <filterColumn colId="1">
      <filters>
        <filter val="EQXEP"/>
      </filters>
    </filterColumn>
    <filterColumn colId="2">
      <filters>
        <filter val="X"/>
      </filters>
    </filterColumn>
  </autoFilter>
  <tableColumns count="8">
    <tableColumn id="1" name="Columna1"/>
    <tableColumn id="2" name="Columna2"/>
    <tableColumn id="3" name="Columna3"/>
    <tableColumn id="4" name="Columna4"/>
    <tableColumn id="5" name="Columna5"/>
    <tableColumn id="6" name="Columna6"/>
    <tableColumn id="7" name="Columna7"/>
    <tableColumn id="8" name="Columna8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id="26" name="Tabla6" displayName="Tabla6" ref="B114:I219" totalsRowShown="0" headerRowDxfId="7" tableBorderDxfId="6">
  <autoFilter ref="B114:I219">
    <filterColumn colId="1">
      <filters>
        <filter val="EQXEN"/>
      </filters>
    </filterColumn>
    <filterColumn colId="2">
      <filters>
        <filter val="X"/>
      </filters>
    </filterColumn>
  </autoFilter>
  <tableColumns count="8">
    <tableColumn id="1" name="Columna1"/>
    <tableColumn id="2" name="Columna2"/>
    <tableColumn id="3" name="Columna3"/>
    <tableColumn id="4" name="Columna4"/>
    <tableColumn id="5" name="Columna5"/>
    <tableColumn id="6" name="Columna6"/>
    <tableColumn id="7" name="Columna7"/>
    <tableColumn id="8" name="Columna8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id="27" name="Tabla7" displayName="Tabla7" ref="B225:I329" totalsRowShown="0" headerRowDxfId="5" tableBorderDxfId="4">
  <autoFilter ref="B225:I329">
    <filterColumn colId="1">
      <filters>
        <filter val="EQYEP"/>
      </filters>
    </filterColumn>
    <filterColumn colId="2">
      <filters>
        <filter val="Y"/>
      </filters>
    </filterColumn>
  </autoFilter>
  <tableColumns count="8">
    <tableColumn id="1" name="Columna1"/>
    <tableColumn id="2" name="Columna2"/>
    <tableColumn id="3" name="Columna3"/>
    <tableColumn id="4" name="Columna4"/>
    <tableColumn id="5" name="Columna5"/>
    <tableColumn id="6" name="Columna6"/>
    <tableColumn id="7" name="Columna7"/>
    <tableColumn id="8" name="Columna8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id="28" name="Tabla8" displayName="Tabla8" ref="B336:I439" totalsRowShown="0" headerRowDxfId="3" tableBorderDxfId="2">
  <autoFilter ref="B336:I439">
    <filterColumn colId="1">
      <filters>
        <filter val="EQYEN"/>
      </filters>
    </filterColumn>
    <filterColumn colId="2">
      <filters>
        <filter val="Y"/>
      </filters>
    </filterColumn>
  </autoFilter>
  <tableColumns count="8">
    <tableColumn id="1" name="Columna1"/>
    <tableColumn id="2" name="Columna2"/>
    <tableColumn id="3" name="Columna3"/>
    <tableColumn id="4" name="Columna4"/>
    <tableColumn id="5" name="Columna5"/>
    <tableColumn id="6" name="Columna6"/>
    <tableColumn id="7" name="Columna7"/>
    <tableColumn id="8" name="Columna8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7" Type="http://schemas.openxmlformats.org/officeDocument/2006/relationships/table" Target="../tables/table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7" Type="http://schemas.openxmlformats.org/officeDocument/2006/relationships/table" Target="../tables/table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5"/>
  <dimension ref="B4:M33"/>
  <sheetViews>
    <sheetView tabSelected="1" workbookViewId="0">
      <selection activeCell="J20" sqref="J20"/>
    </sheetView>
  </sheetViews>
  <sheetFormatPr baseColWidth="10" defaultRowHeight="14.4" x14ac:dyDescent="0.3"/>
  <sheetData>
    <row r="4" spans="7:13" x14ac:dyDescent="0.3">
      <c r="G4" s="192" t="s">
        <v>259</v>
      </c>
      <c r="H4" s="192"/>
      <c r="I4" s="192"/>
      <c r="J4" s="192"/>
      <c r="K4" s="192"/>
      <c r="L4" s="192"/>
      <c r="M4" s="192"/>
    </row>
    <row r="5" spans="7:13" x14ac:dyDescent="0.3">
      <c r="G5" s="192"/>
      <c r="H5" s="192"/>
      <c r="I5" s="192"/>
      <c r="J5" s="192"/>
      <c r="K5" s="192"/>
      <c r="L5" s="192"/>
      <c r="M5" s="192"/>
    </row>
    <row r="6" spans="7:13" x14ac:dyDescent="0.3">
      <c r="G6" s="192"/>
      <c r="H6" s="192"/>
      <c r="I6" s="192"/>
      <c r="J6" s="192"/>
      <c r="K6" s="192"/>
      <c r="L6" s="192"/>
      <c r="M6" s="192"/>
    </row>
    <row r="13" spans="7:13" x14ac:dyDescent="0.3">
      <c r="G13" s="192" t="s">
        <v>260</v>
      </c>
      <c r="H13" s="192"/>
      <c r="I13" s="192"/>
      <c r="J13" s="192"/>
      <c r="K13" s="192"/>
      <c r="L13" s="192"/>
      <c r="M13" s="192"/>
    </row>
    <row r="14" spans="7:13" x14ac:dyDescent="0.3">
      <c r="G14" s="192"/>
      <c r="H14" s="192"/>
      <c r="I14" s="192"/>
      <c r="J14" s="192"/>
      <c r="K14" s="192"/>
      <c r="L14" s="192"/>
      <c r="M14" s="192"/>
    </row>
    <row r="15" spans="7:13" x14ac:dyDescent="0.3">
      <c r="G15" s="192"/>
      <c r="H15" s="192"/>
      <c r="I15" s="192"/>
      <c r="J15" s="192"/>
      <c r="K15" s="192"/>
      <c r="L15" s="192"/>
      <c r="M15" s="192"/>
    </row>
    <row r="20" spans="2:13" x14ac:dyDescent="0.3">
      <c r="B20" s="75"/>
      <c r="C20" s="75"/>
      <c r="D20" s="75"/>
      <c r="E20" s="75"/>
      <c r="F20" s="75"/>
      <c r="G20" s="75"/>
      <c r="H20" s="75"/>
      <c r="I20" s="75"/>
      <c r="J20" s="75"/>
      <c r="K20" s="75"/>
      <c r="L20" s="75"/>
      <c r="M20" s="75"/>
    </row>
    <row r="21" spans="2:13" x14ac:dyDescent="0.3">
      <c r="B21" s="75"/>
      <c r="C21" s="75"/>
      <c r="D21" s="75"/>
      <c r="E21" s="75"/>
      <c r="F21" s="75"/>
      <c r="G21" s="75"/>
      <c r="H21" s="75"/>
      <c r="I21" s="75"/>
      <c r="J21" s="75"/>
      <c r="K21" s="75"/>
      <c r="L21" s="75"/>
      <c r="M21" s="75"/>
    </row>
    <row r="22" spans="2:13" x14ac:dyDescent="0.3">
      <c r="B22" s="75"/>
      <c r="C22" s="75"/>
      <c r="D22" s="75"/>
      <c r="E22" s="75"/>
      <c r="F22" s="75"/>
      <c r="G22" s="193" t="s">
        <v>261</v>
      </c>
      <c r="H22" s="193"/>
      <c r="I22" s="193"/>
      <c r="J22" s="193"/>
      <c r="K22" s="193"/>
      <c r="L22" s="193"/>
      <c r="M22" s="193"/>
    </row>
    <row r="23" spans="2:13" x14ac:dyDescent="0.3">
      <c r="B23" s="75"/>
      <c r="C23" s="75"/>
      <c r="D23" s="75"/>
      <c r="E23" s="75"/>
      <c r="F23" s="75"/>
      <c r="G23" s="193"/>
      <c r="H23" s="193"/>
      <c r="I23" s="193"/>
      <c r="J23" s="193"/>
      <c r="K23" s="193"/>
      <c r="L23" s="193"/>
      <c r="M23" s="193"/>
    </row>
    <row r="24" spans="2:13" x14ac:dyDescent="0.3">
      <c r="B24" s="75"/>
      <c r="C24" s="75"/>
      <c r="D24" s="75"/>
      <c r="E24" s="75"/>
      <c r="F24" s="75"/>
      <c r="G24" s="193"/>
      <c r="H24" s="193"/>
      <c r="I24" s="193"/>
      <c r="J24" s="193"/>
      <c r="K24" s="193"/>
      <c r="L24" s="193"/>
      <c r="M24" s="193"/>
    </row>
    <row r="25" spans="2:13" x14ac:dyDescent="0.3">
      <c r="B25" s="75"/>
      <c r="C25" s="75"/>
      <c r="D25" s="75"/>
      <c r="E25" s="75"/>
      <c r="F25" s="75"/>
      <c r="G25" s="75"/>
      <c r="H25" s="75"/>
      <c r="I25" s="75"/>
      <c r="J25" s="75"/>
      <c r="K25" s="75"/>
      <c r="L25" s="75"/>
      <c r="M25" s="75"/>
    </row>
    <row r="26" spans="2:13" x14ac:dyDescent="0.3">
      <c r="B26" s="75"/>
      <c r="C26" s="75"/>
      <c r="D26" s="75"/>
      <c r="E26" s="75"/>
      <c r="F26" s="75"/>
      <c r="G26" s="75"/>
      <c r="H26" s="75"/>
      <c r="I26" s="75"/>
      <c r="J26" s="75"/>
      <c r="K26" s="75"/>
      <c r="L26" s="75"/>
      <c r="M26" s="75"/>
    </row>
    <row r="27" spans="2:13" x14ac:dyDescent="0.3">
      <c r="B27" s="75"/>
      <c r="C27" s="75"/>
      <c r="D27" s="75"/>
      <c r="E27" s="75"/>
      <c r="F27" s="75"/>
      <c r="G27" s="75"/>
      <c r="H27" s="75"/>
      <c r="I27" s="75"/>
      <c r="J27" s="75"/>
      <c r="K27" s="75"/>
      <c r="L27" s="75"/>
      <c r="M27" s="75"/>
    </row>
    <row r="28" spans="2:13" x14ac:dyDescent="0.3">
      <c r="B28" s="75"/>
      <c r="C28" s="75"/>
      <c r="D28" s="75"/>
      <c r="E28" s="75"/>
      <c r="F28" s="75"/>
      <c r="G28" s="75"/>
      <c r="H28" s="75"/>
      <c r="I28" s="75"/>
      <c r="J28" s="75"/>
      <c r="K28" s="75"/>
      <c r="L28" s="75"/>
      <c r="M28" s="75"/>
    </row>
    <row r="29" spans="2:13" x14ac:dyDescent="0.3">
      <c r="B29" s="75"/>
      <c r="C29" s="75"/>
      <c r="D29" s="75"/>
      <c r="E29" s="75"/>
      <c r="F29" s="75"/>
      <c r="G29" s="75"/>
      <c r="H29" s="75"/>
      <c r="I29" s="75"/>
      <c r="J29" s="75"/>
      <c r="K29" s="75"/>
      <c r="L29" s="75"/>
      <c r="M29" s="75"/>
    </row>
    <row r="30" spans="2:13" x14ac:dyDescent="0.3">
      <c r="B30" s="75"/>
      <c r="C30" s="75"/>
      <c r="D30" s="75"/>
      <c r="E30" s="75"/>
      <c r="F30" s="75"/>
      <c r="G30" s="75"/>
      <c r="H30" s="75"/>
      <c r="I30" s="75"/>
      <c r="J30" s="75"/>
      <c r="K30" s="75"/>
      <c r="L30" s="75"/>
      <c r="M30" s="75"/>
    </row>
    <row r="31" spans="2:13" x14ac:dyDescent="0.3">
      <c r="B31" s="75"/>
      <c r="C31" s="75"/>
      <c r="D31" s="75"/>
      <c r="E31" s="75"/>
      <c r="F31" s="75"/>
      <c r="G31" s="75"/>
      <c r="H31" s="75"/>
      <c r="I31" s="75"/>
      <c r="J31" s="75"/>
      <c r="K31" s="75"/>
      <c r="L31" s="75"/>
      <c r="M31" s="75"/>
    </row>
    <row r="32" spans="2:13" x14ac:dyDescent="0.3">
      <c r="B32" s="75"/>
      <c r="C32" s="75"/>
      <c r="D32" s="75"/>
      <c r="E32" s="75"/>
      <c r="F32" s="75"/>
      <c r="G32" s="75"/>
      <c r="H32" s="75"/>
      <c r="I32" s="75"/>
      <c r="J32" s="75"/>
      <c r="K32" s="75"/>
      <c r="L32" s="75"/>
      <c r="M32" s="75"/>
    </row>
    <row r="33" spans="2:13" x14ac:dyDescent="0.3">
      <c r="B33" s="75"/>
      <c r="C33" s="75"/>
      <c r="D33" s="75"/>
      <c r="E33" s="75"/>
      <c r="F33" s="75"/>
      <c r="G33" s="75"/>
      <c r="H33" s="75"/>
      <c r="I33" s="75"/>
      <c r="J33" s="75"/>
      <c r="K33" s="75"/>
      <c r="L33" s="75"/>
      <c r="M33" s="75"/>
    </row>
  </sheetData>
  <mergeCells count="3">
    <mergeCell ref="G4:M6"/>
    <mergeCell ref="G13:M15"/>
    <mergeCell ref="G22:M24"/>
  </mergeCell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COPIAR_CELDAS_INICIALES">
                <anchor moveWithCells="1" sizeWithCells="1">
                  <from>
                    <xdr:col>1</xdr:col>
                    <xdr:colOff>350520</xdr:colOff>
                    <xdr:row>1</xdr:row>
                    <xdr:rowOff>121920</xdr:rowOff>
                  </from>
                  <to>
                    <xdr:col>5</xdr:col>
                    <xdr:colOff>449580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Button 2">
              <controlPr defaultSize="0" print="0" autoFill="0" autoPict="0" macro="[0]!COPIAR_CELDAS_DISEÑO">
                <anchor moveWithCells="1" sizeWithCells="1">
                  <from>
                    <xdr:col>1</xdr:col>
                    <xdr:colOff>350520</xdr:colOff>
                    <xdr:row>10</xdr:row>
                    <xdr:rowOff>83820</xdr:rowOff>
                  </from>
                  <to>
                    <xdr:col>5</xdr:col>
                    <xdr:colOff>449580</xdr:colOff>
                    <xdr:row>16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6" name="Button 6">
              <controlPr defaultSize="0" print="0" autoFill="0" autoPict="0" macro="[0]!BORRAR_TABLAS">
                <anchor moveWithCells="1" sizeWithCells="1">
                  <from>
                    <xdr:col>1</xdr:col>
                    <xdr:colOff>396240</xdr:colOff>
                    <xdr:row>19</xdr:row>
                    <xdr:rowOff>38100</xdr:rowOff>
                  </from>
                  <to>
                    <xdr:col>5</xdr:col>
                    <xdr:colOff>472440</xdr:colOff>
                    <xdr:row>25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2:R83"/>
  <sheetViews>
    <sheetView workbookViewId="0">
      <selection activeCell="K17" sqref="K17"/>
    </sheetView>
  </sheetViews>
  <sheetFormatPr baseColWidth="10" defaultRowHeight="14.4" x14ac:dyDescent="0.3"/>
  <cols>
    <col min="2" max="2" width="28.88671875" customWidth="1"/>
    <col min="6" max="6" width="29.88671875" customWidth="1"/>
    <col min="7" max="7" width="11.33203125" customWidth="1"/>
    <col min="8" max="8" width="11.21875" customWidth="1"/>
    <col min="9" max="9" width="13.44140625" customWidth="1"/>
    <col min="10" max="10" width="34.109375" customWidth="1"/>
    <col min="13" max="13" width="14.21875" customWidth="1"/>
    <col min="17" max="17" width="12.5546875" bestFit="1" customWidth="1"/>
  </cols>
  <sheetData>
    <row r="2" spans="2:12" x14ac:dyDescent="0.3">
      <c r="B2" s="4" t="s">
        <v>161</v>
      </c>
      <c r="C2" s="3" t="s">
        <v>5</v>
      </c>
      <c r="D2" s="114" t="s">
        <v>6</v>
      </c>
      <c r="E2" s="118" t="s">
        <v>140</v>
      </c>
      <c r="F2" s="4" t="s">
        <v>191</v>
      </c>
      <c r="G2" s="3" t="s">
        <v>5</v>
      </c>
      <c r="H2" s="3" t="s">
        <v>6</v>
      </c>
    </row>
    <row r="3" spans="2:12" x14ac:dyDescent="0.3">
      <c r="B3" s="1" t="s">
        <v>0</v>
      </c>
      <c r="C3" s="1">
        <f>0.15*2400</f>
        <v>360</v>
      </c>
      <c r="D3" s="115">
        <v>360</v>
      </c>
      <c r="E3" s="1">
        <v>1</v>
      </c>
      <c r="F3" s="1" t="s">
        <v>141</v>
      </c>
      <c r="G3" s="1">
        <v>500</v>
      </c>
      <c r="H3" s="1"/>
    </row>
    <row r="4" spans="2:12" x14ac:dyDescent="0.3">
      <c r="B4" s="1" t="s">
        <v>1</v>
      </c>
      <c r="C4" s="1">
        <v>20</v>
      </c>
      <c r="D4" s="115">
        <v>20</v>
      </c>
      <c r="E4" s="1">
        <v>2</v>
      </c>
      <c r="F4" s="1" t="s">
        <v>142</v>
      </c>
      <c r="G4" s="1">
        <v>200</v>
      </c>
      <c r="H4" s="1"/>
    </row>
    <row r="5" spans="2:12" x14ac:dyDescent="0.3">
      <c r="B5" s="1" t="s">
        <v>2</v>
      </c>
      <c r="C5" s="1">
        <v>25</v>
      </c>
      <c r="D5" s="115">
        <v>25</v>
      </c>
      <c r="E5" s="1">
        <v>3</v>
      </c>
      <c r="F5" s="1" t="s">
        <v>142</v>
      </c>
      <c r="G5" s="1">
        <v>200</v>
      </c>
      <c r="H5" s="1"/>
    </row>
    <row r="6" spans="2:12" s="5" customFormat="1" x14ac:dyDescent="0.3">
      <c r="B6" s="1" t="s">
        <v>30</v>
      </c>
      <c r="C6" s="1">
        <v>75</v>
      </c>
      <c r="D6" s="115">
        <v>75</v>
      </c>
      <c r="E6" s="1">
        <v>4</v>
      </c>
      <c r="F6" s="1" t="s">
        <v>142</v>
      </c>
      <c r="G6" s="1">
        <v>200</v>
      </c>
      <c r="H6" s="1"/>
    </row>
    <row r="7" spans="2:12" s="100" customFormat="1" x14ac:dyDescent="0.3">
      <c r="B7" s="1" t="s">
        <v>139</v>
      </c>
      <c r="C7" s="1">
        <v>100</v>
      </c>
      <c r="D7" s="115">
        <v>50</v>
      </c>
      <c r="E7" s="1">
        <v>5</v>
      </c>
      <c r="F7" s="1" t="s">
        <v>142</v>
      </c>
      <c r="G7" s="1">
        <v>200</v>
      </c>
      <c r="H7" s="1"/>
    </row>
    <row r="8" spans="2:12" s="5" customFormat="1" x14ac:dyDescent="0.3">
      <c r="B8" s="8" t="s">
        <v>28</v>
      </c>
      <c r="C8" s="8">
        <f>SUM(C4:C7)</f>
        <v>220</v>
      </c>
      <c r="D8" s="116">
        <f>SUM(D4:D7)</f>
        <v>170</v>
      </c>
      <c r="E8" s="1">
        <v>6</v>
      </c>
      <c r="F8" s="1" t="s">
        <v>142</v>
      </c>
      <c r="G8" s="1">
        <v>200</v>
      </c>
      <c r="H8" s="1"/>
    </row>
    <row r="9" spans="2:12" x14ac:dyDescent="0.3">
      <c r="B9" s="2" t="s">
        <v>3</v>
      </c>
      <c r="C9" s="2">
        <f>SUM(C3:C7)</f>
        <v>580</v>
      </c>
      <c r="D9" s="117">
        <f>SUM(D3:D7)</f>
        <v>530</v>
      </c>
      <c r="E9" s="1">
        <v>7</v>
      </c>
      <c r="F9" s="1" t="s">
        <v>142</v>
      </c>
      <c r="G9" s="1">
        <v>200</v>
      </c>
      <c r="H9" s="2"/>
    </row>
    <row r="10" spans="2:12" x14ac:dyDescent="0.3">
      <c r="B10" s="11"/>
      <c r="C10" s="11"/>
      <c r="E10" s="1">
        <v>8</v>
      </c>
      <c r="F10" s="1" t="s">
        <v>142</v>
      </c>
      <c r="G10" s="1">
        <v>200</v>
      </c>
      <c r="H10" s="1"/>
    </row>
    <row r="11" spans="2:12" x14ac:dyDescent="0.3">
      <c r="E11" s="1">
        <v>9</v>
      </c>
      <c r="F11" s="1" t="s">
        <v>142</v>
      </c>
      <c r="G11" s="1">
        <v>200</v>
      </c>
      <c r="H11" s="1"/>
    </row>
    <row r="12" spans="2:12" x14ac:dyDescent="0.3">
      <c r="B12" s="4" t="s">
        <v>162</v>
      </c>
      <c r="C12" s="3" t="s">
        <v>5</v>
      </c>
      <c r="D12" s="114" t="s">
        <v>6</v>
      </c>
      <c r="E12" s="1">
        <v>10</v>
      </c>
      <c r="F12" s="10" t="s">
        <v>143</v>
      </c>
      <c r="G12" s="10">
        <v>350</v>
      </c>
      <c r="H12" s="3"/>
      <c r="J12" s="16"/>
      <c r="K12" s="111"/>
      <c r="L12" s="16"/>
    </row>
    <row r="13" spans="2:12" x14ac:dyDescent="0.3">
      <c r="B13" s="1" t="s">
        <v>0</v>
      </c>
      <c r="C13" s="1">
        <f>0.15*2400</f>
        <v>360</v>
      </c>
      <c r="D13" s="1">
        <v>360</v>
      </c>
      <c r="F13" s="177"/>
      <c r="G13" s="177"/>
      <c r="H13" s="177"/>
      <c r="J13" s="111"/>
      <c r="K13" s="111"/>
      <c r="L13" s="14"/>
    </row>
    <row r="14" spans="2:12" x14ac:dyDescent="0.3">
      <c r="B14" s="1" t="s">
        <v>1</v>
      </c>
      <c r="C14" s="1">
        <v>20</v>
      </c>
      <c r="D14" s="1">
        <v>20</v>
      </c>
      <c r="F14" s="14"/>
      <c r="G14" s="14"/>
      <c r="H14" s="14"/>
      <c r="J14" s="14"/>
      <c r="K14" s="14"/>
      <c r="L14" s="14"/>
    </row>
    <row r="15" spans="2:12" x14ac:dyDescent="0.3">
      <c r="B15" s="1" t="s">
        <v>2</v>
      </c>
      <c r="C15" s="1">
        <v>25</v>
      </c>
      <c r="D15" s="1">
        <v>25</v>
      </c>
      <c r="F15" s="14"/>
      <c r="G15" s="14"/>
      <c r="H15" s="14"/>
      <c r="J15" s="14"/>
      <c r="K15" s="14"/>
      <c r="L15" s="14"/>
    </row>
    <row r="16" spans="2:12" x14ac:dyDescent="0.3">
      <c r="B16" s="1" t="s">
        <v>4</v>
      </c>
      <c r="C16" s="1">
        <v>70</v>
      </c>
      <c r="D16" s="1">
        <v>50</v>
      </c>
      <c r="F16" s="14"/>
      <c r="G16" s="14"/>
      <c r="H16" s="14"/>
      <c r="J16" s="14"/>
      <c r="K16" s="14"/>
      <c r="L16" s="14"/>
    </row>
    <row r="17" spans="2:18" s="5" customFormat="1" x14ac:dyDescent="0.3">
      <c r="B17" s="8" t="s">
        <v>29</v>
      </c>
      <c r="C17" s="8">
        <f>SUM(C14:C16)</f>
        <v>115</v>
      </c>
      <c r="D17" s="8">
        <f>SUM(D14:D16)</f>
        <v>95</v>
      </c>
      <c r="F17" s="14"/>
      <c r="G17" s="14"/>
      <c r="H17" s="14"/>
      <c r="J17" s="92"/>
      <c r="K17" s="16"/>
      <c r="L17" s="14"/>
    </row>
    <row r="18" spans="2:18" x14ac:dyDescent="0.3">
      <c r="B18" s="2" t="s">
        <v>3</v>
      </c>
      <c r="C18" s="2">
        <f>SUM(C13:C16)</f>
        <v>475</v>
      </c>
      <c r="D18" s="2">
        <f>SUM(D13:D16)</f>
        <v>455</v>
      </c>
      <c r="F18" s="16"/>
      <c r="G18" s="16"/>
      <c r="H18" s="16"/>
      <c r="J18" s="91"/>
      <c r="K18" s="14"/>
      <c r="L18" s="14"/>
    </row>
    <row r="20" spans="2:18" x14ac:dyDescent="0.3">
      <c r="F20" s="1"/>
      <c r="G20" s="1" t="s">
        <v>37</v>
      </c>
    </row>
    <row r="21" spans="2:18" x14ac:dyDescent="0.3">
      <c r="B21" s="4" t="s">
        <v>31</v>
      </c>
      <c r="C21" s="3" t="s">
        <v>5</v>
      </c>
      <c r="D21" s="3" t="s">
        <v>6</v>
      </c>
      <c r="F21" s="2" t="s">
        <v>35</v>
      </c>
      <c r="G21" s="1">
        <v>345</v>
      </c>
    </row>
    <row r="22" spans="2:18" x14ac:dyDescent="0.3">
      <c r="B22" s="1" t="s">
        <v>0</v>
      </c>
      <c r="C22" s="1">
        <f>0.15*2400</f>
        <v>360</v>
      </c>
      <c r="D22" s="1">
        <v>360</v>
      </c>
      <c r="F22" s="2" t="s">
        <v>36</v>
      </c>
      <c r="G22" s="1">
        <v>295</v>
      </c>
    </row>
    <row r="23" spans="2:18" x14ac:dyDescent="0.3">
      <c r="B23" s="1" t="s">
        <v>32</v>
      </c>
      <c r="C23" s="1">
        <v>200</v>
      </c>
      <c r="D23" s="1">
        <v>200</v>
      </c>
    </row>
    <row r="24" spans="2:18" x14ac:dyDescent="0.3">
      <c r="B24" s="1" t="s">
        <v>2</v>
      </c>
      <c r="C24" s="1">
        <v>25</v>
      </c>
      <c r="D24" s="1">
        <v>25</v>
      </c>
    </row>
    <row r="25" spans="2:18" x14ac:dyDescent="0.3">
      <c r="B25" s="1" t="s">
        <v>33</v>
      </c>
      <c r="C25" s="1">
        <v>50</v>
      </c>
      <c r="D25" s="1">
        <v>50</v>
      </c>
    </row>
    <row r="26" spans="2:18" s="5" customFormat="1" x14ac:dyDescent="0.3">
      <c r="B26" s="1" t="s">
        <v>34</v>
      </c>
      <c r="C26" s="1">
        <v>10</v>
      </c>
      <c r="D26" s="1">
        <v>10</v>
      </c>
    </row>
    <row r="27" spans="2:18" x14ac:dyDescent="0.3">
      <c r="B27" s="8" t="s">
        <v>29</v>
      </c>
      <c r="C27" s="8">
        <f>SUM(C23:C26)</f>
        <v>285</v>
      </c>
      <c r="D27" s="8">
        <f>SUM(D23:D26)</f>
        <v>285</v>
      </c>
    </row>
    <row r="28" spans="2:18" x14ac:dyDescent="0.3">
      <c r="B28" s="2" t="s">
        <v>3</v>
      </c>
      <c r="C28" s="2">
        <f>SUM(C22:C26)</f>
        <v>645</v>
      </c>
      <c r="D28" s="2">
        <f>SUM(D22:D26)</f>
        <v>645</v>
      </c>
      <c r="G28" s="109" t="s">
        <v>154</v>
      </c>
      <c r="H28">
        <v>0.02</v>
      </c>
    </row>
    <row r="29" spans="2:18" x14ac:dyDescent="0.3">
      <c r="B29" s="194" t="s">
        <v>38</v>
      </c>
      <c r="C29" s="196">
        <f>+G22*3.23</f>
        <v>952.85</v>
      </c>
      <c r="D29" s="196"/>
      <c r="G29" s="9" t="s">
        <v>152</v>
      </c>
      <c r="H29">
        <v>4</v>
      </c>
      <c r="I29" t="s">
        <v>155</v>
      </c>
    </row>
    <row r="30" spans="2:18" x14ac:dyDescent="0.3">
      <c r="B30" s="195"/>
      <c r="C30" s="197"/>
      <c r="D30" s="197"/>
      <c r="G30" s="9" t="s">
        <v>153</v>
      </c>
      <c r="H30">
        <v>60</v>
      </c>
      <c r="I30" t="s">
        <v>155</v>
      </c>
      <c r="J30" t="s">
        <v>160</v>
      </c>
      <c r="K30" s="9" t="s">
        <v>173</v>
      </c>
      <c r="L30" s="9"/>
    </row>
    <row r="31" spans="2:18" x14ac:dyDescent="0.3">
      <c r="F31" s="9" t="s">
        <v>144</v>
      </c>
      <c r="G31" s="9" t="s">
        <v>147</v>
      </c>
      <c r="H31" s="9" t="s">
        <v>148</v>
      </c>
      <c r="I31" s="9" t="s">
        <v>149</v>
      </c>
      <c r="J31" s="9" t="s">
        <v>159</v>
      </c>
      <c r="K31" s="9" t="s">
        <v>157</v>
      </c>
      <c r="L31" s="9" t="s">
        <v>158</v>
      </c>
      <c r="M31" s="9" t="s">
        <v>156</v>
      </c>
      <c r="N31" s="9" t="s">
        <v>168</v>
      </c>
      <c r="O31" s="9" t="s">
        <v>169</v>
      </c>
      <c r="P31" s="9" t="s">
        <v>170</v>
      </c>
      <c r="Q31" s="9" t="s">
        <v>171</v>
      </c>
      <c r="R31" s="9" t="s">
        <v>172</v>
      </c>
    </row>
    <row r="32" spans="2:18" x14ac:dyDescent="0.3">
      <c r="B32" s="198" t="s">
        <v>163</v>
      </c>
      <c r="C32" s="1"/>
      <c r="D32" s="1"/>
      <c r="F32" t="s">
        <v>164</v>
      </c>
    </row>
    <row r="33" spans="2:18" x14ac:dyDescent="0.3">
      <c r="B33" s="198"/>
      <c r="C33" s="3" t="s">
        <v>5</v>
      </c>
      <c r="D33" s="3" t="s">
        <v>6</v>
      </c>
      <c r="F33" s="7" t="s">
        <v>145</v>
      </c>
      <c r="G33">
        <v>32.5</v>
      </c>
      <c r="H33">
        <f>+G33*(SUM($G$3:$G$12))*2.2/1000</f>
        <v>175.17500000000001</v>
      </c>
      <c r="I33">
        <f>+G33*($C$9*9+$C$38)*2.2/1000</f>
        <v>405.40500000000009</v>
      </c>
      <c r="J33">
        <f>+(1.4*(I33)+1.7*(H33))/(0.4*($H$29+$H$30*($H$28)))</f>
        <v>416.04062500000003</v>
      </c>
      <c r="K33">
        <f>+IF(EVEN(SQRT(J33))&lt;12,12,EVEN(SQRT(J33)))</f>
        <v>22</v>
      </c>
      <c r="L33" s="100">
        <f>+IF(EVEN(SQRT(J33))&lt;12,12,EVEN(SQRT(J33)))</f>
        <v>22</v>
      </c>
      <c r="M33">
        <f>+K33*L33</f>
        <v>484</v>
      </c>
      <c r="N33">
        <f>+K33*2.5</f>
        <v>55</v>
      </c>
      <c r="O33" s="100">
        <f>+L33*2.5</f>
        <v>55</v>
      </c>
      <c r="P33">
        <f>+M33*0.02</f>
        <v>9.68</v>
      </c>
      <c r="Q33" s="110">
        <f>+P33/0.79</f>
        <v>12.253164556962025</v>
      </c>
      <c r="R33" s="110">
        <f>+P33/0.44</f>
        <v>22</v>
      </c>
    </row>
    <row r="34" spans="2:18" x14ac:dyDescent="0.3">
      <c r="B34" s="1" t="s">
        <v>0</v>
      </c>
      <c r="C34" s="1">
        <f>0.15*2400</f>
        <v>360</v>
      </c>
      <c r="D34" s="1">
        <v>360</v>
      </c>
      <c r="F34" s="7" t="s">
        <v>150</v>
      </c>
      <c r="G34">
        <v>30</v>
      </c>
      <c r="H34" s="100">
        <f>+G34*(SUM($G$3:$G$12))*2.2/1000</f>
        <v>161.69999999999999</v>
      </c>
      <c r="I34" s="100">
        <f>+G34*($C$9*9+$C$38)*2.2/1000</f>
        <v>374.22000000000008</v>
      </c>
      <c r="J34" s="100">
        <f>+(1.4*(I34)+1.7*(H34))/(0.4*($H$29+$H$30*($H$28)))</f>
        <v>384.03750000000002</v>
      </c>
      <c r="K34" s="100">
        <f>+IF(EVEN(SQRT(J34))&lt;12,12,EVEN(SQRT(J34)))</f>
        <v>20</v>
      </c>
      <c r="L34" s="100">
        <f>+IF(EVEN(SQRT(J34))&lt;12,12,EVEN(SQRT(J34)))</f>
        <v>20</v>
      </c>
      <c r="M34" s="100">
        <f>+K34*L34</f>
        <v>400</v>
      </c>
      <c r="N34" s="100">
        <f t="shared" ref="N34:O36" si="0">+K34*2.5</f>
        <v>50</v>
      </c>
      <c r="O34" s="100">
        <f t="shared" si="0"/>
        <v>50</v>
      </c>
      <c r="P34" s="100">
        <f t="shared" ref="P34:P54" si="1">+M34*0.02</f>
        <v>8</v>
      </c>
      <c r="Q34" s="110">
        <f>+P34/0.79</f>
        <v>10.126582278481012</v>
      </c>
      <c r="R34" s="110">
        <f>+P34/0.44</f>
        <v>18.181818181818183</v>
      </c>
    </row>
    <row r="35" spans="2:18" x14ac:dyDescent="0.3">
      <c r="B35" s="1" t="s">
        <v>1</v>
      </c>
      <c r="C35" s="1">
        <v>20</v>
      </c>
      <c r="D35" s="1">
        <v>20</v>
      </c>
      <c r="F35" s="7" t="s">
        <v>146</v>
      </c>
      <c r="G35">
        <v>6</v>
      </c>
      <c r="H35" s="100">
        <f>+G35*(SUM($G$3:$G$12))*2.2/1000</f>
        <v>32.340000000000003</v>
      </c>
      <c r="I35" s="100">
        <f>+G35*($C$9*9+$C$38)*2.2/1000</f>
        <v>74.843999999999994</v>
      </c>
      <c r="J35" s="100">
        <f>+(1.4*(I35)+1.7*(H35))/(0.4*($H$29+$H$30*($H$28)))</f>
        <v>76.80749999999999</v>
      </c>
      <c r="K35" s="100">
        <f>+IF(EVEN(SQRT(J35))&lt;12,12,EVEN(SQRT(J35)))</f>
        <v>12</v>
      </c>
      <c r="L35" s="100">
        <f>+IF(EVEN(SQRT(J35))&lt;12,12,EVEN(SQRT(J35)))</f>
        <v>12</v>
      </c>
      <c r="M35" s="100">
        <f>+K35*L35</f>
        <v>144</v>
      </c>
      <c r="N35" s="100">
        <f t="shared" si="0"/>
        <v>30</v>
      </c>
      <c r="O35" s="100">
        <f t="shared" si="0"/>
        <v>30</v>
      </c>
      <c r="P35" s="100">
        <f t="shared" si="1"/>
        <v>2.88</v>
      </c>
      <c r="Q35" s="110">
        <f>+P35/0.79</f>
        <v>3.6455696202531644</v>
      </c>
      <c r="R35" s="110">
        <f>+P35/0.44</f>
        <v>6.545454545454545</v>
      </c>
    </row>
    <row r="36" spans="2:18" x14ac:dyDescent="0.3">
      <c r="B36" s="1" t="s">
        <v>4</v>
      </c>
      <c r="C36" s="1">
        <v>70</v>
      </c>
      <c r="D36" s="1">
        <v>50</v>
      </c>
      <c r="F36" s="7" t="s">
        <v>151</v>
      </c>
      <c r="G36">
        <v>15</v>
      </c>
      <c r="H36" s="100">
        <f>+G36*(SUM($G$3:$G$12))*2.2/1000</f>
        <v>80.849999999999994</v>
      </c>
      <c r="I36" s="100">
        <f>+G36*($C$9*9+$C$38)*2.2/1000</f>
        <v>187.11000000000004</v>
      </c>
      <c r="J36" s="100">
        <f>+(1.4*(I36)+1.7*(H36))/(0.4*($H$29+$H$30*($H$28)))</f>
        <v>192.01875000000001</v>
      </c>
      <c r="K36" s="100">
        <f>+IF(EVEN(SQRT(J36))&lt;12,12,EVEN(SQRT(J36)))</f>
        <v>14</v>
      </c>
      <c r="L36" s="100">
        <f>+IF(EVEN(SQRT(J36))&lt;12,12,EVEN(SQRT(J36)))</f>
        <v>14</v>
      </c>
      <c r="M36" s="100">
        <f>+K36*L36</f>
        <v>196</v>
      </c>
      <c r="N36" s="100">
        <f t="shared" si="0"/>
        <v>35</v>
      </c>
      <c r="O36" s="100">
        <f t="shared" si="0"/>
        <v>35</v>
      </c>
      <c r="P36" s="100">
        <f t="shared" si="1"/>
        <v>3.92</v>
      </c>
      <c r="Q36" s="110">
        <f>+P36/0.79</f>
        <v>4.962025316455696</v>
      </c>
      <c r="R36" s="110">
        <f>+P36/0.44</f>
        <v>8.9090909090909083</v>
      </c>
    </row>
    <row r="37" spans="2:18" x14ac:dyDescent="0.3">
      <c r="B37" s="8" t="s">
        <v>29</v>
      </c>
      <c r="C37" s="8">
        <f>SUM(C35:C36)</f>
        <v>90</v>
      </c>
      <c r="D37" s="8">
        <f>SUM(D35:D36)</f>
        <v>70</v>
      </c>
      <c r="P37" s="100"/>
    </row>
    <row r="38" spans="2:18" x14ac:dyDescent="0.3">
      <c r="B38" s="2" t="s">
        <v>3</v>
      </c>
      <c r="C38" s="2">
        <f>SUM(C34:C36)</f>
        <v>450</v>
      </c>
      <c r="D38" s="2">
        <f>SUM(D34:D36)</f>
        <v>430</v>
      </c>
      <c r="F38" s="42" t="s">
        <v>165</v>
      </c>
      <c r="P38" s="100"/>
    </row>
    <row r="39" spans="2:18" x14ac:dyDescent="0.3">
      <c r="F39" s="7" t="s">
        <v>145</v>
      </c>
      <c r="G39" s="100">
        <v>32.5</v>
      </c>
      <c r="H39" s="100">
        <f>+G39*(SUM($G$3:$G$8)+$G$12)*2.2/1000</f>
        <v>132.27500000000001</v>
      </c>
      <c r="I39" s="100">
        <f>+G39*($C$9*6+$C$38)*2.2/1000</f>
        <v>280.995</v>
      </c>
      <c r="J39" s="100">
        <f>+(1.4*(I39)+1.7*(H39))/(0.4*($H$29+$H$30*($H$28)))</f>
        <v>297.24062499999997</v>
      </c>
      <c r="K39" s="100">
        <f>+IF(EVEN(SQRT(J39))&lt;12,12,EVEN(SQRT(J39)))</f>
        <v>18</v>
      </c>
      <c r="L39" s="100">
        <f>+IF(EVEN(SQRT(J39))&lt;12,12,EVEN(SQRT(J39)))</f>
        <v>18</v>
      </c>
      <c r="M39" s="100">
        <f>+K39*L39</f>
        <v>324</v>
      </c>
      <c r="N39" s="100">
        <f>+K39*2.5</f>
        <v>45</v>
      </c>
      <c r="O39" s="100">
        <f>+L39*2.5</f>
        <v>45</v>
      </c>
      <c r="P39" s="100">
        <f t="shared" si="1"/>
        <v>6.48</v>
      </c>
      <c r="Q39" s="110">
        <f>+P39/0.79</f>
        <v>8.2025316455696196</v>
      </c>
      <c r="R39" s="110">
        <f>+P39/0.44</f>
        <v>14.727272727272728</v>
      </c>
    </row>
    <row r="40" spans="2:18" x14ac:dyDescent="0.3">
      <c r="F40" s="7" t="s">
        <v>150</v>
      </c>
      <c r="G40" s="100">
        <v>30</v>
      </c>
      <c r="H40" s="100">
        <f>+G40*(SUM($G$3:$G$8)+$G$12)*2.2/1000</f>
        <v>122.10000000000001</v>
      </c>
      <c r="I40" s="100">
        <f>+G40*($C$9*6+$C$38)*2.2/1000</f>
        <v>259.38000000000005</v>
      </c>
      <c r="J40" s="100">
        <f>+(1.4*(I40)+1.7*(H40))/(0.4*($H$29+$H$30*($H$28)))</f>
        <v>274.37596153846158</v>
      </c>
      <c r="K40" s="100">
        <f>+IF(EVEN(SQRT(J40))&lt;12,12,EVEN(SQRT(J40)))</f>
        <v>18</v>
      </c>
      <c r="L40" s="100">
        <f>+IF(EVEN(SQRT(J40))&lt;12,12,EVEN(SQRT(J40)))</f>
        <v>18</v>
      </c>
      <c r="M40" s="100">
        <f>+K40*L40</f>
        <v>324</v>
      </c>
      <c r="N40" s="100">
        <f t="shared" ref="N40:O42" si="2">+K40*2.5</f>
        <v>45</v>
      </c>
      <c r="O40" s="100">
        <f t="shared" si="2"/>
        <v>45</v>
      </c>
      <c r="P40" s="100">
        <f t="shared" si="1"/>
        <v>6.48</v>
      </c>
      <c r="Q40" s="110">
        <f>+P40/0.79</f>
        <v>8.2025316455696196</v>
      </c>
      <c r="R40" s="110">
        <f>+P40/0.44</f>
        <v>14.727272727272728</v>
      </c>
    </row>
    <row r="41" spans="2:18" x14ac:dyDescent="0.3">
      <c r="F41" s="7" t="s">
        <v>146</v>
      </c>
      <c r="G41" s="100">
        <v>6</v>
      </c>
      <c r="H41" s="100">
        <f>+G41*(SUM($G$3:$G$8)+$G$12)*2.2/1000</f>
        <v>24.420000000000005</v>
      </c>
      <c r="I41" s="100">
        <f>+G41*($C$9*6+$C$38)*2.2/1000</f>
        <v>51.876000000000005</v>
      </c>
      <c r="J41" s="100">
        <f>+(1.4*(I41)+1.7*(H41))/(0.4*($H$29+$H$30*($H$28)))</f>
        <v>54.875192307692309</v>
      </c>
      <c r="K41" s="100">
        <f>+IF(EVEN(SQRT(J41))&lt;12,12,EVEN(SQRT(J41)))</f>
        <v>12</v>
      </c>
      <c r="L41" s="100">
        <f>+IF(EVEN(SQRT(J41))&lt;12,12,EVEN(SQRT(J41)))</f>
        <v>12</v>
      </c>
      <c r="M41" s="100">
        <f>+K41*L41</f>
        <v>144</v>
      </c>
      <c r="N41" s="100">
        <f t="shared" si="2"/>
        <v>30</v>
      </c>
      <c r="O41" s="100">
        <f t="shared" si="2"/>
        <v>30</v>
      </c>
      <c r="P41" s="100">
        <f t="shared" si="1"/>
        <v>2.88</v>
      </c>
      <c r="Q41" s="110">
        <f>+P41/0.79</f>
        <v>3.6455696202531644</v>
      </c>
      <c r="R41" s="110">
        <f>+P41/0.44</f>
        <v>6.545454545454545</v>
      </c>
    </row>
    <row r="42" spans="2:18" x14ac:dyDescent="0.3">
      <c r="F42" s="7" t="s">
        <v>151</v>
      </c>
      <c r="G42" s="100">
        <v>15</v>
      </c>
      <c r="H42" s="100">
        <f>+G42*(SUM($G$3:$G$8)+$G$12)*2.2/1000</f>
        <v>61.050000000000004</v>
      </c>
      <c r="I42" s="100">
        <f>+G42*($C$9*6+$C$38)*2.2/1000</f>
        <v>129.69000000000003</v>
      </c>
      <c r="J42" s="100">
        <f>+(1.4*(I42)+1.7*(H42))/(0.4*($H$29+$H$30*($H$28)))</f>
        <v>137.18798076923079</v>
      </c>
      <c r="K42" s="100">
        <f>+IF(EVEN(SQRT(J42))&lt;12,12,EVEN(SQRT(J42)))</f>
        <v>12</v>
      </c>
      <c r="L42" s="100">
        <f>+IF(EVEN(SQRT(J42))&lt;12,12,EVEN(SQRT(J42)))</f>
        <v>12</v>
      </c>
      <c r="M42" s="100">
        <f>+K42*L42</f>
        <v>144</v>
      </c>
      <c r="N42" s="100">
        <f t="shared" si="2"/>
        <v>30</v>
      </c>
      <c r="O42" s="100">
        <f t="shared" si="2"/>
        <v>30</v>
      </c>
      <c r="P42" s="100">
        <f t="shared" si="1"/>
        <v>2.88</v>
      </c>
      <c r="Q42" s="110">
        <f>+P42/0.79</f>
        <v>3.6455696202531644</v>
      </c>
      <c r="R42" s="110">
        <f>+P42/0.44</f>
        <v>6.545454545454545</v>
      </c>
    </row>
    <row r="43" spans="2:18" x14ac:dyDescent="0.3">
      <c r="P43" s="100"/>
    </row>
    <row r="44" spans="2:18" x14ac:dyDescent="0.3">
      <c r="F44" s="42" t="s">
        <v>166</v>
      </c>
      <c r="G44" s="100"/>
      <c r="H44" s="100"/>
      <c r="I44" s="100"/>
      <c r="J44" s="100"/>
      <c r="K44" s="100"/>
      <c r="L44" s="100"/>
      <c r="M44" s="100"/>
      <c r="P44" s="100"/>
    </row>
    <row r="45" spans="2:18" x14ac:dyDescent="0.3">
      <c r="F45" s="7" t="s">
        <v>145</v>
      </c>
      <c r="G45" s="100">
        <v>32.5</v>
      </c>
      <c r="H45" s="100">
        <f>+G45*(SUM($G$3:$G$6)+$G$12)*2.2/1000</f>
        <v>103.67500000000001</v>
      </c>
      <c r="I45" s="100">
        <f>+G45*($C$9*4+$C$38)*2.2/1000</f>
        <v>198.05500000000004</v>
      </c>
      <c r="J45" s="100">
        <f>+(1.4*(I45)+1.7*(H45))/(0.4*($H$29+$H$30*($H$28)))</f>
        <v>218.04062500000001</v>
      </c>
      <c r="K45" s="100">
        <f>+IF(EVEN(SQRT(J45))&lt;12,12,EVEN(SQRT(J45)))</f>
        <v>16</v>
      </c>
      <c r="L45" s="100">
        <f>+IF(EVEN(SQRT(J45))&lt;12,12,EVEN(SQRT(J45)))</f>
        <v>16</v>
      </c>
      <c r="M45" s="100">
        <f>+K45*L45</f>
        <v>256</v>
      </c>
      <c r="N45" s="100">
        <f t="shared" ref="N45:O48" si="3">+K45*2.5</f>
        <v>40</v>
      </c>
      <c r="O45" s="100">
        <f t="shared" si="3"/>
        <v>40</v>
      </c>
      <c r="P45" s="100">
        <f t="shared" si="1"/>
        <v>5.12</v>
      </c>
      <c r="Q45" s="110">
        <f>+P45/0.79</f>
        <v>6.481012658227848</v>
      </c>
      <c r="R45" s="110">
        <f>+P45/0.44</f>
        <v>11.636363636363637</v>
      </c>
    </row>
    <row r="46" spans="2:18" x14ac:dyDescent="0.3">
      <c r="F46" s="7" t="s">
        <v>150</v>
      </c>
      <c r="G46" s="100">
        <v>30</v>
      </c>
      <c r="H46" s="100">
        <f>+G46*(SUM($G$3:$G$6)+$G$12)*2.2/1000</f>
        <v>95.700000000000017</v>
      </c>
      <c r="I46" s="100">
        <f>+G46*($C$9*4+$C$38)*2.2/1000</f>
        <v>182.82000000000002</v>
      </c>
      <c r="J46" s="100">
        <f>+(1.4*(I46)+1.7*(H46))/(0.4*($H$29+$H$30*($H$28)))</f>
        <v>201.26826923076925</v>
      </c>
      <c r="K46" s="100">
        <f>+IF(EVEN(SQRT(J46))&lt;12,12,EVEN(SQRT(J46)))</f>
        <v>16</v>
      </c>
      <c r="L46" s="100">
        <f>+IF(EVEN(SQRT(J46))&lt;12,12,EVEN(SQRT(J46)))</f>
        <v>16</v>
      </c>
      <c r="M46" s="100">
        <f>+K46*L46</f>
        <v>256</v>
      </c>
      <c r="N46" s="100">
        <f t="shared" si="3"/>
        <v>40</v>
      </c>
      <c r="O46" s="100">
        <f t="shared" si="3"/>
        <v>40</v>
      </c>
      <c r="P46" s="100">
        <f t="shared" si="1"/>
        <v>5.12</v>
      </c>
      <c r="Q46" s="110">
        <f>+P46/0.79</f>
        <v>6.481012658227848</v>
      </c>
      <c r="R46" s="110">
        <f>+P46/0.44</f>
        <v>11.636363636363637</v>
      </c>
    </row>
    <row r="47" spans="2:18" x14ac:dyDescent="0.3">
      <c r="F47" s="7" t="s">
        <v>146</v>
      </c>
      <c r="G47" s="100">
        <v>6</v>
      </c>
      <c r="H47" s="100">
        <f>+G47*(SUM($G$3:$G$6)+$G$12)*2.2/1000</f>
        <v>19.14</v>
      </c>
      <c r="I47" s="100">
        <f>+G47*($C$9*4+$C$38)*2.2/1000</f>
        <v>36.564</v>
      </c>
      <c r="J47" s="100">
        <f>+(1.4*(I47)+1.7*(H47))/(0.4*($H$29+$H$30*($H$28)))</f>
        <v>40.253653846153846</v>
      </c>
      <c r="K47" s="100">
        <f>+IF(EVEN(SQRT(J47))&lt;12,12,EVEN(SQRT(J47)))</f>
        <v>12</v>
      </c>
      <c r="L47" s="100">
        <f>+IF(EVEN(SQRT(J47))&lt;12,12,EVEN(SQRT(J47)))</f>
        <v>12</v>
      </c>
      <c r="M47" s="100">
        <f>+K47*L47</f>
        <v>144</v>
      </c>
      <c r="N47" s="100">
        <f t="shared" si="3"/>
        <v>30</v>
      </c>
      <c r="O47" s="100">
        <f t="shared" si="3"/>
        <v>30</v>
      </c>
      <c r="P47" s="100">
        <f t="shared" si="1"/>
        <v>2.88</v>
      </c>
      <c r="Q47" s="110">
        <f>+P47/0.79</f>
        <v>3.6455696202531644</v>
      </c>
      <c r="R47" s="110">
        <f>+P47/0.44</f>
        <v>6.545454545454545</v>
      </c>
    </row>
    <row r="48" spans="2:18" x14ac:dyDescent="0.3">
      <c r="F48" s="7" t="s">
        <v>151</v>
      </c>
      <c r="G48" s="100">
        <v>15</v>
      </c>
      <c r="H48" s="100">
        <f>+G48*(SUM($G$3:$G$6)+$G$12)*2.2/1000</f>
        <v>47.850000000000009</v>
      </c>
      <c r="I48" s="100">
        <f>+G48*($C$9*4+$C$38)*2.2/1000</f>
        <v>91.410000000000011</v>
      </c>
      <c r="J48" s="100">
        <f>+(1.4*(I48)+1.7*(H48))/(0.4*($H$29+$H$30*($H$28)))</f>
        <v>100.63413461538462</v>
      </c>
      <c r="K48" s="100">
        <f>+IF(EVEN(SQRT(J48))&lt;12,12,EVEN(SQRT(J48)))</f>
        <v>12</v>
      </c>
      <c r="L48" s="100">
        <f>+IF(EVEN(SQRT(J48))&lt;12,12,EVEN(SQRT(J48)))</f>
        <v>12</v>
      </c>
      <c r="M48" s="100">
        <f>+K48*L48</f>
        <v>144</v>
      </c>
      <c r="N48" s="100">
        <f t="shared" si="3"/>
        <v>30</v>
      </c>
      <c r="O48" s="100">
        <f t="shared" si="3"/>
        <v>30</v>
      </c>
      <c r="P48" s="100">
        <f t="shared" si="1"/>
        <v>2.88</v>
      </c>
      <c r="Q48" s="110">
        <f>+P48/0.79</f>
        <v>3.6455696202531644</v>
      </c>
      <c r="R48" s="110">
        <f>+P48/0.44</f>
        <v>6.545454545454545</v>
      </c>
    </row>
    <row r="49" spans="6:18" x14ac:dyDescent="0.3">
      <c r="P49" s="100"/>
    </row>
    <row r="50" spans="6:18" x14ac:dyDescent="0.3">
      <c r="F50" s="42" t="s">
        <v>167</v>
      </c>
      <c r="G50" s="100"/>
      <c r="H50" s="100"/>
      <c r="I50" s="100"/>
      <c r="J50" s="100"/>
      <c r="K50" s="100"/>
      <c r="L50" s="100"/>
      <c r="M50" s="100"/>
      <c r="P50" s="100"/>
    </row>
    <row r="51" spans="6:18" x14ac:dyDescent="0.3">
      <c r="F51" s="7" t="s">
        <v>145</v>
      </c>
      <c r="G51" s="100">
        <v>32.5</v>
      </c>
      <c r="H51" s="100">
        <f>+G51*(SUM($G$3:$G$4)+$G$12)*2.2/1000</f>
        <v>75.075000000000003</v>
      </c>
      <c r="I51" s="100">
        <f>+G51*($C$9*2+$C$38)*2.2/1000</f>
        <v>115.11500000000001</v>
      </c>
      <c r="J51" s="100">
        <f>+(1.4*(I51)+1.7*(H51))/(0.4*($H$29+$H$30*($H$28)))</f>
        <v>138.84062499999999</v>
      </c>
      <c r="K51" s="100">
        <f>+IF(EVEN(SQRT(J51))&lt;12,12,EVEN(SQRT(J51)))</f>
        <v>12</v>
      </c>
      <c r="L51" s="100">
        <f>+IF(EVEN(SQRT(J51))&lt;12,12,EVEN(SQRT(J51)))</f>
        <v>12</v>
      </c>
      <c r="M51" s="100">
        <f>+K51*L51</f>
        <v>144</v>
      </c>
      <c r="N51" s="100">
        <f t="shared" ref="N51:O54" si="4">+K51*2.5</f>
        <v>30</v>
      </c>
      <c r="O51" s="100">
        <f t="shared" si="4"/>
        <v>30</v>
      </c>
      <c r="P51" s="100">
        <f t="shared" si="1"/>
        <v>2.88</v>
      </c>
      <c r="Q51" s="110">
        <f>+P51/0.79</f>
        <v>3.6455696202531644</v>
      </c>
      <c r="R51" s="110">
        <f>+P51/0.44</f>
        <v>6.545454545454545</v>
      </c>
    </row>
    <row r="52" spans="6:18" x14ac:dyDescent="0.3">
      <c r="F52" s="7" t="s">
        <v>150</v>
      </c>
      <c r="G52" s="100">
        <v>30</v>
      </c>
      <c r="H52" s="100">
        <f>+G52*(SUM($G$3:$G$4)+$G$12)*2.2/1000</f>
        <v>69.3</v>
      </c>
      <c r="I52" s="100">
        <f>+G52*($C$9*2+$C$38)*2.2/1000</f>
        <v>106.26000000000002</v>
      </c>
      <c r="J52" s="100">
        <f>+(1.4*(I52)+1.7*(H52))/(0.4*($H$29+$H$30*($H$28)))</f>
        <v>128.16057692307692</v>
      </c>
      <c r="K52" s="100">
        <f>+IF(EVEN(SQRT(J52))&lt;12,12,EVEN(SQRT(J52)))</f>
        <v>12</v>
      </c>
      <c r="L52" s="100">
        <f>+IF(EVEN(SQRT(J52))&lt;12,12,EVEN(SQRT(J52)))</f>
        <v>12</v>
      </c>
      <c r="M52" s="100">
        <f>+K52*L52</f>
        <v>144</v>
      </c>
      <c r="N52" s="100">
        <f t="shared" si="4"/>
        <v>30</v>
      </c>
      <c r="O52" s="100">
        <f t="shared" si="4"/>
        <v>30</v>
      </c>
      <c r="P52" s="100">
        <f t="shared" si="1"/>
        <v>2.88</v>
      </c>
      <c r="Q52" s="110">
        <f>+P52/0.79</f>
        <v>3.6455696202531644</v>
      </c>
      <c r="R52" s="110">
        <f>+P52/0.44</f>
        <v>6.545454545454545</v>
      </c>
    </row>
    <row r="53" spans="6:18" x14ac:dyDescent="0.3">
      <c r="F53" s="7" t="s">
        <v>146</v>
      </c>
      <c r="G53" s="100">
        <v>6</v>
      </c>
      <c r="H53" s="100">
        <f>+G53*(SUM($G$3:$G$4)+$G$12)*2.2/1000</f>
        <v>13.860000000000001</v>
      </c>
      <c r="I53" s="100">
        <f>+G53*($C$9*2+$C$38)*2.2/1000</f>
        <v>21.251999999999999</v>
      </c>
      <c r="J53" s="100">
        <f>+(1.4*(I53)+1.7*(H53))/(0.4*($H$29+$H$30*($H$28)))</f>
        <v>25.632115384615382</v>
      </c>
      <c r="K53" s="100">
        <f>+IF(EVEN(SQRT(J53))&lt;12,12,EVEN(SQRT(J53)))</f>
        <v>12</v>
      </c>
      <c r="L53" s="100">
        <f>+IF(EVEN(SQRT(J53))&lt;12,12,EVEN(SQRT(J53)))</f>
        <v>12</v>
      </c>
      <c r="M53" s="100">
        <f>+K53*L53</f>
        <v>144</v>
      </c>
      <c r="N53" s="100">
        <f t="shared" si="4"/>
        <v>30</v>
      </c>
      <c r="O53" s="100">
        <f t="shared" si="4"/>
        <v>30</v>
      </c>
      <c r="P53" s="100">
        <f t="shared" si="1"/>
        <v>2.88</v>
      </c>
      <c r="Q53" s="110">
        <f>+P53/0.79</f>
        <v>3.6455696202531644</v>
      </c>
      <c r="R53" s="110">
        <f>+P53/0.44</f>
        <v>6.545454545454545</v>
      </c>
    </row>
    <row r="54" spans="6:18" x14ac:dyDescent="0.3">
      <c r="F54" s="7" t="s">
        <v>151</v>
      </c>
      <c r="G54" s="100">
        <v>15</v>
      </c>
      <c r="H54" s="100">
        <f>+G54*(SUM($G$3:$G$4)+$G$12)*2.2/1000</f>
        <v>34.65</v>
      </c>
      <c r="I54" s="100">
        <f>+G54*($C$9*2+$C$38)*2.2/1000</f>
        <v>53.13000000000001</v>
      </c>
      <c r="J54" s="100">
        <f>+(1.4*(I54)+1.7*(H54))/(0.4*($H$29+$H$30*($H$28)))</f>
        <v>64.080288461538458</v>
      </c>
      <c r="K54" s="100">
        <f>+IF(EVEN(SQRT(J54))&lt;12,12,EVEN(SQRT(J54)))</f>
        <v>12</v>
      </c>
      <c r="L54" s="100">
        <f>+IF(EVEN(SQRT(J54))&lt;12,12,EVEN(SQRT(J54)))</f>
        <v>12</v>
      </c>
      <c r="M54" s="100">
        <f>+K54*L54</f>
        <v>144</v>
      </c>
      <c r="N54" s="100">
        <f t="shared" si="4"/>
        <v>30</v>
      </c>
      <c r="O54" s="100">
        <f t="shared" si="4"/>
        <v>30</v>
      </c>
      <c r="P54" s="100">
        <f t="shared" si="1"/>
        <v>2.88</v>
      </c>
      <c r="Q54" s="110">
        <f>+P54/0.79</f>
        <v>3.6455696202531644</v>
      </c>
      <c r="R54" s="110">
        <f>+P54/0.44</f>
        <v>6.545454545454545</v>
      </c>
    </row>
    <row r="57" spans="6:18" x14ac:dyDescent="0.3">
      <c r="F57" s="100"/>
      <c r="G57" s="109" t="s">
        <v>154</v>
      </c>
      <c r="H57" s="100">
        <v>0.02</v>
      </c>
      <c r="I57" s="100"/>
      <c r="J57" s="100"/>
      <c r="K57" s="100"/>
      <c r="L57" s="100"/>
      <c r="M57" s="100"/>
      <c r="N57" s="100"/>
      <c r="O57" s="100"/>
      <c r="P57" s="100"/>
      <c r="Q57" s="100"/>
      <c r="R57" s="100"/>
    </row>
    <row r="58" spans="6:18" x14ac:dyDescent="0.3">
      <c r="F58" s="100"/>
      <c r="G58" s="9" t="s">
        <v>152</v>
      </c>
      <c r="H58" s="100">
        <v>4</v>
      </c>
      <c r="I58" s="100" t="s">
        <v>155</v>
      </c>
      <c r="J58" s="100"/>
      <c r="K58" s="100"/>
      <c r="L58" s="100"/>
      <c r="M58" s="100"/>
      <c r="N58" s="100"/>
      <c r="O58" s="100"/>
      <c r="P58" s="100"/>
      <c r="Q58" s="100"/>
      <c r="R58" s="100"/>
    </row>
    <row r="59" spans="6:18" x14ac:dyDescent="0.3">
      <c r="F59" s="100"/>
      <c r="G59" s="9" t="s">
        <v>153</v>
      </c>
      <c r="H59" s="100">
        <v>60</v>
      </c>
      <c r="I59" s="100" t="s">
        <v>155</v>
      </c>
      <c r="J59" s="100" t="s">
        <v>174</v>
      </c>
      <c r="K59" s="9" t="s">
        <v>173</v>
      </c>
      <c r="L59" s="9"/>
      <c r="M59" s="100"/>
      <c r="N59" s="100"/>
      <c r="O59" s="100"/>
      <c r="P59" s="100"/>
      <c r="Q59" s="100"/>
      <c r="R59" s="100"/>
    </row>
    <row r="60" spans="6:18" x14ac:dyDescent="0.3">
      <c r="F60" s="9" t="s">
        <v>144</v>
      </c>
      <c r="G60" s="9" t="s">
        <v>147</v>
      </c>
      <c r="H60" s="9" t="s">
        <v>148</v>
      </c>
      <c r="I60" s="9" t="s">
        <v>149</v>
      </c>
      <c r="J60" s="9" t="s">
        <v>159</v>
      </c>
      <c r="K60" s="9" t="s">
        <v>157</v>
      </c>
      <c r="L60" s="9" t="s">
        <v>158</v>
      </c>
      <c r="M60" s="9" t="s">
        <v>156</v>
      </c>
      <c r="N60" s="9" t="s">
        <v>168</v>
      </c>
      <c r="O60" s="9" t="s">
        <v>169</v>
      </c>
      <c r="P60" s="9" t="s">
        <v>170</v>
      </c>
      <c r="Q60" s="9" t="s">
        <v>171</v>
      </c>
      <c r="R60" s="9" t="s">
        <v>172</v>
      </c>
    </row>
    <row r="61" spans="6:18" x14ac:dyDescent="0.3">
      <c r="F61" s="100" t="s">
        <v>164</v>
      </c>
      <c r="G61" s="100"/>
      <c r="H61" s="100"/>
      <c r="I61" s="100"/>
      <c r="J61" s="100"/>
      <c r="K61" s="100"/>
      <c r="L61" s="100"/>
      <c r="M61" s="100"/>
      <c r="N61" s="100"/>
      <c r="O61" s="100"/>
      <c r="P61" s="100"/>
      <c r="Q61" s="100"/>
      <c r="R61" s="100"/>
    </row>
    <row r="62" spans="6:18" x14ac:dyDescent="0.3">
      <c r="F62" s="7" t="s">
        <v>145</v>
      </c>
      <c r="G62" s="100">
        <v>32.5</v>
      </c>
      <c r="H62" s="100">
        <f>+G62*(SUM($G$3:$G$12))*2.2/1000</f>
        <v>175.17500000000001</v>
      </c>
      <c r="I62" s="100">
        <f>+G62*($C$9*9+$C$38)*2.2/1000</f>
        <v>405.40500000000009</v>
      </c>
      <c r="J62" s="100">
        <f>+(1.1*(H62+I62))/(0.3*$H$58)</f>
        <v>532.19833333333361</v>
      </c>
      <c r="K62" s="100">
        <f>+IF(EVEN(SQRT(J62))&lt;12,12,EVEN(SQRT(J62)))</f>
        <v>24</v>
      </c>
      <c r="L62" s="100">
        <f>+IF(EVEN(SQRT(J62))&lt;12,12,EVEN(SQRT(J62)))</f>
        <v>24</v>
      </c>
      <c r="M62" s="100">
        <f>+K62*L62</f>
        <v>576</v>
      </c>
      <c r="N62" s="100">
        <f t="shared" ref="N62:O65" si="5">+K62*2.5</f>
        <v>60</v>
      </c>
      <c r="O62" s="100">
        <f t="shared" si="5"/>
        <v>60</v>
      </c>
      <c r="P62" s="100">
        <f>+M62*0.02</f>
        <v>11.52</v>
      </c>
      <c r="Q62" s="110">
        <f>+P62/0.79</f>
        <v>14.582278481012658</v>
      </c>
      <c r="R62" s="110">
        <f>+P62/0.44</f>
        <v>26.18181818181818</v>
      </c>
    </row>
    <row r="63" spans="6:18" x14ac:dyDescent="0.3">
      <c r="F63" s="7" t="s">
        <v>150</v>
      </c>
      <c r="G63" s="100">
        <v>30</v>
      </c>
      <c r="H63" s="100">
        <f>+G63*(SUM($G$3:$G$12))*2.2/1000</f>
        <v>161.69999999999999</v>
      </c>
      <c r="I63" s="100">
        <f>+G63*($C$9*9+$C$38)*2.2/1000</f>
        <v>374.22000000000008</v>
      </c>
      <c r="J63" s="100">
        <f>+(1.1*(H63+I63))/(0.3*$H$58)</f>
        <v>491.26000000000016</v>
      </c>
      <c r="K63" s="100">
        <f>+IF(EVEN(SQRT(J63))&lt;12,12,EVEN(SQRT(J63)))</f>
        <v>24</v>
      </c>
      <c r="L63" s="100">
        <f>+IF(EVEN(SQRT(J63))&lt;12,12,EVEN(SQRT(J63)))</f>
        <v>24</v>
      </c>
      <c r="M63" s="100">
        <f>+K63*L63</f>
        <v>576</v>
      </c>
      <c r="N63" s="100">
        <f t="shared" si="5"/>
        <v>60</v>
      </c>
      <c r="O63" s="100">
        <f t="shared" si="5"/>
        <v>60</v>
      </c>
      <c r="P63" s="100">
        <f>+M63*0.02</f>
        <v>11.52</v>
      </c>
      <c r="Q63" s="110">
        <f>+P63/0.79</f>
        <v>14.582278481012658</v>
      </c>
      <c r="R63" s="110">
        <f>+P63/0.44</f>
        <v>26.18181818181818</v>
      </c>
    </row>
    <row r="64" spans="6:18" x14ac:dyDescent="0.3">
      <c r="F64" s="7" t="s">
        <v>146</v>
      </c>
      <c r="G64" s="100">
        <v>6</v>
      </c>
      <c r="H64" s="100">
        <f>+G64*(SUM($G$3:$G$12))*2.2/1000</f>
        <v>32.340000000000003</v>
      </c>
      <c r="I64" s="100">
        <f>+G64*($C$9*9+$C$38)*2.2/1000</f>
        <v>74.843999999999994</v>
      </c>
      <c r="J64" s="100">
        <f>+(1.5*(H64+I64))/(0.2*$H$58)</f>
        <v>200.97</v>
      </c>
      <c r="K64" s="100">
        <f>+IF(EVEN(SQRT(J64))&lt;12,12,EVEN(SQRT(J64)))</f>
        <v>16</v>
      </c>
      <c r="L64" s="100">
        <f>+IF(EVEN(SQRT(J64))&lt;12,12,EVEN(SQRT(J64)))</f>
        <v>16</v>
      </c>
      <c r="M64" s="100">
        <f>+K64*L64</f>
        <v>256</v>
      </c>
      <c r="N64" s="100">
        <f t="shared" si="5"/>
        <v>40</v>
      </c>
      <c r="O64" s="100">
        <f t="shared" si="5"/>
        <v>40</v>
      </c>
      <c r="P64" s="100">
        <f>+M64*0.02</f>
        <v>5.12</v>
      </c>
      <c r="Q64" s="110">
        <f>+P64/0.79</f>
        <v>6.481012658227848</v>
      </c>
      <c r="R64" s="110">
        <f>+P64/0.44</f>
        <v>11.636363636363637</v>
      </c>
    </row>
    <row r="65" spans="6:18" x14ac:dyDescent="0.3">
      <c r="F65" s="7" t="s">
        <v>151</v>
      </c>
      <c r="G65" s="100">
        <v>15</v>
      </c>
      <c r="H65" s="100">
        <f>+G65*(SUM($G$3:$G$12))*2.2/1000</f>
        <v>80.849999999999994</v>
      </c>
      <c r="I65" s="100">
        <f>+G65*($C$9*9+$C$38)*2.2/1000</f>
        <v>187.11000000000004</v>
      </c>
      <c r="J65" s="100">
        <f>+(1.25*(H65+I65))/(0.25*$H$58)</f>
        <v>334.95000000000005</v>
      </c>
      <c r="K65" s="100">
        <f>+IF(EVEN(SQRT(J65))&lt;12,12,EVEN(SQRT(J65)))</f>
        <v>20</v>
      </c>
      <c r="L65" s="100">
        <f>+IF(EVEN(SQRT(J65))&lt;12,12,EVEN(SQRT(J65)))</f>
        <v>20</v>
      </c>
      <c r="M65" s="100">
        <f>+K65*L65</f>
        <v>400</v>
      </c>
      <c r="N65" s="100">
        <f t="shared" si="5"/>
        <v>50</v>
      </c>
      <c r="O65" s="100">
        <f t="shared" si="5"/>
        <v>50</v>
      </c>
      <c r="P65" s="100">
        <f>+M65*0.02</f>
        <v>8</v>
      </c>
      <c r="Q65" s="110">
        <f>+P65/0.79</f>
        <v>10.126582278481012</v>
      </c>
      <c r="R65" s="110">
        <f>+P65/0.44</f>
        <v>18.181818181818183</v>
      </c>
    </row>
    <row r="66" spans="6:18" x14ac:dyDescent="0.3"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</row>
    <row r="67" spans="6:18" x14ac:dyDescent="0.3">
      <c r="F67" s="42" t="s">
        <v>165</v>
      </c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</row>
    <row r="68" spans="6:18" x14ac:dyDescent="0.3">
      <c r="F68" s="7" t="s">
        <v>145</v>
      </c>
      <c r="G68" s="100">
        <v>32.5</v>
      </c>
      <c r="H68" s="100">
        <f>+G68*(SUM($G$3:$G$8)+$G$12)*2.2/1000</f>
        <v>132.27500000000001</v>
      </c>
      <c r="I68" s="100">
        <f>+G68*($C$9*6+$C$38)*2.2/1000</f>
        <v>280.995</v>
      </c>
      <c r="J68" s="100">
        <f>+(1.1*(H68+I68))/(0.3*$H$58)</f>
        <v>378.83083333333337</v>
      </c>
      <c r="K68" s="100">
        <f>+IF(EVEN(SQRT(J68))&lt;12,12,EVEN(SQRT(J68)))</f>
        <v>20</v>
      </c>
      <c r="L68" s="100">
        <f>+IF(EVEN(SQRT(J68))&lt;12,12,EVEN(SQRT(J68)))</f>
        <v>20</v>
      </c>
      <c r="M68" s="100">
        <f>+K68*L68</f>
        <v>400</v>
      </c>
      <c r="N68" s="100">
        <f t="shared" ref="N68:O71" si="6">+K68*2.5</f>
        <v>50</v>
      </c>
      <c r="O68" s="100">
        <f t="shared" si="6"/>
        <v>50</v>
      </c>
      <c r="P68" s="100">
        <f>+M68*0.02</f>
        <v>8</v>
      </c>
      <c r="Q68" s="110">
        <f>+P68/0.79</f>
        <v>10.126582278481012</v>
      </c>
      <c r="R68" s="110">
        <f>+P68/0.44</f>
        <v>18.181818181818183</v>
      </c>
    </row>
    <row r="69" spans="6:18" x14ac:dyDescent="0.3">
      <c r="F69" s="7" t="s">
        <v>150</v>
      </c>
      <c r="G69" s="100">
        <v>30</v>
      </c>
      <c r="H69" s="100">
        <f>+G69*(SUM($G$3:$G$8)+$G$12)*2.2/1000</f>
        <v>122.10000000000001</v>
      </c>
      <c r="I69" s="100">
        <f>+G69*($C$9*6+$C$38)*2.2/1000</f>
        <v>259.38000000000005</v>
      </c>
      <c r="J69" s="100">
        <f>+(1.1*(H69+I69))/(0.3*$H$58)</f>
        <v>349.69000000000011</v>
      </c>
      <c r="K69" s="100">
        <f>+IF(EVEN(SQRT(J69))&lt;12,12,EVEN(SQRT(J69)))</f>
        <v>20</v>
      </c>
      <c r="L69" s="100">
        <f>+IF(EVEN(SQRT(J69))&lt;12,12,EVEN(SQRT(J69)))</f>
        <v>20</v>
      </c>
      <c r="M69" s="100">
        <f>+K69*L69</f>
        <v>400</v>
      </c>
      <c r="N69" s="100">
        <f t="shared" si="6"/>
        <v>50</v>
      </c>
      <c r="O69" s="100">
        <f t="shared" si="6"/>
        <v>50</v>
      </c>
      <c r="P69" s="100">
        <f>+M69*0.02</f>
        <v>8</v>
      </c>
      <c r="Q69" s="110">
        <f>+P69/0.79</f>
        <v>10.126582278481012</v>
      </c>
      <c r="R69" s="110">
        <f>+P69/0.44</f>
        <v>18.181818181818183</v>
      </c>
    </row>
    <row r="70" spans="6:18" x14ac:dyDescent="0.3">
      <c r="F70" s="7" t="s">
        <v>146</v>
      </c>
      <c r="G70" s="100">
        <v>6</v>
      </c>
      <c r="H70" s="100">
        <f>+G70*(SUM($G$3:$G$8)+$G$12)*2.2/1000</f>
        <v>24.420000000000005</v>
      </c>
      <c r="I70" s="100">
        <f>+G70*($C$9*6+$C$38)*2.2/1000</f>
        <v>51.876000000000005</v>
      </c>
      <c r="J70" s="100">
        <f>+(1.5*(H70+I70))/(0.2*$H$58)</f>
        <v>143.05500000000001</v>
      </c>
      <c r="K70" s="100">
        <f>+IF(EVEN(SQRT(J70))&lt;12,12,EVEN(SQRT(J70)))</f>
        <v>12</v>
      </c>
      <c r="L70" s="100">
        <f>+IF(EVEN(SQRT(J70))&lt;12,12,EVEN(SQRT(J70)))</f>
        <v>12</v>
      </c>
      <c r="M70" s="100">
        <f>+K70*L70</f>
        <v>144</v>
      </c>
      <c r="N70" s="100">
        <f t="shared" si="6"/>
        <v>30</v>
      </c>
      <c r="O70" s="100">
        <f t="shared" si="6"/>
        <v>30</v>
      </c>
      <c r="P70" s="100">
        <f>+M70*0.02</f>
        <v>2.88</v>
      </c>
      <c r="Q70" s="110">
        <f>+P70/0.79</f>
        <v>3.6455696202531644</v>
      </c>
      <c r="R70" s="110">
        <f>+P70/0.44</f>
        <v>6.545454545454545</v>
      </c>
    </row>
    <row r="71" spans="6:18" x14ac:dyDescent="0.3">
      <c r="F71" s="7" t="s">
        <v>151</v>
      </c>
      <c r="G71" s="100">
        <v>15</v>
      </c>
      <c r="H71" s="100">
        <f>+G71*(SUM($G$3:$G$8)+$G$12)*2.2/1000</f>
        <v>61.050000000000004</v>
      </c>
      <c r="I71" s="100">
        <f>+G71*($C$9*6+$C$38)*2.2/1000</f>
        <v>129.69000000000003</v>
      </c>
      <c r="J71" s="100">
        <f>+(1.25*(H71+I71))/(0.25*$H$58)</f>
        <v>238.42500000000004</v>
      </c>
      <c r="K71" s="100">
        <f>+IF(EVEN(SQRT(J71))&lt;12,12,EVEN(SQRT(J71)))</f>
        <v>16</v>
      </c>
      <c r="L71" s="100">
        <f>+IF(EVEN(SQRT(J71))&lt;12,12,EVEN(SQRT(J71)))</f>
        <v>16</v>
      </c>
      <c r="M71" s="100">
        <f>+K71*L71</f>
        <v>256</v>
      </c>
      <c r="N71" s="100">
        <f t="shared" si="6"/>
        <v>40</v>
      </c>
      <c r="O71" s="100">
        <f t="shared" si="6"/>
        <v>40</v>
      </c>
      <c r="P71" s="100">
        <f>+M71*0.02</f>
        <v>5.12</v>
      </c>
      <c r="Q71" s="110">
        <f>+P71/0.79</f>
        <v>6.481012658227848</v>
      </c>
      <c r="R71" s="110">
        <f>+P71/0.44</f>
        <v>11.636363636363637</v>
      </c>
    </row>
    <row r="72" spans="6:18" x14ac:dyDescent="0.3">
      <c r="F72" s="100"/>
      <c r="G72" s="100"/>
      <c r="H72" s="100"/>
      <c r="I72" s="100"/>
      <c r="J72" s="100"/>
      <c r="K72" s="100"/>
      <c r="L72" s="100"/>
      <c r="M72" s="100"/>
      <c r="N72" s="100"/>
      <c r="O72" s="100"/>
      <c r="P72" s="100"/>
      <c r="Q72" s="100"/>
      <c r="R72" s="100"/>
    </row>
    <row r="73" spans="6:18" x14ac:dyDescent="0.3">
      <c r="F73" s="42" t="s">
        <v>166</v>
      </c>
      <c r="G73" s="100"/>
      <c r="H73" s="100"/>
      <c r="I73" s="100"/>
      <c r="J73" s="100"/>
      <c r="K73" s="100"/>
      <c r="L73" s="100"/>
      <c r="M73" s="100"/>
      <c r="N73" s="100"/>
      <c r="O73" s="100"/>
      <c r="P73" s="100"/>
      <c r="Q73" s="100"/>
      <c r="R73" s="100"/>
    </row>
    <row r="74" spans="6:18" x14ac:dyDescent="0.3">
      <c r="F74" s="7" t="s">
        <v>145</v>
      </c>
      <c r="G74" s="100">
        <v>32.5</v>
      </c>
      <c r="H74" s="100">
        <f>+G74*(SUM($G$3:$G$6)+$G$12)*2.2/1000</f>
        <v>103.67500000000001</v>
      </c>
      <c r="I74" s="100">
        <f>+G74*($C$9*4+$C$38)*2.2/1000</f>
        <v>198.05500000000004</v>
      </c>
      <c r="J74" s="100">
        <f>+(1.1*(H74+I74))/(0.3*$H$58)</f>
        <v>276.58583333333337</v>
      </c>
      <c r="K74" s="100">
        <f>+IF(EVEN(SQRT(J74))&lt;12,12,EVEN(SQRT(J74)))</f>
        <v>18</v>
      </c>
      <c r="L74" s="100">
        <f>+IF(EVEN(SQRT(J74))&lt;12,12,EVEN(SQRT(J74)))</f>
        <v>18</v>
      </c>
      <c r="M74" s="100">
        <f>+K74*L74</f>
        <v>324</v>
      </c>
      <c r="N74" s="100">
        <f t="shared" ref="N74:O77" si="7">+K74*2.5</f>
        <v>45</v>
      </c>
      <c r="O74" s="100">
        <f t="shared" si="7"/>
        <v>45</v>
      </c>
      <c r="P74" s="100">
        <f>+M74*0.02</f>
        <v>6.48</v>
      </c>
      <c r="Q74" s="110">
        <f>+P74/0.79</f>
        <v>8.2025316455696196</v>
      </c>
      <c r="R74" s="110">
        <f>+P74/0.44</f>
        <v>14.727272727272728</v>
      </c>
    </row>
    <row r="75" spans="6:18" x14ac:dyDescent="0.3">
      <c r="F75" s="7" t="s">
        <v>150</v>
      </c>
      <c r="G75" s="100">
        <v>30</v>
      </c>
      <c r="H75" s="100">
        <f>+G75*(SUM($G$3:$G$6)+$G$12)*2.2/1000</f>
        <v>95.700000000000017</v>
      </c>
      <c r="I75" s="100">
        <f>+G75*($C$9*4+$C$38)*2.2/1000</f>
        <v>182.82000000000002</v>
      </c>
      <c r="J75" s="100">
        <f>+(1.1*(H75+I75))/(0.3*$H$58)</f>
        <v>255.31000000000006</v>
      </c>
      <c r="K75" s="100">
        <f>+IF(EVEN(SQRT(J75))&lt;12,12,EVEN(SQRT(J75)))</f>
        <v>16</v>
      </c>
      <c r="L75" s="100">
        <f>+IF(EVEN(SQRT(J75))&lt;12,12,EVEN(SQRT(J75)))</f>
        <v>16</v>
      </c>
      <c r="M75" s="100">
        <f>+K75*L75</f>
        <v>256</v>
      </c>
      <c r="N75" s="100">
        <f t="shared" si="7"/>
        <v>40</v>
      </c>
      <c r="O75" s="100">
        <f t="shared" si="7"/>
        <v>40</v>
      </c>
      <c r="P75" s="100">
        <f>+M75*0.02</f>
        <v>5.12</v>
      </c>
      <c r="Q75" s="110">
        <f>+P75/0.79</f>
        <v>6.481012658227848</v>
      </c>
      <c r="R75" s="110">
        <f>+P75/0.44</f>
        <v>11.636363636363637</v>
      </c>
    </row>
    <row r="76" spans="6:18" x14ac:dyDescent="0.3">
      <c r="F76" s="7" t="s">
        <v>146</v>
      </c>
      <c r="G76" s="100">
        <v>6</v>
      </c>
      <c r="H76" s="100">
        <f>+G76*(SUM($G$3:$G$6)+$G$12)*2.2/1000</f>
        <v>19.14</v>
      </c>
      <c r="I76" s="100">
        <f>+G76*($C$9*4+$C$38)*2.2/1000</f>
        <v>36.564</v>
      </c>
      <c r="J76" s="100">
        <f>+(1.5*(H76+I76))/(0.2*$H$58)</f>
        <v>104.44499999999999</v>
      </c>
      <c r="K76" s="100">
        <f>+IF(EVEN(SQRT(J76))&lt;12,12,EVEN(SQRT(J76)))</f>
        <v>12</v>
      </c>
      <c r="L76" s="100">
        <f>+IF(EVEN(SQRT(J76))&lt;12,12,EVEN(SQRT(J76)))</f>
        <v>12</v>
      </c>
      <c r="M76" s="100">
        <f>+K76*L76</f>
        <v>144</v>
      </c>
      <c r="N76" s="100">
        <f t="shared" si="7"/>
        <v>30</v>
      </c>
      <c r="O76" s="100">
        <f t="shared" si="7"/>
        <v>30</v>
      </c>
      <c r="P76" s="100">
        <f>+M76*0.02</f>
        <v>2.88</v>
      </c>
      <c r="Q76" s="110">
        <f>+P76/0.79</f>
        <v>3.6455696202531644</v>
      </c>
      <c r="R76" s="110">
        <f>+P76/0.44</f>
        <v>6.545454545454545</v>
      </c>
    </row>
    <row r="77" spans="6:18" x14ac:dyDescent="0.3">
      <c r="F77" s="7" t="s">
        <v>151</v>
      </c>
      <c r="G77" s="100">
        <v>15</v>
      </c>
      <c r="H77" s="100">
        <f>+G77*(SUM($G$3:$G$6)+$G$12)*2.2/1000</f>
        <v>47.850000000000009</v>
      </c>
      <c r="I77" s="100">
        <f>+G77*($C$9*4+$C$38)*2.2/1000</f>
        <v>91.410000000000011</v>
      </c>
      <c r="J77" s="100">
        <f>+(1.25*(H77+I77))/(0.25*$H$58)</f>
        <v>174.07500000000002</v>
      </c>
      <c r="K77" s="100">
        <f>+IF(EVEN(SQRT(J77))&lt;12,12,EVEN(SQRT(J77)))</f>
        <v>14</v>
      </c>
      <c r="L77" s="100">
        <f>+IF(EVEN(SQRT(J77))&lt;12,12,EVEN(SQRT(J77)))</f>
        <v>14</v>
      </c>
      <c r="M77" s="100">
        <f>+K77*L77</f>
        <v>196</v>
      </c>
      <c r="N77" s="100">
        <f t="shared" si="7"/>
        <v>35</v>
      </c>
      <c r="O77" s="100">
        <f t="shared" si="7"/>
        <v>35</v>
      </c>
      <c r="P77" s="100">
        <f>+M77*0.02</f>
        <v>3.92</v>
      </c>
      <c r="Q77" s="110">
        <f>+P77/0.79</f>
        <v>4.962025316455696</v>
      </c>
      <c r="R77" s="110">
        <f>+P77/0.44</f>
        <v>8.9090909090909083</v>
      </c>
    </row>
    <row r="78" spans="6:18" x14ac:dyDescent="0.3">
      <c r="F78" s="100"/>
      <c r="G78" s="100"/>
      <c r="H78" s="100"/>
      <c r="I78" s="100"/>
      <c r="J78" s="100"/>
      <c r="K78" s="100"/>
      <c r="L78" s="100"/>
      <c r="M78" s="100"/>
      <c r="N78" s="100"/>
      <c r="O78" s="100"/>
      <c r="P78" s="100"/>
      <c r="Q78" s="100"/>
      <c r="R78" s="100"/>
    </row>
    <row r="79" spans="6:18" x14ac:dyDescent="0.3">
      <c r="F79" s="42" t="s">
        <v>167</v>
      </c>
      <c r="G79" s="100"/>
      <c r="H79" s="100"/>
      <c r="I79" s="100"/>
      <c r="J79" s="100"/>
      <c r="K79" s="100"/>
      <c r="L79" s="100"/>
      <c r="M79" s="100"/>
      <c r="N79" s="100"/>
      <c r="O79" s="100"/>
      <c r="P79" s="100"/>
      <c r="Q79" s="100"/>
      <c r="R79" s="100"/>
    </row>
    <row r="80" spans="6:18" x14ac:dyDescent="0.3">
      <c r="F80" s="7" t="s">
        <v>145</v>
      </c>
      <c r="G80" s="100">
        <v>32.5</v>
      </c>
      <c r="H80" s="100">
        <f>+G80*(SUM($G$3:$G$4)+$G$12)*2.2/1000</f>
        <v>75.075000000000003</v>
      </c>
      <c r="I80" s="100">
        <f>+G80*($C$9*2+$C$38)*2.2/1000</f>
        <v>115.11500000000001</v>
      </c>
      <c r="J80" s="100">
        <f>+(1.1*(H80+I80))/(0.3*$H$58)</f>
        <v>174.34083333333334</v>
      </c>
      <c r="K80" s="100">
        <f>+IF(EVEN(SQRT(J80))&lt;12,12,EVEN(SQRT(J80)))</f>
        <v>14</v>
      </c>
      <c r="L80" s="100">
        <f>+IF(EVEN(SQRT(J80))&lt;12,12,EVEN(SQRT(J80)))</f>
        <v>14</v>
      </c>
      <c r="M80" s="100">
        <f>+K80*L80</f>
        <v>196</v>
      </c>
      <c r="N80" s="100">
        <f t="shared" ref="N80:O83" si="8">+K80*2.5</f>
        <v>35</v>
      </c>
      <c r="O80" s="100">
        <f t="shared" si="8"/>
        <v>35</v>
      </c>
      <c r="P80" s="100">
        <f>+M80*0.02</f>
        <v>3.92</v>
      </c>
      <c r="Q80" s="110">
        <f>+P80/0.79</f>
        <v>4.962025316455696</v>
      </c>
      <c r="R80" s="110">
        <f>+P80/0.44</f>
        <v>8.9090909090909083</v>
      </c>
    </row>
    <row r="81" spans="6:18" x14ac:dyDescent="0.3">
      <c r="F81" s="7" t="s">
        <v>150</v>
      </c>
      <c r="G81" s="100">
        <v>30</v>
      </c>
      <c r="H81" s="100">
        <f>+G81*(SUM($G$3:$G$4)+$G$12)*2.2/1000</f>
        <v>69.3</v>
      </c>
      <c r="I81" s="100">
        <f>+G81*($C$9*2+$C$38)*2.2/1000</f>
        <v>106.26000000000002</v>
      </c>
      <c r="J81" s="100">
        <f>+(1.1*(H81+I81))/(0.3*$H$58)</f>
        <v>160.93</v>
      </c>
      <c r="K81" s="100">
        <f>+IF(EVEN(SQRT(J81))&lt;12,12,EVEN(SQRT(J81)))</f>
        <v>14</v>
      </c>
      <c r="L81" s="100">
        <f>+IF(EVEN(SQRT(J81))&lt;12,12,EVEN(SQRT(J81)))</f>
        <v>14</v>
      </c>
      <c r="M81" s="100">
        <f>+K81*L81</f>
        <v>196</v>
      </c>
      <c r="N81" s="100">
        <f t="shared" si="8"/>
        <v>35</v>
      </c>
      <c r="O81" s="100">
        <f t="shared" si="8"/>
        <v>35</v>
      </c>
      <c r="P81" s="100">
        <f>+M81*0.02</f>
        <v>3.92</v>
      </c>
      <c r="Q81" s="110">
        <f>+P81/0.79</f>
        <v>4.962025316455696</v>
      </c>
      <c r="R81" s="110">
        <f>+P81/0.44</f>
        <v>8.9090909090909083</v>
      </c>
    </row>
    <row r="82" spans="6:18" x14ac:dyDescent="0.3">
      <c r="F82" s="7" t="s">
        <v>146</v>
      </c>
      <c r="G82" s="100">
        <v>6</v>
      </c>
      <c r="H82" s="100">
        <f>+G82*(SUM($G$3:$G$4)+$G$12)*2.2/1000</f>
        <v>13.860000000000001</v>
      </c>
      <c r="I82" s="100">
        <f>+G82*($C$9*2+$C$38)*2.2/1000</f>
        <v>21.251999999999999</v>
      </c>
      <c r="J82" s="100">
        <f>+(1.5*(H82+I82))/(0.2*$H$58)</f>
        <v>65.835000000000008</v>
      </c>
      <c r="K82" s="100">
        <f>+IF(EVEN(SQRT(J82))&lt;12,12,EVEN(SQRT(J82)))</f>
        <v>12</v>
      </c>
      <c r="L82" s="100">
        <f>+IF(EVEN(SQRT(J82))&lt;12,12,EVEN(SQRT(J82)))</f>
        <v>12</v>
      </c>
      <c r="M82" s="100">
        <f>+K82*L82</f>
        <v>144</v>
      </c>
      <c r="N82" s="100">
        <f t="shared" si="8"/>
        <v>30</v>
      </c>
      <c r="O82" s="100">
        <f t="shared" si="8"/>
        <v>30</v>
      </c>
      <c r="P82" s="100">
        <f>+M82*0.02</f>
        <v>2.88</v>
      </c>
      <c r="Q82" s="110">
        <f>+P82/0.79</f>
        <v>3.6455696202531644</v>
      </c>
      <c r="R82" s="110">
        <f>+P82/0.44</f>
        <v>6.545454545454545</v>
      </c>
    </row>
    <row r="83" spans="6:18" x14ac:dyDescent="0.3">
      <c r="F83" s="7" t="s">
        <v>151</v>
      </c>
      <c r="G83" s="100">
        <v>15</v>
      </c>
      <c r="H83" s="100">
        <f>+G83*(SUM($G$3:$G$4)+$G$12)*2.2/1000</f>
        <v>34.65</v>
      </c>
      <c r="I83" s="100">
        <f>+G83*($C$9*2+$C$38)*2.2/1000</f>
        <v>53.13000000000001</v>
      </c>
      <c r="J83" s="100">
        <f>+(1.25*(H83+I83))/(0.25*$H$58)</f>
        <v>109.72499999999999</v>
      </c>
      <c r="K83" s="100">
        <f>+IF(EVEN(SQRT(J83))&lt;12,12,EVEN(SQRT(J83)))</f>
        <v>12</v>
      </c>
      <c r="L83" s="100">
        <f>+IF(EVEN(SQRT(J83))&lt;12,12,EVEN(SQRT(J83)))</f>
        <v>12</v>
      </c>
      <c r="M83" s="100">
        <f>+K83*L83</f>
        <v>144</v>
      </c>
      <c r="N83" s="100">
        <f t="shared" si="8"/>
        <v>30</v>
      </c>
      <c r="O83" s="100">
        <f t="shared" si="8"/>
        <v>30</v>
      </c>
      <c r="P83" s="100">
        <f>+M83*0.02</f>
        <v>2.88</v>
      </c>
      <c r="Q83" s="110">
        <f>+P83/0.79</f>
        <v>3.6455696202531644</v>
      </c>
      <c r="R83" s="110">
        <f>+P83/0.44</f>
        <v>6.545454545454545</v>
      </c>
    </row>
  </sheetData>
  <mergeCells count="4">
    <mergeCell ref="B29:B30"/>
    <mergeCell ref="C29:C30"/>
    <mergeCell ref="D29:D30"/>
    <mergeCell ref="B32:B33"/>
  </mergeCells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AG128"/>
  <sheetViews>
    <sheetView topLeftCell="B1" workbookViewId="0">
      <selection activeCell="X50" sqref="X50"/>
    </sheetView>
  </sheetViews>
  <sheetFormatPr baseColWidth="10" defaultRowHeight="14.4" x14ac:dyDescent="0.3"/>
  <sheetData>
    <row r="1" spans="1:25" x14ac:dyDescent="0.3">
      <c r="A1" s="100"/>
      <c r="B1" s="100"/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  <c r="S1" s="100"/>
      <c r="T1" s="100"/>
      <c r="U1" s="100"/>
      <c r="V1" s="100"/>
      <c r="W1" s="100"/>
      <c r="X1" s="100"/>
      <c r="Y1" s="100"/>
    </row>
    <row r="2" spans="1:25" x14ac:dyDescent="0.3">
      <c r="A2" s="100"/>
      <c r="B2" s="100"/>
      <c r="C2" s="100"/>
      <c r="D2" s="100"/>
      <c r="E2" s="100"/>
      <c r="F2" s="100"/>
      <c r="G2" s="100"/>
      <c r="H2" s="100"/>
      <c r="I2" s="100"/>
      <c r="J2" s="100"/>
      <c r="K2" s="100"/>
      <c r="L2" s="100"/>
      <c r="M2" s="100"/>
      <c r="N2" s="100"/>
      <c r="O2" s="100"/>
      <c r="P2" s="100"/>
      <c r="Q2" s="100"/>
      <c r="R2" s="100"/>
      <c r="S2" s="100"/>
      <c r="T2" s="100"/>
      <c r="U2" s="100"/>
      <c r="V2" s="100"/>
      <c r="W2" s="100"/>
      <c r="X2" s="100"/>
      <c r="Y2" s="100"/>
    </row>
    <row r="3" spans="1:25" x14ac:dyDescent="0.3">
      <c r="A3" s="100"/>
      <c r="B3" s="100" t="s">
        <v>129</v>
      </c>
      <c r="C3" s="100"/>
      <c r="D3" s="100"/>
      <c r="E3" s="100"/>
      <c r="F3" s="100"/>
      <c r="G3" s="100"/>
      <c r="H3" s="100"/>
      <c r="I3" s="100"/>
      <c r="J3" s="100"/>
      <c r="K3" s="100"/>
      <c r="L3" s="100"/>
      <c r="M3" s="100"/>
      <c r="N3" s="100"/>
      <c r="O3" s="100" t="s">
        <v>129</v>
      </c>
      <c r="P3" s="100"/>
      <c r="Q3" s="100"/>
      <c r="R3" s="100"/>
      <c r="S3" s="100"/>
      <c r="T3" s="100"/>
      <c r="U3" s="100"/>
      <c r="V3" s="100"/>
      <c r="W3" s="100"/>
      <c r="X3" s="100"/>
      <c r="Y3" s="100"/>
    </row>
    <row r="4" spans="1:25" x14ac:dyDescent="0.3">
      <c r="A4" s="100"/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</row>
    <row r="5" spans="1:25" x14ac:dyDescent="0.3">
      <c r="A5" s="100"/>
      <c r="B5" s="100" t="s">
        <v>130</v>
      </c>
      <c r="C5" s="100">
        <v>1.2</v>
      </c>
      <c r="D5" s="100" t="s">
        <v>131</v>
      </c>
      <c r="E5" s="100">
        <v>0.186</v>
      </c>
      <c r="F5" s="100" t="s">
        <v>132</v>
      </c>
      <c r="G5" s="100">
        <v>0.52400000000000002</v>
      </c>
      <c r="H5" s="100" t="s">
        <v>133</v>
      </c>
      <c r="I5" s="100">
        <v>2</v>
      </c>
      <c r="J5" s="100" t="s">
        <v>134</v>
      </c>
      <c r="K5" s="100">
        <v>0.25</v>
      </c>
      <c r="L5" s="100"/>
      <c r="M5" s="100"/>
      <c r="N5" s="100"/>
      <c r="O5" s="100" t="s">
        <v>135</v>
      </c>
      <c r="P5" s="100">
        <v>1.5</v>
      </c>
      <c r="Q5" s="100" t="s">
        <v>131</v>
      </c>
      <c r="R5" s="100">
        <v>0.23300000000000001</v>
      </c>
      <c r="S5" s="100" t="s">
        <v>132</v>
      </c>
      <c r="T5" s="100">
        <v>0.81799999999999995</v>
      </c>
      <c r="U5" s="100" t="s">
        <v>133</v>
      </c>
      <c r="V5" s="100">
        <v>2</v>
      </c>
      <c r="W5" s="100" t="s">
        <v>134</v>
      </c>
      <c r="X5" s="100">
        <v>0.28000000000000003</v>
      </c>
      <c r="Y5" s="100"/>
    </row>
    <row r="6" spans="1:25" x14ac:dyDescent="0.3">
      <c r="A6" s="100"/>
      <c r="B6" s="100"/>
      <c r="C6" s="100"/>
      <c r="D6" s="100"/>
      <c r="E6" s="100"/>
      <c r="F6" s="100"/>
      <c r="G6" s="100"/>
      <c r="H6" s="100"/>
      <c r="I6" s="100"/>
      <c r="J6" s="100"/>
      <c r="K6" s="100"/>
      <c r="L6" s="100"/>
      <c r="M6" s="100"/>
      <c r="N6" s="100"/>
      <c r="O6" s="100"/>
      <c r="P6" s="100"/>
      <c r="Q6" s="100"/>
      <c r="R6" s="100"/>
      <c r="S6" s="100"/>
      <c r="T6" s="100"/>
      <c r="U6" s="100"/>
      <c r="V6" s="100"/>
      <c r="W6" s="100"/>
      <c r="X6" s="100"/>
      <c r="Y6" s="100"/>
    </row>
    <row r="7" spans="1:25" x14ac:dyDescent="0.3">
      <c r="A7" s="100"/>
      <c r="B7" s="100"/>
      <c r="C7" s="100"/>
      <c r="D7" s="100"/>
      <c r="E7" s="100"/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0"/>
      <c r="Q7" s="100"/>
      <c r="R7" s="100"/>
      <c r="S7" s="100"/>
      <c r="T7" s="100"/>
      <c r="U7" s="100"/>
      <c r="V7" s="100"/>
      <c r="W7" s="100"/>
      <c r="X7" s="100"/>
      <c r="Y7" s="100"/>
    </row>
    <row r="8" spans="1:25" x14ac:dyDescent="0.3">
      <c r="A8" s="100"/>
      <c r="B8" s="100"/>
      <c r="C8" s="100"/>
      <c r="D8" s="100"/>
      <c r="E8" s="100"/>
      <c r="F8" s="100"/>
      <c r="G8" s="100"/>
      <c r="H8" s="100"/>
      <c r="I8" s="100"/>
      <c r="J8" s="100"/>
      <c r="K8" s="100"/>
      <c r="L8" s="100"/>
      <c r="M8" s="100"/>
      <c r="N8" s="100"/>
      <c r="O8" s="100"/>
      <c r="P8" s="100"/>
      <c r="Q8" s="100"/>
      <c r="R8" s="100"/>
      <c r="S8" s="100"/>
      <c r="T8" s="100"/>
      <c r="U8" s="100"/>
      <c r="V8" s="100"/>
      <c r="W8" s="100"/>
      <c r="X8" s="100"/>
      <c r="Y8" s="100"/>
    </row>
    <row r="9" spans="1:25" x14ac:dyDescent="0.3">
      <c r="A9" s="100"/>
      <c r="B9" s="100" t="s">
        <v>136</v>
      </c>
      <c r="C9" s="100" t="s">
        <v>137</v>
      </c>
      <c r="D9" s="100"/>
      <c r="E9" s="100" t="s">
        <v>136</v>
      </c>
      <c r="F9" s="100" t="s">
        <v>137</v>
      </c>
      <c r="G9" s="100"/>
      <c r="H9" s="100"/>
      <c r="I9" s="100"/>
      <c r="J9" s="100"/>
      <c r="K9" s="100"/>
      <c r="L9" s="100"/>
      <c r="M9" s="100"/>
      <c r="N9" s="100"/>
      <c r="O9" s="100" t="s">
        <v>136</v>
      </c>
      <c r="P9" s="100" t="s">
        <v>137</v>
      </c>
      <c r="Q9" s="100" t="s">
        <v>137</v>
      </c>
      <c r="R9" s="100" t="s">
        <v>136</v>
      </c>
      <c r="S9" s="100" t="s">
        <v>137</v>
      </c>
      <c r="T9" s="100" t="s">
        <v>137</v>
      </c>
      <c r="U9" s="100" t="s">
        <v>136</v>
      </c>
      <c r="V9" s="100" t="s">
        <v>137</v>
      </c>
      <c r="W9" s="100" t="s">
        <v>137</v>
      </c>
      <c r="X9" s="100"/>
      <c r="Y9" s="100"/>
    </row>
    <row r="10" spans="1:25" x14ac:dyDescent="0.3">
      <c r="A10" s="100"/>
      <c r="B10" s="100">
        <v>0</v>
      </c>
      <c r="C10" s="100">
        <f>2.5*$K$5*9.81*(0.4+0.7*(B10/$E$5))</f>
        <v>2.4525000000000006</v>
      </c>
      <c r="D10" s="100"/>
      <c r="E10" s="100">
        <v>3.1</v>
      </c>
      <c r="F10" s="100">
        <f t="shared" ref="F10:F38" si="0">+$K$5*9.81*((($C$5)^$I$5)/E10)</f>
        <v>1.139225806451613</v>
      </c>
      <c r="G10" s="100"/>
      <c r="H10" s="100"/>
      <c r="I10" s="100"/>
      <c r="J10" s="100"/>
      <c r="K10" s="100"/>
      <c r="L10" s="100"/>
      <c r="M10" s="100"/>
      <c r="N10" s="100"/>
      <c r="O10" s="100">
        <v>0</v>
      </c>
      <c r="P10" s="100">
        <f>2.5*$X$5*9.81*(0.4+0.7*(O10/$R$5))</f>
        <v>2.7468000000000004</v>
      </c>
      <c r="Q10" s="100">
        <f>+P10/9.81</f>
        <v>0.28000000000000003</v>
      </c>
      <c r="R10" s="100">
        <v>3.4</v>
      </c>
      <c r="S10" s="100">
        <f>+$X$5*9.81*((($P$5)^$V$5)/R10)</f>
        <v>1.8177352941176472</v>
      </c>
      <c r="T10" s="100">
        <f>+S10/9.81</f>
        <v>0.18529411764705883</v>
      </c>
      <c r="U10" s="100">
        <v>6.3</v>
      </c>
      <c r="V10" s="100">
        <f>+$X$5*9.81*((($P$5)^$V$5)/U10)</f>
        <v>0.98100000000000009</v>
      </c>
      <c r="W10" s="100">
        <f>+V10/9.81</f>
        <v>0.1</v>
      </c>
      <c r="X10" s="100"/>
      <c r="Y10" s="100"/>
    </row>
    <row r="11" spans="1:25" x14ac:dyDescent="0.3">
      <c r="A11" s="100"/>
      <c r="B11" s="100">
        <v>0.186</v>
      </c>
      <c r="C11" s="100">
        <f>2.5*$K$5*9.81*(0.4+0.7*(B11/$E$5))</f>
        <v>6.7443750000000016</v>
      </c>
      <c r="D11" s="100"/>
      <c r="E11" s="100">
        <v>3.2</v>
      </c>
      <c r="F11" s="100">
        <f t="shared" si="0"/>
        <v>1.1036249999999999</v>
      </c>
      <c r="G11" s="100"/>
      <c r="H11" s="100"/>
      <c r="I11" s="100"/>
      <c r="J11" s="100"/>
      <c r="K11" s="100"/>
      <c r="L11" s="100"/>
      <c r="M11" s="100"/>
      <c r="N11" s="100"/>
      <c r="O11" s="100">
        <v>0.23300000000000001</v>
      </c>
      <c r="P11" s="100">
        <f>2.5*$X$5*9.81*(0.4+0.7*(O11/$R$5))</f>
        <v>7.5537000000000019</v>
      </c>
      <c r="Q11" s="100">
        <f t="shared" ref="Q11:Q38" si="1">+P11/9.81</f>
        <v>0.77000000000000013</v>
      </c>
      <c r="R11" s="100">
        <v>3.5</v>
      </c>
      <c r="S11" s="100">
        <f t="shared" ref="S11:S38" si="2">+$X$5*9.81*((($P$5)^$V$5)/R11)</f>
        <v>1.7658000000000003</v>
      </c>
      <c r="T11" s="100">
        <f t="shared" ref="T11:T38" si="3">+S11/9.81</f>
        <v>0.18000000000000002</v>
      </c>
      <c r="U11" s="100">
        <v>6.4</v>
      </c>
      <c r="V11" s="100">
        <f t="shared" ref="V11:V38" si="4">+$X$5*9.81*((($P$5)^$V$5)/U11)</f>
        <v>0.96567187500000018</v>
      </c>
      <c r="W11" s="100">
        <f t="shared" ref="W11:W38" si="5">+V11/9.81</f>
        <v>9.8437500000000011E-2</v>
      </c>
      <c r="X11" s="100"/>
      <c r="Y11" s="100"/>
    </row>
    <row r="12" spans="1:25" x14ac:dyDescent="0.3">
      <c r="A12" s="100"/>
      <c r="B12" s="100">
        <v>0.52400000000000002</v>
      </c>
      <c r="C12" s="100">
        <f>2.75*$K$5*9.81</f>
        <v>6.7443750000000007</v>
      </c>
      <c r="D12" s="100"/>
      <c r="E12" s="100">
        <v>3.3</v>
      </c>
      <c r="F12" s="100">
        <f t="shared" si="0"/>
        <v>1.0701818181818183</v>
      </c>
      <c r="G12" s="100"/>
      <c r="H12" s="100"/>
      <c r="I12" s="100"/>
      <c r="J12" s="100"/>
      <c r="K12" s="100"/>
      <c r="L12" s="100"/>
      <c r="M12" s="100"/>
      <c r="N12" s="100"/>
      <c r="O12" s="100">
        <v>0.81799999999999995</v>
      </c>
      <c r="P12" s="100">
        <f>2.75*$X$5*9.81</f>
        <v>7.553700000000001</v>
      </c>
      <c r="Q12" s="100">
        <f t="shared" si="1"/>
        <v>0.77</v>
      </c>
      <c r="R12" s="100">
        <v>3.6</v>
      </c>
      <c r="S12" s="100">
        <f t="shared" si="2"/>
        <v>1.7167500000000002</v>
      </c>
      <c r="T12" s="100">
        <f t="shared" si="3"/>
        <v>0.17500000000000002</v>
      </c>
      <c r="U12" s="100">
        <v>6.5</v>
      </c>
      <c r="V12" s="100">
        <f t="shared" si="4"/>
        <v>0.95081538461538473</v>
      </c>
      <c r="W12" s="100">
        <f t="shared" si="5"/>
        <v>9.6923076923076931E-2</v>
      </c>
      <c r="X12" s="100"/>
      <c r="Y12" s="100"/>
    </row>
    <row r="13" spans="1:25" x14ac:dyDescent="0.3">
      <c r="A13" s="100"/>
      <c r="B13" s="100">
        <v>0.52400000000000002</v>
      </c>
      <c r="C13" s="100">
        <f>+$K$5*9.81*((($C$5)^$I$5)/B13)</f>
        <v>6.7396946564885489</v>
      </c>
      <c r="D13" s="100"/>
      <c r="E13" s="100">
        <v>3.4</v>
      </c>
      <c r="F13" s="100">
        <f t="shared" si="0"/>
        <v>1.0387058823529411</v>
      </c>
      <c r="G13" s="100"/>
      <c r="H13" s="100"/>
      <c r="I13" s="100"/>
      <c r="J13" s="100"/>
      <c r="K13" s="100"/>
      <c r="L13" s="100"/>
      <c r="M13" s="100"/>
      <c r="N13" s="100"/>
      <c r="O13" s="100">
        <v>0.81799999999999995</v>
      </c>
      <c r="P13" s="100">
        <f>+$X$5*9.81*((($P$5)^$V$5)/O13)</f>
        <v>7.5553789731051362</v>
      </c>
      <c r="Q13" s="100">
        <f t="shared" si="1"/>
        <v>0.77017114914425444</v>
      </c>
      <c r="R13" s="100">
        <v>3.7</v>
      </c>
      <c r="S13" s="100">
        <f t="shared" si="2"/>
        <v>1.6703513513513515</v>
      </c>
      <c r="T13" s="100">
        <f t="shared" si="3"/>
        <v>0.17027027027027028</v>
      </c>
      <c r="U13" s="100">
        <v>6.6</v>
      </c>
      <c r="V13" s="100">
        <f t="shared" si="4"/>
        <v>0.93640909090909108</v>
      </c>
      <c r="W13" s="100">
        <f t="shared" si="5"/>
        <v>9.5454545454545472E-2</v>
      </c>
      <c r="X13" s="100"/>
      <c r="Y13" s="100"/>
    </row>
    <row r="14" spans="1:25" x14ac:dyDescent="0.3">
      <c r="A14" s="100"/>
      <c r="B14" s="100">
        <v>0.6</v>
      </c>
      <c r="C14" s="100">
        <f t="shared" ref="C14:C38" si="6">+$K$5*9.81*((($C$5)^$I$5)/B14)</f>
        <v>5.8860000000000001</v>
      </c>
      <c r="D14" s="100"/>
      <c r="E14" s="100">
        <v>3.5</v>
      </c>
      <c r="F14" s="100">
        <f t="shared" si="0"/>
        <v>1.0090285714285714</v>
      </c>
      <c r="G14" s="100"/>
      <c r="H14" s="100"/>
      <c r="I14" s="100"/>
      <c r="J14" s="100"/>
      <c r="K14" s="100"/>
      <c r="L14" s="100"/>
      <c r="M14" s="100"/>
      <c r="N14" s="100"/>
      <c r="O14" s="100">
        <v>0.9</v>
      </c>
      <c r="P14" s="100">
        <f>+$X$5*9.81*((($P$5)^$V$5)/O14)</f>
        <v>6.8670000000000009</v>
      </c>
      <c r="Q14" s="100">
        <f t="shared" si="1"/>
        <v>0.70000000000000007</v>
      </c>
      <c r="R14" s="100">
        <v>3.8</v>
      </c>
      <c r="S14" s="100">
        <f t="shared" si="2"/>
        <v>1.6263947368421057</v>
      </c>
      <c r="T14" s="100">
        <f t="shared" si="3"/>
        <v>0.16578947368421057</v>
      </c>
      <c r="U14" s="100">
        <v>6.7</v>
      </c>
      <c r="V14" s="100">
        <f t="shared" si="4"/>
        <v>0.92243283582089552</v>
      </c>
      <c r="W14" s="100">
        <f t="shared" si="5"/>
        <v>9.4029850746268656E-2</v>
      </c>
      <c r="X14" s="100"/>
      <c r="Y14" s="100"/>
    </row>
    <row r="15" spans="1:25" x14ac:dyDescent="0.3">
      <c r="A15" s="100"/>
      <c r="B15" s="100">
        <v>0.7</v>
      </c>
      <c r="C15" s="100">
        <f t="shared" si="6"/>
        <v>5.0451428571428583</v>
      </c>
      <c r="D15" s="100"/>
      <c r="E15" s="100">
        <v>3.6</v>
      </c>
      <c r="F15" s="100">
        <f t="shared" si="0"/>
        <v>0.98099999999999998</v>
      </c>
      <c r="G15" s="100"/>
      <c r="H15" s="100"/>
      <c r="I15" s="100"/>
      <c r="J15" s="100"/>
      <c r="K15" s="100"/>
      <c r="L15" s="100"/>
      <c r="M15" s="100"/>
      <c r="N15" s="100"/>
      <c r="O15" s="100">
        <v>1</v>
      </c>
      <c r="P15" s="100">
        <f>+$X$5*9.81*((($P$5)^$V$5)/O15)</f>
        <v>6.1803000000000008</v>
      </c>
      <c r="Q15" s="100">
        <f t="shared" si="1"/>
        <v>0.63</v>
      </c>
      <c r="R15" s="100">
        <v>3.9</v>
      </c>
      <c r="S15" s="100">
        <f t="shared" si="2"/>
        <v>1.5846923076923081</v>
      </c>
      <c r="T15" s="100">
        <f t="shared" si="3"/>
        <v>0.16153846153846158</v>
      </c>
      <c r="U15" s="100">
        <v>6.8</v>
      </c>
      <c r="V15" s="100">
        <f t="shared" si="4"/>
        <v>0.90886764705882361</v>
      </c>
      <c r="W15" s="100">
        <f t="shared" si="5"/>
        <v>9.2647058823529416E-2</v>
      </c>
      <c r="X15" s="100"/>
      <c r="Y15" s="100"/>
    </row>
    <row r="16" spans="1:25" x14ac:dyDescent="0.3">
      <c r="A16" s="100"/>
      <c r="B16" s="100">
        <v>0.8</v>
      </c>
      <c r="C16" s="100">
        <f t="shared" si="6"/>
        <v>4.4144999999999994</v>
      </c>
      <c r="D16" s="100"/>
      <c r="E16" s="100">
        <v>3.7</v>
      </c>
      <c r="F16" s="100">
        <f t="shared" si="0"/>
        <v>0.95448648648648649</v>
      </c>
      <c r="G16" s="100"/>
      <c r="H16" s="100"/>
      <c r="I16" s="100"/>
      <c r="J16" s="100"/>
      <c r="K16" s="100"/>
      <c r="L16" s="100"/>
      <c r="M16" s="100"/>
      <c r="N16" s="100"/>
      <c r="O16" s="100">
        <v>1.1000000000000001</v>
      </c>
      <c r="P16" s="100">
        <f t="shared" ref="P16:P38" si="7">+$X$5*9.81*((($P$5)^$V$5)/O16)</f>
        <v>5.6184545454545463</v>
      </c>
      <c r="Q16" s="100">
        <f t="shared" si="1"/>
        <v>0.57272727272727275</v>
      </c>
      <c r="R16" s="100">
        <v>4</v>
      </c>
      <c r="S16" s="100">
        <f t="shared" si="2"/>
        <v>1.5450750000000002</v>
      </c>
      <c r="T16" s="100">
        <f t="shared" si="3"/>
        <v>0.1575</v>
      </c>
      <c r="U16" s="100">
        <v>6.9</v>
      </c>
      <c r="V16" s="100">
        <f t="shared" si="4"/>
        <v>0.89569565217391323</v>
      </c>
      <c r="W16" s="100">
        <f t="shared" si="5"/>
        <v>9.1304347826086971E-2</v>
      </c>
      <c r="X16" s="100"/>
      <c r="Y16" s="100"/>
    </row>
    <row r="17" spans="1:25" x14ac:dyDescent="0.3">
      <c r="A17" s="100"/>
      <c r="B17" s="100">
        <v>0.9</v>
      </c>
      <c r="C17" s="100">
        <f t="shared" si="6"/>
        <v>3.9239999999999999</v>
      </c>
      <c r="D17" s="100"/>
      <c r="E17" s="100">
        <v>3.8</v>
      </c>
      <c r="F17" s="100">
        <f t="shared" si="0"/>
        <v>0.92936842105263162</v>
      </c>
      <c r="G17" s="100"/>
      <c r="H17" s="100"/>
      <c r="I17" s="100"/>
      <c r="J17" s="100"/>
      <c r="K17" s="100"/>
      <c r="L17" s="100"/>
      <c r="M17" s="100"/>
      <c r="N17" s="100"/>
      <c r="O17" s="100">
        <v>1.2</v>
      </c>
      <c r="P17" s="100">
        <f t="shared" si="7"/>
        <v>5.1502500000000007</v>
      </c>
      <c r="Q17" s="100">
        <f t="shared" si="1"/>
        <v>0.52500000000000002</v>
      </c>
      <c r="R17" s="100">
        <v>4.0999999999999996</v>
      </c>
      <c r="S17" s="100">
        <f t="shared" si="2"/>
        <v>1.5073902439024394</v>
      </c>
      <c r="T17" s="100">
        <f t="shared" si="3"/>
        <v>0.15365853658536588</v>
      </c>
      <c r="U17" s="100">
        <v>7</v>
      </c>
      <c r="V17" s="100">
        <f t="shared" si="4"/>
        <v>0.88290000000000013</v>
      </c>
      <c r="W17" s="100">
        <f t="shared" si="5"/>
        <v>9.0000000000000011E-2</v>
      </c>
      <c r="X17" s="100"/>
      <c r="Y17" s="100"/>
    </row>
    <row r="18" spans="1:25" x14ac:dyDescent="0.3">
      <c r="A18" s="100"/>
      <c r="B18" s="100">
        <v>1</v>
      </c>
      <c r="C18" s="100">
        <f t="shared" si="6"/>
        <v>3.5316000000000001</v>
      </c>
      <c r="D18" s="100"/>
      <c r="E18" s="100">
        <v>3.9</v>
      </c>
      <c r="F18" s="100">
        <f t="shared" si="0"/>
        <v>0.90553846153846163</v>
      </c>
      <c r="G18" s="100"/>
      <c r="H18" s="100"/>
      <c r="I18" s="100"/>
      <c r="J18" s="100"/>
      <c r="K18" s="100"/>
      <c r="L18" s="100"/>
      <c r="M18" s="100"/>
      <c r="N18" s="100"/>
      <c r="O18" s="100">
        <v>1.3</v>
      </c>
      <c r="P18" s="100">
        <f t="shared" si="7"/>
        <v>4.7540769230769229</v>
      </c>
      <c r="Q18" s="100">
        <f t="shared" si="1"/>
        <v>0.48461538461538456</v>
      </c>
      <c r="R18" s="100">
        <v>4.2</v>
      </c>
      <c r="S18" s="100">
        <f t="shared" si="2"/>
        <v>1.4715000000000003</v>
      </c>
      <c r="T18" s="100">
        <f t="shared" si="3"/>
        <v>0.15000000000000002</v>
      </c>
      <c r="U18" s="100">
        <v>7.1</v>
      </c>
      <c r="V18" s="100">
        <f t="shared" si="4"/>
        <v>0.87046478873239452</v>
      </c>
      <c r="W18" s="100">
        <f t="shared" si="5"/>
        <v>8.873239436619719E-2</v>
      </c>
      <c r="X18" s="100"/>
      <c r="Y18" s="100"/>
    </row>
    <row r="19" spans="1:25" x14ac:dyDescent="0.3">
      <c r="A19" s="100"/>
      <c r="B19" s="100">
        <v>1.1000000000000001</v>
      </c>
      <c r="C19" s="100">
        <f t="shared" si="6"/>
        <v>3.2105454545454539</v>
      </c>
      <c r="D19" s="100"/>
      <c r="E19" s="100">
        <v>4</v>
      </c>
      <c r="F19" s="100">
        <f t="shared" si="0"/>
        <v>0.88290000000000002</v>
      </c>
      <c r="G19" s="100"/>
      <c r="H19" s="100"/>
      <c r="I19" s="100"/>
      <c r="J19" s="100"/>
      <c r="K19" s="100"/>
      <c r="L19" s="100"/>
      <c r="M19" s="100"/>
      <c r="N19" s="100"/>
      <c r="O19" s="100">
        <v>1.4</v>
      </c>
      <c r="P19" s="100">
        <f t="shared" si="7"/>
        <v>4.4145000000000003</v>
      </c>
      <c r="Q19" s="100">
        <f t="shared" si="1"/>
        <v>0.45</v>
      </c>
      <c r="R19" s="100">
        <v>4.3</v>
      </c>
      <c r="S19" s="100">
        <f t="shared" si="2"/>
        <v>1.4372790697674422</v>
      </c>
      <c r="T19" s="100">
        <f t="shared" si="3"/>
        <v>0.14651162790697678</v>
      </c>
      <c r="U19" s="100">
        <v>7.2</v>
      </c>
      <c r="V19" s="100">
        <f t="shared" si="4"/>
        <v>0.85837500000000011</v>
      </c>
      <c r="W19" s="100">
        <f t="shared" si="5"/>
        <v>8.7500000000000008E-2</v>
      </c>
      <c r="X19" s="100"/>
      <c r="Y19" s="100"/>
    </row>
    <row r="20" spans="1:25" x14ac:dyDescent="0.3">
      <c r="A20" s="100"/>
      <c r="B20" s="100">
        <v>1.2</v>
      </c>
      <c r="C20" s="100">
        <f t="shared" si="6"/>
        <v>2.9430000000000001</v>
      </c>
      <c r="D20" s="100"/>
      <c r="E20" s="100">
        <v>4.0999999999999996</v>
      </c>
      <c r="F20" s="100">
        <f t="shared" si="0"/>
        <v>0.86136585365853668</v>
      </c>
      <c r="G20" s="100"/>
      <c r="H20" s="100"/>
      <c r="I20" s="100"/>
      <c r="J20" s="100"/>
      <c r="K20" s="100"/>
      <c r="L20" s="100"/>
      <c r="M20" s="100"/>
      <c r="N20" s="100"/>
      <c r="O20" s="100">
        <v>1.5</v>
      </c>
      <c r="P20" s="100">
        <f t="shared" si="7"/>
        <v>4.1202000000000005</v>
      </c>
      <c r="Q20" s="100">
        <f t="shared" si="1"/>
        <v>0.42000000000000004</v>
      </c>
      <c r="R20" s="100">
        <v>4.4000000000000004</v>
      </c>
      <c r="S20" s="100">
        <f t="shared" si="2"/>
        <v>1.4046136363636366</v>
      </c>
      <c r="T20" s="100">
        <f t="shared" si="3"/>
        <v>0.14318181818181819</v>
      </c>
      <c r="U20" s="100">
        <v>7.3000000000000096</v>
      </c>
      <c r="V20" s="100">
        <f t="shared" si="4"/>
        <v>0.8466164383561634</v>
      </c>
      <c r="W20" s="100">
        <f t="shared" si="5"/>
        <v>8.6301369863013594E-2</v>
      </c>
      <c r="X20" s="100"/>
      <c r="Y20" s="100"/>
    </row>
    <row r="21" spans="1:25" x14ac:dyDescent="0.3">
      <c r="A21" s="100"/>
      <c r="B21" s="100">
        <v>1.3</v>
      </c>
      <c r="C21" s="100">
        <f t="shared" si="6"/>
        <v>2.7166153846153844</v>
      </c>
      <c r="D21" s="100"/>
      <c r="E21" s="100">
        <v>4.2</v>
      </c>
      <c r="F21" s="100">
        <f t="shared" si="0"/>
        <v>0.84085714285714275</v>
      </c>
      <c r="G21" s="100"/>
      <c r="H21" s="100"/>
      <c r="I21" s="100"/>
      <c r="J21" s="100"/>
      <c r="K21" s="100"/>
      <c r="L21" s="100"/>
      <c r="M21" s="100"/>
      <c r="N21" s="100"/>
      <c r="O21" s="100">
        <v>1.6</v>
      </c>
      <c r="P21" s="100">
        <f t="shared" si="7"/>
        <v>3.8626875000000007</v>
      </c>
      <c r="Q21" s="100">
        <f t="shared" si="1"/>
        <v>0.39375000000000004</v>
      </c>
      <c r="R21" s="100">
        <v>4.5</v>
      </c>
      <c r="S21" s="100">
        <f t="shared" si="2"/>
        <v>1.3734000000000002</v>
      </c>
      <c r="T21" s="100">
        <f t="shared" si="3"/>
        <v>0.14000000000000001</v>
      </c>
      <c r="U21" s="100">
        <v>7.4000000000000101</v>
      </c>
      <c r="V21" s="100">
        <f t="shared" si="4"/>
        <v>0.83517567567567452</v>
      </c>
      <c r="W21" s="100">
        <f t="shared" si="5"/>
        <v>8.5135135135135015E-2</v>
      </c>
      <c r="X21" s="100"/>
      <c r="Y21" s="100"/>
    </row>
    <row r="22" spans="1:25" x14ac:dyDescent="0.3">
      <c r="A22" s="100"/>
      <c r="B22" s="100">
        <v>1.4</v>
      </c>
      <c r="C22" s="100">
        <f t="shared" si="6"/>
        <v>2.5225714285714291</v>
      </c>
      <c r="D22" s="100"/>
      <c r="E22" s="100">
        <v>4.3</v>
      </c>
      <c r="F22" s="100">
        <f t="shared" si="0"/>
        <v>0.82130232558139538</v>
      </c>
      <c r="G22" s="100"/>
      <c r="H22" s="100"/>
      <c r="I22" s="100"/>
      <c r="J22" s="100"/>
      <c r="K22" s="100"/>
      <c r="L22" s="100"/>
      <c r="M22" s="100"/>
      <c r="N22" s="100"/>
      <c r="O22" s="100">
        <v>1.7</v>
      </c>
      <c r="P22" s="100">
        <f t="shared" si="7"/>
        <v>3.6354705882352945</v>
      </c>
      <c r="Q22" s="100">
        <f t="shared" si="1"/>
        <v>0.37058823529411766</v>
      </c>
      <c r="R22" s="100">
        <v>4.5999999999999996</v>
      </c>
      <c r="S22" s="100">
        <f t="shared" si="2"/>
        <v>1.3435434782608699</v>
      </c>
      <c r="T22" s="100">
        <f t="shared" si="3"/>
        <v>0.13695652173913048</v>
      </c>
      <c r="U22" s="100">
        <v>7.5000000000000098</v>
      </c>
      <c r="V22" s="100">
        <f t="shared" si="4"/>
        <v>0.824039999999999</v>
      </c>
      <c r="W22" s="100">
        <f t="shared" si="5"/>
        <v>8.3999999999999894E-2</v>
      </c>
      <c r="X22" s="100"/>
      <c r="Y22" s="100"/>
    </row>
    <row r="23" spans="1:25" x14ac:dyDescent="0.3">
      <c r="A23" s="100"/>
      <c r="B23" s="100">
        <v>1.5</v>
      </c>
      <c r="C23" s="100">
        <f t="shared" si="6"/>
        <v>2.3544</v>
      </c>
      <c r="D23" s="100"/>
      <c r="E23" s="100">
        <v>4.4000000000000004</v>
      </c>
      <c r="F23" s="100">
        <f t="shared" si="0"/>
        <v>0.80263636363636348</v>
      </c>
      <c r="G23" s="100"/>
      <c r="H23" s="100"/>
      <c r="I23" s="100"/>
      <c r="J23" s="100"/>
      <c r="K23" s="100"/>
      <c r="L23" s="100"/>
      <c r="M23" s="100"/>
      <c r="N23" s="100"/>
      <c r="O23" s="100">
        <v>1.8</v>
      </c>
      <c r="P23" s="100">
        <f t="shared" si="7"/>
        <v>3.4335000000000004</v>
      </c>
      <c r="Q23" s="100">
        <f t="shared" si="1"/>
        <v>0.35000000000000003</v>
      </c>
      <c r="R23" s="100">
        <v>4.7</v>
      </c>
      <c r="S23" s="100">
        <f t="shared" si="2"/>
        <v>1.3149574468085108</v>
      </c>
      <c r="T23" s="100">
        <f t="shared" si="3"/>
        <v>0.13404255319148936</v>
      </c>
      <c r="U23" s="100">
        <v>7.6000000000000103</v>
      </c>
      <c r="V23" s="100">
        <f t="shared" si="4"/>
        <v>0.81319736842105161</v>
      </c>
      <c r="W23" s="100">
        <f t="shared" si="5"/>
        <v>8.289473684210516E-2</v>
      </c>
      <c r="X23" s="100"/>
      <c r="Y23" s="100"/>
    </row>
    <row r="24" spans="1:25" x14ac:dyDescent="0.3">
      <c r="A24" s="100"/>
      <c r="B24" s="100">
        <v>1.6</v>
      </c>
      <c r="C24" s="100">
        <f t="shared" si="6"/>
        <v>2.2072499999999997</v>
      </c>
      <c r="D24" s="100"/>
      <c r="E24" s="100">
        <v>4.5</v>
      </c>
      <c r="F24" s="100">
        <f t="shared" si="0"/>
        <v>0.78480000000000005</v>
      </c>
      <c r="G24" s="100"/>
      <c r="H24" s="100"/>
      <c r="I24" s="100"/>
      <c r="J24" s="100"/>
      <c r="K24" s="100"/>
      <c r="L24" s="100"/>
      <c r="M24" s="100"/>
      <c r="N24" s="100"/>
      <c r="O24" s="100">
        <v>1.9</v>
      </c>
      <c r="P24" s="100">
        <f t="shared" si="7"/>
        <v>3.2527894736842113</v>
      </c>
      <c r="Q24" s="100">
        <f t="shared" si="1"/>
        <v>0.33157894736842114</v>
      </c>
      <c r="R24" s="100">
        <v>4.8</v>
      </c>
      <c r="S24" s="100">
        <f t="shared" si="2"/>
        <v>1.2875625000000002</v>
      </c>
      <c r="T24" s="100">
        <f t="shared" si="3"/>
        <v>0.13125000000000001</v>
      </c>
      <c r="U24" s="100">
        <v>7.7000000000000099</v>
      </c>
      <c r="V24" s="100">
        <f t="shared" si="4"/>
        <v>0.80263636363636259</v>
      </c>
      <c r="W24" s="100">
        <f t="shared" si="5"/>
        <v>8.1818181818181707E-2</v>
      </c>
      <c r="X24" s="100"/>
      <c r="Y24" s="100"/>
    </row>
    <row r="25" spans="1:25" x14ac:dyDescent="0.3">
      <c r="A25" s="100"/>
      <c r="B25" s="100">
        <v>1.7</v>
      </c>
      <c r="C25" s="100">
        <f t="shared" si="6"/>
        <v>2.0774117647058823</v>
      </c>
      <c r="D25" s="100"/>
      <c r="E25" s="100">
        <v>4.5999999999999996</v>
      </c>
      <c r="F25" s="100">
        <f t="shared" si="0"/>
        <v>0.7677391304347827</v>
      </c>
      <c r="G25" s="100"/>
      <c r="H25" s="100"/>
      <c r="I25" s="100"/>
      <c r="J25" s="100"/>
      <c r="K25" s="100"/>
      <c r="L25" s="100"/>
      <c r="M25" s="100"/>
      <c r="N25" s="100"/>
      <c r="O25" s="100">
        <v>2</v>
      </c>
      <c r="P25" s="100">
        <f t="shared" si="7"/>
        <v>3.0901500000000004</v>
      </c>
      <c r="Q25" s="100">
        <f t="shared" si="1"/>
        <v>0.315</v>
      </c>
      <c r="R25" s="100">
        <v>4.9000000000000004</v>
      </c>
      <c r="S25" s="100">
        <f t="shared" si="2"/>
        <v>1.2612857142857143</v>
      </c>
      <c r="T25" s="100">
        <f t="shared" si="3"/>
        <v>0.12857142857142856</v>
      </c>
      <c r="U25" s="100">
        <v>7.8000000000000096</v>
      </c>
      <c r="V25" s="100">
        <f t="shared" si="4"/>
        <v>0.79234615384615292</v>
      </c>
      <c r="W25" s="100">
        <f t="shared" si="5"/>
        <v>8.0769230769230677E-2</v>
      </c>
      <c r="X25" s="100"/>
      <c r="Y25" s="100"/>
    </row>
    <row r="26" spans="1:25" x14ac:dyDescent="0.3">
      <c r="A26" s="100"/>
      <c r="B26" s="100">
        <v>1.8</v>
      </c>
      <c r="C26" s="100">
        <f t="shared" si="6"/>
        <v>1.962</v>
      </c>
      <c r="D26" s="100"/>
      <c r="E26" s="100">
        <v>4.7</v>
      </c>
      <c r="F26" s="100">
        <f t="shared" si="0"/>
        <v>0.75140425531914901</v>
      </c>
      <c r="G26" s="100"/>
      <c r="H26" s="100"/>
      <c r="I26" s="100"/>
      <c r="J26" s="100"/>
      <c r="K26" s="100"/>
      <c r="L26" s="100"/>
      <c r="M26" s="100"/>
      <c r="N26" s="100"/>
      <c r="O26" s="100">
        <v>2.1</v>
      </c>
      <c r="P26" s="100">
        <f t="shared" si="7"/>
        <v>2.9430000000000005</v>
      </c>
      <c r="Q26" s="100">
        <f t="shared" si="1"/>
        <v>0.30000000000000004</v>
      </c>
      <c r="R26" s="100">
        <v>5</v>
      </c>
      <c r="S26" s="100">
        <f t="shared" si="2"/>
        <v>1.2360600000000002</v>
      </c>
      <c r="T26" s="100">
        <f t="shared" si="3"/>
        <v>0.126</v>
      </c>
      <c r="U26" s="100">
        <v>7.9000000000000101</v>
      </c>
      <c r="V26" s="100">
        <f t="shared" si="4"/>
        <v>0.78231645569620156</v>
      </c>
      <c r="W26" s="100">
        <f t="shared" si="5"/>
        <v>7.9746835443037872E-2</v>
      </c>
      <c r="X26" s="100"/>
      <c r="Y26" s="100"/>
    </row>
    <row r="27" spans="1:25" x14ac:dyDescent="0.3">
      <c r="A27" s="100"/>
      <c r="B27" s="100">
        <v>1.9</v>
      </c>
      <c r="C27" s="100">
        <f t="shared" si="6"/>
        <v>1.8587368421052632</v>
      </c>
      <c r="D27" s="100"/>
      <c r="E27" s="100">
        <v>4.8</v>
      </c>
      <c r="F27" s="100">
        <f t="shared" si="0"/>
        <v>0.73575000000000002</v>
      </c>
      <c r="G27" s="100"/>
      <c r="H27" s="100"/>
      <c r="I27" s="100"/>
      <c r="J27" s="100"/>
      <c r="K27" s="100"/>
      <c r="L27" s="100"/>
      <c r="M27" s="100"/>
      <c r="N27" s="100"/>
      <c r="O27" s="100">
        <v>2.2000000000000002</v>
      </c>
      <c r="P27" s="100">
        <f t="shared" si="7"/>
        <v>2.8092272727272731</v>
      </c>
      <c r="Q27" s="100">
        <f t="shared" si="1"/>
        <v>0.28636363636363638</v>
      </c>
      <c r="R27" s="100">
        <v>5.0999999999999996</v>
      </c>
      <c r="S27" s="100">
        <f t="shared" si="2"/>
        <v>1.211823529411765</v>
      </c>
      <c r="T27" s="100">
        <f t="shared" si="3"/>
        <v>0.1235294117647059</v>
      </c>
      <c r="U27" s="100">
        <v>8.0000000000000107</v>
      </c>
      <c r="V27" s="100">
        <f t="shared" si="4"/>
        <v>0.77253749999999899</v>
      </c>
      <c r="W27" s="100">
        <f t="shared" si="5"/>
        <v>7.874999999999989E-2</v>
      </c>
      <c r="X27" s="100"/>
      <c r="Y27" s="100"/>
    </row>
    <row r="28" spans="1:25" x14ac:dyDescent="0.3">
      <c r="A28" s="100"/>
      <c r="B28" s="100">
        <v>2</v>
      </c>
      <c r="C28" s="100">
        <f t="shared" si="6"/>
        <v>1.7658</v>
      </c>
      <c r="D28" s="100"/>
      <c r="E28" s="100">
        <v>4.9000000000000004</v>
      </c>
      <c r="F28" s="100">
        <f t="shared" si="0"/>
        <v>0.72073469387755096</v>
      </c>
      <c r="G28" s="100"/>
      <c r="H28" s="100"/>
      <c r="I28" s="100"/>
      <c r="J28" s="100"/>
      <c r="K28" s="100"/>
      <c r="L28" s="100"/>
      <c r="M28" s="100"/>
      <c r="N28" s="100"/>
      <c r="O28" s="100">
        <v>2.2999999999999998</v>
      </c>
      <c r="P28" s="100">
        <f t="shared" si="7"/>
        <v>2.6870869565217399</v>
      </c>
      <c r="Q28" s="100">
        <f t="shared" si="1"/>
        <v>0.27391304347826095</v>
      </c>
      <c r="R28" s="100">
        <v>5.2</v>
      </c>
      <c r="S28" s="100">
        <f t="shared" si="2"/>
        <v>1.1885192307692307</v>
      </c>
      <c r="T28" s="100">
        <f t="shared" si="3"/>
        <v>0.12115384615384614</v>
      </c>
      <c r="U28" s="100">
        <v>8.1000000000000103</v>
      </c>
      <c r="V28" s="100">
        <f t="shared" si="4"/>
        <v>0.76299999999999901</v>
      </c>
      <c r="W28" s="100">
        <f t="shared" si="5"/>
        <v>7.7777777777777668E-2</v>
      </c>
      <c r="X28" s="100"/>
      <c r="Y28" s="100"/>
    </row>
    <row r="29" spans="1:25" x14ac:dyDescent="0.3">
      <c r="A29" s="100"/>
      <c r="B29" s="100">
        <v>2.1</v>
      </c>
      <c r="C29" s="100">
        <f t="shared" si="6"/>
        <v>1.6817142857142855</v>
      </c>
      <c r="D29" s="100"/>
      <c r="E29" s="100">
        <v>5</v>
      </c>
      <c r="F29" s="100">
        <f t="shared" si="0"/>
        <v>0.70631999999999995</v>
      </c>
      <c r="G29" s="100"/>
      <c r="H29" s="100"/>
      <c r="I29" s="100"/>
      <c r="J29" s="100"/>
      <c r="K29" s="100"/>
      <c r="L29" s="100"/>
      <c r="M29" s="100"/>
      <c r="N29" s="100"/>
      <c r="O29" s="100">
        <v>2.4</v>
      </c>
      <c r="P29" s="100">
        <f t="shared" si="7"/>
        <v>2.5751250000000003</v>
      </c>
      <c r="Q29" s="100">
        <f t="shared" si="1"/>
        <v>0.26250000000000001</v>
      </c>
      <c r="R29" s="100">
        <v>5.3</v>
      </c>
      <c r="S29" s="100">
        <f t="shared" si="2"/>
        <v>1.1660943396226418</v>
      </c>
      <c r="T29" s="100">
        <f t="shared" si="3"/>
        <v>0.1188679245283019</v>
      </c>
      <c r="U29" s="100">
        <v>8.2000000000000099</v>
      </c>
      <c r="V29" s="100">
        <f t="shared" si="4"/>
        <v>0.75369512195121879</v>
      </c>
      <c r="W29" s="100">
        <f t="shared" si="5"/>
        <v>7.6829268292682856E-2</v>
      </c>
      <c r="X29" s="100"/>
      <c r="Y29" s="100"/>
    </row>
    <row r="30" spans="1:25" x14ac:dyDescent="0.3">
      <c r="A30" s="100"/>
      <c r="B30" s="100">
        <v>2.2000000000000002</v>
      </c>
      <c r="C30" s="100">
        <f t="shared" si="6"/>
        <v>1.605272727272727</v>
      </c>
      <c r="D30" s="100"/>
      <c r="E30" s="100">
        <v>5.0999999999999996</v>
      </c>
      <c r="F30" s="100">
        <f t="shared" si="0"/>
        <v>0.69247058823529417</v>
      </c>
      <c r="G30" s="100"/>
      <c r="H30" s="100"/>
      <c r="I30" s="100"/>
      <c r="J30" s="100"/>
      <c r="K30" s="100"/>
      <c r="L30" s="100"/>
      <c r="M30" s="100"/>
      <c r="N30" s="100"/>
      <c r="O30" s="100">
        <v>2.5</v>
      </c>
      <c r="P30" s="100">
        <f t="shared" si="7"/>
        <v>2.4721200000000003</v>
      </c>
      <c r="Q30" s="100">
        <f t="shared" si="1"/>
        <v>0.252</v>
      </c>
      <c r="R30" s="100">
        <v>5.4</v>
      </c>
      <c r="S30" s="100">
        <f t="shared" si="2"/>
        <v>1.1445000000000001</v>
      </c>
      <c r="T30" s="100">
        <f t="shared" si="3"/>
        <v>0.11666666666666667</v>
      </c>
      <c r="U30" s="100">
        <v>8.3000000000000096</v>
      </c>
      <c r="V30" s="100">
        <f t="shared" si="4"/>
        <v>0.74461445783132463</v>
      </c>
      <c r="W30" s="100">
        <f t="shared" si="5"/>
        <v>7.5903614457831253E-2</v>
      </c>
      <c r="X30" s="100"/>
      <c r="Y30" s="100"/>
    </row>
    <row r="31" spans="1:25" x14ac:dyDescent="0.3">
      <c r="A31" s="100"/>
      <c r="B31" s="100">
        <v>2.2999999999999998</v>
      </c>
      <c r="C31" s="100">
        <f t="shared" si="6"/>
        <v>1.5354782608695654</v>
      </c>
      <c r="D31" s="100"/>
      <c r="E31" s="100">
        <v>5.2</v>
      </c>
      <c r="F31" s="100">
        <f t="shared" si="0"/>
        <v>0.67915384615384611</v>
      </c>
      <c r="G31" s="100"/>
      <c r="H31" s="100"/>
      <c r="I31" s="100"/>
      <c r="J31" s="100"/>
      <c r="K31" s="100"/>
      <c r="L31" s="100"/>
      <c r="M31" s="100"/>
      <c r="N31" s="100"/>
      <c r="O31" s="100">
        <v>2.6</v>
      </c>
      <c r="P31" s="100">
        <f t="shared" si="7"/>
        <v>2.3770384615384614</v>
      </c>
      <c r="Q31" s="100">
        <f t="shared" si="1"/>
        <v>0.24230769230769228</v>
      </c>
      <c r="R31" s="100">
        <v>5.5</v>
      </c>
      <c r="S31" s="100">
        <f t="shared" si="2"/>
        <v>1.1236909090909093</v>
      </c>
      <c r="T31" s="100">
        <f t="shared" si="3"/>
        <v>0.11454545454545456</v>
      </c>
      <c r="U31" s="100">
        <v>8.4000000000000092</v>
      </c>
      <c r="V31" s="100">
        <f t="shared" si="4"/>
        <v>0.73574999999999935</v>
      </c>
      <c r="W31" s="100">
        <f t="shared" si="5"/>
        <v>7.4999999999999928E-2</v>
      </c>
      <c r="X31" s="100"/>
      <c r="Y31" s="100"/>
    </row>
    <row r="32" spans="1:25" x14ac:dyDescent="0.3">
      <c r="A32" s="100"/>
      <c r="B32" s="100">
        <v>2.4</v>
      </c>
      <c r="C32" s="100">
        <f t="shared" si="6"/>
        <v>1.4715</v>
      </c>
      <c r="D32" s="100"/>
      <c r="E32" s="100">
        <v>5.3</v>
      </c>
      <c r="F32" s="100">
        <f t="shared" si="0"/>
        <v>0.66633962264150948</v>
      </c>
      <c r="G32" s="100"/>
      <c r="H32" s="100"/>
      <c r="I32" s="100"/>
      <c r="J32" s="100"/>
      <c r="K32" s="100"/>
      <c r="L32" s="100"/>
      <c r="M32" s="100"/>
      <c r="N32" s="100"/>
      <c r="O32" s="100">
        <v>2.7</v>
      </c>
      <c r="P32" s="100">
        <f t="shared" si="7"/>
        <v>2.2890000000000001</v>
      </c>
      <c r="Q32" s="100">
        <f t="shared" si="1"/>
        <v>0.23333333333333334</v>
      </c>
      <c r="R32" s="100">
        <v>5.6</v>
      </c>
      <c r="S32" s="100">
        <f t="shared" si="2"/>
        <v>1.1036250000000001</v>
      </c>
      <c r="T32" s="100">
        <f t="shared" si="3"/>
        <v>0.1125</v>
      </c>
      <c r="U32" s="100">
        <v>8.5000000000000107</v>
      </c>
      <c r="V32" s="100">
        <f t="shared" si="4"/>
        <v>0.727094117647058</v>
      </c>
      <c r="W32" s="100">
        <f t="shared" si="5"/>
        <v>7.4117647058823441E-2</v>
      </c>
      <c r="X32" s="100"/>
      <c r="Y32" s="100"/>
    </row>
    <row r="33" spans="1:25" x14ac:dyDescent="0.3">
      <c r="A33" s="100"/>
      <c r="B33" s="100">
        <v>2.5</v>
      </c>
      <c r="C33" s="100">
        <f t="shared" si="6"/>
        <v>1.4126399999999999</v>
      </c>
      <c r="D33" s="100"/>
      <c r="E33" s="100">
        <v>5.4</v>
      </c>
      <c r="F33" s="100">
        <f t="shared" si="0"/>
        <v>0.65400000000000003</v>
      </c>
      <c r="G33" s="100"/>
      <c r="H33" s="100"/>
      <c r="I33" s="100"/>
      <c r="J33" s="100"/>
      <c r="K33" s="100"/>
      <c r="L33" s="100"/>
      <c r="M33" s="100"/>
      <c r="N33" s="100"/>
      <c r="O33" s="100">
        <v>2.8</v>
      </c>
      <c r="P33" s="100">
        <f t="shared" si="7"/>
        <v>2.2072500000000002</v>
      </c>
      <c r="Q33" s="100">
        <f t="shared" si="1"/>
        <v>0.22500000000000001</v>
      </c>
      <c r="R33" s="100">
        <v>5.7</v>
      </c>
      <c r="S33" s="100">
        <f t="shared" si="2"/>
        <v>1.084263157894737</v>
      </c>
      <c r="T33" s="100">
        <f t="shared" si="3"/>
        <v>0.11052631578947369</v>
      </c>
      <c r="U33" s="100">
        <v>8.6000000000000103</v>
      </c>
      <c r="V33" s="100">
        <f t="shared" si="4"/>
        <v>0.71863953488372012</v>
      </c>
      <c r="W33" s="100">
        <f t="shared" si="5"/>
        <v>7.3255813953488291E-2</v>
      </c>
      <c r="X33" s="100"/>
      <c r="Y33" s="100"/>
    </row>
    <row r="34" spans="1:25" x14ac:dyDescent="0.3">
      <c r="A34" s="100"/>
      <c r="B34" s="100">
        <v>2.6</v>
      </c>
      <c r="C34" s="100">
        <f t="shared" si="6"/>
        <v>1.3583076923076922</v>
      </c>
      <c r="D34" s="100"/>
      <c r="E34" s="100">
        <v>5.5</v>
      </c>
      <c r="F34" s="100">
        <f t="shared" si="0"/>
        <v>0.64210909090909085</v>
      </c>
      <c r="G34" s="100"/>
      <c r="H34" s="100"/>
      <c r="I34" s="100"/>
      <c r="J34" s="100"/>
      <c r="K34" s="100"/>
      <c r="L34" s="100"/>
      <c r="M34" s="100"/>
      <c r="N34" s="100"/>
      <c r="O34" s="100">
        <v>2.9</v>
      </c>
      <c r="P34" s="100">
        <f t="shared" si="7"/>
        <v>2.1311379310344831</v>
      </c>
      <c r="Q34" s="100">
        <f t="shared" si="1"/>
        <v>0.21724137931034485</v>
      </c>
      <c r="R34" s="100">
        <v>5.8</v>
      </c>
      <c r="S34" s="100">
        <f t="shared" si="2"/>
        <v>1.0655689655172416</v>
      </c>
      <c r="T34" s="100">
        <f t="shared" si="3"/>
        <v>0.10862068965517242</v>
      </c>
      <c r="U34" s="100">
        <v>8.7000000000000099</v>
      </c>
      <c r="V34" s="100">
        <f t="shared" si="4"/>
        <v>0.71037931034482682</v>
      </c>
      <c r="W34" s="100">
        <f t="shared" si="5"/>
        <v>7.2413793103448199E-2</v>
      </c>
      <c r="X34" s="100"/>
      <c r="Y34" s="100"/>
    </row>
    <row r="35" spans="1:25" x14ac:dyDescent="0.3">
      <c r="A35" s="100"/>
      <c r="B35" s="100">
        <v>2.7</v>
      </c>
      <c r="C35" s="100">
        <f t="shared" si="6"/>
        <v>1.3080000000000001</v>
      </c>
      <c r="D35" s="100"/>
      <c r="E35" s="100">
        <v>5.6</v>
      </c>
      <c r="F35" s="100">
        <f t="shared" si="0"/>
        <v>0.63064285714285728</v>
      </c>
      <c r="G35" s="100"/>
      <c r="H35" s="100"/>
      <c r="I35" s="100"/>
      <c r="J35" s="100"/>
      <c r="K35" s="100"/>
      <c r="L35" s="100"/>
      <c r="M35" s="100"/>
      <c r="N35" s="100"/>
      <c r="O35" s="100">
        <v>3</v>
      </c>
      <c r="P35" s="100">
        <f t="shared" si="7"/>
        <v>2.0601000000000003</v>
      </c>
      <c r="Q35" s="100">
        <f t="shared" si="1"/>
        <v>0.21000000000000002</v>
      </c>
      <c r="R35" s="100">
        <v>5.9</v>
      </c>
      <c r="S35" s="100">
        <f t="shared" si="2"/>
        <v>1.0475084745762713</v>
      </c>
      <c r="T35" s="100">
        <f t="shared" si="3"/>
        <v>0.10677966101694916</v>
      </c>
      <c r="U35" s="100">
        <v>8.8000000000000096</v>
      </c>
      <c r="V35" s="100">
        <f t="shared" si="4"/>
        <v>0.7023068181818175</v>
      </c>
      <c r="W35" s="100">
        <f t="shared" si="5"/>
        <v>7.1590909090909025E-2</v>
      </c>
      <c r="X35" s="100"/>
      <c r="Y35" s="100"/>
    </row>
    <row r="36" spans="1:25" x14ac:dyDescent="0.3">
      <c r="A36" s="100"/>
      <c r="B36" s="100">
        <v>2.8</v>
      </c>
      <c r="C36" s="100">
        <f t="shared" si="6"/>
        <v>1.2612857142857146</v>
      </c>
      <c r="D36" s="100"/>
      <c r="E36" s="100">
        <v>5.7</v>
      </c>
      <c r="F36" s="100">
        <f t="shared" si="0"/>
        <v>0.61957894736842112</v>
      </c>
      <c r="G36" s="100"/>
      <c r="H36" s="100"/>
      <c r="I36" s="100"/>
      <c r="J36" s="100"/>
      <c r="K36" s="100"/>
      <c r="L36" s="100"/>
      <c r="M36" s="100"/>
      <c r="N36" s="100"/>
      <c r="O36" s="100">
        <v>3.1</v>
      </c>
      <c r="P36" s="100">
        <f t="shared" si="7"/>
        <v>1.993645161290323</v>
      </c>
      <c r="Q36" s="100">
        <f t="shared" si="1"/>
        <v>0.20322580645161292</v>
      </c>
      <c r="R36" s="100">
        <v>6</v>
      </c>
      <c r="S36" s="100">
        <f t="shared" si="2"/>
        <v>1.0300500000000001</v>
      </c>
      <c r="T36" s="100">
        <f t="shared" si="3"/>
        <v>0.10500000000000001</v>
      </c>
      <c r="U36" s="100">
        <v>8.9000000000000092</v>
      </c>
      <c r="V36" s="100">
        <f t="shared" si="4"/>
        <v>0.69441573033707804</v>
      </c>
      <c r="W36" s="100">
        <f t="shared" si="5"/>
        <v>7.0786516853932516E-2</v>
      </c>
      <c r="X36" s="100"/>
      <c r="Y36" s="100"/>
    </row>
    <row r="37" spans="1:25" x14ac:dyDescent="0.3">
      <c r="A37" s="100"/>
      <c r="B37" s="100">
        <v>2.9</v>
      </c>
      <c r="C37" s="100">
        <f t="shared" si="6"/>
        <v>1.2177931034482758</v>
      </c>
      <c r="D37" s="100"/>
      <c r="E37" s="100">
        <v>5.8</v>
      </c>
      <c r="F37" s="100">
        <f t="shared" si="0"/>
        <v>0.60889655172413792</v>
      </c>
      <c r="G37" s="100"/>
      <c r="H37" s="100"/>
      <c r="I37" s="100"/>
      <c r="J37" s="100"/>
      <c r="K37" s="100"/>
      <c r="L37" s="100"/>
      <c r="M37" s="100"/>
      <c r="N37" s="100"/>
      <c r="O37" s="100">
        <v>3.2</v>
      </c>
      <c r="P37" s="100">
        <f t="shared" si="7"/>
        <v>1.9313437500000004</v>
      </c>
      <c r="Q37" s="100">
        <f t="shared" si="1"/>
        <v>0.19687500000000002</v>
      </c>
      <c r="R37" s="100">
        <v>6.1</v>
      </c>
      <c r="S37" s="100">
        <f t="shared" si="2"/>
        <v>1.0131639344262298</v>
      </c>
      <c r="T37" s="100">
        <f t="shared" si="3"/>
        <v>0.10327868852459018</v>
      </c>
      <c r="U37" s="100">
        <v>9.0000000000000107</v>
      </c>
      <c r="V37" s="100">
        <f t="shared" si="4"/>
        <v>0.6866999999999992</v>
      </c>
      <c r="W37" s="100">
        <f t="shared" si="5"/>
        <v>6.999999999999991E-2</v>
      </c>
      <c r="X37" s="100"/>
      <c r="Y37" s="100"/>
    </row>
    <row r="38" spans="1:25" x14ac:dyDescent="0.3">
      <c r="A38" s="100"/>
      <c r="B38" s="100">
        <v>3</v>
      </c>
      <c r="C38" s="100">
        <f t="shared" si="6"/>
        <v>1.1772</v>
      </c>
      <c r="D38" s="100"/>
      <c r="E38" s="100">
        <v>5.9</v>
      </c>
      <c r="F38" s="100">
        <f t="shared" si="0"/>
        <v>0.59857627118644063</v>
      </c>
      <c r="G38" s="100"/>
      <c r="H38" s="100"/>
      <c r="I38" s="100"/>
      <c r="J38" s="100"/>
      <c r="K38" s="100"/>
      <c r="L38" s="100"/>
      <c r="M38" s="100"/>
      <c r="N38" s="100"/>
      <c r="O38" s="100">
        <v>3.3</v>
      </c>
      <c r="P38" s="100">
        <f t="shared" si="7"/>
        <v>1.8728181818181822</v>
      </c>
      <c r="Q38" s="100">
        <f t="shared" si="1"/>
        <v>0.19090909090909094</v>
      </c>
      <c r="R38" s="100">
        <v>6.2</v>
      </c>
      <c r="S38" s="100">
        <f t="shared" si="2"/>
        <v>0.99682258064516149</v>
      </c>
      <c r="T38" s="100">
        <f t="shared" si="3"/>
        <v>0.10161290322580646</v>
      </c>
      <c r="U38" s="100">
        <v>9.1000000000000103</v>
      </c>
      <c r="V38" s="100">
        <f t="shared" si="4"/>
        <v>0.67915384615384555</v>
      </c>
      <c r="W38" s="100">
        <f t="shared" si="5"/>
        <v>6.9230769230769165E-2</v>
      </c>
      <c r="X38" s="100"/>
      <c r="Y38" s="100"/>
    </row>
    <row r="39" spans="1:25" x14ac:dyDescent="0.3">
      <c r="A39" s="100"/>
      <c r="B39" s="100"/>
      <c r="C39" s="100"/>
      <c r="D39" s="100"/>
      <c r="E39" s="100"/>
      <c r="F39" s="100"/>
      <c r="G39" s="100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</row>
    <row r="40" spans="1:25" x14ac:dyDescent="0.3">
      <c r="A40" s="100"/>
      <c r="B40" s="100"/>
      <c r="C40" s="100"/>
      <c r="D40" s="100"/>
      <c r="E40" s="100"/>
      <c r="F40" s="100"/>
      <c r="G40" s="100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</row>
    <row r="41" spans="1:25" x14ac:dyDescent="0.3">
      <c r="A41" s="100"/>
      <c r="B41" s="100"/>
      <c r="C41" s="100"/>
      <c r="D41" s="100"/>
      <c r="E41" s="100"/>
      <c r="F41" s="100"/>
      <c r="G41" s="100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</row>
    <row r="42" spans="1:25" x14ac:dyDescent="0.3">
      <c r="A42" s="100"/>
      <c r="B42" s="100"/>
      <c r="C42" s="100"/>
      <c r="D42" s="100"/>
      <c r="E42" s="100"/>
      <c r="F42" s="100"/>
      <c r="G42" s="100"/>
      <c r="H42" s="100"/>
      <c r="I42" s="100"/>
      <c r="J42" s="100"/>
      <c r="K42" s="100"/>
      <c r="L42" s="100"/>
      <c r="M42" s="100"/>
      <c r="N42" s="100"/>
      <c r="O42" s="100"/>
      <c r="P42" s="100">
        <v>0</v>
      </c>
      <c r="Q42" s="100">
        <v>0.28000000000000003</v>
      </c>
      <c r="R42" s="100"/>
      <c r="S42" s="100"/>
      <c r="T42" s="100"/>
      <c r="U42" s="100"/>
      <c r="V42" s="100"/>
      <c r="W42" s="100"/>
      <c r="X42" s="100"/>
      <c r="Y42" s="100"/>
    </row>
    <row r="43" spans="1:25" x14ac:dyDescent="0.3">
      <c r="A43" s="100"/>
      <c r="B43" s="100" t="s">
        <v>129</v>
      </c>
      <c r="C43" s="100"/>
      <c r="D43" s="100"/>
      <c r="E43" s="100"/>
      <c r="F43" s="100"/>
      <c r="G43" s="100"/>
      <c r="H43" s="100"/>
      <c r="I43" s="100"/>
      <c r="J43" s="100"/>
      <c r="K43" s="100"/>
      <c r="L43" s="100"/>
      <c r="M43" s="100"/>
      <c r="N43" s="100"/>
      <c r="O43" s="100"/>
      <c r="P43" s="100">
        <v>0.23300000000000001</v>
      </c>
      <c r="Q43" s="100">
        <v>0.77000000000000013</v>
      </c>
      <c r="R43" s="100"/>
      <c r="S43" s="100"/>
      <c r="T43" s="100"/>
      <c r="U43" s="100"/>
      <c r="V43" s="100"/>
      <c r="W43" s="100"/>
      <c r="X43" s="100"/>
      <c r="Y43" s="100"/>
    </row>
    <row r="44" spans="1:25" x14ac:dyDescent="0.3">
      <c r="A44" s="100"/>
      <c r="B44" s="100"/>
      <c r="C44" s="100"/>
      <c r="D44" s="100"/>
      <c r="E44" s="100"/>
      <c r="F44" s="100"/>
      <c r="G44" s="100"/>
      <c r="H44" s="100"/>
      <c r="I44" s="100"/>
      <c r="J44" s="100"/>
      <c r="K44" s="100"/>
      <c r="L44" s="100"/>
      <c r="M44" s="100"/>
      <c r="N44" s="100"/>
      <c r="O44" s="100"/>
      <c r="P44" s="100">
        <v>0.81799999999999995</v>
      </c>
      <c r="Q44" s="100">
        <v>0.77</v>
      </c>
      <c r="R44" s="100"/>
      <c r="S44" s="100"/>
      <c r="T44" s="100"/>
      <c r="U44" s="100"/>
      <c r="V44" s="100"/>
      <c r="W44" s="100"/>
      <c r="X44" s="100"/>
      <c r="Y44" s="100"/>
    </row>
    <row r="45" spans="1:25" x14ac:dyDescent="0.3">
      <c r="A45" s="100"/>
      <c r="B45" s="100" t="s">
        <v>138</v>
      </c>
      <c r="C45" s="100">
        <v>1</v>
      </c>
      <c r="D45" s="100" t="s">
        <v>131</v>
      </c>
      <c r="E45" s="100">
        <v>0.155</v>
      </c>
      <c r="F45" s="100" t="s">
        <v>132</v>
      </c>
      <c r="G45" s="100">
        <v>0.36399999999999999</v>
      </c>
      <c r="H45" s="100" t="s">
        <v>133</v>
      </c>
      <c r="I45" s="100">
        <v>2</v>
      </c>
      <c r="J45" s="100" t="s">
        <v>134</v>
      </c>
      <c r="K45" s="100">
        <v>0.3</v>
      </c>
      <c r="L45" s="100"/>
      <c r="M45" s="100"/>
      <c r="N45" s="100"/>
      <c r="O45" s="100"/>
      <c r="P45" s="100">
        <v>0.81799999999999995</v>
      </c>
      <c r="Q45" s="100">
        <v>0.77017114914425444</v>
      </c>
      <c r="R45" s="100"/>
      <c r="S45" s="100"/>
      <c r="T45" s="100"/>
      <c r="U45" s="100"/>
      <c r="V45" s="100"/>
      <c r="W45" s="100"/>
      <c r="X45" s="100"/>
      <c r="Y45" s="100"/>
    </row>
    <row r="46" spans="1:25" x14ac:dyDescent="0.3">
      <c r="A46" s="100"/>
      <c r="B46" s="100"/>
      <c r="C46" s="100"/>
      <c r="D46" s="100"/>
      <c r="E46" s="100"/>
      <c r="F46" s="100"/>
      <c r="G46" s="100"/>
      <c r="H46" s="100"/>
      <c r="I46" s="100"/>
      <c r="J46" s="100"/>
      <c r="K46" s="100"/>
      <c r="L46" s="100"/>
      <c r="M46" s="100"/>
      <c r="N46" s="100"/>
      <c r="O46" s="100"/>
      <c r="P46" s="100">
        <v>0.9</v>
      </c>
      <c r="Q46" s="100">
        <v>0.70000000000000007</v>
      </c>
      <c r="R46" s="100"/>
      <c r="S46" s="100"/>
      <c r="T46" s="100"/>
      <c r="U46" s="100"/>
      <c r="V46" s="100"/>
      <c r="W46" s="100"/>
      <c r="X46" s="100"/>
      <c r="Y46" s="100"/>
    </row>
    <row r="47" spans="1:25" x14ac:dyDescent="0.3">
      <c r="A47" s="100"/>
      <c r="B47" s="100"/>
      <c r="C47" s="100"/>
      <c r="D47" s="100"/>
      <c r="E47" s="100"/>
      <c r="F47" s="100"/>
      <c r="G47" s="100"/>
      <c r="H47" s="100"/>
      <c r="I47" s="100"/>
      <c r="J47" s="100"/>
      <c r="K47" s="100"/>
      <c r="L47" s="100"/>
      <c r="M47" s="100"/>
      <c r="N47" s="100"/>
      <c r="O47" s="100"/>
      <c r="P47" s="100">
        <v>1</v>
      </c>
      <c r="Q47" s="100">
        <v>0.63</v>
      </c>
      <c r="R47" s="100"/>
      <c r="S47" s="100"/>
      <c r="T47" s="100"/>
      <c r="U47" s="100"/>
      <c r="V47" s="100"/>
      <c r="W47" s="100"/>
      <c r="X47" s="100"/>
      <c r="Y47" s="100"/>
    </row>
    <row r="48" spans="1:25" x14ac:dyDescent="0.3">
      <c r="A48" s="100"/>
      <c r="B48" s="100"/>
      <c r="C48" s="100"/>
      <c r="D48" s="100"/>
      <c r="E48" s="100"/>
      <c r="F48" s="100"/>
      <c r="G48" s="100"/>
      <c r="H48" s="100"/>
      <c r="I48" s="100"/>
      <c r="J48" s="100"/>
      <c r="K48" s="100"/>
      <c r="L48" s="100"/>
      <c r="M48" s="100"/>
      <c r="N48" s="100"/>
      <c r="O48" s="100"/>
      <c r="P48" s="100">
        <v>1.1000000000000001</v>
      </c>
      <c r="Q48" s="100">
        <v>0.57272727272727275</v>
      </c>
      <c r="R48" s="100"/>
      <c r="S48" s="100"/>
      <c r="T48" s="100"/>
      <c r="U48" s="100"/>
      <c r="V48" s="100"/>
      <c r="W48" s="100"/>
      <c r="X48" s="100"/>
      <c r="Y48" s="100"/>
    </row>
    <row r="49" spans="1:33" x14ac:dyDescent="0.3">
      <c r="A49" s="100"/>
      <c r="B49" s="100" t="s">
        <v>136</v>
      </c>
      <c r="C49" s="100" t="s">
        <v>137</v>
      </c>
      <c r="D49" s="100" t="s">
        <v>137</v>
      </c>
      <c r="E49" s="100"/>
      <c r="F49" s="100"/>
      <c r="G49" s="100"/>
      <c r="H49" s="100"/>
      <c r="I49" s="100"/>
      <c r="J49" s="100"/>
      <c r="K49" s="100"/>
      <c r="L49" s="100"/>
      <c r="M49" s="100"/>
      <c r="N49" s="100"/>
      <c r="O49" s="100"/>
      <c r="P49" s="100">
        <v>1.2</v>
      </c>
      <c r="Q49" s="100">
        <v>0.52500000000000002</v>
      </c>
      <c r="R49" s="100"/>
      <c r="S49" s="100"/>
      <c r="T49" s="100"/>
      <c r="U49" s="100"/>
      <c r="V49" s="97"/>
      <c r="W49" s="75"/>
      <c r="X49" s="75"/>
      <c r="Y49" s="75"/>
      <c r="Z49" s="75"/>
      <c r="AA49" s="75"/>
      <c r="AB49" s="75"/>
      <c r="AC49" s="75"/>
      <c r="AD49" s="75"/>
      <c r="AE49" s="75"/>
      <c r="AF49" s="75"/>
      <c r="AG49" s="75"/>
    </row>
    <row r="50" spans="1:33" x14ac:dyDescent="0.3">
      <c r="A50" s="100"/>
      <c r="B50" s="100">
        <v>0</v>
      </c>
      <c r="C50" s="100">
        <f>2.5*$K$45*9.81*(0.4+0.7*(B50/$E$45))</f>
        <v>2.9430000000000001</v>
      </c>
      <c r="D50" s="100">
        <f>+C50/9.81</f>
        <v>0.3</v>
      </c>
      <c r="E50" s="100"/>
      <c r="F50" s="100"/>
      <c r="G50" s="100"/>
      <c r="H50" s="100"/>
      <c r="I50" s="100"/>
      <c r="J50" s="100"/>
      <c r="K50" s="100"/>
      <c r="L50" s="100"/>
      <c r="M50" s="100"/>
      <c r="N50" s="100"/>
      <c r="O50" s="100"/>
      <c r="P50" s="100">
        <v>1.3</v>
      </c>
      <c r="Q50" s="100">
        <v>0.48461538461538456</v>
      </c>
      <c r="R50" s="100"/>
      <c r="S50" s="100"/>
      <c r="T50" s="100"/>
      <c r="U50" s="100"/>
      <c r="V50" s="98"/>
      <c r="W50" s="98"/>
      <c r="X50" s="98"/>
      <c r="Y50" s="98"/>
      <c r="Z50" s="98"/>
      <c r="AA50" s="98"/>
      <c r="AB50" s="98"/>
      <c r="AC50" s="98"/>
      <c r="AD50" s="98"/>
      <c r="AE50" s="98"/>
      <c r="AF50" s="98"/>
      <c r="AG50" s="76"/>
    </row>
    <row r="51" spans="1:33" x14ac:dyDescent="0.3">
      <c r="A51" s="100"/>
      <c r="B51" s="100">
        <v>0.155</v>
      </c>
      <c r="C51" s="100">
        <f>2.5*$K$45*9.81*(0.4+0.7*(B51/$E$45))</f>
        <v>8.0932500000000012</v>
      </c>
      <c r="D51" s="100">
        <f t="shared" ref="D51:D80" si="8">+C51/9.81</f>
        <v>0.82500000000000007</v>
      </c>
      <c r="E51" s="100"/>
      <c r="F51" s="100"/>
      <c r="G51" s="100"/>
      <c r="H51" s="100"/>
      <c r="I51" s="100"/>
      <c r="J51" s="100"/>
      <c r="K51" s="100"/>
      <c r="L51" s="100"/>
      <c r="M51" s="100"/>
      <c r="N51" s="100"/>
      <c r="O51" s="100"/>
      <c r="P51" s="100">
        <v>1.4</v>
      </c>
      <c r="Q51" s="100">
        <v>0.45</v>
      </c>
      <c r="R51" s="100"/>
      <c r="S51" s="100"/>
      <c r="T51" s="100"/>
      <c r="U51" s="100"/>
      <c r="V51" s="99"/>
      <c r="W51" s="99"/>
      <c r="X51" s="99"/>
      <c r="Y51" s="99"/>
      <c r="Z51" s="99"/>
      <c r="AA51" s="99"/>
      <c r="AB51" s="99"/>
      <c r="AC51" s="99"/>
      <c r="AD51" s="99"/>
      <c r="AE51" s="99"/>
      <c r="AF51" s="99"/>
      <c r="AG51" s="77"/>
    </row>
    <row r="52" spans="1:33" x14ac:dyDescent="0.3">
      <c r="A52" s="100"/>
      <c r="B52" s="100">
        <v>0.36399999999999999</v>
      </c>
      <c r="C52" s="100">
        <f>2.75*$K$45*9.81</f>
        <v>8.0932499999999994</v>
      </c>
      <c r="D52" s="100">
        <f t="shared" si="8"/>
        <v>0.82499999999999984</v>
      </c>
      <c r="E52" s="100"/>
      <c r="F52" s="100"/>
      <c r="G52" s="100"/>
      <c r="H52" s="100"/>
      <c r="I52" s="100"/>
      <c r="J52" s="100"/>
      <c r="K52" s="100"/>
      <c r="L52" s="100"/>
      <c r="M52" s="100"/>
      <c r="N52" s="100"/>
      <c r="O52" s="100"/>
      <c r="P52" s="100">
        <v>1.5</v>
      </c>
      <c r="Q52" s="100">
        <v>0.42000000000000004</v>
      </c>
      <c r="R52" s="100"/>
      <c r="S52" s="100"/>
      <c r="T52" s="100"/>
      <c r="U52" s="100"/>
      <c r="V52" s="75"/>
      <c r="W52" s="75"/>
      <c r="X52" s="75"/>
      <c r="Y52" s="75"/>
      <c r="Z52" s="75"/>
      <c r="AA52" s="75"/>
      <c r="AB52" s="75"/>
      <c r="AC52" s="75"/>
      <c r="AD52" s="75"/>
      <c r="AE52" s="75"/>
      <c r="AF52" s="75"/>
      <c r="AG52" s="75"/>
    </row>
    <row r="53" spans="1:33" x14ac:dyDescent="0.3">
      <c r="A53" s="100"/>
      <c r="B53" s="100">
        <v>0.36399999999999999</v>
      </c>
      <c r="C53" s="100">
        <f>+$K$45*9.81*((($C$45)^$I$45)/B53)</f>
        <v>8.0851648351648358</v>
      </c>
      <c r="D53" s="100">
        <f t="shared" si="8"/>
        <v>0.82417582417582425</v>
      </c>
      <c r="E53" s="100"/>
      <c r="F53" s="100"/>
      <c r="G53" s="100"/>
      <c r="H53" s="100"/>
      <c r="I53" s="100"/>
      <c r="J53" s="100"/>
      <c r="K53" s="100"/>
      <c r="L53" s="100"/>
      <c r="M53" s="100"/>
      <c r="N53" s="100"/>
      <c r="O53" s="100"/>
      <c r="P53" s="100">
        <v>1.6</v>
      </c>
      <c r="Q53" s="100">
        <v>0.39375000000000004</v>
      </c>
      <c r="R53" s="100"/>
      <c r="S53" s="100"/>
      <c r="T53" s="100"/>
      <c r="U53" s="100"/>
      <c r="V53" s="75"/>
      <c r="W53" s="75"/>
      <c r="X53" s="75"/>
      <c r="Y53" s="75"/>
      <c r="Z53" s="75"/>
      <c r="AA53" s="75"/>
      <c r="AB53" s="75"/>
      <c r="AC53" s="75"/>
      <c r="AD53" s="75"/>
      <c r="AE53" s="75"/>
      <c r="AF53" s="75"/>
      <c r="AG53" s="75"/>
    </row>
    <row r="54" spans="1:33" x14ac:dyDescent="0.3">
      <c r="A54" s="100"/>
      <c r="B54" s="100">
        <v>0.4</v>
      </c>
      <c r="C54" s="100">
        <f>+$K$45*9.81*((($C$45)^$I$45)/B54)</f>
        <v>7.3574999999999999</v>
      </c>
      <c r="D54" s="100">
        <f t="shared" si="8"/>
        <v>0.75</v>
      </c>
      <c r="E54" s="100"/>
      <c r="F54" s="100"/>
      <c r="G54" s="100"/>
      <c r="H54" s="100"/>
      <c r="I54" s="100"/>
      <c r="J54" s="100"/>
      <c r="K54" s="100"/>
      <c r="L54" s="100"/>
      <c r="M54" s="100"/>
      <c r="N54" s="100"/>
      <c r="O54" s="100"/>
      <c r="P54" s="100">
        <v>1.7</v>
      </c>
      <c r="Q54" s="100">
        <v>0.37058823529411766</v>
      </c>
      <c r="R54" s="100"/>
      <c r="S54" s="100"/>
      <c r="T54" s="100"/>
      <c r="U54" s="100"/>
      <c r="V54" s="75"/>
      <c r="W54" s="75"/>
      <c r="X54" s="75"/>
      <c r="Y54" s="75"/>
      <c r="Z54" s="75"/>
      <c r="AA54" s="75"/>
      <c r="AB54" s="75"/>
      <c r="AC54" s="75"/>
      <c r="AD54" s="75"/>
      <c r="AE54" s="75"/>
      <c r="AF54" s="75"/>
      <c r="AG54" s="75"/>
    </row>
    <row r="55" spans="1:33" x14ac:dyDescent="0.3">
      <c r="A55" s="100"/>
      <c r="B55" s="100">
        <v>0.5</v>
      </c>
      <c r="C55" s="100">
        <f t="shared" ref="C55:C80" si="9">+$K$45*9.81*((($C$45)^$I$45)/B55)</f>
        <v>5.8860000000000001</v>
      </c>
      <c r="D55" s="100">
        <f t="shared" si="8"/>
        <v>0.6</v>
      </c>
      <c r="E55" s="100"/>
      <c r="F55" s="100"/>
      <c r="G55" s="100"/>
      <c r="H55" s="100"/>
      <c r="I55" s="100"/>
      <c r="J55" s="100"/>
      <c r="K55" s="100"/>
      <c r="L55" s="100"/>
      <c r="M55" s="100"/>
      <c r="N55" s="100"/>
      <c r="O55" s="100"/>
      <c r="P55" s="100">
        <v>1.8</v>
      </c>
      <c r="Q55" s="100">
        <v>0.35000000000000003</v>
      </c>
      <c r="R55" s="100"/>
      <c r="S55" s="100"/>
      <c r="T55" s="100"/>
      <c r="U55" s="100"/>
      <c r="V55" s="75"/>
      <c r="W55" s="75"/>
      <c r="X55" s="75"/>
      <c r="Y55" s="75"/>
      <c r="Z55" s="75"/>
      <c r="AA55" s="75"/>
      <c r="AB55" s="75"/>
      <c r="AC55" s="75"/>
      <c r="AD55" s="75"/>
      <c r="AE55" s="75"/>
      <c r="AF55" s="75"/>
      <c r="AG55" s="75"/>
    </row>
    <row r="56" spans="1:33" x14ac:dyDescent="0.3">
      <c r="A56" s="100"/>
      <c r="B56" s="100">
        <v>0.6</v>
      </c>
      <c r="C56" s="100">
        <f t="shared" si="9"/>
        <v>4.9050000000000002</v>
      </c>
      <c r="D56" s="100">
        <f t="shared" si="8"/>
        <v>0.5</v>
      </c>
      <c r="E56" s="100"/>
      <c r="F56" s="100"/>
      <c r="G56" s="100"/>
      <c r="H56" s="100"/>
      <c r="I56" s="100"/>
      <c r="J56" s="100"/>
      <c r="K56" s="100"/>
      <c r="L56" s="100"/>
      <c r="M56" s="100"/>
      <c r="N56" s="100"/>
      <c r="O56" s="100"/>
      <c r="P56" s="100">
        <v>1.9</v>
      </c>
      <c r="Q56" s="100">
        <v>0.33157894736842114</v>
      </c>
      <c r="R56" s="100"/>
      <c r="S56" s="100"/>
      <c r="T56" s="100"/>
      <c r="U56" s="100"/>
      <c r="V56" s="75"/>
      <c r="W56" s="75"/>
      <c r="X56" s="75"/>
      <c r="Y56" s="75"/>
      <c r="Z56" s="75"/>
      <c r="AA56" s="75"/>
      <c r="AB56" s="75"/>
      <c r="AC56" s="75"/>
      <c r="AD56" s="75"/>
      <c r="AE56" s="75"/>
      <c r="AF56" s="75"/>
      <c r="AG56" s="75"/>
    </row>
    <row r="57" spans="1:33" x14ac:dyDescent="0.3">
      <c r="A57" s="100"/>
      <c r="B57" s="100">
        <v>0.7</v>
      </c>
      <c r="C57" s="100">
        <f t="shared" si="9"/>
        <v>4.2042857142857146</v>
      </c>
      <c r="D57" s="100">
        <f t="shared" si="8"/>
        <v>0.4285714285714286</v>
      </c>
      <c r="E57" s="100"/>
      <c r="F57" s="100"/>
      <c r="G57" s="100"/>
      <c r="H57" s="100"/>
      <c r="I57" s="100"/>
      <c r="J57" s="100"/>
      <c r="K57" s="100"/>
      <c r="L57" s="100"/>
      <c r="M57" s="100"/>
      <c r="N57" s="100"/>
      <c r="O57" s="100"/>
      <c r="P57" s="100">
        <v>2</v>
      </c>
      <c r="Q57" s="100">
        <v>0.315</v>
      </c>
      <c r="R57" s="100"/>
      <c r="S57" s="100"/>
      <c r="T57" s="100"/>
      <c r="U57" s="100"/>
      <c r="V57" s="75"/>
      <c r="W57" s="75"/>
      <c r="X57" s="75"/>
      <c r="Y57" s="75"/>
      <c r="Z57" s="75"/>
      <c r="AA57" s="75"/>
      <c r="AB57" s="75"/>
      <c r="AC57" s="75"/>
      <c r="AD57" s="75"/>
      <c r="AE57" s="75"/>
      <c r="AF57" s="75"/>
      <c r="AG57" s="75"/>
    </row>
    <row r="58" spans="1:33" x14ac:dyDescent="0.3">
      <c r="A58" s="100"/>
      <c r="B58" s="100">
        <v>0.8</v>
      </c>
      <c r="C58" s="100">
        <f t="shared" si="9"/>
        <v>3.67875</v>
      </c>
      <c r="D58" s="100">
        <f t="shared" si="8"/>
        <v>0.375</v>
      </c>
      <c r="E58" s="100"/>
      <c r="F58" s="100"/>
      <c r="G58" s="100"/>
      <c r="H58" s="100"/>
      <c r="I58" s="100"/>
      <c r="J58" s="100"/>
      <c r="K58" s="100"/>
      <c r="L58" s="100"/>
      <c r="M58" s="100"/>
      <c r="N58" s="100"/>
      <c r="O58" s="100"/>
      <c r="P58" s="100">
        <v>2.1</v>
      </c>
      <c r="Q58" s="100">
        <v>0.30000000000000004</v>
      </c>
      <c r="R58" s="100"/>
      <c r="S58" s="100"/>
      <c r="T58" s="100"/>
      <c r="U58" s="100"/>
      <c r="V58" s="75"/>
      <c r="W58" s="75"/>
      <c r="X58" s="75"/>
      <c r="Y58" s="75"/>
      <c r="Z58" s="75"/>
      <c r="AA58" s="75"/>
      <c r="AB58" s="75"/>
      <c r="AC58" s="75"/>
      <c r="AD58" s="75"/>
      <c r="AE58" s="75"/>
      <c r="AF58" s="75"/>
      <c r="AG58" s="75"/>
    </row>
    <row r="59" spans="1:33" x14ac:dyDescent="0.3">
      <c r="A59" s="100"/>
      <c r="B59" s="100">
        <v>0.9</v>
      </c>
      <c r="C59" s="100">
        <f t="shared" si="9"/>
        <v>3.27</v>
      </c>
      <c r="D59" s="100">
        <f t="shared" si="8"/>
        <v>0.33333333333333331</v>
      </c>
      <c r="E59" s="100"/>
      <c r="F59" s="100"/>
      <c r="G59" s="100"/>
      <c r="H59" s="100"/>
      <c r="I59" s="100"/>
      <c r="J59" s="100"/>
      <c r="K59" s="100"/>
      <c r="L59" s="100"/>
      <c r="M59" s="100"/>
      <c r="N59" s="100"/>
      <c r="O59" s="100"/>
      <c r="P59" s="100">
        <v>2.2000000000000002</v>
      </c>
      <c r="Q59" s="100">
        <v>0.28636363636363638</v>
      </c>
      <c r="R59" s="100"/>
      <c r="S59" s="100"/>
      <c r="T59" s="100"/>
      <c r="U59" s="100"/>
      <c r="V59" s="75"/>
      <c r="W59" s="75"/>
      <c r="X59" s="75"/>
      <c r="Y59" s="75"/>
      <c r="Z59" s="75"/>
      <c r="AA59" s="75"/>
      <c r="AB59" s="75"/>
      <c r="AC59" s="75"/>
      <c r="AD59" s="75"/>
      <c r="AE59" s="75"/>
      <c r="AF59" s="75"/>
      <c r="AG59" s="75"/>
    </row>
    <row r="60" spans="1:33" x14ac:dyDescent="0.3">
      <c r="A60" s="100"/>
      <c r="B60" s="100">
        <v>1</v>
      </c>
      <c r="C60" s="100">
        <f t="shared" si="9"/>
        <v>2.9430000000000001</v>
      </c>
      <c r="D60" s="100">
        <f t="shared" si="8"/>
        <v>0.3</v>
      </c>
      <c r="E60" s="100"/>
      <c r="F60" s="100"/>
      <c r="G60" s="100"/>
      <c r="H60" s="100"/>
      <c r="I60" s="100"/>
      <c r="J60" s="100"/>
      <c r="K60" s="100"/>
      <c r="L60" s="100"/>
      <c r="M60" s="100"/>
      <c r="N60" s="100"/>
      <c r="O60" s="100"/>
      <c r="P60" s="100">
        <v>2.2999999999999998</v>
      </c>
      <c r="Q60" s="100">
        <v>0.27391304347826095</v>
      </c>
      <c r="R60" s="100"/>
      <c r="S60" s="100"/>
      <c r="T60" s="100"/>
      <c r="U60" s="100"/>
      <c r="V60" s="75"/>
      <c r="W60" s="75"/>
      <c r="X60" s="75"/>
      <c r="Y60" s="75"/>
      <c r="Z60" s="75"/>
      <c r="AA60" s="75"/>
      <c r="AB60" s="75"/>
      <c r="AC60" s="75"/>
      <c r="AD60" s="75"/>
      <c r="AE60" s="75"/>
      <c r="AF60" s="75"/>
      <c r="AG60" s="75"/>
    </row>
    <row r="61" spans="1:33" x14ac:dyDescent="0.3">
      <c r="A61" s="100"/>
      <c r="B61" s="100">
        <v>1.1000000000000001</v>
      </c>
      <c r="C61" s="100">
        <f t="shared" si="9"/>
        <v>2.6754545454545453</v>
      </c>
      <c r="D61" s="100">
        <f t="shared" si="8"/>
        <v>0.27272727272727271</v>
      </c>
      <c r="E61" s="100"/>
      <c r="F61" s="100"/>
      <c r="G61" s="100"/>
      <c r="H61" s="100"/>
      <c r="I61" s="100"/>
      <c r="J61" s="100"/>
      <c r="K61" s="100"/>
      <c r="L61" s="100"/>
      <c r="M61" s="100"/>
      <c r="N61" s="100"/>
      <c r="O61" s="100"/>
      <c r="P61" s="100">
        <v>2.4</v>
      </c>
      <c r="Q61" s="100">
        <v>0.26250000000000001</v>
      </c>
      <c r="R61" s="100"/>
      <c r="S61" s="100"/>
      <c r="T61" s="100"/>
      <c r="U61" s="100"/>
      <c r="V61" s="75"/>
      <c r="W61" s="75"/>
      <c r="X61" s="75"/>
      <c r="Y61" s="75"/>
      <c r="Z61" s="75"/>
      <c r="AA61" s="75"/>
      <c r="AB61" s="75"/>
      <c r="AC61" s="75"/>
      <c r="AD61" s="75"/>
      <c r="AE61" s="75"/>
      <c r="AF61" s="75"/>
      <c r="AG61" s="75"/>
    </row>
    <row r="62" spans="1:33" x14ac:dyDescent="0.3">
      <c r="A62" s="100"/>
      <c r="B62" s="100">
        <v>1.2</v>
      </c>
      <c r="C62" s="100">
        <f t="shared" si="9"/>
        <v>2.4525000000000001</v>
      </c>
      <c r="D62" s="100">
        <f t="shared" si="8"/>
        <v>0.25</v>
      </c>
      <c r="E62" s="100"/>
      <c r="F62" s="100"/>
      <c r="G62" s="100"/>
      <c r="H62" s="100"/>
      <c r="I62" s="100"/>
      <c r="J62" s="100"/>
      <c r="K62" s="100"/>
      <c r="L62" s="100"/>
      <c r="M62" s="100"/>
      <c r="N62" s="100"/>
      <c r="O62" s="100"/>
      <c r="P62" s="100">
        <v>2.5</v>
      </c>
      <c r="Q62" s="100">
        <v>0.252</v>
      </c>
      <c r="R62" s="100"/>
      <c r="S62" s="100"/>
      <c r="T62" s="100"/>
      <c r="U62" s="100"/>
      <c r="V62" s="75"/>
      <c r="W62" s="75"/>
      <c r="X62" s="75"/>
      <c r="Y62" s="75"/>
      <c r="Z62" s="75"/>
      <c r="AA62" s="75"/>
      <c r="AB62" s="75"/>
      <c r="AC62" s="75"/>
      <c r="AD62" s="75"/>
      <c r="AE62" s="75"/>
      <c r="AF62" s="75"/>
      <c r="AG62" s="75"/>
    </row>
    <row r="63" spans="1:33" x14ac:dyDescent="0.3">
      <c r="A63" s="100"/>
      <c r="B63" s="100">
        <v>1.3</v>
      </c>
      <c r="C63" s="100">
        <f t="shared" si="9"/>
        <v>2.2638461538461536</v>
      </c>
      <c r="D63" s="100">
        <f t="shared" si="8"/>
        <v>0.23076923076923073</v>
      </c>
      <c r="E63" s="100"/>
      <c r="F63" s="100"/>
      <c r="G63" s="100"/>
      <c r="H63" s="100"/>
      <c r="I63" s="100"/>
      <c r="J63" s="100"/>
      <c r="K63" s="100"/>
      <c r="L63" s="100"/>
      <c r="M63" s="100"/>
      <c r="N63" s="100"/>
      <c r="O63" s="100"/>
      <c r="P63" s="100">
        <v>2.6</v>
      </c>
      <c r="Q63" s="100">
        <v>0.24230769230769228</v>
      </c>
      <c r="R63" s="100"/>
      <c r="S63" s="100"/>
      <c r="T63" s="100"/>
      <c r="U63" s="100"/>
      <c r="V63" s="100"/>
      <c r="W63" s="100"/>
      <c r="X63" s="100"/>
      <c r="Y63" s="100"/>
    </row>
    <row r="64" spans="1:33" x14ac:dyDescent="0.3">
      <c r="A64" s="100"/>
      <c r="B64" s="100">
        <v>1.4</v>
      </c>
      <c r="C64" s="100">
        <f t="shared" si="9"/>
        <v>2.1021428571428573</v>
      </c>
      <c r="D64" s="100">
        <f t="shared" si="8"/>
        <v>0.2142857142857143</v>
      </c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>
        <v>2.7</v>
      </c>
      <c r="Q64" s="100">
        <v>0.23333333333333334</v>
      </c>
      <c r="R64" s="100"/>
      <c r="S64" s="100"/>
      <c r="T64" s="100"/>
      <c r="U64" s="100"/>
      <c r="V64" s="100"/>
      <c r="W64" s="100"/>
      <c r="X64" s="100"/>
      <c r="Y64" s="100"/>
    </row>
    <row r="65" spans="1:25" x14ac:dyDescent="0.3">
      <c r="A65" s="100"/>
      <c r="B65" s="100">
        <v>1.5</v>
      </c>
      <c r="C65" s="100">
        <f t="shared" si="9"/>
        <v>1.962</v>
      </c>
      <c r="D65" s="100">
        <f t="shared" si="8"/>
        <v>0.19999999999999998</v>
      </c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>
        <v>2.8</v>
      </c>
      <c r="Q65" s="100">
        <v>0.22500000000000001</v>
      </c>
      <c r="R65" s="100"/>
      <c r="S65" s="100"/>
      <c r="T65" s="100"/>
      <c r="U65" s="100"/>
      <c r="V65" s="100"/>
      <c r="W65" s="100"/>
      <c r="X65" s="100"/>
      <c r="Y65" s="100"/>
    </row>
    <row r="66" spans="1:25" x14ac:dyDescent="0.3">
      <c r="A66" s="100"/>
      <c r="B66" s="100">
        <v>1.6</v>
      </c>
      <c r="C66" s="100">
        <f t="shared" si="9"/>
        <v>1.839375</v>
      </c>
      <c r="D66" s="100">
        <f t="shared" si="8"/>
        <v>0.1875</v>
      </c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>
        <v>2.9</v>
      </c>
      <c r="Q66" s="100">
        <v>0.21724137931034485</v>
      </c>
      <c r="R66" s="100"/>
      <c r="S66" s="100"/>
      <c r="T66" s="100"/>
      <c r="U66" s="100"/>
      <c r="V66" s="100"/>
      <c r="W66" s="100"/>
      <c r="X66" s="100"/>
      <c r="Y66" s="100"/>
    </row>
    <row r="67" spans="1:25" x14ac:dyDescent="0.3">
      <c r="A67" s="100"/>
      <c r="B67" s="100">
        <v>1.7</v>
      </c>
      <c r="C67" s="100">
        <f t="shared" si="9"/>
        <v>1.7311764705882353</v>
      </c>
      <c r="D67" s="100">
        <f t="shared" si="8"/>
        <v>0.1764705882352941</v>
      </c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>
        <v>3</v>
      </c>
      <c r="Q67" s="100">
        <v>0.21000000000000002</v>
      </c>
      <c r="R67" s="100"/>
      <c r="S67" s="100"/>
      <c r="T67" s="100"/>
      <c r="U67" s="100"/>
      <c r="V67" s="100"/>
      <c r="W67" s="100"/>
      <c r="X67" s="100"/>
      <c r="Y67" s="100"/>
    </row>
    <row r="68" spans="1:25" x14ac:dyDescent="0.3">
      <c r="A68" s="100"/>
      <c r="B68" s="100">
        <v>1.8</v>
      </c>
      <c r="C68" s="100">
        <f t="shared" si="9"/>
        <v>1.635</v>
      </c>
      <c r="D68" s="100">
        <f t="shared" si="8"/>
        <v>0.16666666666666666</v>
      </c>
      <c r="E68" s="100"/>
      <c r="F68" s="100"/>
      <c r="G68" s="100"/>
      <c r="H68" s="100"/>
      <c r="I68" s="100"/>
      <c r="J68" s="100"/>
      <c r="K68" s="100"/>
      <c r="L68" s="100"/>
      <c r="M68" s="100"/>
      <c r="N68" s="100"/>
      <c r="O68" s="100"/>
      <c r="P68" s="100">
        <v>3.1</v>
      </c>
      <c r="Q68" s="100">
        <v>0.20322580645161292</v>
      </c>
      <c r="R68" s="100"/>
      <c r="S68" s="100"/>
      <c r="T68" s="100"/>
      <c r="U68" s="100"/>
      <c r="V68" s="100"/>
      <c r="W68" s="100"/>
      <c r="X68" s="100"/>
      <c r="Y68" s="100"/>
    </row>
    <row r="69" spans="1:25" x14ac:dyDescent="0.3">
      <c r="A69" s="100"/>
      <c r="B69" s="100">
        <v>1.9</v>
      </c>
      <c r="C69" s="100">
        <f t="shared" si="9"/>
        <v>1.5489473684210526</v>
      </c>
      <c r="D69" s="100">
        <f t="shared" si="8"/>
        <v>0.15789473684210525</v>
      </c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>
        <v>3.2</v>
      </c>
      <c r="Q69" s="100">
        <v>0.19687500000000002</v>
      </c>
      <c r="R69" s="100"/>
      <c r="S69" s="100"/>
      <c r="T69" s="100"/>
      <c r="U69" s="100"/>
      <c r="V69" s="100"/>
      <c r="W69" s="100"/>
      <c r="X69" s="100"/>
      <c r="Y69" s="100"/>
    </row>
    <row r="70" spans="1:25" x14ac:dyDescent="0.3">
      <c r="A70" s="100"/>
      <c r="B70" s="100">
        <v>2</v>
      </c>
      <c r="C70" s="100">
        <f t="shared" si="9"/>
        <v>1.4715</v>
      </c>
      <c r="D70" s="100">
        <f t="shared" si="8"/>
        <v>0.15</v>
      </c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>
        <v>3.3</v>
      </c>
      <c r="Q70" s="100">
        <v>0.19090909090909094</v>
      </c>
      <c r="R70" s="100"/>
      <c r="S70" s="100"/>
      <c r="T70" s="100"/>
      <c r="U70" s="100"/>
      <c r="V70" s="100"/>
      <c r="W70" s="100"/>
      <c r="X70" s="100"/>
      <c r="Y70" s="100"/>
    </row>
    <row r="71" spans="1:25" x14ac:dyDescent="0.3">
      <c r="A71" s="100"/>
      <c r="B71" s="100">
        <v>2.1</v>
      </c>
      <c r="C71" s="100">
        <f t="shared" si="9"/>
        <v>1.4014285714285715</v>
      </c>
      <c r="D71" s="100">
        <f t="shared" si="8"/>
        <v>0.14285714285714285</v>
      </c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>
        <v>3.4</v>
      </c>
      <c r="Q71" s="100">
        <v>0.18529411764705883</v>
      </c>
      <c r="R71" s="100"/>
      <c r="S71" s="100"/>
      <c r="T71" s="100"/>
      <c r="U71" s="100"/>
      <c r="V71" s="100"/>
      <c r="W71" s="100"/>
      <c r="X71" s="100"/>
      <c r="Y71" s="100"/>
    </row>
    <row r="72" spans="1:25" x14ac:dyDescent="0.3">
      <c r="A72" s="100"/>
      <c r="B72" s="100">
        <v>2.2000000000000002</v>
      </c>
      <c r="C72" s="100">
        <f t="shared" si="9"/>
        <v>1.3377272727272727</v>
      </c>
      <c r="D72" s="100">
        <f t="shared" si="8"/>
        <v>0.13636363636363635</v>
      </c>
      <c r="E72" s="100"/>
      <c r="F72" s="100"/>
      <c r="G72" s="100"/>
      <c r="H72" s="100"/>
      <c r="I72" s="100"/>
      <c r="J72" s="100"/>
      <c r="K72" s="100"/>
      <c r="L72" s="100"/>
      <c r="M72" s="100"/>
      <c r="N72" s="100"/>
      <c r="O72" s="100"/>
      <c r="P72" s="100">
        <v>3.5</v>
      </c>
      <c r="Q72" s="100">
        <v>0.18000000000000002</v>
      </c>
      <c r="R72" s="100"/>
      <c r="S72" s="100"/>
      <c r="T72" s="100"/>
      <c r="U72" s="100"/>
      <c r="V72" s="100"/>
      <c r="W72" s="100"/>
      <c r="X72" s="100"/>
      <c r="Y72" s="100"/>
    </row>
    <row r="73" spans="1:25" x14ac:dyDescent="0.3">
      <c r="A73" s="100"/>
      <c r="B73" s="100">
        <v>2.2999999999999998</v>
      </c>
      <c r="C73" s="100">
        <f t="shared" si="9"/>
        <v>1.2795652173913046</v>
      </c>
      <c r="D73" s="100">
        <f t="shared" si="8"/>
        <v>0.13043478260869568</v>
      </c>
      <c r="E73" s="100"/>
      <c r="F73" s="100"/>
      <c r="G73" s="100"/>
      <c r="H73" s="100"/>
      <c r="I73" s="100"/>
      <c r="J73" s="100"/>
      <c r="K73" s="100"/>
      <c r="L73" s="100"/>
      <c r="M73" s="100"/>
      <c r="N73" s="100"/>
      <c r="O73" s="100"/>
      <c r="P73" s="100">
        <v>3.6</v>
      </c>
      <c r="Q73" s="100">
        <v>0.17500000000000002</v>
      </c>
      <c r="R73" s="100"/>
      <c r="S73" s="100"/>
      <c r="T73" s="100"/>
      <c r="U73" s="100"/>
      <c r="V73" s="100"/>
      <c r="W73" s="100"/>
      <c r="X73" s="100"/>
      <c r="Y73" s="100"/>
    </row>
    <row r="74" spans="1:25" x14ac:dyDescent="0.3">
      <c r="A74" s="100"/>
      <c r="B74" s="100">
        <v>2.4</v>
      </c>
      <c r="C74" s="100">
        <f t="shared" si="9"/>
        <v>1.2262500000000001</v>
      </c>
      <c r="D74" s="100">
        <f t="shared" si="8"/>
        <v>0.125</v>
      </c>
      <c r="E74" s="100"/>
      <c r="F74" s="100"/>
      <c r="G74" s="100"/>
      <c r="H74" s="100"/>
      <c r="I74" s="100"/>
      <c r="J74" s="100"/>
      <c r="K74" s="100"/>
      <c r="L74" s="100"/>
      <c r="M74" s="100"/>
      <c r="N74" s="100"/>
      <c r="O74" s="100"/>
      <c r="P74" s="100">
        <v>3.7</v>
      </c>
      <c r="Q74" s="100">
        <v>0.17027027027027028</v>
      </c>
      <c r="R74" s="100"/>
      <c r="S74" s="100"/>
      <c r="T74" s="100"/>
      <c r="U74" s="100"/>
      <c r="V74" s="100"/>
      <c r="W74" s="100"/>
      <c r="X74" s="100"/>
      <c r="Y74" s="100"/>
    </row>
    <row r="75" spans="1:25" x14ac:dyDescent="0.3">
      <c r="A75" s="100"/>
      <c r="B75" s="100">
        <v>2.5</v>
      </c>
      <c r="C75" s="100">
        <f t="shared" si="9"/>
        <v>1.1772</v>
      </c>
      <c r="D75" s="100">
        <f t="shared" si="8"/>
        <v>0.12</v>
      </c>
      <c r="E75" s="100"/>
      <c r="F75" s="100"/>
      <c r="G75" s="100"/>
      <c r="H75" s="100"/>
      <c r="I75" s="100"/>
      <c r="J75" s="100"/>
      <c r="K75" s="100"/>
      <c r="L75" s="100"/>
      <c r="M75" s="100"/>
      <c r="N75" s="100"/>
      <c r="O75" s="100"/>
      <c r="P75" s="100">
        <v>3.8</v>
      </c>
      <c r="Q75" s="100">
        <v>0.16578947368421057</v>
      </c>
      <c r="R75" s="100"/>
      <c r="S75" s="100"/>
      <c r="T75" s="100"/>
      <c r="U75" s="100"/>
      <c r="V75" s="100"/>
      <c r="W75" s="100"/>
      <c r="X75" s="100"/>
      <c r="Y75" s="100"/>
    </row>
    <row r="76" spans="1:25" x14ac:dyDescent="0.3">
      <c r="A76" s="100"/>
      <c r="B76" s="100">
        <v>2.6</v>
      </c>
      <c r="C76" s="100">
        <f t="shared" si="9"/>
        <v>1.1319230769230768</v>
      </c>
      <c r="D76" s="100">
        <f t="shared" si="8"/>
        <v>0.11538461538461536</v>
      </c>
      <c r="E76" s="100"/>
      <c r="F76" s="100"/>
      <c r="G76" s="100"/>
      <c r="H76" s="100"/>
      <c r="I76" s="100"/>
      <c r="J76" s="100"/>
      <c r="K76" s="100"/>
      <c r="L76" s="100"/>
      <c r="M76" s="100"/>
      <c r="N76" s="100"/>
      <c r="O76" s="100"/>
      <c r="P76" s="100">
        <v>3.9</v>
      </c>
      <c r="Q76" s="100">
        <v>0.16153846153846158</v>
      </c>
      <c r="R76" s="100"/>
      <c r="S76" s="100"/>
      <c r="T76" s="100"/>
      <c r="U76" s="100"/>
      <c r="V76" s="100"/>
      <c r="W76" s="100"/>
      <c r="X76" s="100"/>
      <c r="Y76" s="100"/>
    </row>
    <row r="77" spans="1:25" x14ac:dyDescent="0.3">
      <c r="A77" s="100"/>
      <c r="B77" s="100">
        <v>2.7</v>
      </c>
      <c r="C77" s="100">
        <f t="shared" si="9"/>
        <v>1.0899999999999999</v>
      </c>
      <c r="D77" s="100">
        <f t="shared" si="8"/>
        <v>0.11111111111111109</v>
      </c>
      <c r="E77" s="100"/>
      <c r="F77" s="100"/>
      <c r="G77" s="100"/>
      <c r="H77" s="100"/>
      <c r="I77" s="100"/>
      <c r="J77" s="100"/>
      <c r="K77" s="100"/>
      <c r="L77" s="100"/>
      <c r="M77" s="100"/>
      <c r="N77" s="100"/>
      <c r="O77" s="100"/>
      <c r="P77" s="100">
        <v>4</v>
      </c>
      <c r="Q77" s="100">
        <v>0.1575</v>
      </c>
      <c r="R77" s="100"/>
      <c r="S77" s="100"/>
      <c r="T77" s="100"/>
      <c r="U77" s="100"/>
      <c r="V77" s="100"/>
      <c r="W77" s="100"/>
      <c r="X77" s="100"/>
      <c r="Y77" s="100"/>
    </row>
    <row r="78" spans="1:25" x14ac:dyDescent="0.3">
      <c r="A78" s="100"/>
      <c r="B78" s="100">
        <v>2.8</v>
      </c>
      <c r="C78" s="100">
        <f t="shared" si="9"/>
        <v>1.0510714285714287</v>
      </c>
      <c r="D78" s="100">
        <f t="shared" si="8"/>
        <v>0.10714285714285715</v>
      </c>
      <c r="E78" s="100"/>
      <c r="F78" s="100"/>
      <c r="G78" s="100"/>
      <c r="H78" s="100"/>
      <c r="I78" s="100"/>
      <c r="J78" s="100"/>
      <c r="K78" s="100"/>
      <c r="L78" s="100"/>
      <c r="M78" s="100"/>
      <c r="N78" s="100"/>
      <c r="O78" s="100"/>
      <c r="P78" s="100">
        <v>4.0999999999999996</v>
      </c>
      <c r="Q78" s="100">
        <v>0.15365853658536588</v>
      </c>
      <c r="R78" s="100"/>
      <c r="S78" s="100"/>
      <c r="T78" s="100"/>
      <c r="U78" s="100"/>
      <c r="V78" s="100"/>
      <c r="W78" s="100"/>
      <c r="X78" s="100"/>
      <c r="Y78" s="100"/>
    </row>
    <row r="79" spans="1:25" x14ac:dyDescent="0.3">
      <c r="A79" s="100"/>
      <c r="B79" s="100">
        <v>2.9</v>
      </c>
      <c r="C79" s="100">
        <f t="shared" si="9"/>
        <v>1.0148275862068967</v>
      </c>
      <c r="D79" s="100">
        <f t="shared" si="8"/>
        <v>0.10344827586206898</v>
      </c>
      <c r="E79" s="100"/>
      <c r="F79" s="100"/>
      <c r="G79" s="100"/>
      <c r="H79" s="100"/>
      <c r="I79" s="100"/>
      <c r="J79" s="100"/>
      <c r="K79" s="100"/>
      <c r="L79" s="100"/>
      <c r="M79" s="100"/>
      <c r="N79" s="100"/>
      <c r="O79" s="100"/>
      <c r="P79" s="100">
        <v>4.2</v>
      </c>
      <c r="Q79" s="100">
        <v>0.15000000000000002</v>
      </c>
      <c r="R79" s="100"/>
      <c r="S79" s="100"/>
      <c r="T79" s="100"/>
      <c r="U79" s="100"/>
      <c r="V79" s="100"/>
      <c r="W79" s="100"/>
      <c r="X79" s="100"/>
      <c r="Y79" s="100"/>
    </row>
    <row r="80" spans="1:25" x14ac:dyDescent="0.3">
      <c r="A80" s="100"/>
      <c r="B80" s="100">
        <v>3</v>
      </c>
      <c r="C80" s="100">
        <f t="shared" si="9"/>
        <v>0.98099999999999998</v>
      </c>
      <c r="D80" s="100">
        <f t="shared" si="8"/>
        <v>9.9999999999999992E-2</v>
      </c>
      <c r="E80" s="100"/>
      <c r="F80" s="100"/>
      <c r="G80" s="100"/>
      <c r="H80" s="100"/>
      <c r="I80" s="100"/>
      <c r="J80" s="100"/>
      <c r="K80" s="100"/>
      <c r="L80" s="100"/>
      <c r="M80" s="100"/>
      <c r="N80" s="100"/>
      <c r="O80" s="100"/>
      <c r="P80" s="100">
        <v>4.3</v>
      </c>
      <c r="Q80" s="100">
        <v>0.14651162790697678</v>
      </c>
      <c r="R80" s="100"/>
      <c r="S80" s="100"/>
      <c r="T80" s="100"/>
      <c r="U80" s="100"/>
      <c r="V80" s="100"/>
      <c r="W80" s="100"/>
      <c r="X80" s="100"/>
      <c r="Y80" s="100"/>
    </row>
    <row r="81" spans="1:25" x14ac:dyDescent="0.3">
      <c r="A81" s="100"/>
      <c r="B81" s="100"/>
      <c r="C81" s="100"/>
      <c r="D81" s="100"/>
      <c r="E81" s="100"/>
      <c r="F81" s="100"/>
      <c r="G81" s="100"/>
      <c r="H81" s="100"/>
      <c r="I81" s="100"/>
      <c r="J81" s="100"/>
      <c r="K81" s="100"/>
      <c r="L81" s="100"/>
      <c r="M81" s="100"/>
      <c r="N81" s="100"/>
      <c r="O81" s="100"/>
      <c r="P81" s="100">
        <v>4.4000000000000004</v>
      </c>
      <c r="Q81" s="100">
        <v>0.14318181818181819</v>
      </c>
      <c r="R81" s="100"/>
      <c r="S81" s="100"/>
      <c r="T81" s="100"/>
      <c r="U81" s="100"/>
      <c r="V81" s="100"/>
      <c r="W81" s="100"/>
      <c r="X81" s="100"/>
      <c r="Y81" s="100"/>
    </row>
    <row r="82" spans="1:25" x14ac:dyDescent="0.3">
      <c r="A82" s="100"/>
      <c r="B82" s="100"/>
      <c r="C82" s="100"/>
      <c r="D82" s="100"/>
      <c r="E82" s="100"/>
      <c r="F82" s="100"/>
      <c r="G82" s="100"/>
      <c r="H82" s="100"/>
      <c r="I82" s="100"/>
      <c r="J82" s="100"/>
      <c r="K82" s="100"/>
      <c r="L82" s="100"/>
      <c r="M82" s="100"/>
      <c r="N82" s="100"/>
      <c r="O82" s="100"/>
      <c r="P82" s="100">
        <v>4.5</v>
      </c>
      <c r="Q82" s="100">
        <v>0.14000000000000001</v>
      </c>
      <c r="R82" s="100"/>
      <c r="S82" s="100"/>
      <c r="T82" s="100"/>
      <c r="U82" s="100"/>
      <c r="V82" s="100"/>
      <c r="W82" s="100"/>
      <c r="X82" s="100"/>
      <c r="Y82" s="100"/>
    </row>
    <row r="83" spans="1:25" x14ac:dyDescent="0.3">
      <c r="A83" s="100"/>
      <c r="B83" s="100"/>
      <c r="C83" s="100"/>
      <c r="D83" s="100"/>
      <c r="E83" s="100"/>
      <c r="F83" s="100"/>
      <c r="G83" s="100"/>
      <c r="H83" s="100"/>
      <c r="I83" s="100"/>
      <c r="J83" s="100"/>
      <c r="K83" s="100"/>
      <c r="L83" s="100"/>
      <c r="M83" s="100"/>
      <c r="N83" s="100"/>
      <c r="O83" s="100"/>
      <c r="P83" s="100">
        <v>4.5999999999999996</v>
      </c>
      <c r="Q83" s="100">
        <v>0.13695652173913048</v>
      </c>
      <c r="R83" s="100"/>
      <c r="S83" s="100"/>
      <c r="T83" s="100"/>
      <c r="U83" s="100"/>
      <c r="V83" s="100"/>
      <c r="W83" s="100"/>
      <c r="X83" s="100"/>
      <c r="Y83" s="100"/>
    </row>
    <row r="84" spans="1:25" x14ac:dyDescent="0.3">
      <c r="A84" s="100"/>
      <c r="B84" s="100"/>
      <c r="C84" s="100"/>
      <c r="D84" s="100"/>
      <c r="E84" s="100"/>
      <c r="F84" s="100"/>
      <c r="G84" s="100"/>
      <c r="H84" s="100"/>
      <c r="I84" s="100"/>
      <c r="J84" s="100"/>
      <c r="K84" s="100"/>
      <c r="L84" s="100"/>
      <c r="M84" s="100"/>
      <c r="N84" s="100"/>
      <c r="O84" s="100"/>
      <c r="P84" s="100">
        <v>4.7</v>
      </c>
      <c r="Q84" s="100">
        <v>0.13404255319148936</v>
      </c>
      <c r="R84" s="100"/>
      <c r="S84" s="100"/>
      <c r="T84" s="100"/>
      <c r="U84" s="100"/>
      <c r="V84" s="100"/>
      <c r="W84" s="100"/>
      <c r="X84" s="100"/>
      <c r="Y84" s="100"/>
    </row>
    <row r="85" spans="1:25" x14ac:dyDescent="0.3">
      <c r="A85" s="100"/>
      <c r="B85" s="100"/>
      <c r="C85" s="100"/>
      <c r="D85" s="100"/>
      <c r="E85" s="100"/>
      <c r="F85" s="100"/>
      <c r="G85" s="100"/>
      <c r="H85" s="100"/>
      <c r="I85" s="100"/>
      <c r="J85" s="100"/>
      <c r="K85" s="100"/>
      <c r="L85" s="100"/>
      <c r="M85" s="100"/>
      <c r="N85" s="100"/>
      <c r="O85" s="100"/>
      <c r="P85" s="100">
        <v>4.8</v>
      </c>
      <c r="Q85" s="100">
        <v>0.13125000000000001</v>
      </c>
      <c r="R85" s="100"/>
      <c r="S85" s="100"/>
      <c r="T85" s="100"/>
      <c r="U85" s="100"/>
      <c r="V85" s="100"/>
      <c r="W85" s="100"/>
      <c r="X85" s="100"/>
      <c r="Y85" s="100"/>
    </row>
    <row r="86" spans="1:25" x14ac:dyDescent="0.3">
      <c r="A86" s="100"/>
      <c r="B86" s="100"/>
      <c r="C86" s="100"/>
      <c r="D86" s="100"/>
      <c r="E86" s="100"/>
      <c r="F86" s="100"/>
      <c r="G86" s="100"/>
      <c r="H86" s="100"/>
      <c r="I86" s="100"/>
      <c r="J86" s="100"/>
      <c r="K86" s="100"/>
      <c r="L86" s="100"/>
      <c r="M86" s="100"/>
      <c r="N86" s="100"/>
      <c r="O86" s="100"/>
      <c r="P86" s="100">
        <v>4.9000000000000004</v>
      </c>
      <c r="Q86" s="100">
        <v>0.12857142857142856</v>
      </c>
      <c r="R86" s="100"/>
      <c r="S86" s="100"/>
      <c r="T86" s="100"/>
      <c r="U86" s="100"/>
      <c r="V86" s="100"/>
      <c r="W86" s="100"/>
      <c r="X86" s="100"/>
      <c r="Y86" s="100"/>
    </row>
    <row r="87" spans="1:25" x14ac:dyDescent="0.3">
      <c r="A87" s="100"/>
      <c r="B87" s="100"/>
      <c r="C87" s="100"/>
      <c r="D87" s="100"/>
      <c r="E87" s="100"/>
      <c r="F87" s="100"/>
      <c r="G87" s="100"/>
      <c r="H87" s="100"/>
      <c r="I87" s="100"/>
      <c r="J87" s="100"/>
      <c r="K87" s="100"/>
      <c r="L87" s="100"/>
      <c r="M87" s="100"/>
      <c r="N87" s="100"/>
      <c r="O87" s="100"/>
      <c r="P87" s="100">
        <v>5</v>
      </c>
      <c r="Q87" s="100">
        <v>0.126</v>
      </c>
      <c r="R87" s="100"/>
      <c r="S87" s="100"/>
      <c r="T87" s="100"/>
      <c r="U87" s="100"/>
      <c r="V87" s="100"/>
      <c r="W87" s="100"/>
      <c r="X87" s="100"/>
      <c r="Y87" s="100"/>
    </row>
    <row r="88" spans="1:25" x14ac:dyDescent="0.3">
      <c r="A88" s="100"/>
      <c r="B88" s="100"/>
      <c r="C88" s="100"/>
      <c r="D88" s="100"/>
      <c r="E88" s="100"/>
      <c r="F88" s="100"/>
      <c r="G88" s="100"/>
      <c r="H88" s="100"/>
      <c r="I88" s="100"/>
      <c r="J88" s="100"/>
      <c r="K88" s="100"/>
      <c r="L88" s="100"/>
      <c r="M88" s="100"/>
      <c r="N88" s="100"/>
      <c r="O88" s="100"/>
      <c r="P88" s="100">
        <v>5.0999999999999996</v>
      </c>
      <c r="Q88" s="100">
        <v>0.1235294117647059</v>
      </c>
      <c r="R88" s="100"/>
      <c r="S88" s="100"/>
      <c r="T88" s="100"/>
      <c r="U88" s="100"/>
      <c r="V88" s="100"/>
      <c r="W88" s="100"/>
      <c r="X88" s="100"/>
      <c r="Y88" s="100"/>
    </row>
    <row r="89" spans="1:25" x14ac:dyDescent="0.3">
      <c r="P89">
        <v>5.2</v>
      </c>
      <c r="Q89">
        <v>0.12115384615384614</v>
      </c>
    </row>
    <row r="90" spans="1:25" x14ac:dyDescent="0.3">
      <c r="P90">
        <v>5.3</v>
      </c>
      <c r="Q90">
        <v>0.1188679245283019</v>
      </c>
    </row>
    <row r="91" spans="1:25" x14ac:dyDescent="0.3">
      <c r="P91">
        <v>5.4</v>
      </c>
      <c r="Q91">
        <v>0.11666666666666667</v>
      </c>
    </row>
    <row r="92" spans="1:25" x14ac:dyDescent="0.3">
      <c r="P92">
        <v>5.5</v>
      </c>
      <c r="Q92">
        <v>0.11454545454545456</v>
      </c>
    </row>
    <row r="93" spans="1:25" x14ac:dyDescent="0.3">
      <c r="P93">
        <v>5.6</v>
      </c>
      <c r="Q93">
        <v>0.1125</v>
      </c>
    </row>
    <row r="94" spans="1:25" x14ac:dyDescent="0.3">
      <c r="P94">
        <v>5.7</v>
      </c>
      <c r="Q94">
        <v>0.11052631578947369</v>
      </c>
    </row>
    <row r="95" spans="1:25" x14ac:dyDescent="0.3">
      <c r="P95">
        <v>5.8</v>
      </c>
      <c r="Q95">
        <v>0.10862068965517242</v>
      </c>
    </row>
    <row r="96" spans="1:25" x14ac:dyDescent="0.3">
      <c r="P96">
        <v>5.9</v>
      </c>
      <c r="Q96">
        <v>0.10677966101694916</v>
      </c>
    </row>
    <row r="97" spans="16:17" x14ac:dyDescent="0.3">
      <c r="P97">
        <v>6</v>
      </c>
      <c r="Q97">
        <v>0.10500000000000001</v>
      </c>
    </row>
    <row r="98" spans="16:17" x14ac:dyDescent="0.3">
      <c r="P98">
        <v>6.1</v>
      </c>
      <c r="Q98">
        <v>0.10327868852459018</v>
      </c>
    </row>
    <row r="99" spans="16:17" x14ac:dyDescent="0.3">
      <c r="P99">
        <v>6.2</v>
      </c>
      <c r="Q99">
        <v>0.10161290322580646</v>
      </c>
    </row>
    <row r="100" spans="16:17" x14ac:dyDescent="0.3">
      <c r="P100">
        <v>6.3</v>
      </c>
      <c r="Q100">
        <v>0.1</v>
      </c>
    </row>
    <row r="101" spans="16:17" x14ac:dyDescent="0.3">
      <c r="P101">
        <v>6.4</v>
      </c>
      <c r="Q101">
        <v>9.8437500000000011E-2</v>
      </c>
    </row>
    <row r="102" spans="16:17" x14ac:dyDescent="0.3">
      <c r="P102">
        <v>6.5</v>
      </c>
      <c r="Q102">
        <v>9.6923076923076931E-2</v>
      </c>
    </row>
    <row r="103" spans="16:17" x14ac:dyDescent="0.3">
      <c r="P103">
        <v>6.6</v>
      </c>
      <c r="Q103">
        <v>9.5454545454545472E-2</v>
      </c>
    </row>
    <row r="104" spans="16:17" x14ac:dyDescent="0.3">
      <c r="P104">
        <v>6.7</v>
      </c>
      <c r="Q104">
        <v>9.4029850746268656E-2</v>
      </c>
    </row>
    <row r="105" spans="16:17" x14ac:dyDescent="0.3">
      <c r="P105">
        <v>6.8</v>
      </c>
      <c r="Q105">
        <v>9.2647058823529416E-2</v>
      </c>
    </row>
    <row r="106" spans="16:17" x14ac:dyDescent="0.3">
      <c r="P106">
        <v>6.9</v>
      </c>
      <c r="Q106">
        <v>9.1304347826086971E-2</v>
      </c>
    </row>
    <row r="107" spans="16:17" x14ac:dyDescent="0.3">
      <c r="P107">
        <v>7</v>
      </c>
      <c r="Q107">
        <v>9.0000000000000011E-2</v>
      </c>
    </row>
    <row r="108" spans="16:17" x14ac:dyDescent="0.3">
      <c r="P108">
        <v>7.1</v>
      </c>
      <c r="Q108">
        <v>8.873239436619719E-2</v>
      </c>
    </row>
    <row r="109" spans="16:17" x14ac:dyDescent="0.3">
      <c r="P109">
        <v>7.2</v>
      </c>
      <c r="Q109">
        <v>8.7500000000000008E-2</v>
      </c>
    </row>
    <row r="110" spans="16:17" x14ac:dyDescent="0.3">
      <c r="P110">
        <v>7.3000000000000096</v>
      </c>
      <c r="Q110">
        <v>8.6301369863013594E-2</v>
      </c>
    </row>
    <row r="111" spans="16:17" x14ac:dyDescent="0.3">
      <c r="P111">
        <v>7.4000000000000101</v>
      </c>
      <c r="Q111">
        <v>8.5135135135135015E-2</v>
      </c>
    </row>
    <row r="112" spans="16:17" x14ac:dyDescent="0.3">
      <c r="P112">
        <v>7.5000000000000098</v>
      </c>
      <c r="Q112">
        <v>8.3999999999999894E-2</v>
      </c>
    </row>
    <row r="113" spans="16:17" x14ac:dyDescent="0.3">
      <c r="P113">
        <v>7.6000000000000103</v>
      </c>
      <c r="Q113">
        <v>8.289473684210516E-2</v>
      </c>
    </row>
    <row r="114" spans="16:17" x14ac:dyDescent="0.3">
      <c r="P114">
        <v>7.7000000000000099</v>
      </c>
      <c r="Q114">
        <v>8.1818181818181707E-2</v>
      </c>
    </row>
    <row r="115" spans="16:17" x14ac:dyDescent="0.3">
      <c r="P115">
        <v>7.8000000000000096</v>
      </c>
      <c r="Q115">
        <v>8.0769230769230677E-2</v>
      </c>
    </row>
    <row r="116" spans="16:17" x14ac:dyDescent="0.3">
      <c r="P116">
        <v>7.9000000000000101</v>
      </c>
      <c r="Q116">
        <v>7.9746835443037872E-2</v>
      </c>
    </row>
    <row r="117" spans="16:17" x14ac:dyDescent="0.3">
      <c r="P117">
        <v>8.0000000000000107</v>
      </c>
      <c r="Q117">
        <v>7.874999999999989E-2</v>
      </c>
    </row>
    <row r="118" spans="16:17" x14ac:dyDescent="0.3">
      <c r="P118">
        <v>8.1000000000000103</v>
      </c>
      <c r="Q118">
        <v>7.7777777777777668E-2</v>
      </c>
    </row>
    <row r="119" spans="16:17" x14ac:dyDescent="0.3">
      <c r="P119">
        <v>8.2000000000000099</v>
      </c>
      <c r="Q119">
        <v>7.6829268292682856E-2</v>
      </c>
    </row>
    <row r="120" spans="16:17" x14ac:dyDescent="0.3">
      <c r="P120">
        <v>8.3000000000000096</v>
      </c>
      <c r="Q120">
        <v>7.5903614457831253E-2</v>
      </c>
    </row>
    <row r="121" spans="16:17" x14ac:dyDescent="0.3">
      <c r="P121">
        <v>8.4000000000000092</v>
      </c>
      <c r="Q121">
        <v>7.4999999999999928E-2</v>
      </c>
    </row>
    <row r="122" spans="16:17" x14ac:dyDescent="0.3">
      <c r="P122">
        <v>8.5000000000000107</v>
      </c>
      <c r="Q122">
        <v>7.4117647058823441E-2</v>
      </c>
    </row>
    <row r="123" spans="16:17" x14ac:dyDescent="0.3">
      <c r="P123">
        <v>8.6000000000000103</v>
      </c>
      <c r="Q123">
        <v>7.3255813953488291E-2</v>
      </c>
    </row>
    <row r="124" spans="16:17" x14ac:dyDescent="0.3">
      <c r="P124">
        <v>8.7000000000000099</v>
      </c>
      <c r="Q124">
        <v>7.2413793103448199E-2</v>
      </c>
    </row>
    <row r="125" spans="16:17" x14ac:dyDescent="0.3">
      <c r="P125">
        <v>8.8000000000000096</v>
      </c>
      <c r="Q125">
        <v>7.1590909090909025E-2</v>
      </c>
    </row>
    <row r="126" spans="16:17" x14ac:dyDescent="0.3">
      <c r="P126">
        <v>8.9000000000000092</v>
      </c>
      <c r="Q126">
        <v>7.0786516853932516E-2</v>
      </c>
    </row>
    <row r="127" spans="16:17" x14ac:dyDescent="0.3">
      <c r="P127">
        <v>9.0000000000000107</v>
      </c>
      <c r="Q127">
        <v>6.999999999999991E-2</v>
      </c>
    </row>
    <row r="128" spans="16:17" x14ac:dyDescent="0.3">
      <c r="P128">
        <v>9.1000000000000103</v>
      </c>
      <c r="Q128">
        <v>6.9230769230769165E-2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B1:O33"/>
  <sheetViews>
    <sheetView zoomScaleNormal="100" workbookViewId="0">
      <selection activeCell="B20" sqref="B20:M33"/>
    </sheetView>
  </sheetViews>
  <sheetFormatPr baseColWidth="10" defaultRowHeight="14.4" x14ac:dyDescent="0.3"/>
  <cols>
    <col min="6" max="6" width="14" style="35" bestFit="1" customWidth="1"/>
    <col min="7" max="7" width="11.5546875" style="12"/>
  </cols>
  <sheetData>
    <row r="1" spans="2:15" x14ac:dyDescent="0.3">
      <c r="C1" s="6" t="s">
        <v>27</v>
      </c>
    </row>
    <row r="2" spans="2:15" x14ac:dyDescent="0.3">
      <c r="B2" s="167" t="s">
        <v>8</v>
      </c>
      <c r="C2" s="168"/>
      <c r="D2" s="168"/>
      <c r="E2" s="168"/>
      <c r="F2" s="168"/>
      <c r="G2" s="168"/>
      <c r="H2" s="168"/>
      <c r="I2" s="168"/>
      <c r="J2" s="168"/>
      <c r="K2" s="168"/>
      <c r="L2" s="168"/>
      <c r="M2" s="168"/>
      <c r="N2" s="75"/>
      <c r="O2" s="75"/>
    </row>
    <row r="3" spans="2:15" x14ac:dyDescent="0.3">
      <c r="B3" s="169" t="s">
        <v>9</v>
      </c>
      <c r="C3" s="169" t="s">
        <v>10</v>
      </c>
      <c r="D3" s="169" t="s">
        <v>11</v>
      </c>
      <c r="E3" s="169" t="s">
        <v>12</v>
      </c>
      <c r="F3" s="169" t="s">
        <v>13</v>
      </c>
      <c r="G3" s="169" t="s">
        <v>14</v>
      </c>
      <c r="H3" s="169" t="s">
        <v>15</v>
      </c>
      <c r="I3" s="169" t="s">
        <v>16</v>
      </c>
      <c r="J3" s="169" t="s">
        <v>17</v>
      </c>
      <c r="K3" s="169" t="s">
        <v>18</v>
      </c>
      <c r="L3" s="169" t="s">
        <v>19</v>
      </c>
      <c r="M3" s="170" t="s">
        <v>20</v>
      </c>
      <c r="N3" s="75"/>
      <c r="O3" s="75"/>
    </row>
    <row r="4" spans="2:15" x14ac:dyDescent="0.3">
      <c r="B4" s="173"/>
      <c r="C4" s="173"/>
      <c r="D4" s="173" t="s">
        <v>21</v>
      </c>
      <c r="E4" s="173" t="s">
        <v>21</v>
      </c>
      <c r="F4" s="173" t="s">
        <v>7</v>
      </c>
      <c r="G4" s="173" t="s">
        <v>7</v>
      </c>
      <c r="H4" s="173" t="s">
        <v>21</v>
      </c>
      <c r="I4" s="173" t="s">
        <v>21</v>
      </c>
      <c r="J4" s="173" t="s">
        <v>7</v>
      </c>
      <c r="K4" s="173" t="s">
        <v>7</v>
      </c>
      <c r="L4" s="173" t="s">
        <v>7</v>
      </c>
      <c r="M4" s="174" t="s">
        <v>7</v>
      </c>
      <c r="N4" s="75"/>
      <c r="O4" s="75"/>
    </row>
    <row r="5" spans="2:15" x14ac:dyDescent="0.3">
      <c r="B5" s="172" t="str">
        <f>+B33</f>
        <v>Story11</v>
      </c>
      <c r="C5" s="172" t="str">
        <f t="shared" ref="C5:M5" si="0">+C33</f>
        <v>D11</v>
      </c>
      <c r="D5" s="172">
        <f t="shared" si="0"/>
        <v>782.285475187766</v>
      </c>
      <c r="E5" s="172">
        <f t="shared" si="0"/>
        <v>782.285475187766</v>
      </c>
      <c r="F5" s="172">
        <f t="shared" si="0"/>
        <v>18.500000003277801</v>
      </c>
      <c r="G5" s="172">
        <f t="shared" si="0"/>
        <v>2</v>
      </c>
      <c r="H5" s="172">
        <f t="shared" si="0"/>
        <v>782.285475187766</v>
      </c>
      <c r="I5" s="172">
        <f t="shared" si="0"/>
        <v>782.285475187766</v>
      </c>
      <c r="J5" s="172">
        <f t="shared" si="0"/>
        <v>18.500000003277801</v>
      </c>
      <c r="K5" s="172">
        <f t="shared" si="0"/>
        <v>2</v>
      </c>
      <c r="L5" s="172">
        <f t="shared" si="0"/>
        <v>15.3871036077611</v>
      </c>
      <c r="M5" s="172">
        <f t="shared" si="0"/>
        <v>3.4978505399313198</v>
      </c>
      <c r="N5" s="76"/>
      <c r="O5" s="75"/>
    </row>
    <row r="6" spans="2:15" x14ac:dyDescent="0.3">
      <c r="B6" s="172" t="str">
        <f>+B32</f>
        <v>Story10</v>
      </c>
      <c r="C6" s="172" t="str">
        <f t="shared" ref="C6:M6" si="1">+C32</f>
        <v>D10</v>
      </c>
      <c r="D6" s="172">
        <f t="shared" si="1"/>
        <v>7773.7607542236701</v>
      </c>
      <c r="E6" s="172">
        <f t="shared" si="1"/>
        <v>7773.7607542236701</v>
      </c>
      <c r="F6" s="172">
        <f t="shared" si="1"/>
        <v>9.7810269067376208</v>
      </c>
      <c r="G6" s="172">
        <f t="shared" si="1"/>
        <v>6.6215916082134303</v>
      </c>
      <c r="H6" s="172">
        <f t="shared" si="1"/>
        <v>7773.7607542236701</v>
      </c>
      <c r="I6" s="172">
        <f t="shared" si="1"/>
        <v>7773.7607542236701</v>
      </c>
      <c r="J6" s="172">
        <f t="shared" si="1"/>
        <v>9.7810269067376208</v>
      </c>
      <c r="K6" s="172">
        <f t="shared" si="1"/>
        <v>6.6215916082134303</v>
      </c>
      <c r="L6" s="172">
        <f t="shared" si="1"/>
        <v>9.3624373392241296</v>
      </c>
      <c r="M6" s="172">
        <f t="shared" si="1"/>
        <v>6.5887585856131903</v>
      </c>
      <c r="N6" s="77"/>
      <c r="O6" s="75"/>
    </row>
    <row r="7" spans="2:15" x14ac:dyDescent="0.3">
      <c r="B7" s="172" t="str">
        <f>+B31</f>
        <v>Story9</v>
      </c>
      <c r="C7" s="172" t="str">
        <f t="shared" ref="C7:M7" si="2">+C31</f>
        <v>D9</v>
      </c>
      <c r="D7" s="172">
        <f t="shared" si="2"/>
        <v>9601.8546506449293</v>
      </c>
      <c r="E7" s="172">
        <f t="shared" si="2"/>
        <v>9601.8546506449293</v>
      </c>
      <c r="F7" s="172">
        <f t="shared" si="2"/>
        <v>9.5375338624620696</v>
      </c>
      <c r="G7" s="172">
        <f t="shared" si="2"/>
        <v>6.7776433489085397</v>
      </c>
      <c r="H7" s="172">
        <f t="shared" si="2"/>
        <v>9601.8546506449293</v>
      </c>
      <c r="I7" s="172">
        <f t="shared" si="2"/>
        <v>9601.8546506449293</v>
      </c>
      <c r="J7" s="172">
        <f t="shared" si="2"/>
        <v>9.5375338624620696</v>
      </c>
      <c r="K7" s="172">
        <f t="shared" si="2"/>
        <v>6.7776433489085397</v>
      </c>
      <c r="L7" s="172">
        <f t="shared" si="2"/>
        <v>9.46223637766197</v>
      </c>
      <c r="M7" s="172">
        <f t="shared" si="2"/>
        <v>6.5714041952029296</v>
      </c>
      <c r="N7" s="75"/>
      <c r="O7" s="75"/>
    </row>
    <row r="8" spans="2:15" x14ac:dyDescent="0.3">
      <c r="B8" s="172" t="str">
        <f>+B30</f>
        <v>Story8</v>
      </c>
      <c r="C8" s="172" t="str">
        <f t="shared" ref="C8:M8" si="3">+C30</f>
        <v>D8</v>
      </c>
      <c r="D8" s="172">
        <f t="shared" si="3"/>
        <v>9601.8546506449293</v>
      </c>
      <c r="E8" s="172">
        <f t="shared" si="3"/>
        <v>9601.8546506449293</v>
      </c>
      <c r="F8" s="172">
        <f t="shared" si="3"/>
        <v>9.5375338624620696</v>
      </c>
      <c r="G8" s="172">
        <f t="shared" si="3"/>
        <v>6.7776433489085397</v>
      </c>
      <c r="H8" s="172">
        <f t="shared" si="3"/>
        <v>9601.8546506449293</v>
      </c>
      <c r="I8" s="172">
        <f t="shared" si="3"/>
        <v>9601.8546506449293</v>
      </c>
      <c r="J8" s="172">
        <f t="shared" si="3"/>
        <v>9.5375338624620696</v>
      </c>
      <c r="K8" s="172">
        <f t="shared" si="3"/>
        <v>6.7776433489085397</v>
      </c>
      <c r="L8" s="172">
        <f t="shared" si="3"/>
        <v>9.5616222728603493</v>
      </c>
      <c r="M8" s="172">
        <f t="shared" si="3"/>
        <v>6.54994925228279</v>
      </c>
      <c r="N8" s="75"/>
      <c r="O8" s="75"/>
    </row>
    <row r="9" spans="2:15" x14ac:dyDescent="0.3">
      <c r="B9" s="172" t="str">
        <f>+B29</f>
        <v>Story7</v>
      </c>
      <c r="C9" s="172" t="str">
        <f t="shared" ref="C9:M9" si="4">+C29</f>
        <v>D7</v>
      </c>
      <c r="D9" s="172">
        <f t="shared" si="4"/>
        <v>9601.8546506449293</v>
      </c>
      <c r="E9" s="172">
        <f t="shared" si="4"/>
        <v>9601.8546506449293</v>
      </c>
      <c r="F9" s="172">
        <f t="shared" si="4"/>
        <v>9.5375338624620696</v>
      </c>
      <c r="G9" s="172">
        <f t="shared" si="4"/>
        <v>6.7776433489085397</v>
      </c>
      <c r="H9" s="172">
        <f t="shared" si="4"/>
        <v>9601.8546506449293</v>
      </c>
      <c r="I9" s="172">
        <f t="shared" si="4"/>
        <v>9601.8546506449293</v>
      </c>
      <c r="J9" s="172">
        <f t="shared" si="4"/>
        <v>9.5375338624620696</v>
      </c>
      <c r="K9" s="172">
        <f t="shared" si="4"/>
        <v>6.7776433489085397</v>
      </c>
      <c r="L9" s="172">
        <f t="shared" si="4"/>
        <v>9.6552117674013704</v>
      </c>
      <c r="M9" s="172">
        <f t="shared" si="4"/>
        <v>6.5251776055548598</v>
      </c>
      <c r="N9" s="75"/>
      <c r="O9" s="75"/>
    </row>
    <row r="10" spans="2:15" x14ac:dyDescent="0.3">
      <c r="B10" s="172" t="str">
        <f>+B28</f>
        <v>Story6</v>
      </c>
      <c r="C10" s="172" t="str">
        <f t="shared" ref="C10:M10" si="5">+C28</f>
        <v>D6</v>
      </c>
      <c r="D10" s="172">
        <f t="shared" si="5"/>
        <v>9601.8546506449293</v>
      </c>
      <c r="E10" s="172">
        <f t="shared" si="5"/>
        <v>9601.8546506449293</v>
      </c>
      <c r="F10" s="172">
        <f t="shared" si="5"/>
        <v>9.5375338624620696</v>
      </c>
      <c r="G10" s="172">
        <f t="shared" si="5"/>
        <v>6.7776433489085397</v>
      </c>
      <c r="H10" s="172">
        <f t="shared" si="5"/>
        <v>9601.8546506449293</v>
      </c>
      <c r="I10" s="172">
        <f t="shared" si="5"/>
        <v>9601.8546506449293</v>
      </c>
      <c r="J10" s="172">
        <f t="shared" si="5"/>
        <v>9.5375338624620696</v>
      </c>
      <c r="K10" s="172">
        <f t="shared" si="5"/>
        <v>6.7776433489085397</v>
      </c>
      <c r="L10" s="172">
        <f t="shared" si="5"/>
        <v>9.7431307095555493</v>
      </c>
      <c r="M10" s="172">
        <f t="shared" si="5"/>
        <v>6.4953252047768597</v>
      </c>
      <c r="N10" s="75"/>
      <c r="O10" s="75"/>
    </row>
    <row r="11" spans="2:15" x14ac:dyDescent="0.3">
      <c r="B11" s="172" t="str">
        <f>+B27</f>
        <v>Story5</v>
      </c>
      <c r="C11" s="172" t="str">
        <f t="shared" ref="C11:M11" si="6">+C27</f>
        <v>D5</v>
      </c>
      <c r="D11" s="172">
        <f t="shared" si="6"/>
        <v>9601.8546506449293</v>
      </c>
      <c r="E11" s="172">
        <f t="shared" si="6"/>
        <v>9601.8546506449293</v>
      </c>
      <c r="F11" s="172">
        <f t="shared" si="6"/>
        <v>9.5375338624620696</v>
      </c>
      <c r="G11" s="172">
        <f t="shared" si="6"/>
        <v>6.7776433489085397</v>
      </c>
      <c r="H11" s="172">
        <f t="shared" si="6"/>
        <v>9601.8546506449293</v>
      </c>
      <c r="I11" s="172">
        <f t="shared" si="6"/>
        <v>9601.8546506449293</v>
      </c>
      <c r="J11" s="172">
        <f t="shared" si="6"/>
        <v>9.5375338624620696</v>
      </c>
      <c r="K11" s="172">
        <f t="shared" si="6"/>
        <v>6.7776433489085397</v>
      </c>
      <c r="L11" s="172">
        <f t="shared" si="6"/>
        <v>9.82514653610734</v>
      </c>
      <c r="M11" s="172">
        <f t="shared" si="6"/>
        <v>6.4590932354526203</v>
      </c>
      <c r="N11" s="75"/>
      <c r="O11" s="75"/>
    </row>
    <row r="12" spans="2:15" x14ac:dyDescent="0.3">
      <c r="B12" s="172" t="str">
        <f>+B26</f>
        <v>Story4</v>
      </c>
      <c r="C12" s="172" t="str">
        <f t="shared" ref="C12:M12" si="7">+C26</f>
        <v>D4</v>
      </c>
      <c r="D12" s="172">
        <f t="shared" si="7"/>
        <v>9735.4782604737593</v>
      </c>
      <c r="E12" s="172">
        <f t="shared" si="7"/>
        <v>9735.4782604737593</v>
      </c>
      <c r="F12" s="172">
        <f t="shared" si="7"/>
        <v>9.6605984544914296</v>
      </c>
      <c r="G12" s="172">
        <f t="shared" si="7"/>
        <v>6.71206814719012</v>
      </c>
      <c r="H12" s="172">
        <f t="shared" si="7"/>
        <v>9735.4782604737593</v>
      </c>
      <c r="I12" s="172">
        <f t="shared" si="7"/>
        <v>9735.4782604737593</v>
      </c>
      <c r="J12" s="172">
        <f t="shared" si="7"/>
        <v>9.6605984544914296</v>
      </c>
      <c r="K12" s="172">
        <f t="shared" si="7"/>
        <v>6.71206814719012</v>
      </c>
      <c r="L12" s="172">
        <f t="shared" si="7"/>
        <v>9.8945205928607098</v>
      </c>
      <c r="M12" s="172">
        <f t="shared" si="7"/>
        <v>6.4446602558955099</v>
      </c>
      <c r="N12" s="75"/>
      <c r="O12" s="75"/>
    </row>
    <row r="13" spans="2:15" x14ac:dyDescent="0.3">
      <c r="B13" s="172" t="str">
        <f>+B25</f>
        <v>Story3</v>
      </c>
      <c r="C13" s="172" t="str">
        <f t="shared" ref="C13:M13" si="8">+C25</f>
        <v>D3</v>
      </c>
      <c r="D13" s="172">
        <f t="shared" si="8"/>
        <v>9735.4782604737593</v>
      </c>
      <c r="E13" s="172">
        <f t="shared" si="8"/>
        <v>9735.4782604737593</v>
      </c>
      <c r="F13" s="172">
        <f t="shared" si="8"/>
        <v>9.6605984544914296</v>
      </c>
      <c r="G13" s="172">
        <f t="shared" si="8"/>
        <v>6.71206814719012</v>
      </c>
      <c r="H13" s="172">
        <f t="shared" si="8"/>
        <v>9735.4782604737593</v>
      </c>
      <c r="I13" s="172">
        <f t="shared" si="8"/>
        <v>9735.4782604737593</v>
      </c>
      <c r="J13" s="172">
        <f t="shared" si="8"/>
        <v>9.6605984544914296</v>
      </c>
      <c r="K13" s="172">
        <f t="shared" si="8"/>
        <v>6.71206814719012</v>
      </c>
      <c r="L13" s="172">
        <f t="shared" si="8"/>
        <v>9.9488146056275202</v>
      </c>
      <c r="M13" s="172">
        <f t="shared" si="8"/>
        <v>6.4473236664637898</v>
      </c>
      <c r="N13" s="75"/>
      <c r="O13" s="75"/>
    </row>
    <row r="14" spans="2:15" x14ac:dyDescent="0.3">
      <c r="B14" s="172" t="str">
        <f>+B24</f>
        <v>Story2</v>
      </c>
      <c r="C14" s="172" t="str">
        <f t="shared" ref="C14:M14" si="9">+C24</f>
        <v>D2</v>
      </c>
      <c r="D14" s="172">
        <f t="shared" si="9"/>
        <v>9735.4782604737593</v>
      </c>
      <c r="E14" s="172">
        <f t="shared" si="9"/>
        <v>9735.4782604737593</v>
      </c>
      <c r="F14" s="172">
        <f t="shared" si="9"/>
        <v>9.6605984544914296</v>
      </c>
      <c r="G14" s="172">
        <f t="shared" si="9"/>
        <v>6.71206814719012</v>
      </c>
      <c r="H14" s="172">
        <f t="shared" si="9"/>
        <v>9735.4782604737593</v>
      </c>
      <c r="I14" s="172">
        <f t="shared" si="9"/>
        <v>9735.4782604737593</v>
      </c>
      <c r="J14" s="172">
        <f t="shared" si="9"/>
        <v>9.6605984544914296</v>
      </c>
      <c r="K14" s="172">
        <f t="shared" si="9"/>
        <v>6.71206814719012</v>
      </c>
      <c r="L14" s="172">
        <f t="shared" si="9"/>
        <v>9.9823744690367402</v>
      </c>
      <c r="M14" s="172">
        <f t="shared" si="9"/>
        <v>6.4699735932099598</v>
      </c>
      <c r="N14" s="75"/>
      <c r="O14" s="75"/>
    </row>
    <row r="15" spans="2:15" x14ac:dyDescent="0.3">
      <c r="B15" s="172" t="str">
        <f>+B23</f>
        <v>Story1</v>
      </c>
      <c r="C15" s="172" t="str">
        <f t="shared" ref="C15:M15" si="10">+C23</f>
        <v>D1</v>
      </c>
      <c r="D15" s="172">
        <f t="shared" si="10"/>
        <v>10083.7557378324</v>
      </c>
      <c r="E15" s="172">
        <f t="shared" si="10"/>
        <v>10083.7557378324</v>
      </c>
      <c r="F15" s="172">
        <f t="shared" si="10"/>
        <v>9.7203865037338808</v>
      </c>
      <c r="G15" s="172">
        <f t="shared" si="10"/>
        <v>6.6900922764391497</v>
      </c>
      <c r="H15" s="172">
        <f t="shared" si="10"/>
        <v>10083.7557378324</v>
      </c>
      <c r="I15" s="172">
        <f t="shared" si="10"/>
        <v>10083.7557378324</v>
      </c>
      <c r="J15" s="172">
        <f t="shared" si="10"/>
        <v>9.7203865037338808</v>
      </c>
      <c r="K15" s="172">
        <f t="shared" si="10"/>
        <v>6.6900922764391497</v>
      </c>
      <c r="L15" s="172">
        <f t="shared" si="10"/>
        <v>9.9781870389785396</v>
      </c>
      <c r="M15" s="172">
        <f t="shared" si="10"/>
        <v>6.5584657435276101</v>
      </c>
      <c r="N15" s="75"/>
      <c r="O15" s="75"/>
    </row>
    <row r="16" spans="2:15" x14ac:dyDescent="0.3">
      <c r="B16" s="75"/>
      <c r="C16" s="75"/>
      <c r="D16" s="75"/>
      <c r="E16" s="97"/>
      <c r="F16" s="75"/>
      <c r="G16" s="75"/>
      <c r="H16" s="75"/>
      <c r="I16" s="75"/>
      <c r="J16" s="75"/>
      <c r="K16" s="75"/>
      <c r="L16" s="75"/>
      <c r="M16" s="75"/>
      <c r="N16" s="75"/>
      <c r="O16" s="75"/>
    </row>
    <row r="17" spans="2:15" x14ac:dyDescent="0.3">
      <c r="B17" s="75"/>
      <c r="C17" s="75"/>
      <c r="D17" s="75"/>
      <c r="E17" s="75"/>
      <c r="F17" s="75"/>
      <c r="G17" s="75"/>
      <c r="H17" s="75"/>
      <c r="I17" s="75"/>
      <c r="J17" s="75"/>
      <c r="K17" s="75"/>
      <c r="L17" s="75"/>
      <c r="M17" s="75"/>
      <c r="N17" s="75"/>
      <c r="O17" s="75"/>
    </row>
    <row r="18" spans="2:15" x14ac:dyDescent="0.3">
      <c r="B18" s="75"/>
      <c r="C18" s="75"/>
      <c r="D18" s="75"/>
      <c r="E18" s="75"/>
      <c r="F18" s="119"/>
      <c r="G18" s="75"/>
      <c r="H18" s="75"/>
      <c r="I18" s="75"/>
      <c r="J18" s="75"/>
      <c r="K18" s="75"/>
      <c r="L18" s="75"/>
      <c r="M18" s="75"/>
      <c r="N18" s="75"/>
      <c r="O18" s="75"/>
    </row>
    <row r="20" spans="2:15" x14ac:dyDescent="0.3">
      <c r="B20" s="167" t="s">
        <v>8</v>
      </c>
      <c r="C20" s="168"/>
      <c r="D20" s="168"/>
      <c r="E20" s="168"/>
      <c r="F20" s="168"/>
      <c r="G20" s="168"/>
      <c r="H20" s="168"/>
      <c r="I20" s="168"/>
      <c r="J20" s="168"/>
      <c r="K20" s="168"/>
      <c r="L20" s="168"/>
      <c r="M20" s="168"/>
    </row>
    <row r="21" spans="2:15" x14ac:dyDescent="0.3">
      <c r="B21" s="169" t="s">
        <v>9</v>
      </c>
      <c r="C21" s="169" t="s">
        <v>10</v>
      </c>
      <c r="D21" s="169" t="s">
        <v>11</v>
      </c>
      <c r="E21" s="169" t="s">
        <v>12</v>
      </c>
      <c r="F21" s="169" t="s">
        <v>13</v>
      </c>
      <c r="G21" s="169" t="s">
        <v>14</v>
      </c>
      <c r="H21" s="169" t="s">
        <v>15</v>
      </c>
      <c r="I21" s="169" t="s">
        <v>16</v>
      </c>
      <c r="J21" s="169" t="s">
        <v>17</v>
      </c>
      <c r="K21" s="169" t="s">
        <v>18</v>
      </c>
      <c r="L21" s="169" t="s">
        <v>19</v>
      </c>
      <c r="M21" s="170" t="s">
        <v>20</v>
      </c>
    </row>
    <row r="22" spans="2:15" x14ac:dyDescent="0.3">
      <c r="B22" s="173"/>
      <c r="C22" s="173"/>
      <c r="D22" s="173" t="s">
        <v>21</v>
      </c>
      <c r="E22" s="173" t="s">
        <v>21</v>
      </c>
      <c r="F22" s="173" t="s">
        <v>7</v>
      </c>
      <c r="G22" s="173" t="s">
        <v>7</v>
      </c>
      <c r="H22" s="173" t="s">
        <v>21</v>
      </c>
      <c r="I22" s="173" t="s">
        <v>21</v>
      </c>
      <c r="J22" s="173" t="s">
        <v>7</v>
      </c>
      <c r="K22" s="173" t="s">
        <v>7</v>
      </c>
      <c r="L22" s="173" t="s">
        <v>7</v>
      </c>
      <c r="M22" s="174" t="s">
        <v>7</v>
      </c>
    </row>
    <row r="23" spans="2:15" x14ac:dyDescent="0.3">
      <c r="B23" s="172" t="s">
        <v>22</v>
      </c>
      <c r="C23" s="172" t="s">
        <v>23</v>
      </c>
      <c r="D23" s="172">
        <v>10083.7557378324</v>
      </c>
      <c r="E23" s="172">
        <v>10083.7557378324</v>
      </c>
      <c r="F23" s="172">
        <v>9.7203865037338808</v>
      </c>
      <c r="G23" s="172">
        <v>6.6900922764391497</v>
      </c>
      <c r="H23" s="172">
        <v>10083.7557378324</v>
      </c>
      <c r="I23" s="172">
        <v>10083.7557378324</v>
      </c>
      <c r="J23" s="172">
        <v>9.7203865037338808</v>
      </c>
      <c r="K23" s="172">
        <v>6.6900922764391497</v>
      </c>
      <c r="L23" s="172">
        <v>9.9781870389785396</v>
      </c>
      <c r="M23" s="172">
        <v>6.5584657435276101</v>
      </c>
    </row>
    <row r="24" spans="2:15" x14ac:dyDescent="0.3">
      <c r="B24" s="172" t="s">
        <v>24</v>
      </c>
      <c r="C24" s="172" t="s">
        <v>175</v>
      </c>
      <c r="D24" s="172">
        <v>9735.4782604737593</v>
      </c>
      <c r="E24" s="172">
        <v>9735.4782604737593</v>
      </c>
      <c r="F24" s="172">
        <v>9.6605984544914296</v>
      </c>
      <c r="G24" s="172">
        <v>6.71206814719012</v>
      </c>
      <c r="H24" s="172">
        <v>9735.4782604737593</v>
      </c>
      <c r="I24" s="172">
        <v>9735.4782604737593</v>
      </c>
      <c r="J24" s="172">
        <v>9.6605984544914296</v>
      </c>
      <c r="K24" s="172">
        <v>6.71206814719012</v>
      </c>
      <c r="L24" s="172">
        <v>9.9823744690367402</v>
      </c>
      <c r="M24" s="172">
        <v>6.4699735932099598</v>
      </c>
    </row>
    <row r="25" spans="2:15" x14ac:dyDescent="0.3">
      <c r="B25" s="172" t="s">
        <v>25</v>
      </c>
      <c r="C25" s="172" t="s">
        <v>176</v>
      </c>
      <c r="D25" s="172">
        <v>9735.4782604737593</v>
      </c>
      <c r="E25" s="172">
        <v>9735.4782604737593</v>
      </c>
      <c r="F25" s="172">
        <v>9.6605984544914296</v>
      </c>
      <c r="G25" s="172">
        <v>6.71206814719012</v>
      </c>
      <c r="H25" s="172">
        <v>9735.4782604737593</v>
      </c>
      <c r="I25" s="172">
        <v>9735.4782604737593</v>
      </c>
      <c r="J25" s="172">
        <v>9.6605984544914296</v>
      </c>
      <c r="K25" s="172">
        <v>6.71206814719012</v>
      </c>
      <c r="L25" s="172">
        <v>9.9488146056275202</v>
      </c>
      <c r="M25" s="172">
        <v>6.4473236664637898</v>
      </c>
    </row>
    <row r="26" spans="2:15" x14ac:dyDescent="0.3">
      <c r="B26" s="172" t="s">
        <v>26</v>
      </c>
      <c r="C26" s="172" t="s">
        <v>177</v>
      </c>
      <c r="D26" s="172">
        <v>9735.4782604737593</v>
      </c>
      <c r="E26" s="172">
        <v>9735.4782604737593</v>
      </c>
      <c r="F26" s="172">
        <v>9.6605984544914296</v>
      </c>
      <c r="G26" s="172">
        <v>6.71206814719012</v>
      </c>
      <c r="H26" s="172">
        <v>9735.4782604737593</v>
      </c>
      <c r="I26" s="172">
        <v>9735.4782604737593</v>
      </c>
      <c r="J26" s="172">
        <v>9.6605984544914296</v>
      </c>
      <c r="K26" s="172">
        <v>6.71206814719012</v>
      </c>
      <c r="L26" s="172">
        <v>9.8945205928607098</v>
      </c>
      <c r="M26" s="172">
        <v>6.4446602558955099</v>
      </c>
    </row>
    <row r="27" spans="2:15" x14ac:dyDescent="0.3">
      <c r="B27" s="172" t="s">
        <v>39</v>
      </c>
      <c r="C27" s="172" t="s">
        <v>178</v>
      </c>
      <c r="D27" s="172">
        <v>9601.8546506449293</v>
      </c>
      <c r="E27" s="172">
        <v>9601.8546506449293</v>
      </c>
      <c r="F27" s="172">
        <v>9.5375338624620696</v>
      </c>
      <c r="G27" s="172">
        <v>6.7776433489085397</v>
      </c>
      <c r="H27" s="172">
        <v>9601.8546506449293</v>
      </c>
      <c r="I27" s="172">
        <v>9601.8546506449293</v>
      </c>
      <c r="J27" s="172">
        <v>9.5375338624620696</v>
      </c>
      <c r="K27" s="172">
        <v>6.7776433489085397</v>
      </c>
      <c r="L27" s="172">
        <v>9.82514653610734</v>
      </c>
      <c r="M27" s="172">
        <v>6.4590932354526203</v>
      </c>
    </row>
    <row r="28" spans="2:15" x14ac:dyDescent="0.3">
      <c r="B28" s="172" t="s">
        <v>179</v>
      </c>
      <c r="C28" s="172" t="s">
        <v>180</v>
      </c>
      <c r="D28" s="172">
        <v>9601.8546506449293</v>
      </c>
      <c r="E28" s="172">
        <v>9601.8546506449293</v>
      </c>
      <c r="F28" s="172">
        <v>9.5375338624620696</v>
      </c>
      <c r="G28" s="172">
        <v>6.7776433489085397</v>
      </c>
      <c r="H28" s="172">
        <v>9601.8546506449293</v>
      </c>
      <c r="I28" s="172">
        <v>9601.8546506449293</v>
      </c>
      <c r="J28" s="172">
        <v>9.5375338624620696</v>
      </c>
      <c r="K28" s="172">
        <v>6.7776433489085397</v>
      </c>
      <c r="L28" s="172">
        <v>9.7431307095555493</v>
      </c>
      <c r="M28" s="172">
        <v>6.4953252047768597</v>
      </c>
    </row>
    <row r="29" spans="2:15" x14ac:dyDescent="0.3">
      <c r="B29" s="172" t="s">
        <v>181</v>
      </c>
      <c r="C29" s="172" t="s">
        <v>182</v>
      </c>
      <c r="D29" s="172">
        <v>9601.8546506449293</v>
      </c>
      <c r="E29" s="172">
        <v>9601.8546506449293</v>
      </c>
      <c r="F29" s="172">
        <v>9.5375338624620696</v>
      </c>
      <c r="G29" s="172">
        <v>6.7776433489085397</v>
      </c>
      <c r="H29" s="172">
        <v>9601.8546506449293</v>
      </c>
      <c r="I29" s="172">
        <v>9601.8546506449293</v>
      </c>
      <c r="J29" s="172">
        <v>9.5375338624620696</v>
      </c>
      <c r="K29" s="172">
        <v>6.7776433489085397</v>
      </c>
      <c r="L29" s="172">
        <v>9.6552117674013704</v>
      </c>
      <c r="M29" s="172">
        <v>6.5251776055548598</v>
      </c>
    </row>
    <row r="30" spans="2:15" x14ac:dyDescent="0.3">
      <c r="B30" s="172" t="s">
        <v>183</v>
      </c>
      <c r="C30" s="172" t="s">
        <v>184</v>
      </c>
      <c r="D30" s="172">
        <v>9601.8546506449293</v>
      </c>
      <c r="E30" s="172">
        <v>9601.8546506449293</v>
      </c>
      <c r="F30" s="172">
        <v>9.5375338624620696</v>
      </c>
      <c r="G30" s="172">
        <v>6.7776433489085397</v>
      </c>
      <c r="H30" s="172">
        <v>9601.8546506449293</v>
      </c>
      <c r="I30" s="172">
        <v>9601.8546506449293</v>
      </c>
      <c r="J30" s="172">
        <v>9.5375338624620696</v>
      </c>
      <c r="K30" s="172">
        <v>6.7776433489085397</v>
      </c>
      <c r="L30" s="172">
        <v>9.5616222728603493</v>
      </c>
      <c r="M30" s="172">
        <v>6.54994925228279</v>
      </c>
    </row>
    <row r="31" spans="2:15" x14ac:dyDescent="0.3">
      <c r="B31" s="172" t="s">
        <v>185</v>
      </c>
      <c r="C31" s="172" t="s">
        <v>186</v>
      </c>
      <c r="D31" s="172">
        <v>9601.8546506449293</v>
      </c>
      <c r="E31" s="172">
        <v>9601.8546506449293</v>
      </c>
      <c r="F31" s="172">
        <v>9.5375338624620696</v>
      </c>
      <c r="G31" s="172">
        <v>6.7776433489085397</v>
      </c>
      <c r="H31" s="172">
        <v>9601.8546506449293</v>
      </c>
      <c r="I31" s="172">
        <v>9601.8546506449293</v>
      </c>
      <c r="J31" s="172">
        <v>9.5375338624620696</v>
      </c>
      <c r="K31" s="172">
        <v>6.7776433489085397</v>
      </c>
      <c r="L31" s="172">
        <v>9.46223637766197</v>
      </c>
      <c r="M31" s="172">
        <v>6.5714041952029296</v>
      </c>
    </row>
    <row r="32" spans="2:15" x14ac:dyDescent="0.3">
      <c r="B32" s="172" t="s">
        <v>187</v>
      </c>
      <c r="C32" s="172" t="s">
        <v>188</v>
      </c>
      <c r="D32" s="172">
        <v>7773.7607542236701</v>
      </c>
      <c r="E32" s="172">
        <v>7773.7607542236701</v>
      </c>
      <c r="F32" s="172">
        <v>9.7810269067376208</v>
      </c>
      <c r="G32" s="172">
        <v>6.6215916082134303</v>
      </c>
      <c r="H32" s="172">
        <v>7773.7607542236701</v>
      </c>
      <c r="I32" s="172">
        <v>7773.7607542236701</v>
      </c>
      <c r="J32" s="172">
        <v>9.7810269067376208</v>
      </c>
      <c r="K32" s="172">
        <v>6.6215916082134303</v>
      </c>
      <c r="L32" s="172">
        <v>9.3624373392241296</v>
      </c>
      <c r="M32" s="172">
        <v>6.5887585856131903</v>
      </c>
    </row>
    <row r="33" spans="2:13" x14ac:dyDescent="0.3">
      <c r="B33" s="172" t="s">
        <v>189</v>
      </c>
      <c r="C33" s="172" t="s">
        <v>190</v>
      </c>
      <c r="D33" s="172">
        <v>782.285475187766</v>
      </c>
      <c r="E33" s="172">
        <v>782.285475187766</v>
      </c>
      <c r="F33" s="172">
        <v>18.500000003277801</v>
      </c>
      <c r="G33" s="172">
        <v>2</v>
      </c>
      <c r="H33" s="172">
        <v>782.285475187766</v>
      </c>
      <c r="I33" s="172">
        <v>782.285475187766</v>
      </c>
      <c r="J33" s="172">
        <v>18.500000003277801</v>
      </c>
      <c r="K33" s="172">
        <v>2</v>
      </c>
      <c r="L33" s="172">
        <v>15.3871036077611</v>
      </c>
      <c r="M33" s="172">
        <v>3.4978505399313198</v>
      </c>
    </row>
  </sheetData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2" filterMode="1"/>
  <dimension ref="B2:L53"/>
  <sheetViews>
    <sheetView workbookViewId="0">
      <selection activeCell="B8" sqref="B8:K48"/>
    </sheetView>
  </sheetViews>
  <sheetFormatPr baseColWidth="10" defaultRowHeight="14.4" x14ac:dyDescent="0.3"/>
  <cols>
    <col min="4" max="4" width="0" hidden="1" customWidth="1"/>
  </cols>
  <sheetData>
    <row r="2" spans="2:12" x14ac:dyDescent="0.3">
      <c r="B2" s="167" t="s">
        <v>45</v>
      </c>
      <c r="C2" s="168"/>
      <c r="D2" s="168"/>
      <c r="E2" s="168"/>
      <c r="F2" s="168"/>
      <c r="G2" s="168"/>
      <c r="H2" s="168"/>
      <c r="I2" s="168"/>
      <c r="J2" s="168"/>
      <c r="K2" s="168"/>
    </row>
    <row r="3" spans="2:12" x14ac:dyDescent="0.3">
      <c r="B3" s="169" t="s">
        <v>9</v>
      </c>
      <c r="C3" s="169" t="s">
        <v>46</v>
      </c>
      <c r="D3" s="169" t="s">
        <v>236</v>
      </c>
      <c r="E3" s="169" t="s">
        <v>47</v>
      </c>
      <c r="F3" s="169" t="s">
        <v>48</v>
      </c>
      <c r="G3" s="169" t="s">
        <v>49</v>
      </c>
      <c r="H3" s="169" t="s">
        <v>50</v>
      </c>
      <c r="I3" s="169" t="s">
        <v>51</v>
      </c>
      <c r="J3" s="169" t="s">
        <v>52</v>
      </c>
      <c r="K3" s="170" t="s">
        <v>53</v>
      </c>
      <c r="L3" s="14"/>
    </row>
    <row r="4" spans="2:12" x14ac:dyDescent="0.3">
      <c r="B4" s="173"/>
      <c r="C4" s="173"/>
      <c r="D4" s="173"/>
      <c r="E4" s="173"/>
      <c r="F4" s="173" t="s">
        <v>43</v>
      </c>
      <c r="G4" s="173" t="s">
        <v>43</v>
      </c>
      <c r="H4" s="173" t="s">
        <v>43</v>
      </c>
      <c r="I4" s="173" t="s">
        <v>54</v>
      </c>
      <c r="J4" s="173" t="s">
        <v>54</v>
      </c>
      <c r="K4" s="174" t="s">
        <v>54</v>
      </c>
      <c r="L4" s="14"/>
    </row>
    <row r="5" spans="2:12" s="172" customFormat="1" x14ac:dyDescent="0.3">
      <c r="B5" s="27"/>
      <c r="C5" s="27"/>
      <c r="D5" s="27"/>
      <c r="E5" s="27"/>
      <c r="F5" s="27"/>
      <c r="G5" s="27"/>
      <c r="H5" s="27"/>
      <c r="I5" s="27"/>
      <c r="J5" s="27"/>
      <c r="K5" s="27"/>
      <c r="L5" s="14"/>
    </row>
    <row r="6" spans="2:12" hidden="1" x14ac:dyDescent="0.3">
      <c r="B6" s="172" t="s">
        <v>189</v>
      </c>
      <c r="C6" s="172" t="s">
        <v>237</v>
      </c>
      <c r="D6" s="172" t="s">
        <v>238</v>
      </c>
      <c r="E6" s="172" t="s">
        <v>72</v>
      </c>
      <c r="F6" s="172">
        <v>1.6718846215303699E-10</v>
      </c>
      <c r="G6" s="172">
        <v>913.03172058891005</v>
      </c>
      <c r="H6" s="172">
        <v>385.70295928081202</v>
      </c>
      <c r="I6" s="172">
        <v>8377.3000013821293</v>
      </c>
      <c r="J6" s="172">
        <v>4.8189779362390002E-10</v>
      </c>
      <c r="K6" s="172">
        <v>2.7526336498682001E-9</v>
      </c>
    </row>
    <row r="7" spans="2:12" hidden="1" x14ac:dyDescent="0.3">
      <c r="B7" s="172" t="s">
        <v>189</v>
      </c>
      <c r="C7" s="172" t="s">
        <v>237</v>
      </c>
      <c r="D7" s="172" t="s">
        <v>238</v>
      </c>
      <c r="E7" s="172" t="s">
        <v>239</v>
      </c>
      <c r="F7" s="172">
        <v>4.1329575448722497E-11</v>
      </c>
      <c r="G7" s="172">
        <v>913.03172058846303</v>
      </c>
      <c r="H7" s="172">
        <v>385.70295928160903</v>
      </c>
      <c r="I7" s="172">
        <v>8377.3000013997698</v>
      </c>
      <c r="J7" s="172">
        <v>1157.10887784328</v>
      </c>
      <c r="K7" s="172">
        <v>2739.0951617679202</v>
      </c>
    </row>
    <row r="8" spans="2:12" x14ac:dyDescent="0.3">
      <c r="B8" s="172" t="s">
        <v>189</v>
      </c>
      <c r="C8" s="172" t="s">
        <v>240</v>
      </c>
      <c r="D8" s="172" t="s">
        <v>238</v>
      </c>
      <c r="E8" s="172" t="s">
        <v>72</v>
      </c>
      <c r="F8" s="172">
        <v>3.6452209841081399E-10</v>
      </c>
      <c r="G8" s="172">
        <v>196.54872925944099</v>
      </c>
      <c r="H8" s="172">
        <v>779.26686620012197</v>
      </c>
      <c r="I8" s="172">
        <v>14430.710792816501</v>
      </c>
      <c r="J8" s="172">
        <v>1.06021094022491E-9</v>
      </c>
      <c r="K8" s="172">
        <v>6.9718815539245102E-9</v>
      </c>
    </row>
    <row r="9" spans="2:12" hidden="1" x14ac:dyDescent="0.3">
      <c r="B9" s="172" t="s">
        <v>189</v>
      </c>
      <c r="C9" s="172" t="s">
        <v>240</v>
      </c>
      <c r="D9" s="172" t="s">
        <v>238</v>
      </c>
      <c r="E9" s="172" t="s">
        <v>239</v>
      </c>
      <c r="F9" s="172">
        <v>1.52290635993173E-10</v>
      </c>
      <c r="G9" s="172">
        <v>196.54872925946</v>
      </c>
      <c r="H9" s="172">
        <v>779.2668662021</v>
      </c>
      <c r="I9" s="172">
        <v>14430.710792858001</v>
      </c>
      <c r="J9" s="172">
        <v>2337.8005986029998</v>
      </c>
      <c r="K9" s="172">
        <v>589.64618777824296</v>
      </c>
    </row>
    <row r="10" spans="2:12" hidden="1" x14ac:dyDescent="0.3">
      <c r="B10" s="172" t="s">
        <v>187</v>
      </c>
      <c r="C10" s="172" t="s">
        <v>237</v>
      </c>
      <c r="D10" s="172" t="s">
        <v>238</v>
      </c>
      <c r="E10" s="172" t="s">
        <v>72</v>
      </c>
      <c r="F10" s="172">
        <v>6.6441893937966396E-10</v>
      </c>
      <c r="G10" s="172">
        <v>12165.2056675435</v>
      </c>
      <c r="H10" s="172">
        <v>1423.3007117628799</v>
      </c>
      <c r="I10" s="172">
        <v>105581.00420547801</v>
      </c>
      <c r="J10" s="172">
        <v>1157.10887784178</v>
      </c>
      <c r="K10" s="172">
        <v>2739.0951617565402</v>
      </c>
    </row>
    <row r="11" spans="2:12" hidden="1" x14ac:dyDescent="0.3">
      <c r="B11" s="172" t="s">
        <v>187</v>
      </c>
      <c r="C11" s="172" t="s">
        <v>237</v>
      </c>
      <c r="D11" s="172" t="s">
        <v>238</v>
      </c>
      <c r="E11" s="172" t="s">
        <v>239</v>
      </c>
      <c r="F11" s="172">
        <v>4.8606236226132004E-10</v>
      </c>
      <c r="G11" s="172">
        <v>12197.314247402101</v>
      </c>
      <c r="H11" s="172">
        <v>1436.7418228194001</v>
      </c>
      <c r="I11" s="172">
        <v>105893.820291461</v>
      </c>
      <c r="J11" s="172">
        <v>5971.0361762042603</v>
      </c>
      <c r="K11" s="172">
        <v>45272.561293393497</v>
      </c>
    </row>
    <row r="12" spans="2:12" x14ac:dyDescent="0.3">
      <c r="B12" s="172" t="s">
        <v>187</v>
      </c>
      <c r="C12" s="172" t="s">
        <v>240</v>
      </c>
      <c r="D12" s="172" t="s">
        <v>238</v>
      </c>
      <c r="E12" s="172" t="s">
        <v>72</v>
      </c>
      <c r="F12" s="172">
        <v>2.4570087129162102E-9</v>
      </c>
      <c r="G12" s="172">
        <v>1143.9884324446</v>
      </c>
      <c r="H12" s="172">
        <v>11555.448131733299</v>
      </c>
      <c r="I12" s="172">
        <v>97269.361794414202</v>
      </c>
      <c r="J12" s="172">
        <v>2337.8005986029798</v>
      </c>
      <c r="K12" s="172">
        <v>589.64618777360101</v>
      </c>
    </row>
    <row r="13" spans="2:12" hidden="1" x14ac:dyDescent="0.3">
      <c r="B13" s="172" t="s">
        <v>187</v>
      </c>
      <c r="C13" s="172" t="s">
        <v>240</v>
      </c>
      <c r="D13" s="172" t="s">
        <v>238</v>
      </c>
      <c r="E13" s="172" t="s">
        <v>239</v>
      </c>
      <c r="F13" s="172">
        <v>2.4440954594404102E-9</v>
      </c>
      <c r="G13" s="172">
        <v>1146.5770826011999</v>
      </c>
      <c r="H13" s="172">
        <v>11580.505858898299</v>
      </c>
      <c r="I13" s="172">
        <v>97825.837824996604</v>
      </c>
      <c r="J13" s="172">
        <v>42749.995482932398</v>
      </c>
      <c r="K13" s="172">
        <v>4256.5978416901498</v>
      </c>
    </row>
    <row r="14" spans="2:12" hidden="1" x14ac:dyDescent="0.3">
      <c r="B14" s="172" t="s">
        <v>185</v>
      </c>
      <c r="C14" s="172" t="s">
        <v>237</v>
      </c>
      <c r="D14" s="172" t="s">
        <v>238</v>
      </c>
      <c r="E14" s="172" t="s">
        <v>72</v>
      </c>
      <c r="F14" s="172">
        <v>6.4385693598018802E-10</v>
      </c>
      <c r="G14" s="172">
        <v>24774.3037359958</v>
      </c>
      <c r="H14" s="172">
        <v>2586.8882919565199</v>
      </c>
      <c r="I14" s="172">
        <v>215932.43105379899</v>
      </c>
      <c r="J14" s="172">
        <v>5971.0361762038301</v>
      </c>
      <c r="K14" s="172">
        <v>45272.561293393199</v>
      </c>
    </row>
    <row r="15" spans="2:12" hidden="1" x14ac:dyDescent="0.3">
      <c r="B15" s="172" t="s">
        <v>185</v>
      </c>
      <c r="C15" s="172" t="s">
        <v>237</v>
      </c>
      <c r="D15" s="172" t="s">
        <v>238</v>
      </c>
      <c r="E15" s="172" t="s">
        <v>239</v>
      </c>
      <c r="F15" s="172">
        <v>8.6661821265313295E-10</v>
      </c>
      <c r="G15" s="172">
        <v>24802.034712813002</v>
      </c>
      <c r="H15" s="172">
        <v>2597.8749745155201</v>
      </c>
      <c r="I15" s="172">
        <v>216200.82271250401</v>
      </c>
      <c r="J15" s="172">
        <v>14902.794493141</v>
      </c>
      <c r="K15" s="172">
        <v>131717.49643313099</v>
      </c>
    </row>
    <row r="16" spans="2:12" x14ac:dyDescent="0.3">
      <c r="B16" s="172" t="s">
        <v>185</v>
      </c>
      <c r="C16" s="172" t="s">
        <v>240</v>
      </c>
      <c r="D16" s="172" t="s">
        <v>238</v>
      </c>
      <c r="E16" s="172" t="s">
        <v>72</v>
      </c>
      <c r="F16" s="172">
        <v>7.4604288451404304E-10</v>
      </c>
      <c r="G16" s="172">
        <v>2338.48319480081</v>
      </c>
      <c r="H16" s="172">
        <v>23204.8296848832</v>
      </c>
      <c r="I16" s="172">
        <v>186300.443189846</v>
      </c>
      <c r="J16" s="172">
        <v>42749.995482929597</v>
      </c>
      <c r="K16" s="172">
        <v>4256.5978416840599</v>
      </c>
    </row>
    <row r="17" spans="2:11" hidden="1" x14ac:dyDescent="0.3">
      <c r="B17" s="172" t="s">
        <v>185</v>
      </c>
      <c r="C17" s="172" t="s">
        <v>240</v>
      </c>
      <c r="D17" s="172" t="s">
        <v>238</v>
      </c>
      <c r="E17" s="172" t="s">
        <v>239</v>
      </c>
      <c r="F17" s="172">
        <v>1.1963260423855801E-9</v>
      </c>
      <c r="G17" s="172">
        <v>2340.3521298010501</v>
      </c>
      <c r="H17" s="172">
        <v>23225.738657761201</v>
      </c>
      <c r="I17" s="172">
        <v>186767.07757171799</v>
      </c>
      <c r="J17" s="172">
        <v>123739.56237919501</v>
      </c>
      <c r="K17" s="172">
        <v>12350.0017248111</v>
      </c>
    </row>
    <row r="18" spans="2:11" hidden="1" x14ac:dyDescent="0.3">
      <c r="B18" s="172" t="s">
        <v>183</v>
      </c>
      <c r="C18" s="172" t="s">
        <v>237</v>
      </c>
      <c r="D18" s="172" t="s">
        <v>238</v>
      </c>
      <c r="E18" s="172" t="s">
        <v>72</v>
      </c>
      <c r="F18" s="172">
        <v>1.33997392213285E-9</v>
      </c>
      <c r="G18" s="172">
        <v>35545.4891025588</v>
      </c>
      <c r="H18" s="172">
        <v>3559.7472743324702</v>
      </c>
      <c r="I18" s="172">
        <v>310371.99986178702</v>
      </c>
      <c r="J18" s="172">
        <v>14902.7944931403</v>
      </c>
      <c r="K18" s="172">
        <v>131717.49643311099</v>
      </c>
    </row>
    <row r="19" spans="2:11" hidden="1" x14ac:dyDescent="0.3">
      <c r="B19" s="172" t="s">
        <v>183</v>
      </c>
      <c r="C19" s="172" t="s">
        <v>237</v>
      </c>
      <c r="D19" s="172" t="s">
        <v>238</v>
      </c>
      <c r="E19" s="172" t="s">
        <v>239</v>
      </c>
      <c r="F19" s="172">
        <v>1.7037923076092099E-9</v>
      </c>
      <c r="G19" s="172">
        <v>35569.0614769155</v>
      </c>
      <c r="H19" s="172">
        <v>3569.0582134495698</v>
      </c>
      <c r="I19" s="172">
        <v>310602.29186425498</v>
      </c>
      <c r="J19" s="172">
        <v>27187.4217452261</v>
      </c>
      <c r="K19" s="172">
        <v>255095.34345202101</v>
      </c>
    </row>
    <row r="20" spans="2:11" x14ac:dyDescent="0.3">
      <c r="B20" s="172" t="s">
        <v>183</v>
      </c>
      <c r="C20" s="172" t="s">
        <v>240</v>
      </c>
      <c r="D20" s="172" t="s">
        <v>238</v>
      </c>
      <c r="E20" s="172" t="s">
        <v>72</v>
      </c>
      <c r="F20" s="172">
        <v>2.5643546417579699E-9</v>
      </c>
      <c r="G20" s="172">
        <v>3342.6270211137698</v>
      </c>
      <c r="H20" s="172">
        <v>32747.305649548602</v>
      </c>
      <c r="I20" s="172">
        <v>259909.14592724101</v>
      </c>
      <c r="J20" s="172">
        <v>123739.562379186</v>
      </c>
      <c r="K20" s="172">
        <v>12350.0017248146</v>
      </c>
    </row>
    <row r="21" spans="2:11" hidden="1" x14ac:dyDescent="0.3">
      <c r="B21" s="172" t="s">
        <v>183</v>
      </c>
      <c r="C21" s="172" t="s">
        <v>240</v>
      </c>
      <c r="D21" s="172" t="s">
        <v>238</v>
      </c>
      <c r="E21" s="172" t="s">
        <v>239</v>
      </c>
      <c r="F21" s="172">
        <v>2.8342609646284501E-9</v>
      </c>
      <c r="G21" s="172">
        <v>3344.1299881610998</v>
      </c>
      <c r="H21" s="172">
        <v>32764.386875753</v>
      </c>
      <c r="I21" s="172">
        <v>260292.337087233</v>
      </c>
      <c r="J21" s="172">
        <v>237261.17762278701</v>
      </c>
      <c r="K21" s="172">
        <v>23930.676100793298</v>
      </c>
    </row>
    <row r="22" spans="2:11" hidden="1" x14ac:dyDescent="0.3">
      <c r="B22" s="172" t="s">
        <v>181</v>
      </c>
      <c r="C22" s="172" t="s">
        <v>237</v>
      </c>
      <c r="D22" s="172" t="s">
        <v>238</v>
      </c>
      <c r="E22" s="172" t="s">
        <v>72</v>
      </c>
      <c r="F22" s="172">
        <v>2.06503310931237E-9</v>
      </c>
      <c r="G22" s="172">
        <v>44744.321111970101</v>
      </c>
      <c r="H22" s="172">
        <v>4386.0852894300597</v>
      </c>
      <c r="I22" s="172">
        <v>391270.77189921698</v>
      </c>
      <c r="J22" s="172">
        <v>27187.421745224899</v>
      </c>
      <c r="K22" s="172">
        <v>255095.34345201301</v>
      </c>
    </row>
    <row r="23" spans="2:11" hidden="1" x14ac:dyDescent="0.3">
      <c r="B23" s="172" t="s">
        <v>181</v>
      </c>
      <c r="C23" s="172" t="s">
        <v>237</v>
      </c>
      <c r="D23" s="172" t="s">
        <v>238</v>
      </c>
      <c r="E23" s="172" t="s">
        <v>239</v>
      </c>
      <c r="F23" s="172">
        <v>2.5165816193959201E-9</v>
      </c>
      <c r="G23" s="172">
        <v>44764.522732059297</v>
      </c>
      <c r="H23" s="172">
        <v>4394.1235831334097</v>
      </c>
      <c r="I23" s="172">
        <v>391470.21603994502</v>
      </c>
      <c r="J23" s="172">
        <v>42223.872485002299</v>
      </c>
      <c r="K23" s="172">
        <v>409339.46698613302</v>
      </c>
    </row>
    <row r="24" spans="2:11" x14ac:dyDescent="0.3">
      <c r="B24" s="172" t="s">
        <v>181</v>
      </c>
      <c r="C24" s="172" t="s">
        <v>240</v>
      </c>
      <c r="D24" s="172" t="s">
        <v>238</v>
      </c>
      <c r="E24" s="172" t="s">
        <v>72</v>
      </c>
      <c r="F24" s="172">
        <v>2.3163315064477402E-9</v>
      </c>
      <c r="G24" s="172">
        <v>4192.9225791176004</v>
      </c>
      <c r="H24" s="172">
        <v>40603.714627628098</v>
      </c>
      <c r="I24" s="172">
        <v>320799.661155337</v>
      </c>
      <c r="J24" s="172">
        <v>237261.17762277799</v>
      </c>
      <c r="K24" s="172">
        <v>23930.676100788402</v>
      </c>
    </row>
    <row r="25" spans="2:11" hidden="1" x14ac:dyDescent="0.3">
      <c r="B25" s="172" t="s">
        <v>181</v>
      </c>
      <c r="C25" s="172" t="s">
        <v>240</v>
      </c>
      <c r="D25" s="172" t="s">
        <v>238</v>
      </c>
      <c r="E25" s="172" t="s">
        <v>239</v>
      </c>
      <c r="F25" s="172">
        <v>1.9934830213855501E-9</v>
      </c>
      <c r="G25" s="172">
        <v>4194.1901362298204</v>
      </c>
      <c r="H25" s="172">
        <v>40617.8715933934</v>
      </c>
      <c r="I25" s="172">
        <v>321119.21329626598</v>
      </c>
      <c r="J25" s="172">
        <v>376726.82042265002</v>
      </c>
      <c r="K25" s="172">
        <v>38350.029637453503</v>
      </c>
    </row>
    <row r="26" spans="2:11" hidden="1" x14ac:dyDescent="0.3">
      <c r="B26" s="172" t="s">
        <v>179</v>
      </c>
      <c r="C26" s="172" t="s">
        <v>237</v>
      </c>
      <c r="D26" s="172" t="s">
        <v>238</v>
      </c>
      <c r="E26" s="172" t="s">
        <v>72</v>
      </c>
      <c r="F26" s="172">
        <v>3.0631336467185301E-9</v>
      </c>
      <c r="G26" s="172">
        <v>52680.436832806699</v>
      </c>
      <c r="H26" s="172">
        <v>5099.3156129367699</v>
      </c>
      <c r="I26" s="172">
        <v>461197.10507468402</v>
      </c>
      <c r="J26" s="172">
        <v>42223.872485000902</v>
      </c>
      <c r="K26" s="172">
        <v>409339.46698612103</v>
      </c>
    </row>
    <row r="27" spans="2:11" hidden="1" x14ac:dyDescent="0.3">
      <c r="B27" s="172" t="s">
        <v>179</v>
      </c>
      <c r="C27" s="172" t="s">
        <v>237</v>
      </c>
      <c r="D27" s="172" t="s">
        <v>238</v>
      </c>
      <c r="E27" s="172" t="s">
        <v>239</v>
      </c>
      <c r="F27" s="172">
        <v>3.4047593132665401E-9</v>
      </c>
      <c r="G27" s="172">
        <v>52697.929876051297</v>
      </c>
      <c r="H27" s="172">
        <v>5106.2735417003996</v>
      </c>
      <c r="I27" s="172">
        <v>461370.69495536399</v>
      </c>
      <c r="J27" s="172">
        <v>59579.385088109797</v>
      </c>
      <c r="K27" s="172">
        <v>589564.66070890997</v>
      </c>
    </row>
    <row r="28" spans="2:11" x14ac:dyDescent="0.3">
      <c r="B28" s="172" t="s">
        <v>179</v>
      </c>
      <c r="C28" s="172" t="s">
        <v>240</v>
      </c>
      <c r="D28" s="172" t="s">
        <v>238</v>
      </c>
      <c r="E28" s="172" t="s">
        <v>72</v>
      </c>
      <c r="F28" s="172">
        <v>5.6887972205032204E-10</v>
      </c>
      <c r="G28" s="172">
        <v>4929.2555743838702</v>
      </c>
      <c r="H28" s="172">
        <v>47240.860387798901</v>
      </c>
      <c r="I28" s="172">
        <v>372435.45997250098</v>
      </c>
      <c r="J28" s="172">
        <v>376726.820422641</v>
      </c>
      <c r="K28" s="172">
        <v>38350.029637446103</v>
      </c>
    </row>
    <row r="29" spans="2:11" hidden="1" x14ac:dyDescent="0.3">
      <c r="B29" s="172" t="s">
        <v>179</v>
      </c>
      <c r="C29" s="172" t="s">
        <v>240</v>
      </c>
      <c r="D29" s="172" t="s">
        <v>238</v>
      </c>
      <c r="E29" s="172" t="s">
        <v>239</v>
      </c>
      <c r="F29" s="172">
        <v>5.2477997298113204E-10</v>
      </c>
      <c r="G29" s="172">
        <v>4930.3473156492701</v>
      </c>
      <c r="H29" s="172">
        <v>47252.988659749899</v>
      </c>
      <c r="I29" s="172">
        <v>372710.66349480802</v>
      </c>
      <c r="J29" s="172">
        <v>537242.39612767904</v>
      </c>
      <c r="K29" s="172">
        <v>55150.910779557897</v>
      </c>
    </row>
    <row r="30" spans="2:11" hidden="1" x14ac:dyDescent="0.3">
      <c r="B30" s="172" t="s">
        <v>39</v>
      </c>
      <c r="C30" s="172" t="s">
        <v>237</v>
      </c>
      <c r="D30" s="172" t="s">
        <v>238</v>
      </c>
      <c r="E30" s="172" t="s">
        <v>72</v>
      </c>
      <c r="F30" s="172">
        <v>3.9362801384721103E-9</v>
      </c>
      <c r="G30" s="172">
        <v>59578.266814943003</v>
      </c>
      <c r="H30" s="172">
        <v>5712.1621060125899</v>
      </c>
      <c r="I30" s="172">
        <v>521924.16160934803</v>
      </c>
      <c r="J30" s="172">
        <v>59579.385088111703</v>
      </c>
      <c r="K30" s="172">
        <v>589564.66070890799</v>
      </c>
    </row>
    <row r="31" spans="2:11" hidden="1" x14ac:dyDescent="0.3">
      <c r="B31" s="172" t="s">
        <v>39</v>
      </c>
      <c r="C31" s="172" t="s">
        <v>237</v>
      </c>
      <c r="D31" s="172" t="s">
        <v>238</v>
      </c>
      <c r="E31" s="172" t="s">
        <v>239</v>
      </c>
      <c r="F31" s="172">
        <v>4.1373233834862198E-9</v>
      </c>
      <c r="G31" s="172">
        <v>59593.406009862098</v>
      </c>
      <c r="H31" s="172">
        <v>5718.0913265939098</v>
      </c>
      <c r="I31" s="172">
        <v>522074.06329965597</v>
      </c>
      <c r="J31" s="172">
        <v>78904.6208905612</v>
      </c>
      <c r="K31" s="172">
        <v>791833.89967542095</v>
      </c>
    </row>
    <row r="32" spans="2:11" x14ac:dyDescent="0.3">
      <c r="B32" s="172" t="s">
        <v>39</v>
      </c>
      <c r="C32" s="172" t="s">
        <v>240</v>
      </c>
      <c r="D32" s="172" t="s">
        <v>238</v>
      </c>
      <c r="E32" s="172" t="s">
        <v>72</v>
      </c>
      <c r="F32" s="172">
        <v>2.9430892892951701E-9</v>
      </c>
      <c r="G32" s="172">
        <v>5571.4503599792097</v>
      </c>
      <c r="H32" s="172">
        <v>53035.690981276101</v>
      </c>
      <c r="I32" s="172">
        <v>417647.72512556001</v>
      </c>
      <c r="J32" s="172">
        <v>537242.39612767496</v>
      </c>
      <c r="K32" s="172">
        <v>55150.910779543898</v>
      </c>
    </row>
    <row r="33" spans="2:11" hidden="1" x14ac:dyDescent="0.3">
      <c r="B33" s="172" t="s">
        <v>39</v>
      </c>
      <c r="C33" s="172" t="s">
        <v>240</v>
      </c>
      <c r="D33" s="172" t="s">
        <v>238</v>
      </c>
      <c r="E33" s="172" t="s">
        <v>239</v>
      </c>
      <c r="F33" s="172">
        <v>2.75033237830719E-9</v>
      </c>
      <c r="G33" s="172">
        <v>5572.3778923351601</v>
      </c>
      <c r="H33" s="172">
        <v>53046.4212908142</v>
      </c>
      <c r="I33" s="172">
        <v>417891.624396478</v>
      </c>
      <c r="J33" s="172">
        <v>715376.90446548897</v>
      </c>
      <c r="K33" s="172">
        <v>73990.321112585894</v>
      </c>
    </row>
    <row r="34" spans="2:11" hidden="1" x14ac:dyDescent="0.3">
      <c r="B34" s="172" t="s">
        <v>26</v>
      </c>
      <c r="C34" s="172" t="s">
        <v>237</v>
      </c>
      <c r="D34" s="172" t="s">
        <v>238</v>
      </c>
      <c r="E34" s="172" t="s">
        <v>72</v>
      </c>
      <c r="F34" s="172">
        <v>4.6511945559869502E-9</v>
      </c>
      <c r="G34" s="172">
        <v>65605.7076368118</v>
      </c>
      <c r="H34" s="172">
        <v>6240.9499288381203</v>
      </c>
      <c r="I34" s="172">
        <v>574676.60367845104</v>
      </c>
      <c r="J34" s="172">
        <v>78904.620890563601</v>
      </c>
      <c r="K34" s="172">
        <v>791833.899675422</v>
      </c>
    </row>
    <row r="35" spans="2:11" hidden="1" x14ac:dyDescent="0.3">
      <c r="B35" s="172" t="s">
        <v>26</v>
      </c>
      <c r="C35" s="172" t="s">
        <v>237</v>
      </c>
      <c r="D35" s="172" t="s">
        <v>238</v>
      </c>
      <c r="E35" s="172" t="s">
        <v>239</v>
      </c>
      <c r="F35" s="172">
        <v>4.7310046850866401E-9</v>
      </c>
      <c r="G35" s="172">
        <v>65618.850892070506</v>
      </c>
      <c r="H35" s="172">
        <v>6245.8517986260103</v>
      </c>
      <c r="I35" s="172">
        <v>574803.13857440895</v>
      </c>
      <c r="J35" s="172">
        <v>99912.725574539596</v>
      </c>
      <c r="K35" s="172">
        <v>1012974.18695425</v>
      </c>
    </row>
    <row r="36" spans="2:11" x14ac:dyDescent="0.3">
      <c r="B36" s="172" t="s">
        <v>26</v>
      </c>
      <c r="C36" s="172" t="s">
        <v>240</v>
      </c>
      <c r="D36" s="172" t="s">
        <v>238</v>
      </c>
      <c r="E36" s="172" t="s">
        <v>72</v>
      </c>
      <c r="F36" s="172">
        <v>2.2747135410868098E-9</v>
      </c>
      <c r="G36" s="172">
        <v>6130.54558905261</v>
      </c>
      <c r="H36" s="172">
        <v>58227.881488466497</v>
      </c>
      <c r="I36" s="172">
        <v>458443.693881771</v>
      </c>
      <c r="J36" s="172">
        <v>715376.90446549095</v>
      </c>
      <c r="K36" s="172">
        <v>73990.321112586898</v>
      </c>
    </row>
    <row r="37" spans="2:11" hidden="1" x14ac:dyDescent="0.3">
      <c r="B37" s="172" t="s">
        <v>26</v>
      </c>
      <c r="C37" s="172" t="s">
        <v>240</v>
      </c>
      <c r="D37" s="172" t="s">
        <v>238</v>
      </c>
      <c r="E37" s="172" t="s">
        <v>239</v>
      </c>
      <c r="F37" s="172">
        <v>2.4848671393542102E-9</v>
      </c>
      <c r="G37" s="172">
        <v>6131.3320841089999</v>
      </c>
      <c r="H37" s="172">
        <v>58237.430040433697</v>
      </c>
      <c r="I37" s="172">
        <v>458660.58004305401</v>
      </c>
      <c r="J37" s="172">
        <v>908810.30818160798</v>
      </c>
      <c r="K37" s="172">
        <v>94582.726964208501</v>
      </c>
    </row>
    <row r="38" spans="2:11" hidden="1" x14ac:dyDescent="0.3">
      <c r="B38" s="172" t="s">
        <v>25</v>
      </c>
      <c r="C38" s="172" t="s">
        <v>237</v>
      </c>
      <c r="D38" s="172" t="s">
        <v>238</v>
      </c>
      <c r="E38" s="172" t="s">
        <v>72</v>
      </c>
      <c r="F38" s="172">
        <v>5.5613438836449102E-9</v>
      </c>
      <c r="G38" s="172">
        <v>70719.749124012204</v>
      </c>
      <c r="H38" s="172">
        <v>6676.6518936293196</v>
      </c>
      <c r="I38" s="172">
        <v>619020.71644832205</v>
      </c>
      <c r="J38" s="172">
        <v>99912.725574534605</v>
      </c>
      <c r="K38" s="172">
        <v>1012974.18695424</v>
      </c>
    </row>
    <row r="39" spans="2:11" hidden="1" x14ac:dyDescent="0.3">
      <c r="B39" s="172" t="s">
        <v>25</v>
      </c>
      <c r="C39" s="172" t="s">
        <v>237</v>
      </c>
      <c r="D39" s="172" t="s">
        <v>238</v>
      </c>
      <c r="E39" s="172" t="s">
        <v>239</v>
      </c>
      <c r="F39" s="172">
        <v>5.9395429405870598E-9</v>
      </c>
      <c r="G39" s="172">
        <v>70730.543595867799</v>
      </c>
      <c r="H39" s="172">
        <v>6680.4379722466401</v>
      </c>
      <c r="I39" s="172">
        <v>619120.87409152999</v>
      </c>
      <c r="J39" s="172">
        <v>122299.731587334</v>
      </c>
      <c r="K39" s="172">
        <v>1250021.9598374499</v>
      </c>
    </row>
    <row r="40" spans="2:11" x14ac:dyDescent="0.3">
      <c r="B40" s="172" t="s">
        <v>25</v>
      </c>
      <c r="C40" s="172" t="s">
        <v>240</v>
      </c>
      <c r="D40" s="172" t="s">
        <v>238</v>
      </c>
      <c r="E40" s="172" t="s">
        <v>72</v>
      </c>
      <c r="F40" s="172">
        <v>1.8922308239418098E-9</v>
      </c>
      <c r="G40" s="172">
        <v>6604.9769616673402</v>
      </c>
      <c r="H40" s="172">
        <v>62784.283935750202</v>
      </c>
      <c r="I40" s="172">
        <v>494130.44134228898</v>
      </c>
      <c r="J40" s="172">
        <v>908810.30818160297</v>
      </c>
      <c r="K40" s="172">
        <v>94582.726964212896</v>
      </c>
    </row>
    <row r="41" spans="2:11" hidden="1" x14ac:dyDescent="0.3">
      <c r="B41" s="172" t="s">
        <v>25</v>
      </c>
      <c r="C41" s="172" t="s">
        <v>240</v>
      </c>
      <c r="D41" s="172" t="s">
        <v>238</v>
      </c>
      <c r="E41" s="172" t="s">
        <v>239</v>
      </c>
      <c r="F41" s="172">
        <v>1.80546861333387E-9</v>
      </c>
      <c r="G41" s="172">
        <v>6605.61871484724</v>
      </c>
      <c r="H41" s="172">
        <v>62792.341018745603</v>
      </c>
      <c r="I41" s="172">
        <v>494312.91010316397</v>
      </c>
      <c r="J41" s="172">
        <v>1115654.6283692999</v>
      </c>
      <c r="K41" s="172">
        <v>116654.482118197</v>
      </c>
    </row>
    <row r="42" spans="2:11" hidden="1" x14ac:dyDescent="0.3">
      <c r="B42" s="172" t="s">
        <v>24</v>
      </c>
      <c r="C42" s="172" t="s">
        <v>237</v>
      </c>
      <c r="D42" s="172" t="s">
        <v>238</v>
      </c>
      <c r="E42" s="172" t="s">
        <v>72</v>
      </c>
      <c r="F42" s="172">
        <v>6.1634693646703296E-9</v>
      </c>
      <c r="G42" s="172">
        <v>74692.176830029406</v>
      </c>
      <c r="H42" s="172">
        <v>7008.6817243974101</v>
      </c>
      <c r="I42" s="172">
        <v>653047.85086432903</v>
      </c>
      <c r="J42" s="172">
        <v>122299.731587332</v>
      </c>
      <c r="K42" s="172">
        <v>1250021.9598374399</v>
      </c>
    </row>
    <row r="43" spans="2:11" hidden="1" x14ac:dyDescent="0.3">
      <c r="B43" s="172" t="s">
        <v>24</v>
      </c>
      <c r="C43" s="172" t="s">
        <v>237</v>
      </c>
      <c r="D43" s="172" t="s">
        <v>238</v>
      </c>
      <c r="E43" s="172" t="s">
        <v>239</v>
      </c>
      <c r="F43" s="172">
        <v>6.3351671590120704E-9</v>
      </c>
      <c r="G43" s="172">
        <v>74699.770480853593</v>
      </c>
      <c r="H43" s="172">
        <v>7011.1144253624598</v>
      </c>
      <c r="I43" s="172">
        <v>653114.047521075</v>
      </c>
      <c r="J43" s="172">
        <v>145754.137762561</v>
      </c>
      <c r="K43" s="172">
        <v>1499734.72876647</v>
      </c>
    </row>
    <row r="44" spans="2:11" x14ac:dyDescent="0.3">
      <c r="B44" s="172" t="s">
        <v>24</v>
      </c>
      <c r="C44" s="172" t="s">
        <v>240</v>
      </c>
      <c r="D44" s="172" t="s">
        <v>238</v>
      </c>
      <c r="E44" s="172" t="s">
        <v>72</v>
      </c>
      <c r="F44" s="172">
        <v>1.0001613223115999E-9</v>
      </c>
      <c r="G44" s="172">
        <v>6978.4481225277405</v>
      </c>
      <c r="H44" s="172">
        <v>66437.341421861696</v>
      </c>
      <c r="I44" s="172">
        <v>522583.75061977602</v>
      </c>
      <c r="J44" s="172">
        <v>1115654.6283692999</v>
      </c>
      <c r="K44" s="172">
        <v>116654.4821182</v>
      </c>
    </row>
    <row r="45" spans="2:11" hidden="1" x14ac:dyDescent="0.3">
      <c r="B45" s="172" t="s">
        <v>24</v>
      </c>
      <c r="C45" s="172" t="s">
        <v>240</v>
      </c>
      <c r="D45" s="172" t="s">
        <v>238</v>
      </c>
      <c r="E45" s="172" t="s">
        <v>239</v>
      </c>
      <c r="F45" s="172">
        <v>8.3758974026913901E-10</v>
      </c>
      <c r="G45" s="172">
        <v>6978.8992057718597</v>
      </c>
      <c r="H45" s="172">
        <v>66443.104085194194</v>
      </c>
      <c r="I45" s="172">
        <v>522713.90729311301</v>
      </c>
      <c r="J45" s="172">
        <v>1333800.5769023499</v>
      </c>
      <c r="K45" s="172">
        <v>139912.79282739401</v>
      </c>
    </row>
    <row r="46" spans="2:11" hidden="1" x14ac:dyDescent="0.3">
      <c r="B46" s="172" t="s">
        <v>22</v>
      </c>
      <c r="C46" s="172" t="s">
        <v>237</v>
      </c>
      <c r="D46" s="172" t="s">
        <v>238</v>
      </c>
      <c r="E46" s="172" t="s">
        <v>72</v>
      </c>
      <c r="F46" s="172">
        <v>6.5053641302651998E-9</v>
      </c>
      <c r="G46" s="172">
        <v>77051.717124941395</v>
      </c>
      <c r="H46" s="172">
        <v>7197.69065853339</v>
      </c>
      <c r="I46" s="172">
        <v>672786.193372529</v>
      </c>
      <c r="J46" s="172">
        <v>145754.13776255801</v>
      </c>
      <c r="K46" s="172">
        <v>1499734.72876647</v>
      </c>
    </row>
    <row r="47" spans="2:11" hidden="1" x14ac:dyDescent="0.3">
      <c r="B47" s="172" t="s">
        <v>22</v>
      </c>
      <c r="C47" s="172" t="s">
        <v>237</v>
      </c>
      <c r="D47" s="172" t="s">
        <v>238</v>
      </c>
      <c r="E47" s="172" t="s">
        <v>239</v>
      </c>
      <c r="F47" s="172">
        <v>6.4833100831465098E-9</v>
      </c>
      <c r="G47" s="172">
        <v>77054.608194612898</v>
      </c>
      <c r="H47" s="172">
        <v>7198.4504680906803</v>
      </c>
      <c r="I47" s="172">
        <v>672807.78690565098</v>
      </c>
      <c r="J47" s="172">
        <v>173397.29840155199</v>
      </c>
      <c r="K47" s="172">
        <v>1795231.4923212901</v>
      </c>
    </row>
    <row r="48" spans="2:11" x14ac:dyDescent="0.3">
      <c r="B48" s="172" t="s">
        <v>22</v>
      </c>
      <c r="C48" s="172" t="s">
        <v>240</v>
      </c>
      <c r="D48" s="172" t="s">
        <v>238</v>
      </c>
      <c r="E48" s="172" t="s">
        <v>72</v>
      </c>
      <c r="F48" s="172">
        <v>7.5757731271893098E-10</v>
      </c>
      <c r="G48" s="172">
        <v>7198.2824992506103</v>
      </c>
      <c r="H48" s="172">
        <v>68629.608573384103</v>
      </c>
      <c r="I48" s="172">
        <v>539763.33686655504</v>
      </c>
      <c r="J48" s="172">
        <v>1333800.5769023499</v>
      </c>
      <c r="K48" s="172">
        <v>139912.79282739401</v>
      </c>
    </row>
    <row r="49" spans="2:11" hidden="1" x14ac:dyDescent="0.3">
      <c r="B49" s="172" t="s">
        <v>22</v>
      </c>
      <c r="C49" s="172" t="s">
        <v>240</v>
      </c>
      <c r="D49" s="172" t="s">
        <v>238</v>
      </c>
      <c r="E49" s="172" t="s">
        <v>239</v>
      </c>
      <c r="F49" s="172">
        <v>7.1531602440180701E-10</v>
      </c>
      <c r="G49" s="172">
        <v>7198.4503941487601</v>
      </c>
      <c r="H49" s="172">
        <v>68631.658063040493</v>
      </c>
      <c r="I49" s="172">
        <v>539809.70559928904</v>
      </c>
      <c r="J49" s="172">
        <v>1592863.0922109999</v>
      </c>
      <c r="K49" s="172">
        <v>167453.41294555101</v>
      </c>
    </row>
    <row r="50" spans="2:11" x14ac:dyDescent="0.3">
      <c r="B50" s="75"/>
      <c r="C50" s="75"/>
      <c r="D50" s="75"/>
      <c r="E50" s="75"/>
      <c r="F50" s="75"/>
      <c r="G50" s="75"/>
      <c r="H50" s="75"/>
      <c r="I50" s="75"/>
      <c r="J50" s="75"/>
      <c r="K50" s="75"/>
    </row>
    <row r="51" spans="2:11" x14ac:dyDescent="0.3">
      <c r="B51" s="75"/>
      <c r="C51" s="75"/>
      <c r="D51" s="75"/>
      <c r="E51" s="75"/>
      <c r="F51" s="75"/>
      <c r="G51" s="75"/>
      <c r="H51" s="75"/>
      <c r="I51" s="75"/>
      <c r="J51" s="75"/>
      <c r="K51" s="75"/>
    </row>
    <row r="52" spans="2:11" x14ac:dyDescent="0.3">
      <c r="B52" s="75"/>
      <c r="C52" s="75"/>
      <c r="D52" s="75"/>
      <c r="E52" s="75"/>
      <c r="F52" s="75"/>
      <c r="G52" s="75"/>
      <c r="H52" s="75"/>
      <c r="I52" s="75"/>
      <c r="J52" s="75"/>
      <c r="K52" s="75"/>
    </row>
    <row r="53" spans="2:11" x14ac:dyDescent="0.3">
      <c r="B53" s="75"/>
      <c r="C53" s="75"/>
      <c r="D53" s="75"/>
      <c r="E53" s="75"/>
      <c r="F53" s="75"/>
      <c r="G53" s="75"/>
      <c r="H53" s="75"/>
      <c r="I53" s="75"/>
      <c r="J53" s="75"/>
      <c r="K53" s="75"/>
    </row>
  </sheetData>
  <autoFilter ref="B5:K49">
    <filterColumn colId="1">
      <filters>
        <filter val="ESPECTRO Y"/>
      </filters>
    </filterColumn>
    <filterColumn colId="3">
      <filters>
        <filter val="Top"/>
      </filters>
    </filterColumn>
  </autoFilter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ESPECTRO_FUERZAS">
                <anchor moveWithCells="1" sizeWithCells="1">
                  <from>
                    <xdr:col>11</xdr:col>
                    <xdr:colOff>693420</xdr:colOff>
                    <xdr:row>3</xdr:row>
                    <xdr:rowOff>99060</xdr:rowOff>
                  </from>
                  <to>
                    <xdr:col>15</xdr:col>
                    <xdr:colOff>38100</xdr:colOff>
                    <xdr:row>13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B2:Q76"/>
  <sheetViews>
    <sheetView zoomScale="80" zoomScaleNormal="80" workbookViewId="0">
      <selection activeCell="O34" sqref="O34:P44"/>
    </sheetView>
  </sheetViews>
  <sheetFormatPr baseColWidth="10" defaultRowHeight="14.4" x14ac:dyDescent="0.3"/>
  <cols>
    <col min="3" max="3" width="17.109375" customWidth="1"/>
    <col min="4" max="4" width="10" customWidth="1"/>
    <col min="5" max="5" width="17.6640625" customWidth="1"/>
    <col min="6" max="6" width="16.5546875" customWidth="1"/>
    <col min="12" max="12" width="15.33203125" customWidth="1"/>
    <col min="13" max="13" width="14.88671875" customWidth="1"/>
    <col min="14" max="14" width="18.109375" customWidth="1"/>
    <col min="16" max="16" width="14.5546875" customWidth="1"/>
  </cols>
  <sheetData>
    <row r="2" spans="2:17" x14ac:dyDescent="0.3">
      <c r="B2" s="167" t="s">
        <v>195</v>
      </c>
      <c r="C2" s="168"/>
      <c r="D2" s="168"/>
      <c r="E2" s="168"/>
      <c r="F2" s="168"/>
      <c r="G2" s="168"/>
      <c r="H2" s="168"/>
      <c r="I2" s="168"/>
      <c r="J2" s="168"/>
      <c r="K2" s="168"/>
      <c r="L2" s="168"/>
      <c r="M2" s="168"/>
      <c r="N2" s="168"/>
      <c r="O2" s="168"/>
      <c r="P2" s="168"/>
      <c r="Q2" s="168"/>
    </row>
    <row r="3" spans="2:17" x14ac:dyDescent="0.3">
      <c r="B3" s="169" t="s">
        <v>196</v>
      </c>
      <c r="C3" s="169" t="s">
        <v>197</v>
      </c>
      <c r="D3" s="169" t="s">
        <v>42</v>
      </c>
      <c r="E3" s="169" t="s">
        <v>198</v>
      </c>
      <c r="F3" s="169" t="s">
        <v>199</v>
      </c>
      <c r="G3" s="169" t="s">
        <v>200</v>
      </c>
      <c r="H3" s="169" t="s">
        <v>201</v>
      </c>
      <c r="I3" s="169" t="s">
        <v>202</v>
      </c>
      <c r="J3" s="169" t="s">
        <v>203</v>
      </c>
      <c r="K3" s="169" t="s">
        <v>204</v>
      </c>
      <c r="L3" s="169" t="s">
        <v>205</v>
      </c>
      <c r="M3" s="169" t="s">
        <v>206</v>
      </c>
      <c r="N3" s="169" t="s">
        <v>207</v>
      </c>
      <c r="O3" s="169" t="s">
        <v>208</v>
      </c>
      <c r="P3" s="169" t="s">
        <v>209</v>
      </c>
      <c r="Q3" s="170" t="s">
        <v>210</v>
      </c>
    </row>
    <row r="4" spans="2:17" x14ac:dyDescent="0.3">
      <c r="B4" s="173"/>
      <c r="C4" s="173"/>
      <c r="D4" s="173"/>
      <c r="E4" s="173"/>
      <c r="F4" s="173" t="s">
        <v>211</v>
      </c>
      <c r="G4" s="173"/>
      <c r="H4" s="173"/>
      <c r="I4" s="173"/>
      <c r="J4" s="173"/>
      <c r="K4" s="173"/>
      <c r="L4" s="173"/>
      <c r="M4" s="173" t="s">
        <v>212</v>
      </c>
      <c r="N4" s="173"/>
      <c r="O4" s="173" t="s">
        <v>43</v>
      </c>
      <c r="P4" s="173" t="s">
        <v>43</v>
      </c>
      <c r="Q4" s="174" t="s">
        <v>43</v>
      </c>
    </row>
    <row r="5" spans="2:17" x14ac:dyDescent="0.3">
      <c r="B5" s="172" t="s">
        <v>213</v>
      </c>
      <c r="C5" s="172" t="s">
        <v>214</v>
      </c>
      <c r="D5" s="172" t="s">
        <v>215</v>
      </c>
      <c r="E5" s="172" t="s">
        <v>216</v>
      </c>
      <c r="F5" s="172">
        <v>0.03</v>
      </c>
      <c r="G5" s="172" t="s">
        <v>189</v>
      </c>
      <c r="H5" s="172" t="s">
        <v>44</v>
      </c>
      <c r="I5" s="172">
        <v>12</v>
      </c>
      <c r="J5" s="172">
        <v>0.28000000000000003</v>
      </c>
      <c r="K5" s="172">
        <v>1.5</v>
      </c>
      <c r="L5" s="172">
        <v>1</v>
      </c>
      <c r="M5" s="172">
        <v>1.3692828856413599</v>
      </c>
      <c r="N5" s="172">
        <v>1.5205679022529499</v>
      </c>
      <c r="O5" s="172">
        <v>2423920.6705500502</v>
      </c>
      <c r="P5" s="172">
        <v>86000.505949069804</v>
      </c>
      <c r="Q5" s="172">
        <v>8243.1314666791495</v>
      </c>
    </row>
    <row r="6" spans="2:17" x14ac:dyDescent="0.3">
      <c r="B6" s="172" t="s">
        <v>217</v>
      </c>
      <c r="C6" s="172" t="s">
        <v>214</v>
      </c>
      <c r="D6" s="172" t="s">
        <v>218</v>
      </c>
      <c r="E6" s="172" t="s">
        <v>216</v>
      </c>
      <c r="F6" s="172">
        <v>0.03</v>
      </c>
      <c r="G6" s="172" t="s">
        <v>189</v>
      </c>
      <c r="H6" s="172" t="s">
        <v>44</v>
      </c>
      <c r="I6" s="172">
        <v>12</v>
      </c>
      <c r="J6" s="172">
        <v>0.28000000000000003</v>
      </c>
      <c r="K6" s="172">
        <v>1.5</v>
      </c>
      <c r="L6" s="172">
        <v>1</v>
      </c>
      <c r="M6" s="172">
        <v>1.5483333462848501</v>
      </c>
      <c r="N6" s="172">
        <v>1.4009575000382299</v>
      </c>
      <c r="O6" s="172">
        <v>2423920.6705500502</v>
      </c>
      <c r="P6" s="172">
        <v>79235.563001111805</v>
      </c>
      <c r="Q6" s="172">
        <v>8587.8145084393109</v>
      </c>
    </row>
    <row r="7" spans="2:17" x14ac:dyDescent="0.3">
      <c r="B7" s="199" t="s">
        <v>192</v>
      </c>
      <c r="C7" s="199"/>
      <c r="D7">
        <v>38.5</v>
      </c>
      <c r="E7" t="s">
        <v>7</v>
      </c>
      <c r="H7" t="s">
        <v>119</v>
      </c>
      <c r="I7">
        <f>+(1.25*K5)/M7^(2/3)</f>
        <v>1.7281700817164016</v>
      </c>
      <c r="L7" t="s">
        <v>55</v>
      </c>
      <c r="M7">
        <f>+F6*POWER(D7*3.28,3/4)</f>
        <v>1.1301138167587033</v>
      </c>
    </row>
    <row r="8" spans="2:17" x14ac:dyDescent="0.3">
      <c r="H8" t="s">
        <v>120</v>
      </c>
      <c r="I8">
        <f>+(J5*I7)/I5</f>
        <v>4.0323968573382711E-2</v>
      </c>
      <c r="L8" t="s">
        <v>56</v>
      </c>
      <c r="M8">
        <f>+M7*1.4</f>
        <v>1.5821593434621846</v>
      </c>
    </row>
    <row r="9" spans="2:17" s="13" customFormat="1" x14ac:dyDescent="0.3">
      <c r="H9" s="13" t="s">
        <v>121</v>
      </c>
      <c r="I9" s="13">
        <f>0.8*I8</f>
        <v>3.225917485870617E-2</v>
      </c>
      <c r="J9" s="13" t="s">
        <v>122</v>
      </c>
    </row>
    <row r="10" spans="2:17" s="13" customFormat="1" x14ac:dyDescent="0.3">
      <c r="C10" s="200" t="s">
        <v>125</v>
      </c>
      <c r="D10" s="200"/>
      <c r="E10" s="200" t="s">
        <v>124</v>
      </c>
      <c r="F10" s="200"/>
      <c r="G10" s="200"/>
      <c r="H10" s="9" t="s">
        <v>126</v>
      </c>
      <c r="I10" s="9">
        <f>+$I$9*O5</f>
        <v>78193.680754906381</v>
      </c>
      <c r="J10" s="9" t="s">
        <v>123</v>
      </c>
      <c r="K10" s="103" t="str">
        <f>+IF(I10&gt;N51,"USAR TA","USAR  TB")</f>
        <v>USAR TA</v>
      </c>
      <c r="L10" s="101"/>
      <c r="M10" s="101"/>
      <c r="N10" s="101"/>
    </row>
    <row r="11" spans="2:17" s="100" customFormat="1" ht="15" thickBot="1" x14ac:dyDescent="0.35">
      <c r="C11" s="200" t="s">
        <v>125</v>
      </c>
      <c r="D11" s="200"/>
      <c r="E11" s="200" t="s">
        <v>124</v>
      </c>
      <c r="F11" s="200"/>
      <c r="G11" s="200"/>
      <c r="H11" s="9" t="s">
        <v>127</v>
      </c>
      <c r="I11" s="9">
        <f>+$I$9*O6</f>
        <v>78193.680754906381</v>
      </c>
      <c r="J11" s="9" t="s">
        <v>123</v>
      </c>
      <c r="K11" s="103" t="str">
        <f>+IF(I11&gt;N52,"USAR TA","USAR TB")</f>
        <v>USAR TA</v>
      </c>
      <c r="L11" s="102"/>
      <c r="M11" s="102"/>
      <c r="N11" s="102"/>
    </row>
    <row r="12" spans="2:17" x14ac:dyDescent="0.3">
      <c r="B12" s="120" t="s">
        <v>45</v>
      </c>
      <c r="C12" s="121"/>
      <c r="D12" s="121"/>
      <c r="E12" s="121"/>
      <c r="F12" s="121"/>
      <c r="G12" s="121"/>
      <c r="H12" s="121"/>
      <c r="I12" s="121"/>
      <c r="J12" s="121"/>
      <c r="L12" s="197" t="s">
        <v>61</v>
      </c>
      <c r="M12" s="197"/>
      <c r="N12" s="197"/>
      <c r="O12" s="29" t="s">
        <v>67</v>
      </c>
      <c r="P12" s="17"/>
    </row>
    <row r="13" spans="2:17" x14ac:dyDescent="0.3">
      <c r="B13" s="122" t="s">
        <v>9</v>
      </c>
      <c r="C13" s="122" t="s">
        <v>46</v>
      </c>
      <c r="D13" s="122" t="s">
        <v>47</v>
      </c>
      <c r="E13" s="122" t="s">
        <v>48</v>
      </c>
      <c r="F13" s="122" t="s">
        <v>49</v>
      </c>
      <c r="G13" s="122" t="s">
        <v>50</v>
      </c>
      <c r="H13" s="122" t="s">
        <v>51</v>
      </c>
      <c r="I13" s="122" t="s">
        <v>52</v>
      </c>
      <c r="J13" s="123" t="s">
        <v>53</v>
      </c>
      <c r="L13" s="197" t="s">
        <v>64</v>
      </c>
      <c r="M13" s="28" t="s">
        <v>62</v>
      </c>
      <c r="N13" s="28" t="s">
        <v>63</v>
      </c>
      <c r="O13" s="31" t="s">
        <v>62</v>
      </c>
      <c r="P13" s="32" t="s">
        <v>63</v>
      </c>
    </row>
    <row r="14" spans="2:17" x14ac:dyDescent="0.3">
      <c r="B14" s="124"/>
      <c r="C14" s="124"/>
      <c r="D14" s="124"/>
      <c r="E14" s="124" t="s">
        <v>43</v>
      </c>
      <c r="F14" s="124" t="s">
        <v>43</v>
      </c>
      <c r="G14" s="124" t="s">
        <v>43</v>
      </c>
      <c r="H14" s="124" t="s">
        <v>54</v>
      </c>
      <c r="I14" s="124" t="s">
        <v>54</v>
      </c>
      <c r="J14" s="125" t="s">
        <v>54</v>
      </c>
      <c r="L14" s="197"/>
      <c r="M14" s="27" t="s">
        <v>41</v>
      </c>
      <c r="N14" s="27" t="s">
        <v>41</v>
      </c>
      <c r="O14" s="33" t="s">
        <v>41</v>
      </c>
      <c r="P14" s="34" t="s">
        <v>41</v>
      </c>
    </row>
    <row r="15" spans="2:17" x14ac:dyDescent="0.3">
      <c r="B15" s="172" t="s">
        <v>189</v>
      </c>
      <c r="C15" s="172" t="s">
        <v>237</v>
      </c>
      <c r="D15" s="172" t="s">
        <v>72</v>
      </c>
      <c r="E15" s="172">
        <v>1.6718846215303699E-10</v>
      </c>
      <c r="F15" s="172">
        <v>913.03172058891005</v>
      </c>
      <c r="G15" s="172">
        <v>385.70295928081202</v>
      </c>
      <c r="H15" s="172">
        <v>8377.3000013821293</v>
      </c>
      <c r="I15" s="172">
        <v>4.8189779362390002E-10</v>
      </c>
      <c r="J15" s="172">
        <v>2.7526336498682001E-9</v>
      </c>
      <c r="K15" s="166"/>
      <c r="L15" s="166" t="s">
        <v>189</v>
      </c>
      <c r="M15">
        <f>+F15</f>
        <v>913.03172058891005</v>
      </c>
      <c r="N15">
        <f>+G15</f>
        <v>385.70295928081202</v>
      </c>
      <c r="O15" s="18">
        <f t="shared" ref="O15:P19" si="0">+M15*$O$55</f>
        <v>926.56352827369153</v>
      </c>
      <c r="P15" s="19">
        <f t="shared" si="0"/>
        <v>391.41936337800217</v>
      </c>
    </row>
    <row r="16" spans="2:17" x14ac:dyDescent="0.3">
      <c r="B16" s="172" t="s">
        <v>187</v>
      </c>
      <c r="C16" s="172" t="s">
        <v>237</v>
      </c>
      <c r="D16" s="172" t="s">
        <v>72</v>
      </c>
      <c r="E16" s="172">
        <v>6.6441893937966396E-10</v>
      </c>
      <c r="F16" s="172">
        <v>12165.2056675435</v>
      </c>
      <c r="G16" s="172">
        <v>1423.3007117628799</v>
      </c>
      <c r="H16" s="172">
        <v>105581.00420547801</v>
      </c>
      <c r="I16" s="172">
        <v>1157.10887784178</v>
      </c>
      <c r="J16" s="172">
        <v>2739.0951617565402</v>
      </c>
      <c r="K16" s="166"/>
      <c r="L16" s="166" t="s">
        <v>187</v>
      </c>
      <c r="M16" s="13">
        <f>+F16-F15</f>
        <v>11252.17394695459</v>
      </c>
      <c r="N16">
        <f>+G16-G15</f>
        <v>1037.5977524820678</v>
      </c>
      <c r="O16" s="18">
        <f t="shared" si="0"/>
        <v>11418.939515392549</v>
      </c>
      <c r="P16" s="19">
        <f t="shared" si="0"/>
        <v>1052.9757212033435</v>
      </c>
    </row>
    <row r="17" spans="2:16" x14ac:dyDescent="0.3">
      <c r="B17" s="172" t="s">
        <v>185</v>
      </c>
      <c r="C17" s="172" t="s">
        <v>237</v>
      </c>
      <c r="D17" s="172" t="s">
        <v>72</v>
      </c>
      <c r="E17" s="172">
        <v>6.4385693598018802E-10</v>
      </c>
      <c r="F17" s="172">
        <v>24774.3037359958</v>
      </c>
      <c r="G17" s="172">
        <v>2586.8882919565199</v>
      </c>
      <c r="H17" s="172">
        <v>215932.43105379899</v>
      </c>
      <c r="I17" s="172">
        <v>5971.0361762038301</v>
      </c>
      <c r="J17" s="172">
        <v>45272.561293393199</v>
      </c>
      <c r="K17" s="166"/>
      <c r="L17" s="166" t="s">
        <v>185</v>
      </c>
      <c r="M17" s="13">
        <f t="shared" ref="M17:M25" si="1">+F17-F16</f>
        <v>12609.0980684523</v>
      </c>
      <c r="N17" s="13">
        <f t="shared" ref="N17:N25" si="2">+G17-G16</f>
        <v>1163.58758019364</v>
      </c>
      <c r="O17" s="18">
        <f t="shared" si="0"/>
        <v>12795.974259381124</v>
      </c>
      <c r="P17" s="19">
        <f t="shared" si="0"/>
        <v>1180.8328116620764</v>
      </c>
    </row>
    <row r="18" spans="2:16" x14ac:dyDescent="0.3">
      <c r="B18" s="172" t="s">
        <v>183</v>
      </c>
      <c r="C18" s="172" t="s">
        <v>237</v>
      </c>
      <c r="D18" s="172" t="s">
        <v>72</v>
      </c>
      <c r="E18" s="172">
        <v>1.33997392213285E-9</v>
      </c>
      <c r="F18" s="172">
        <v>35545.4891025588</v>
      </c>
      <c r="G18" s="172">
        <v>3559.7472743324702</v>
      </c>
      <c r="H18" s="172">
        <v>310371.99986178702</v>
      </c>
      <c r="I18" s="172">
        <v>14902.7944931403</v>
      </c>
      <c r="J18" s="172">
        <v>131717.49643311099</v>
      </c>
      <c r="K18" s="166"/>
      <c r="L18" s="166" t="s">
        <v>183</v>
      </c>
      <c r="M18" s="13">
        <f t="shared" si="1"/>
        <v>10771.185366563001</v>
      </c>
      <c r="N18" s="13">
        <f t="shared" si="2"/>
        <v>972.85898237595029</v>
      </c>
      <c r="O18" s="18">
        <f t="shared" si="0"/>
        <v>10930.822327284859</v>
      </c>
      <c r="P18" s="19">
        <f t="shared" si="0"/>
        <v>987.27747447985257</v>
      </c>
    </row>
    <row r="19" spans="2:16" x14ac:dyDescent="0.3">
      <c r="B19" s="172" t="s">
        <v>181</v>
      </c>
      <c r="C19" s="172" t="s">
        <v>237</v>
      </c>
      <c r="D19" s="172" t="s">
        <v>72</v>
      </c>
      <c r="E19" s="172">
        <v>2.06503310931237E-9</v>
      </c>
      <c r="F19" s="172">
        <v>44744.321111970101</v>
      </c>
      <c r="G19" s="172">
        <v>4386.0852894300597</v>
      </c>
      <c r="H19" s="172">
        <v>391270.77189921698</v>
      </c>
      <c r="I19" s="172">
        <v>27187.421745224899</v>
      </c>
      <c r="J19" s="172">
        <v>255095.34345201301</v>
      </c>
      <c r="K19" s="166"/>
      <c r="L19" s="166" t="s">
        <v>181</v>
      </c>
      <c r="M19" s="13">
        <f t="shared" si="1"/>
        <v>9198.8320094113005</v>
      </c>
      <c r="N19" s="13">
        <f t="shared" si="2"/>
        <v>826.3380150975895</v>
      </c>
      <c r="O19" s="18">
        <f t="shared" si="0"/>
        <v>9335.1655264940127</v>
      </c>
      <c r="P19" s="19">
        <f t="shared" si="0"/>
        <v>838.58495772923459</v>
      </c>
    </row>
    <row r="20" spans="2:16" s="100" customFormat="1" x14ac:dyDescent="0.3">
      <c r="B20" s="172" t="s">
        <v>179</v>
      </c>
      <c r="C20" s="172" t="s">
        <v>237</v>
      </c>
      <c r="D20" s="172" t="s">
        <v>72</v>
      </c>
      <c r="E20" s="172">
        <v>3.0631336467185301E-9</v>
      </c>
      <c r="F20" s="172">
        <v>52680.436832806699</v>
      </c>
      <c r="G20" s="172">
        <v>5099.3156129367699</v>
      </c>
      <c r="H20" s="172">
        <v>461197.10507468402</v>
      </c>
      <c r="I20" s="172">
        <v>42223.872485000902</v>
      </c>
      <c r="J20" s="172">
        <v>409339.46698612103</v>
      </c>
      <c r="K20" s="166"/>
      <c r="L20" s="166" t="s">
        <v>179</v>
      </c>
      <c r="M20" s="113">
        <f t="shared" si="1"/>
        <v>7936.1157208365985</v>
      </c>
      <c r="N20" s="113">
        <f t="shared" si="2"/>
        <v>713.23032350671019</v>
      </c>
      <c r="O20" s="18">
        <f t="shared" ref="O20:O25" si="3">+M20*$O$55</f>
        <v>8053.7348454265575</v>
      </c>
      <c r="P20" s="19">
        <f t="shared" ref="P20:P25" si="4">+N20*$O$55</f>
        <v>723.80092620868652</v>
      </c>
    </row>
    <row r="21" spans="2:16" s="100" customFormat="1" x14ac:dyDescent="0.3">
      <c r="B21" s="172" t="s">
        <v>39</v>
      </c>
      <c r="C21" s="172" t="s">
        <v>237</v>
      </c>
      <c r="D21" s="172" t="s">
        <v>72</v>
      </c>
      <c r="E21" s="172">
        <v>3.9362801384721103E-9</v>
      </c>
      <c r="F21" s="172">
        <v>59578.266814943003</v>
      </c>
      <c r="G21" s="172">
        <v>5712.1621060125899</v>
      </c>
      <c r="H21" s="172">
        <v>521924.16160934803</v>
      </c>
      <c r="I21" s="172">
        <v>59579.385088111703</v>
      </c>
      <c r="J21" s="172">
        <v>589564.66070890799</v>
      </c>
      <c r="K21" s="166"/>
      <c r="L21" s="166" t="s">
        <v>39</v>
      </c>
      <c r="M21" s="113">
        <f t="shared" si="1"/>
        <v>6897.8299821363034</v>
      </c>
      <c r="N21" s="113">
        <f t="shared" si="2"/>
        <v>612.84649307582004</v>
      </c>
      <c r="O21" s="18">
        <f t="shared" si="3"/>
        <v>7000.0609415386589</v>
      </c>
      <c r="P21" s="19">
        <f t="shared" si="4"/>
        <v>621.92933291324186</v>
      </c>
    </row>
    <row r="22" spans="2:16" s="100" customFormat="1" x14ac:dyDescent="0.3">
      <c r="B22" s="172" t="s">
        <v>26</v>
      </c>
      <c r="C22" s="172" t="s">
        <v>237</v>
      </c>
      <c r="D22" s="172" t="s">
        <v>72</v>
      </c>
      <c r="E22" s="172">
        <v>4.6511945559869502E-9</v>
      </c>
      <c r="F22" s="172">
        <v>65605.7076368118</v>
      </c>
      <c r="G22" s="172">
        <v>6240.9499288381203</v>
      </c>
      <c r="H22" s="172">
        <v>574676.60367845104</v>
      </c>
      <c r="I22" s="172">
        <v>78904.620890563601</v>
      </c>
      <c r="J22" s="172">
        <v>791833.899675422</v>
      </c>
      <c r="K22" s="166"/>
      <c r="L22" s="166" t="s">
        <v>26</v>
      </c>
      <c r="M22" s="113">
        <f t="shared" si="1"/>
        <v>6027.4408218687968</v>
      </c>
      <c r="N22" s="113">
        <f t="shared" si="2"/>
        <v>528.78782282553038</v>
      </c>
      <c r="O22" s="18">
        <f t="shared" si="3"/>
        <v>6116.7719679765369</v>
      </c>
      <c r="P22" s="19">
        <f t="shared" si="4"/>
        <v>536.62485078761927</v>
      </c>
    </row>
    <row r="23" spans="2:16" s="100" customFormat="1" x14ac:dyDescent="0.3">
      <c r="B23" s="172" t="s">
        <v>25</v>
      </c>
      <c r="C23" s="172" t="s">
        <v>237</v>
      </c>
      <c r="D23" s="172" t="s">
        <v>72</v>
      </c>
      <c r="E23" s="172">
        <v>5.5613438836449102E-9</v>
      </c>
      <c r="F23" s="172">
        <v>70719.749124012204</v>
      </c>
      <c r="G23" s="172">
        <v>6676.6518936293196</v>
      </c>
      <c r="H23" s="172">
        <v>619020.71644832205</v>
      </c>
      <c r="I23" s="172">
        <v>99912.725574534605</v>
      </c>
      <c r="J23" s="172">
        <v>1012974.18695424</v>
      </c>
      <c r="K23" s="166"/>
      <c r="L23" s="166" t="s">
        <v>25</v>
      </c>
      <c r="M23" s="113">
        <f t="shared" si="1"/>
        <v>5114.0414872004039</v>
      </c>
      <c r="N23" s="113">
        <f t="shared" si="2"/>
        <v>435.70196479119932</v>
      </c>
      <c r="O23" s="18">
        <f t="shared" si="3"/>
        <v>5189.8353773098888</v>
      </c>
      <c r="P23" s="19">
        <f t="shared" si="4"/>
        <v>442.15939125567428</v>
      </c>
    </row>
    <row r="24" spans="2:16" s="100" customFormat="1" x14ac:dyDescent="0.3">
      <c r="B24" s="172" t="s">
        <v>24</v>
      </c>
      <c r="C24" s="172" t="s">
        <v>237</v>
      </c>
      <c r="D24" s="172" t="s">
        <v>72</v>
      </c>
      <c r="E24" s="172">
        <v>6.1634693646703296E-9</v>
      </c>
      <c r="F24" s="172">
        <v>74692.176830029406</v>
      </c>
      <c r="G24" s="172">
        <v>7008.6817243974101</v>
      </c>
      <c r="H24" s="172">
        <v>653047.85086432903</v>
      </c>
      <c r="I24" s="172">
        <v>122299.731587332</v>
      </c>
      <c r="J24" s="172">
        <v>1250021.9598374399</v>
      </c>
      <c r="K24" s="166"/>
      <c r="L24" s="166" t="s">
        <v>24</v>
      </c>
      <c r="M24" s="113">
        <f t="shared" si="1"/>
        <v>3972.4277060172026</v>
      </c>
      <c r="N24" s="113">
        <f t="shared" si="2"/>
        <v>332.02983076809051</v>
      </c>
      <c r="O24" s="18">
        <f t="shared" si="3"/>
        <v>4031.3020326669389</v>
      </c>
      <c r="P24" s="19">
        <f t="shared" si="4"/>
        <v>336.95075926843475</v>
      </c>
    </row>
    <row r="25" spans="2:16" s="100" customFormat="1" ht="15" thickBot="1" x14ac:dyDescent="0.35">
      <c r="B25" s="172" t="s">
        <v>22</v>
      </c>
      <c r="C25" s="172" t="s">
        <v>237</v>
      </c>
      <c r="D25" s="172" t="s">
        <v>72</v>
      </c>
      <c r="E25" s="172">
        <v>6.5053641302651998E-9</v>
      </c>
      <c r="F25" s="172">
        <v>77051.717124941395</v>
      </c>
      <c r="G25" s="172">
        <v>7197.69065853339</v>
      </c>
      <c r="H25" s="172">
        <v>672786.193372529</v>
      </c>
      <c r="I25" s="172">
        <v>145754.13776255801</v>
      </c>
      <c r="J25" s="172">
        <v>1499734.72876647</v>
      </c>
      <c r="K25" s="166"/>
      <c r="L25" s="166" t="s">
        <v>22</v>
      </c>
      <c r="M25" s="113">
        <f t="shared" si="1"/>
        <v>2359.5402949119889</v>
      </c>
      <c r="N25" s="113">
        <f t="shared" si="2"/>
        <v>189.00893413597987</v>
      </c>
      <c r="O25" s="30">
        <f t="shared" si="3"/>
        <v>2394.5104331615639</v>
      </c>
      <c r="P25" s="24">
        <f t="shared" si="4"/>
        <v>191.81018680854191</v>
      </c>
    </row>
    <row r="26" spans="2:16" s="100" customFormat="1" x14ac:dyDescent="0.3">
      <c r="B26" s="53"/>
      <c r="C26" s="53"/>
      <c r="D26" s="53"/>
      <c r="E26" s="53"/>
      <c r="F26" s="78"/>
      <c r="G26" s="53"/>
      <c r="H26" s="53"/>
      <c r="I26" s="53"/>
      <c r="J26" s="53"/>
      <c r="O26" s="14"/>
      <c r="P26" s="14"/>
    </row>
    <row r="27" spans="2:16" s="100" customFormat="1" x14ac:dyDescent="0.3">
      <c r="B27" s="53"/>
      <c r="C27" s="53"/>
      <c r="D27" s="53"/>
      <c r="E27" s="53"/>
      <c r="F27" s="78"/>
      <c r="G27" s="53"/>
      <c r="H27" s="53"/>
      <c r="I27" s="53"/>
      <c r="J27" s="53"/>
      <c r="O27" s="14"/>
      <c r="P27" s="14"/>
    </row>
    <row r="28" spans="2:16" s="100" customFormat="1" x14ac:dyDescent="0.3">
      <c r="B28" s="53"/>
      <c r="C28" s="53"/>
      <c r="D28" s="53"/>
      <c r="E28" s="53"/>
      <c r="F28" s="78"/>
      <c r="G28" s="53"/>
      <c r="H28" s="53"/>
      <c r="I28" s="53"/>
      <c r="J28" s="53"/>
      <c r="O28" s="14"/>
      <c r="P28" s="14"/>
    </row>
    <row r="30" spans="2:16" ht="15" thickBot="1" x14ac:dyDescent="0.35"/>
    <row r="31" spans="2:16" x14ac:dyDescent="0.3">
      <c r="B31" s="126" t="s">
        <v>45</v>
      </c>
      <c r="C31" s="127"/>
      <c r="D31" s="127"/>
      <c r="E31" s="127"/>
      <c r="F31" s="127"/>
      <c r="G31" s="127"/>
      <c r="H31" s="127"/>
      <c r="I31" s="127"/>
      <c r="J31" s="127"/>
      <c r="L31" s="197" t="s">
        <v>61</v>
      </c>
      <c r="M31" s="197"/>
      <c r="N31" s="197"/>
      <c r="O31" s="175" t="s">
        <v>66</v>
      </c>
      <c r="P31" s="176"/>
    </row>
    <row r="32" spans="2:16" x14ac:dyDescent="0.3">
      <c r="B32" s="128" t="s">
        <v>9</v>
      </c>
      <c r="C32" s="128" t="s">
        <v>46</v>
      </c>
      <c r="D32" s="128" t="s">
        <v>47</v>
      </c>
      <c r="E32" s="128" t="s">
        <v>48</v>
      </c>
      <c r="F32" s="128" t="s">
        <v>49</v>
      </c>
      <c r="G32" s="128" t="s">
        <v>50</v>
      </c>
      <c r="H32" s="128" t="s">
        <v>51</v>
      </c>
      <c r="I32" s="128" t="s">
        <v>52</v>
      </c>
      <c r="J32" s="129" t="s">
        <v>53</v>
      </c>
      <c r="L32" s="197" t="s">
        <v>65</v>
      </c>
      <c r="M32" s="28" t="s">
        <v>62</v>
      </c>
      <c r="N32" s="28" t="s">
        <v>63</v>
      </c>
      <c r="O32" s="31" t="s">
        <v>62</v>
      </c>
      <c r="P32" s="32" t="s">
        <v>63</v>
      </c>
    </row>
    <row r="33" spans="2:16" x14ac:dyDescent="0.3">
      <c r="B33" s="130"/>
      <c r="C33" s="130"/>
      <c r="D33" s="130"/>
      <c r="E33" s="130" t="s">
        <v>43</v>
      </c>
      <c r="F33" s="130" t="s">
        <v>43</v>
      </c>
      <c r="G33" s="130" t="s">
        <v>43</v>
      </c>
      <c r="H33" s="130" t="s">
        <v>54</v>
      </c>
      <c r="I33" s="130" t="s">
        <v>54</v>
      </c>
      <c r="J33" s="131" t="s">
        <v>54</v>
      </c>
      <c r="L33" s="197"/>
      <c r="M33" s="27" t="s">
        <v>41</v>
      </c>
      <c r="N33" s="27" t="s">
        <v>41</v>
      </c>
      <c r="O33" s="33" t="s">
        <v>41</v>
      </c>
      <c r="P33" s="34" t="s">
        <v>41</v>
      </c>
    </row>
    <row r="34" spans="2:16" x14ac:dyDescent="0.3">
      <c r="B34" s="172" t="s">
        <v>189</v>
      </c>
      <c r="C34" s="172" t="s">
        <v>240</v>
      </c>
      <c r="D34" s="172" t="s">
        <v>72</v>
      </c>
      <c r="E34" s="172">
        <v>3.6452209841081399E-10</v>
      </c>
      <c r="F34" s="172">
        <v>196.54872925944099</v>
      </c>
      <c r="G34" s="172">
        <v>779.26686620012197</v>
      </c>
      <c r="H34" s="172">
        <v>14430.710792816501</v>
      </c>
      <c r="I34" s="172">
        <v>1.06021094022491E-9</v>
      </c>
      <c r="J34" s="172">
        <v>6.9718815539245102E-9</v>
      </c>
      <c r="L34" s="113" t="s">
        <v>189</v>
      </c>
      <c r="M34" s="13">
        <f>+F34</f>
        <v>196.54872925944099</v>
      </c>
      <c r="N34" s="13">
        <f>+G34</f>
        <v>779.26686620012197</v>
      </c>
      <c r="O34" s="18">
        <f>+M34*$O$56</f>
        <v>223.93933038481006</v>
      </c>
      <c r="P34" s="19">
        <f>+N34*$O$56</f>
        <v>887.86379268612018</v>
      </c>
    </row>
    <row r="35" spans="2:16" x14ac:dyDescent="0.3">
      <c r="B35" s="172" t="s">
        <v>187</v>
      </c>
      <c r="C35" s="172" t="s">
        <v>240</v>
      </c>
      <c r="D35" s="172" t="s">
        <v>72</v>
      </c>
      <c r="E35" s="172">
        <v>2.4570087129162102E-9</v>
      </c>
      <c r="F35" s="172">
        <v>1143.9884324446</v>
      </c>
      <c r="G35" s="172">
        <v>11555.448131733299</v>
      </c>
      <c r="H35" s="172">
        <v>97269.361794414202</v>
      </c>
      <c r="I35" s="172">
        <v>2337.8005986029798</v>
      </c>
      <c r="J35" s="172">
        <v>589.64618777360101</v>
      </c>
      <c r="L35" s="113" t="s">
        <v>187</v>
      </c>
      <c r="M35" s="13">
        <f>+F35-F34</f>
        <v>947.43970318515903</v>
      </c>
      <c r="N35" s="13">
        <f>+G35-G34</f>
        <v>10776.181265533178</v>
      </c>
      <c r="O35" s="18">
        <f t="shared" ref="O35:P44" si="5">+M35*$O$56</f>
        <v>1079.4728284974472</v>
      </c>
      <c r="P35" s="19">
        <f t="shared" si="5"/>
        <v>12277.926322909152</v>
      </c>
    </row>
    <row r="36" spans="2:16" x14ac:dyDescent="0.3">
      <c r="B36" s="172" t="s">
        <v>185</v>
      </c>
      <c r="C36" s="172" t="s">
        <v>240</v>
      </c>
      <c r="D36" s="172" t="s">
        <v>72</v>
      </c>
      <c r="E36" s="172">
        <v>7.4604288451404304E-10</v>
      </c>
      <c r="F36" s="172">
        <v>2338.48319480081</v>
      </c>
      <c r="G36" s="172">
        <v>23204.8296848832</v>
      </c>
      <c r="H36" s="172">
        <v>186300.443189846</v>
      </c>
      <c r="I36" s="172">
        <v>42749.995482929597</v>
      </c>
      <c r="J36" s="172">
        <v>4256.5978416840599</v>
      </c>
      <c r="L36" s="113" t="s">
        <v>185</v>
      </c>
      <c r="M36" s="13">
        <f t="shared" ref="M36:M44" si="6">+F36-F35</f>
        <v>1194.49476235621</v>
      </c>
      <c r="N36" s="13">
        <f t="shared" ref="N36:N44" si="7">+G36-G35</f>
        <v>11649.3815531499</v>
      </c>
      <c r="O36" s="18">
        <f t="shared" si="5"/>
        <v>1360.9569404904394</v>
      </c>
      <c r="P36" s="19">
        <f t="shared" si="5"/>
        <v>13272.813893220522</v>
      </c>
    </row>
    <row r="37" spans="2:16" x14ac:dyDescent="0.3">
      <c r="B37" s="172" t="s">
        <v>183</v>
      </c>
      <c r="C37" s="172" t="s">
        <v>240</v>
      </c>
      <c r="D37" s="172" t="s">
        <v>72</v>
      </c>
      <c r="E37" s="172">
        <v>2.5643546417579699E-9</v>
      </c>
      <c r="F37" s="172">
        <v>3342.6270211137698</v>
      </c>
      <c r="G37" s="172">
        <v>32747.305649548602</v>
      </c>
      <c r="H37" s="172">
        <v>259909.14592724101</v>
      </c>
      <c r="I37" s="172">
        <v>123739.562379186</v>
      </c>
      <c r="J37" s="172">
        <v>12350.0017248146</v>
      </c>
      <c r="L37" s="113" t="s">
        <v>183</v>
      </c>
      <c r="M37" s="13">
        <f t="shared" si="6"/>
        <v>1004.1438263129598</v>
      </c>
      <c r="N37" s="13">
        <f t="shared" si="7"/>
        <v>9542.475964665402</v>
      </c>
      <c r="O37" s="18">
        <f t="shared" si="5"/>
        <v>1144.079114231994</v>
      </c>
      <c r="P37" s="19">
        <f t="shared" si="5"/>
        <v>10872.294549000089</v>
      </c>
    </row>
    <row r="38" spans="2:16" x14ac:dyDescent="0.3">
      <c r="B38" s="172" t="s">
        <v>181</v>
      </c>
      <c r="C38" s="172" t="s">
        <v>240</v>
      </c>
      <c r="D38" s="172" t="s">
        <v>72</v>
      </c>
      <c r="E38" s="172">
        <v>2.3163315064477402E-9</v>
      </c>
      <c r="F38" s="172">
        <v>4192.9225791176004</v>
      </c>
      <c r="G38" s="172">
        <v>40603.714627628098</v>
      </c>
      <c r="H38" s="172">
        <v>320799.661155337</v>
      </c>
      <c r="I38" s="172">
        <v>237261.17762277799</v>
      </c>
      <c r="J38" s="172">
        <v>23930.676100788402</v>
      </c>
      <c r="L38" s="113" t="s">
        <v>181</v>
      </c>
      <c r="M38" s="13">
        <f t="shared" si="6"/>
        <v>850.29555800383059</v>
      </c>
      <c r="N38" s="13">
        <f t="shared" si="7"/>
        <v>7856.4089780794966</v>
      </c>
      <c r="O38" s="18">
        <f t="shared" si="5"/>
        <v>968.79088766436223</v>
      </c>
      <c r="P38" s="19">
        <f t="shared" si="5"/>
        <v>8951.2609540100784</v>
      </c>
    </row>
    <row r="39" spans="2:16" s="100" customFormat="1" x14ac:dyDescent="0.3">
      <c r="B39" s="172" t="s">
        <v>179</v>
      </c>
      <c r="C39" s="172" t="s">
        <v>240</v>
      </c>
      <c r="D39" s="172" t="s">
        <v>72</v>
      </c>
      <c r="E39" s="172">
        <v>5.6887972205032204E-10</v>
      </c>
      <c r="F39" s="172">
        <v>4929.2555743838702</v>
      </c>
      <c r="G39" s="172">
        <v>47240.860387798901</v>
      </c>
      <c r="H39" s="172">
        <v>372435.45997250098</v>
      </c>
      <c r="I39" s="172">
        <v>376726.820422641</v>
      </c>
      <c r="J39" s="172">
        <v>38350.029637446103</v>
      </c>
      <c r="L39" s="113" t="s">
        <v>179</v>
      </c>
      <c r="M39" s="113">
        <f t="shared" si="6"/>
        <v>736.33299526626979</v>
      </c>
      <c r="N39" s="113">
        <f t="shared" si="7"/>
        <v>6637.1457601708025</v>
      </c>
      <c r="O39" s="18">
        <f t="shared" si="5"/>
        <v>838.94675138048228</v>
      </c>
      <c r="P39" s="19">
        <f t="shared" si="5"/>
        <v>7562.0838801614236</v>
      </c>
    </row>
    <row r="40" spans="2:16" s="100" customFormat="1" x14ac:dyDescent="0.3">
      <c r="B40" s="172" t="s">
        <v>39</v>
      </c>
      <c r="C40" s="172" t="s">
        <v>240</v>
      </c>
      <c r="D40" s="172" t="s">
        <v>72</v>
      </c>
      <c r="E40" s="172">
        <v>2.9430892892951701E-9</v>
      </c>
      <c r="F40" s="172">
        <v>5571.4503599792097</v>
      </c>
      <c r="G40" s="172">
        <v>53035.690981276101</v>
      </c>
      <c r="H40" s="172">
        <v>417647.72512556001</v>
      </c>
      <c r="I40" s="172">
        <v>537242.39612767496</v>
      </c>
      <c r="J40" s="172">
        <v>55150.910779543898</v>
      </c>
      <c r="L40" s="13" t="s">
        <v>39</v>
      </c>
      <c r="M40" s="113">
        <f t="shared" si="6"/>
        <v>642.19478559533945</v>
      </c>
      <c r="N40" s="113">
        <f t="shared" si="7"/>
        <v>5794.8305934771997</v>
      </c>
      <c r="O40" s="18">
        <f t="shared" si="5"/>
        <v>731.68964665758131</v>
      </c>
      <c r="P40" s="19">
        <f t="shared" si="5"/>
        <v>6602.385513689921</v>
      </c>
    </row>
    <row r="41" spans="2:16" s="100" customFormat="1" x14ac:dyDescent="0.3">
      <c r="B41" s="172" t="s">
        <v>26</v>
      </c>
      <c r="C41" s="172" t="s">
        <v>240</v>
      </c>
      <c r="D41" s="172" t="s">
        <v>72</v>
      </c>
      <c r="E41" s="172">
        <v>2.2747135410868098E-9</v>
      </c>
      <c r="F41" s="172">
        <v>6130.54558905261</v>
      </c>
      <c r="G41" s="172">
        <v>58227.881488466497</v>
      </c>
      <c r="H41" s="172">
        <v>458443.693881771</v>
      </c>
      <c r="I41" s="172">
        <v>715376.90446549095</v>
      </c>
      <c r="J41" s="172">
        <v>73990.321112586898</v>
      </c>
      <c r="L41" s="13" t="s">
        <v>26</v>
      </c>
      <c r="M41" s="113">
        <f t="shared" si="6"/>
        <v>559.09522907340033</v>
      </c>
      <c r="N41" s="113">
        <f t="shared" si="7"/>
        <v>5192.1905071903966</v>
      </c>
      <c r="O41" s="18">
        <f t="shared" si="5"/>
        <v>637.00951764879073</v>
      </c>
      <c r="P41" s="19">
        <f t="shared" si="5"/>
        <v>5915.76282274404</v>
      </c>
    </row>
    <row r="42" spans="2:16" s="100" customFormat="1" x14ac:dyDescent="0.3">
      <c r="B42" s="172" t="s">
        <v>25</v>
      </c>
      <c r="C42" s="172" t="s">
        <v>240</v>
      </c>
      <c r="D42" s="172" t="s">
        <v>72</v>
      </c>
      <c r="E42" s="172">
        <v>1.8922308239418098E-9</v>
      </c>
      <c r="F42" s="172">
        <v>6604.9769616673402</v>
      </c>
      <c r="G42" s="172">
        <v>62784.283935750202</v>
      </c>
      <c r="H42" s="172">
        <v>494130.44134228898</v>
      </c>
      <c r="I42" s="172">
        <v>908810.30818160297</v>
      </c>
      <c r="J42" s="172">
        <v>94582.726964212896</v>
      </c>
      <c r="L42" s="13" t="s">
        <v>25</v>
      </c>
      <c r="M42" s="113">
        <f t="shared" si="6"/>
        <v>474.43137261473021</v>
      </c>
      <c r="N42" s="113">
        <f t="shared" si="7"/>
        <v>4556.4024472837045</v>
      </c>
      <c r="O42" s="18">
        <f t="shared" si="5"/>
        <v>540.54709128467027</v>
      </c>
      <c r="P42" s="19">
        <f t="shared" si="5"/>
        <v>5191.3727290577781</v>
      </c>
    </row>
    <row r="43" spans="2:16" s="100" customFormat="1" x14ac:dyDescent="0.3">
      <c r="B43" s="172" t="s">
        <v>24</v>
      </c>
      <c r="C43" s="172" t="s">
        <v>240</v>
      </c>
      <c r="D43" s="172" t="s">
        <v>72</v>
      </c>
      <c r="E43" s="172">
        <v>1.0001613223115999E-9</v>
      </c>
      <c r="F43" s="172">
        <v>6978.4481225277405</v>
      </c>
      <c r="G43" s="172">
        <v>66437.341421861696</v>
      </c>
      <c r="H43" s="172">
        <v>522583.75061977602</v>
      </c>
      <c r="I43" s="172">
        <v>1115654.6283692999</v>
      </c>
      <c r="J43" s="172">
        <v>116654.4821182</v>
      </c>
      <c r="L43" s="13" t="s">
        <v>24</v>
      </c>
      <c r="M43" s="113">
        <f t="shared" si="6"/>
        <v>373.47116086040023</v>
      </c>
      <c r="N43" s="113">
        <f t="shared" si="7"/>
        <v>3653.0574861114947</v>
      </c>
      <c r="O43" s="18">
        <f t="shared" si="5"/>
        <v>425.51728518539079</v>
      </c>
      <c r="P43" s="19">
        <f t="shared" si="5"/>
        <v>4162.1395894002253</v>
      </c>
    </row>
    <row r="44" spans="2:16" s="100" customFormat="1" ht="15" thickBot="1" x14ac:dyDescent="0.35">
      <c r="B44" s="172" t="s">
        <v>22</v>
      </c>
      <c r="C44" s="172" t="s">
        <v>240</v>
      </c>
      <c r="D44" s="172" t="s">
        <v>72</v>
      </c>
      <c r="E44" s="172">
        <v>7.5757731271893098E-10</v>
      </c>
      <c r="F44" s="172">
        <v>7198.2824992506103</v>
      </c>
      <c r="G44" s="172">
        <v>68629.608573384103</v>
      </c>
      <c r="H44" s="172">
        <v>539763.33686655504</v>
      </c>
      <c r="I44" s="172">
        <v>1333800.5769023499</v>
      </c>
      <c r="J44" s="172">
        <v>139912.79282739401</v>
      </c>
      <c r="L44" s="13" t="s">
        <v>22</v>
      </c>
      <c r="M44" s="113">
        <f t="shared" si="6"/>
        <v>219.83437672286982</v>
      </c>
      <c r="N44" s="113">
        <f t="shared" si="7"/>
        <v>2192.2671515224065</v>
      </c>
      <c r="O44" s="30">
        <f t="shared" si="5"/>
        <v>250.47001476106902</v>
      </c>
      <c r="P44" s="24">
        <f t="shared" si="5"/>
        <v>2497.7767080270305</v>
      </c>
    </row>
    <row r="45" spans="2:16" s="100" customFormat="1" x14ac:dyDescent="0.3">
      <c r="B45" s="53"/>
      <c r="C45" s="53"/>
      <c r="D45" s="53"/>
      <c r="E45" s="53"/>
      <c r="F45" s="53"/>
      <c r="G45" s="78"/>
      <c r="H45" s="53"/>
      <c r="I45" s="53"/>
      <c r="J45" s="53"/>
      <c r="O45" s="14"/>
      <c r="P45" s="14"/>
    </row>
    <row r="46" spans="2:16" s="100" customFormat="1" x14ac:dyDescent="0.3">
      <c r="B46" s="53"/>
      <c r="C46" s="53"/>
      <c r="D46" s="53"/>
      <c r="E46" s="53"/>
      <c r="F46" s="53"/>
      <c r="G46" s="78"/>
      <c r="H46" s="53"/>
      <c r="I46" s="53"/>
      <c r="J46" s="53"/>
      <c r="O46" s="14"/>
      <c r="P46" s="14"/>
    </row>
    <row r="48" spans="2:16" ht="15" thickBot="1" x14ac:dyDescent="0.35"/>
    <row r="49" spans="2:16" x14ac:dyDescent="0.3">
      <c r="B49" s="97"/>
      <c r="C49" s="75"/>
      <c r="D49" s="75"/>
      <c r="E49" s="75"/>
      <c r="F49" s="75"/>
      <c r="G49" s="75"/>
      <c r="L49" s="201" t="s">
        <v>57</v>
      </c>
      <c r="M49" s="202"/>
      <c r="N49" s="202"/>
      <c r="O49" s="202"/>
      <c r="P49" s="105"/>
    </row>
    <row r="50" spans="2:16" x14ac:dyDescent="0.3">
      <c r="B50" s="98"/>
      <c r="C50" s="98"/>
      <c r="D50" s="98"/>
      <c r="E50" s="98"/>
      <c r="F50" s="98"/>
      <c r="G50" s="76"/>
      <c r="L50" s="18"/>
      <c r="M50" s="14" t="s">
        <v>128</v>
      </c>
      <c r="N50" s="15" t="s">
        <v>41</v>
      </c>
      <c r="O50" s="14"/>
      <c r="P50" s="106" t="s">
        <v>41</v>
      </c>
    </row>
    <row r="51" spans="2:16" x14ac:dyDescent="0.3">
      <c r="B51" s="99"/>
      <c r="C51" s="99"/>
      <c r="D51" s="99"/>
      <c r="E51" s="99"/>
      <c r="F51" s="99"/>
      <c r="G51" s="77"/>
      <c r="L51" s="20" t="s">
        <v>49</v>
      </c>
      <c r="M51" s="104" t="s">
        <v>58</v>
      </c>
      <c r="N51" s="14">
        <f>+P5*0.9</f>
        <v>77400.455354162827</v>
      </c>
      <c r="O51" s="14" t="str">
        <f>+K10</f>
        <v>USAR TA</v>
      </c>
      <c r="P51" s="107">
        <f>+IF(O51="USAR TA",(I10),N51)</f>
        <v>78193.680754906381</v>
      </c>
    </row>
    <row r="52" spans="2:16" x14ac:dyDescent="0.3">
      <c r="B52" s="75"/>
      <c r="C52" s="75"/>
      <c r="D52" s="75"/>
      <c r="E52" s="75"/>
      <c r="F52" s="75"/>
      <c r="G52" s="75"/>
      <c r="L52" s="20" t="s">
        <v>50</v>
      </c>
      <c r="M52" s="104" t="s">
        <v>59</v>
      </c>
      <c r="N52" s="14">
        <f>+P6*0.9</f>
        <v>71312.006701000631</v>
      </c>
      <c r="O52" s="14" t="str">
        <f>+K11</f>
        <v>USAR TA</v>
      </c>
      <c r="P52" s="107">
        <f>+IF(O52="USAR TB",(N52),I11)</f>
        <v>78193.680754906381</v>
      </c>
    </row>
    <row r="53" spans="2:16" x14ac:dyDescent="0.3">
      <c r="B53" s="75"/>
      <c r="C53" s="75"/>
      <c r="D53" s="75"/>
      <c r="E53" s="75"/>
      <c r="F53" s="75"/>
      <c r="G53" s="75"/>
      <c r="L53" s="18"/>
      <c r="M53" s="14"/>
      <c r="N53" s="14"/>
      <c r="O53" s="14"/>
      <c r="P53" s="19"/>
    </row>
    <row r="54" spans="2:16" x14ac:dyDescent="0.3">
      <c r="B54" s="75"/>
      <c r="C54" s="75"/>
      <c r="D54" s="75"/>
      <c r="E54" s="75"/>
      <c r="F54" s="75"/>
      <c r="G54" s="75"/>
      <c r="L54" s="25" t="s">
        <v>60</v>
      </c>
      <c r="M54" s="15" t="s">
        <v>41</v>
      </c>
      <c r="N54" s="14"/>
      <c r="O54" s="14"/>
      <c r="P54" s="19"/>
    </row>
    <row r="55" spans="2:16" x14ac:dyDescent="0.3">
      <c r="B55" s="75"/>
      <c r="C55" s="75"/>
      <c r="D55" s="75"/>
      <c r="E55" s="75"/>
      <c r="F55" s="75"/>
      <c r="G55" s="75"/>
      <c r="L55" s="21" t="s">
        <v>49</v>
      </c>
      <c r="M55" s="15">
        <f>+F25</f>
        <v>77051.717124941395</v>
      </c>
      <c r="N55" s="16" t="str">
        <f>+IF(M55&lt;P51,"ESCALAR",N51)</f>
        <v>ESCALAR</v>
      </c>
      <c r="O55" s="14">
        <f>+IF(N55="ESCALAR",(P51/M55))</f>
        <v>1.0148207421271775</v>
      </c>
      <c r="P55" s="19">
        <f>+M55*O55</f>
        <v>78193.680754906381</v>
      </c>
    </row>
    <row r="56" spans="2:16" ht="15" thickBot="1" x14ac:dyDescent="0.35">
      <c r="B56" s="75"/>
      <c r="C56" s="75"/>
      <c r="D56" s="75"/>
      <c r="E56" s="75"/>
      <c r="F56" s="75"/>
      <c r="G56" s="75"/>
      <c r="L56" s="22" t="s">
        <v>50</v>
      </c>
      <c r="M56" s="26">
        <f>+G44</f>
        <v>68629.608573384103</v>
      </c>
      <c r="N56" s="112" t="str">
        <f>+IF(M56&lt;P52,"ESCALAR",M56)</f>
        <v>ESCALAR</v>
      </c>
      <c r="O56" s="23">
        <f>+IF(N56="ESCALAR",(P52/M56))</f>
        <v>1.1393578133451778</v>
      </c>
      <c r="P56" s="24">
        <f>+M56*O56</f>
        <v>78193.680754906381</v>
      </c>
    </row>
    <row r="57" spans="2:16" x14ac:dyDescent="0.3">
      <c r="B57" s="75"/>
      <c r="C57" s="75"/>
      <c r="D57" s="75"/>
      <c r="E57" s="75"/>
      <c r="F57" s="75"/>
      <c r="G57" s="75"/>
    </row>
    <row r="58" spans="2:16" x14ac:dyDescent="0.3">
      <c r="B58" s="75"/>
      <c r="C58" s="75"/>
      <c r="D58" s="75"/>
      <c r="E58" s="75"/>
      <c r="F58" s="75"/>
      <c r="G58" s="75"/>
    </row>
    <row r="59" spans="2:16" x14ac:dyDescent="0.3">
      <c r="B59" s="167" t="s">
        <v>219</v>
      </c>
      <c r="C59" s="168"/>
      <c r="D59" s="168"/>
      <c r="E59" s="168"/>
      <c r="F59" s="168"/>
      <c r="G59" s="168"/>
      <c r="H59" s="168"/>
      <c r="I59" s="168"/>
      <c r="J59" s="168"/>
      <c r="K59" s="168"/>
      <c r="L59" s="168"/>
      <c r="M59" s="168"/>
      <c r="N59" s="168"/>
      <c r="O59" s="168"/>
      <c r="P59" s="168"/>
    </row>
    <row r="60" spans="2:16" x14ac:dyDescent="0.3">
      <c r="B60" s="169" t="s">
        <v>220</v>
      </c>
      <c r="C60" s="169" t="s">
        <v>221</v>
      </c>
      <c r="D60" s="169" t="s">
        <v>222</v>
      </c>
      <c r="E60" s="169" t="s">
        <v>223</v>
      </c>
      <c r="F60" s="169" t="s">
        <v>224</v>
      </c>
      <c r="G60" s="169" t="s">
        <v>225</v>
      </c>
      <c r="H60" s="169" t="s">
        <v>226</v>
      </c>
      <c r="I60" s="169" t="s">
        <v>227</v>
      </c>
      <c r="J60" s="169" t="s">
        <v>228</v>
      </c>
      <c r="K60" s="169" t="s">
        <v>229</v>
      </c>
      <c r="L60" s="169" t="s">
        <v>230</v>
      </c>
      <c r="M60" s="169" t="s">
        <v>231</v>
      </c>
      <c r="N60" s="169" t="s">
        <v>232</v>
      </c>
      <c r="O60" s="169" t="s">
        <v>233</v>
      </c>
      <c r="P60" s="170" t="s">
        <v>234</v>
      </c>
    </row>
    <row r="61" spans="2:16" x14ac:dyDescent="0.3">
      <c r="B61" s="173"/>
      <c r="C61" s="173"/>
      <c r="D61" s="173" t="s">
        <v>212</v>
      </c>
      <c r="E61" s="173"/>
      <c r="F61" s="173"/>
      <c r="G61" s="173"/>
      <c r="H61" s="173"/>
      <c r="I61" s="173"/>
      <c r="J61" s="173"/>
      <c r="K61" s="173"/>
      <c r="L61" s="173"/>
      <c r="M61" s="173"/>
      <c r="N61" s="173"/>
      <c r="O61" s="173"/>
      <c r="P61" s="174"/>
    </row>
    <row r="62" spans="2:16" x14ac:dyDescent="0.3">
      <c r="B62" s="172" t="s">
        <v>235</v>
      </c>
      <c r="C62" s="172">
        <v>1</v>
      </c>
      <c r="D62" s="172">
        <v>1.5483333462848501</v>
      </c>
      <c r="E62" s="172">
        <v>4.6274117814684998E-3</v>
      </c>
      <c r="F62" s="172">
        <v>0.795503284320903</v>
      </c>
      <c r="G62" s="172">
        <v>0</v>
      </c>
      <c r="H62" s="172">
        <v>4.6274117814684998E-3</v>
      </c>
      <c r="I62" s="172">
        <v>0.795503284320903</v>
      </c>
      <c r="J62" s="172">
        <v>0</v>
      </c>
      <c r="K62" s="172">
        <v>0.185712964923128</v>
      </c>
      <c r="L62" s="172">
        <v>9.1952434255741799E-4</v>
      </c>
      <c r="M62" s="172">
        <v>1.8294567898970798E-2</v>
      </c>
      <c r="N62" s="172">
        <v>0.185712964923128</v>
      </c>
      <c r="O62" s="172">
        <v>9.1952434255741799E-4</v>
      </c>
      <c r="P62" s="172">
        <v>1.8294567898970798E-2</v>
      </c>
    </row>
    <row r="63" spans="2:16" x14ac:dyDescent="0.3">
      <c r="B63" s="172" t="s">
        <v>235</v>
      </c>
      <c r="C63" s="172">
        <v>2</v>
      </c>
      <c r="D63" s="172">
        <v>1.3692828856413599</v>
      </c>
      <c r="E63" s="172">
        <v>0.79056675956490197</v>
      </c>
      <c r="F63" s="172">
        <v>8.4094679326244502E-3</v>
      </c>
      <c r="G63" s="172">
        <v>0</v>
      </c>
      <c r="H63" s="172">
        <v>0.79519417134637105</v>
      </c>
      <c r="I63" s="172">
        <v>0.80391275225352699</v>
      </c>
      <c r="J63" s="172">
        <v>0</v>
      </c>
      <c r="K63" s="172">
        <v>2.5769060578019099E-3</v>
      </c>
      <c r="L63" s="172">
        <v>0.166627339671992</v>
      </c>
      <c r="M63" s="172">
        <v>3.2218029957078703E-2</v>
      </c>
      <c r="N63" s="172">
        <v>0.188289870980929</v>
      </c>
      <c r="O63" s="172">
        <v>0.16754686401454899</v>
      </c>
      <c r="P63" s="172">
        <v>5.0512597856049501E-2</v>
      </c>
    </row>
    <row r="64" spans="2:16" x14ac:dyDescent="0.3">
      <c r="B64" s="172" t="s">
        <v>235</v>
      </c>
      <c r="C64" s="172">
        <v>3</v>
      </c>
      <c r="D64" s="172">
        <v>1.18487097700397</v>
      </c>
      <c r="E64" s="172">
        <v>3.5643826050430899E-2</v>
      </c>
      <c r="F64" s="172">
        <v>1.12033623625079E-2</v>
      </c>
      <c r="G64" s="172">
        <v>0</v>
      </c>
      <c r="H64" s="172">
        <v>0.83083799739680197</v>
      </c>
      <c r="I64" s="172">
        <v>0.81511611461603495</v>
      </c>
      <c r="J64" s="172">
        <v>0</v>
      </c>
      <c r="K64" s="172">
        <v>8.0729860238877797E-3</v>
      </c>
      <c r="L64" s="172">
        <v>1.0219988582832899E-2</v>
      </c>
      <c r="M64" s="172">
        <v>0.77105974210476302</v>
      </c>
      <c r="N64" s="172">
        <v>0.19636285700481701</v>
      </c>
      <c r="O64" s="172">
        <v>0.17776685259738201</v>
      </c>
      <c r="P64" s="172">
        <v>0.82157233996081203</v>
      </c>
    </row>
    <row r="65" spans="2:16" x14ac:dyDescent="0.3">
      <c r="B65" s="172" t="s">
        <v>235</v>
      </c>
      <c r="C65" s="172">
        <v>4</v>
      </c>
      <c r="D65" s="172">
        <v>0.50290388382384998</v>
      </c>
      <c r="E65" s="172">
        <v>6.5738097023925097E-4</v>
      </c>
      <c r="F65" s="172">
        <v>0.11094316544649301</v>
      </c>
      <c r="G65" s="172">
        <v>0</v>
      </c>
      <c r="H65" s="172">
        <v>0.83149537836704102</v>
      </c>
      <c r="I65" s="172">
        <v>0.92605928006252802</v>
      </c>
      <c r="J65" s="172">
        <v>0</v>
      </c>
      <c r="K65" s="172">
        <v>0.57976052238092302</v>
      </c>
      <c r="L65" s="172">
        <v>3.4708719329293002E-3</v>
      </c>
      <c r="M65" s="172">
        <v>1.2224079280010001E-3</v>
      </c>
      <c r="N65" s="172">
        <v>0.77612337938574005</v>
      </c>
      <c r="O65" s="172">
        <v>0.18123772453031101</v>
      </c>
      <c r="P65" s="172">
        <v>0.82279474788881302</v>
      </c>
    </row>
    <row r="66" spans="2:16" x14ac:dyDescent="0.3">
      <c r="B66" s="172" t="s">
        <v>235</v>
      </c>
      <c r="C66" s="172">
        <v>5</v>
      </c>
      <c r="D66" s="172">
        <v>0.45324969714064101</v>
      </c>
      <c r="E66" s="172">
        <v>0.100305066473276</v>
      </c>
      <c r="F66" s="172">
        <v>1.2129874854404699E-3</v>
      </c>
      <c r="G66" s="172">
        <v>0</v>
      </c>
      <c r="H66" s="172">
        <v>0.93180044484031699</v>
      </c>
      <c r="I66" s="172">
        <v>0.92727226754796899</v>
      </c>
      <c r="J66" s="172">
        <v>0</v>
      </c>
      <c r="K66" s="172">
        <v>6.2520371627039798E-3</v>
      </c>
      <c r="L66" s="172">
        <v>0.60502140196044596</v>
      </c>
      <c r="M66" s="172">
        <v>2.50639273969664E-3</v>
      </c>
      <c r="N66" s="172">
        <v>0.782375416548444</v>
      </c>
      <c r="O66" s="172">
        <v>0.78625912649075702</v>
      </c>
      <c r="P66" s="172">
        <v>0.82530114062851001</v>
      </c>
    </row>
    <row r="67" spans="2:16" x14ac:dyDescent="0.3">
      <c r="B67" s="172" t="s">
        <v>235</v>
      </c>
      <c r="C67" s="172">
        <v>6</v>
      </c>
      <c r="D67" s="172">
        <v>0.39064356139367801</v>
      </c>
      <c r="E67" s="172">
        <v>3.4581161615224098E-3</v>
      </c>
      <c r="F67" s="172">
        <v>2.93156862954525E-3</v>
      </c>
      <c r="G67" s="172">
        <v>0</v>
      </c>
      <c r="H67" s="172">
        <v>0.93525856100184002</v>
      </c>
      <c r="I67" s="172">
        <v>0.93020383617751401</v>
      </c>
      <c r="J67" s="172">
        <v>0</v>
      </c>
      <c r="K67" s="172">
        <v>1.1614153973421399E-2</v>
      </c>
      <c r="L67" s="172">
        <v>1.8618295676782901E-2</v>
      </c>
      <c r="M67" s="172">
        <v>0.10583535384165101</v>
      </c>
      <c r="N67" s="172">
        <v>0.79398957052186503</v>
      </c>
      <c r="O67" s="172">
        <v>0.80487742216753999</v>
      </c>
      <c r="P67" s="172">
        <v>0.931136494470161</v>
      </c>
    </row>
    <row r="68" spans="2:16" x14ac:dyDescent="0.3">
      <c r="B68" s="172" t="s">
        <v>235</v>
      </c>
      <c r="C68" s="172">
        <v>7</v>
      </c>
      <c r="D68" s="172">
        <v>0.28410120430335001</v>
      </c>
      <c r="E68" s="172">
        <v>3.45874014518918E-4</v>
      </c>
      <c r="F68" s="172">
        <v>3.2900339487311497E-2</v>
      </c>
      <c r="G68" s="172">
        <v>0</v>
      </c>
      <c r="H68" s="172">
        <v>0.93560443501635804</v>
      </c>
      <c r="I68" s="172">
        <v>0.96310417566482598</v>
      </c>
      <c r="J68" s="172">
        <v>0</v>
      </c>
      <c r="K68" s="172">
        <v>7.2120444559651206E-2</v>
      </c>
      <c r="L68" s="172">
        <v>7.8461955604126497E-4</v>
      </c>
      <c r="M68" s="172">
        <v>9.7378881127022998E-4</v>
      </c>
      <c r="N68" s="172">
        <v>0.86611001508151697</v>
      </c>
      <c r="O68" s="172">
        <v>0.80566204172358202</v>
      </c>
      <c r="P68" s="172">
        <v>0.93211028328143097</v>
      </c>
    </row>
    <row r="69" spans="2:16" x14ac:dyDescent="0.3">
      <c r="B69" s="172" t="s">
        <v>235</v>
      </c>
      <c r="C69" s="172">
        <v>8</v>
      </c>
      <c r="D69" s="172">
        <v>0.26231202933100201</v>
      </c>
      <c r="E69" s="172">
        <v>3.1244697411333799E-2</v>
      </c>
      <c r="F69" s="172">
        <v>5.54779765871569E-4</v>
      </c>
      <c r="G69" s="172">
        <v>0</v>
      </c>
      <c r="H69" s="172">
        <v>0.96684913242769199</v>
      </c>
      <c r="I69" s="172">
        <v>0.96365895543069702</v>
      </c>
      <c r="J69" s="172">
        <v>0</v>
      </c>
      <c r="K69" s="172">
        <v>1.15957640989643E-3</v>
      </c>
      <c r="L69" s="172">
        <v>6.4584296331884603E-2</v>
      </c>
      <c r="M69" s="172">
        <v>6.0573527029452096E-4</v>
      </c>
      <c r="N69" s="172">
        <v>0.86726959149141303</v>
      </c>
      <c r="O69" s="172">
        <v>0.87024633805546603</v>
      </c>
      <c r="P69" s="172">
        <v>0.93271601855172603</v>
      </c>
    </row>
    <row r="70" spans="2:16" x14ac:dyDescent="0.3">
      <c r="B70" s="172" t="s">
        <v>235</v>
      </c>
      <c r="C70" s="172">
        <v>9</v>
      </c>
      <c r="D70" s="172">
        <v>0.22330858090769801</v>
      </c>
      <c r="E70" s="172">
        <v>6.8456520423329904E-4</v>
      </c>
      <c r="F70" s="172">
        <v>9.3202068176997E-4</v>
      </c>
      <c r="G70" s="172">
        <v>0</v>
      </c>
      <c r="H70" s="172">
        <v>0.96753369763192598</v>
      </c>
      <c r="I70" s="172">
        <v>0.96459097611246702</v>
      </c>
      <c r="J70" s="172">
        <v>0</v>
      </c>
      <c r="K70" s="172">
        <v>1.7019791209315601E-3</v>
      </c>
      <c r="L70" s="172">
        <v>1.2971072805651E-3</v>
      </c>
      <c r="M70" s="172">
        <v>3.2264780059193199E-2</v>
      </c>
      <c r="N70" s="172">
        <v>0.86897157061234498</v>
      </c>
      <c r="O70" s="172">
        <v>0.87154344533603101</v>
      </c>
      <c r="P70" s="172">
        <v>0.96498079861091901</v>
      </c>
    </row>
    <row r="71" spans="2:16" x14ac:dyDescent="0.3">
      <c r="B71" s="172" t="s">
        <v>235</v>
      </c>
      <c r="C71" s="172">
        <v>10</v>
      </c>
      <c r="D71" s="172">
        <v>0.19664941119871901</v>
      </c>
      <c r="E71" s="172">
        <v>1.6004279865158101E-4</v>
      </c>
      <c r="F71" s="172">
        <v>1.5984202265075902E-2</v>
      </c>
      <c r="G71" s="172">
        <v>0</v>
      </c>
      <c r="H71" s="172">
        <v>0.96769374043057699</v>
      </c>
      <c r="I71" s="172">
        <v>0.98057517837754304</v>
      </c>
      <c r="J71" s="172">
        <v>0</v>
      </c>
      <c r="K71" s="172">
        <v>6.7844840015234095E-2</v>
      </c>
      <c r="L71" s="172">
        <v>6.5143512321867605E-4</v>
      </c>
      <c r="M71" s="172">
        <v>2.15579858793727E-4</v>
      </c>
      <c r="N71" s="172">
        <v>0.93681641062757903</v>
      </c>
      <c r="O71" s="172">
        <v>0.87219488045924998</v>
      </c>
      <c r="P71" s="172">
        <v>0.96519637846971296</v>
      </c>
    </row>
    <row r="72" spans="2:16" x14ac:dyDescent="0.3">
      <c r="B72" s="53"/>
      <c r="C72" s="53"/>
      <c r="D72" s="53"/>
      <c r="E72" s="108"/>
      <c r="F72" s="53"/>
      <c r="G72" s="53"/>
      <c r="H72" s="53"/>
      <c r="I72" s="53"/>
      <c r="J72" s="53"/>
      <c r="K72" s="53"/>
      <c r="L72" s="108"/>
      <c r="M72" s="108"/>
      <c r="N72" s="53"/>
      <c r="O72" s="53"/>
      <c r="P72" s="53"/>
    </row>
    <row r="73" spans="2:16" x14ac:dyDescent="0.3">
      <c r="B73" s="53"/>
      <c r="C73" s="53"/>
      <c r="D73" s="53"/>
      <c r="E73" s="53"/>
      <c r="F73" s="108"/>
      <c r="G73" s="53"/>
      <c r="H73" s="53"/>
      <c r="I73" s="53"/>
      <c r="J73" s="53"/>
      <c r="K73" s="108"/>
      <c r="L73" s="53"/>
      <c r="M73" s="53"/>
      <c r="N73" s="53"/>
      <c r="O73" s="53"/>
      <c r="P73" s="53"/>
    </row>
    <row r="74" spans="2:16" x14ac:dyDescent="0.3">
      <c r="B74" s="53"/>
      <c r="C74" s="53"/>
      <c r="D74" s="53"/>
      <c r="E74" s="53"/>
      <c r="F74" s="53"/>
      <c r="G74" s="53"/>
      <c r="H74" s="53"/>
      <c r="I74" s="53"/>
      <c r="J74" s="53"/>
      <c r="K74" s="53"/>
      <c r="L74" s="53"/>
      <c r="M74" s="53"/>
      <c r="N74" s="53"/>
      <c r="O74" s="53"/>
      <c r="P74" s="53"/>
    </row>
    <row r="75" spans="2:16" x14ac:dyDescent="0.3">
      <c r="B75" s="53"/>
      <c r="C75" s="53"/>
      <c r="D75" s="53"/>
      <c r="E75" s="108"/>
      <c r="F75" s="53"/>
      <c r="G75" s="53"/>
      <c r="H75" s="53"/>
      <c r="I75" s="53"/>
      <c r="J75" s="53"/>
      <c r="K75" s="53"/>
      <c r="L75" s="108"/>
      <c r="M75" s="53"/>
      <c r="N75" s="53"/>
      <c r="O75" s="53"/>
      <c r="P75" s="53"/>
    </row>
    <row r="76" spans="2:16" x14ac:dyDescent="0.3">
      <c r="B76" s="53"/>
      <c r="C76" s="53"/>
      <c r="D76" s="53"/>
      <c r="E76" s="53"/>
      <c r="F76" s="108"/>
      <c r="G76" s="53"/>
      <c r="H76" s="53"/>
      <c r="I76" s="53"/>
      <c r="J76" s="53"/>
      <c r="K76" s="108"/>
      <c r="L76" s="53"/>
      <c r="M76" s="53"/>
      <c r="N76" s="53"/>
      <c r="O76" s="53"/>
      <c r="P76" s="53"/>
    </row>
  </sheetData>
  <mergeCells count="10">
    <mergeCell ref="B7:C7"/>
    <mergeCell ref="C10:D10"/>
    <mergeCell ref="E10:G10"/>
    <mergeCell ref="L12:N12"/>
    <mergeCell ref="L49:O49"/>
    <mergeCell ref="L13:L14"/>
    <mergeCell ref="L32:L33"/>
    <mergeCell ref="L31:N31"/>
    <mergeCell ref="C11:D11"/>
    <mergeCell ref="E11:G11"/>
  </mergeCell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 filterMode="1"/>
  <dimension ref="B2:I53"/>
  <sheetViews>
    <sheetView workbookViewId="0">
      <selection activeCell="I39" sqref="I39:I49"/>
    </sheetView>
  </sheetViews>
  <sheetFormatPr baseColWidth="10" defaultRowHeight="14.4" x14ac:dyDescent="0.3"/>
  <sheetData>
    <row r="2" spans="2:9" x14ac:dyDescent="0.3">
      <c r="B2" s="167" t="s">
        <v>93</v>
      </c>
      <c r="C2" s="168"/>
      <c r="D2" s="168"/>
      <c r="E2" s="168"/>
      <c r="F2" s="168"/>
      <c r="G2" s="168"/>
      <c r="H2" s="168"/>
      <c r="I2" s="168"/>
    </row>
    <row r="3" spans="2:9" x14ac:dyDescent="0.3">
      <c r="B3" s="169" t="s">
        <v>9</v>
      </c>
      <c r="C3" s="169" t="s">
        <v>94</v>
      </c>
      <c r="D3" s="169" t="s">
        <v>244</v>
      </c>
      <c r="E3" s="169" t="s">
        <v>245</v>
      </c>
      <c r="F3" s="169" t="s">
        <v>95</v>
      </c>
      <c r="G3" s="169" t="s">
        <v>246</v>
      </c>
      <c r="H3" s="169" t="s">
        <v>247</v>
      </c>
      <c r="I3" s="170" t="s">
        <v>96</v>
      </c>
    </row>
    <row r="4" spans="2:9" x14ac:dyDescent="0.3">
      <c r="B4" s="173"/>
      <c r="C4" s="173"/>
      <c r="D4" s="173" t="s">
        <v>43</v>
      </c>
      <c r="E4" s="173" t="s">
        <v>7</v>
      </c>
      <c r="F4" s="173" t="s">
        <v>97</v>
      </c>
      <c r="G4" s="173" t="s">
        <v>43</v>
      </c>
      <c r="H4" s="173" t="s">
        <v>7</v>
      </c>
      <c r="I4" s="174" t="s">
        <v>97</v>
      </c>
    </row>
    <row r="5" spans="2:9" s="172" customFormat="1" x14ac:dyDescent="0.3">
      <c r="B5" s="27"/>
      <c r="C5" s="27"/>
      <c r="D5" s="27"/>
      <c r="E5" s="27"/>
      <c r="F5" s="27"/>
      <c r="G5" s="27"/>
      <c r="H5" s="27"/>
      <c r="I5" s="27"/>
    </row>
    <row r="6" spans="2:9" hidden="1" x14ac:dyDescent="0.3">
      <c r="B6" s="172" t="s">
        <v>189</v>
      </c>
      <c r="C6" s="172" t="s">
        <v>79</v>
      </c>
      <c r="D6" s="172">
        <v>926.56352836239</v>
      </c>
      <c r="E6" s="172">
        <v>6.6818142308462702E-4</v>
      </c>
      <c r="F6" s="172">
        <v>1386694.5358716401</v>
      </c>
      <c r="G6" s="172">
        <v>391.41936341469</v>
      </c>
      <c r="H6" s="172">
        <v>1.7879361164636399E-4</v>
      </c>
      <c r="I6" s="172">
        <v>2189224.5467297798</v>
      </c>
    </row>
    <row r="7" spans="2:9" hidden="1" x14ac:dyDescent="0.3">
      <c r="B7" s="172" t="s">
        <v>187</v>
      </c>
      <c r="C7" s="172" t="s">
        <v>79</v>
      </c>
      <c r="D7" s="172">
        <v>12345.503054000499</v>
      </c>
      <c r="E7" s="172">
        <v>9.6616617076412102E-4</v>
      </c>
      <c r="F7" s="172">
        <v>12777825.831178401</v>
      </c>
      <c r="G7" s="172">
        <v>1444.3950837098701</v>
      </c>
      <c r="H7" s="172">
        <v>1.76374930355866E-4</v>
      </c>
      <c r="I7" s="172">
        <v>8189344.6012738701</v>
      </c>
    </row>
    <row r="8" spans="2:9" hidden="1" x14ac:dyDescent="0.3">
      <c r="B8" s="172" t="s">
        <v>185</v>
      </c>
      <c r="C8" s="172" t="s">
        <v>79</v>
      </c>
      <c r="D8" s="172">
        <v>25141.4773243618</v>
      </c>
      <c r="E8" s="172">
        <v>1.4379364896490499E-3</v>
      </c>
      <c r="F8" s="172">
        <v>17484414.301564898</v>
      </c>
      <c r="G8" s="172">
        <v>2625.22789529187</v>
      </c>
      <c r="H8" s="172">
        <v>2.1815816005836501E-4</v>
      </c>
      <c r="I8" s="172">
        <v>12033599.3601593</v>
      </c>
    </row>
    <row r="9" spans="2:9" hidden="1" x14ac:dyDescent="0.3">
      <c r="B9" s="172" t="s">
        <v>183</v>
      </c>
      <c r="C9" s="172" t="s">
        <v>79</v>
      </c>
      <c r="D9" s="172">
        <v>36072.299659037999</v>
      </c>
      <c r="E9" s="172">
        <v>1.84490220297926E-3</v>
      </c>
      <c r="F9" s="172">
        <v>19552418.334579598</v>
      </c>
      <c r="G9" s="172">
        <v>3612.5053695156898</v>
      </c>
      <c r="H9" s="172">
        <v>2.6073666093221501E-4</v>
      </c>
      <c r="I9" s="172">
        <v>13854995.905063201</v>
      </c>
    </row>
    <row r="10" spans="2:9" hidden="1" x14ac:dyDescent="0.3">
      <c r="B10" s="172" t="s">
        <v>181</v>
      </c>
      <c r="C10" s="172" t="s">
        <v>79</v>
      </c>
      <c r="D10" s="172">
        <v>45407.465194029799</v>
      </c>
      <c r="E10" s="172">
        <v>2.1855502677161501E-3</v>
      </c>
      <c r="F10" s="172">
        <v>20776216.344581999</v>
      </c>
      <c r="G10" s="172">
        <v>4451.0903267748899</v>
      </c>
      <c r="H10" s="172">
        <v>2.9596874519572199E-4</v>
      </c>
      <c r="I10" s="172">
        <v>0</v>
      </c>
    </row>
    <row r="11" spans="2:9" hidden="1" x14ac:dyDescent="0.3">
      <c r="B11" s="172" t="s">
        <v>179</v>
      </c>
      <c r="C11" s="172" t="s">
        <v>79</v>
      </c>
      <c r="D11" s="172">
        <v>53461.2000454632</v>
      </c>
      <c r="E11" s="172">
        <v>2.5009407844705299E-3</v>
      </c>
      <c r="F11" s="172">
        <v>21376435.770661999</v>
      </c>
      <c r="G11" s="172">
        <v>5174.8912527212997</v>
      </c>
      <c r="H11" s="172">
        <v>3.1360984872398E-4</v>
      </c>
      <c r="I11" s="172">
        <v>0</v>
      </c>
    </row>
    <row r="12" spans="2:9" hidden="1" x14ac:dyDescent="0.3">
      <c r="B12" s="172" t="s">
        <v>39</v>
      </c>
      <c r="C12" s="172" t="s">
        <v>79</v>
      </c>
      <c r="D12" s="172">
        <v>60461.260993456999</v>
      </c>
      <c r="E12" s="172">
        <v>2.7303450009493399E-3</v>
      </c>
      <c r="F12" s="172">
        <v>22144183.600400198</v>
      </c>
      <c r="G12" s="172">
        <v>5796.8205853330101</v>
      </c>
      <c r="H12" s="172">
        <v>3.29425942418948E-4</v>
      </c>
      <c r="I12" s="172">
        <v>0</v>
      </c>
    </row>
    <row r="13" spans="2:9" hidden="1" x14ac:dyDescent="0.3">
      <c r="B13" s="172" t="s">
        <v>26</v>
      </c>
      <c r="C13" s="172" t="s">
        <v>79</v>
      </c>
      <c r="D13" s="172">
        <v>66578.032964587197</v>
      </c>
      <c r="E13" s="172">
        <v>2.9048523987629002E-3</v>
      </c>
      <c r="F13" s="172">
        <v>22919592.400956798</v>
      </c>
      <c r="G13" s="172">
        <v>6333.4454359323199</v>
      </c>
      <c r="H13" s="172">
        <v>3.5219759837525598E-4</v>
      </c>
      <c r="I13" s="172">
        <v>0</v>
      </c>
    </row>
    <row r="14" spans="2:9" hidden="1" x14ac:dyDescent="0.3">
      <c r="B14" s="172" t="s">
        <v>25</v>
      </c>
      <c r="C14" s="172" t="s">
        <v>79</v>
      </c>
      <c r="D14" s="172">
        <v>71767.868344979899</v>
      </c>
      <c r="E14" s="172">
        <v>3.0652256684653898E-3</v>
      </c>
      <c r="F14" s="172">
        <v>23413567.582745299</v>
      </c>
      <c r="G14" s="172">
        <v>6775.6048270517704</v>
      </c>
      <c r="H14" s="172">
        <v>3.80616231145688E-4</v>
      </c>
      <c r="I14" s="172">
        <v>0</v>
      </c>
    </row>
    <row r="15" spans="2:9" hidden="1" x14ac:dyDescent="0.3">
      <c r="B15" s="172" t="s">
        <v>24</v>
      </c>
      <c r="C15" s="172" t="s">
        <v>79</v>
      </c>
      <c r="D15" s="172">
        <v>75799.170380109295</v>
      </c>
      <c r="E15" s="172">
        <v>3.1425340114574702E-3</v>
      </c>
      <c r="F15" s="172">
        <v>24120397.7757283</v>
      </c>
      <c r="G15" s="172">
        <v>7112.5555862952097</v>
      </c>
      <c r="H15" s="172">
        <v>3.8509908901571799E-4</v>
      </c>
      <c r="I15" s="172">
        <v>0</v>
      </c>
    </row>
    <row r="16" spans="2:9" hidden="1" x14ac:dyDescent="0.3">
      <c r="B16" s="172" t="s">
        <v>22</v>
      </c>
      <c r="C16" s="172" t="s">
        <v>79</v>
      </c>
      <c r="D16" s="172">
        <v>78193.680814187202</v>
      </c>
      <c r="E16" s="172">
        <v>3.1062370217309798E-3</v>
      </c>
      <c r="F16" s="172">
        <v>25173121.132466901</v>
      </c>
      <c r="G16" s="172">
        <v>7304.36577304602</v>
      </c>
      <c r="H16" s="172">
        <v>3.4793499281815602E-4</v>
      </c>
      <c r="I16" s="172">
        <v>0</v>
      </c>
    </row>
    <row r="17" spans="2:9" hidden="1" x14ac:dyDescent="0.3">
      <c r="B17" s="172" t="s">
        <v>189</v>
      </c>
      <c r="C17" s="172" t="s">
        <v>80</v>
      </c>
      <c r="D17" s="172">
        <v>926.56352836924304</v>
      </c>
      <c r="E17" s="172">
        <v>7.1961495972198096E-4</v>
      </c>
      <c r="F17" s="172">
        <v>1287582.3603322699</v>
      </c>
      <c r="G17" s="172">
        <v>391.41936341916198</v>
      </c>
      <c r="H17" s="172">
        <v>3.2321912630318999E-4</v>
      </c>
      <c r="I17" s="172">
        <v>1211003.09841194</v>
      </c>
    </row>
    <row r="18" spans="2:9" hidden="1" x14ac:dyDescent="0.3">
      <c r="B18" s="172" t="s">
        <v>187</v>
      </c>
      <c r="C18" s="172" t="s">
        <v>80</v>
      </c>
      <c r="D18" s="172">
        <v>12345.5030537537</v>
      </c>
      <c r="E18" s="172">
        <v>9.5838031336653899E-4</v>
      </c>
      <c r="F18" s="172">
        <v>12881632.564411899</v>
      </c>
      <c r="G18" s="172">
        <v>1444.39508377681</v>
      </c>
      <c r="H18" s="172">
        <v>2.34266141082829E-4</v>
      </c>
      <c r="I18" s="172">
        <v>6165616.0685470998</v>
      </c>
    </row>
    <row r="19" spans="2:9" hidden="1" x14ac:dyDescent="0.3">
      <c r="B19" s="172" t="s">
        <v>185</v>
      </c>
      <c r="C19" s="172" t="s">
        <v>80</v>
      </c>
      <c r="D19" s="172">
        <v>25141.4773240916</v>
      </c>
      <c r="E19" s="172">
        <v>1.4483467691899399E-3</v>
      </c>
      <c r="F19" s="172">
        <v>17358741.607269399</v>
      </c>
      <c r="G19" s="172">
        <v>2625.2278954795802</v>
      </c>
      <c r="H19" s="172">
        <v>2.8592739597543501E-4</v>
      </c>
      <c r="I19" s="172">
        <v>9181449.3204600904</v>
      </c>
    </row>
    <row r="20" spans="2:9" hidden="1" x14ac:dyDescent="0.3">
      <c r="B20" s="172" t="s">
        <v>183</v>
      </c>
      <c r="C20" s="172" t="s">
        <v>80</v>
      </c>
      <c r="D20" s="172">
        <v>36072.299658785603</v>
      </c>
      <c r="E20" s="172">
        <v>1.8775573846515001E-3</v>
      </c>
      <c r="F20" s="172">
        <v>19212355.347254001</v>
      </c>
      <c r="G20" s="172">
        <v>3612.5053696847099</v>
      </c>
      <c r="H20" s="172">
        <v>3.2658959241638002E-4</v>
      </c>
      <c r="I20" s="172">
        <v>11061299.727760499</v>
      </c>
    </row>
    <row r="21" spans="2:9" hidden="1" x14ac:dyDescent="0.3">
      <c r="B21" s="172" t="s">
        <v>181</v>
      </c>
      <c r="C21" s="172" t="s">
        <v>80</v>
      </c>
      <c r="D21" s="172">
        <v>45407.465193790798</v>
      </c>
      <c r="E21" s="172">
        <v>2.2368944850890398E-3</v>
      </c>
      <c r="F21" s="172">
        <v>20299332.622290999</v>
      </c>
      <c r="G21" s="172">
        <v>4451.0903269931996</v>
      </c>
      <c r="H21" s="172">
        <v>3.59408271032239E-4</v>
      </c>
      <c r="I21" s="172">
        <v>0</v>
      </c>
    </row>
    <row r="22" spans="2:9" hidden="1" x14ac:dyDescent="0.3">
      <c r="B22" s="172" t="s">
        <v>179</v>
      </c>
      <c r="C22" s="172" t="s">
        <v>80</v>
      </c>
      <c r="D22" s="172">
        <v>53461.200045197103</v>
      </c>
      <c r="E22" s="172">
        <v>2.5567587430739801E-3</v>
      </c>
      <c r="F22" s="172">
        <v>20909755.443300501</v>
      </c>
      <c r="G22" s="172">
        <v>5174.8912530043199</v>
      </c>
      <c r="H22" s="172">
        <v>3.73663517466629E-4</v>
      </c>
      <c r="I22" s="172">
        <v>0</v>
      </c>
    </row>
    <row r="23" spans="2:9" hidden="1" x14ac:dyDescent="0.3">
      <c r="B23" s="172" t="s">
        <v>39</v>
      </c>
      <c r="C23" s="172" t="s">
        <v>80</v>
      </c>
      <c r="D23" s="172">
        <v>60461.260993172204</v>
      </c>
      <c r="E23" s="172">
        <v>2.7034863354304202E-3</v>
      </c>
      <c r="F23" s="172">
        <v>22364182.204585198</v>
      </c>
      <c r="G23" s="172">
        <v>5796.8205856332197</v>
      </c>
      <c r="H23" s="172">
        <v>3.8986605245365898E-4</v>
      </c>
      <c r="I23" s="172">
        <v>0</v>
      </c>
    </row>
    <row r="24" spans="2:9" hidden="1" x14ac:dyDescent="0.3">
      <c r="B24" s="172" t="s">
        <v>26</v>
      </c>
      <c r="C24" s="172" t="s">
        <v>80</v>
      </c>
      <c r="D24" s="172">
        <v>66578.032964124606</v>
      </c>
      <c r="E24" s="172">
        <v>2.89633856545812E-3</v>
      </c>
      <c r="F24" s="172">
        <v>22986964.907396398</v>
      </c>
      <c r="G24" s="172">
        <v>6333.4454362346096</v>
      </c>
      <c r="H24" s="172">
        <v>3.9822493311306899E-4</v>
      </c>
      <c r="I24" s="172">
        <v>0</v>
      </c>
    </row>
    <row r="25" spans="2:9" hidden="1" x14ac:dyDescent="0.3">
      <c r="B25" s="172" t="s">
        <v>25</v>
      </c>
      <c r="C25" s="172" t="s">
        <v>80</v>
      </c>
      <c r="D25" s="172">
        <v>71767.868344367103</v>
      </c>
      <c r="E25" s="172">
        <v>3.03159008231831E-3</v>
      </c>
      <c r="F25" s="172">
        <v>23673341.842273399</v>
      </c>
      <c r="G25" s="172">
        <v>6775.6048273796196</v>
      </c>
      <c r="H25" s="172">
        <v>3.9867066974485902E-4</v>
      </c>
      <c r="I25" s="172">
        <v>0</v>
      </c>
    </row>
    <row r="26" spans="2:9" hidden="1" x14ac:dyDescent="0.3">
      <c r="B26" s="172" t="s">
        <v>24</v>
      </c>
      <c r="C26" s="172" t="s">
        <v>80</v>
      </c>
      <c r="D26" s="172">
        <v>75799.170379348696</v>
      </c>
      <c r="E26" s="172">
        <v>3.08377714022081E-3</v>
      </c>
      <c r="F26" s="172">
        <v>24579976.740446702</v>
      </c>
      <c r="G26" s="172">
        <v>7112.5555866154</v>
      </c>
      <c r="H26" s="172">
        <v>3.8442398178974402E-4</v>
      </c>
      <c r="I26" s="172">
        <v>0</v>
      </c>
    </row>
    <row r="27" spans="2:9" hidden="1" x14ac:dyDescent="0.3">
      <c r="B27" s="172" t="s">
        <v>22</v>
      </c>
      <c r="C27" s="172" t="s">
        <v>80</v>
      </c>
      <c r="D27" s="172">
        <v>75799.170380421405</v>
      </c>
      <c r="E27" s="172">
        <v>2.9752755503613098E-3</v>
      </c>
      <c r="F27" s="172">
        <v>25476353.062900901</v>
      </c>
      <c r="G27" s="172">
        <v>7112.5555865681099</v>
      </c>
      <c r="H27" s="172">
        <v>3.3517312495201198E-4</v>
      </c>
      <c r="I27" s="172">
        <v>0</v>
      </c>
    </row>
    <row r="28" spans="2:9" hidden="1" x14ac:dyDescent="0.3">
      <c r="B28" s="172" t="s">
        <v>189</v>
      </c>
      <c r="C28" s="172" t="s">
        <v>81</v>
      </c>
      <c r="D28" s="172">
        <v>223.93933043076899</v>
      </c>
      <c r="E28" s="172">
        <v>2.32886027903864E-4</v>
      </c>
      <c r="F28" s="172">
        <v>961583.36524684599</v>
      </c>
      <c r="G28" s="172">
        <v>887.86379275290005</v>
      </c>
      <c r="H28" s="172">
        <v>1.5163849346043401E-3</v>
      </c>
      <c r="I28" s="172">
        <v>585513.46197894402</v>
      </c>
    </row>
    <row r="29" spans="2:9" hidden="1" x14ac:dyDescent="0.3">
      <c r="B29" s="172" t="s">
        <v>187</v>
      </c>
      <c r="C29" s="172" t="s">
        <v>81</v>
      </c>
      <c r="D29" s="172">
        <v>1303.41215849031</v>
      </c>
      <c r="E29" s="172">
        <v>2.3866401572704399E-4</v>
      </c>
      <c r="F29" s="172">
        <v>0</v>
      </c>
      <c r="G29" s="172">
        <v>13165.790108913199</v>
      </c>
      <c r="H29" s="172">
        <v>1.71945858002615E-3</v>
      </c>
      <c r="I29" s="172">
        <v>7656939.3772270698</v>
      </c>
    </row>
    <row r="30" spans="2:9" hidden="1" x14ac:dyDescent="0.3">
      <c r="B30" s="172" t="s">
        <v>185</v>
      </c>
      <c r="C30" s="172" t="s">
        <v>81</v>
      </c>
      <c r="D30" s="172">
        <v>2664.3690993476498</v>
      </c>
      <c r="E30" s="172">
        <v>2.5648967069839303E-4</v>
      </c>
      <c r="F30" s="172">
        <v>10387822.215580299</v>
      </c>
      <c r="G30" s="172">
        <v>26438.603998186401</v>
      </c>
      <c r="H30" s="172">
        <v>2.2881882039636901E-3</v>
      </c>
      <c r="I30" s="172">
        <v>11554383.4866329</v>
      </c>
    </row>
    <row r="31" spans="2:9" hidden="1" x14ac:dyDescent="0.3">
      <c r="B31" s="172" t="s">
        <v>183</v>
      </c>
      <c r="C31" s="172" t="s">
        <v>81</v>
      </c>
      <c r="D31" s="172">
        <v>3808.44821363356</v>
      </c>
      <c r="E31" s="172">
        <v>2.8699082052520099E-4</v>
      </c>
      <c r="F31" s="172">
        <v>13270278.8425916</v>
      </c>
      <c r="G31" s="172">
        <v>37310.898547504301</v>
      </c>
      <c r="H31" s="172">
        <v>2.7611590436360202E-3</v>
      </c>
      <c r="I31" s="172">
        <v>13512766.906165499</v>
      </c>
    </row>
    <row r="32" spans="2:9" hidden="1" x14ac:dyDescent="0.3">
      <c r="B32" s="172" t="s">
        <v>181</v>
      </c>
      <c r="C32" s="172" t="s">
        <v>81</v>
      </c>
      <c r="D32" s="172">
        <v>4777.2391021134799</v>
      </c>
      <c r="E32" s="172">
        <v>3.2182203222578002E-4</v>
      </c>
      <c r="F32" s="172">
        <v>14844350.677525699</v>
      </c>
      <c r="G32" s="172">
        <v>46262.159499677102</v>
      </c>
      <c r="H32" s="172">
        <v>3.1392264576426401E-3</v>
      </c>
      <c r="I32" s="172">
        <v>14736802.2421731</v>
      </c>
    </row>
    <row r="33" spans="2:9" hidden="1" x14ac:dyDescent="0.3">
      <c r="B33" s="172" t="s">
        <v>179</v>
      </c>
      <c r="C33" s="172" t="s">
        <v>81</v>
      </c>
      <c r="D33" s="172">
        <v>5616.1858540068797</v>
      </c>
      <c r="E33" s="172">
        <v>3.55570715669285E-4</v>
      </c>
      <c r="F33" s="172">
        <v>15794849.256456999</v>
      </c>
      <c r="G33" s="172">
        <v>53824.243379419197</v>
      </c>
      <c r="H33" s="172">
        <v>3.4331369350319302E-3</v>
      </c>
      <c r="I33" s="172">
        <v>15677860.917866001</v>
      </c>
    </row>
    <row r="34" spans="2:9" hidden="1" x14ac:dyDescent="0.3">
      <c r="B34" s="172" t="s">
        <v>39</v>
      </c>
      <c r="C34" s="172" t="s">
        <v>81</v>
      </c>
      <c r="D34" s="172">
        <v>6347.8755011773401</v>
      </c>
      <c r="E34" s="172">
        <v>3.4986054910391199E-4</v>
      </c>
      <c r="F34" s="172">
        <v>18144016.2871635</v>
      </c>
      <c r="G34" s="172">
        <v>60426.628892330198</v>
      </c>
      <c r="H34" s="172">
        <v>3.64708645348737E-3</v>
      </c>
      <c r="I34" s="172">
        <v>16568466.271083299</v>
      </c>
    </row>
    <row r="35" spans="2:9" hidden="1" x14ac:dyDescent="0.3">
      <c r="B35" s="172" t="s">
        <v>26</v>
      </c>
      <c r="C35" s="172" t="s">
        <v>81</v>
      </c>
      <c r="D35" s="172">
        <v>6984.8850188326196</v>
      </c>
      <c r="E35" s="172">
        <v>3.2787176593823599E-4</v>
      </c>
      <c r="F35" s="172">
        <v>21303710.000294499</v>
      </c>
      <c r="G35" s="172">
        <v>66342.391714726298</v>
      </c>
      <c r="H35" s="172">
        <v>3.8073567441849298E-3</v>
      </c>
      <c r="I35" s="172">
        <v>17424789.9979566</v>
      </c>
    </row>
    <row r="36" spans="2:9" hidden="1" x14ac:dyDescent="0.3">
      <c r="B36" s="172" t="s">
        <v>25</v>
      </c>
      <c r="C36" s="172" t="s">
        <v>81</v>
      </c>
      <c r="D36" s="172">
        <v>7525.4321102969297</v>
      </c>
      <c r="E36" s="172">
        <v>3.0444447435629699E-4</v>
      </c>
      <c r="F36" s="172">
        <v>24718570.1964483</v>
      </c>
      <c r="G36" s="172">
        <v>71533.764443099295</v>
      </c>
      <c r="H36" s="172">
        <v>3.8848512518882099E-3</v>
      </c>
      <c r="I36" s="172">
        <v>18413514.393461201</v>
      </c>
    </row>
    <row r="37" spans="2:9" hidden="1" x14ac:dyDescent="0.3">
      <c r="B37" s="172" t="s">
        <v>24</v>
      </c>
      <c r="C37" s="172" t="s">
        <v>81</v>
      </c>
      <c r="D37" s="172">
        <v>7950.9493955656499</v>
      </c>
      <c r="E37" s="172">
        <v>3.0223781482907602E-4</v>
      </c>
      <c r="F37" s="172">
        <v>26306931.182857201</v>
      </c>
      <c r="G37" s="172">
        <v>75695.9040321801</v>
      </c>
      <c r="H37" s="172">
        <v>3.8706875469593999E-3</v>
      </c>
      <c r="I37" s="172">
        <v>19556190.7578003</v>
      </c>
    </row>
    <row r="38" spans="2:9" hidden="1" x14ac:dyDescent="0.3">
      <c r="B38" s="172" t="s">
        <v>22</v>
      </c>
      <c r="C38" s="172" t="s">
        <v>81</v>
      </c>
      <c r="D38" s="172">
        <v>8201.4194104554208</v>
      </c>
      <c r="E38" s="172">
        <v>2.99174183462903E-4</v>
      </c>
      <c r="F38" s="172">
        <v>27413526.513300899</v>
      </c>
      <c r="G38" s="172">
        <v>78193.680740034397</v>
      </c>
      <c r="H38" s="172">
        <v>3.4931912455426202E-3</v>
      </c>
      <c r="I38" s="172">
        <v>22384597.7055539</v>
      </c>
    </row>
    <row r="39" spans="2:9" x14ac:dyDescent="0.3">
      <c r="B39" s="172" t="s">
        <v>189</v>
      </c>
      <c r="C39" s="172" t="s">
        <v>82</v>
      </c>
      <c r="D39" s="172">
        <v>223.939330420278</v>
      </c>
      <c r="E39" s="172">
        <v>1.65875867258107E-4</v>
      </c>
      <c r="F39" s="172">
        <v>1350041.65537728</v>
      </c>
      <c r="G39" s="172">
        <v>887.86379274604201</v>
      </c>
      <c r="H39" s="172">
        <v>1.3084990495188199E-3</v>
      </c>
      <c r="I39" s="172">
        <v>678536.06242399395</v>
      </c>
    </row>
    <row r="40" spans="2:9" x14ac:dyDescent="0.3">
      <c r="B40" s="172" t="s">
        <v>187</v>
      </c>
      <c r="C40" s="172" t="s">
        <v>82</v>
      </c>
      <c r="D40" s="172">
        <v>1303.41215881984</v>
      </c>
      <c r="E40" s="172">
        <v>1.12258807266961E-4</v>
      </c>
      <c r="F40" s="172">
        <v>0</v>
      </c>
      <c r="G40" s="172">
        <v>13165.7901088156</v>
      </c>
      <c r="H40" s="172">
        <v>1.6225214435176001E-3</v>
      </c>
      <c r="I40" s="172">
        <v>8114401.2989267102</v>
      </c>
    </row>
    <row r="41" spans="2:9" x14ac:dyDescent="0.3">
      <c r="B41" s="172" t="s">
        <v>185</v>
      </c>
      <c r="C41" s="172" t="s">
        <v>82</v>
      </c>
      <c r="D41" s="172">
        <v>2664.3690996476998</v>
      </c>
      <c r="E41" s="172">
        <v>1.6550192824165699E-4</v>
      </c>
      <c r="F41" s="172">
        <v>16098719.3802198</v>
      </c>
      <c r="G41" s="172">
        <v>26438.603997918199</v>
      </c>
      <c r="H41" s="172">
        <v>2.19004269992673E-3</v>
      </c>
      <c r="I41" s="172">
        <v>12072186.537186099</v>
      </c>
    </row>
    <row r="42" spans="2:9" x14ac:dyDescent="0.3">
      <c r="B42" s="172" t="s">
        <v>183</v>
      </c>
      <c r="C42" s="172" t="s">
        <v>82</v>
      </c>
      <c r="D42" s="172">
        <v>3808.44821387618</v>
      </c>
      <c r="E42" s="172">
        <v>2.1713655971787501E-4</v>
      </c>
      <c r="F42" s="172">
        <v>17539414.913934801</v>
      </c>
      <c r="G42" s="172">
        <v>37310.898547263198</v>
      </c>
      <c r="H42" s="172">
        <v>2.648355719975E-3</v>
      </c>
      <c r="I42" s="172">
        <v>14088325.9245912</v>
      </c>
    </row>
    <row r="43" spans="2:9" x14ac:dyDescent="0.3">
      <c r="B43" s="172" t="s">
        <v>181</v>
      </c>
      <c r="C43" s="172" t="s">
        <v>82</v>
      </c>
      <c r="D43" s="172">
        <v>4777.2391022716702</v>
      </c>
      <c r="E43" s="172">
        <v>2.6330074502731502E-4</v>
      </c>
      <c r="F43" s="172">
        <v>18143659.6458399</v>
      </c>
      <c r="G43" s="172">
        <v>46262.159499365502</v>
      </c>
      <c r="H43" s="172">
        <v>2.9685266620703399E-3</v>
      </c>
      <c r="I43" s="172">
        <v>15584215.5943787</v>
      </c>
    </row>
    <row r="44" spans="2:9" x14ac:dyDescent="0.3">
      <c r="B44" s="172" t="s">
        <v>179</v>
      </c>
      <c r="C44" s="172" t="s">
        <v>82</v>
      </c>
      <c r="D44" s="172">
        <v>5616.1858541531101</v>
      </c>
      <c r="E44" s="172">
        <v>3.0331081568167698E-4</v>
      </c>
      <c r="F44" s="172">
        <v>18516272.957596298</v>
      </c>
      <c r="G44" s="172">
        <v>53824.243379016298</v>
      </c>
      <c r="H44" s="172">
        <v>3.2900697211420901E-3</v>
      </c>
      <c r="I44" s="172">
        <v>16359605.7047485</v>
      </c>
    </row>
    <row r="45" spans="2:9" x14ac:dyDescent="0.3">
      <c r="B45" s="172" t="s">
        <v>39</v>
      </c>
      <c r="C45" s="172" t="s">
        <v>82</v>
      </c>
      <c r="D45" s="172">
        <v>6347.8755012950696</v>
      </c>
      <c r="E45" s="172">
        <v>3.2821017122758799E-4</v>
      </c>
      <c r="F45" s="172">
        <v>19340885.986416601</v>
      </c>
      <c r="G45" s="172">
        <v>60426.628891902197</v>
      </c>
      <c r="H45" s="172">
        <v>3.5365790810651899E-3</v>
      </c>
      <c r="I45" s="172">
        <v>17086180.6018776</v>
      </c>
    </row>
    <row r="46" spans="2:9" x14ac:dyDescent="0.3">
      <c r="B46" s="172" t="s">
        <v>26</v>
      </c>
      <c r="C46" s="172" t="s">
        <v>82</v>
      </c>
      <c r="D46" s="172">
        <v>6984.88501917546</v>
      </c>
      <c r="E46" s="172">
        <v>3.5667628304373401E-4</v>
      </c>
      <c r="F46" s="172">
        <v>19583261.773306601</v>
      </c>
      <c r="G46" s="172">
        <v>66342.391714300305</v>
      </c>
      <c r="H46" s="172">
        <v>3.7191475845510902E-3</v>
      </c>
      <c r="I46" s="172">
        <v>17838063.751457199</v>
      </c>
    </row>
    <row r="47" spans="2:9" x14ac:dyDescent="0.3">
      <c r="B47" s="172" t="s">
        <v>25</v>
      </c>
      <c r="C47" s="172" t="s">
        <v>82</v>
      </c>
      <c r="D47" s="172">
        <v>7525.4321108088898</v>
      </c>
      <c r="E47" s="172">
        <v>3.7544933074973601E-4</v>
      </c>
      <c r="F47" s="172">
        <v>20043802.171071399</v>
      </c>
      <c r="G47" s="172">
        <v>71533.764442636893</v>
      </c>
      <c r="H47" s="172">
        <v>3.8205376250138499E-3</v>
      </c>
      <c r="I47" s="172">
        <v>18723481.212248899</v>
      </c>
    </row>
    <row r="48" spans="2:9" x14ac:dyDescent="0.3">
      <c r="B48" s="172" t="s">
        <v>24</v>
      </c>
      <c r="C48" s="172" t="s">
        <v>82</v>
      </c>
      <c r="D48" s="172">
        <v>7950.9493962492197</v>
      </c>
      <c r="E48" s="172">
        <v>3.8744094349441499E-4</v>
      </c>
      <c r="F48" s="172">
        <v>20521706.674926698</v>
      </c>
      <c r="G48" s="172">
        <v>75695.904031730199</v>
      </c>
      <c r="H48" s="172">
        <v>3.7470672229774301E-3</v>
      </c>
      <c r="I48" s="172">
        <v>20201373.374770101</v>
      </c>
    </row>
    <row r="49" spans="2:9" x14ac:dyDescent="0.3">
      <c r="B49" s="172" t="s">
        <v>22</v>
      </c>
      <c r="C49" s="172" t="s">
        <v>82</v>
      </c>
      <c r="D49" s="172">
        <v>8201.4194111050401</v>
      </c>
      <c r="E49" s="172">
        <v>3.7606420642997702E-4</v>
      </c>
      <c r="F49" s="172">
        <v>21808561.598994199</v>
      </c>
      <c r="G49" s="172">
        <v>78193.680739583506</v>
      </c>
      <c r="H49" s="172">
        <v>3.45041533019804E-3</v>
      </c>
      <c r="I49" s="172">
        <v>22662106.8064567</v>
      </c>
    </row>
    <row r="50" spans="2:9" x14ac:dyDescent="0.3">
      <c r="B50" s="75"/>
      <c r="C50" s="75"/>
      <c r="D50" s="75"/>
      <c r="E50" s="75"/>
      <c r="F50" s="75"/>
      <c r="G50" s="75"/>
      <c r="H50" s="75"/>
      <c r="I50" s="75"/>
    </row>
    <row r="51" spans="2:9" x14ac:dyDescent="0.3">
      <c r="B51" s="75"/>
      <c r="C51" s="75"/>
      <c r="D51" s="75"/>
      <c r="E51" s="75"/>
      <c r="F51" s="75"/>
      <c r="G51" s="75"/>
      <c r="H51" s="75"/>
      <c r="I51" s="75"/>
    </row>
    <row r="52" spans="2:9" x14ac:dyDescent="0.3">
      <c r="B52" s="75"/>
      <c r="C52" s="75"/>
      <c r="D52" s="75"/>
      <c r="E52" s="75"/>
      <c r="F52" s="75"/>
      <c r="G52" s="75"/>
      <c r="H52" s="75"/>
      <c r="I52" s="75"/>
    </row>
    <row r="53" spans="2:9" x14ac:dyDescent="0.3">
      <c r="B53" s="75"/>
      <c r="C53" s="75"/>
      <c r="D53" s="75"/>
      <c r="E53" s="75"/>
      <c r="F53" s="75"/>
      <c r="G53" s="75"/>
      <c r="H53" s="75"/>
      <c r="I53" s="75"/>
    </row>
  </sheetData>
  <autoFilter ref="B5:I49">
    <filterColumn colId="1">
      <filters>
        <filter val="EQYEN"/>
      </filters>
    </filterColumn>
  </autoFilter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STIFFNESS">
                <anchor moveWithCells="1" sizeWithCells="1">
                  <from>
                    <xdr:col>9</xdr:col>
                    <xdr:colOff>556260</xdr:colOff>
                    <xdr:row>3</xdr:row>
                    <xdr:rowOff>83820</xdr:rowOff>
                  </from>
                  <to>
                    <xdr:col>12</xdr:col>
                    <xdr:colOff>152400</xdr:colOff>
                    <xdr:row>35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 filterMode="1"/>
  <dimension ref="A2:M115"/>
  <sheetViews>
    <sheetView workbookViewId="0">
      <selection activeCell="B15" sqref="B15:L115"/>
    </sheetView>
  </sheetViews>
  <sheetFormatPr baseColWidth="10" defaultRowHeight="14.4" x14ac:dyDescent="0.3"/>
  <cols>
    <col min="1" max="3" width="11.5546875" style="91"/>
    <col min="4" max="5" width="0" style="91" hidden="1" customWidth="1"/>
    <col min="6" max="13" width="11.5546875" style="91"/>
  </cols>
  <sheetData>
    <row r="2" spans="1:13" x14ac:dyDescent="0.3">
      <c r="B2" s="167" t="s">
        <v>45</v>
      </c>
      <c r="C2" s="168"/>
      <c r="D2" s="168"/>
      <c r="E2" s="168"/>
      <c r="F2" s="168"/>
      <c r="G2" s="168"/>
      <c r="H2" s="168"/>
      <c r="I2" s="168"/>
      <c r="J2" s="168"/>
      <c r="K2" s="168"/>
      <c r="L2" s="168"/>
    </row>
    <row r="3" spans="1:13" x14ac:dyDescent="0.3">
      <c r="B3" s="169" t="s">
        <v>9</v>
      </c>
      <c r="C3" s="169" t="s">
        <v>46</v>
      </c>
      <c r="D3" s="169" t="s">
        <v>236</v>
      </c>
      <c r="E3" s="169" t="s">
        <v>241</v>
      </c>
      <c r="F3" s="169" t="s">
        <v>47</v>
      </c>
      <c r="G3" s="169" t="s">
        <v>48</v>
      </c>
      <c r="H3" s="169" t="s">
        <v>49</v>
      </c>
      <c r="I3" s="169" t="s">
        <v>50</v>
      </c>
      <c r="J3" s="169" t="s">
        <v>51</v>
      </c>
      <c r="K3" s="169" t="s">
        <v>52</v>
      </c>
      <c r="L3" s="170" t="s">
        <v>53</v>
      </c>
    </row>
    <row r="4" spans="1:13" x14ac:dyDescent="0.3">
      <c r="B4" s="173"/>
      <c r="C4" s="173"/>
      <c r="D4" s="173"/>
      <c r="E4" s="173"/>
      <c r="F4" s="173"/>
      <c r="G4" s="173" t="s">
        <v>43</v>
      </c>
      <c r="H4" s="173" t="s">
        <v>43</v>
      </c>
      <c r="I4" s="173" t="s">
        <v>43</v>
      </c>
      <c r="J4" s="173" t="s">
        <v>54</v>
      </c>
      <c r="K4" s="173" t="s">
        <v>54</v>
      </c>
      <c r="L4" s="174" t="s">
        <v>54</v>
      </c>
    </row>
    <row r="5" spans="1:13" s="172" customFormat="1" x14ac:dyDescent="0.3">
      <c r="A5" s="91"/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  <c r="M5" s="91"/>
    </row>
    <row r="6" spans="1:13" hidden="1" x14ac:dyDescent="0.3">
      <c r="B6" s="172" t="s">
        <v>189</v>
      </c>
      <c r="C6" s="172" t="s">
        <v>79</v>
      </c>
      <c r="D6" s="172" t="s">
        <v>242</v>
      </c>
      <c r="E6" s="172"/>
      <c r="F6" s="172" t="s">
        <v>72</v>
      </c>
      <c r="G6" s="172">
        <v>-2.0918378140777301E-11</v>
      </c>
      <c r="H6" s="172">
        <v>-926.56352836224198</v>
      </c>
      <c r="I6" s="172">
        <v>-391.419363414739</v>
      </c>
      <c r="J6" s="172">
        <v>-5300.6733029043398</v>
      </c>
      <c r="K6" s="172">
        <v>2.4294877221109299E-10</v>
      </c>
      <c r="L6" s="172">
        <v>2.6193447411060302E-10</v>
      </c>
    </row>
    <row r="7" spans="1:13" hidden="1" x14ac:dyDescent="0.3">
      <c r="B7" s="172" t="s">
        <v>189</v>
      </c>
      <c r="C7" s="172" t="s">
        <v>79</v>
      </c>
      <c r="D7" s="172" t="s">
        <v>242</v>
      </c>
      <c r="E7" s="172"/>
      <c r="F7" s="172" t="s">
        <v>239</v>
      </c>
      <c r="G7" s="172">
        <v>1.8280843505635899E-10</v>
      </c>
      <c r="H7" s="172">
        <v>-926.56352836239</v>
      </c>
      <c r="I7" s="172">
        <v>-391.41936341469</v>
      </c>
      <c r="J7" s="172">
        <v>-5300.6733029028001</v>
      </c>
      <c r="K7" s="172">
        <v>1174.25809024513</v>
      </c>
      <c r="L7" s="172">
        <v>-2779.69058509042</v>
      </c>
    </row>
    <row r="8" spans="1:13" hidden="1" x14ac:dyDescent="0.3">
      <c r="B8" s="172" t="s">
        <v>189</v>
      </c>
      <c r="C8" s="172" t="s">
        <v>80</v>
      </c>
      <c r="D8" s="172" t="s">
        <v>242</v>
      </c>
      <c r="E8" s="172"/>
      <c r="F8" s="172" t="s">
        <v>72</v>
      </c>
      <c r="G8" s="172">
        <v>-9.8225427791476198E-11</v>
      </c>
      <c r="H8" s="172">
        <v>-926.56352836928795</v>
      </c>
      <c r="I8" s="172">
        <v>-391.41936341929198</v>
      </c>
      <c r="J8" s="172">
        <v>-5475.5890325768196</v>
      </c>
      <c r="K8" s="172">
        <v>-1.31194610730745E-10</v>
      </c>
      <c r="L8" s="172">
        <v>1.9799699657596598E-9</v>
      </c>
    </row>
    <row r="9" spans="1:13" hidden="1" x14ac:dyDescent="0.3">
      <c r="B9" s="172" t="s">
        <v>189</v>
      </c>
      <c r="C9" s="172" t="s">
        <v>80</v>
      </c>
      <c r="D9" s="172" t="s">
        <v>242</v>
      </c>
      <c r="E9" s="172"/>
      <c r="F9" s="172" t="s">
        <v>239</v>
      </c>
      <c r="G9" s="172">
        <v>1.3460521586239299E-10</v>
      </c>
      <c r="H9" s="172">
        <v>-926.56352836924304</v>
      </c>
      <c r="I9" s="172">
        <v>-391.41936341916198</v>
      </c>
      <c r="J9" s="172">
        <v>-5475.5890325731598</v>
      </c>
      <c r="K9" s="172">
        <v>1174.25809025838</v>
      </c>
      <c r="L9" s="172">
        <v>-2779.6905851095198</v>
      </c>
    </row>
    <row r="10" spans="1:13" hidden="1" x14ac:dyDescent="0.3">
      <c r="B10" s="172" t="s">
        <v>189</v>
      </c>
      <c r="C10" s="172" t="s">
        <v>81</v>
      </c>
      <c r="D10" s="172" t="s">
        <v>242</v>
      </c>
      <c r="E10" s="172"/>
      <c r="F10" s="172" t="s">
        <v>72</v>
      </c>
      <c r="G10" s="172">
        <v>3.20142135024071E-10</v>
      </c>
      <c r="H10" s="172">
        <v>-223.939330430713</v>
      </c>
      <c r="I10" s="172">
        <v>-887.863792752873</v>
      </c>
      <c r="J10" s="172">
        <v>-16154.7795898923</v>
      </c>
      <c r="K10" s="172">
        <v>1.4006218407303099E-9</v>
      </c>
      <c r="L10" s="172">
        <v>-5.8989826356992101E-9</v>
      </c>
    </row>
    <row r="11" spans="1:13" hidden="1" x14ac:dyDescent="0.3">
      <c r="B11" s="172" t="s">
        <v>189</v>
      </c>
      <c r="C11" s="172" t="s">
        <v>81</v>
      </c>
      <c r="D11" s="172" t="s">
        <v>242</v>
      </c>
      <c r="E11" s="172"/>
      <c r="F11" s="172" t="s">
        <v>239</v>
      </c>
      <c r="G11" s="172">
        <v>3.7834979593753799E-10</v>
      </c>
      <c r="H11" s="172">
        <v>-223.93933043076899</v>
      </c>
      <c r="I11" s="172">
        <v>-887.86379275290005</v>
      </c>
      <c r="J11" s="172">
        <v>-16154.7795898929</v>
      </c>
      <c r="K11" s="172">
        <v>2663.5913782615398</v>
      </c>
      <c r="L11" s="172">
        <v>-671.81799129918704</v>
      </c>
    </row>
    <row r="12" spans="1:13" hidden="1" x14ac:dyDescent="0.3">
      <c r="B12" s="172" t="s">
        <v>189</v>
      </c>
      <c r="C12" s="172" t="s">
        <v>82</v>
      </c>
      <c r="D12" s="172" t="s">
        <v>242</v>
      </c>
      <c r="E12" s="172"/>
      <c r="F12" s="172" t="s">
        <v>72</v>
      </c>
      <c r="G12" s="172">
        <v>2.6193447411060302E-10</v>
      </c>
      <c r="H12" s="172">
        <v>-223.93933042030901</v>
      </c>
      <c r="I12" s="172">
        <v>-887.86379274609396</v>
      </c>
      <c r="J12" s="172">
        <v>-15800.4234256246</v>
      </c>
      <c r="K12" s="172">
        <v>1.1386873666197101E-9</v>
      </c>
      <c r="L12" s="172">
        <v>-4.7020876081660398E-9</v>
      </c>
    </row>
    <row r="13" spans="1:13" hidden="1" x14ac:dyDescent="0.3">
      <c r="B13" s="172" t="s">
        <v>189</v>
      </c>
      <c r="C13" s="172" t="s">
        <v>82</v>
      </c>
      <c r="D13" s="172" t="s">
        <v>242</v>
      </c>
      <c r="E13" s="172"/>
      <c r="F13" s="172" t="s">
        <v>239</v>
      </c>
      <c r="G13" s="172">
        <v>2.03726813197136E-10</v>
      </c>
      <c r="H13" s="172">
        <v>-223.939330420278</v>
      </c>
      <c r="I13" s="172">
        <v>-887.86379274604201</v>
      </c>
      <c r="J13" s="172">
        <v>-15800.4234256236</v>
      </c>
      <c r="K13" s="172">
        <v>2663.5913782407001</v>
      </c>
      <c r="L13" s="172">
        <v>-671.81799126436101</v>
      </c>
    </row>
    <row r="14" spans="1:13" hidden="1" x14ac:dyDescent="0.3">
      <c r="B14" s="172" t="s">
        <v>189</v>
      </c>
      <c r="C14" s="172" t="s">
        <v>243</v>
      </c>
      <c r="D14" s="172" t="s">
        <v>242</v>
      </c>
      <c r="E14" s="172"/>
      <c r="F14" s="172" t="s">
        <v>72</v>
      </c>
      <c r="G14" s="172">
        <v>11865.599999996601</v>
      </c>
      <c r="H14" s="172">
        <v>7.7476443038904108E-9</v>
      </c>
      <c r="I14" s="172">
        <v>3.7209701986284901E-10</v>
      </c>
      <c r="J14" s="172">
        <v>-6.8148438003845496E-9</v>
      </c>
      <c r="K14" s="172">
        <v>23731.1999999953</v>
      </c>
      <c r="L14" s="172">
        <v>-219513.599999942</v>
      </c>
    </row>
    <row r="15" spans="1:13" x14ac:dyDescent="0.3">
      <c r="B15" s="172" t="s">
        <v>189</v>
      </c>
      <c r="C15" s="172" t="s">
        <v>243</v>
      </c>
      <c r="D15" s="172" t="s">
        <v>242</v>
      </c>
      <c r="E15" s="172"/>
      <c r="F15" s="172" t="s">
        <v>239</v>
      </c>
      <c r="G15" s="172">
        <v>17697.599999997099</v>
      </c>
      <c r="H15" s="172">
        <v>7.7239974416443097E-9</v>
      </c>
      <c r="I15" s="172">
        <v>3.77724518330069E-10</v>
      </c>
      <c r="J15" s="172">
        <v>-6.6897882788907703E-9</v>
      </c>
      <c r="K15" s="172">
        <v>35395.199999995602</v>
      </c>
      <c r="L15" s="172">
        <v>-327405.59999993001</v>
      </c>
    </row>
    <row r="16" spans="1:13" hidden="1" x14ac:dyDescent="0.3">
      <c r="B16" s="172" t="s">
        <v>187</v>
      </c>
      <c r="C16" s="172" t="s">
        <v>79</v>
      </c>
      <c r="D16" s="172" t="s">
        <v>242</v>
      </c>
      <c r="E16" s="172"/>
      <c r="F16" s="172" t="s">
        <v>72</v>
      </c>
      <c r="G16" s="172">
        <v>1.2120153769501499E-9</v>
      </c>
      <c r="H16" s="172">
        <v>-12345.503053999801</v>
      </c>
      <c r="I16" s="172">
        <v>-1444.3950837098</v>
      </c>
      <c r="J16" s="172">
        <v>67613.013868189897</v>
      </c>
      <c r="K16" s="172">
        <v>1174.2580902475599</v>
      </c>
      <c r="L16" s="172">
        <v>-2779.69058508227</v>
      </c>
    </row>
    <row r="17" spans="2:12" hidden="1" x14ac:dyDescent="0.3">
      <c r="B17" s="172" t="s">
        <v>187</v>
      </c>
      <c r="C17" s="172" t="s">
        <v>79</v>
      </c>
      <c r="D17" s="172" t="s">
        <v>242</v>
      </c>
      <c r="E17" s="172"/>
      <c r="F17" s="172" t="s">
        <v>239</v>
      </c>
      <c r="G17" s="172">
        <v>6.3062088884180401E-10</v>
      </c>
      <c r="H17" s="172">
        <v>-12345.503054000499</v>
      </c>
      <c r="I17" s="172">
        <v>-1444.3950837098701</v>
      </c>
      <c r="J17" s="172">
        <v>67613.013868186201</v>
      </c>
      <c r="K17" s="172">
        <v>6229.6408832303096</v>
      </c>
      <c r="L17" s="172">
        <v>-45988.951274072402</v>
      </c>
    </row>
    <row r="18" spans="2:12" hidden="1" x14ac:dyDescent="0.3">
      <c r="B18" s="172" t="s">
        <v>187</v>
      </c>
      <c r="C18" s="172" t="s">
        <v>80</v>
      </c>
      <c r="D18" s="172" t="s">
        <v>242</v>
      </c>
      <c r="E18" s="172"/>
      <c r="F18" s="172" t="s">
        <v>72</v>
      </c>
      <c r="G18" s="172">
        <v>1.6100329958135299E-9</v>
      </c>
      <c r="H18" s="172">
        <v>-12345.5030537528</v>
      </c>
      <c r="I18" s="172">
        <v>-1444.39508377641</v>
      </c>
      <c r="J18" s="172">
        <v>52235.464387954402</v>
      </c>
      <c r="K18" s="172">
        <v>1174.2580902621801</v>
      </c>
      <c r="L18" s="172">
        <v>-2779.6905851093202</v>
      </c>
    </row>
    <row r="19" spans="2:12" hidden="1" x14ac:dyDescent="0.3">
      <c r="B19" s="172" t="s">
        <v>187</v>
      </c>
      <c r="C19" s="172" t="s">
        <v>80</v>
      </c>
      <c r="D19" s="172" t="s">
        <v>242</v>
      </c>
      <c r="E19" s="172"/>
      <c r="F19" s="172" t="s">
        <v>239</v>
      </c>
      <c r="G19" s="172">
        <v>8.2968654169235399E-10</v>
      </c>
      <c r="H19" s="172">
        <v>-12345.5030537537</v>
      </c>
      <c r="I19" s="172">
        <v>-1444.39508377681</v>
      </c>
      <c r="J19" s="172">
        <v>52235.464387942702</v>
      </c>
      <c r="K19" s="172">
        <v>6229.6408834778304</v>
      </c>
      <c r="L19" s="172">
        <v>-45988.951273231803</v>
      </c>
    </row>
    <row r="20" spans="2:12" hidden="1" x14ac:dyDescent="0.3">
      <c r="B20" s="172" t="s">
        <v>187</v>
      </c>
      <c r="C20" s="172" t="s">
        <v>81</v>
      </c>
      <c r="D20" s="172" t="s">
        <v>242</v>
      </c>
      <c r="E20" s="172"/>
      <c r="F20" s="172" t="s">
        <v>72</v>
      </c>
      <c r="G20" s="172">
        <v>3.4451659303158501E-9</v>
      </c>
      <c r="H20" s="172">
        <v>-1303.4121584899599</v>
      </c>
      <c r="I20" s="172">
        <v>-13165.7901089101</v>
      </c>
      <c r="J20" s="172">
        <v>-141166.40363082499</v>
      </c>
      <c r="K20" s="172">
        <v>2663.5913782550801</v>
      </c>
      <c r="L20" s="172">
        <v>-671.81799134454195</v>
      </c>
    </row>
    <row r="21" spans="2:12" hidden="1" x14ac:dyDescent="0.3">
      <c r="B21" s="172" t="s">
        <v>187</v>
      </c>
      <c r="C21" s="172" t="s">
        <v>81</v>
      </c>
      <c r="D21" s="172" t="s">
        <v>242</v>
      </c>
      <c r="E21" s="172"/>
      <c r="F21" s="172" t="s">
        <v>239</v>
      </c>
      <c r="G21" s="172">
        <v>3.2705429475754499E-9</v>
      </c>
      <c r="H21" s="172">
        <v>-1303.41215849031</v>
      </c>
      <c r="I21" s="172">
        <v>-13165.790108913199</v>
      </c>
      <c r="J21" s="172">
        <v>-141166.40363088</v>
      </c>
      <c r="K21" s="172">
        <v>48743.856759443297</v>
      </c>
      <c r="L21" s="172">
        <v>-5233.76054605638</v>
      </c>
    </row>
    <row r="22" spans="2:12" hidden="1" x14ac:dyDescent="0.3">
      <c r="B22" s="172" t="s">
        <v>187</v>
      </c>
      <c r="C22" s="172" t="s">
        <v>82</v>
      </c>
      <c r="D22" s="172" t="s">
        <v>242</v>
      </c>
      <c r="E22" s="172"/>
      <c r="F22" s="172" t="s">
        <v>72</v>
      </c>
      <c r="G22" s="172">
        <v>2.9613147489726502E-9</v>
      </c>
      <c r="H22" s="172">
        <v>-1303.4121588197199</v>
      </c>
      <c r="I22" s="172">
        <v>-13165.7901088128</v>
      </c>
      <c r="J22" s="172">
        <v>-116674.598262499</v>
      </c>
      <c r="K22" s="172">
        <v>2663.5913782382399</v>
      </c>
      <c r="L22" s="172">
        <v>-671.81799130600302</v>
      </c>
    </row>
    <row r="23" spans="2:12" hidden="1" x14ac:dyDescent="0.3">
      <c r="B23" s="172" t="s">
        <v>187</v>
      </c>
      <c r="C23" s="172" t="s">
        <v>82</v>
      </c>
      <c r="D23" s="172" t="s">
        <v>242</v>
      </c>
      <c r="E23" s="172"/>
      <c r="F23" s="172" t="s">
        <v>239</v>
      </c>
      <c r="G23" s="172">
        <v>2.7284841053187802E-9</v>
      </c>
      <c r="H23" s="172">
        <v>-1303.41215881984</v>
      </c>
      <c r="I23" s="172">
        <v>-13165.7901088156</v>
      </c>
      <c r="J23" s="172">
        <v>-116674.598262548</v>
      </c>
      <c r="K23" s="172">
        <v>48743.856759086499</v>
      </c>
      <c r="L23" s="172">
        <v>-5233.7605471703</v>
      </c>
    </row>
    <row r="24" spans="2:12" hidden="1" x14ac:dyDescent="0.3">
      <c r="B24" s="172" t="s">
        <v>187</v>
      </c>
      <c r="C24" s="172" t="s">
        <v>243</v>
      </c>
      <c r="D24" s="172" t="s">
        <v>242</v>
      </c>
      <c r="E24" s="172"/>
      <c r="F24" s="172" t="s">
        <v>72</v>
      </c>
      <c r="G24" s="172">
        <v>280985.756249892</v>
      </c>
      <c r="H24" s="172">
        <v>4.0106181131704901E-7</v>
      </c>
      <c r="I24" s="172">
        <v>1.3815224519930801E-9</v>
      </c>
      <c r="J24" s="172">
        <v>-4.0088634705170998E-6</v>
      </c>
      <c r="K24" s="172">
        <v>1945419.20859303</v>
      </c>
      <c r="L24" s="172">
        <v>-2543573.8769521201</v>
      </c>
    </row>
    <row r="25" spans="2:12" x14ac:dyDescent="0.3">
      <c r="B25" s="172" t="s">
        <v>187</v>
      </c>
      <c r="C25" s="172" t="s">
        <v>243</v>
      </c>
      <c r="D25" s="172" t="s">
        <v>242</v>
      </c>
      <c r="E25" s="172"/>
      <c r="F25" s="172" t="s">
        <v>239</v>
      </c>
      <c r="G25" s="172">
        <v>322142.756249887</v>
      </c>
      <c r="H25" s="172">
        <v>4.01170382247074E-7</v>
      </c>
      <c r="I25" s="172">
        <v>1.4030661077413201E-9</v>
      </c>
      <c r="J25" s="172">
        <v>-4.0082777559291597E-6</v>
      </c>
      <c r="K25" s="172">
        <v>2216481.20859301</v>
      </c>
      <c r="L25" s="172">
        <v>-2959468.3769506402</v>
      </c>
    </row>
    <row r="26" spans="2:12" hidden="1" x14ac:dyDescent="0.3">
      <c r="B26" s="172" t="s">
        <v>185</v>
      </c>
      <c r="C26" s="172" t="s">
        <v>79</v>
      </c>
      <c r="D26" s="172" t="s">
        <v>242</v>
      </c>
      <c r="E26" s="172"/>
      <c r="F26" s="172" t="s">
        <v>72</v>
      </c>
      <c r="G26" s="172">
        <v>7.8580342233181E-10</v>
      </c>
      <c r="H26" s="172">
        <v>-25141.477324359501</v>
      </c>
      <c r="I26" s="172">
        <v>-2625.22789529188</v>
      </c>
      <c r="J26" s="172">
        <v>151594.38676516499</v>
      </c>
      <c r="K26" s="172">
        <v>6229.6408832322104</v>
      </c>
      <c r="L26" s="172">
        <v>-45988.951274060702</v>
      </c>
    </row>
    <row r="27" spans="2:12" hidden="1" x14ac:dyDescent="0.3">
      <c r="B27" s="172" t="s">
        <v>185</v>
      </c>
      <c r="C27" s="172" t="s">
        <v>79</v>
      </c>
      <c r="D27" s="172" t="s">
        <v>242</v>
      </c>
      <c r="E27" s="172"/>
      <c r="F27" s="172" t="s">
        <v>239</v>
      </c>
      <c r="G27" s="172">
        <v>1.38061295729131E-9</v>
      </c>
      <c r="H27" s="172">
        <v>-25141.4773243618</v>
      </c>
      <c r="I27" s="172">
        <v>-2625.22789529187</v>
      </c>
      <c r="J27" s="172">
        <v>151594.386765167</v>
      </c>
      <c r="K27" s="172">
        <v>15417.938516755799</v>
      </c>
      <c r="L27" s="172">
        <v>-133984.12190933601</v>
      </c>
    </row>
    <row r="28" spans="2:12" hidden="1" x14ac:dyDescent="0.3">
      <c r="B28" s="172" t="s">
        <v>185</v>
      </c>
      <c r="C28" s="172" t="s">
        <v>80</v>
      </c>
      <c r="D28" s="172" t="s">
        <v>242</v>
      </c>
      <c r="E28" s="172"/>
      <c r="F28" s="172" t="s">
        <v>72</v>
      </c>
      <c r="G28" s="172">
        <v>9.2586560640484105E-10</v>
      </c>
      <c r="H28" s="172">
        <v>-25141.477324089101</v>
      </c>
      <c r="I28" s="172">
        <v>-2625.2278954797398</v>
      </c>
      <c r="J28" s="172">
        <v>119182.72544085899</v>
      </c>
      <c r="K28" s="172">
        <v>6229.6408834797103</v>
      </c>
      <c r="L28" s="172">
        <v>-45988.951273220402</v>
      </c>
    </row>
    <row r="29" spans="2:12" hidden="1" x14ac:dyDescent="0.3">
      <c r="B29" s="172" t="s">
        <v>185</v>
      </c>
      <c r="C29" s="172" t="s">
        <v>80</v>
      </c>
      <c r="D29" s="172" t="s">
        <v>242</v>
      </c>
      <c r="E29" s="172"/>
      <c r="F29" s="172" t="s">
        <v>239</v>
      </c>
      <c r="G29" s="172">
        <v>1.52249413076788E-9</v>
      </c>
      <c r="H29" s="172">
        <v>-25141.4773240916</v>
      </c>
      <c r="I29" s="172">
        <v>-2625.2278954795802</v>
      </c>
      <c r="J29" s="172">
        <v>119182.725440865</v>
      </c>
      <c r="K29" s="172">
        <v>15417.938517661099</v>
      </c>
      <c r="L29" s="172">
        <v>-133984.12190755</v>
      </c>
    </row>
    <row r="30" spans="2:12" hidden="1" x14ac:dyDescent="0.3">
      <c r="B30" s="172" t="s">
        <v>185</v>
      </c>
      <c r="C30" s="172" t="s">
        <v>81</v>
      </c>
      <c r="D30" s="172" t="s">
        <v>242</v>
      </c>
      <c r="E30" s="172"/>
      <c r="F30" s="172" t="s">
        <v>72</v>
      </c>
      <c r="G30" s="172">
        <v>7.9307937994599301E-10</v>
      </c>
      <c r="H30" s="172">
        <v>-2664.36909934713</v>
      </c>
      <c r="I30" s="172">
        <v>-26438.603998187798</v>
      </c>
      <c r="J30" s="172">
        <v>-271430.95971976902</v>
      </c>
      <c r="K30" s="172">
        <v>48743.856759447503</v>
      </c>
      <c r="L30" s="172">
        <v>-5233.7605460085597</v>
      </c>
    </row>
    <row r="31" spans="2:12" hidden="1" x14ac:dyDescent="0.3">
      <c r="B31" s="172" t="s">
        <v>185</v>
      </c>
      <c r="C31" s="172" t="s">
        <v>81</v>
      </c>
      <c r="D31" s="172" t="s">
        <v>242</v>
      </c>
      <c r="E31" s="172"/>
      <c r="F31" s="172" t="s">
        <v>239</v>
      </c>
      <c r="G31" s="172">
        <v>1.6952981241047401E-9</v>
      </c>
      <c r="H31" s="172">
        <v>-2664.3690993476498</v>
      </c>
      <c r="I31" s="172">
        <v>-26438.603998186401</v>
      </c>
      <c r="J31" s="172">
        <v>-271430.95971973799</v>
      </c>
      <c r="K31" s="172">
        <v>141278.97075310501</v>
      </c>
      <c r="L31" s="172">
        <v>-14559.052393742901</v>
      </c>
    </row>
    <row r="32" spans="2:12" hidden="1" x14ac:dyDescent="0.3">
      <c r="B32" s="172" t="s">
        <v>185</v>
      </c>
      <c r="C32" s="172" t="s">
        <v>82</v>
      </c>
      <c r="D32" s="172" t="s">
        <v>242</v>
      </c>
      <c r="E32" s="172"/>
      <c r="F32" s="172" t="s">
        <v>72</v>
      </c>
      <c r="G32" s="172">
        <v>8.3309714682400196E-10</v>
      </c>
      <c r="H32" s="172">
        <v>-2664.3690996475498</v>
      </c>
      <c r="I32" s="172">
        <v>-26438.603997919701</v>
      </c>
      <c r="J32" s="172">
        <v>-221141.70451230899</v>
      </c>
      <c r="K32" s="172">
        <v>48743.856759088703</v>
      </c>
      <c r="L32" s="172">
        <v>-5233.7605471342804</v>
      </c>
    </row>
    <row r="33" spans="2:12" hidden="1" x14ac:dyDescent="0.3">
      <c r="B33" s="172" t="s">
        <v>185</v>
      </c>
      <c r="C33" s="172" t="s">
        <v>82</v>
      </c>
      <c r="D33" s="172" t="s">
        <v>242</v>
      </c>
      <c r="E33" s="172"/>
      <c r="F33" s="172" t="s">
        <v>239</v>
      </c>
      <c r="G33" s="172">
        <v>1.3860699255019399E-9</v>
      </c>
      <c r="H33" s="172">
        <v>-2664.3690996476998</v>
      </c>
      <c r="I33" s="172">
        <v>-26438.603997918199</v>
      </c>
      <c r="J33" s="172">
        <v>-221141.704512278</v>
      </c>
      <c r="K33" s="172">
        <v>141278.970751808</v>
      </c>
      <c r="L33" s="172">
        <v>-14559.0523959119</v>
      </c>
    </row>
    <row r="34" spans="2:12" hidden="1" x14ac:dyDescent="0.3">
      <c r="B34" s="172" t="s">
        <v>185</v>
      </c>
      <c r="C34" s="172" t="s">
        <v>243</v>
      </c>
      <c r="D34" s="172" t="s">
        <v>242</v>
      </c>
      <c r="E34" s="172"/>
      <c r="F34" s="172" t="s">
        <v>72</v>
      </c>
      <c r="G34" s="172">
        <v>580267.31249979604</v>
      </c>
      <c r="H34" s="172">
        <v>1.09334564513119E-6</v>
      </c>
      <c r="I34" s="172">
        <v>-4.4520902520162103E-9</v>
      </c>
      <c r="J34" s="172">
        <v>-8.4399698607739992E-6</v>
      </c>
      <c r="K34" s="172">
        <v>4087778.2171858302</v>
      </c>
      <c r="L34" s="172">
        <v>-5134456.9439030802</v>
      </c>
    </row>
    <row r="35" spans="2:12" x14ac:dyDescent="0.3">
      <c r="B35" s="172" t="s">
        <v>185</v>
      </c>
      <c r="C35" s="172" t="s">
        <v>243</v>
      </c>
      <c r="D35" s="172" t="s">
        <v>242</v>
      </c>
      <c r="E35" s="172"/>
      <c r="F35" s="172" t="s">
        <v>239</v>
      </c>
      <c r="G35" s="172">
        <v>621424.31249979802</v>
      </c>
      <c r="H35" s="172">
        <v>1.0934867304968099E-6</v>
      </c>
      <c r="I35" s="172">
        <v>-4.46408421339584E-9</v>
      </c>
      <c r="J35" s="172">
        <v>-8.4403013715928006E-6</v>
      </c>
      <c r="K35" s="172">
        <v>4358840.2171858503</v>
      </c>
      <c r="L35" s="172">
        <v>-5550351.4438992897</v>
      </c>
    </row>
    <row r="36" spans="2:12" hidden="1" x14ac:dyDescent="0.3">
      <c r="B36" s="172" t="s">
        <v>183</v>
      </c>
      <c r="C36" s="172" t="s">
        <v>79</v>
      </c>
      <c r="D36" s="172" t="s">
        <v>242</v>
      </c>
      <c r="E36" s="172"/>
      <c r="F36" s="172" t="s">
        <v>72</v>
      </c>
      <c r="G36" s="172">
        <v>2.2100721253082202E-9</v>
      </c>
      <c r="H36" s="172">
        <v>-36072.299659037199</v>
      </c>
      <c r="I36" s="172">
        <v>-3612.5053695155798</v>
      </c>
      <c r="J36" s="172">
        <v>223561.52039440401</v>
      </c>
      <c r="K36" s="172">
        <v>15417.9385167541</v>
      </c>
      <c r="L36" s="172">
        <v>-133984.121909323</v>
      </c>
    </row>
    <row r="37" spans="2:12" hidden="1" x14ac:dyDescent="0.3">
      <c r="B37" s="172" t="s">
        <v>183</v>
      </c>
      <c r="C37" s="172" t="s">
        <v>79</v>
      </c>
      <c r="D37" s="172" t="s">
        <v>242</v>
      </c>
      <c r="E37" s="172"/>
      <c r="F37" s="172" t="s">
        <v>239</v>
      </c>
      <c r="G37" s="172">
        <v>2.3283064365387E-9</v>
      </c>
      <c r="H37" s="172">
        <v>-36072.299659037999</v>
      </c>
      <c r="I37" s="172">
        <v>-3612.5053695156898</v>
      </c>
      <c r="J37" s="172">
        <v>223561.52039439901</v>
      </c>
      <c r="K37" s="172">
        <v>28061.707310059701</v>
      </c>
      <c r="L37" s="172">
        <v>-260237.17071595701</v>
      </c>
    </row>
    <row r="38" spans="2:12" hidden="1" x14ac:dyDescent="0.3">
      <c r="B38" s="172" t="s">
        <v>183</v>
      </c>
      <c r="C38" s="172" t="s">
        <v>80</v>
      </c>
      <c r="D38" s="172" t="s">
        <v>242</v>
      </c>
      <c r="E38" s="172"/>
      <c r="F38" s="172" t="s">
        <v>72</v>
      </c>
      <c r="G38" s="172">
        <v>2.58842192124575E-9</v>
      </c>
      <c r="H38" s="172">
        <v>-36072.299658783697</v>
      </c>
      <c r="I38" s="172">
        <v>-3612.5053696841701</v>
      </c>
      <c r="J38" s="172">
        <v>176553.637711196</v>
      </c>
      <c r="K38" s="172">
        <v>15417.938517660799</v>
      </c>
      <c r="L38" s="172">
        <v>-133984.12190753801</v>
      </c>
    </row>
    <row r="39" spans="2:12" hidden="1" x14ac:dyDescent="0.3">
      <c r="B39" s="172" t="s">
        <v>183</v>
      </c>
      <c r="C39" s="172" t="s">
        <v>80</v>
      </c>
      <c r="D39" s="172" t="s">
        <v>242</v>
      </c>
      <c r="E39" s="172"/>
      <c r="F39" s="172" t="s">
        <v>239</v>
      </c>
      <c r="G39" s="172">
        <v>3.0604496714658998E-9</v>
      </c>
      <c r="H39" s="172">
        <v>-36072.299658785603</v>
      </c>
      <c r="I39" s="172">
        <v>-3612.5053696847099</v>
      </c>
      <c r="J39" s="172">
        <v>176553.63771118599</v>
      </c>
      <c r="K39" s="172">
        <v>28061.707311558301</v>
      </c>
      <c r="L39" s="172">
        <v>-260237.17071329401</v>
      </c>
    </row>
    <row r="40" spans="2:12" hidden="1" x14ac:dyDescent="0.3">
      <c r="B40" s="172" t="s">
        <v>183</v>
      </c>
      <c r="C40" s="172" t="s">
        <v>81</v>
      </c>
      <c r="D40" s="172" t="s">
        <v>242</v>
      </c>
      <c r="E40" s="172"/>
      <c r="F40" s="172" t="s">
        <v>72</v>
      </c>
      <c r="G40" s="172">
        <v>4.38740244135261E-9</v>
      </c>
      <c r="H40" s="172">
        <v>-3808.4482136333399</v>
      </c>
      <c r="I40" s="172">
        <v>-37310.898547500197</v>
      </c>
      <c r="J40" s="172">
        <v>-377915.22590092698</v>
      </c>
      <c r="K40" s="172">
        <v>141278.97075309101</v>
      </c>
      <c r="L40" s="172">
        <v>-14559.052393783801</v>
      </c>
    </row>
    <row r="41" spans="2:12" hidden="1" x14ac:dyDescent="0.3">
      <c r="B41" s="172" t="s">
        <v>183</v>
      </c>
      <c r="C41" s="172" t="s">
        <v>81</v>
      </c>
      <c r="D41" s="172" t="s">
        <v>242</v>
      </c>
      <c r="E41" s="172"/>
      <c r="F41" s="172" t="s">
        <v>239</v>
      </c>
      <c r="G41" s="172">
        <v>4.8821675591170796E-9</v>
      </c>
      <c r="H41" s="172">
        <v>-3808.44821363356</v>
      </c>
      <c r="I41" s="172">
        <v>-37310.898547504301</v>
      </c>
      <c r="J41" s="172">
        <v>-377915.22590100497</v>
      </c>
      <c r="K41" s="172">
        <v>271867.11566934898</v>
      </c>
      <c r="L41" s="172">
        <v>-27888.621141511601</v>
      </c>
    </row>
    <row r="42" spans="2:12" hidden="1" x14ac:dyDescent="0.3">
      <c r="B42" s="172" t="s">
        <v>183</v>
      </c>
      <c r="C42" s="172" t="s">
        <v>82</v>
      </c>
      <c r="D42" s="172" t="s">
        <v>242</v>
      </c>
      <c r="E42" s="172"/>
      <c r="F42" s="172" t="s">
        <v>72</v>
      </c>
      <c r="G42" s="172">
        <v>3.9253791328519599E-9</v>
      </c>
      <c r="H42" s="172">
        <v>-3808.44821387613</v>
      </c>
      <c r="I42" s="172">
        <v>-37310.898547259603</v>
      </c>
      <c r="J42" s="172">
        <v>-306538.87278444099</v>
      </c>
      <c r="K42" s="172">
        <v>141278.970751788</v>
      </c>
      <c r="L42" s="172">
        <v>-14559.052395950001</v>
      </c>
    </row>
    <row r="43" spans="2:12" hidden="1" x14ac:dyDescent="0.3">
      <c r="B43" s="172" t="s">
        <v>183</v>
      </c>
      <c r="C43" s="172" t="s">
        <v>82</v>
      </c>
      <c r="D43" s="172" t="s">
        <v>242</v>
      </c>
      <c r="E43" s="172"/>
      <c r="F43" s="172" t="s">
        <v>239</v>
      </c>
      <c r="G43" s="172">
        <v>4.2164174374193003E-9</v>
      </c>
      <c r="H43" s="172">
        <v>-3808.44821387618</v>
      </c>
      <c r="I43" s="172">
        <v>-37310.898547263198</v>
      </c>
      <c r="J43" s="172">
        <v>-306538.872784507</v>
      </c>
      <c r="K43" s="172">
        <v>271867.11566720298</v>
      </c>
      <c r="L43" s="172">
        <v>-27888.621144523</v>
      </c>
    </row>
    <row r="44" spans="2:12" hidden="1" x14ac:dyDescent="0.3">
      <c r="B44" s="172" t="s">
        <v>183</v>
      </c>
      <c r="C44" s="172" t="s">
        <v>243</v>
      </c>
      <c r="D44" s="172" t="s">
        <v>242</v>
      </c>
      <c r="E44" s="172"/>
      <c r="F44" s="172" t="s">
        <v>72</v>
      </c>
      <c r="G44" s="172">
        <v>879548.86874970805</v>
      </c>
      <c r="H44" s="172">
        <v>1.3761593891104E-6</v>
      </c>
      <c r="I44" s="172">
        <v>-1.6840317584865301E-8</v>
      </c>
      <c r="J44" s="172">
        <v>-1.0106464287673601E-5</v>
      </c>
      <c r="K44" s="172">
        <v>6230137.2257789196</v>
      </c>
      <c r="L44" s="172">
        <v>-7725340.0108516496</v>
      </c>
    </row>
    <row r="45" spans="2:12" x14ac:dyDescent="0.3">
      <c r="B45" s="172" t="s">
        <v>183</v>
      </c>
      <c r="C45" s="172" t="s">
        <v>243</v>
      </c>
      <c r="D45" s="172" t="s">
        <v>242</v>
      </c>
      <c r="E45" s="172"/>
      <c r="F45" s="172" t="s">
        <v>239</v>
      </c>
      <c r="G45" s="172">
        <v>920705.86874970596</v>
      </c>
      <c r="H45" s="172">
        <v>1.3762316939391901E-6</v>
      </c>
      <c r="I45" s="172">
        <v>-1.6824913018353998E-8</v>
      </c>
      <c r="J45" s="172">
        <v>-1.0106114132213399E-5</v>
      </c>
      <c r="K45" s="172">
        <v>6501199.2257789802</v>
      </c>
      <c r="L45" s="172">
        <v>-8141234.5108468104</v>
      </c>
    </row>
    <row r="46" spans="2:12" hidden="1" x14ac:dyDescent="0.3">
      <c r="B46" s="172" t="s">
        <v>181</v>
      </c>
      <c r="C46" s="172" t="s">
        <v>79</v>
      </c>
      <c r="D46" s="172" t="s">
        <v>242</v>
      </c>
      <c r="E46" s="172"/>
      <c r="F46" s="172" t="s">
        <v>72</v>
      </c>
      <c r="G46" s="172">
        <v>2.6375346351414898E-9</v>
      </c>
      <c r="H46" s="172">
        <v>-45407.465194030498</v>
      </c>
      <c r="I46" s="172">
        <v>-4451.0903267748199</v>
      </c>
      <c r="J46" s="172">
        <v>285071.46007078397</v>
      </c>
      <c r="K46" s="172">
        <v>28061.7073100575</v>
      </c>
      <c r="L46" s="172">
        <v>-260237.17071594801</v>
      </c>
    </row>
    <row r="47" spans="2:12" hidden="1" x14ac:dyDescent="0.3">
      <c r="B47" s="172" t="s">
        <v>181</v>
      </c>
      <c r="C47" s="172" t="s">
        <v>79</v>
      </c>
      <c r="D47" s="172" t="s">
        <v>242</v>
      </c>
      <c r="E47" s="172"/>
      <c r="F47" s="172" t="s">
        <v>239</v>
      </c>
      <c r="G47" s="172">
        <v>3.07954906020314E-9</v>
      </c>
      <c r="H47" s="172">
        <v>-45407.465194029799</v>
      </c>
      <c r="I47" s="172">
        <v>-4451.0903267748899</v>
      </c>
      <c r="J47" s="172">
        <v>285071.46007077303</v>
      </c>
      <c r="K47" s="172">
        <v>43640.523453770198</v>
      </c>
      <c r="L47" s="172">
        <v>-419163.298895063</v>
      </c>
    </row>
    <row r="48" spans="2:12" hidden="1" x14ac:dyDescent="0.3">
      <c r="B48" s="172" t="s">
        <v>181</v>
      </c>
      <c r="C48" s="172" t="s">
        <v>80</v>
      </c>
      <c r="D48" s="172" t="s">
        <v>242</v>
      </c>
      <c r="E48" s="172"/>
      <c r="F48" s="172" t="s">
        <v>72</v>
      </c>
      <c r="G48" s="172">
        <v>3.0395312933251299E-9</v>
      </c>
      <c r="H48" s="172">
        <v>-45407.465193791802</v>
      </c>
      <c r="I48" s="172">
        <v>-4451.0903269931396</v>
      </c>
      <c r="J48" s="172">
        <v>225588.47836876701</v>
      </c>
      <c r="K48" s="172">
        <v>28061.707311554699</v>
      </c>
      <c r="L48" s="172">
        <v>-260237.170713278</v>
      </c>
    </row>
    <row r="49" spans="2:12" hidden="1" x14ac:dyDescent="0.3">
      <c r="B49" s="172" t="s">
        <v>181</v>
      </c>
      <c r="C49" s="172" t="s">
        <v>80</v>
      </c>
      <c r="D49" s="172" t="s">
        <v>242</v>
      </c>
      <c r="E49" s="172"/>
      <c r="F49" s="172" t="s">
        <v>239</v>
      </c>
      <c r="G49" s="172">
        <v>3.4760887501761301E-9</v>
      </c>
      <c r="H49" s="172">
        <v>-45407.465193790798</v>
      </c>
      <c r="I49" s="172">
        <v>-4451.0903269931996</v>
      </c>
      <c r="J49" s="172">
        <v>225588.478368754</v>
      </c>
      <c r="K49" s="172">
        <v>43640.523456031799</v>
      </c>
      <c r="L49" s="172">
        <v>-419163.29889155802</v>
      </c>
    </row>
    <row r="50" spans="2:12" hidden="1" x14ac:dyDescent="0.3">
      <c r="B50" s="172" t="s">
        <v>181</v>
      </c>
      <c r="C50" s="172" t="s">
        <v>81</v>
      </c>
      <c r="D50" s="172" t="s">
        <v>242</v>
      </c>
      <c r="E50" s="172"/>
      <c r="F50" s="172" t="s">
        <v>72</v>
      </c>
      <c r="G50" s="172">
        <v>3.73620423488319E-9</v>
      </c>
      <c r="H50" s="172">
        <v>-4777.2391021134899</v>
      </c>
      <c r="I50" s="172">
        <v>-46262.1594996762</v>
      </c>
      <c r="J50" s="172">
        <v>-465382.18217788701</v>
      </c>
      <c r="K50" s="172">
        <v>271867.11566933698</v>
      </c>
      <c r="L50" s="172">
        <v>-27888.621141485</v>
      </c>
    </row>
    <row r="51" spans="2:12" hidden="1" x14ac:dyDescent="0.3">
      <c r="B51" s="172" t="s">
        <v>181</v>
      </c>
      <c r="C51" s="172" t="s">
        <v>81</v>
      </c>
      <c r="D51" s="172" t="s">
        <v>242</v>
      </c>
      <c r="E51" s="172"/>
      <c r="F51" s="172" t="s">
        <v>239</v>
      </c>
      <c r="G51" s="172">
        <v>3.3578544389456498E-9</v>
      </c>
      <c r="H51" s="172">
        <v>-4777.2391021134799</v>
      </c>
      <c r="I51" s="172">
        <v>-46262.159499677102</v>
      </c>
      <c r="J51" s="172">
        <v>-465382.18217790098</v>
      </c>
      <c r="K51" s="172">
        <v>433784.67391820397</v>
      </c>
      <c r="L51" s="172">
        <v>-44608.957998874997</v>
      </c>
    </row>
    <row r="52" spans="2:12" hidden="1" x14ac:dyDescent="0.3">
      <c r="B52" s="172" t="s">
        <v>181</v>
      </c>
      <c r="C52" s="172" t="s">
        <v>82</v>
      </c>
      <c r="D52" s="172" t="s">
        <v>242</v>
      </c>
      <c r="E52" s="172"/>
      <c r="F52" s="172" t="s">
        <v>72</v>
      </c>
      <c r="G52" s="172">
        <v>3.1650415621697899E-9</v>
      </c>
      <c r="H52" s="172">
        <v>-4777.2391022718302</v>
      </c>
      <c r="I52" s="172">
        <v>-46262.159499364599</v>
      </c>
      <c r="J52" s="172">
        <v>-376685.58715800801</v>
      </c>
      <c r="K52" s="172">
        <v>271867.11566719</v>
      </c>
      <c r="L52" s="172">
        <v>-27888.621144499</v>
      </c>
    </row>
    <row r="53" spans="2:12" hidden="1" x14ac:dyDescent="0.3">
      <c r="B53" s="172" t="s">
        <v>181</v>
      </c>
      <c r="C53" s="172" t="s">
        <v>82</v>
      </c>
      <c r="D53" s="172" t="s">
        <v>242</v>
      </c>
      <c r="E53" s="172"/>
      <c r="F53" s="172" t="s">
        <v>239</v>
      </c>
      <c r="G53" s="172">
        <v>2.7866917662322501E-9</v>
      </c>
      <c r="H53" s="172">
        <v>-4777.2391022716702</v>
      </c>
      <c r="I53" s="172">
        <v>-46262.159499365502</v>
      </c>
      <c r="J53" s="172">
        <v>-376685.58715802099</v>
      </c>
      <c r="K53" s="172">
        <v>433784.67391496699</v>
      </c>
      <c r="L53" s="172">
        <v>-44608.958002442901</v>
      </c>
    </row>
    <row r="54" spans="2:12" hidden="1" x14ac:dyDescent="0.3">
      <c r="B54" s="172" t="s">
        <v>181</v>
      </c>
      <c r="C54" s="172" t="s">
        <v>243</v>
      </c>
      <c r="D54" s="172" t="s">
        <v>242</v>
      </c>
      <c r="E54" s="172"/>
      <c r="F54" s="172" t="s">
        <v>72</v>
      </c>
      <c r="G54" s="172">
        <v>1178830.4249996501</v>
      </c>
      <c r="H54" s="172">
        <v>1.8567208712738601E-6</v>
      </c>
      <c r="I54" s="172">
        <v>-2.0511265574896199E-8</v>
      </c>
      <c r="J54" s="172">
        <v>-1.29619966173777E-5</v>
      </c>
      <c r="K54" s="172">
        <v>8372496.2343722498</v>
      </c>
      <c r="L54" s="172">
        <v>-10316223.077799501</v>
      </c>
    </row>
    <row r="55" spans="2:12" x14ac:dyDescent="0.3">
      <c r="B55" s="172" t="s">
        <v>181</v>
      </c>
      <c r="C55" s="172" t="s">
        <v>243</v>
      </c>
      <c r="D55" s="172" t="s">
        <v>242</v>
      </c>
      <c r="E55" s="172"/>
      <c r="F55" s="172" t="s">
        <v>239</v>
      </c>
      <c r="G55" s="172">
        <v>1219987.4249996501</v>
      </c>
      <c r="H55" s="172">
        <v>1.8566751123216799E-6</v>
      </c>
      <c r="I55" s="172">
        <v>-2.0511890852503701E-8</v>
      </c>
      <c r="J55" s="172">
        <v>-1.29614227262209E-5</v>
      </c>
      <c r="K55" s="172">
        <v>8643558.2343723197</v>
      </c>
      <c r="L55" s="172">
        <v>-10732117.577793</v>
      </c>
    </row>
    <row r="56" spans="2:12" hidden="1" x14ac:dyDescent="0.3">
      <c r="B56" s="172" t="s">
        <v>179</v>
      </c>
      <c r="C56" s="172" t="s">
        <v>79</v>
      </c>
      <c r="D56" s="172" t="s">
        <v>242</v>
      </c>
      <c r="E56" s="172"/>
      <c r="F56" s="172" t="s">
        <v>72</v>
      </c>
      <c r="G56" s="172">
        <v>3.24507709592581E-9</v>
      </c>
      <c r="H56" s="172">
        <v>-53461.200045462901</v>
      </c>
      <c r="I56" s="172">
        <v>-5174.8912527212397</v>
      </c>
      <c r="J56" s="172">
        <v>338134.508525629</v>
      </c>
      <c r="K56" s="172">
        <v>43640.523453771202</v>
      </c>
      <c r="L56" s="172">
        <v>-419163.29889504402</v>
      </c>
    </row>
    <row r="57" spans="2:12" hidden="1" x14ac:dyDescent="0.3">
      <c r="B57" s="172" t="s">
        <v>179</v>
      </c>
      <c r="C57" s="172" t="s">
        <v>79</v>
      </c>
      <c r="D57" s="172" t="s">
        <v>242</v>
      </c>
      <c r="E57" s="172"/>
      <c r="F57" s="172" t="s">
        <v>239</v>
      </c>
      <c r="G57" s="172">
        <v>3.6452547647059001E-9</v>
      </c>
      <c r="H57" s="172">
        <v>-53461.2000454632</v>
      </c>
      <c r="I57" s="172">
        <v>-5174.8912527212997</v>
      </c>
      <c r="J57" s="172">
        <v>338134.50852562499</v>
      </c>
      <c r="K57" s="172">
        <v>61752.642838296801</v>
      </c>
      <c r="L57" s="172">
        <v>-606277.49905417301</v>
      </c>
    </row>
    <row r="58" spans="2:12" hidden="1" x14ac:dyDescent="0.3">
      <c r="B58" s="172" t="s">
        <v>179</v>
      </c>
      <c r="C58" s="172" t="s">
        <v>80</v>
      </c>
      <c r="D58" s="172" t="s">
        <v>242</v>
      </c>
      <c r="E58" s="172"/>
      <c r="F58" s="172" t="s">
        <v>72</v>
      </c>
      <c r="G58" s="172">
        <v>3.5097400541417301E-9</v>
      </c>
      <c r="H58" s="172">
        <v>-53461.200045196303</v>
      </c>
      <c r="I58" s="172">
        <v>-5174.89125300455</v>
      </c>
      <c r="J58" s="172">
        <v>267889.56312599499</v>
      </c>
      <c r="K58" s="172">
        <v>43640.523456033501</v>
      </c>
      <c r="L58" s="172">
        <v>-419163.298891538</v>
      </c>
    </row>
    <row r="59" spans="2:12" hidden="1" x14ac:dyDescent="0.3">
      <c r="B59" s="172" t="s">
        <v>179</v>
      </c>
      <c r="C59" s="172" t="s">
        <v>80</v>
      </c>
      <c r="D59" s="172" t="s">
        <v>242</v>
      </c>
      <c r="E59" s="172"/>
      <c r="F59" s="172" t="s">
        <v>239</v>
      </c>
      <c r="G59" s="172">
        <v>3.7989593693055196E-9</v>
      </c>
      <c r="H59" s="172">
        <v>-53461.200045197103</v>
      </c>
      <c r="I59" s="172">
        <v>-5174.8912530043199</v>
      </c>
      <c r="J59" s="172">
        <v>267889.56312599801</v>
      </c>
      <c r="K59" s="172">
        <v>61752.6428415501</v>
      </c>
      <c r="L59" s="172">
        <v>-606277.49904973304</v>
      </c>
    </row>
    <row r="60" spans="2:12" hidden="1" x14ac:dyDescent="0.3">
      <c r="B60" s="172" t="s">
        <v>179</v>
      </c>
      <c r="C60" s="172" t="s">
        <v>81</v>
      </c>
      <c r="D60" s="172" t="s">
        <v>242</v>
      </c>
      <c r="E60" s="172"/>
      <c r="F60" s="172" t="s">
        <v>72</v>
      </c>
      <c r="G60" s="172">
        <v>1.32786226458848E-9</v>
      </c>
      <c r="H60" s="172">
        <v>-5616.1858540066996</v>
      </c>
      <c r="I60" s="172">
        <v>-53824.243379420601</v>
      </c>
      <c r="J60" s="172">
        <v>-539120.22256185999</v>
      </c>
      <c r="K60" s="172">
        <v>433784.67391819903</v>
      </c>
      <c r="L60" s="172">
        <v>-44608.9579988388</v>
      </c>
    </row>
    <row r="61" spans="2:12" hidden="1" x14ac:dyDescent="0.3">
      <c r="B61" s="172" t="s">
        <v>179</v>
      </c>
      <c r="C61" s="172" t="s">
        <v>81</v>
      </c>
      <c r="D61" s="172" t="s">
        <v>242</v>
      </c>
      <c r="E61" s="172"/>
      <c r="F61" s="172" t="s">
        <v>239</v>
      </c>
      <c r="G61" s="172">
        <v>1.5606929082423401E-9</v>
      </c>
      <c r="H61" s="172">
        <v>-5616.1858540068797</v>
      </c>
      <c r="I61" s="172">
        <v>-53824.243379419197</v>
      </c>
      <c r="J61" s="172">
        <v>-539120.22256182705</v>
      </c>
      <c r="K61" s="172">
        <v>622169.52574617101</v>
      </c>
      <c r="L61" s="172">
        <v>-64265.608487867503</v>
      </c>
    </row>
    <row r="62" spans="2:12" hidden="1" x14ac:dyDescent="0.3">
      <c r="B62" s="172" t="s">
        <v>179</v>
      </c>
      <c r="C62" s="172" t="s">
        <v>82</v>
      </c>
      <c r="D62" s="172" t="s">
        <v>242</v>
      </c>
      <c r="E62" s="172"/>
      <c r="F62" s="172" t="s">
        <v>72</v>
      </c>
      <c r="G62" s="172">
        <v>1.14596332423389E-9</v>
      </c>
      <c r="H62" s="172">
        <v>-5616.1858541531401</v>
      </c>
      <c r="I62" s="172">
        <v>-53824.243379017302</v>
      </c>
      <c r="J62" s="172">
        <v>-435822.64518436999</v>
      </c>
      <c r="K62" s="172">
        <v>433784.67391496099</v>
      </c>
      <c r="L62" s="172">
        <v>-44608.958002412801</v>
      </c>
    </row>
    <row r="63" spans="2:12" hidden="1" x14ac:dyDescent="0.3">
      <c r="B63" s="172" t="s">
        <v>179</v>
      </c>
      <c r="C63" s="172" t="s">
        <v>82</v>
      </c>
      <c r="D63" s="172" t="s">
        <v>242</v>
      </c>
      <c r="E63" s="172"/>
      <c r="F63" s="172" t="s">
        <v>239</v>
      </c>
      <c r="G63" s="172">
        <v>1.2332748156040901E-9</v>
      </c>
      <c r="H63" s="172">
        <v>-5616.1858541531101</v>
      </c>
      <c r="I63" s="172">
        <v>-53824.243379016298</v>
      </c>
      <c r="J63" s="172">
        <v>-435822.645184347</v>
      </c>
      <c r="K63" s="172">
        <v>622169.52574151999</v>
      </c>
      <c r="L63" s="172">
        <v>-64265.608491950697</v>
      </c>
    </row>
    <row r="64" spans="2:12" hidden="1" x14ac:dyDescent="0.3">
      <c r="B64" s="172" t="s">
        <v>179</v>
      </c>
      <c r="C64" s="172" t="s">
        <v>243</v>
      </c>
      <c r="D64" s="172" t="s">
        <v>242</v>
      </c>
      <c r="E64" s="172"/>
      <c r="F64" s="172" t="s">
        <v>72</v>
      </c>
      <c r="G64" s="172">
        <v>1478111.9812495899</v>
      </c>
      <c r="H64" s="172">
        <v>2.1592460939245901E-6</v>
      </c>
      <c r="I64" s="172">
        <v>-2.4869564185792101E-8</v>
      </c>
      <c r="J64" s="172">
        <v>-1.47774790093536E-5</v>
      </c>
      <c r="K64" s="172">
        <v>10514855.242965501</v>
      </c>
      <c r="L64" s="172">
        <v>-12907106.144745599</v>
      </c>
    </row>
    <row r="65" spans="2:12" x14ac:dyDescent="0.3">
      <c r="B65" s="172" t="s">
        <v>179</v>
      </c>
      <c r="C65" s="172" t="s">
        <v>243</v>
      </c>
      <c r="D65" s="172" t="s">
        <v>242</v>
      </c>
      <c r="E65" s="172"/>
      <c r="F65" s="172" t="s">
        <v>239</v>
      </c>
      <c r="G65" s="172">
        <v>1519268.9812495899</v>
      </c>
      <c r="H65" s="172">
        <v>2.1592907160084E-6</v>
      </c>
      <c r="I65" s="172">
        <v>-2.4884570848371401E-8</v>
      </c>
      <c r="J65" s="172">
        <v>-1.477768046243E-5</v>
      </c>
      <c r="K65" s="172">
        <v>10785917.2429656</v>
      </c>
      <c r="L65" s="172">
        <v>-13323000.644738</v>
      </c>
    </row>
    <row r="66" spans="2:12" hidden="1" x14ac:dyDescent="0.3">
      <c r="B66" s="172" t="s">
        <v>39</v>
      </c>
      <c r="C66" s="172" t="s">
        <v>79</v>
      </c>
      <c r="D66" s="172" t="s">
        <v>242</v>
      </c>
      <c r="E66" s="172"/>
      <c r="F66" s="172" t="s">
        <v>72</v>
      </c>
      <c r="G66" s="172">
        <v>3.63434082828462E-9</v>
      </c>
      <c r="H66" s="172">
        <v>-60461.260993455202</v>
      </c>
      <c r="I66" s="172">
        <v>-5796.8205853330001</v>
      </c>
      <c r="J66" s="172">
        <v>384331.27364860801</v>
      </c>
      <c r="K66" s="172">
        <v>61752.642838295898</v>
      </c>
      <c r="L66" s="172">
        <v>-606277.49905416195</v>
      </c>
    </row>
    <row r="67" spans="2:12" hidden="1" x14ac:dyDescent="0.3">
      <c r="B67" s="172" t="s">
        <v>39</v>
      </c>
      <c r="C67" s="172" t="s">
        <v>79</v>
      </c>
      <c r="D67" s="172" t="s">
        <v>242</v>
      </c>
      <c r="E67" s="172"/>
      <c r="F67" s="172" t="s">
        <v>239</v>
      </c>
      <c r="G67" s="172">
        <v>4.1109160520136398E-9</v>
      </c>
      <c r="H67" s="172">
        <v>-60461.260993456999</v>
      </c>
      <c r="I67" s="172">
        <v>-5796.8205853330101</v>
      </c>
      <c r="J67" s="172">
        <v>384331.27364861098</v>
      </c>
      <c r="K67" s="172">
        <v>82041.514886963007</v>
      </c>
      <c r="L67" s="172">
        <v>-817891.91253126902</v>
      </c>
    </row>
    <row r="68" spans="2:12" hidden="1" x14ac:dyDescent="0.3">
      <c r="B68" s="172" t="s">
        <v>39</v>
      </c>
      <c r="C68" s="172" t="s">
        <v>80</v>
      </c>
      <c r="D68" s="172" t="s">
        <v>242</v>
      </c>
      <c r="E68" s="172"/>
      <c r="F68" s="172" t="s">
        <v>72</v>
      </c>
      <c r="G68" s="172">
        <v>3.7152858567424102E-9</v>
      </c>
      <c r="H68" s="172">
        <v>-60461.260993170203</v>
      </c>
      <c r="I68" s="172">
        <v>-5796.8205856336999</v>
      </c>
      <c r="J68" s="172">
        <v>304717.28690972499</v>
      </c>
      <c r="K68" s="172">
        <v>61752.642841550201</v>
      </c>
      <c r="L68" s="172">
        <v>-606277.49904971896</v>
      </c>
    </row>
    <row r="69" spans="2:12" hidden="1" x14ac:dyDescent="0.3">
      <c r="B69" s="172" t="s">
        <v>39</v>
      </c>
      <c r="C69" s="172" t="s">
        <v>80</v>
      </c>
      <c r="D69" s="172" t="s">
        <v>242</v>
      </c>
      <c r="E69" s="172"/>
      <c r="F69" s="172" t="s">
        <v>239</v>
      </c>
      <c r="G69" s="172">
        <v>4.0836312109604503E-9</v>
      </c>
      <c r="H69" s="172">
        <v>-60461.260993172204</v>
      </c>
      <c r="I69" s="172">
        <v>-5796.8205856332197</v>
      </c>
      <c r="J69" s="172">
        <v>304717.28690973902</v>
      </c>
      <c r="K69" s="172">
        <v>82041.514891268904</v>
      </c>
      <c r="L69" s="172">
        <v>-817891.91252582695</v>
      </c>
    </row>
    <row r="70" spans="2:12" hidden="1" x14ac:dyDescent="0.3">
      <c r="B70" s="172" t="s">
        <v>39</v>
      </c>
      <c r="C70" s="172" t="s">
        <v>81</v>
      </c>
      <c r="D70" s="172" t="s">
        <v>242</v>
      </c>
      <c r="E70" s="172"/>
      <c r="F70" s="172" t="s">
        <v>72</v>
      </c>
      <c r="G70" s="172">
        <v>-2.71757016889751E-9</v>
      </c>
      <c r="H70" s="172">
        <v>-6347.87550117705</v>
      </c>
      <c r="I70" s="172">
        <v>-60426.628892334003</v>
      </c>
      <c r="J70" s="172">
        <v>-603506.157930054</v>
      </c>
      <c r="K70" s="172">
        <v>622169.52574616706</v>
      </c>
      <c r="L70" s="172">
        <v>-64265.608487804202</v>
      </c>
    </row>
    <row r="71" spans="2:12" hidden="1" x14ac:dyDescent="0.3">
      <c r="B71" s="172" t="s">
        <v>39</v>
      </c>
      <c r="C71" s="172" t="s">
        <v>81</v>
      </c>
      <c r="D71" s="172" t="s">
        <v>242</v>
      </c>
      <c r="E71" s="172"/>
      <c r="F71" s="172" t="s">
        <v>239</v>
      </c>
      <c r="G71" s="172">
        <v>-2.74667399935424E-9</v>
      </c>
      <c r="H71" s="172">
        <v>-6347.8755011773401</v>
      </c>
      <c r="I71" s="172">
        <v>-60426.628892330198</v>
      </c>
      <c r="J71" s="172">
        <v>-603506.15792997403</v>
      </c>
      <c r="K71" s="172">
        <v>833662.72686933004</v>
      </c>
      <c r="L71" s="172">
        <v>-86483.172741924602</v>
      </c>
    </row>
    <row r="72" spans="2:12" hidden="1" x14ac:dyDescent="0.3">
      <c r="B72" s="172" t="s">
        <v>39</v>
      </c>
      <c r="C72" s="172" t="s">
        <v>82</v>
      </c>
      <c r="D72" s="172" t="s">
        <v>242</v>
      </c>
      <c r="E72" s="172"/>
      <c r="F72" s="172" t="s">
        <v>72</v>
      </c>
      <c r="G72" s="172">
        <v>-2.91402102448046E-9</v>
      </c>
      <c r="H72" s="172">
        <v>-6347.8755012949596</v>
      </c>
      <c r="I72" s="172">
        <v>-60426.628891905399</v>
      </c>
      <c r="J72" s="172">
        <v>-487459.39768212201</v>
      </c>
      <c r="K72" s="172">
        <v>622169.52574151603</v>
      </c>
      <c r="L72" s="172">
        <v>-64265.608491891297</v>
      </c>
    </row>
    <row r="73" spans="2:12" hidden="1" x14ac:dyDescent="0.3">
      <c r="B73" s="172" t="s">
        <v>39</v>
      </c>
      <c r="C73" s="172" t="s">
        <v>82</v>
      </c>
      <c r="D73" s="172" t="s">
        <v>242</v>
      </c>
      <c r="E73" s="172"/>
      <c r="F73" s="172" t="s">
        <v>239</v>
      </c>
      <c r="G73" s="172">
        <v>-2.7102942112833299E-9</v>
      </c>
      <c r="H73" s="172">
        <v>-6347.8755012950696</v>
      </c>
      <c r="I73" s="172">
        <v>-60426.628891902197</v>
      </c>
      <c r="J73" s="172">
        <v>-487459.39768205403</v>
      </c>
      <c r="K73" s="172">
        <v>833662.72686318099</v>
      </c>
      <c r="L73" s="172">
        <v>-86483.172746428696</v>
      </c>
    </row>
    <row r="74" spans="2:12" hidden="1" x14ac:dyDescent="0.3">
      <c r="B74" s="172" t="s">
        <v>39</v>
      </c>
      <c r="C74" s="172" t="s">
        <v>243</v>
      </c>
      <c r="D74" s="172" t="s">
        <v>242</v>
      </c>
      <c r="E74" s="172"/>
      <c r="F74" s="172" t="s">
        <v>72</v>
      </c>
      <c r="G74" s="172">
        <v>1777393.53749954</v>
      </c>
      <c r="H74" s="172">
        <v>2.4093723141049799E-6</v>
      </c>
      <c r="I74" s="172">
        <v>-2.87450347968843E-8</v>
      </c>
      <c r="J74" s="172">
        <v>-1.6313579180860001E-5</v>
      </c>
      <c r="K74" s="172">
        <v>12657214.251558799</v>
      </c>
      <c r="L74" s="172">
        <v>-15497989.2116908</v>
      </c>
    </row>
    <row r="75" spans="2:12" x14ac:dyDescent="0.3">
      <c r="B75" s="172" t="s">
        <v>39</v>
      </c>
      <c r="C75" s="172" t="s">
        <v>243</v>
      </c>
      <c r="D75" s="172" t="s">
        <v>242</v>
      </c>
      <c r="E75" s="172"/>
      <c r="F75" s="172" t="s">
        <v>239</v>
      </c>
      <c r="G75" s="172">
        <v>1818550.53749954</v>
      </c>
      <c r="H75" s="172">
        <v>2.40945871610165E-6</v>
      </c>
      <c r="I75" s="172">
        <v>-2.8764986836904401E-8</v>
      </c>
      <c r="J75" s="172">
        <v>-1.6314162621711101E-5</v>
      </c>
      <c r="K75" s="172">
        <v>12928276.2515589</v>
      </c>
      <c r="L75" s="172">
        <v>-15913883.711682299</v>
      </c>
    </row>
    <row r="76" spans="2:12" hidden="1" x14ac:dyDescent="0.3">
      <c r="B76" s="172" t="s">
        <v>26</v>
      </c>
      <c r="C76" s="172" t="s">
        <v>79</v>
      </c>
      <c r="D76" s="172" t="s">
        <v>242</v>
      </c>
      <c r="E76" s="172"/>
      <c r="F76" s="172" t="s">
        <v>72</v>
      </c>
      <c r="G76" s="172">
        <v>4.3764885049313299E-9</v>
      </c>
      <c r="H76" s="172">
        <v>-66578.032964585902</v>
      </c>
      <c r="I76" s="172">
        <v>-6333.4454359323399</v>
      </c>
      <c r="J76" s="172">
        <v>424303.92929523898</v>
      </c>
      <c r="K76" s="172">
        <v>82041.514886960998</v>
      </c>
      <c r="L76" s="172">
        <v>-817891.91253126203</v>
      </c>
    </row>
    <row r="77" spans="2:12" hidden="1" x14ac:dyDescent="0.3">
      <c r="B77" s="172" t="s">
        <v>26</v>
      </c>
      <c r="C77" s="172" t="s">
        <v>79</v>
      </c>
      <c r="D77" s="172" t="s">
        <v>242</v>
      </c>
      <c r="E77" s="172"/>
      <c r="F77" s="172" t="s">
        <v>239</v>
      </c>
      <c r="G77" s="172">
        <v>4.5329215936362702E-9</v>
      </c>
      <c r="H77" s="172">
        <v>-66578.032964587197</v>
      </c>
      <c r="I77" s="172">
        <v>-6333.4454359323199</v>
      </c>
      <c r="J77" s="172">
        <v>424303.92929524498</v>
      </c>
      <c r="K77" s="172">
        <v>104208.573912725</v>
      </c>
      <c r="L77" s="172">
        <v>-1050915.0279073201</v>
      </c>
    </row>
    <row r="78" spans="2:12" hidden="1" x14ac:dyDescent="0.3">
      <c r="B78" s="172" t="s">
        <v>26</v>
      </c>
      <c r="C78" s="172" t="s">
        <v>80</v>
      </c>
      <c r="D78" s="172" t="s">
        <v>242</v>
      </c>
      <c r="E78" s="172"/>
      <c r="F78" s="172" t="s">
        <v>72</v>
      </c>
      <c r="G78" s="172">
        <v>4.38922143075615E-9</v>
      </c>
      <c r="H78" s="172">
        <v>-66578.0329641227</v>
      </c>
      <c r="I78" s="172">
        <v>-6333.4454362345596</v>
      </c>
      <c r="J78" s="172">
        <v>336488.77749402198</v>
      </c>
      <c r="K78" s="172">
        <v>82041.514891267099</v>
      </c>
      <c r="L78" s="172">
        <v>-817891.91252582194</v>
      </c>
    </row>
    <row r="79" spans="2:12" hidden="1" x14ac:dyDescent="0.3">
      <c r="B79" s="172" t="s">
        <v>26</v>
      </c>
      <c r="C79" s="172" t="s">
        <v>80</v>
      </c>
      <c r="D79" s="172" t="s">
        <v>242</v>
      </c>
      <c r="E79" s="172"/>
      <c r="F79" s="172" t="s">
        <v>239</v>
      </c>
      <c r="G79" s="172">
        <v>4.6820787247270296E-9</v>
      </c>
      <c r="H79" s="172">
        <v>-66578.032964124606</v>
      </c>
      <c r="I79" s="172">
        <v>-6333.4454362346096</v>
      </c>
      <c r="J79" s="172">
        <v>336488.77749402798</v>
      </c>
      <c r="K79" s="172">
        <v>104208.57391808899</v>
      </c>
      <c r="L79" s="172">
        <v>-1050915.0279002599</v>
      </c>
    </row>
    <row r="80" spans="2:12" hidden="1" x14ac:dyDescent="0.3">
      <c r="B80" s="172" t="s">
        <v>26</v>
      </c>
      <c r="C80" s="172" t="s">
        <v>81</v>
      </c>
      <c r="D80" s="172" t="s">
        <v>242</v>
      </c>
      <c r="E80" s="172"/>
      <c r="F80" s="172" t="s">
        <v>72</v>
      </c>
      <c r="G80" s="172">
        <v>-2.38651409745216E-9</v>
      </c>
      <c r="H80" s="172">
        <v>-6984.8850188324004</v>
      </c>
      <c r="I80" s="172">
        <v>-66342.391714726095</v>
      </c>
      <c r="J80" s="172">
        <v>-662106.14701992995</v>
      </c>
      <c r="K80" s="172">
        <v>833662.72686933295</v>
      </c>
      <c r="L80" s="172">
        <v>-86483.172741922797</v>
      </c>
    </row>
    <row r="81" spans="2:12" hidden="1" x14ac:dyDescent="0.3">
      <c r="B81" s="172" t="s">
        <v>26</v>
      </c>
      <c r="C81" s="172" t="s">
        <v>81</v>
      </c>
      <c r="D81" s="172" t="s">
        <v>242</v>
      </c>
      <c r="E81" s="172"/>
      <c r="F81" s="172" t="s">
        <v>239</v>
      </c>
      <c r="G81" s="172">
        <v>-2.1391315385699301E-9</v>
      </c>
      <c r="H81" s="172">
        <v>-6984.8850188326196</v>
      </c>
      <c r="I81" s="172">
        <v>-66342.391714726298</v>
      </c>
      <c r="J81" s="172">
        <v>-662106.147019936</v>
      </c>
      <c r="K81" s="172">
        <v>1065861.09787088</v>
      </c>
      <c r="L81" s="172">
        <v>-110930.270307842</v>
      </c>
    </row>
    <row r="82" spans="2:12" hidden="1" x14ac:dyDescent="0.3">
      <c r="B82" s="172" t="s">
        <v>26</v>
      </c>
      <c r="C82" s="172" t="s">
        <v>82</v>
      </c>
      <c r="D82" s="172" t="s">
        <v>242</v>
      </c>
      <c r="E82" s="172"/>
      <c r="F82" s="172" t="s">
        <v>72</v>
      </c>
      <c r="G82" s="172">
        <v>-2.4119799491018098E-9</v>
      </c>
      <c r="H82" s="172">
        <v>-6984.8850191753399</v>
      </c>
      <c r="I82" s="172">
        <v>-66342.391714299796</v>
      </c>
      <c r="J82" s="172">
        <v>-534607.72436159197</v>
      </c>
      <c r="K82" s="172">
        <v>833662.72686318401</v>
      </c>
      <c r="L82" s="172">
        <v>-86483.172746424403</v>
      </c>
    </row>
    <row r="83" spans="2:12" hidden="1" x14ac:dyDescent="0.3">
      <c r="B83" s="172" t="s">
        <v>26</v>
      </c>
      <c r="C83" s="172" t="s">
        <v>82</v>
      </c>
      <c r="D83" s="172" t="s">
        <v>242</v>
      </c>
      <c r="E83" s="172"/>
      <c r="F83" s="172" t="s">
        <v>239</v>
      </c>
      <c r="G83" s="172">
        <v>-2.16459739021957E-9</v>
      </c>
      <c r="H83" s="172">
        <v>-6984.88501917546</v>
      </c>
      <c r="I83" s="172">
        <v>-66342.391714300305</v>
      </c>
      <c r="J83" s="172">
        <v>-534607.72436160396</v>
      </c>
      <c r="K83" s="172">
        <v>1065861.0978632399</v>
      </c>
      <c r="L83" s="172">
        <v>-110930.27031354301</v>
      </c>
    </row>
    <row r="84" spans="2:12" hidden="1" x14ac:dyDescent="0.3">
      <c r="B84" s="172" t="s">
        <v>26</v>
      </c>
      <c r="C84" s="172" t="s">
        <v>243</v>
      </c>
      <c r="D84" s="172" t="s">
        <v>242</v>
      </c>
      <c r="E84" s="172"/>
      <c r="F84" s="172" t="s">
        <v>72</v>
      </c>
      <c r="G84" s="172">
        <v>2077985.4937495</v>
      </c>
      <c r="H84" s="172">
        <v>2.5083249397539501E-6</v>
      </c>
      <c r="I84" s="172">
        <v>-3.2626985557726598E-8</v>
      </c>
      <c r="J84" s="172">
        <v>-1.74397346199839E-5</v>
      </c>
      <c r="K84" s="172">
        <v>14802194.0601523</v>
      </c>
      <c r="L84" s="172">
        <v>-18113114.678635102</v>
      </c>
    </row>
    <row r="85" spans="2:12" x14ac:dyDescent="0.3">
      <c r="B85" s="172" t="s">
        <v>26</v>
      </c>
      <c r="C85" s="172" t="s">
        <v>243</v>
      </c>
      <c r="D85" s="172" t="s">
        <v>242</v>
      </c>
      <c r="E85" s="172"/>
      <c r="F85" s="172" t="s">
        <v>239</v>
      </c>
      <c r="G85" s="172">
        <v>2119142.4937494998</v>
      </c>
      <c r="H85" s="172">
        <v>2.5083754735533101E-6</v>
      </c>
      <c r="I85" s="172">
        <v>-3.2622608614474302E-8</v>
      </c>
      <c r="J85" s="172">
        <v>-1.7439858766010699E-5</v>
      </c>
      <c r="K85" s="172">
        <v>15073256.0601524</v>
      </c>
      <c r="L85" s="172">
        <v>-18529009.178626399</v>
      </c>
    </row>
    <row r="86" spans="2:12" hidden="1" x14ac:dyDescent="0.3">
      <c r="B86" s="172" t="s">
        <v>25</v>
      </c>
      <c r="C86" s="172" t="s">
        <v>79</v>
      </c>
      <c r="D86" s="172" t="s">
        <v>242</v>
      </c>
      <c r="E86" s="172"/>
      <c r="F86" s="172" t="s">
        <v>72</v>
      </c>
      <c r="G86" s="172">
        <v>5.4569682106375703E-9</v>
      </c>
      <c r="H86" s="172">
        <v>-71767.868344979695</v>
      </c>
      <c r="I86" s="172">
        <v>-6775.6048270517404</v>
      </c>
      <c r="J86" s="172">
        <v>458359.91582761501</v>
      </c>
      <c r="K86" s="172">
        <v>104208.57391273</v>
      </c>
      <c r="L86" s="172">
        <v>-1050915.0279073201</v>
      </c>
    </row>
    <row r="87" spans="2:12" hidden="1" x14ac:dyDescent="0.3">
      <c r="B87" s="172" t="s">
        <v>25</v>
      </c>
      <c r="C87" s="172" t="s">
        <v>79</v>
      </c>
      <c r="D87" s="172" t="s">
        <v>242</v>
      </c>
      <c r="E87" s="172"/>
      <c r="F87" s="172" t="s">
        <v>239</v>
      </c>
      <c r="G87" s="172">
        <v>5.9262674767524004E-9</v>
      </c>
      <c r="H87" s="172">
        <v>-71767.868344979899</v>
      </c>
      <c r="I87" s="172">
        <v>-6775.6048270517704</v>
      </c>
      <c r="J87" s="172">
        <v>458359.91582761402</v>
      </c>
      <c r="K87" s="172">
        <v>127923.190807413</v>
      </c>
      <c r="L87" s="172">
        <v>-1302102.5671147599</v>
      </c>
    </row>
    <row r="88" spans="2:12" hidden="1" x14ac:dyDescent="0.3">
      <c r="B88" s="172" t="s">
        <v>25</v>
      </c>
      <c r="C88" s="172" t="s">
        <v>80</v>
      </c>
      <c r="D88" s="172" t="s">
        <v>242</v>
      </c>
      <c r="E88" s="172"/>
      <c r="F88" s="172" t="s">
        <v>72</v>
      </c>
      <c r="G88" s="172">
        <v>5.6752469390630697E-9</v>
      </c>
      <c r="H88" s="172">
        <v>-71767.868344367002</v>
      </c>
      <c r="I88" s="172">
        <v>-6775.6048273794704</v>
      </c>
      <c r="J88" s="172">
        <v>363558.799801004</v>
      </c>
      <c r="K88" s="172">
        <v>104208.573918095</v>
      </c>
      <c r="L88" s="172">
        <v>-1050915.0279002599</v>
      </c>
    </row>
    <row r="89" spans="2:12" hidden="1" x14ac:dyDescent="0.3">
      <c r="B89" s="172" t="s">
        <v>25</v>
      </c>
      <c r="C89" s="172" t="s">
        <v>80</v>
      </c>
      <c r="D89" s="172" t="s">
        <v>242</v>
      </c>
      <c r="E89" s="172"/>
      <c r="F89" s="172" t="s">
        <v>239</v>
      </c>
      <c r="G89" s="172">
        <v>6.1809259932488203E-9</v>
      </c>
      <c r="H89" s="172">
        <v>-71767.868344367103</v>
      </c>
      <c r="I89" s="172">
        <v>-6775.6048273796196</v>
      </c>
      <c r="J89" s="172">
        <v>363558.79980100098</v>
      </c>
      <c r="K89" s="172">
        <v>127923.190813925</v>
      </c>
      <c r="L89" s="172">
        <v>-1302102.5671055601</v>
      </c>
    </row>
    <row r="90" spans="2:12" hidden="1" x14ac:dyDescent="0.3">
      <c r="B90" s="172" t="s">
        <v>25</v>
      </c>
      <c r="C90" s="172" t="s">
        <v>81</v>
      </c>
      <c r="D90" s="172" t="s">
        <v>242</v>
      </c>
      <c r="E90" s="172"/>
      <c r="F90" s="172" t="s">
        <v>72</v>
      </c>
      <c r="G90" s="172">
        <v>-1.1496013030409801E-9</v>
      </c>
      <c r="H90" s="172">
        <v>-7525.4321102968997</v>
      </c>
      <c r="I90" s="172">
        <v>-71533.764443097898</v>
      </c>
      <c r="J90" s="172">
        <v>-713668.49966826802</v>
      </c>
      <c r="K90" s="172">
        <v>1065861.09787087</v>
      </c>
      <c r="L90" s="172">
        <v>-110930.270307859</v>
      </c>
    </row>
    <row r="91" spans="2:12" hidden="1" x14ac:dyDescent="0.3">
      <c r="B91" s="172" t="s">
        <v>25</v>
      </c>
      <c r="C91" s="172" t="s">
        <v>81</v>
      </c>
      <c r="D91" s="172" t="s">
        <v>242</v>
      </c>
      <c r="E91" s="172"/>
      <c r="F91" s="172" t="s">
        <v>239</v>
      </c>
      <c r="G91" s="172">
        <v>-8.4401108324527699E-10</v>
      </c>
      <c r="H91" s="172">
        <v>-7525.4321102969297</v>
      </c>
      <c r="I91" s="172">
        <v>-71533.764443099295</v>
      </c>
      <c r="J91" s="172">
        <v>-713668.49966829503</v>
      </c>
      <c r="K91" s="172">
        <v>1316229.2734217199</v>
      </c>
      <c r="L91" s="172">
        <v>-137269.282693905</v>
      </c>
    </row>
    <row r="92" spans="2:12" hidden="1" x14ac:dyDescent="0.3">
      <c r="B92" s="172" t="s">
        <v>25</v>
      </c>
      <c r="C92" s="172" t="s">
        <v>82</v>
      </c>
      <c r="D92" s="172" t="s">
        <v>242</v>
      </c>
      <c r="E92" s="172"/>
      <c r="F92" s="172" t="s">
        <v>72</v>
      </c>
      <c r="G92" s="172">
        <v>-1.42608769237995E-9</v>
      </c>
      <c r="H92" s="172">
        <v>-7525.4321108088998</v>
      </c>
      <c r="I92" s="172">
        <v>-71533.7644426357</v>
      </c>
      <c r="J92" s="172">
        <v>-576092.52859777794</v>
      </c>
      <c r="K92" s="172">
        <v>1065861.0978632299</v>
      </c>
      <c r="L92" s="172">
        <v>-110930.270313559</v>
      </c>
    </row>
    <row r="93" spans="2:12" hidden="1" x14ac:dyDescent="0.3">
      <c r="B93" s="172" t="s">
        <v>25</v>
      </c>
      <c r="C93" s="172" t="s">
        <v>82</v>
      </c>
      <c r="D93" s="172" t="s">
        <v>242</v>
      </c>
      <c r="E93" s="172"/>
      <c r="F93" s="172" t="s">
        <v>239</v>
      </c>
      <c r="G93" s="172">
        <v>-1.39698386192322E-9</v>
      </c>
      <c r="H93" s="172">
        <v>-7525.4321108088898</v>
      </c>
      <c r="I93" s="172">
        <v>-71533.764442636893</v>
      </c>
      <c r="J93" s="172">
        <v>-576092.52859780099</v>
      </c>
      <c r="K93" s="172">
        <v>1316229.27341246</v>
      </c>
      <c r="L93" s="172">
        <v>-137269.282701391</v>
      </c>
    </row>
    <row r="94" spans="2:12" hidden="1" x14ac:dyDescent="0.3">
      <c r="B94" s="172" t="s">
        <v>25</v>
      </c>
      <c r="C94" s="172" t="s">
        <v>243</v>
      </c>
      <c r="D94" s="172" t="s">
        <v>242</v>
      </c>
      <c r="E94" s="172"/>
      <c r="F94" s="172" t="s">
        <v>72</v>
      </c>
      <c r="G94" s="172">
        <v>2378577.44999944</v>
      </c>
      <c r="H94" s="172">
        <v>2.5911181751325802E-6</v>
      </c>
      <c r="I94" s="172">
        <v>-3.37813617079519E-8</v>
      </c>
      <c r="J94" s="172">
        <v>-1.8284651559952201E-5</v>
      </c>
      <c r="K94" s="172">
        <v>16947173.8687457</v>
      </c>
      <c r="L94" s="172">
        <v>-20728240.145578898</v>
      </c>
    </row>
    <row r="95" spans="2:12" x14ac:dyDescent="0.3">
      <c r="B95" s="172" t="s">
        <v>25</v>
      </c>
      <c r="C95" s="172" t="s">
        <v>243</v>
      </c>
      <c r="D95" s="172" t="s">
        <v>242</v>
      </c>
      <c r="E95" s="172"/>
      <c r="F95" s="172" t="s">
        <v>239</v>
      </c>
      <c r="G95" s="172">
        <v>2419734.44999944</v>
      </c>
      <c r="H95" s="172">
        <v>2.5911186867233499E-6</v>
      </c>
      <c r="I95" s="172">
        <v>-3.3778803754103097E-8</v>
      </c>
      <c r="J95" s="172">
        <v>-1.8284585166838999E-5</v>
      </c>
      <c r="K95" s="172">
        <v>17218235.8687458</v>
      </c>
      <c r="L95" s="172">
        <v>-21144134.645569801</v>
      </c>
    </row>
    <row r="96" spans="2:12" hidden="1" x14ac:dyDescent="0.3">
      <c r="B96" s="172" t="s">
        <v>24</v>
      </c>
      <c r="C96" s="172" t="s">
        <v>79</v>
      </c>
      <c r="D96" s="172" t="s">
        <v>242</v>
      </c>
      <c r="E96" s="172"/>
      <c r="F96" s="172" t="s">
        <v>72</v>
      </c>
      <c r="G96" s="172">
        <v>6.55563781037927E-9</v>
      </c>
      <c r="H96" s="172">
        <v>-75799.170380109295</v>
      </c>
      <c r="I96" s="172">
        <v>-7112.5555862951996</v>
      </c>
      <c r="J96" s="172">
        <v>484883.213333525</v>
      </c>
      <c r="K96" s="172">
        <v>127923.19080741701</v>
      </c>
      <c r="L96" s="172">
        <v>-1302102.5671147599</v>
      </c>
    </row>
    <row r="97" spans="2:12" hidden="1" x14ac:dyDescent="0.3">
      <c r="B97" s="172" t="s">
        <v>24</v>
      </c>
      <c r="C97" s="172" t="s">
        <v>79</v>
      </c>
      <c r="D97" s="172" t="s">
        <v>242</v>
      </c>
      <c r="E97" s="172"/>
      <c r="F97" s="172" t="s">
        <v>239</v>
      </c>
      <c r="G97" s="172">
        <v>6.6738721216097499E-9</v>
      </c>
      <c r="H97" s="172">
        <v>-75799.170380109295</v>
      </c>
      <c r="I97" s="172">
        <v>-7112.5555862952097</v>
      </c>
      <c r="J97" s="172">
        <v>484883.21333352599</v>
      </c>
      <c r="K97" s="172">
        <v>152817.135359451</v>
      </c>
      <c r="L97" s="172">
        <v>-1567399.66344514</v>
      </c>
    </row>
    <row r="98" spans="2:12" hidden="1" x14ac:dyDescent="0.3">
      <c r="B98" s="172" t="s">
        <v>24</v>
      </c>
      <c r="C98" s="172" t="s">
        <v>80</v>
      </c>
      <c r="D98" s="172" t="s">
        <v>242</v>
      </c>
      <c r="E98" s="172"/>
      <c r="F98" s="172" t="s">
        <v>72</v>
      </c>
      <c r="G98" s="172">
        <v>6.8903318606317002E-9</v>
      </c>
      <c r="H98" s="172">
        <v>-75799.170379348696</v>
      </c>
      <c r="I98" s="172">
        <v>-7112.55558661536</v>
      </c>
      <c r="J98" s="172">
        <v>384641.95830157201</v>
      </c>
      <c r="K98" s="172">
        <v>127923.190813928</v>
      </c>
      <c r="L98" s="172">
        <v>-1302102.5671055601</v>
      </c>
    </row>
    <row r="99" spans="2:12" hidden="1" x14ac:dyDescent="0.3">
      <c r="B99" s="172" t="s">
        <v>24</v>
      </c>
      <c r="C99" s="172" t="s">
        <v>80</v>
      </c>
      <c r="D99" s="172" t="s">
        <v>242</v>
      </c>
      <c r="E99" s="172"/>
      <c r="F99" s="172" t="s">
        <v>239</v>
      </c>
      <c r="G99" s="172">
        <v>6.9976522354409099E-9</v>
      </c>
      <c r="H99" s="172">
        <v>-75799.170379348696</v>
      </c>
      <c r="I99" s="172">
        <v>-7112.5555866154</v>
      </c>
      <c r="J99" s="172">
        <v>384641.95830157201</v>
      </c>
      <c r="K99" s="172">
        <v>152817.135367082</v>
      </c>
      <c r="L99" s="172">
        <v>-1567399.6634332801</v>
      </c>
    </row>
    <row r="100" spans="2:12" hidden="1" x14ac:dyDescent="0.3">
      <c r="B100" s="172" t="s">
        <v>24</v>
      </c>
      <c r="C100" s="172" t="s">
        <v>81</v>
      </c>
      <c r="D100" s="172" t="s">
        <v>242</v>
      </c>
      <c r="E100" s="172"/>
      <c r="F100" s="172" t="s">
        <v>72</v>
      </c>
      <c r="G100" s="172">
        <v>6.5483618527650802E-10</v>
      </c>
      <c r="H100" s="172">
        <v>-7950.9493955656599</v>
      </c>
      <c r="I100" s="172">
        <v>-75695.904032179693</v>
      </c>
      <c r="J100" s="172">
        <v>-755066.947569774</v>
      </c>
      <c r="K100" s="172">
        <v>1316229.2734217199</v>
      </c>
      <c r="L100" s="172">
        <v>-137269.28269392499</v>
      </c>
    </row>
    <row r="101" spans="2:12" hidden="1" x14ac:dyDescent="0.3">
      <c r="B101" s="172" t="s">
        <v>24</v>
      </c>
      <c r="C101" s="172" t="s">
        <v>81</v>
      </c>
      <c r="D101" s="172" t="s">
        <v>242</v>
      </c>
      <c r="E101" s="172"/>
      <c r="F101" s="172" t="s">
        <v>239</v>
      </c>
      <c r="G101" s="172">
        <v>5.9662852436304103E-10</v>
      </c>
      <c r="H101" s="172">
        <v>-7950.9493955656499</v>
      </c>
      <c r="I101" s="172">
        <v>-75695.9040321801</v>
      </c>
      <c r="J101" s="172">
        <v>-755066.94756978005</v>
      </c>
      <c r="K101" s="172">
        <v>1581164.93753435</v>
      </c>
      <c r="L101" s="172">
        <v>-165097.60557840299</v>
      </c>
    </row>
    <row r="102" spans="2:12" hidden="1" x14ac:dyDescent="0.3">
      <c r="B102" s="172" t="s">
        <v>24</v>
      </c>
      <c r="C102" s="172" t="s">
        <v>82</v>
      </c>
      <c r="D102" s="172" t="s">
        <v>242</v>
      </c>
      <c r="E102" s="172"/>
      <c r="F102" s="172" t="s">
        <v>72</v>
      </c>
      <c r="G102" s="172">
        <v>1.4551915228366901E-10</v>
      </c>
      <c r="H102" s="172">
        <v>-7950.9493962492097</v>
      </c>
      <c r="I102" s="172">
        <v>-75695.904031729995</v>
      </c>
      <c r="J102" s="172">
        <v>-609399.39722342102</v>
      </c>
      <c r="K102" s="172">
        <v>1316229.27341246</v>
      </c>
      <c r="L102" s="172">
        <v>-137269.28270141099</v>
      </c>
    </row>
    <row r="103" spans="2:12" hidden="1" x14ac:dyDescent="0.3">
      <c r="B103" s="172" t="s">
        <v>24</v>
      </c>
      <c r="C103" s="172" t="s">
        <v>82</v>
      </c>
      <c r="D103" s="172" t="s">
        <v>242</v>
      </c>
      <c r="E103" s="172"/>
      <c r="F103" s="172" t="s">
        <v>239</v>
      </c>
      <c r="G103" s="172">
        <v>1.67347025126219E-10</v>
      </c>
      <c r="H103" s="172">
        <v>-7950.9493962492197</v>
      </c>
      <c r="I103" s="172">
        <v>-75695.904031730199</v>
      </c>
      <c r="J103" s="172">
        <v>-609399.39722342498</v>
      </c>
      <c r="K103" s="172">
        <v>1581164.9375235101</v>
      </c>
      <c r="L103" s="172">
        <v>-165097.60558828301</v>
      </c>
    </row>
    <row r="104" spans="2:12" hidden="1" x14ac:dyDescent="0.3">
      <c r="B104" s="172" t="s">
        <v>24</v>
      </c>
      <c r="C104" s="172" t="s">
        <v>243</v>
      </c>
      <c r="D104" s="172" t="s">
        <v>242</v>
      </c>
      <c r="E104" s="172"/>
      <c r="F104" s="172" t="s">
        <v>72</v>
      </c>
      <c r="G104" s="172">
        <v>2679169.4062494002</v>
      </c>
      <c r="H104" s="172">
        <v>2.6237528629735598E-6</v>
      </c>
      <c r="I104" s="172">
        <v>-3.5195540704080499E-8</v>
      </c>
      <c r="J104" s="172">
        <v>-1.8647585420694698E-5</v>
      </c>
      <c r="K104" s="172">
        <v>19092153.677339301</v>
      </c>
      <c r="L104" s="172">
        <v>-23343365.612522699</v>
      </c>
    </row>
    <row r="105" spans="2:12" x14ac:dyDescent="0.3">
      <c r="B105" s="172" t="s">
        <v>24</v>
      </c>
      <c r="C105" s="172" t="s">
        <v>243</v>
      </c>
      <c r="D105" s="172" t="s">
        <v>242</v>
      </c>
      <c r="E105" s="172"/>
      <c r="F105" s="172" t="s">
        <v>239</v>
      </c>
      <c r="G105" s="172">
        <v>2720326.4062494002</v>
      </c>
      <c r="H105" s="172">
        <v>2.6237509587190301E-6</v>
      </c>
      <c r="I105" s="172">
        <v>-3.5195512282371102E-8</v>
      </c>
      <c r="J105" s="172">
        <v>-1.8647583829078899E-5</v>
      </c>
      <c r="K105" s="172">
        <v>19363215.677339401</v>
      </c>
      <c r="L105" s="172">
        <v>-23759260.112513501</v>
      </c>
    </row>
    <row r="106" spans="2:12" hidden="1" x14ac:dyDescent="0.3">
      <c r="B106" s="172" t="s">
        <v>22</v>
      </c>
      <c r="C106" s="172" t="s">
        <v>79</v>
      </c>
      <c r="D106" s="172" t="s">
        <v>242</v>
      </c>
      <c r="E106" s="172"/>
      <c r="F106" s="172" t="s">
        <v>72</v>
      </c>
      <c r="G106" s="172">
        <v>7.0267560658976403E-9</v>
      </c>
      <c r="H106" s="172">
        <v>-78193.680814187202</v>
      </c>
      <c r="I106" s="172">
        <v>-7304.36577304602</v>
      </c>
      <c r="J106" s="172">
        <v>500662.65345124801</v>
      </c>
      <c r="K106" s="172">
        <v>152817.13535945499</v>
      </c>
      <c r="L106" s="172">
        <v>-1567399.66344514</v>
      </c>
    </row>
    <row r="107" spans="2:12" hidden="1" x14ac:dyDescent="0.3">
      <c r="B107" s="172" t="s">
        <v>22</v>
      </c>
      <c r="C107" s="172" t="s">
        <v>79</v>
      </c>
      <c r="D107" s="172" t="s">
        <v>242</v>
      </c>
      <c r="E107" s="172"/>
      <c r="F107" s="172" t="s">
        <v>239</v>
      </c>
      <c r="G107" s="172">
        <v>6.9912857725285002E-9</v>
      </c>
      <c r="H107" s="172">
        <v>-78193.680814187202</v>
      </c>
      <c r="I107" s="172">
        <v>-7304.36577304602</v>
      </c>
      <c r="J107" s="172">
        <v>500662.65345124801</v>
      </c>
      <c r="K107" s="172">
        <v>182034.598451639</v>
      </c>
      <c r="L107" s="172">
        <v>-1880174.38670189</v>
      </c>
    </row>
    <row r="108" spans="2:12" hidden="1" x14ac:dyDescent="0.3">
      <c r="B108" s="172" t="s">
        <v>22</v>
      </c>
      <c r="C108" s="172" t="s">
        <v>80</v>
      </c>
      <c r="D108" s="172" t="s">
        <v>242</v>
      </c>
      <c r="E108" s="172"/>
      <c r="F108" s="172" t="s">
        <v>72</v>
      </c>
      <c r="G108" s="172">
        <v>7.3723640525713596E-9</v>
      </c>
      <c r="H108" s="172">
        <v>-75799.170380421507</v>
      </c>
      <c r="I108" s="172">
        <v>-7112.5555865681099</v>
      </c>
      <c r="J108" s="172">
        <v>384641.9583077</v>
      </c>
      <c r="K108" s="172">
        <v>152817.135367087</v>
      </c>
      <c r="L108" s="172">
        <v>-1567399.6634332801</v>
      </c>
    </row>
    <row r="109" spans="2:12" hidden="1" x14ac:dyDescent="0.3">
      <c r="B109" s="172" t="s">
        <v>22</v>
      </c>
      <c r="C109" s="172" t="s">
        <v>80</v>
      </c>
      <c r="D109" s="172" t="s">
        <v>242</v>
      </c>
      <c r="E109" s="172"/>
      <c r="F109" s="172" t="s">
        <v>239</v>
      </c>
      <c r="G109" s="172">
        <v>7.3523551691323502E-9</v>
      </c>
      <c r="H109" s="172">
        <v>-75799.170380421405</v>
      </c>
      <c r="I109" s="172">
        <v>-7112.5555865681099</v>
      </c>
      <c r="J109" s="172">
        <v>384641.9583077</v>
      </c>
      <c r="K109" s="172">
        <v>181267.357713359</v>
      </c>
      <c r="L109" s="172">
        <v>-1870596.34495496</v>
      </c>
    </row>
    <row r="110" spans="2:12" hidden="1" x14ac:dyDescent="0.3">
      <c r="B110" s="172" t="s">
        <v>22</v>
      </c>
      <c r="C110" s="172" t="s">
        <v>81</v>
      </c>
      <c r="D110" s="172" t="s">
        <v>242</v>
      </c>
      <c r="E110" s="172"/>
      <c r="F110" s="172" t="s">
        <v>72</v>
      </c>
      <c r="G110" s="172">
        <v>1.0404619388282299E-9</v>
      </c>
      <c r="H110" s="172">
        <v>-8201.4194104554208</v>
      </c>
      <c r="I110" s="172">
        <v>-78193.680740034397</v>
      </c>
      <c r="J110" s="172">
        <v>-780102.31721531705</v>
      </c>
      <c r="K110" s="172">
        <v>1581164.93753435</v>
      </c>
      <c r="L110" s="172">
        <v>-165097.60557841</v>
      </c>
    </row>
    <row r="111" spans="2:12" hidden="1" x14ac:dyDescent="0.3">
      <c r="B111" s="172" t="s">
        <v>22</v>
      </c>
      <c r="C111" s="172" t="s">
        <v>81</v>
      </c>
      <c r="D111" s="172" t="s">
        <v>242</v>
      </c>
      <c r="E111" s="172"/>
      <c r="F111" s="172" t="s">
        <v>239</v>
      </c>
      <c r="G111" s="172">
        <v>1.06592779047787E-9</v>
      </c>
      <c r="H111" s="172">
        <v>-8201.4194104554208</v>
      </c>
      <c r="I111" s="172">
        <v>-78193.680740034397</v>
      </c>
      <c r="J111" s="172">
        <v>-780102.317215316</v>
      </c>
      <c r="K111" s="172">
        <v>1893939.6604944901</v>
      </c>
      <c r="L111" s="172">
        <v>-197903.28322023299</v>
      </c>
    </row>
    <row r="112" spans="2:12" hidden="1" x14ac:dyDescent="0.3">
      <c r="B112" s="172" t="s">
        <v>22</v>
      </c>
      <c r="C112" s="172" t="s">
        <v>82</v>
      </c>
      <c r="D112" s="172" t="s">
        <v>242</v>
      </c>
      <c r="E112" s="172"/>
      <c r="F112" s="172" t="s">
        <v>72</v>
      </c>
      <c r="G112" s="172">
        <v>4.5110937207937199E-10</v>
      </c>
      <c r="H112" s="172">
        <v>-8201.4194111050401</v>
      </c>
      <c r="I112" s="172">
        <v>-78193.680739583506</v>
      </c>
      <c r="J112" s="172">
        <v>-629571.40255503298</v>
      </c>
      <c r="K112" s="172">
        <v>1581164.9375235101</v>
      </c>
      <c r="L112" s="172">
        <v>-165097.60558828901</v>
      </c>
    </row>
    <row r="113" spans="2:12" hidden="1" x14ac:dyDescent="0.3">
      <c r="B113" s="172" t="s">
        <v>22</v>
      </c>
      <c r="C113" s="172" t="s">
        <v>82</v>
      </c>
      <c r="D113" s="172" t="s">
        <v>242</v>
      </c>
      <c r="E113" s="172"/>
      <c r="F113" s="172" t="s">
        <v>239</v>
      </c>
      <c r="G113" s="172">
        <v>4.2564352042973E-10</v>
      </c>
      <c r="H113" s="172">
        <v>-8201.4194111050401</v>
      </c>
      <c r="I113" s="172">
        <v>-78193.680739583506</v>
      </c>
      <c r="J113" s="172">
        <v>-629571.40255503298</v>
      </c>
      <c r="K113" s="172">
        <v>1893939.6604818499</v>
      </c>
      <c r="L113" s="172">
        <v>-197903.283232708</v>
      </c>
    </row>
    <row r="114" spans="2:12" hidden="1" x14ac:dyDescent="0.3">
      <c r="B114" s="172" t="s">
        <v>22</v>
      </c>
      <c r="C114" s="172" t="s">
        <v>243</v>
      </c>
      <c r="D114" s="172" t="s">
        <v>242</v>
      </c>
      <c r="E114" s="172"/>
      <c r="F114" s="172" t="s">
        <v>72</v>
      </c>
      <c r="G114" s="172">
        <v>3057215.3624993698</v>
      </c>
      <c r="H114" s="172">
        <v>2.6336508085478301E-6</v>
      </c>
      <c r="I114" s="172">
        <v>-3.5459294167594602E-8</v>
      </c>
      <c r="J114" s="172">
        <v>-1.8702933857639399E-5</v>
      </c>
      <c r="K114" s="172">
        <v>21818038.485932902</v>
      </c>
      <c r="L114" s="172">
        <v>-26576186.7294663</v>
      </c>
    </row>
    <row r="115" spans="2:12" x14ac:dyDescent="0.3">
      <c r="B115" s="172" t="s">
        <v>22</v>
      </c>
      <c r="C115" s="172" t="s">
        <v>243</v>
      </c>
      <c r="D115" s="172" t="s">
        <v>242</v>
      </c>
      <c r="E115" s="172"/>
      <c r="F115" s="172" t="s">
        <v>239</v>
      </c>
      <c r="G115" s="172">
        <v>3103718.3624993698</v>
      </c>
      <c r="H115" s="172">
        <v>2.6336516754099602E-6</v>
      </c>
      <c r="I115" s="172">
        <v>-3.54658737933278E-8</v>
      </c>
      <c r="J115" s="172">
        <v>-1.8703038222156499E-5</v>
      </c>
      <c r="K115" s="172">
        <v>22126522.485933099</v>
      </c>
      <c r="L115" s="172">
        <v>-27041167.229455799</v>
      </c>
    </row>
  </sheetData>
  <autoFilter ref="B5:L115">
    <filterColumn colId="1">
      <filters>
        <filter val="S D+L"/>
      </filters>
    </filterColumn>
    <filterColumn colId="4">
      <filters>
        <filter val="Bottom"/>
      </filters>
    </filterColumn>
  </autoFilter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P_DELTA">
                <anchor moveWithCells="1" sizeWithCells="1">
                  <from>
                    <xdr:col>12</xdr:col>
                    <xdr:colOff>640080</xdr:colOff>
                    <xdr:row>5</xdr:row>
                    <xdr:rowOff>0</xdr:rowOff>
                  </from>
                  <to>
                    <xdr:col>15</xdr:col>
                    <xdr:colOff>510540</xdr:colOff>
                    <xdr:row>45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3"/>
  <dimension ref="B2:G443"/>
  <sheetViews>
    <sheetView topLeftCell="A144" zoomScale="70" zoomScaleNormal="70" workbookViewId="0">
      <selection activeCell="B392" sqref="B392:G407"/>
    </sheetView>
  </sheetViews>
  <sheetFormatPr baseColWidth="10" defaultRowHeight="14.4" x14ac:dyDescent="0.3"/>
  <cols>
    <col min="2" max="2" width="12.5546875" style="75" customWidth="1"/>
    <col min="3" max="5" width="12.88671875" style="75" customWidth="1"/>
    <col min="6" max="7" width="12.88671875" customWidth="1"/>
  </cols>
  <sheetData>
    <row r="2" spans="2:7" x14ac:dyDescent="0.3">
      <c r="B2" s="167" t="s">
        <v>83</v>
      </c>
      <c r="C2" s="168"/>
      <c r="D2" s="168"/>
      <c r="E2" s="168"/>
      <c r="F2" s="168"/>
      <c r="G2" s="168"/>
    </row>
    <row r="3" spans="2:7" x14ac:dyDescent="0.3">
      <c r="B3" s="169" t="s">
        <v>9</v>
      </c>
      <c r="C3" s="169" t="s">
        <v>46</v>
      </c>
      <c r="D3" s="169" t="s">
        <v>42</v>
      </c>
      <c r="E3" s="169" t="s">
        <v>84</v>
      </c>
      <c r="F3" s="169" t="s">
        <v>85</v>
      </c>
      <c r="G3" s="170" t="s">
        <v>86</v>
      </c>
    </row>
    <row r="4" spans="2:7" x14ac:dyDescent="0.3">
      <c r="B4" s="190"/>
      <c r="C4" s="190"/>
      <c r="D4" s="190"/>
      <c r="E4" s="190" t="s">
        <v>7</v>
      </c>
      <c r="F4" s="190" t="s">
        <v>7</v>
      </c>
      <c r="G4" s="191"/>
    </row>
    <row r="5" spans="2:7" s="172" customFormat="1" x14ac:dyDescent="0.3">
      <c r="B5" s="27" t="s">
        <v>251</v>
      </c>
      <c r="C5" s="27" t="s">
        <v>252</v>
      </c>
      <c r="D5" s="27" t="s">
        <v>253</v>
      </c>
      <c r="E5" s="27" t="s">
        <v>254</v>
      </c>
      <c r="F5" s="27" t="s">
        <v>255</v>
      </c>
      <c r="G5" s="27" t="s">
        <v>256</v>
      </c>
    </row>
    <row r="6" spans="2:7" s="172" customFormat="1" x14ac:dyDescent="0.3">
      <c r="B6" s="172" t="s">
        <v>189</v>
      </c>
      <c r="C6" s="172" t="s">
        <v>79</v>
      </c>
      <c r="D6" s="172" t="s">
        <v>215</v>
      </c>
      <c r="E6" s="172">
        <v>2.34904998820725E-2</v>
      </c>
      <c r="F6" s="172">
        <v>2.30649684376012E-2</v>
      </c>
      <c r="G6" s="172">
        <v>1.0184492532743901</v>
      </c>
    </row>
    <row r="7" spans="2:7" s="172" customFormat="1" x14ac:dyDescent="0.3">
      <c r="B7" s="172" t="s">
        <v>187</v>
      </c>
      <c r="C7" s="172" t="s">
        <v>79</v>
      </c>
      <c r="D7" s="172" t="s">
        <v>215</v>
      </c>
      <c r="E7" s="172">
        <v>2.51828330932314E-2</v>
      </c>
      <c r="F7" s="172">
        <v>2.3577697392550001E-2</v>
      </c>
      <c r="G7" s="172">
        <v>1.0680785605972101</v>
      </c>
    </row>
    <row r="8" spans="2:7" s="172" customFormat="1" hidden="1" x14ac:dyDescent="0.3">
      <c r="B8" s="172" t="s">
        <v>187</v>
      </c>
      <c r="C8" s="172" t="s">
        <v>79</v>
      </c>
      <c r="D8" s="172" t="s">
        <v>218</v>
      </c>
      <c r="E8" s="172">
        <v>5.2501438595116898E-3</v>
      </c>
      <c r="F8" s="172">
        <v>3.0029538785577301E-3</v>
      </c>
      <c r="G8" s="172">
        <v>1.74832650511211</v>
      </c>
    </row>
    <row r="9" spans="2:7" s="172" customFormat="1" x14ac:dyDescent="0.3">
      <c r="B9" s="172" t="s">
        <v>185</v>
      </c>
      <c r="C9" s="172" t="s">
        <v>79</v>
      </c>
      <c r="D9" s="172" t="s">
        <v>215</v>
      </c>
      <c r="E9" s="172">
        <v>2.4361947749667399E-2</v>
      </c>
      <c r="F9" s="172">
        <v>2.27503436155631E-2</v>
      </c>
      <c r="G9" s="172">
        <v>1.0708386722124801</v>
      </c>
    </row>
    <row r="10" spans="2:7" s="172" customFormat="1" hidden="1" x14ac:dyDescent="0.3">
      <c r="B10" s="172" t="s">
        <v>185</v>
      </c>
      <c r="C10" s="172" t="s">
        <v>79</v>
      </c>
      <c r="D10" s="172" t="s">
        <v>218</v>
      </c>
      <c r="E10" s="172">
        <v>5.0843517148191596E-3</v>
      </c>
      <c r="F10" s="172">
        <v>2.82810592707318E-3</v>
      </c>
      <c r="G10" s="172">
        <v>1.79779394616982</v>
      </c>
    </row>
    <row r="11" spans="2:7" s="172" customFormat="1" x14ac:dyDescent="0.3">
      <c r="B11" s="172" t="s">
        <v>183</v>
      </c>
      <c r="C11" s="172" t="s">
        <v>79</v>
      </c>
      <c r="D11" s="172" t="s">
        <v>215</v>
      </c>
      <c r="E11" s="172">
        <v>2.2999651672581101E-2</v>
      </c>
      <c r="F11" s="172">
        <v>2.1424705360032499E-2</v>
      </c>
      <c r="G11" s="172">
        <v>1.0735107571414599</v>
      </c>
    </row>
    <row r="12" spans="2:7" s="172" customFormat="1" hidden="1" x14ac:dyDescent="0.3">
      <c r="B12" s="172" t="s">
        <v>183</v>
      </c>
      <c r="C12" s="172" t="s">
        <v>79</v>
      </c>
      <c r="D12" s="172" t="s">
        <v>218</v>
      </c>
      <c r="E12" s="172">
        <v>4.8112558475360799E-3</v>
      </c>
      <c r="F12" s="172">
        <v>2.6063310099680701E-3</v>
      </c>
      <c r="G12" s="172">
        <v>1.8459880303519201</v>
      </c>
    </row>
    <row r="13" spans="2:7" s="172" customFormat="1" x14ac:dyDescent="0.3">
      <c r="B13" s="172" t="s">
        <v>181</v>
      </c>
      <c r="C13" s="172" t="s">
        <v>79</v>
      </c>
      <c r="D13" s="172" t="s">
        <v>215</v>
      </c>
      <c r="E13" s="172">
        <v>2.11372666108923E-2</v>
      </c>
      <c r="F13" s="172">
        <v>1.9639873695126001E-2</v>
      </c>
      <c r="G13" s="172">
        <v>1.07624249213669</v>
      </c>
    </row>
    <row r="14" spans="2:7" s="172" customFormat="1" hidden="1" x14ac:dyDescent="0.3">
      <c r="B14" s="172" t="s">
        <v>181</v>
      </c>
      <c r="C14" s="172" t="s">
        <v>79</v>
      </c>
      <c r="D14" s="172" t="s">
        <v>218</v>
      </c>
      <c r="E14" s="172">
        <v>4.4386120517923098E-3</v>
      </c>
      <c r="F14" s="172">
        <v>2.3422619697195399E-3</v>
      </c>
      <c r="G14" s="172">
        <v>1.8950109377918101</v>
      </c>
    </row>
    <row r="15" spans="2:7" s="172" customFormat="1" x14ac:dyDescent="0.3">
      <c r="B15" s="172" t="s">
        <v>179</v>
      </c>
      <c r="C15" s="172" t="s">
        <v>79</v>
      </c>
      <c r="D15" s="172" t="s">
        <v>215</v>
      </c>
      <c r="E15" s="172">
        <v>1.8849347576659899E-2</v>
      </c>
      <c r="F15" s="172">
        <v>1.7465414584897698E-2</v>
      </c>
      <c r="G15" s="172">
        <v>1.07923848500905</v>
      </c>
    </row>
    <row r="16" spans="2:7" s="172" customFormat="1" hidden="1" x14ac:dyDescent="0.3">
      <c r="B16" s="172" t="s">
        <v>179</v>
      </c>
      <c r="C16" s="172" t="s">
        <v>79</v>
      </c>
      <c r="D16" s="172" t="s">
        <v>218</v>
      </c>
      <c r="E16" s="172">
        <v>3.9814136952963201E-3</v>
      </c>
      <c r="F16" s="172">
        <v>2.0439075068292701E-3</v>
      </c>
      <c r="G16" s="172">
        <v>1.94794220481764</v>
      </c>
    </row>
    <row r="17" spans="2:7" s="172" customFormat="1" x14ac:dyDescent="0.3">
      <c r="B17" s="172" t="s">
        <v>39</v>
      </c>
      <c r="C17" s="172" t="s">
        <v>79</v>
      </c>
      <c r="D17" s="172" t="s">
        <v>215</v>
      </c>
      <c r="E17" s="172">
        <v>1.62022154166108E-2</v>
      </c>
      <c r="F17" s="172">
        <v>1.4964473800427199E-2</v>
      </c>
      <c r="G17" s="172">
        <v>1.0827120039562199</v>
      </c>
    </row>
    <row r="18" spans="2:7" hidden="1" x14ac:dyDescent="0.3">
      <c r="B18" s="172" t="s">
        <v>39</v>
      </c>
      <c r="C18" s="172" t="s">
        <v>79</v>
      </c>
      <c r="D18" s="172" t="s">
        <v>218</v>
      </c>
      <c r="E18" s="172">
        <v>3.45153228501505E-3</v>
      </c>
      <c r="F18" s="172">
        <v>1.7186940223579399E-3</v>
      </c>
      <c r="G18" s="172">
        <v>2.0082296442037801</v>
      </c>
    </row>
    <row r="19" spans="2:7" x14ac:dyDescent="0.3">
      <c r="B19" s="172" t="s">
        <v>26</v>
      </c>
      <c r="C19" s="172" t="s">
        <v>79</v>
      </c>
      <c r="D19" s="172" t="s">
        <v>215</v>
      </c>
      <c r="E19" s="172">
        <v>1.32765348880953E-2</v>
      </c>
      <c r="F19" s="172">
        <v>1.22341287994778E-2</v>
      </c>
      <c r="G19" s="172">
        <v>1.08520476657577</v>
      </c>
    </row>
    <row r="20" spans="2:7" hidden="1" x14ac:dyDescent="0.3">
      <c r="B20" s="172" t="s">
        <v>26</v>
      </c>
      <c r="C20" s="172" t="s">
        <v>79</v>
      </c>
      <c r="D20" s="172" t="s">
        <v>218</v>
      </c>
      <c r="E20" s="172">
        <v>2.8349329876117399E-3</v>
      </c>
      <c r="F20" s="172">
        <v>1.3755644635473001E-3</v>
      </c>
      <c r="G20" s="172">
        <v>2.06092339744007</v>
      </c>
    </row>
    <row r="21" spans="2:7" x14ac:dyDescent="0.3">
      <c r="B21" s="172" t="s">
        <v>25</v>
      </c>
      <c r="C21" s="172" t="s">
        <v>79</v>
      </c>
      <c r="D21" s="172" t="s">
        <v>215</v>
      </c>
      <c r="E21" s="172">
        <v>1.01290873939823E-2</v>
      </c>
      <c r="F21" s="172">
        <v>9.3292764007148997E-3</v>
      </c>
      <c r="G21" s="172">
        <v>1.08573129993299</v>
      </c>
    </row>
    <row r="22" spans="2:7" hidden="1" x14ac:dyDescent="0.3">
      <c r="B22" s="172" t="s">
        <v>25</v>
      </c>
      <c r="C22" s="172" t="s">
        <v>79</v>
      </c>
      <c r="D22" s="172" t="s">
        <v>218</v>
      </c>
      <c r="E22" s="172">
        <v>2.1413900024776899E-3</v>
      </c>
      <c r="F22" s="172">
        <v>1.02165461190331E-3</v>
      </c>
      <c r="G22" s="172">
        <v>2.09600189489512</v>
      </c>
    </row>
    <row r="23" spans="2:7" x14ac:dyDescent="0.3">
      <c r="B23" s="172" t="s">
        <v>24</v>
      </c>
      <c r="C23" s="172" t="s">
        <v>79</v>
      </c>
      <c r="D23" s="172" t="s">
        <v>215</v>
      </c>
      <c r="E23" s="172">
        <v>6.7958221261185496E-3</v>
      </c>
      <c r="F23" s="172">
        <v>6.2640507322495103E-3</v>
      </c>
      <c r="G23" s="172">
        <v>1.0848925745654201</v>
      </c>
    </row>
    <row r="24" spans="2:7" hidden="1" x14ac:dyDescent="0.3">
      <c r="B24" s="172" t="s">
        <v>24</v>
      </c>
      <c r="C24" s="172" t="s">
        <v>79</v>
      </c>
      <c r="D24" s="172" t="s">
        <v>218</v>
      </c>
      <c r="E24" s="172">
        <v>1.4079492365970899E-3</v>
      </c>
      <c r="F24" s="172">
        <v>6.6346928518043404E-4</v>
      </c>
      <c r="G24" s="172">
        <v>2.12210160748314</v>
      </c>
    </row>
    <row r="25" spans="2:7" x14ac:dyDescent="0.3">
      <c r="B25" s="172" t="s">
        <v>22</v>
      </c>
      <c r="C25" s="172" t="s">
        <v>79</v>
      </c>
      <c r="D25" s="172" t="s">
        <v>215</v>
      </c>
      <c r="E25" s="172">
        <v>3.3547620166010901E-3</v>
      </c>
      <c r="F25" s="172">
        <v>3.1062370217309798E-3</v>
      </c>
      <c r="G25" s="172">
        <v>1.0800083809224601</v>
      </c>
    </row>
    <row r="26" spans="2:7" hidden="1" x14ac:dyDescent="0.3">
      <c r="B26" s="172" t="s">
        <v>22</v>
      </c>
      <c r="C26" s="172" t="s">
        <v>79</v>
      </c>
      <c r="D26" s="172" t="s">
        <v>218</v>
      </c>
      <c r="E26" s="172">
        <v>6.6076683419440997E-4</v>
      </c>
      <c r="F26" s="172">
        <v>3.12831841376254E-4</v>
      </c>
      <c r="G26" s="172">
        <v>2.1122109286812698</v>
      </c>
    </row>
    <row r="27" spans="2:7" hidden="1" x14ac:dyDescent="0.3">
      <c r="B27" s="172" t="s">
        <v>189</v>
      </c>
      <c r="C27" s="172" t="s">
        <v>80</v>
      </c>
      <c r="D27" s="172" t="s">
        <v>215</v>
      </c>
      <c r="E27" s="172">
        <v>2.5383588444734199E-2</v>
      </c>
      <c r="F27" s="172">
        <v>2.49428937688768E-2</v>
      </c>
      <c r="G27" s="172">
        <v>1.01766814548228</v>
      </c>
    </row>
    <row r="28" spans="2:7" hidden="1" x14ac:dyDescent="0.3">
      <c r="B28" s="172" t="s">
        <v>189</v>
      </c>
      <c r="C28" s="172" t="s">
        <v>80</v>
      </c>
      <c r="D28" s="172" t="s">
        <v>218</v>
      </c>
      <c r="E28" s="172">
        <v>5.9851936617569797E-3</v>
      </c>
      <c r="F28" s="172">
        <v>5.4343253169351399E-3</v>
      </c>
      <c r="G28" s="172">
        <v>1.1013683047470799</v>
      </c>
    </row>
    <row r="29" spans="2:7" hidden="1" x14ac:dyDescent="0.3">
      <c r="B29" s="172" t="s">
        <v>187</v>
      </c>
      <c r="C29" s="172" t="s">
        <v>80</v>
      </c>
      <c r="D29" s="172" t="s">
        <v>215</v>
      </c>
      <c r="E29" s="172">
        <v>2.4653599260857102E-2</v>
      </c>
      <c r="F29" s="172">
        <v>2.30818623987953E-2</v>
      </c>
      <c r="G29" s="172">
        <v>1.0680940226965301</v>
      </c>
    </row>
    <row r="30" spans="2:7" hidden="1" x14ac:dyDescent="0.3">
      <c r="B30" s="172" t="s">
        <v>187</v>
      </c>
      <c r="C30" s="172" t="s">
        <v>80</v>
      </c>
      <c r="D30" s="172" t="s">
        <v>218</v>
      </c>
      <c r="E30" s="172">
        <v>5.6350184779858804E-3</v>
      </c>
      <c r="F30" s="172">
        <v>3.4345868710994E-3</v>
      </c>
      <c r="G30" s="172">
        <v>1.6406684965234699</v>
      </c>
    </row>
    <row r="31" spans="2:7" hidden="1" x14ac:dyDescent="0.3">
      <c r="B31" s="172" t="s">
        <v>185</v>
      </c>
      <c r="C31" s="172" t="s">
        <v>80</v>
      </c>
      <c r="D31" s="172" t="s">
        <v>215</v>
      </c>
      <c r="E31" s="172">
        <v>2.37114040625666E-2</v>
      </c>
      <c r="F31" s="172">
        <v>2.22665449094951E-2</v>
      </c>
      <c r="G31" s="172">
        <v>1.0648892389431901</v>
      </c>
    </row>
    <row r="32" spans="2:7" hidden="1" x14ac:dyDescent="0.3">
      <c r="B32" s="172" t="s">
        <v>185</v>
      </c>
      <c r="C32" s="172" t="s">
        <v>80</v>
      </c>
      <c r="D32" s="172" t="s">
        <v>218</v>
      </c>
      <c r="E32" s="172">
        <v>5.2437052928176698E-3</v>
      </c>
      <c r="F32" s="172">
        <v>3.2209024785175401E-3</v>
      </c>
      <c r="G32" s="172">
        <v>1.6280236138137101</v>
      </c>
    </row>
    <row r="33" spans="2:7" hidden="1" x14ac:dyDescent="0.3">
      <c r="B33" s="172" t="s">
        <v>183</v>
      </c>
      <c r="C33" s="172" t="s">
        <v>80</v>
      </c>
      <c r="D33" s="172" t="s">
        <v>215</v>
      </c>
      <c r="E33" s="172">
        <v>2.22565440085228E-2</v>
      </c>
      <c r="F33" s="172">
        <v>2.0960364816679102E-2</v>
      </c>
      <c r="G33" s="172">
        <v>1.0618395339575499</v>
      </c>
    </row>
    <row r="34" spans="2:7" hidden="1" x14ac:dyDescent="0.3">
      <c r="B34" s="172" t="s">
        <v>183</v>
      </c>
      <c r="C34" s="172" t="s">
        <v>80</v>
      </c>
      <c r="D34" s="172" t="s">
        <v>218</v>
      </c>
      <c r="E34" s="172">
        <v>4.7699397268065697E-3</v>
      </c>
      <c r="F34" s="172">
        <v>2.9552888582254199E-3</v>
      </c>
      <c r="G34" s="172">
        <v>1.61403502521605</v>
      </c>
    </row>
    <row r="35" spans="2:7" hidden="1" x14ac:dyDescent="0.3">
      <c r="B35" s="172" t="s">
        <v>181</v>
      </c>
      <c r="C35" s="172" t="s">
        <v>80</v>
      </c>
      <c r="D35" s="172" t="s">
        <v>215</v>
      </c>
      <c r="E35" s="172">
        <v>2.03306635866186E-2</v>
      </c>
      <c r="F35" s="172">
        <v>1.9202216740225601E-2</v>
      </c>
      <c r="G35" s="172">
        <v>1.05876648835179</v>
      </c>
    </row>
    <row r="36" spans="2:7" hidden="1" x14ac:dyDescent="0.3">
      <c r="B36" s="172" t="s">
        <v>181</v>
      </c>
      <c r="C36" s="172" t="s">
        <v>80</v>
      </c>
      <c r="D36" s="172" t="s">
        <v>218</v>
      </c>
      <c r="E36" s="172">
        <v>4.2234620540522799E-3</v>
      </c>
      <c r="F36" s="172">
        <v>2.6436364691021699E-3</v>
      </c>
      <c r="G36" s="172">
        <v>1.5975956238365301</v>
      </c>
    </row>
    <row r="37" spans="2:7" hidden="1" x14ac:dyDescent="0.3">
      <c r="B37" s="172" t="s">
        <v>179</v>
      </c>
      <c r="C37" s="172" t="s">
        <v>80</v>
      </c>
      <c r="D37" s="172" t="s">
        <v>215</v>
      </c>
      <c r="E37" s="172">
        <v>1.8006481704411499E-2</v>
      </c>
      <c r="F37" s="172">
        <v>1.7060682349489299E-2</v>
      </c>
      <c r="G37" s="172">
        <v>1.0554373697105099</v>
      </c>
    </row>
    <row r="38" spans="2:7" hidden="1" x14ac:dyDescent="0.3">
      <c r="B38" s="172" t="s">
        <v>179</v>
      </c>
      <c r="C38" s="172" t="s">
        <v>80</v>
      </c>
      <c r="D38" s="172" t="s">
        <v>218</v>
      </c>
      <c r="E38" s="172">
        <v>3.6192705673519501E-3</v>
      </c>
      <c r="F38" s="172">
        <v>2.2951514704608301E-3</v>
      </c>
      <c r="G38" s="172">
        <v>1.5769201353082201</v>
      </c>
    </row>
    <row r="39" spans="2:7" hidden="1" x14ac:dyDescent="0.3">
      <c r="B39" s="172" t="s">
        <v>39</v>
      </c>
      <c r="C39" s="172" t="s">
        <v>80</v>
      </c>
      <c r="D39" s="172" t="s">
        <v>215</v>
      </c>
      <c r="E39" s="172">
        <v>1.53517434629138E-2</v>
      </c>
      <c r="F39" s="172">
        <v>1.45981842875605E-2</v>
      </c>
      <c r="G39" s="172">
        <v>1.0516200618179199</v>
      </c>
    </row>
    <row r="40" spans="2:7" hidden="1" x14ac:dyDescent="0.3">
      <c r="B40" s="172" t="s">
        <v>39</v>
      </c>
      <c r="C40" s="172" t="s">
        <v>80</v>
      </c>
      <c r="D40" s="172" t="s">
        <v>218</v>
      </c>
      <c r="E40" s="172">
        <v>2.97356590290516E-3</v>
      </c>
      <c r="F40" s="172">
        <v>1.9185830574106201E-3</v>
      </c>
      <c r="G40" s="172">
        <v>1.5498760355563601</v>
      </c>
    </row>
    <row r="41" spans="2:7" hidden="1" x14ac:dyDescent="0.3">
      <c r="B41" s="172" t="s">
        <v>26</v>
      </c>
      <c r="C41" s="172" t="s">
        <v>80</v>
      </c>
      <c r="D41" s="172" t="s">
        <v>215</v>
      </c>
      <c r="E41" s="172">
        <v>1.24931812917478E-2</v>
      </c>
      <c r="F41" s="172">
        <v>1.19145828059775E-2</v>
      </c>
      <c r="G41" s="172">
        <v>1.0485622111317201</v>
      </c>
    </row>
    <row r="42" spans="2:7" hidden="1" x14ac:dyDescent="0.3">
      <c r="B42" s="172" t="s">
        <v>26</v>
      </c>
      <c r="C42" s="172" t="s">
        <v>80</v>
      </c>
      <c r="D42" s="172" t="s">
        <v>218</v>
      </c>
      <c r="E42" s="172">
        <v>2.3352556712436402E-3</v>
      </c>
      <c r="F42" s="172">
        <v>1.5252177911653001E-3</v>
      </c>
      <c r="G42" s="172">
        <v>1.5310965324233901</v>
      </c>
    </row>
    <row r="43" spans="2:7" hidden="1" x14ac:dyDescent="0.3">
      <c r="B43" s="172" t="s">
        <v>25</v>
      </c>
      <c r="C43" s="172" t="s">
        <v>80</v>
      </c>
      <c r="D43" s="172" t="s">
        <v>215</v>
      </c>
      <c r="E43" s="172">
        <v>9.4909527512745707E-3</v>
      </c>
      <c r="F43" s="172">
        <v>9.0645334549283099E-3</v>
      </c>
      <c r="G43" s="172">
        <v>1.04704260825629</v>
      </c>
    </row>
    <row r="44" spans="2:7" hidden="1" x14ac:dyDescent="0.3">
      <c r="B44" s="172" t="s">
        <v>25</v>
      </c>
      <c r="C44" s="172" t="s">
        <v>80</v>
      </c>
      <c r="D44" s="172" t="s">
        <v>218</v>
      </c>
      <c r="E44" s="172">
        <v>1.72093628914851E-3</v>
      </c>
      <c r="F44" s="172">
        <v>1.1239492742637499E-3</v>
      </c>
      <c r="G44" s="172">
        <v>1.5311512081146399</v>
      </c>
    </row>
    <row r="45" spans="2:7" hidden="1" x14ac:dyDescent="0.3">
      <c r="B45" s="172" t="s">
        <v>24</v>
      </c>
      <c r="C45" s="172" t="s">
        <v>80</v>
      </c>
      <c r="D45" s="172" t="s">
        <v>215</v>
      </c>
      <c r="E45" s="172">
        <v>6.3395514558798396E-3</v>
      </c>
      <c r="F45" s="172">
        <v>6.0590526905821198E-3</v>
      </c>
      <c r="G45" s="172">
        <v>1.0462941617480399</v>
      </c>
    </row>
    <row r="46" spans="2:7" hidden="1" x14ac:dyDescent="0.3">
      <c r="B46" s="172" t="s">
        <v>24</v>
      </c>
      <c r="C46" s="172" t="s">
        <v>80</v>
      </c>
      <c r="D46" s="172" t="s">
        <v>218</v>
      </c>
      <c r="E46" s="172">
        <v>1.1150584653147201E-3</v>
      </c>
      <c r="F46" s="172">
        <v>7.2236019389791402E-4</v>
      </c>
      <c r="G46" s="172">
        <v>1.5436322138651799</v>
      </c>
    </row>
    <row r="47" spans="2:7" hidden="1" x14ac:dyDescent="0.3">
      <c r="B47" s="172" t="s">
        <v>22</v>
      </c>
      <c r="C47" s="172" t="s">
        <v>80</v>
      </c>
      <c r="D47" s="172" t="s">
        <v>215</v>
      </c>
      <c r="E47" s="172">
        <v>3.1176199578511498E-3</v>
      </c>
      <c r="F47" s="172">
        <v>2.9752755503613098E-3</v>
      </c>
      <c r="G47" s="172">
        <v>1.0478424284004699</v>
      </c>
    </row>
    <row r="48" spans="2:7" hidden="1" x14ac:dyDescent="0.3">
      <c r="B48" s="172" t="s">
        <v>22</v>
      </c>
      <c r="C48" s="172" t="s">
        <v>80</v>
      </c>
      <c r="D48" s="172" t="s">
        <v>218</v>
      </c>
      <c r="E48" s="172">
        <v>5.3445529543778901E-4</v>
      </c>
      <c r="F48" s="172">
        <v>3.3517312495201198E-4</v>
      </c>
      <c r="G48" s="172">
        <v>1.59456488498089</v>
      </c>
    </row>
    <row r="49" spans="2:7" hidden="1" x14ac:dyDescent="0.3">
      <c r="B49" s="172" t="s">
        <v>189</v>
      </c>
      <c r="C49" s="172" t="s">
        <v>81</v>
      </c>
      <c r="D49" s="172" t="s">
        <v>215</v>
      </c>
      <c r="E49" s="172">
        <v>5.7448487347209797E-3</v>
      </c>
      <c r="F49" s="172">
        <v>4.8318155355923896E-3</v>
      </c>
      <c r="G49" s="172">
        <v>1.18896275994043</v>
      </c>
    </row>
    <row r="50" spans="2:7" hidden="1" x14ac:dyDescent="0.3">
      <c r="B50" s="172" t="s">
        <v>189</v>
      </c>
      <c r="C50" s="172" t="s">
        <v>81</v>
      </c>
      <c r="D50" s="172" t="s">
        <v>218</v>
      </c>
      <c r="E50" s="172">
        <v>3.7333517766412402E-2</v>
      </c>
      <c r="F50" s="172">
        <v>3.6192226267501598E-2</v>
      </c>
      <c r="G50" s="172">
        <v>1.0315341612443301</v>
      </c>
    </row>
    <row r="51" spans="2:7" hidden="1" x14ac:dyDescent="0.3">
      <c r="B51" s="172" t="s">
        <v>187</v>
      </c>
      <c r="C51" s="172" t="s">
        <v>81</v>
      </c>
      <c r="D51" s="172" t="s">
        <v>218</v>
      </c>
      <c r="E51" s="172">
        <v>3.5717062859312497E-2</v>
      </c>
      <c r="F51" s="172">
        <v>3.1359373927211699E-2</v>
      </c>
      <c r="G51" s="172">
        <v>1.1389596916767399</v>
      </c>
    </row>
    <row r="52" spans="2:7" hidden="1" x14ac:dyDescent="0.3">
      <c r="B52" s="172" t="s">
        <v>185</v>
      </c>
      <c r="C52" s="172" t="s">
        <v>81</v>
      </c>
      <c r="D52" s="172" t="s">
        <v>218</v>
      </c>
      <c r="E52" s="172">
        <v>3.3755644074649399E-2</v>
      </c>
      <c r="F52" s="172">
        <v>2.9811550079009201E-2</v>
      </c>
      <c r="G52" s="172">
        <v>1.1323008694679499</v>
      </c>
    </row>
    <row r="53" spans="2:7" hidden="1" x14ac:dyDescent="0.3">
      <c r="B53" s="172" t="s">
        <v>183</v>
      </c>
      <c r="C53" s="172" t="s">
        <v>81</v>
      </c>
      <c r="D53" s="172" t="s">
        <v>218</v>
      </c>
      <c r="E53" s="172">
        <v>3.11802349062806E-2</v>
      </c>
      <c r="F53" s="172">
        <v>2.7687899311206E-2</v>
      </c>
      <c r="G53" s="172">
        <v>1.12613219788982</v>
      </c>
    </row>
    <row r="54" spans="2:7" hidden="1" x14ac:dyDescent="0.3">
      <c r="B54" s="172" t="s">
        <v>181</v>
      </c>
      <c r="C54" s="172" t="s">
        <v>81</v>
      </c>
      <c r="D54" s="172" t="s">
        <v>218</v>
      </c>
      <c r="E54" s="172">
        <v>2.8068296263742E-2</v>
      </c>
      <c r="F54" s="172">
        <v>2.5054861248504801E-2</v>
      </c>
      <c r="G54" s="172">
        <v>1.12027346650811</v>
      </c>
    </row>
    <row r="55" spans="2:7" hidden="1" x14ac:dyDescent="0.3">
      <c r="B55" s="172" t="s">
        <v>179</v>
      </c>
      <c r="C55" s="172" t="s">
        <v>81</v>
      </c>
      <c r="D55" s="172" t="s">
        <v>218</v>
      </c>
      <c r="E55" s="172">
        <v>2.45318716610275E-2</v>
      </c>
      <c r="F55" s="172">
        <v>2.2013462684465E-2</v>
      </c>
      <c r="G55" s="172">
        <v>1.1144031274252799</v>
      </c>
    </row>
    <row r="56" spans="2:7" hidden="1" x14ac:dyDescent="0.3">
      <c r="B56" s="172" t="s">
        <v>39</v>
      </c>
      <c r="C56" s="172" t="s">
        <v>81</v>
      </c>
      <c r="D56" s="172" t="s">
        <v>218</v>
      </c>
      <c r="E56" s="172">
        <v>2.06691095765889E-2</v>
      </c>
      <c r="F56" s="172">
        <v>1.8650234774310701E-2</v>
      </c>
      <c r="G56" s="172">
        <v>1.1082492969503599</v>
      </c>
    </row>
    <row r="57" spans="2:7" hidden="1" x14ac:dyDescent="0.3">
      <c r="B57" s="172" t="s">
        <v>26</v>
      </c>
      <c r="C57" s="172" t="s">
        <v>81</v>
      </c>
      <c r="D57" s="172" t="s">
        <v>218</v>
      </c>
      <c r="E57" s="172">
        <v>1.6582308470408799E-2</v>
      </c>
      <c r="F57" s="172">
        <v>1.50436344218026E-2</v>
      </c>
      <c r="G57" s="172">
        <v>1.1022807391793701</v>
      </c>
    </row>
    <row r="58" spans="2:7" hidden="1" x14ac:dyDescent="0.3">
      <c r="B58" s="172" t="s">
        <v>25</v>
      </c>
      <c r="C58" s="172" t="s">
        <v>81</v>
      </c>
      <c r="D58" s="172" t="s">
        <v>218</v>
      </c>
      <c r="E58" s="172">
        <v>1.2348662936409301E-2</v>
      </c>
      <c r="F58" s="172">
        <v>1.12600089586987E-2</v>
      </c>
      <c r="G58" s="172">
        <v>1.09668322482724</v>
      </c>
    </row>
    <row r="59" spans="2:7" hidden="1" x14ac:dyDescent="0.3">
      <c r="B59" s="172" t="s">
        <v>24</v>
      </c>
      <c r="C59" s="172" t="s">
        <v>81</v>
      </c>
      <c r="D59" s="172" t="s">
        <v>218</v>
      </c>
      <c r="E59" s="172">
        <v>8.0399772202211107E-3</v>
      </c>
      <c r="F59" s="172">
        <v>7.3691882073132599E-3</v>
      </c>
      <c r="G59" s="172">
        <v>1.0910261746663199</v>
      </c>
    </row>
    <row r="60" spans="2:7" hidden="1" x14ac:dyDescent="0.3">
      <c r="B60" s="172" t="s">
        <v>22</v>
      </c>
      <c r="C60" s="172" t="s">
        <v>81</v>
      </c>
      <c r="D60" s="172" t="s">
        <v>218</v>
      </c>
      <c r="E60" s="172">
        <v>3.7923212216637199E-3</v>
      </c>
      <c r="F60" s="172">
        <v>3.4931912455426202E-3</v>
      </c>
      <c r="G60" s="172">
        <v>1.08563229296501</v>
      </c>
    </row>
    <row r="61" spans="2:7" hidden="1" x14ac:dyDescent="0.3">
      <c r="B61" s="172" t="s">
        <v>189</v>
      </c>
      <c r="C61" s="172" t="s">
        <v>82</v>
      </c>
      <c r="D61" s="172" t="s">
        <v>218</v>
      </c>
      <c r="E61" s="172">
        <v>3.0800208210094701E-2</v>
      </c>
      <c r="F61" s="172">
        <v>3.03410887390115E-2</v>
      </c>
      <c r="G61" s="172">
        <v>1.01513193791536</v>
      </c>
    </row>
    <row r="62" spans="2:7" hidden="1" x14ac:dyDescent="0.3">
      <c r="B62" s="172" t="s">
        <v>187</v>
      </c>
      <c r="C62" s="172" t="s">
        <v>82</v>
      </c>
      <c r="D62" s="172" t="s">
        <v>218</v>
      </c>
      <c r="E62" s="172">
        <v>3.2906171537659103E-2</v>
      </c>
      <c r="F62" s="172">
        <v>3.07076521103214E-2</v>
      </c>
      <c r="G62" s="172">
        <v>1.07159516525195</v>
      </c>
    </row>
    <row r="63" spans="2:7" hidden="1" x14ac:dyDescent="0.3">
      <c r="B63" s="172" t="s">
        <v>185</v>
      </c>
      <c r="C63" s="172" t="s">
        <v>82</v>
      </c>
      <c r="D63" s="172" t="s">
        <v>218</v>
      </c>
      <c r="E63" s="172">
        <v>3.1570824711137001E-2</v>
      </c>
      <c r="F63" s="172">
        <v>2.9218224567942701E-2</v>
      </c>
      <c r="G63" s="172">
        <v>1.08051824428016</v>
      </c>
    </row>
    <row r="64" spans="2:7" hidden="1" x14ac:dyDescent="0.3">
      <c r="B64" s="172" t="s">
        <v>183</v>
      </c>
      <c r="C64" s="172" t="s">
        <v>82</v>
      </c>
      <c r="D64" s="172" t="s">
        <v>218</v>
      </c>
      <c r="E64" s="172">
        <v>2.9567946292636298E-2</v>
      </c>
      <c r="F64" s="172">
        <v>2.7160469313030702E-2</v>
      </c>
      <c r="G64" s="172">
        <v>1.08863900516073</v>
      </c>
    </row>
    <row r="65" spans="2:7" hidden="1" x14ac:dyDescent="0.3">
      <c r="B65" s="172" t="s">
        <v>181</v>
      </c>
      <c r="C65" s="172" t="s">
        <v>82</v>
      </c>
      <c r="D65" s="172" t="s">
        <v>218</v>
      </c>
      <c r="E65" s="172">
        <v>2.6966602665529301E-2</v>
      </c>
      <c r="F65" s="172">
        <v>2.4598672581291801E-2</v>
      </c>
      <c r="G65" s="172">
        <v>1.09626251483336</v>
      </c>
    </row>
    <row r="66" spans="2:7" hidden="1" x14ac:dyDescent="0.3">
      <c r="B66" s="172" t="s">
        <v>179</v>
      </c>
      <c r="C66" s="172" t="s">
        <v>82</v>
      </c>
      <c r="D66" s="172" t="s">
        <v>218</v>
      </c>
      <c r="E66" s="172">
        <v>2.38773807634956E-2</v>
      </c>
      <c r="F66" s="172">
        <v>2.1631895125597701E-2</v>
      </c>
      <c r="G66" s="172">
        <v>1.10380438814354</v>
      </c>
    </row>
    <row r="67" spans="2:7" hidden="1" x14ac:dyDescent="0.3">
      <c r="B67" s="172" t="s">
        <v>39</v>
      </c>
      <c r="C67" s="172" t="s">
        <v>82</v>
      </c>
      <c r="D67" s="172" t="s">
        <v>215</v>
      </c>
      <c r="E67" s="172">
        <v>3.3052183631658801E-3</v>
      </c>
      <c r="F67" s="172">
        <v>1.84288591355189E-3</v>
      </c>
      <c r="G67" s="172">
        <v>1.7935013442018</v>
      </c>
    </row>
    <row r="68" spans="2:7" hidden="1" x14ac:dyDescent="0.3">
      <c r="B68" s="172" t="s">
        <v>39</v>
      </c>
      <c r="C68" s="172" t="s">
        <v>82</v>
      </c>
      <c r="D68" s="172" t="s">
        <v>218</v>
      </c>
      <c r="E68" s="172">
        <v>2.0391922551178599E-2</v>
      </c>
      <c r="F68" s="172">
        <v>1.8344657121719E-2</v>
      </c>
      <c r="G68" s="172">
        <v>1.1116000923798</v>
      </c>
    </row>
    <row r="69" spans="2:7" hidden="1" x14ac:dyDescent="0.3">
      <c r="B69" s="172" t="s">
        <v>26</v>
      </c>
      <c r="C69" s="172" t="s">
        <v>82</v>
      </c>
      <c r="D69" s="172" t="s">
        <v>215</v>
      </c>
      <c r="E69" s="172">
        <v>2.7711716551945E-3</v>
      </c>
      <c r="F69" s="172">
        <v>1.50691988974059E-3</v>
      </c>
      <c r="G69" s="172">
        <v>1.83896415068988</v>
      </c>
    </row>
    <row r="70" spans="2:7" hidden="1" x14ac:dyDescent="0.3">
      <c r="B70" s="172" t="s">
        <v>26</v>
      </c>
      <c r="C70" s="172" t="s">
        <v>82</v>
      </c>
      <c r="D70" s="172" t="s">
        <v>218</v>
      </c>
      <c r="E70" s="172">
        <v>1.65819921259725E-2</v>
      </c>
      <c r="F70" s="172">
        <v>1.4812039654337E-2</v>
      </c>
      <c r="G70" s="172">
        <v>1.11949417588261</v>
      </c>
    </row>
    <row r="71" spans="2:7" hidden="1" x14ac:dyDescent="0.3">
      <c r="B71" s="172" t="s">
        <v>25</v>
      </c>
      <c r="C71" s="172" t="s">
        <v>82</v>
      </c>
      <c r="D71" s="172" t="s">
        <v>215</v>
      </c>
      <c r="E71" s="172">
        <v>2.1572629353383299E-3</v>
      </c>
      <c r="F71" s="172">
        <v>1.1460458063316001E-3</v>
      </c>
      <c r="G71" s="172">
        <v>1.8823531515232901</v>
      </c>
    </row>
    <row r="72" spans="2:7" hidden="1" x14ac:dyDescent="0.3">
      <c r="B72" s="172" t="s">
        <v>25</v>
      </c>
      <c r="C72" s="172" t="s">
        <v>82</v>
      </c>
      <c r="D72" s="172" t="s">
        <v>218</v>
      </c>
      <c r="E72" s="172">
        <v>1.25136567431243E-2</v>
      </c>
      <c r="F72" s="172">
        <v>1.10979527625149E-2</v>
      </c>
      <c r="G72" s="172">
        <v>1.12756442660228</v>
      </c>
    </row>
    <row r="73" spans="2:7" hidden="1" x14ac:dyDescent="0.3">
      <c r="B73" s="172" t="s">
        <v>24</v>
      </c>
      <c r="C73" s="172" t="s">
        <v>82</v>
      </c>
      <c r="D73" s="172" t="s">
        <v>215</v>
      </c>
      <c r="E73" s="172">
        <v>1.47408791213282E-3</v>
      </c>
      <c r="F73" s="172">
        <v>7.66005109443164E-4</v>
      </c>
      <c r="G73" s="172">
        <v>1.92438391593026</v>
      </c>
    </row>
    <row r="74" spans="2:7" hidden="1" x14ac:dyDescent="0.3">
      <c r="B74" s="172" t="s">
        <v>24</v>
      </c>
      <c r="C74" s="172" t="s">
        <v>82</v>
      </c>
      <c r="D74" s="172" t="s">
        <v>218</v>
      </c>
      <c r="E74" s="172">
        <v>8.2622244704048092E-3</v>
      </c>
      <c r="F74" s="172">
        <v>7.2709085466392898E-3</v>
      </c>
      <c r="G74" s="172">
        <v>1.1363400347297301</v>
      </c>
    </row>
    <row r="75" spans="2:7" hidden="1" x14ac:dyDescent="0.3">
      <c r="B75" s="172" t="s">
        <v>22</v>
      </c>
      <c r="C75" s="172" t="s">
        <v>82</v>
      </c>
      <c r="D75" s="172" t="s">
        <v>215</v>
      </c>
      <c r="E75" s="172">
        <v>7.3664890893807597E-4</v>
      </c>
      <c r="F75" s="172">
        <v>3.7606420642997702E-4</v>
      </c>
      <c r="G75" s="172">
        <v>1.95883813546408</v>
      </c>
    </row>
    <row r="76" spans="2:7" hidden="1" x14ac:dyDescent="0.3">
      <c r="B76" s="172" t="s">
        <v>22</v>
      </c>
      <c r="C76" s="172" t="s">
        <v>82</v>
      </c>
      <c r="D76" s="172" t="s">
        <v>218</v>
      </c>
      <c r="E76" s="172">
        <v>3.9552339137093797E-3</v>
      </c>
      <c r="F76" s="172">
        <v>3.45041533019804E-3</v>
      </c>
      <c r="G76" s="172">
        <v>1.1463066139004101</v>
      </c>
    </row>
    <row r="77" spans="2:7" hidden="1" x14ac:dyDescent="0.3">
      <c r="B77" s="172" t="s">
        <v>189</v>
      </c>
      <c r="C77" s="172" t="s">
        <v>243</v>
      </c>
      <c r="D77" s="172" t="s">
        <v>215</v>
      </c>
      <c r="E77" s="172">
        <v>3.1868270793155599E-3</v>
      </c>
      <c r="F77" s="172">
        <v>3.0091054227551102E-3</v>
      </c>
      <c r="G77" s="172">
        <v>1.0590612928402201</v>
      </c>
    </row>
    <row r="78" spans="2:7" hidden="1" x14ac:dyDescent="0.3">
      <c r="B78" s="172" t="s">
        <v>189</v>
      </c>
      <c r="C78" s="172" t="s">
        <v>243</v>
      </c>
      <c r="D78" s="172" t="s">
        <v>218</v>
      </c>
      <c r="E78" s="172">
        <v>6.9198168007184101E-4</v>
      </c>
      <c r="F78" s="172">
        <v>4.6982960937128401E-4</v>
      </c>
      <c r="G78" s="172">
        <v>1.4728353987690099</v>
      </c>
    </row>
    <row r="79" spans="2:7" hidden="1" x14ac:dyDescent="0.3">
      <c r="B79" s="172" t="s">
        <v>187</v>
      </c>
      <c r="C79" s="172" t="s">
        <v>243</v>
      </c>
      <c r="D79" s="172" t="s">
        <v>215</v>
      </c>
      <c r="E79" s="172">
        <v>1.9617313596615102E-3</v>
      </c>
      <c r="F79" s="172">
        <v>1.69578902581984E-3</v>
      </c>
      <c r="G79" s="172">
        <v>1.1568251296549601</v>
      </c>
    </row>
    <row r="80" spans="2:7" hidden="1" x14ac:dyDescent="0.3">
      <c r="B80" s="172" t="s">
        <v>185</v>
      </c>
      <c r="C80" s="172" t="s">
        <v>243</v>
      </c>
      <c r="D80" s="172" t="s">
        <v>215</v>
      </c>
      <c r="E80" s="172">
        <v>1.6993291200974401E-3</v>
      </c>
      <c r="F80" s="172">
        <v>1.46352616890498E-3</v>
      </c>
      <c r="G80" s="172">
        <v>1.1611197368400199</v>
      </c>
    </row>
    <row r="81" spans="2:7" hidden="1" x14ac:dyDescent="0.3">
      <c r="B81" s="172" t="s">
        <v>183</v>
      </c>
      <c r="C81" s="172" t="s">
        <v>243</v>
      </c>
      <c r="D81" s="172" t="s">
        <v>215</v>
      </c>
      <c r="E81" s="172">
        <v>1.42756747700721E-3</v>
      </c>
      <c r="F81" s="172">
        <v>1.2274100856461501E-3</v>
      </c>
      <c r="G81" s="172">
        <v>1.16307295638335</v>
      </c>
    </row>
    <row r="82" spans="2:7" hidden="1" x14ac:dyDescent="0.3">
      <c r="B82" s="172" t="s">
        <v>181</v>
      </c>
      <c r="C82" s="172" t="s">
        <v>243</v>
      </c>
      <c r="D82" s="172" t="s">
        <v>215</v>
      </c>
      <c r="E82" s="172">
        <v>1.1660815332689999E-3</v>
      </c>
      <c r="F82" s="172">
        <v>1.00048743643744E-3</v>
      </c>
      <c r="G82" s="172">
        <v>1.1655134195599901</v>
      </c>
    </row>
    <row r="83" spans="2:7" hidden="1" x14ac:dyDescent="0.3">
      <c r="B83" s="172" t="s">
        <v>179</v>
      </c>
      <c r="C83" s="172" t="s">
        <v>243</v>
      </c>
      <c r="D83" s="172" t="s">
        <v>215</v>
      </c>
      <c r="E83" s="172">
        <v>9.2203772919353E-4</v>
      </c>
      <c r="F83" s="172">
        <v>7.8879069452712704E-4</v>
      </c>
      <c r="G83" s="172">
        <v>1.1689257183063999</v>
      </c>
    </row>
    <row r="84" spans="2:7" hidden="1" x14ac:dyDescent="0.3">
      <c r="B84" s="172" t="s">
        <v>39</v>
      </c>
      <c r="C84" s="172" t="s">
        <v>243</v>
      </c>
      <c r="D84" s="172" t="s">
        <v>215</v>
      </c>
      <c r="E84" s="172">
        <v>7.0005636974774296E-4</v>
      </c>
      <c r="F84" s="172">
        <v>5.9624868472999901E-4</v>
      </c>
      <c r="G84" s="172">
        <v>1.17410132328384</v>
      </c>
    </row>
    <row r="85" spans="2:7" hidden="1" x14ac:dyDescent="0.3">
      <c r="B85" s="172" t="s">
        <v>26</v>
      </c>
      <c r="C85" s="172" t="s">
        <v>243</v>
      </c>
      <c r="D85" s="172" t="s">
        <v>215</v>
      </c>
      <c r="E85" s="172">
        <v>4.7955627234540601E-4</v>
      </c>
      <c r="F85" s="172">
        <v>4.0816618497460601E-4</v>
      </c>
      <c r="G85" s="172">
        <v>1.17490446293399</v>
      </c>
    </row>
    <row r="86" spans="2:7" hidden="1" x14ac:dyDescent="0.3">
      <c r="B86" s="172" t="s">
        <v>25</v>
      </c>
      <c r="C86" s="172" t="s">
        <v>243</v>
      </c>
      <c r="D86" s="172" t="s">
        <v>215</v>
      </c>
      <c r="E86" s="172">
        <v>2.7183494533732701E-4</v>
      </c>
      <c r="F86" s="172">
        <v>2.3337919885867199E-4</v>
      </c>
      <c r="G86" s="172">
        <v>1.16477795221991</v>
      </c>
    </row>
    <row r="87" spans="2:7" hidden="1" x14ac:dyDescent="0.3">
      <c r="B87" s="172" t="s">
        <v>24</v>
      </c>
      <c r="C87" s="172" t="s">
        <v>243</v>
      </c>
      <c r="D87" s="172" t="s">
        <v>215</v>
      </c>
      <c r="E87" s="172">
        <v>1.16675265152381E-4</v>
      </c>
      <c r="F87" s="172">
        <v>1.02144186293251E-4</v>
      </c>
      <c r="G87" s="172">
        <v>1.14226045932181</v>
      </c>
    </row>
    <row r="88" spans="2:7" hidden="1" x14ac:dyDescent="0.3">
      <c r="B88" s="172" t="s">
        <v>22</v>
      </c>
      <c r="C88" s="172" t="s">
        <v>243</v>
      </c>
      <c r="D88" s="172" t="s">
        <v>215</v>
      </c>
      <c r="E88" s="172">
        <v>2.97436435133876E-5</v>
      </c>
      <c r="F88" s="172">
        <v>2.68862362018597E-5</v>
      </c>
      <c r="G88" s="172">
        <v>1.1062776987479599</v>
      </c>
    </row>
    <row r="89" spans="2:7" hidden="1" x14ac:dyDescent="0.3">
      <c r="B89" s="172"/>
      <c r="C89" s="172"/>
      <c r="D89" s="172"/>
      <c r="E89" s="172"/>
      <c r="F89" s="172"/>
      <c r="G89" s="172"/>
    </row>
    <row r="90" spans="2:7" hidden="1" x14ac:dyDescent="0.3">
      <c r="B90" s="172"/>
      <c r="C90" s="172"/>
      <c r="D90" s="172"/>
      <c r="E90" s="172"/>
      <c r="F90" s="172"/>
      <c r="G90" s="172"/>
    </row>
    <row r="91" spans="2:7" hidden="1" x14ac:dyDescent="0.3">
      <c r="B91" s="172"/>
      <c r="C91" s="172"/>
      <c r="D91" s="172"/>
      <c r="E91" s="172"/>
      <c r="F91" s="172"/>
      <c r="G91" s="172"/>
    </row>
    <row r="92" spans="2:7" hidden="1" x14ac:dyDescent="0.3">
      <c r="B92" s="172"/>
      <c r="C92" s="172"/>
      <c r="D92" s="172"/>
      <c r="E92" s="172"/>
      <c r="F92" s="172"/>
      <c r="G92" s="172"/>
    </row>
    <row r="93" spans="2:7" hidden="1" x14ac:dyDescent="0.3">
      <c r="B93" s="172"/>
      <c r="C93" s="172"/>
      <c r="D93" s="172"/>
      <c r="E93" s="172"/>
      <c r="F93" s="172"/>
      <c r="G93" s="172"/>
    </row>
    <row r="94" spans="2:7" hidden="1" x14ac:dyDescent="0.3">
      <c r="B94" s="172"/>
      <c r="C94" s="172"/>
      <c r="D94" s="172"/>
      <c r="E94" s="172"/>
      <c r="F94" s="172"/>
      <c r="G94" s="172"/>
    </row>
    <row r="95" spans="2:7" hidden="1" x14ac:dyDescent="0.3">
      <c r="B95" s="172"/>
      <c r="C95" s="172"/>
      <c r="D95" s="172"/>
      <c r="E95" s="172"/>
      <c r="F95" s="172"/>
      <c r="G95" s="172"/>
    </row>
    <row r="96" spans="2:7" hidden="1" x14ac:dyDescent="0.3">
      <c r="B96" s="172"/>
      <c r="C96" s="172"/>
      <c r="D96" s="172"/>
      <c r="E96" s="172"/>
      <c r="F96" s="172"/>
      <c r="G96" s="172"/>
    </row>
    <row r="97" spans="2:7" hidden="1" x14ac:dyDescent="0.3">
      <c r="B97" s="172"/>
      <c r="C97" s="172"/>
      <c r="D97" s="172"/>
      <c r="E97" s="172"/>
      <c r="F97" s="172"/>
      <c r="G97" s="172"/>
    </row>
    <row r="98" spans="2:7" hidden="1" x14ac:dyDescent="0.3">
      <c r="B98" s="172"/>
      <c r="C98" s="172"/>
      <c r="D98" s="172"/>
      <c r="E98" s="172"/>
      <c r="F98" s="172"/>
      <c r="G98" s="172"/>
    </row>
    <row r="99" spans="2:7" hidden="1" x14ac:dyDescent="0.3">
      <c r="B99" s="172"/>
      <c r="C99" s="172"/>
      <c r="D99" s="172"/>
      <c r="E99" s="172"/>
      <c r="F99" s="172"/>
      <c r="G99" s="172"/>
    </row>
    <row r="100" spans="2:7" hidden="1" x14ac:dyDescent="0.3">
      <c r="B100" s="172"/>
      <c r="C100" s="172"/>
      <c r="D100" s="172"/>
      <c r="E100" s="172"/>
      <c r="F100" s="172"/>
      <c r="G100" s="172"/>
    </row>
    <row r="101" spans="2:7" hidden="1" x14ac:dyDescent="0.3">
      <c r="B101" s="172"/>
      <c r="C101" s="172"/>
      <c r="D101" s="172"/>
      <c r="E101" s="172"/>
      <c r="F101" s="172"/>
      <c r="G101" s="172"/>
    </row>
    <row r="102" spans="2:7" hidden="1" x14ac:dyDescent="0.3">
      <c r="B102" s="172"/>
      <c r="C102" s="172"/>
      <c r="D102" s="172"/>
      <c r="E102" s="172"/>
      <c r="F102" s="172"/>
      <c r="G102" s="172"/>
    </row>
    <row r="103" spans="2:7" hidden="1" x14ac:dyDescent="0.3">
      <c r="B103" s="172"/>
      <c r="C103" s="172"/>
      <c r="D103" s="172"/>
      <c r="E103" s="172"/>
      <c r="F103" s="172"/>
      <c r="G103" s="172"/>
    </row>
    <row r="104" spans="2:7" hidden="1" x14ac:dyDescent="0.3">
      <c r="B104" s="172"/>
      <c r="C104" s="172"/>
      <c r="D104" s="172"/>
      <c r="E104" s="172"/>
      <c r="F104" s="172"/>
      <c r="G104" s="172"/>
    </row>
    <row r="105" spans="2:7" hidden="1" x14ac:dyDescent="0.3">
      <c r="B105" s="172"/>
      <c r="C105" s="172"/>
      <c r="D105" s="172"/>
      <c r="E105" s="172"/>
      <c r="F105" s="172"/>
      <c r="G105" s="172"/>
    </row>
    <row r="106" spans="2:7" hidden="1" x14ac:dyDescent="0.3">
      <c r="B106" s="172"/>
      <c r="C106" s="172"/>
      <c r="D106" s="172"/>
      <c r="E106" s="172"/>
      <c r="F106" s="172"/>
      <c r="G106" s="172"/>
    </row>
    <row r="107" spans="2:7" hidden="1" x14ac:dyDescent="0.3">
      <c r="B107" s="172"/>
      <c r="C107" s="172"/>
      <c r="D107" s="172"/>
      <c r="E107" s="172"/>
      <c r="F107" s="172"/>
      <c r="G107" s="172"/>
    </row>
    <row r="108" spans="2:7" hidden="1" x14ac:dyDescent="0.3">
      <c r="B108" s="172"/>
      <c r="C108" s="172"/>
      <c r="D108" s="172"/>
      <c r="E108" s="172"/>
      <c r="F108" s="172"/>
      <c r="G108" s="172"/>
    </row>
    <row r="109" spans="2:7" hidden="1" x14ac:dyDescent="0.3">
      <c r="B109" s="172"/>
      <c r="C109" s="172"/>
      <c r="D109" s="172"/>
      <c r="E109" s="172"/>
      <c r="F109" s="172"/>
      <c r="G109" s="172"/>
    </row>
    <row r="110" spans="2:7" x14ac:dyDescent="0.3">
      <c r="B110" s="172"/>
      <c r="C110" s="172"/>
      <c r="D110" s="172"/>
      <c r="E110" s="172"/>
      <c r="F110" s="172"/>
      <c r="G110" s="172"/>
    </row>
    <row r="111" spans="2:7" x14ac:dyDescent="0.3">
      <c r="B111" s="167" t="s">
        <v>83</v>
      </c>
      <c r="C111" s="168"/>
      <c r="D111" s="168"/>
      <c r="E111" s="168"/>
      <c r="F111" s="168"/>
      <c r="G111" s="168"/>
    </row>
    <row r="112" spans="2:7" x14ac:dyDescent="0.3">
      <c r="B112" s="169" t="s">
        <v>9</v>
      </c>
      <c r="C112" s="169" t="s">
        <v>46</v>
      </c>
      <c r="D112" s="169" t="s">
        <v>42</v>
      </c>
      <c r="E112" s="169" t="s">
        <v>84</v>
      </c>
      <c r="F112" s="169" t="s">
        <v>85</v>
      </c>
      <c r="G112" s="170" t="s">
        <v>86</v>
      </c>
    </row>
    <row r="113" spans="2:7" x14ac:dyDescent="0.3">
      <c r="B113" s="190"/>
      <c r="C113" s="190"/>
      <c r="D113" s="190"/>
      <c r="E113" s="190" t="s">
        <v>7</v>
      </c>
      <c r="F113" s="190" t="s">
        <v>7</v>
      </c>
      <c r="G113" s="191"/>
    </row>
    <row r="114" spans="2:7" s="172" customFormat="1" x14ac:dyDescent="0.3">
      <c r="B114" s="27" t="s">
        <v>251</v>
      </c>
      <c r="C114" s="27" t="s">
        <v>252</v>
      </c>
      <c r="D114" s="27" t="s">
        <v>253</v>
      </c>
      <c r="E114" s="27" t="s">
        <v>254</v>
      </c>
      <c r="F114" s="27" t="s">
        <v>255</v>
      </c>
      <c r="G114" s="27" t="s">
        <v>256</v>
      </c>
    </row>
    <row r="115" spans="2:7" hidden="1" x14ac:dyDescent="0.3">
      <c r="B115" s="172" t="s">
        <v>189</v>
      </c>
      <c r="C115" s="172" t="s">
        <v>79</v>
      </c>
      <c r="D115" s="172" t="s">
        <v>215</v>
      </c>
      <c r="E115" s="172">
        <v>2.34904998820725E-2</v>
      </c>
      <c r="F115" s="172">
        <v>2.30649684376012E-2</v>
      </c>
      <c r="G115" s="172">
        <v>1.0184492532743901</v>
      </c>
    </row>
    <row r="116" spans="2:7" s="172" customFormat="1" hidden="1" x14ac:dyDescent="0.3">
      <c r="B116" s="172" t="s">
        <v>187</v>
      </c>
      <c r="C116" s="172" t="s">
        <v>79</v>
      </c>
      <c r="D116" s="172" t="s">
        <v>215</v>
      </c>
      <c r="E116" s="172">
        <v>2.51828330932314E-2</v>
      </c>
      <c r="F116" s="172">
        <v>2.3577697392550001E-2</v>
      </c>
      <c r="G116" s="172">
        <v>1.0680785605972101</v>
      </c>
    </row>
    <row r="117" spans="2:7" hidden="1" x14ac:dyDescent="0.3">
      <c r="B117" s="172" t="s">
        <v>187</v>
      </c>
      <c r="C117" s="172" t="s">
        <v>79</v>
      </c>
      <c r="D117" s="172" t="s">
        <v>218</v>
      </c>
      <c r="E117" s="172">
        <v>5.2501438595116898E-3</v>
      </c>
      <c r="F117" s="172">
        <v>3.0029538785577301E-3</v>
      </c>
      <c r="G117" s="172">
        <v>1.74832650511211</v>
      </c>
    </row>
    <row r="118" spans="2:7" s="172" customFormat="1" hidden="1" x14ac:dyDescent="0.3">
      <c r="B118" s="172" t="s">
        <v>185</v>
      </c>
      <c r="C118" s="172" t="s">
        <v>79</v>
      </c>
      <c r="D118" s="172" t="s">
        <v>215</v>
      </c>
      <c r="E118" s="172">
        <v>2.4361947749667399E-2</v>
      </c>
      <c r="F118" s="172">
        <v>2.27503436155631E-2</v>
      </c>
      <c r="G118" s="172">
        <v>1.0708386722124801</v>
      </c>
    </row>
    <row r="119" spans="2:7" hidden="1" x14ac:dyDescent="0.3">
      <c r="B119" s="172" t="s">
        <v>185</v>
      </c>
      <c r="C119" s="172" t="s">
        <v>79</v>
      </c>
      <c r="D119" s="172" t="s">
        <v>218</v>
      </c>
      <c r="E119" s="172">
        <v>5.0843517148191596E-3</v>
      </c>
      <c r="F119" s="172">
        <v>2.82810592707318E-3</v>
      </c>
      <c r="G119" s="172">
        <v>1.79779394616982</v>
      </c>
    </row>
    <row r="120" spans="2:7" s="172" customFormat="1" hidden="1" x14ac:dyDescent="0.3">
      <c r="B120" s="172" t="s">
        <v>183</v>
      </c>
      <c r="C120" s="172" t="s">
        <v>79</v>
      </c>
      <c r="D120" s="172" t="s">
        <v>215</v>
      </c>
      <c r="E120" s="172">
        <v>2.2999651672581101E-2</v>
      </c>
      <c r="F120" s="172">
        <v>2.1424705360032499E-2</v>
      </c>
      <c r="G120" s="172">
        <v>1.0735107571414599</v>
      </c>
    </row>
    <row r="121" spans="2:7" hidden="1" x14ac:dyDescent="0.3">
      <c r="B121" s="172" t="s">
        <v>183</v>
      </c>
      <c r="C121" s="172" t="s">
        <v>79</v>
      </c>
      <c r="D121" s="172" t="s">
        <v>218</v>
      </c>
      <c r="E121" s="172">
        <v>4.8112558475360799E-3</v>
      </c>
      <c r="F121" s="172">
        <v>2.6063310099680701E-3</v>
      </c>
      <c r="G121" s="172">
        <v>1.8459880303519201</v>
      </c>
    </row>
    <row r="122" spans="2:7" s="172" customFormat="1" hidden="1" x14ac:dyDescent="0.3">
      <c r="B122" s="172" t="s">
        <v>181</v>
      </c>
      <c r="C122" s="172" t="s">
        <v>79</v>
      </c>
      <c r="D122" s="172" t="s">
        <v>215</v>
      </c>
      <c r="E122" s="172">
        <v>2.11372666108923E-2</v>
      </c>
      <c r="F122" s="172">
        <v>1.9639873695126001E-2</v>
      </c>
      <c r="G122" s="172">
        <v>1.07624249213669</v>
      </c>
    </row>
    <row r="123" spans="2:7" hidden="1" x14ac:dyDescent="0.3">
      <c r="B123" s="172" t="s">
        <v>181</v>
      </c>
      <c r="C123" s="172" t="s">
        <v>79</v>
      </c>
      <c r="D123" s="172" t="s">
        <v>218</v>
      </c>
      <c r="E123" s="172">
        <v>4.4386120517923098E-3</v>
      </c>
      <c r="F123" s="172">
        <v>2.3422619697195399E-3</v>
      </c>
      <c r="G123" s="172">
        <v>1.8950109377918101</v>
      </c>
    </row>
    <row r="124" spans="2:7" s="172" customFormat="1" hidden="1" x14ac:dyDescent="0.3">
      <c r="B124" s="172" t="s">
        <v>179</v>
      </c>
      <c r="C124" s="172" t="s">
        <v>79</v>
      </c>
      <c r="D124" s="172" t="s">
        <v>215</v>
      </c>
      <c r="E124" s="172">
        <v>1.8849347576659899E-2</v>
      </c>
      <c r="F124" s="172">
        <v>1.7465414584897698E-2</v>
      </c>
      <c r="G124" s="172">
        <v>1.07923848500905</v>
      </c>
    </row>
    <row r="125" spans="2:7" hidden="1" x14ac:dyDescent="0.3">
      <c r="B125" s="172" t="s">
        <v>179</v>
      </c>
      <c r="C125" s="172" t="s">
        <v>79</v>
      </c>
      <c r="D125" s="172" t="s">
        <v>218</v>
      </c>
      <c r="E125" s="172">
        <v>3.9814136952963201E-3</v>
      </c>
      <c r="F125" s="172">
        <v>2.0439075068292701E-3</v>
      </c>
      <c r="G125" s="172">
        <v>1.94794220481764</v>
      </c>
    </row>
    <row r="126" spans="2:7" s="172" customFormat="1" hidden="1" x14ac:dyDescent="0.3">
      <c r="B126" s="172" t="s">
        <v>39</v>
      </c>
      <c r="C126" s="172" t="s">
        <v>79</v>
      </c>
      <c r="D126" s="172" t="s">
        <v>215</v>
      </c>
      <c r="E126" s="172">
        <v>1.62022154166108E-2</v>
      </c>
      <c r="F126" s="172">
        <v>1.4964473800427199E-2</v>
      </c>
      <c r="G126" s="172">
        <v>1.0827120039562199</v>
      </c>
    </row>
    <row r="127" spans="2:7" hidden="1" x14ac:dyDescent="0.3">
      <c r="B127" s="172" t="s">
        <v>39</v>
      </c>
      <c r="C127" s="172" t="s">
        <v>79</v>
      </c>
      <c r="D127" s="172" t="s">
        <v>218</v>
      </c>
      <c r="E127" s="172">
        <v>3.45153228501505E-3</v>
      </c>
      <c r="F127" s="172">
        <v>1.7186940223579399E-3</v>
      </c>
      <c r="G127" s="172">
        <v>2.0082296442037801</v>
      </c>
    </row>
    <row r="128" spans="2:7" s="172" customFormat="1" hidden="1" x14ac:dyDescent="0.3">
      <c r="B128" s="172" t="s">
        <v>26</v>
      </c>
      <c r="C128" s="172" t="s">
        <v>79</v>
      </c>
      <c r="D128" s="172" t="s">
        <v>215</v>
      </c>
      <c r="E128" s="172">
        <v>1.32765348880953E-2</v>
      </c>
      <c r="F128" s="172">
        <v>1.22341287994778E-2</v>
      </c>
      <c r="G128" s="172">
        <v>1.08520476657577</v>
      </c>
    </row>
    <row r="129" spans="2:7" hidden="1" x14ac:dyDescent="0.3">
      <c r="B129" s="172" t="s">
        <v>26</v>
      </c>
      <c r="C129" s="172" t="s">
        <v>79</v>
      </c>
      <c r="D129" s="172" t="s">
        <v>218</v>
      </c>
      <c r="E129" s="172">
        <v>2.8349329876117399E-3</v>
      </c>
      <c r="F129" s="172">
        <v>1.3755644635473001E-3</v>
      </c>
      <c r="G129" s="172">
        <v>2.06092339744007</v>
      </c>
    </row>
    <row r="130" spans="2:7" s="172" customFormat="1" hidden="1" x14ac:dyDescent="0.3">
      <c r="B130" s="172" t="s">
        <v>25</v>
      </c>
      <c r="C130" s="172" t="s">
        <v>79</v>
      </c>
      <c r="D130" s="172" t="s">
        <v>215</v>
      </c>
      <c r="E130" s="172">
        <v>1.01290873939823E-2</v>
      </c>
      <c r="F130" s="172">
        <v>9.3292764007148997E-3</v>
      </c>
      <c r="G130" s="172">
        <v>1.08573129993299</v>
      </c>
    </row>
    <row r="131" spans="2:7" hidden="1" x14ac:dyDescent="0.3">
      <c r="B131" s="172" t="s">
        <v>25</v>
      </c>
      <c r="C131" s="172" t="s">
        <v>79</v>
      </c>
      <c r="D131" s="172" t="s">
        <v>218</v>
      </c>
      <c r="E131" s="172">
        <v>2.1413900024776899E-3</v>
      </c>
      <c r="F131" s="172">
        <v>1.02165461190331E-3</v>
      </c>
      <c r="G131" s="172">
        <v>2.09600189489512</v>
      </c>
    </row>
    <row r="132" spans="2:7" s="172" customFormat="1" hidden="1" x14ac:dyDescent="0.3">
      <c r="B132" s="172" t="s">
        <v>24</v>
      </c>
      <c r="C132" s="172" t="s">
        <v>79</v>
      </c>
      <c r="D132" s="172" t="s">
        <v>215</v>
      </c>
      <c r="E132" s="172">
        <v>6.7958221261185496E-3</v>
      </c>
      <c r="F132" s="172">
        <v>6.2640507322495103E-3</v>
      </c>
      <c r="G132" s="172">
        <v>1.0848925745654201</v>
      </c>
    </row>
    <row r="133" spans="2:7" hidden="1" x14ac:dyDescent="0.3">
      <c r="B133" s="172" t="s">
        <v>24</v>
      </c>
      <c r="C133" s="172" t="s">
        <v>79</v>
      </c>
      <c r="D133" s="172" t="s">
        <v>218</v>
      </c>
      <c r="E133" s="172">
        <v>1.4079492365970899E-3</v>
      </c>
      <c r="F133" s="172">
        <v>6.6346928518043404E-4</v>
      </c>
      <c r="G133" s="172">
        <v>2.12210160748314</v>
      </c>
    </row>
    <row r="134" spans="2:7" hidden="1" x14ac:dyDescent="0.3">
      <c r="B134" s="172" t="s">
        <v>22</v>
      </c>
      <c r="C134" s="172" t="s">
        <v>79</v>
      </c>
      <c r="D134" s="172" t="s">
        <v>215</v>
      </c>
      <c r="E134" s="172">
        <v>3.3547620166010901E-3</v>
      </c>
      <c r="F134" s="172">
        <v>3.1062370217309798E-3</v>
      </c>
      <c r="G134" s="172">
        <v>1.0800083809224601</v>
      </c>
    </row>
    <row r="135" spans="2:7" hidden="1" x14ac:dyDescent="0.3">
      <c r="B135" s="172" t="s">
        <v>22</v>
      </c>
      <c r="C135" s="172" t="s">
        <v>79</v>
      </c>
      <c r="D135" s="172" t="s">
        <v>218</v>
      </c>
      <c r="E135" s="172">
        <v>6.6076683419440997E-4</v>
      </c>
      <c r="F135" s="172">
        <v>3.12831841376254E-4</v>
      </c>
      <c r="G135" s="172">
        <v>2.1122109286812698</v>
      </c>
    </row>
    <row r="136" spans="2:7" x14ac:dyDescent="0.3">
      <c r="B136" s="172" t="s">
        <v>189</v>
      </c>
      <c r="C136" s="172" t="s">
        <v>80</v>
      </c>
      <c r="D136" s="172" t="s">
        <v>215</v>
      </c>
      <c r="E136" s="172">
        <v>2.5383588444734199E-2</v>
      </c>
      <c r="F136" s="172">
        <v>2.49428937688768E-2</v>
      </c>
      <c r="G136" s="172">
        <v>1.01766814548228</v>
      </c>
    </row>
    <row r="137" spans="2:7" hidden="1" x14ac:dyDescent="0.3">
      <c r="B137" s="172" t="s">
        <v>189</v>
      </c>
      <c r="C137" s="172" t="s">
        <v>80</v>
      </c>
      <c r="D137" s="172" t="s">
        <v>218</v>
      </c>
      <c r="E137" s="172">
        <v>5.9851936617569797E-3</v>
      </c>
      <c r="F137" s="172">
        <v>5.4343253169351399E-3</v>
      </c>
      <c r="G137" s="172">
        <v>1.1013683047470799</v>
      </c>
    </row>
    <row r="138" spans="2:7" x14ac:dyDescent="0.3">
      <c r="B138" s="172" t="s">
        <v>187</v>
      </c>
      <c r="C138" s="172" t="s">
        <v>80</v>
      </c>
      <c r="D138" s="172" t="s">
        <v>215</v>
      </c>
      <c r="E138" s="172">
        <v>2.4653599260857102E-2</v>
      </c>
      <c r="F138" s="172">
        <v>2.30818623987953E-2</v>
      </c>
      <c r="G138" s="172">
        <v>1.0680940226965301</v>
      </c>
    </row>
    <row r="139" spans="2:7" hidden="1" x14ac:dyDescent="0.3">
      <c r="B139" s="172" t="s">
        <v>187</v>
      </c>
      <c r="C139" s="172" t="s">
        <v>80</v>
      </c>
      <c r="D139" s="172" t="s">
        <v>218</v>
      </c>
      <c r="E139" s="172">
        <v>5.6350184779858804E-3</v>
      </c>
      <c r="F139" s="172">
        <v>3.4345868710994E-3</v>
      </c>
      <c r="G139" s="172">
        <v>1.6406684965234699</v>
      </c>
    </row>
    <row r="140" spans="2:7" x14ac:dyDescent="0.3">
      <c r="B140" s="172" t="s">
        <v>185</v>
      </c>
      <c r="C140" s="172" t="s">
        <v>80</v>
      </c>
      <c r="D140" s="172" t="s">
        <v>215</v>
      </c>
      <c r="E140" s="172">
        <v>2.37114040625666E-2</v>
      </c>
      <c r="F140" s="172">
        <v>2.22665449094951E-2</v>
      </c>
      <c r="G140" s="172">
        <v>1.0648892389431901</v>
      </c>
    </row>
    <row r="141" spans="2:7" hidden="1" x14ac:dyDescent="0.3">
      <c r="B141" s="172" t="s">
        <v>185</v>
      </c>
      <c r="C141" s="172" t="s">
        <v>80</v>
      </c>
      <c r="D141" s="172" t="s">
        <v>218</v>
      </c>
      <c r="E141" s="172">
        <v>5.2437052928176698E-3</v>
      </c>
      <c r="F141" s="172">
        <v>3.2209024785175401E-3</v>
      </c>
      <c r="G141" s="172">
        <v>1.6280236138137101</v>
      </c>
    </row>
    <row r="142" spans="2:7" x14ac:dyDescent="0.3">
      <c r="B142" s="172" t="s">
        <v>183</v>
      </c>
      <c r="C142" s="172" t="s">
        <v>80</v>
      </c>
      <c r="D142" s="172" t="s">
        <v>215</v>
      </c>
      <c r="E142" s="172">
        <v>2.22565440085228E-2</v>
      </c>
      <c r="F142" s="172">
        <v>2.0960364816679102E-2</v>
      </c>
      <c r="G142" s="172">
        <v>1.0618395339575499</v>
      </c>
    </row>
    <row r="143" spans="2:7" hidden="1" x14ac:dyDescent="0.3">
      <c r="B143" s="172" t="s">
        <v>183</v>
      </c>
      <c r="C143" s="172" t="s">
        <v>80</v>
      </c>
      <c r="D143" s="172" t="s">
        <v>218</v>
      </c>
      <c r="E143" s="172">
        <v>4.7699397268065697E-3</v>
      </c>
      <c r="F143" s="172">
        <v>2.9552888582254199E-3</v>
      </c>
      <c r="G143" s="172">
        <v>1.61403502521605</v>
      </c>
    </row>
    <row r="144" spans="2:7" x14ac:dyDescent="0.3">
      <c r="B144" s="172" t="s">
        <v>181</v>
      </c>
      <c r="C144" s="172" t="s">
        <v>80</v>
      </c>
      <c r="D144" s="172" t="s">
        <v>215</v>
      </c>
      <c r="E144" s="172">
        <v>2.03306635866186E-2</v>
      </c>
      <c r="F144" s="172">
        <v>1.9202216740225601E-2</v>
      </c>
      <c r="G144" s="172">
        <v>1.05876648835179</v>
      </c>
    </row>
    <row r="145" spans="2:7" hidden="1" x14ac:dyDescent="0.3">
      <c r="B145" s="172" t="s">
        <v>181</v>
      </c>
      <c r="C145" s="172" t="s">
        <v>80</v>
      </c>
      <c r="D145" s="172" t="s">
        <v>218</v>
      </c>
      <c r="E145" s="172">
        <v>4.2234620540522799E-3</v>
      </c>
      <c r="F145" s="172">
        <v>2.6436364691021699E-3</v>
      </c>
      <c r="G145" s="172">
        <v>1.5975956238365301</v>
      </c>
    </row>
    <row r="146" spans="2:7" x14ac:dyDescent="0.3">
      <c r="B146" s="172" t="s">
        <v>179</v>
      </c>
      <c r="C146" s="172" t="s">
        <v>80</v>
      </c>
      <c r="D146" s="172" t="s">
        <v>215</v>
      </c>
      <c r="E146" s="172">
        <v>1.8006481704411499E-2</v>
      </c>
      <c r="F146" s="172">
        <v>1.7060682349489299E-2</v>
      </c>
      <c r="G146" s="172">
        <v>1.0554373697105099</v>
      </c>
    </row>
    <row r="147" spans="2:7" hidden="1" x14ac:dyDescent="0.3">
      <c r="B147" s="172" t="s">
        <v>179</v>
      </c>
      <c r="C147" s="172" t="s">
        <v>80</v>
      </c>
      <c r="D147" s="172" t="s">
        <v>218</v>
      </c>
      <c r="E147" s="172">
        <v>3.6192705673519501E-3</v>
      </c>
      <c r="F147" s="172">
        <v>2.2951514704608301E-3</v>
      </c>
      <c r="G147" s="172">
        <v>1.5769201353082201</v>
      </c>
    </row>
    <row r="148" spans="2:7" x14ac:dyDescent="0.3">
      <c r="B148" s="172" t="s">
        <v>39</v>
      </c>
      <c r="C148" s="172" t="s">
        <v>80</v>
      </c>
      <c r="D148" s="172" t="s">
        <v>215</v>
      </c>
      <c r="E148" s="172">
        <v>1.53517434629138E-2</v>
      </c>
      <c r="F148" s="172">
        <v>1.45981842875605E-2</v>
      </c>
      <c r="G148" s="172">
        <v>1.0516200618179199</v>
      </c>
    </row>
    <row r="149" spans="2:7" hidden="1" x14ac:dyDescent="0.3">
      <c r="B149" s="172" t="s">
        <v>39</v>
      </c>
      <c r="C149" s="172" t="s">
        <v>80</v>
      </c>
      <c r="D149" s="172" t="s">
        <v>218</v>
      </c>
      <c r="E149" s="172">
        <v>2.97356590290516E-3</v>
      </c>
      <c r="F149" s="172">
        <v>1.9185830574106201E-3</v>
      </c>
      <c r="G149" s="172">
        <v>1.5498760355563601</v>
      </c>
    </row>
    <row r="150" spans="2:7" x14ac:dyDescent="0.3">
      <c r="B150" s="172" t="s">
        <v>26</v>
      </c>
      <c r="C150" s="172" t="s">
        <v>80</v>
      </c>
      <c r="D150" s="172" t="s">
        <v>215</v>
      </c>
      <c r="E150" s="172">
        <v>1.24931812917478E-2</v>
      </c>
      <c r="F150" s="172">
        <v>1.19145828059775E-2</v>
      </c>
      <c r="G150" s="172">
        <v>1.0485622111317201</v>
      </c>
    </row>
    <row r="151" spans="2:7" hidden="1" x14ac:dyDescent="0.3">
      <c r="B151" s="172" t="s">
        <v>26</v>
      </c>
      <c r="C151" s="172" t="s">
        <v>80</v>
      </c>
      <c r="D151" s="172" t="s">
        <v>218</v>
      </c>
      <c r="E151" s="172">
        <v>2.3352556712436402E-3</v>
      </c>
      <c r="F151" s="172">
        <v>1.5252177911653001E-3</v>
      </c>
      <c r="G151" s="172">
        <v>1.5310965324233901</v>
      </c>
    </row>
    <row r="152" spans="2:7" x14ac:dyDescent="0.3">
      <c r="B152" s="172" t="s">
        <v>25</v>
      </c>
      <c r="C152" s="172" t="s">
        <v>80</v>
      </c>
      <c r="D152" s="172" t="s">
        <v>215</v>
      </c>
      <c r="E152" s="172">
        <v>9.4909527512745707E-3</v>
      </c>
      <c r="F152" s="172">
        <v>9.0645334549283099E-3</v>
      </c>
      <c r="G152" s="172">
        <v>1.04704260825629</v>
      </c>
    </row>
    <row r="153" spans="2:7" hidden="1" x14ac:dyDescent="0.3">
      <c r="B153" s="172" t="s">
        <v>25</v>
      </c>
      <c r="C153" s="172" t="s">
        <v>80</v>
      </c>
      <c r="D153" s="172" t="s">
        <v>218</v>
      </c>
      <c r="E153" s="172">
        <v>1.72093628914851E-3</v>
      </c>
      <c r="F153" s="172">
        <v>1.1239492742637499E-3</v>
      </c>
      <c r="G153" s="172">
        <v>1.5311512081146399</v>
      </c>
    </row>
    <row r="154" spans="2:7" x14ac:dyDescent="0.3">
      <c r="B154" s="172" t="s">
        <v>24</v>
      </c>
      <c r="C154" s="172" t="s">
        <v>80</v>
      </c>
      <c r="D154" s="172" t="s">
        <v>215</v>
      </c>
      <c r="E154" s="172">
        <v>6.3395514558798396E-3</v>
      </c>
      <c r="F154" s="172">
        <v>6.0590526905821198E-3</v>
      </c>
      <c r="G154" s="172">
        <v>1.0462941617480399</v>
      </c>
    </row>
    <row r="155" spans="2:7" hidden="1" x14ac:dyDescent="0.3">
      <c r="B155" s="172" t="s">
        <v>24</v>
      </c>
      <c r="C155" s="172" t="s">
        <v>80</v>
      </c>
      <c r="D155" s="172" t="s">
        <v>218</v>
      </c>
      <c r="E155" s="172">
        <v>1.1150584653147201E-3</v>
      </c>
      <c r="F155" s="172">
        <v>7.2236019389791402E-4</v>
      </c>
      <c r="G155" s="172">
        <v>1.5436322138651799</v>
      </c>
    </row>
    <row r="156" spans="2:7" x14ac:dyDescent="0.3">
      <c r="B156" s="172" t="s">
        <v>22</v>
      </c>
      <c r="C156" s="172" t="s">
        <v>80</v>
      </c>
      <c r="D156" s="172" t="s">
        <v>215</v>
      </c>
      <c r="E156" s="172">
        <v>3.1176199578511498E-3</v>
      </c>
      <c r="F156" s="172">
        <v>2.9752755503613098E-3</v>
      </c>
      <c r="G156" s="172">
        <v>1.0478424284004699</v>
      </c>
    </row>
    <row r="157" spans="2:7" hidden="1" x14ac:dyDescent="0.3">
      <c r="B157" s="172" t="s">
        <v>22</v>
      </c>
      <c r="C157" s="172" t="s">
        <v>80</v>
      </c>
      <c r="D157" s="172" t="s">
        <v>218</v>
      </c>
      <c r="E157" s="172">
        <v>5.3445529543778901E-4</v>
      </c>
      <c r="F157" s="172">
        <v>3.3517312495201198E-4</v>
      </c>
      <c r="G157" s="172">
        <v>1.59456488498089</v>
      </c>
    </row>
    <row r="158" spans="2:7" hidden="1" x14ac:dyDescent="0.3">
      <c r="B158" s="172" t="s">
        <v>189</v>
      </c>
      <c r="C158" s="172" t="s">
        <v>81</v>
      </c>
      <c r="D158" s="172" t="s">
        <v>215</v>
      </c>
      <c r="E158" s="172">
        <v>5.7448487347209797E-3</v>
      </c>
      <c r="F158" s="172">
        <v>4.8318155355923896E-3</v>
      </c>
      <c r="G158" s="172">
        <v>1.18896275994043</v>
      </c>
    </row>
    <row r="159" spans="2:7" hidden="1" x14ac:dyDescent="0.3">
      <c r="B159" s="172" t="s">
        <v>189</v>
      </c>
      <c r="C159" s="172" t="s">
        <v>81</v>
      </c>
      <c r="D159" s="172" t="s">
        <v>218</v>
      </c>
      <c r="E159" s="172">
        <v>3.7333517766412402E-2</v>
      </c>
      <c r="F159" s="172">
        <v>3.6192226267501598E-2</v>
      </c>
      <c r="G159" s="172">
        <v>1.0315341612443301</v>
      </c>
    </row>
    <row r="160" spans="2:7" hidden="1" x14ac:dyDescent="0.3">
      <c r="B160" s="172" t="s">
        <v>187</v>
      </c>
      <c r="C160" s="172" t="s">
        <v>81</v>
      </c>
      <c r="D160" s="172" t="s">
        <v>218</v>
      </c>
      <c r="E160" s="172">
        <v>3.5717062859312497E-2</v>
      </c>
      <c r="F160" s="172">
        <v>3.1359373927211699E-2</v>
      </c>
      <c r="G160" s="172">
        <v>1.1389596916767399</v>
      </c>
    </row>
    <row r="161" spans="2:7" hidden="1" x14ac:dyDescent="0.3">
      <c r="B161" s="172" t="s">
        <v>185</v>
      </c>
      <c r="C161" s="172" t="s">
        <v>81</v>
      </c>
      <c r="D161" s="172" t="s">
        <v>218</v>
      </c>
      <c r="E161" s="172">
        <v>3.3755644074649399E-2</v>
      </c>
      <c r="F161" s="172">
        <v>2.9811550079009201E-2</v>
      </c>
      <c r="G161" s="172">
        <v>1.1323008694679499</v>
      </c>
    </row>
    <row r="162" spans="2:7" hidden="1" x14ac:dyDescent="0.3">
      <c r="B162" s="172" t="s">
        <v>183</v>
      </c>
      <c r="C162" s="172" t="s">
        <v>81</v>
      </c>
      <c r="D162" s="172" t="s">
        <v>218</v>
      </c>
      <c r="E162" s="172">
        <v>3.11802349062806E-2</v>
      </c>
      <c r="F162" s="172">
        <v>2.7687899311206E-2</v>
      </c>
      <c r="G162" s="172">
        <v>1.12613219788982</v>
      </c>
    </row>
    <row r="163" spans="2:7" hidden="1" x14ac:dyDescent="0.3">
      <c r="B163" s="172" t="s">
        <v>181</v>
      </c>
      <c r="C163" s="172" t="s">
        <v>81</v>
      </c>
      <c r="D163" s="172" t="s">
        <v>218</v>
      </c>
      <c r="E163" s="172">
        <v>2.8068296263742E-2</v>
      </c>
      <c r="F163" s="172">
        <v>2.5054861248504801E-2</v>
      </c>
      <c r="G163" s="172">
        <v>1.12027346650811</v>
      </c>
    </row>
    <row r="164" spans="2:7" hidden="1" x14ac:dyDescent="0.3">
      <c r="B164" s="172" t="s">
        <v>179</v>
      </c>
      <c r="C164" s="172" t="s">
        <v>81</v>
      </c>
      <c r="D164" s="172" t="s">
        <v>218</v>
      </c>
      <c r="E164" s="172">
        <v>2.45318716610275E-2</v>
      </c>
      <c r="F164" s="172">
        <v>2.2013462684465E-2</v>
      </c>
      <c r="G164" s="172">
        <v>1.1144031274252799</v>
      </c>
    </row>
    <row r="165" spans="2:7" hidden="1" x14ac:dyDescent="0.3">
      <c r="B165" s="172" t="s">
        <v>39</v>
      </c>
      <c r="C165" s="172" t="s">
        <v>81</v>
      </c>
      <c r="D165" s="172" t="s">
        <v>218</v>
      </c>
      <c r="E165" s="172">
        <v>2.06691095765889E-2</v>
      </c>
      <c r="F165" s="172">
        <v>1.8650234774310701E-2</v>
      </c>
      <c r="G165" s="172">
        <v>1.1082492969503599</v>
      </c>
    </row>
    <row r="166" spans="2:7" hidden="1" x14ac:dyDescent="0.3">
      <c r="B166" s="172" t="s">
        <v>26</v>
      </c>
      <c r="C166" s="172" t="s">
        <v>81</v>
      </c>
      <c r="D166" s="172" t="s">
        <v>218</v>
      </c>
      <c r="E166" s="172">
        <v>1.6582308470408799E-2</v>
      </c>
      <c r="F166" s="172">
        <v>1.50436344218026E-2</v>
      </c>
      <c r="G166" s="172">
        <v>1.1022807391793701</v>
      </c>
    </row>
    <row r="167" spans="2:7" hidden="1" x14ac:dyDescent="0.3">
      <c r="B167" s="172" t="s">
        <v>25</v>
      </c>
      <c r="C167" s="172" t="s">
        <v>81</v>
      </c>
      <c r="D167" s="172" t="s">
        <v>218</v>
      </c>
      <c r="E167" s="172">
        <v>1.2348662936409301E-2</v>
      </c>
      <c r="F167" s="172">
        <v>1.12600089586987E-2</v>
      </c>
      <c r="G167" s="172">
        <v>1.09668322482724</v>
      </c>
    </row>
    <row r="168" spans="2:7" hidden="1" x14ac:dyDescent="0.3">
      <c r="B168" s="172" t="s">
        <v>24</v>
      </c>
      <c r="C168" s="172" t="s">
        <v>81</v>
      </c>
      <c r="D168" s="172" t="s">
        <v>218</v>
      </c>
      <c r="E168" s="172">
        <v>8.0399772202211107E-3</v>
      </c>
      <c r="F168" s="172">
        <v>7.3691882073132599E-3</v>
      </c>
      <c r="G168" s="172">
        <v>1.0910261746663199</v>
      </c>
    </row>
    <row r="169" spans="2:7" hidden="1" x14ac:dyDescent="0.3">
      <c r="B169" s="172" t="s">
        <v>22</v>
      </c>
      <c r="C169" s="172" t="s">
        <v>81</v>
      </c>
      <c r="D169" s="172" t="s">
        <v>218</v>
      </c>
      <c r="E169" s="172">
        <v>3.7923212216637199E-3</v>
      </c>
      <c r="F169" s="172">
        <v>3.4931912455426202E-3</v>
      </c>
      <c r="G169" s="172">
        <v>1.08563229296501</v>
      </c>
    </row>
    <row r="170" spans="2:7" hidden="1" x14ac:dyDescent="0.3">
      <c r="B170" s="172" t="s">
        <v>189</v>
      </c>
      <c r="C170" s="172" t="s">
        <v>82</v>
      </c>
      <c r="D170" s="172" t="s">
        <v>218</v>
      </c>
      <c r="E170" s="172">
        <v>3.0800208210094701E-2</v>
      </c>
      <c r="F170" s="172">
        <v>3.03410887390115E-2</v>
      </c>
      <c r="G170" s="172">
        <v>1.01513193791536</v>
      </c>
    </row>
    <row r="171" spans="2:7" hidden="1" x14ac:dyDescent="0.3">
      <c r="B171" s="172" t="s">
        <v>187</v>
      </c>
      <c r="C171" s="172" t="s">
        <v>82</v>
      </c>
      <c r="D171" s="172" t="s">
        <v>218</v>
      </c>
      <c r="E171" s="172">
        <v>3.2906171537659103E-2</v>
      </c>
      <c r="F171" s="172">
        <v>3.07076521103214E-2</v>
      </c>
      <c r="G171" s="172">
        <v>1.07159516525195</v>
      </c>
    </row>
    <row r="172" spans="2:7" hidden="1" x14ac:dyDescent="0.3">
      <c r="B172" s="172" t="s">
        <v>185</v>
      </c>
      <c r="C172" s="172" t="s">
        <v>82</v>
      </c>
      <c r="D172" s="172" t="s">
        <v>218</v>
      </c>
      <c r="E172" s="172">
        <v>3.1570824711137001E-2</v>
      </c>
      <c r="F172" s="172">
        <v>2.9218224567942701E-2</v>
      </c>
      <c r="G172" s="172">
        <v>1.08051824428016</v>
      </c>
    </row>
    <row r="173" spans="2:7" hidden="1" x14ac:dyDescent="0.3">
      <c r="B173" s="172" t="s">
        <v>183</v>
      </c>
      <c r="C173" s="172" t="s">
        <v>82</v>
      </c>
      <c r="D173" s="172" t="s">
        <v>218</v>
      </c>
      <c r="E173" s="172">
        <v>2.9567946292636298E-2</v>
      </c>
      <c r="F173" s="172">
        <v>2.7160469313030702E-2</v>
      </c>
      <c r="G173" s="172">
        <v>1.08863900516073</v>
      </c>
    </row>
    <row r="174" spans="2:7" hidden="1" x14ac:dyDescent="0.3">
      <c r="B174" s="172" t="s">
        <v>181</v>
      </c>
      <c r="C174" s="172" t="s">
        <v>82</v>
      </c>
      <c r="D174" s="172" t="s">
        <v>218</v>
      </c>
      <c r="E174" s="172">
        <v>2.6966602665529301E-2</v>
      </c>
      <c r="F174" s="172">
        <v>2.4598672581291801E-2</v>
      </c>
      <c r="G174" s="172">
        <v>1.09626251483336</v>
      </c>
    </row>
    <row r="175" spans="2:7" hidden="1" x14ac:dyDescent="0.3">
      <c r="B175" s="172" t="s">
        <v>179</v>
      </c>
      <c r="C175" s="172" t="s">
        <v>82</v>
      </c>
      <c r="D175" s="172" t="s">
        <v>218</v>
      </c>
      <c r="E175" s="172">
        <v>2.38773807634956E-2</v>
      </c>
      <c r="F175" s="172">
        <v>2.1631895125597701E-2</v>
      </c>
      <c r="G175" s="172">
        <v>1.10380438814354</v>
      </c>
    </row>
    <row r="176" spans="2:7" hidden="1" x14ac:dyDescent="0.3">
      <c r="B176" s="172" t="s">
        <v>39</v>
      </c>
      <c r="C176" s="172" t="s">
        <v>82</v>
      </c>
      <c r="D176" s="172" t="s">
        <v>215</v>
      </c>
      <c r="E176" s="172">
        <v>3.3052183631658801E-3</v>
      </c>
      <c r="F176" s="172">
        <v>1.84288591355189E-3</v>
      </c>
      <c r="G176" s="172">
        <v>1.7935013442018</v>
      </c>
    </row>
    <row r="177" spans="2:7" hidden="1" x14ac:dyDescent="0.3">
      <c r="B177" s="172" t="s">
        <v>39</v>
      </c>
      <c r="C177" s="172" t="s">
        <v>82</v>
      </c>
      <c r="D177" s="172" t="s">
        <v>218</v>
      </c>
      <c r="E177" s="172">
        <v>2.0391922551178599E-2</v>
      </c>
      <c r="F177" s="172">
        <v>1.8344657121719E-2</v>
      </c>
      <c r="G177" s="172">
        <v>1.1116000923798</v>
      </c>
    </row>
    <row r="178" spans="2:7" hidden="1" x14ac:dyDescent="0.3">
      <c r="B178" s="172" t="s">
        <v>26</v>
      </c>
      <c r="C178" s="172" t="s">
        <v>82</v>
      </c>
      <c r="D178" s="172" t="s">
        <v>215</v>
      </c>
      <c r="E178" s="172">
        <v>2.7711716551945E-3</v>
      </c>
      <c r="F178" s="172">
        <v>1.50691988974059E-3</v>
      </c>
      <c r="G178" s="172">
        <v>1.83896415068988</v>
      </c>
    </row>
    <row r="179" spans="2:7" hidden="1" x14ac:dyDescent="0.3">
      <c r="B179" s="172" t="s">
        <v>26</v>
      </c>
      <c r="C179" s="172" t="s">
        <v>82</v>
      </c>
      <c r="D179" s="172" t="s">
        <v>218</v>
      </c>
      <c r="E179" s="172">
        <v>1.65819921259725E-2</v>
      </c>
      <c r="F179" s="172">
        <v>1.4812039654337E-2</v>
      </c>
      <c r="G179" s="172">
        <v>1.11949417588261</v>
      </c>
    </row>
    <row r="180" spans="2:7" hidden="1" x14ac:dyDescent="0.3">
      <c r="B180" s="172" t="s">
        <v>25</v>
      </c>
      <c r="C180" s="172" t="s">
        <v>82</v>
      </c>
      <c r="D180" s="172" t="s">
        <v>215</v>
      </c>
      <c r="E180" s="172">
        <v>2.1572629353383299E-3</v>
      </c>
      <c r="F180" s="172">
        <v>1.1460458063316001E-3</v>
      </c>
      <c r="G180" s="172">
        <v>1.8823531515232901</v>
      </c>
    </row>
    <row r="181" spans="2:7" hidden="1" x14ac:dyDescent="0.3">
      <c r="B181" s="172" t="s">
        <v>25</v>
      </c>
      <c r="C181" s="172" t="s">
        <v>82</v>
      </c>
      <c r="D181" s="172" t="s">
        <v>218</v>
      </c>
      <c r="E181" s="172">
        <v>1.25136567431243E-2</v>
      </c>
      <c r="F181" s="172">
        <v>1.10979527625149E-2</v>
      </c>
      <c r="G181" s="172">
        <v>1.12756442660228</v>
      </c>
    </row>
    <row r="182" spans="2:7" hidden="1" x14ac:dyDescent="0.3">
      <c r="B182" s="172" t="s">
        <v>24</v>
      </c>
      <c r="C182" s="172" t="s">
        <v>82</v>
      </c>
      <c r="D182" s="172" t="s">
        <v>215</v>
      </c>
      <c r="E182" s="172">
        <v>1.47408791213282E-3</v>
      </c>
      <c r="F182" s="172">
        <v>7.66005109443164E-4</v>
      </c>
      <c r="G182" s="172">
        <v>1.92438391593026</v>
      </c>
    </row>
    <row r="183" spans="2:7" hidden="1" x14ac:dyDescent="0.3">
      <c r="B183" s="172" t="s">
        <v>24</v>
      </c>
      <c r="C183" s="172" t="s">
        <v>82</v>
      </c>
      <c r="D183" s="172" t="s">
        <v>218</v>
      </c>
      <c r="E183" s="172">
        <v>8.2622244704048092E-3</v>
      </c>
      <c r="F183" s="172">
        <v>7.2709085466392898E-3</v>
      </c>
      <c r="G183" s="172">
        <v>1.1363400347297301</v>
      </c>
    </row>
    <row r="184" spans="2:7" hidden="1" x14ac:dyDescent="0.3">
      <c r="B184" s="172" t="s">
        <v>22</v>
      </c>
      <c r="C184" s="172" t="s">
        <v>82</v>
      </c>
      <c r="D184" s="172" t="s">
        <v>215</v>
      </c>
      <c r="E184" s="172">
        <v>7.3664890893807597E-4</v>
      </c>
      <c r="F184" s="172">
        <v>3.7606420642997702E-4</v>
      </c>
      <c r="G184" s="172">
        <v>1.95883813546408</v>
      </c>
    </row>
    <row r="185" spans="2:7" hidden="1" x14ac:dyDescent="0.3">
      <c r="B185" s="172" t="s">
        <v>22</v>
      </c>
      <c r="C185" s="172" t="s">
        <v>82</v>
      </c>
      <c r="D185" s="172" t="s">
        <v>218</v>
      </c>
      <c r="E185" s="172">
        <v>3.9552339137093797E-3</v>
      </c>
      <c r="F185" s="172">
        <v>3.45041533019804E-3</v>
      </c>
      <c r="G185" s="172">
        <v>1.1463066139004101</v>
      </c>
    </row>
    <row r="186" spans="2:7" hidden="1" x14ac:dyDescent="0.3">
      <c r="B186" s="172" t="s">
        <v>189</v>
      </c>
      <c r="C186" s="172" t="s">
        <v>243</v>
      </c>
      <c r="D186" s="172" t="s">
        <v>215</v>
      </c>
      <c r="E186" s="172">
        <v>3.1868270793155599E-3</v>
      </c>
      <c r="F186" s="172">
        <v>3.0091054227551102E-3</v>
      </c>
      <c r="G186" s="172">
        <v>1.0590612928402201</v>
      </c>
    </row>
    <row r="187" spans="2:7" hidden="1" x14ac:dyDescent="0.3">
      <c r="B187" s="172" t="s">
        <v>189</v>
      </c>
      <c r="C187" s="172" t="s">
        <v>243</v>
      </c>
      <c r="D187" s="172" t="s">
        <v>218</v>
      </c>
      <c r="E187" s="172">
        <v>6.9198168007184101E-4</v>
      </c>
      <c r="F187" s="172">
        <v>4.6982960937128401E-4</v>
      </c>
      <c r="G187" s="172">
        <v>1.4728353987690099</v>
      </c>
    </row>
    <row r="188" spans="2:7" hidden="1" x14ac:dyDescent="0.3">
      <c r="B188" s="172" t="s">
        <v>187</v>
      </c>
      <c r="C188" s="172" t="s">
        <v>243</v>
      </c>
      <c r="D188" s="172" t="s">
        <v>215</v>
      </c>
      <c r="E188" s="172">
        <v>1.9617313596615102E-3</v>
      </c>
      <c r="F188" s="172">
        <v>1.69578902581984E-3</v>
      </c>
      <c r="G188" s="172">
        <v>1.1568251296549601</v>
      </c>
    </row>
    <row r="189" spans="2:7" hidden="1" x14ac:dyDescent="0.3">
      <c r="B189" s="172" t="s">
        <v>185</v>
      </c>
      <c r="C189" s="172" t="s">
        <v>243</v>
      </c>
      <c r="D189" s="172" t="s">
        <v>215</v>
      </c>
      <c r="E189" s="172">
        <v>1.6993291200974401E-3</v>
      </c>
      <c r="F189" s="172">
        <v>1.46352616890498E-3</v>
      </c>
      <c r="G189" s="172">
        <v>1.1611197368400199</v>
      </c>
    </row>
    <row r="190" spans="2:7" hidden="1" x14ac:dyDescent="0.3">
      <c r="B190" s="172" t="s">
        <v>183</v>
      </c>
      <c r="C190" s="172" t="s">
        <v>243</v>
      </c>
      <c r="D190" s="172" t="s">
        <v>215</v>
      </c>
      <c r="E190" s="172">
        <v>1.42756747700721E-3</v>
      </c>
      <c r="F190" s="172">
        <v>1.2274100856461501E-3</v>
      </c>
      <c r="G190" s="172">
        <v>1.16307295638335</v>
      </c>
    </row>
    <row r="191" spans="2:7" hidden="1" x14ac:dyDescent="0.3">
      <c r="B191" s="172" t="s">
        <v>181</v>
      </c>
      <c r="C191" s="172" t="s">
        <v>243</v>
      </c>
      <c r="D191" s="172" t="s">
        <v>215</v>
      </c>
      <c r="E191" s="172">
        <v>1.1660815332689999E-3</v>
      </c>
      <c r="F191" s="172">
        <v>1.00048743643744E-3</v>
      </c>
      <c r="G191" s="172">
        <v>1.1655134195599901</v>
      </c>
    </row>
    <row r="192" spans="2:7" hidden="1" x14ac:dyDescent="0.3">
      <c r="B192" s="172" t="s">
        <v>179</v>
      </c>
      <c r="C192" s="172" t="s">
        <v>243</v>
      </c>
      <c r="D192" s="172" t="s">
        <v>215</v>
      </c>
      <c r="E192" s="172">
        <v>9.2203772919353E-4</v>
      </c>
      <c r="F192" s="172">
        <v>7.8879069452712704E-4</v>
      </c>
      <c r="G192" s="172">
        <v>1.1689257183063999</v>
      </c>
    </row>
    <row r="193" spans="2:7" hidden="1" x14ac:dyDescent="0.3">
      <c r="B193" s="172" t="s">
        <v>39</v>
      </c>
      <c r="C193" s="172" t="s">
        <v>243</v>
      </c>
      <c r="D193" s="172" t="s">
        <v>215</v>
      </c>
      <c r="E193" s="172">
        <v>7.0005636974774296E-4</v>
      </c>
      <c r="F193" s="172">
        <v>5.9624868472999901E-4</v>
      </c>
      <c r="G193" s="172">
        <v>1.17410132328384</v>
      </c>
    </row>
    <row r="194" spans="2:7" hidden="1" x14ac:dyDescent="0.3">
      <c r="B194" s="172" t="s">
        <v>26</v>
      </c>
      <c r="C194" s="172" t="s">
        <v>243</v>
      </c>
      <c r="D194" s="172" t="s">
        <v>215</v>
      </c>
      <c r="E194" s="172">
        <v>4.7955627234540601E-4</v>
      </c>
      <c r="F194" s="172">
        <v>4.0816618497460601E-4</v>
      </c>
      <c r="G194" s="172">
        <v>1.17490446293399</v>
      </c>
    </row>
    <row r="195" spans="2:7" hidden="1" x14ac:dyDescent="0.3">
      <c r="B195" s="172" t="s">
        <v>25</v>
      </c>
      <c r="C195" s="172" t="s">
        <v>243</v>
      </c>
      <c r="D195" s="172" t="s">
        <v>215</v>
      </c>
      <c r="E195" s="172">
        <v>2.7183494533732701E-4</v>
      </c>
      <c r="F195" s="172">
        <v>2.3337919885867199E-4</v>
      </c>
      <c r="G195" s="172">
        <v>1.16477795221991</v>
      </c>
    </row>
    <row r="196" spans="2:7" hidden="1" x14ac:dyDescent="0.3">
      <c r="B196" s="172" t="s">
        <v>24</v>
      </c>
      <c r="C196" s="172" t="s">
        <v>243</v>
      </c>
      <c r="D196" s="172" t="s">
        <v>215</v>
      </c>
      <c r="E196" s="172">
        <v>1.16675265152381E-4</v>
      </c>
      <c r="F196" s="172">
        <v>1.02144186293251E-4</v>
      </c>
      <c r="G196" s="172">
        <v>1.14226045932181</v>
      </c>
    </row>
    <row r="197" spans="2:7" hidden="1" x14ac:dyDescent="0.3">
      <c r="B197" s="172" t="s">
        <v>22</v>
      </c>
      <c r="C197" s="172" t="s">
        <v>243</v>
      </c>
      <c r="D197" s="172" t="s">
        <v>215</v>
      </c>
      <c r="E197" s="172">
        <v>2.97436435133876E-5</v>
      </c>
      <c r="F197" s="172">
        <v>2.68862362018597E-5</v>
      </c>
      <c r="G197" s="172">
        <v>1.1062776987479599</v>
      </c>
    </row>
    <row r="198" spans="2:7" hidden="1" x14ac:dyDescent="0.3">
      <c r="B198" s="172"/>
      <c r="C198" s="172"/>
      <c r="D198" s="172"/>
      <c r="E198" s="172"/>
      <c r="F198" s="172"/>
      <c r="G198" s="172"/>
    </row>
    <row r="199" spans="2:7" hidden="1" x14ac:dyDescent="0.3">
      <c r="B199" s="172"/>
      <c r="C199" s="172"/>
      <c r="D199" s="172"/>
      <c r="E199" s="172"/>
      <c r="F199" s="172"/>
      <c r="G199" s="172"/>
    </row>
    <row r="200" spans="2:7" hidden="1" x14ac:dyDescent="0.3">
      <c r="B200" s="172"/>
      <c r="C200" s="172"/>
      <c r="D200" s="172"/>
      <c r="E200" s="172"/>
      <c r="F200" s="172"/>
      <c r="G200" s="172"/>
    </row>
    <row r="201" spans="2:7" hidden="1" x14ac:dyDescent="0.3">
      <c r="B201" s="172"/>
      <c r="C201" s="172"/>
      <c r="D201" s="172"/>
      <c r="E201" s="172"/>
      <c r="F201" s="172"/>
      <c r="G201" s="172"/>
    </row>
    <row r="202" spans="2:7" hidden="1" x14ac:dyDescent="0.3">
      <c r="B202" s="172"/>
      <c r="C202" s="172"/>
      <c r="D202" s="172"/>
      <c r="E202" s="172"/>
      <c r="F202" s="172"/>
      <c r="G202" s="172"/>
    </row>
    <row r="203" spans="2:7" hidden="1" x14ac:dyDescent="0.3">
      <c r="B203" s="172"/>
      <c r="C203" s="172"/>
      <c r="D203" s="172"/>
      <c r="E203" s="172"/>
      <c r="F203" s="172"/>
      <c r="G203" s="172"/>
    </row>
    <row r="204" spans="2:7" hidden="1" x14ac:dyDescent="0.3">
      <c r="B204" s="172"/>
      <c r="C204" s="172"/>
      <c r="D204" s="172"/>
      <c r="E204" s="172"/>
      <c r="F204" s="172"/>
      <c r="G204" s="172"/>
    </row>
    <row r="205" spans="2:7" hidden="1" x14ac:dyDescent="0.3">
      <c r="B205" s="172"/>
      <c r="C205" s="172"/>
      <c r="D205" s="172"/>
      <c r="E205" s="172"/>
      <c r="F205" s="172"/>
      <c r="G205" s="172"/>
    </row>
    <row r="206" spans="2:7" hidden="1" x14ac:dyDescent="0.3">
      <c r="B206" s="172"/>
      <c r="C206" s="172"/>
      <c r="D206" s="172"/>
      <c r="E206" s="172"/>
      <c r="F206" s="172"/>
      <c r="G206" s="172"/>
    </row>
    <row r="207" spans="2:7" hidden="1" x14ac:dyDescent="0.3">
      <c r="B207" s="172"/>
      <c r="C207" s="172"/>
      <c r="D207" s="172"/>
      <c r="E207" s="172"/>
      <c r="F207" s="172"/>
      <c r="G207" s="172"/>
    </row>
    <row r="208" spans="2:7" hidden="1" x14ac:dyDescent="0.3">
      <c r="B208" s="172"/>
      <c r="C208" s="172"/>
      <c r="D208" s="172"/>
      <c r="E208" s="172"/>
      <c r="F208" s="172"/>
      <c r="G208" s="172"/>
    </row>
    <row r="209" spans="2:7" hidden="1" x14ac:dyDescent="0.3">
      <c r="B209" s="172"/>
      <c r="C209" s="172"/>
      <c r="D209" s="172"/>
      <c r="E209" s="172"/>
      <c r="F209" s="172"/>
      <c r="G209" s="172"/>
    </row>
    <row r="210" spans="2:7" hidden="1" x14ac:dyDescent="0.3">
      <c r="B210" s="172"/>
      <c r="C210" s="172"/>
      <c r="D210" s="172"/>
      <c r="E210" s="172"/>
      <c r="F210" s="172"/>
      <c r="G210" s="172"/>
    </row>
    <row r="211" spans="2:7" hidden="1" x14ac:dyDescent="0.3">
      <c r="B211" s="172"/>
      <c r="C211" s="172"/>
      <c r="D211" s="172"/>
      <c r="E211" s="172"/>
      <c r="F211" s="172"/>
      <c r="G211" s="172"/>
    </row>
    <row r="212" spans="2:7" hidden="1" x14ac:dyDescent="0.3">
      <c r="B212" s="172"/>
      <c r="C212" s="172"/>
      <c r="D212" s="172"/>
      <c r="E212" s="172"/>
      <c r="F212" s="172"/>
      <c r="G212" s="172"/>
    </row>
    <row r="213" spans="2:7" hidden="1" x14ac:dyDescent="0.3">
      <c r="B213" s="172"/>
      <c r="C213" s="172"/>
      <c r="D213" s="172"/>
      <c r="E213" s="172"/>
      <c r="F213" s="172"/>
      <c r="G213" s="172"/>
    </row>
    <row r="214" spans="2:7" hidden="1" x14ac:dyDescent="0.3">
      <c r="B214" s="172"/>
      <c r="C214" s="172"/>
      <c r="D214" s="172"/>
      <c r="E214" s="172"/>
      <c r="F214" s="172"/>
      <c r="G214" s="172"/>
    </row>
    <row r="215" spans="2:7" hidden="1" x14ac:dyDescent="0.3">
      <c r="B215" s="172"/>
      <c r="C215" s="172"/>
      <c r="D215" s="172"/>
      <c r="E215" s="172"/>
      <c r="F215" s="172"/>
      <c r="G215" s="172"/>
    </row>
    <row r="216" spans="2:7" hidden="1" x14ac:dyDescent="0.3">
      <c r="B216" s="172"/>
      <c r="C216" s="172"/>
      <c r="D216" s="172"/>
      <c r="E216" s="172"/>
      <c r="F216" s="172"/>
      <c r="G216" s="172"/>
    </row>
    <row r="217" spans="2:7" hidden="1" x14ac:dyDescent="0.3">
      <c r="B217" s="172"/>
      <c r="C217" s="172"/>
      <c r="D217" s="172"/>
      <c r="E217" s="172"/>
      <c r="F217" s="172"/>
      <c r="G217" s="172"/>
    </row>
    <row r="218" spans="2:7" hidden="1" x14ac:dyDescent="0.3">
      <c r="B218" s="172"/>
      <c r="C218" s="172"/>
      <c r="D218" s="172"/>
      <c r="E218" s="172"/>
      <c r="F218" s="172"/>
      <c r="G218" s="172"/>
    </row>
    <row r="219" spans="2:7" hidden="1" x14ac:dyDescent="0.3">
      <c r="B219" s="172"/>
      <c r="C219" s="172"/>
      <c r="D219" s="172"/>
      <c r="E219" s="172"/>
      <c r="F219" s="172"/>
      <c r="G219" s="172"/>
    </row>
    <row r="220" spans="2:7" x14ac:dyDescent="0.3">
      <c r="B220" s="172"/>
      <c r="C220" s="172"/>
      <c r="D220" s="172"/>
      <c r="E220" s="172"/>
      <c r="F220" s="172"/>
      <c r="G220" s="172"/>
    </row>
    <row r="221" spans="2:7" x14ac:dyDescent="0.3">
      <c r="B221" s="172"/>
      <c r="C221" s="172"/>
      <c r="D221" s="172"/>
      <c r="E221" s="172"/>
      <c r="F221" s="172"/>
      <c r="G221" s="172"/>
    </row>
    <row r="222" spans="2:7" x14ac:dyDescent="0.3">
      <c r="B222" s="167" t="s">
        <v>83</v>
      </c>
      <c r="C222" s="168"/>
      <c r="D222" s="168"/>
      <c r="E222" s="168"/>
      <c r="F222" s="168"/>
      <c r="G222" s="168"/>
    </row>
    <row r="223" spans="2:7" x14ac:dyDescent="0.3">
      <c r="B223" s="169" t="s">
        <v>9</v>
      </c>
      <c r="C223" s="169" t="s">
        <v>46</v>
      </c>
      <c r="D223" s="169" t="s">
        <v>42</v>
      </c>
      <c r="E223" s="169" t="s">
        <v>84</v>
      </c>
      <c r="F223" s="169" t="s">
        <v>85</v>
      </c>
      <c r="G223" s="170" t="s">
        <v>86</v>
      </c>
    </row>
    <row r="224" spans="2:7" x14ac:dyDescent="0.3">
      <c r="B224" s="190"/>
      <c r="C224" s="190"/>
      <c r="D224" s="190"/>
      <c r="E224" s="190" t="s">
        <v>7</v>
      </c>
      <c r="F224" s="190" t="s">
        <v>7</v>
      </c>
      <c r="G224" s="191"/>
    </row>
    <row r="225" spans="2:7" s="172" customFormat="1" x14ac:dyDescent="0.3">
      <c r="B225" s="27" t="s">
        <v>251</v>
      </c>
      <c r="C225" s="27" t="s">
        <v>252</v>
      </c>
      <c r="D225" s="27" t="s">
        <v>253</v>
      </c>
      <c r="E225" s="27" t="s">
        <v>254</v>
      </c>
      <c r="F225" s="27" t="s">
        <v>255</v>
      </c>
      <c r="G225" s="27" t="s">
        <v>256</v>
      </c>
    </row>
    <row r="226" spans="2:7" hidden="1" x14ac:dyDescent="0.3">
      <c r="B226" s="172" t="s">
        <v>189</v>
      </c>
      <c r="C226" s="172" t="s">
        <v>79</v>
      </c>
      <c r="D226" s="172" t="s">
        <v>215</v>
      </c>
      <c r="E226" s="172">
        <v>2.34904998820725E-2</v>
      </c>
      <c r="F226" s="172">
        <v>2.30649684376012E-2</v>
      </c>
      <c r="G226" s="172">
        <v>1.0184492532743901</v>
      </c>
    </row>
    <row r="227" spans="2:7" hidden="1" x14ac:dyDescent="0.3">
      <c r="B227" s="172" t="s">
        <v>187</v>
      </c>
      <c r="C227" s="172" t="s">
        <v>79</v>
      </c>
      <c r="D227" s="172" t="s">
        <v>215</v>
      </c>
      <c r="E227" s="172">
        <v>2.51828330932314E-2</v>
      </c>
      <c r="F227" s="172">
        <v>2.3577697392550001E-2</v>
      </c>
      <c r="G227" s="172">
        <v>1.0680785605972101</v>
      </c>
    </row>
    <row r="228" spans="2:7" s="172" customFormat="1" hidden="1" x14ac:dyDescent="0.3">
      <c r="B228" s="172" t="s">
        <v>187</v>
      </c>
      <c r="C228" s="172" t="s">
        <v>79</v>
      </c>
      <c r="D228" s="172" t="s">
        <v>218</v>
      </c>
      <c r="E228" s="172">
        <v>5.2501438595116898E-3</v>
      </c>
      <c r="F228" s="172">
        <v>3.0029538785577301E-3</v>
      </c>
      <c r="G228" s="172">
        <v>1.74832650511211</v>
      </c>
    </row>
    <row r="229" spans="2:7" hidden="1" x14ac:dyDescent="0.3">
      <c r="B229" s="172" t="s">
        <v>185</v>
      </c>
      <c r="C229" s="172" t="s">
        <v>79</v>
      </c>
      <c r="D229" s="172" t="s">
        <v>215</v>
      </c>
      <c r="E229" s="172">
        <v>2.4361947749667399E-2</v>
      </c>
      <c r="F229" s="172">
        <v>2.27503436155631E-2</v>
      </c>
      <c r="G229" s="172">
        <v>1.0708386722124801</v>
      </c>
    </row>
    <row r="230" spans="2:7" hidden="1" x14ac:dyDescent="0.3">
      <c r="B230" s="172" t="s">
        <v>185</v>
      </c>
      <c r="C230" s="172" t="s">
        <v>79</v>
      </c>
      <c r="D230" s="172" t="s">
        <v>218</v>
      </c>
      <c r="E230" s="172">
        <v>5.0843517148191596E-3</v>
      </c>
      <c r="F230" s="172">
        <v>2.82810592707318E-3</v>
      </c>
      <c r="G230" s="172">
        <v>1.79779394616982</v>
      </c>
    </row>
    <row r="231" spans="2:7" s="172" customFormat="1" hidden="1" x14ac:dyDescent="0.3">
      <c r="B231" s="172" t="s">
        <v>183</v>
      </c>
      <c r="C231" s="172" t="s">
        <v>79</v>
      </c>
      <c r="D231" s="172" t="s">
        <v>215</v>
      </c>
      <c r="E231" s="172">
        <v>2.2999651672581101E-2</v>
      </c>
      <c r="F231" s="172">
        <v>2.1424705360032499E-2</v>
      </c>
      <c r="G231" s="172">
        <v>1.0735107571414599</v>
      </c>
    </row>
    <row r="232" spans="2:7" hidden="1" x14ac:dyDescent="0.3">
      <c r="B232" s="172" t="s">
        <v>183</v>
      </c>
      <c r="C232" s="172" t="s">
        <v>79</v>
      </c>
      <c r="D232" s="172" t="s">
        <v>218</v>
      </c>
      <c r="E232" s="172">
        <v>4.8112558475360799E-3</v>
      </c>
      <c r="F232" s="172">
        <v>2.6063310099680701E-3</v>
      </c>
      <c r="G232" s="172">
        <v>1.8459880303519201</v>
      </c>
    </row>
    <row r="233" spans="2:7" hidden="1" x14ac:dyDescent="0.3">
      <c r="B233" s="172" t="s">
        <v>181</v>
      </c>
      <c r="C233" s="172" t="s">
        <v>79</v>
      </c>
      <c r="D233" s="172" t="s">
        <v>215</v>
      </c>
      <c r="E233" s="172">
        <v>2.11372666108923E-2</v>
      </c>
      <c r="F233" s="172">
        <v>1.9639873695126001E-2</v>
      </c>
      <c r="G233" s="172">
        <v>1.07624249213669</v>
      </c>
    </row>
    <row r="234" spans="2:7" s="172" customFormat="1" hidden="1" x14ac:dyDescent="0.3">
      <c r="B234" s="172" t="s">
        <v>181</v>
      </c>
      <c r="C234" s="172" t="s">
        <v>79</v>
      </c>
      <c r="D234" s="172" t="s">
        <v>218</v>
      </c>
      <c r="E234" s="172">
        <v>4.4386120517923098E-3</v>
      </c>
      <c r="F234" s="172">
        <v>2.3422619697195399E-3</v>
      </c>
      <c r="G234" s="172">
        <v>1.8950109377918101</v>
      </c>
    </row>
    <row r="235" spans="2:7" hidden="1" x14ac:dyDescent="0.3">
      <c r="B235" s="172" t="s">
        <v>179</v>
      </c>
      <c r="C235" s="172" t="s">
        <v>79</v>
      </c>
      <c r="D235" s="172" t="s">
        <v>215</v>
      </c>
      <c r="E235" s="172">
        <v>1.8849347576659899E-2</v>
      </c>
      <c r="F235" s="172">
        <v>1.7465414584897698E-2</v>
      </c>
      <c r="G235" s="172">
        <v>1.07923848500905</v>
      </c>
    </row>
    <row r="236" spans="2:7" hidden="1" x14ac:dyDescent="0.3">
      <c r="B236" s="172" t="s">
        <v>179</v>
      </c>
      <c r="C236" s="172" t="s">
        <v>79</v>
      </c>
      <c r="D236" s="172" t="s">
        <v>218</v>
      </c>
      <c r="E236" s="172">
        <v>3.9814136952963201E-3</v>
      </c>
      <c r="F236" s="172">
        <v>2.0439075068292701E-3</v>
      </c>
      <c r="G236" s="172">
        <v>1.94794220481764</v>
      </c>
    </row>
    <row r="237" spans="2:7" s="172" customFormat="1" hidden="1" x14ac:dyDescent="0.3">
      <c r="B237" s="172" t="s">
        <v>39</v>
      </c>
      <c r="C237" s="172" t="s">
        <v>79</v>
      </c>
      <c r="D237" s="172" t="s">
        <v>215</v>
      </c>
      <c r="E237" s="172">
        <v>1.62022154166108E-2</v>
      </c>
      <c r="F237" s="172">
        <v>1.4964473800427199E-2</v>
      </c>
      <c r="G237" s="172">
        <v>1.0827120039562199</v>
      </c>
    </row>
    <row r="238" spans="2:7" hidden="1" x14ac:dyDescent="0.3">
      <c r="B238" s="172" t="s">
        <v>39</v>
      </c>
      <c r="C238" s="172" t="s">
        <v>79</v>
      </c>
      <c r="D238" s="172" t="s">
        <v>218</v>
      </c>
      <c r="E238" s="172">
        <v>3.45153228501505E-3</v>
      </c>
      <c r="F238" s="172">
        <v>1.7186940223579399E-3</v>
      </c>
      <c r="G238" s="172">
        <v>2.0082296442037801</v>
      </c>
    </row>
    <row r="239" spans="2:7" hidden="1" x14ac:dyDescent="0.3">
      <c r="B239" s="172" t="s">
        <v>26</v>
      </c>
      <c r="C239" s="172" t="s">
        <v>79</v>
      </c>
      <c r="D239" s="172" t="s">
        <v>215</v>
      </c>
      <c r="E239" s="172">
        <v>1.32765348880953E-2</v>
      </c>
      <c r="F239" s="172">
        <v>1.22341287994778E-2</v>
      </c>
      <c r="G239" s="172">
        <v>1.08520476657577</v>
      </c>
    </row>
    <row r="240" spans="2:7" s="172" customFormat="1" hidden="1" x14ac:dyDescent="0.3">
      <c r="B240" s="172" t="s">
        <v>26</v>
      </c>
      <c r="C240" s="172" t="s">
        <v>79</v>
      </c>
      <c r="D240" s="172" t="s">
        <v>218</v>
      </c>
      <c r="E240" s="172">
        <v>2.8349329876117399E-3</v>
      </c>
      <c r="F240" s="172">
        <v>1.3755644635473001E-3</v>
      </c>
      <c r="G240" s="172">
        <v>2.06092339744007</v>
      </c>
    </row>
    <row r="241" spans="2:7" hidden="1" x14ac:dyDescent="0.3">
      <c r="B241" s="172" t="s">
        <v>25</v>
      </c>
      <c r="C241" s="172" t="s">
        <v>79</v>
      </c>
      <c r="D241" s="172" t="s">
        <v>215</v>
      </c>
      <c r="E241" s="172">
        <v>1.01290873939823E-2</v>
      </c>
      <c r="F241" s="172">
        <v>9.3292764007148997E-3</v>
      </c>
      <c r="G241" s="172">
        <v>1.08573129993299</v>
      </c>
    </row>
    <row r="242" spans="2:7" hidden="1" x14ac:dyDescent="0.3">
      <c r="B242" s="172" t="s">
        <v>25</v>
      </c>
      <c r="C242" s="172" t="s">
        <v>79</v>
      </c>
      <c r="D242" s="172" t="s">
        <v>218</v>
      </c>
      <c r="E242" s="172">
        <v>2.1413900024776899E-3</v>
      </c>
      <c r="F242" s="172">
        <v>1.02165461190331E-3</v>
      </c>
      <c r="G242" s="172">
        <v>2.09600189489512</v>
      </c>
    </row>
    <row r="243" spans="2:7" s="172" customFormat="1" hidden="1" x14ac:dyDescent="0.3">
      <c r="B243" s="172" t="s">
        <v>24</v>
      </c>
      <c r="C243" s="172" t="s">
        <v>79</v>
      </c>
      <c r="D243" s="172" t="s">
        <v>215</v>
      </c>
      <c r="E243" s="172">
        <v>6.7958221261185496E-3</v>
      </c>
      <c r="F243" s="172">
        <v>6.2640507322495103E-3</v>
      </c>
      <c r="G243" s="172">
        <v>1.0848925745654201</v>
      </c>
    </row>
    <row r="244" spans="2:7" hidden="1" x14ac:dyDescent="0.3">
      <c r="B244" s="172" t="s">
        <v>24</v>
      </c>
      <c r="C244" s="172" t="s">
        <v>79</v>
      </c>
      <c r="D244" s="172" t="s">
        <v>218</v>
      </c>
      <c r="E244" s="172">
        <v>1.4079492365970899E-3</v>
      </c>
      <c r="F244" s="172">
        <v>6.6346928518043404E-4</v>
      </c>
      <c r="G244" s="172">
        <v>2.12210160748314</v>
      </c>
    </row>
    <row r="245" spans="2:7" hidden="1" x14ac:dyDescent="0.3">
      <c r="B245" s="172" t="s">
        <v>22</v>
      </c>
      <c r="C245" s="172" t="s">
        <v>79</v>
      </c>
      <c r="D245" s="172" t="s">
        <v>215</v>
      </c>
      <c r="E245" s="172">
        <v>3.3547620166010901E-3</v>
      </c>
      <c r="F245" s="172">
        <v>3.1062370217309798E-3</v>
      </c>
      <c r="G245" s="172">
        <v>1.0800083809224601</v>
      </c>
    </row>
    <row r="246" spans="2:7" s="172" customFormat="1" hidden="1" x14ac:dyDescent="0.3">
      <c r="B246" s="172" t="s">
        <v>22</v>
      </c>
      <c r="C246" s="172" t="s">
        <v>79</v>
      </c>
      <c r="D246" s="172" t="s">
        <v>218</v>
      </c>
      <c r="E246" s="172">
        <v>6.6076683419440997E-4</v>
      </c>
      <c r="F246" s="172">
        <v>3.12831841376254E-4</v>
      </c>
      <c r="G246" s="172">
        <v>2.1122109286812698</v>
      </c>
    </row>
    <row r="247" spans="2:7" hidden="1" x14ac:dyDescent="0.3">
      <c r="B247" s="172" t="s">
        <v>189</v>
      </c>
      <c r="C247" s="172" t="s">
        <v>80</v>
      </c>
      <c r="D247" s="172" t="s">
        <v>215</v>
      </c>
      <c r="E247" s="172">
        <v>2.5383588444734199E-2</v>
      </c>
      <c r="F247" s="172">
        <v>2.49428937688768E-2</v>
      </c>
      <c r="G247" s="172">
        <v>1.01766814548228</v>
      </c>
    </row>
    <row r="248" spans="2:7" hidden="1" x14ac:dyDescent="0.3">
      <c r="B248" s="172" t="s">
        <v>189</v>
      </c>
      <c r="C248" s="172" t="s">
        <v>80</v>
      </c>
      <c r="D248" s="172" t="s">
        <v>218</v>
      </c>
      <c r="E248" s="172">
        <v>5.9851936617569797E-3</v>
      </c>
      <c r="F248" s="172">
        <v>5.4343253169351399E-3</v>
      </c>
      <c r="G248" s="172">
        <v>1.1013683047470799</v>
      </c>
    </row>
    <row r="249" spans="2:7" s="172" customFormat="1" hidden="1" x14ac:dyDescent="0.3">
      <c r="B249" s="172" t="s">
        <v>187</v>
      </c>
      <c r="C249" s="172" t="s">
        <v>80</v>
      </c>
      <c r="D249" s="172" t="s">
        <v>215</v>
      </c>
      <c r="E249" s="172">
        <v>2.4653599260857102E-2</v>
      </c>
      <c r="F249" s="172">
        <v>2.30818623987953E-2</v>
      </c>
      <c r="G249" s="172">
        <v>1.0680940226965301</v>
      </c>
    </row>
    <row r="250" spans="2:7" hidden="1" x14ac:dyDescent="0.3">
      <c r="B250" s="172" t="s">
        <v>187</v>
      </c>
      <c r="C250" s="172" t="s">
        <v>80</v>
      </c>
      <c r="D250" s="172" t="s">
        <v>218</v>
      </c>
      <c r="E250" s="172">
        <v>5.6350184779858804E-3</v>
      </c>
      <c r="F250" s="172">
        <v>3.4345868710994E-3</v>
      </c>
      <c r="G250" s="172">
        <v>1.6406684965234699</v>
      </c>
    </row>
    <row r="251" spans="2:7" hidden="1" x14ac:dyDescent="0.3">
      <c r="B251" s="172" t="s">
        <v>185</v>
      </c>
      <c r="C251" s="172" t="s">
        <v>80</v>
      </c>
      <c r="D251" s="172" t="s">
        <v>215</v>
      </c>
      <c r="E251" s="172">
        <v>2.37114040625666E-2</v>
      </c>
      <c r="F251" s="172">
        <v>2.22665449094951E-2</v>
      </c>
      <c r="G251" s="172">
        <v>1.0648892389431901</v>
      </c>
    </row>
    <row r="252" spans="2:7" s="172" customFormat="1" hidden="1" x14ac:dyDescent="0.3">
      <c r="B252" s="172" t="s">
        <v>185</v>
      </c>
      <c r="C252" s="172" t="s">
        <v>80</v>
      </c>
      <c r="D252" s="172" t="s">
        <v>218</v>
      </c>
      <c r="E252" s="172">
        <v>5.2437052928176698E-3</v>
      </c>
      <c r="F252" s="172">
        <v>3.2209024785175401E-3</v>
      </c>
      <c r="G252" s="172">
        <v>1.6280236138137101</v>
      </c>
    </row>
    <row r="253" spans="2:7" hidden="1" x14ac:dyDescent="0.3">
      <c r="B253" s="172" t="s">
        <v>183</v>
      </c>
      <c r="C253" s="172" t="s">
        <v>80</v>
      </c>
      <c r="D253" s="172" t="s">
        <v>215</v>
      </c>
      <c r="E253" s="172">
        <v>2.22565440085228E-2</v>
      </c>
      <c r="F253" s="172">
        <v>2.0960364816679102E-2</v>
      </c>
      <c r="G253" s="172">
        <v>1.0618395339575499</v>
      </c>
    </row>
    <row r="254" spans="2:7" hidden="1" x14ac:dyDescent="0.3">
      <c r="B254" s="172" t="s">
        <v>183</v>
      </c>
      <c r="C254" s="172" t="s">
        <v>80</v>
      </c>
      <c r="D254" s="172" t="s">
        <v>218</v>
      </c>
      <c r="E254" s="172">
        <v>4.7699397268065697E-3</v>
      </c>
      <c r="F254" s="172">
        <v>2.9552888582254199E-3</v>
      </c>
      <c r="G254" s="172">
        <v>1.61403502521605</v>
      </c>
    </row>
    <row r="255" spans="2:7" hidden="1" x14ac:dyDescent="0.3">
      <c r="B255" s="172" t="s">
        <v>181</v>
      </c>
      <c r="C255" s="172" t="s">
        <v>80</v>
      </c>
      <c r="D255" s="172" t="s">
        <v>215</v>
      </c>
      <c r="E255" s="172">
        <v>2.03306635866186E-2</v>
      </c>
      <c r="F255" s="172">
        <v>1.9202216740225601E-2</v>
      </c>
      <c r="G255" s="172">
        <v>1.05876648835179</v>
      </c>
    </row>
    <row r="256" spans="2:7" hidden="1" x14ac:dyDescent="0.3">
      <c r="B256" s="172" t="s">
        <v>181</v>
      </c>
      <c r="C256" s="172" t="s">
        <v>80</v>
      </c>
      <c r="D256" s="172" t="s">
        <v>218</v>
      </c>
      <c r="E256" s="172">
        <v>4.2234620540522799E-3</v>
      </c>
      <c r="F256" s="172">
        <v>2.6436364691021699E-3</v>
      </c>
      <c r="G256" s="172">
        <v>1.5975956238365301</v>
      </c>
    </row>
    <row r="257" spans="2:7" hidden="1" x14ac:dyDescent="0.3">
      <c r="B257" s="172" t="s">
        <v>179</v>
      </c>
      <c r="C257" s="172" t="s">
        <v>80</v>
      </c>
      <c r="D257" s="172" t="s">
        <v>215</v>
      </c>
      <c r="E257" s="172">
        <v>1.8006481704411499E-2</v>
      </c>
      <c r="F257" s="172">
        <v>1.7060682349489299E-2</v>
      </c>
      <c r="G257" s="172">
        <v>1.0554373697105099</v>
      </c>
    </row>
    <row r="258" spans="2:7" hidden="1" x14ac:dyDescent="0.3">
      <c r="B258" s="172" t="s">
        <v>179</v>
      </c>
      <c r="C258" s="172" t="s">
        <v>80</v>
      </c>
      <c r="D258" s="172" t="s">
        <v>218</v>
      </c>
      <c r="E258" s="172">
        <v>3.6192705673519501E-3</v>
      </c>
      <c r="F258" s="172">
        <v>2.2951514704608301E-3</v>
      </c>
      <c r="G258" s="172">
        <v>1.5769201353082201</v>
      </c>
    </row>
    <row r="259" spans="2:7" hidden="1" x14ac:dyDescent="0.3">
      <c r="B259" s="172" t="s">
        <v>39</v>
      </c>
      <c r="C259" s="172" t="s">
        <v>80</v>
      </c>
      <c r="D259" s="172" t="s">
        <v>215</v>
      </c>
      <c r="E259" s="172">
        <v>1.53517434629138E-2</v>
      </c>
      <c r="F259" s="172">
        <v>1.45981842875605E-2</v>
      </c>
      <c r="G259" s="172">
        <v>1.0516200618179199</v>
      </c>
    </row>
    <row r="260" spans="2:7" hidden="1" x14ac:dyDescent="0.3">
      <c r="B260" s="172" t="s">
        <v>39</v>
      </c>
      <c r="C260" s="172" t="s">
        <v>80</v>
      </c>
      <c r="D260" s="172" t="s">
        <v>218</v>
      </c>
      <c r="E260" s="172">
        <v>2.97356590290516E-3</v>
      </c>
      <c r="F260" s="172">
        <v>1.9185830574106201E-3</v>
      </c>
      <c r="G260" s="172">
        <v>1.5498760355563601</v>
      </c>
    </row>
    <row r="261" spans="2:7" hidden="1" x14ac:dyDescent="0.3">
      <c r="B261" s="172" t="s">
        <v>26</v>
      </c>
      <c r="C261" s="172" t="s">
        <v>80</v>
      </c>
      <c r="D261" s="172" t="s">
        <v>215</v>
      </c>
      <c r="E261" s="172">
        <v>1.24931812917478E-2</v>
      </c>
      <c r="F261" s="172">
        <v>1.19145828059775E-2</v>
      </c>
      <c r="G261" s="172">
        <v>1.0485622111317201</v>
      </c>
    </row>
    <row r="262" spans="2:7" hidden="1" x14ac:dyDescent="0.3">
      <c r="B262" s="172" t="s">
        <v>26</v>
      </c>
      <c r="C262" s="172" t="s">
        <v>80</v>
      </c>
      <c r="D262" s="172" t="s">
        <v>218</v>
      </c>
      <c r="E262" s="172">
        <v>2.3352556712436402E-3</v>
      </c>
      <c r="F262" s="172">
        <v>1.5252177911653001E-3</v>
      </c>
      <c r="G262" s="172">
        <v>1.5310965324233901</v>
      </c>
    </row>
    <row r="263" spans="2:7" hidden="1" x14ac:dyDescent="0.3">
      <c r="B263" s="172" t="s">
        <v>25</v>
      </c>
      <c r="C263" s="172" t="s">
        <v>80</v>
      </c>
      <c r="D263" s="172" t="s">
        <v>215</v>
      </c>
      <c r="E263" s="172">
        <v>9.4909527512745707E-3</v>
      </c>
      <c r="F263" s="172">
        <v>9.0645334549283099E-3</v>
      </c>
      <c r="G263" s="172">
        <v>1.04704260825629</v>
      </c>
    </row>
    <row r="264" spans="2:7" hidden="1" x14ac:dyDescent="0.3">
      <c r="B264" s="172" t="s">
        <v>25</v>
      </c>
      <c r="C264" s="172" t="s">
        <v>80</v>
      </c>
      <c r="D264" s="172" t="s">
        <v>218</v>
      </c>
      <c r="E264" s="172">
        <v>1.72093628914851E-3</v>
      </c>
      <c r="F264" s="172">
        <v>1.1239492742637499E-3</v>
      </c>
      <c r="G264" s="172">
        <v>1.5311512081146399</v>
      </c>
    </row>
    <row r="265" spans="2:7" hidden="1" x14ac:dyDescent="0.3">
      <c r="B265" s="172" t="s">
        <v>24</v>
      </c>
      <c r="C265" s="172" t="s">
        <v>80</v>
      </c>
      <c r="D265" s="172" t="s">
        <v>215</v>
      </c>
      <c r="E265" s="172">
        <v>6.3395514558798396E-3</v>
      </c>
      <c r="F265" s="172">
        <v>6.0590526905821198E-3</v>
      </c>
      <c r="G265" s="172">
        <v>1.0462941617480399</v>
      </c>
    </row>
    <row r="266" spans="2:7" hidden="1" x14ac:dyDescent="0.3">
      <c r="B266" s="172" t="s">
        <v>24</v>
      </c>
      <c r="C266" s="172" t="s">
        <v>80</v>
      </c>
      <c r="D266" s="172" t="s">
        <v>218</v>
      </c>
      <c r="E266" s="172">
        <v>1.1150584653147201E-3</v>
      </c>
      <c r="F266" s="172">
        <v>7.2236019389791402E-4</v>
      </c>
      <c r="G266" s="172">
        <v>1.5436322138651799</v>
      </c>
    </row>
    <row r="267" spans="2:7" hidden="1" x14ac:dyDescent="0.3">
      <c r="B267" s="172" t="s">
        <v>22</v>
      </c>
      <c r="C267" s="172" t="s">
        <v>80</v>
      </c>
      <c r="D267" s="172" t="s">
        <v>215</v>
      </c>
      <c r="E267" s="172">
        <v>3.1176199578511498E-3</v>
      </c>
      <c r="F267" s="172">
        <v>2.9752755503613098E-3</v>
      </c>
      <c r="G267" s="172">
        <v>1.0478424284004699</v>
      </c>
    </row>
    <row r="268" spans="2:7" hidden="1" x14ac:dyDescent="0.3">
      <c r="B268" s="172" t="s">
        <v>22</v>
      </c>
      <c r="C268" s="172" t="s">
        <v>80</v>
      </c>
      <c r="D268" s="172" t="s">
        <v>218</v>
      </c>
      <c r="E268" s="172">
        <v>5.3445529543778901E-4</v>
      </c>
      <c r="F268" s="172">
        <v>3.3517312495201198E-4</v>
      </c>
      <c r="G268" s="172">
        <v>1.59456488498089</v>
      </c>
    </row>
    <row r="269" spans="2:7" hidden="1" x14ac:dyDescent="0.3">
      <c r="B269" s="172" t="s">
        <v>189</v>
      </c>
      <c r="C269" s="172" t="s">
        <v>81</v>
      </c>
      <c r="D269" s="172" t="s">
        <v>215</v>
      </c>
      <c r="E269" s="172">
        <v>5.7448487347209797E-3</v>
      </c>
      <c r="F269" s="172">
        <v>4.8318155355923896E-3</v>
      </c>
      <c r="G269" s="172">
        <v>1.18896275994043</v>
      </c>
    </row>
    <row r="270" spans="2:7" x14ac:dyDescent="0.3">
      <c r="B270" s="172" t="s">
        <v>189</v>
      </c>
      <c r="C270" s="172" t="s">
        <v>81</v>
      </c>
      <c r="D270" s="172" t="s">
        <v>218</v>
      </c>
      <c r="E270" s="172">
        <v>3.7333517766412402E-2</v>
      </c>
      <c r="F270" s="172">
        <v>3.6192226267501598E-2</v>
      </c>
      <c r="G270" s="172">
        <v>1.0315341612443301</v>
      </c>
    </row>
    <row r="271" spans="2:7" x14ac:dyDescent="0.3">
      <c r="B271" s="172" t="s">
        <v>187</v>
      </c>
      <c r="C271" s="172" t="s">
        <v>81</v>
      </c>
      <c r="D271" s="172" t="s">
        <v>218</v>
      </c>
      <c r="E271" s="172">
        <v>3.5717062859312497E-2</v>
      </c>
      <c r="F271" s="172">
        <v>3.1359373927211699E-2</v>
      </c>
      <c r="G271" s="172">
        <v>1.1389596916767399</v>
      </c>
    </row>
    <row r="272" spans="2:7" x14ac:dyDescent="0.3">
      <c r="B272" s="172" t="s">
        <v>185</v>
      </c>
      <c r="C272" s="172" t="s">
        <v>81</v>
      </c>
      <c r="D272" s="172" t="s">
        <v>218</v>
      </c>
      <c r="E272" s="172">
        <v>3.3755644074649399E-2</v>
      </c>
      <c r="F272" s="172">
        <v>2.9811550079009201E-2</v>
      </c>
      <c r="G272" s="172">
        <v>1.1323008694679499</v>
      </c>
    </row>
    <row r="273" spans="2:7" x14ac:dyDescent="0.3">
      <c r="B273" s="172" t="s">
        <v>183</v>
      </c>
      <c r="C273" s="172" t="s">
        <v>81</v>
      </c>
      <c r="D273" s="172" t="s">
        <v>218</v>
      </c>
      <c r="E273" s="172">
        <v>3.11802349062806E-2</v>
      </c>
      <c r="F273" s="172">
        <v>2.7687899311206E-2</v>
      </c>
      <c r="G273" s="172">
        <v>1.12613219788982</v>
      </c>
    </row>
    <row r="274" spans="2:7" x14ac:dyDescent="0.3">
      <c r="B274" s="172" t="s">
        <v>181</v>
      </c>
      <c r="C274" s="172" t="s">
        <v>81</v>
      </c>
      <c r="D274" s="172" t="s">
        <v>218</v>
      </c>
      <c r="E274" s="172">
        <v>2.8068296263742E-2</v>
      </c>
      <c r="F274" s="172">
        <v>2.5054861248504801E-2</v>
      </c>
      <c r="G274" s="172">
        <v>1.12027346650811</v>
      </c>
    </row>
    <row r="275" spans="2:7" x14ac:dyDescent="0.3">
      <c r="B275" s="172" t="s">
        <v>179</v>
      </c>
      <c r="C275" s="172" t="s">
        <v>81</v>
      </c>
      <c r="D275" s="172" t="s">
        <v>218</v>
      </c>
      <c r="E275" s="172">
        <v>2.45318716610275E-2</v>
      </c>
      <c r="F275" s="172">
        <v>2.2013462684465E-2</v>
      </c>
      <c r="G275" s="172">
        <v>1.1144031274252799</v>
      </c>
    </row>
    <row r="276" spans="2:7" x14ac:dyDescent="0.3">
      <c r="B276" s="172" t="s">
        <v>39</v>
      </c>
      <c r="C276" s="172" t="s">
        <v>81</v>
      </c>
      <c r="D276" s="172" t="s">
        <v>218</v>
      </c>
      <c r="E276" s="172">
        <v>2.06691095765889E-2</v>
      </c>
      <c r="F276" s="172">
        <v>1.8650234774310701E-2</v>
      </c>
      <c r="G276" s="172">
        <v>1.1082492969503599</v>
      </c>
    </row>
    <row r="277" spans="2:7" x14ac:dyDescent="0.3">
      <c r="B277" s="172" t="s">
        <v>26</v>
      </c>
      <c r="C277" s="172" t="s">
        <v>81</v>
      </c>
      <c r="D277" s="172" t="s">
        <v>218</v>
      </c>
      <c r="E277" s="172">
        <v>1.6582308470408799E-2</v>
      </c>
      <c r="F277" s="172">
        <v>1.50436344218026E-2</v>
      </c>
      <c r="G277" s="172">
        <v>1.1022807391793701</v>
      </c>
    </row>
    <row r="278" spans="2:7" x14ac:dyDescent="0.3">
      <c r="B278" s="172" t="s">
        <v>25</v>
      </c>
      <c r="C278" s="172" t="s">
        <v>81</v>
      </c>
      <c r="D278" s="172" t="s">
        <v>218</v>
      </c>
      <c r="E278" s="172">
        <v>1.2348662936409301E-2</v>
      </c>
      <c r="F278" s="172">
        <v>1.12600089586987E-2</v>
      </c>
      <c r="G278" s="172">
        <v>1.09668322482724</v>
      </c>
    </row>
    <row r="279" spans="2:7" x14ac:dyDescent="0.3">
      <c r="B279" s="172" t="s">
        <v>24</v>
      </c>
      <c r="C279" s="172" t="s">
        <v>81</v>
      </c>
      <c r="D279" s="172" t="s">
        <v>218</v>
      </c>
      <c r="E279" s="172">
        <v>8.0399772202211107E-3</v>
      </c>
      <c r="F279" s="172">
        <v>7.3691882073132599E-3</v>
      </c>
      <c r="G279" s="172">
        <v>1.0910261746663199</v>
      </c>
    </row>
    <row r="280" spans="2:7" x14ac:dyDescent="0.3">
      <c r="B280" s="172" t="s">
        <v>22</v>
      </c>
      <c r="C280" s="172" t="s">
        <v>81</v>
      </c>
      <c r="D280" s="172" t="s">
        <v>218</v>
      </c>
      <c r="E280" s="172">
        <v>3.7923212216637199E-3</v>
      </c>
      <c r="F280" s="172">
        <v>3.4931912455426202E-3</v>
      </c>
      <c r="G280" s="172">
        <v>1.08563229296501</v>
      </c>
    </row>
    <row r="281" spans="2:7" hidden="1" x14ac:dyDescent="0.3">
      <c r="B281" s="172" t="s">
        <v>189</v>
      </c>
      <c r="C281" s="172" t="s">
        <v>82</v>
      </c>
      <c r="D281" s="172" t="s">
        <v>218</v>
      </c>
      <c r="E281" s="172">
        <v>3.0800208210094701E-2</v>
      </c>
      <c r="F281" s="172">
        <v>3.03410887390115E-2</v>
      </c>
      <c r="G281" s="172">
        <v>1.01513193791536</v>
      </c>
    </row>
    <row r="282" spans="2:7" hidden="1" x14ac:dyDescent="0.3">
      <c r="B282" s="172" t="s">
        <v>187</v>
      </c>
      <c r="C282" s="172" t="s">
        <v>82</v>
      </c>
      <c r="D282" s="172" t="s">
        <v>218</v>
      </c>
      <c r="E282" s="172">
        <v>3.2906171537659103E-2</v>
      </c>
      <c r="F282" s="172">
        <v>3.07076521103214E-2</v>
      </c>
      <c r="G282" s="172">
        <v>1.07159516525195</v>
      </c>
    </row>
    <row r="283" spans="2:7" hidden="1" x14ac:dyDescent="0.3">
      <c r="B283" s="172" t="s">
        <v>185</v>
      </c>
      <c r="C283" s="172" t="s">
        <v>82</v>
      </c>
      <c r="D283" s="172" t="s">
        <v>218</v>
      </c>
      <c r="E283" s="172">
        <v>3.1570824711137001E-2</v>
      </c>
      <c r="F283" s="172">
        <v>2.9218224567942701E-2</v>
      </c>
      <c r="G283" s="172">
        <v>1.08051824428016</v>
      </c>
    </row>
    <row r="284" spans="2:7" hidden="1" x14ac:dyDescent="0.3">
      <c r="B284" s="172" t="s">
        <v>183</v>
      </c>
      <c r="C284" s="172" t="s">
        <v>82</v>
      </c>
      <c r="D284" s="172" t="s">
        <v>218</v>
      </c>
      <c r="E284" s="172">
        <v>2.9567946292636298E-2</v>
      </c>
      <c r="F284" s="172">
        <v>2.7160469313030702E-2</v>
      </c>
      <c r="G284" s="172">
        <v>1.08863900516073</v>
      </c>
    </row>
    <row r="285" spans="2:7" hidden="1" x14ac:dyDescent="0.3">
      <c r="B285" s="172" t="s">
        <v>181</v>
      </c>
      <c r="C285" s="172" t="s">
        <v>82</v>
      </c>
      <c r="D285" s="172" t="s">
        <v>218</v>
      </c>
      <c r="E285" s="172">
        <v>2.6966602665529301E-2</v>
      </c>
      <c r="F285" s="172">
        <v>2.4598672581291801E-2</v>
      </c>
      <c r="G285" s="172">
        <v>1.09626251483336</v>
      </c>
    </row>
    <row r="286" spans="2:7" hidden="1" x14ac:dyDescent="0.3">
      <c r="B286" s="172" t="s">
        <v>179</v>
      </c>
      <c r="C286" s="172" t="s">
        <v>82</v>
      </c>
      <c r="D286" s="172" t="s">
        <v>218</v>
      </c>
      <c r="E286" s="172">
        <v>2.38773807634956E-2</v>
      </c>
      <c r="F286" s="172">
        <v>2.1631895125597701E-2</v>
      </c>
      <c r="G286" s="172">
        <v>1.10380438814354</v>
      </c>
    </row>
    <row r="287" spans="2:7" hidden="1" x14ac:dyDescent="0.3">
      <c r="B287" s="172" t="s">
        <v>39</v>
      </c>
      <c r="C287" s="172" t="s">
        <v>82</v>
      </c>
      <c r="D287" s="172" t="s">
        <v>215</v>
      </c>
      <c r="E287" s="172">
        <v>3.3052183631658801E-3</v>
      </c>
      <c r="F287" s="172">
        <v>1.84288591355189E-3</v>
      </c>
      <c r="G287" s="172">
        <v>1.7935013442018</v>
      </c>
    </row>
    <row r="288" spans="2:7" hidden="1" x14ac:dyDescent="0.3">
      <c r="B288" s="172" t="s">
        <v>39</v>
      </c>
      <c r="C288" s="172" t="s">
        <v>82</v>
      </c>
      <c r="D288" s="172" t="s">
        <v>218</v>
      </c>
      <c r="E288" s="172">
        <v>2.0391922551178599E-2</v>
      </c>
      <c r="F288" s="172">
        <v>1.8344657121719E-2</v>
      </c>
      <c r="G288" s="172">
        <v>1.1116000923798</v>
      </c>
    </row>
    <row r="289" spans="2:7" hidden="1" x14ac:dyDescent="0.3">
      <c r="B289" s="172" t="s">
        <v>26</v>
      </c>
      <c r="C289" s="172" t="s">
        <v>82</v>
      </c>
      <c r="D289" s="172" t="s">
        <v>215</v>
      </c>
      <c r="E289" s="172">
        <v>2.7711716551945E-3</v>
      </c>
      <c r="F289" s="172">
        <v>1.50691988974059E-3</v>
      </c>
      <c r="G289" s="172">
        <v>1.83896415068988</v>
      </c>
    </row>
    <row r="290" spans="2:7" hidden="1" x14ac:dyDescent="0.3">
      <c r="B290" s="172" t="s">
        <v>26</v>
      </c>
      <c r="C290" s="172" t="s">
        <v>82</v>
      </c>
      <c r="D290" s="172" t="s">
        <v>218</v>
      </c>
      <c r="E290" s="172">
        <v>1.65819921259725E-2</v>
      </c>
      <c r="F290" s="172">
        <v>1.4812039654337E-2</v>
      </c>
      <c r="G290" s="172">
        <v>1.11949417588261</v>
      </c>
    </row>
    <row r="291" spans="2:7" hidden="1" x14ac:dyDescent="0.3">
      <c r="B291" s="172" t="s">
        <v>25</v>
      </c>
      <c r="C291" s="172" t="s">
        <v>82</v>
      </c>
      <c r="D291" s="172" t="s">
        <v>215</v>
      </c>
      <c r="E291" s="172">
        <v>2.1572629353383299E-3</v>
      </c>
      <c r="F291" s="172">
        <v>1.1460458063316001E-3</v>
      </c>
      <c r="G291" s="172">
        <v>1.8823531515232901</v>
      </c>
    </row>
    <row r="292" spans="2:7" hidden="1" x14ac:dyDescent="0.3">
      <c r="B292" s="172" t="s">
        <v>25</v>
      </c>
      <c r="C292" s="172" t="s">
        <v>82</v>
      </c>
      <c r="D292" s="172" t="s">
        <v>218</v>
      </c>
      <c r="E292" s="172">
        <v>1.25136567431243E-2</v>
      </c>
      <c r="F292" s="172">
        <v>1.10979527625149E-2</v>
      </c>
      <c r="G292" s="172">
        <v>1.12756442660228</v>
      </c>
    </row>
    <row r="293" spans="2:7" hidden="1" x14ac:dyDescent="0.3">
      <c r="B293" s="172" t="s">
        <v>24</v>
      </c>
      <c r="C293" s="172" t="s">
        <v>82</v>
      </c>
      <c r="D293" s="172" t="s">
        <v>215</v>
      </c>
      <c r="E293" s="172">
        <v>1.47408791213282E-3</v>
      </c>
      <c r="F293" s="172">
        <v>7.66005109443164E-4</v>
      </c>
      <c r="G293" s="172">
        <v>1.92438391593026</v>
      </c>
    </row>
    <row r="294" spans="2:7" hidden="1" x14ac:dyDescent="0.3">
      <c r="B294" s="172" t="s">
        <v>24</v>
      </c>
      <c r="C294" s="172" t="s">
        <v>82</v>
      </c>
      <c r="D294" s="172" t="s">
        <v>218</v>
      </c>
      <c r="E294" s="172">
        <v>8.2622244704048092E-3</v>
      </c>
      <c r="F294" s="172">
        <v>7.2709085466392898E-3</v>
      </c>
      <c r="G294" s="172">
        <v>1.1363400347297301</v>
      </c>
    </row>
    <row r="295" spans="2:7" hidden="1" x14ac:dyDescent="0.3">
      <c r="B295" s="172" t="s">
        <v>22</v>
      </c>
      <c r="C295" s="172" t="s">
        <v>82</v>
      </c>
      <c r="D295" s="172" t="s">
        <v>215</v>
      </c>
      <c r="E295" s="172">
        <v>7.3664890893807597E-4</v>
      </c>
      <c r="F295" s="172">
        <v>3.7606420642997702E-4</v>
      </c>
      <c r="G295" s="172">
        <v>1.95883813546408</v>
      </c>
    </row>
    <row r="296" spans="2:7" hidden="1" x14ac:dyDescent="0.3">
      <c r="B296" s="172" t="s">
        <v>22</v>
      </c>
      <c r="C296" s="172" t="s">
        <v>82</v>
      </c>
      <c r="D296" s="172" t="s">
        <v>218</v>
      </c>
      <c r="E296" s="172">
        <v>3.9552339137093797E-3</v>
      </c>
      <c r="F296" s="172">
        <v>3.45041533019804E-3</v>
      </c>
      <c r="G296" s="172">
        <v>1.1463066139004101</v>
      </c>
    </row>
    <row r="297" spans="2:7" hidden="1" x14ac:dyDescent="0.3">
      <c r="B297" s="172" t="s">
        <v>189</v>
      </c>
      <c r="C297" s="172" t="s">
        <v>243</v>
      </c>
      <c r="D297" s="172" t="s">
        <v>215</v>
      </c>
      <c r="E297" s="172">
        <v>3.1868270793155599E-3</v>
      </c>
      <c r="F297" s="172">
        <v>3.0091054227551102E-3</v>
      </c>
      <c r="G297" s="172">
        <v>1.0590612928402201</v>
      </c>
    </row>
    <row r="298" spans="2:7" hidden="1" x14ac:dyDescent="0.3">
      <c r="B298" s="172" t="s">
        <v>189</v>
      </c>
      <c r="C298" s="172" t="s">
        <v>243</v>
      </c>
      <c r="D298" s="172" t="s">
        <v>218</v>
      </c>
      <c r="E298" s="172">
        <v>6.9198168007184101E-4</v>
      </c>
      <c r="F298" s="172">
        <v>4.6982960937128401E-4</v>
      </c>
      <c r="G298" s="172">
        <v>1.4728353987690099</v>
      </c>
    </row>
    <row r="299" spans="2:7" hidden="1" x14ac:dyDescent="0.3">
      <c r="B299" s="172" t="s">
        <v>187</v>
      </c>
      <c r="C299" s="172" t="s">
        <v>243</v>
      </c>
      <c r="D299" s="172" t="s">
        <v>215</v>
      </c>
      <c r="E299" s="172">
        <v>1.9617313596615102E-3</v>
      </c>
      <c r="F299" s="172">
        <v>1.69578902581984E-3</v>
      </c>
      <c r="G299" s="172">
        <v>1.1568251296549601</v>
      </c>
    </row>
    <row r="300" spans="2:7" hidden="1" x14ac:dyDescent="0.3">
      <c r="B300" s="172" t="s">
        <v>185</v>
      </c>
      <c r="C300" s="172" t="s">
        <v>243</v>
      </c>
      <c r="D300" s="172" t="s">
        <v>215</v>
      </c>
      <c r="E300" s="172">
        <v>1.6993291200974401E-3</v>
      </c>
      <c r="F300" s="172">
        <v>1.46352616890498E-3</v>
      </c>
      <c r="G300" s="172">
        <v>1.1611197368400199</v>
      </c>
    </row>
    <row r="301" spans="2:7" hidden="1" x14ac:dyDescent="0.3">
      <c r="B301" s="172" t="s">
        <v>183</v>
      </c>
      <c r="C301" s="172" t="s">
        <v>243</v>
      </c>
      <c r="D301" s="172" t="s">
        <v>215</v>
      </c>
      <c r="E301" s="172">
        <v>1.42756747700721E-3</v>
      </c>
      <c r="F301" s="172">
        <v>1.2274100856461501E-3</v>
      </c>
      <c r="G301" s="172">
        <v>1.16307295638335</v>
      </c>
    </row>
    <row r="302" spans="2:7" hidden="1" x14ac:dyDescent="0.3">
      <c r="B302" s="172" t="s">
        <v>181</v>
      </c>
      <c r="C302" s="172" t="s">
        <v>243</v>
      </c>
      <c r="D302" s="172" t="s">
        <v>215</v>
      </c>
      <c r="E302" s="172">
        <v>1.1660815332689999E-3</v>
      </c>
      <c r="F302" s="172">
        <v>1.00048743643744E-3</v>
      </c>
      <c r="G302" s="172">
        <v>1.1655134195599901</v>
      </c>
    </row>
    <row r="303" spans="2:7" hidden="1" x14ac:dyDescent="0.3">
      <c r="B303" s="172" t="s">
        <v>179</v>
      </c>
      <c r="C303" s="172" t="s">
        <v>243</v>
      </c>
      <c r="D303" s="172" t="s">
        <v>215</v>
      </c>
      <c r="E303" s="172">
        <v>9.2203772919353E-4</v>
      </c>
      <c r="F303" s="172">
        <v>7.8879069452712704E-4</v>
      </c>
      <c r="G303" s="172">
        <v>1.1689257183063999</v>
      </c>
    </row>
    <row r="304" spans="2:7" hidden="1" x14ac:dyDescent="0.3">
      <c r="B304" s="172" t="s">
        <v>39</v>
      </c>
      <c r="C304" s="172" t="s">
        <v>243</v>
      </c>
      <c r="D304" s="172" t="s">
        <v>215</v>
      </c>
      <c r="E304" s="172">
        <v>7.0005636974774296E-4</v>
      </c>
      <c r="F304" s="172">
        <v>5.9624868472999901E-4</v>
      </c>
      <c r="G304" s="172">
        <v>1.17410132328384</v>
      </c>
    </row>
    <row r="305" spans="2:7" hidden="1" x14ac:dyDescent="0.3">
      <c r="B305" s="172" t="s">
        <v>26</v>
      </c>
      <c r="C305" s="172" t="s">
        <v>243</v>
      </c>
      <c r="D305" s="172" t="s">
        <v>215</v>
      </c>
      <c r="E305" s="172">
        <v>4.7955627234540601E-4</v>
      </c>
      <c r="F305" s="172">
        <v>4.0816618497460601E-4</v>
      </c>
      <c r="G305" s="172">
        <v>1.17490446293399</v>
      </c>
    </row>
    <row r="306" spans="2:7" hidden="1" x14ac:dyDescent="0.3">
      <c r="B306" s="172" t="s">
        <v>25</v>
      </c>
      <c r="C306" s="172" t="s">
        <v>243</v>
      </c>
      <c r="D306" s="172" t="s">
        <v>215</v>
      </c>
      <c r="E306" s="172">
        <v>2.7183494533732701E-4</v>
      </c>
      <c r="F306" s="172">
        <v>2.3337919885867199E-4</v>
      </c>
      <c r="G306" s="172">
        <v>1.16477795221991</v>
      </c>
    </row>
    <row r="307" spans="2:7" hidden="1" x14ac:dyDescent="0.3">
      <c r="B307" s="172" t="s">
        <v>24</v>
      </c>
      <c r="C307" s="172" t="s">
        <v>243</v>
      </c>
      <c r="D307" s="172" t="s">
        <v>215</v>
      </c>
      <c r="E307" s="172">
        <v>1.16675265152381E-4</v>
      </c>
      <c r="F307" s="172">
        <v>1.02144186293251E-4</v>
      </c>
      <c r="G307" s="172">
        <v>1.14226045932181</v>
      </c>
    </row>
    <row r="308" spans="2:7" hidden="1" x14ac:dyDescent="0.3">
      <c r="B308" s="172" t="s">
        <v>22</v>
      </c>
      <c r="C308" s="172" t="s">
        <v>243</v>
      </c>
      <c r="D308" s="172" t="s">
        <v>215</v>
      </c>
      <c r="E308" s="172">
        <v>2.97436435133876E-5</v>
      </c>
      <c r="F308" s="172">
        <v>2.68862362018597E-5</v>
      </c>
      <c r="G308" s="172">
        <v>1.1062776987479599</v>
      </c>
    </row>
    <row r="309" spans="2:7" hidden="1" x14ac:dyDescent="0.3">
      <c r="B309" s="172"/>
      <c r="C309" s="172"/>
      <c r="D309" s="172"/>
      <c r="E309" s="172"/>
      <c r="F309" s="172"/>
      <c r="G309" s="172"/>
    </row>
    <row r="310" spans="2:7" hidden="1" x14ac:dyDescent="0.3">
      <c r="B310" s="172"/>
      <c r="C310" s="172"/>
      <c r="D310" s="172"/>
      <c r="E310" s="172"/>
      <c r="F310" s="172"/>
      <c r="G310" s="172"/>
    </row>
    <row r="311" spans="2:7" hidden="1" x14ac:dyDescent="0.3">
      <c r="B311" s="172"/>
      <c r="C311" s="172"/>
      <c r="D311" s="172"/>
      <c r="E311" s="172"/>
      <c r="F311" s="172"/>
      <c r="G311" s="172"/>
    </row>
    <row r="312" spans="2:7" hidden="1" x14ac:dyDescent="0.3">
      <c r="B312" s="172"/>
      <c r="C312" s="172"/>
      <c r="D312" s="172"/>
      <c r="E312" s="172"/>
      <c r="F312" s="172"/>
      <c r="G312" s="172"/>
    </row>
    <row r="313" spans="2:7" hidden="1" x14ac:dyDescent="0.3">
      <c r="B313" s="172"/>
      <c r="C313" s="172"/>
      <c r="D313" s="172"/>
      <c r="E313" s="172"/>
      <c r="F313" s="172"/>
      <c r="G313" s="172"/>
    </row>
    <row r="314" spans="2:7" hidden="1" x14ac:dyDescent="0.3">
      <c r="B314" s="172"/>
      <c r="C314" s="172"/>
      <c r="D314" s="172"/>
      <c r="E314" s="172"/>
      <c r="F314" s="172"/>
      <c r="G314" s="172"/>
    </row>
    <row r="315" spans="2:7" hidden="1" x14ac:dyDescent="0.3">
      <c r="B315" s="172"/>
      <c r="C315" s="172"/>
      <c r="D315" s="172"/>
      <c r="E315" s="172"/>
      <c r="F315" s="172"/>
      <c r="G315" s="172"/>
    </row>
    <row r="316" spans="2:7" hidden="1" x14ac:dyDescent="0.3">
      <c r="B316" s="172"/>
      <c r="C316" s="172"/>
      <c r="D316" s="172"/>
      <c r="E316" s="172"/>
      <c r="F316" s="172"/>
      <c r="G316" s="172"/>
    </row>
    <row r="317" spans="2:7" hidden="1" x14ac:dyDescent="0.3">
      <c r="B317" s="172"/>
      <c r="C317" s="172"/>
      <c r="D317" s="172"/>
      <c r="E317" s="172"/>
      <c r="F317" s="172"/>
      <c r="G317" s="172"/>
    </row>
    <row r="318" spans="2:7" hidden="1" x14ac:dyDescent="0.3">
      <c r="B318" s="172"/>
      <c r="C318" s="172"/>
      <c r="D318" s="172"/>
      <c r="E318" s="172"/>
      <c r="F318" s="172"/>
      <c r="G318" s="172"/>
    </row>
    <row r="319" spans="2:7" hidden="1" x14ac:dyDescent="0.3">
      <c r="B319" s="172"/>
      <c r="C319" s="172"/>
      <c r="D319" s="172"/>
      <c r="E319" s="172"/>
      <c r="F319" s="172"/>
      <c r="G319" s="172"/>
    </row>
    <row r="320" spans="2:7" hidden="1" x14ac:dyDescent="0.3">
      <c r="B320" s="172"/>
      <c r="C320" s="172"/>
      <c r="D320" s="172"/>
      <c r="E320" s="172"/>
      <c r="F320" s="172"/>
      <c r="G320" s="172"/>
    </row>
    <row r="321" spans="2:7" hidden="1" x14ac:dyDescent="0.3">
      <c r="B321" s="172"/>
      <c r="C321" s="172"/>
      <c r="D321" s="172"/>
      <c r="E321" s="172"/>
      <c r="F321" s="172"/>
      <c r="G321" s="172"/>
    </row>
    <row r="322" spans="2:7" hidden="1" x14ac:dyDescent="0.3">
      <c r="B322" s="172"/>
      <c r="C322" s="172"/>
      <c r="D322" s="172"/>
      <c r="E322" s="172"/>
      <c r="F322" s="172"/>
      <c r="G322" s="172"/>
    </row>
    <row r="323" spans="2:7" hidden="1" x14ac:dyDescent="0.3">
      <c r="B323" s="172"/>
      <c r="C323" s="172"/>
      <c r="D323" s="172"/>
      <c r="E323" s="172"/>
      <c r="F323" s="172"/>
      <c r="G323" s="172"/>
    </row>
    <row r="324" spans="2:7" hidden="1" x14ac:dyDescent="0.3">
      <c r="B324" s="172"/>
      <c r="C324" s="172"/>
      <c r="D324" s="172"/>
      <c r="E324" s="172"/>
      <c r="F324" s="172"/>
      <c r="G324" s="172"/>
    </row>
    <row r="325" spans="2:7" hidden="1" x14ac:dyDescent="0.3">
      <c r="B325" s="172"/>
      <c r="C325" s="172"/>
      <c r="D325" s="172"/>
      <c r="E325" s="172"/>
      <c r="F325" s="172"/>
      <c r="G325" s="172"/>
    </row>
    <row r="326" spans="2:7" hidden="1" x14ac:dyDescent="0.3">
      <c r="B326" s="172"/>
      <c r="C326" s="172"/>
      <c r="D326" s="172"/>
      <c r="E326" s="172"/>
      <c r="F326" s="172"/>
      <c r="G326" s="172"/>
    </row>
    <row r="327" spans="2:7" hidden="1" x14ac:dyDescent="0.3">
      <c r="B327" s="172"/>
      <c r="C327" s="172"/>
      <c r="D327" s="172"/>
      <c r="E327" s="172"/>
      <c r="F327" s="172"/>
      <c r="G327" s="172"/>
    </row>
    <row r="328" spans="2:7" hidden="1" x14ac:dyDescent="0.3">
      <c r="B328" s="172"/>
      <c r="C328" s="172"/>
      <c r="D328" s="172"/>
      <c r="E328" s="172"/>
      <c r="F328" s="172"/>
      <c r="G328" s="172"/>
    </row>
    <row r="329" spans="2:7" hidden="1" x14ac:dyDescent="0.3">
      <c r="B329" s="172"/>
      <c r="C329" s="172"/>
      <c r="D329" s="172"/>
      <c r="E329" s="172"/>
      <c r="F329" s="172"/>
      <c r="G329" s="172"/>
    </row>
    <row r="330" spans="2:7" x14ac:dyDescent="0.3">
      <c r="B330" s="172"/>
      <c r="C330" s="172"/>
      <c r="D330" s="172"/>
      <c r="E330" s="172"/>
      <c r="F330" s="172"/>
      <c r="G330" s="172"/>
    </row>
    <row r="331" spans="2:7" x14ac:dyDescent="0.3">
      <c r="B331" s="172"/>
      <c r="C331" s="172"/>
      <c r="D331" s="172"/>
      <c r="E331" s="172"/>
      <c r="F331" s="172"/>
      <c r="G331" s="172"/>
    </row>
    <row r="332" spans="2:7" x14ac:dyDescent="0.3">
      <c r="B332" s="172"/>
      <c r="C332" s="172"/>
      <c r="D332" s="172"/>
      <c r="E332" s="172"/>
      <c r="F332" s="172"/>
      <c r="G332" s="172"/>
    </row>
    <row r="333" spans="2:7" x14ac:dyDescent="0.3">
      <c r="B333" s="167" t="s">
        <v>83</v>
      </c>
      <c r="C333" s="168"/>
      <c r="D333" s="168"/>
      <c r="E333" s="168"/>
      <c r="F333" s="168"/>
      <c r="G333" s="168"/>
    </row>
    <row r="334" spans="2:7" x14ac:dyDescent="0.3">
      <c r="B334" s="169" t="s">
        <v>9</v>
      </c>
      <c r="C334" s="169" t="s">
        <v>46</v>
      </c>
      <c r="D334" s="169" t="s">
        <v>42</v>
      </c>
      <c r="E334" s="169" t="s">
        <v>84</v>
      </c>
      <c r="F334" s="169" t="s">
        <v>85</v>
      </c>
      <c r="G334" s="170" t="s">
        <v>86</v>
      </c>
    </row>
    <row r="335" spans="2:7" x14ac:dyDescent="0.3">
      <c r="B335" s="190"/>
      <c r="C335" s="190"/>
      <c r="D335" s="190"/>
      <c r="E335" s="190" t="s">
        <v>7</v>
      </c>
      <c r="F335" s="190" t="s">
        <v>7</v>
      </c>
      <c r="G335" s="191"/>
    </row>
    <row r="336" spans="2:7" s="172" customFormat="1" x14ac:dyDescent="0.3">
      <c r="B336" s="27" t="s">
        <v>251</v>
      </c>
      <c r="C336" s="27" t="s">
        <v>252</v>
      </c>
      <c r="D336" s="27" t="s">
        <v>253</v>
      </c>
      <c r="E336" s="27" t="s">
        <v>254</v>
      </c>
      <c r="F336" s="27" t="s">
        <v>255</v>
      </c>
      <c r="G336" s="27" t="s">
        <v>256</v>
      </c>
    </row>
    <row r="337" spans="2:7" hidden="1" x14ac:dyDescent="0.3">
      <c r="B337" s="172" t="s">
        <v>189</v>
      </c>
      <c r="C337" s="172" t="s">
        <v>79</v>
      </c>
      <c r="D337" s="172" t="s">
        <v>215</v>
      </c>
      <c r="E337" s="172">
        <v>2.34904998820725E-2</v>
      </c>
      <c r="F337" s="172">
        <v>2.30649684376012E-2</v>
      </c>
      <c r="G337" s="172">
        <v>1.0184492532743901</v>
      </c>
    </row>
    <row r="338" spans="2:7" hidden="1" x14ac:dyDescent="0.3">
      <c r="B338" s="172" t="s">
        <v>187</v>
      </c>
      <c r="C338" s="172" t="s">
        <v>79</v>
      </c>
      <c r="D338" s="172" t="s">
        <v>215</v>
      </c>
      <c r="E338" s="172">
        <v>2.51828330932314E-2</v>
      </c>
      <c r="F338" s="172">
        <v>2.3577697392550001E-2</v>
      </c>
      <c r="G338" s="172">
        <v>1.0680785605972101</v>
      </c>
    </row>
    <row r="339" spans="2:7" hidden="1" x14ac:dyDescent="0.3">
      <c r="B339" s="172" t="s">
        <v>187</v>
      </c>
      <c r="C339" s="172" t="s">
        <v>79</v>
      </c>
      <c r="D339" s="172" t="s">
        <v>218</v>
      </c>
      <c r="E339" s="172">
        <v>5.2501438595116898E-3</v>
      </c>
      <c r="F339" s="172">
        <v>3.0029538785577301E-3</v>
      </c>
      <c r="G339" s="172">
        <v>1.74832650511211</v>
      </c>
    </row>
    <row r="340" spans="2:7" s="172" customFormat="1" hidden="1" x14ac:dyDescent="0.3">
      <c r="B340" s="172" t="s">
        <v>185</v>
      </c>
      <c r="C340" s="172" t="s">
        <v>79</v>
      </c>
      <c r="D340" s="172" t="s">
        <v>215</v>
      </c>
      <c r="E340" s="172">
        <v>2.4361947749667399E-2</v>
      </c>
      <c r="F340" s="172">
        <v>2.27503436155631E-2</v>
      </c>
      <c r="G340" s="172">
        <v>1.0708386722124801</v>
      </c>
    </row>
    <row r="341" spans="2:7" hidden="1" x14ac:dyDescent="0.3">
      <c r="B341" s="172" t="s">
        <v>185</v>
      </c>
      <c r="C341" s="172" t="s">
        <v>79</v>
      </c>
      <c r="D341" s="172" t="s">
        <v>218</v>
      </c>
      <c r="E341" s="172">
        <v>5.0843517148191596E-3</v>
      </c>
      <c r="F341" s="172">
        <v>2.82810592707318E-3</v>
      </c>
      <c r="G341" s="172">
        <v>1.79779394616982</v>
      </c>
    </row>
    <row r="342" spans="2:7" hidden="1" x14ac:dyDescent="0.3">
      <c r="B342" s="172" t="s">
        <v>183</v>
      </c>
      <c r="C342" s="172" t="s">
        <v>79</v>
      </c>
      <c r="D342" s="172" t="s">
        <v>215</v>
      </c>
      <c r="E342" s="172">
        <v>2.2999651672581101E-2</v>
      </c>
      <c r="F342" s="172">
        <v>2.1424705360032499E-2</v>
      </c>
      <c r="G342" s="172">
        <v>1.0735107571414599</v>
      </c>
    </row>
    <row r="343" spans="2:7" hidden="1" x14ac:dyDescent="0.3">
      <c r="B343" s="172" t="s">
        <v>183</v>
      </c>
      <c r="C343" s="172" t="s">
        <v>79</v>
      </c>
      <c r="D343" s="172" t="s">
        <v>218</v>
      </c>
      <c r="E343" s="172">
        <v>4.8112558475360799E-3</v>
      </c>
      <c r="F343" s="172">
        <v>2.6063310099680701E-3</v>
      </c>
      <c r="G343" s="172">
        <v>1.8459880303519201</v>
      </c>
    </row>
    <row r="344" spans="2:7" s="172" customFormat="1" hidden="1" x14ac:dyDescent="0.3">
      <c r="B344" s="172" t="s">
        <v>181</v>
      </c>
      <c r="C344" s="172" t="s">
        <v>79</v>
      </c>
      <c r="D344" s="172" t="s">
        <v>215</v>
      </c>
      <c r="E344" s="172">
        <v>2.11372666108923E-2</v>
      </c>
      <c r="F344" s="172">
        <v>1.9639873695126001E-2</v>
      </c>
      <c r="G344" s="172">
        <v>1.07624249213669</v>
      </c>
    </row>
    <row r="345" spans="2:7" hidden="1" x14ac:dyDescent="0.3">
      <c r="B345" s="172" t="s">
        <v>181</v>
      </c>
      <c r="C345" s="172" t="s">
        <v>79</v>
      </c>
      <c r="D345" s="172" t="s">
        <v>218</v>
      </c>
      <c r="E345" s="172">
        <v>4.4386120517923098E-3</v>
      </c>
      <c r="F345" s="172">
        <v>2.3422619697195399E-3</v>
      </c>
      <c r="G345" s="172">
        <v>1.8950109377918101</v>
      </c>
    </row>
    <row r="346" spans="2:7" hidden="1" x14ac:dyDescent="0.3">
      <c r="B346" s="172" t="s">
        <v>179</v>
      </c>
      <c r="C346" s="172" t="s">
        <v>79</v>
      </c>
      <c r="D346" s="172" t="s">
        <v>215</v>
      </c>
      <c r="E346" s="172">
        <v>1.8849347576659899E-2</v>
      </c>
      <c r="F346" s="172">
        <v>1.7465414584897698E-2</v>
      </c>
      <c r="G346" s="172">
        <v>1.07923848500905</v>
      </c>
    </row>
    <row r="347" spans="2:7" hidden="1" x14ac:dyDescent="0.3">
      <c r="B347" s="172" t="s">
        <v>179</v>
      </c>
      <c r="C347" s="172" t="s">
        <v>79</v>
      </c>
      <c r="D347" s="172" t="s">
        <v>218</v>
      </c>
      <c r="E347" s="172">
        <v>3.9814136952963201E-3</v>
      </c>
      <c r="F347" s="172">
        <v>2.0439075068292701E-3</v>
      </c>
      <c r="G347" s="172">
        <v>1.94794220481764</v>
      </c>
    </row>
    <row r="348" spans="2:7" s="172" customFormat="1" hidden="1" x14ac:dyDescent="0.3">
      <c r="B348" s="172" t="s">
        <v>39</v>
      </c>
      <c r="C348" s="172" t="s">
        <v>79</v>
      </c>
      <c r="D348" s="172" t="s">
        <v>215</v>
      </c>
      <c r="E348" s="172">
        <v>1.62022154166108E-2</v>
      </c>
      <c r="F348" s="172">
        <v>1.4964473800427199E-2</v>
      </c>
      <c r="G348" s="172">
        <v>1.0827120039562199</v>
      </c>
    </row>
    <row r="349" spans="2:7" hidden="1" x14ac:dyDescent="0.3">
      <c r="B349" s="172" t="s">
        <v>39</v>
      </c>
      <c r="C349" s="172" t="s">
        <v>79</v>
      </c>
      <c r="D349" s="172" t="s">
        <v>218</v>
      </c>
      <c r="E349" s="172">
        <v>3.45153228501505E-3</v>
      </c>
      <c r="F349" s="172">
        <v>1.7186940223579399E-3</v>
      </c>
      <c r="G349" s="172">
        <v>2.0082296442037801</v>
      </c>
    </row>
    <row r="350" spans="2:7" hidden="1" x14ac:dyDescent="0.3">
      <c r="B350" s="172" t="s">
        <v>26</v>
      </c>
      <c r="C350" s="172" t="s">
        <v>79</v>
      </c>
      <c r="D350" s="172" t="s">
        <v>215</v>
      </c>
      <c r="E350" s="172">
        <v>1.32765348880953E-2</v>
      </c>
      <c r="F350" s="172">
        <v>1.22341287994778E-2</v>
      </c>
      <c r="G350" s="172">
        <v>1.08520476657577</v>
      </c>
    </row>
    <row r="351" spans="2:7" hidden="1" x14ac:dyDescent="0.3">
      <c r="B351" s="172" t="s">
        <v>26</v>
      </c>
      <c r="C351" s="172" t="s">
        <v>79</v>
      </c>
      <c r="D351" s="172" t="s">
        <v>218</v>
      </c>
      <c r="E351" s="172">
        <v>2.8349329876117399E-3</v>
      </c>
      <c r="F351" s="172">
        <v>1.3755644635473001E-3</v>
      </c>
      <c r="G351" s="172">
        <v>2.06092339744007</v>
      </c>
    </row>
    <row r="352" spans="2:7" s="172" customFormat="1" hidden="1" x14ac:dyDescent="0.3">
      <c r="B352" s="172" t="s">
        <v>25</v>
      </c>
      <c r="C352" s="172" t="s">
        <v>79</v>
      </c>
      <c r="D352" s="172" t="s">
        <v>215</v>
      </c>
      <c r="E352" s="172">
        <v>1.01290873939823E-2</v>
      </c>
      <c r="F352" s="172">
        <v>9.3292764007148997E-3</v>
      </c>
      <c r="G352" s="172">
        <v>1.08573129993299</v>
      </c>
    </row>
    <row r="353" spans="2:7" hidden="1" x14ac:dyDescent="0.3">
      <c r="B353" s="172" t="s">
        <v>25</v>
      </c>
      <c r="C353" s="172" t="s">
        <v>79</v>
      </c>
      <c r="D353" s="172" t="s">
        <v>218</v>
      </c>
      <c r="E353" s="172">
        <v>2.1413900024776899E-3</v>
      </c>
      <c r="F353" s="172">
        <v>1.02165461190331E-3</v>
      </c>
      <c r="G353" s="172">
        <v>2.09600189489512</v>
      </c>
    </row>
    <row r="354" spans="2:7" hidden="1" x14ac:dyDescent="0.3">
      <c r="B354" s="172" t="s">
        <v>24</v>
      </c>
      <c r="C354" s="172" t="s">
        <v>79</v>
      </c>
      <c r="D354" s="172" t="s">
        <v>215</v>
      </c>
      <c r="E354" s="172">
        <v>6.7958221261185496E-3</v>
      </c>
      <c r="F354" s="172">
        <v>6.2640507322495103E-3</v>
      </c>
      <c r="G354" s="172">
        <v>1.0848925745654201</v>
      </c>
    </row>
    <row r="355" spans="2:7" hidden="1" x14ac:dyDescent="0.3">
      <c r="B355" s="172" t="s">
        <v>24</v>
      </c>
      <c r="C355" s="172" t="s">
        <v>79</v>
      </c>
      <c r="D355" s="172" t="s">
        <v>218</v>
      </c>
      <c r="E355" s="172">
        <v>1.4079492365970899E-3</v>
      </c>
      <c r="F355" s="172">
        <v>6.6346928518043404E-4</v>
      </c>
      <c r="G355" s="172">
        <v>2.12210160748314</v>
      </c>
    </row>
    <row r="356" spans="2:7" s="172" customFormat="1" hidden="1" x14ac:dyDescent="0.3">
      <c r="B356" s="172" t="s">
        <v>22</v>
      </c>
      <c r="C356" s="172" t="s">
        <v>79</v>
      </c>
      <c r="D356" s="172" t="s">
        <v>215</v>
      </c>
      <c r="E356" s="172">
        <v>3.3547620166010901E-3</v>
      </c>
      <c r="F356" s="172">
        <v>3.1062370217309798E-3</v>
      </c>
      <c r="G356" s="172">
        <v>1.0800083809224601</v>
      </c>
    </row>
    <row r="357" spans="2:7" hidden="1" x14ac:dyDescent="0.3">
      <c r="B357" s="172" t="s">
        <v>22</v>
      </c>
      <c r="C357" s="172" t="s">
        <v>79</v>
      </c>
      <c r="D357" s="172" t="s">
        <v>218</v>
      </c>
      <c r="E357" s="172">
        <v>6.6076683419440997E-4</v>
      </c>
      <c r="F357" s="172">
        <v>3.12831841376254E-4</v>
      </c>
      <c r="G357" s="172">
        <v>2.1122109286812698</v>
      </c>
    </row>
    <row r="358" spans="2:7" hidden="1" x14ac:dyDescent="0.3">
      <c r="B358" s="172" t="s">
        <v>189</v>
      </c>
      <c r="C358" s="172" t="s">
        <v>80</v>
      </c>
      <c r="D358" s="172" t="s">
        <v>215</v>
      </c>
      <c r="E358" s="172">
        <v>2.5383588444734199E-2</v>
      </c>
      <c r="F358" s="172">
        <v>2.49428937688768E-2</v>
      </c>
      <c r="G358" s="172">
        <v>1.01766814548228</v>
      </c>
    </row>
    <row r="359" spans="2:7" hidden="1" x14ac:dyDescent="0.3">
      <c r="B359" s="172" t="s">
        <v>189</v>
      </c>
      <c r="C359" s="172" t="s">
        <v>80</v>
      </c>
      <c r="D359" s="172" t="s">
        <v>218</v>
      </c>
      <c r="E359" s="172">
        <v>5.9851936617569797E-3</v>
      </c>
      <c r="F359" s="172">
        <v>5.4343253169351399E-3</v>
      </c>
      <c r="G359" s="172">
        <v>1.1013683047470799</v>
      </c>
    </row>
    <row r="360" spans="2:7" s="172" customFormat="1" hidden="1" x14ac:dyDescent="0.3">
      <c r="B360" s="172" t="s">
        <v>187</v>
      </c>
      <c r="C360" s="172" t="s">
        <v>80</v>
      </c>
      <c r="D360" s="172" t="s">
        <v>215</v>
      </c>
      <c r="E360" s="172">
        <v>2.4653599260857102E-2</v>
      </c>
      <c r="F360" s="172">
        <v>2.30818623987953E-2</v>
      </c>
      <c r="G360" s="172">
        <v>1.0680940226965301</v>
      </c>
    </row>
    <row r="361" spans="2:7" hidden="1" x14ac:dyDescent="0.3">
      <c r="B361" s="172" t="s">
        <v>187</v>
      </c>
      <c r="C361" s="172" t="s">
        <v>80</v>
      </c>
      <c r="D361" s="172" t="s">
        <v>218</v>
      </c>
      <c r="E361" s="172">
        <v>5.6350184779858804E-3</v>
      </c>
      <c r="F361" s="172">
        <v>3.4345868710994E-3</v>
      </c>
      <c r="G361" s="172">
        <v>1.6406684965234699</v>
      </c>
    </row>
    <row r="362" spans="2:7" hidden="1" x14ac:dyDescent="0.3">
      <c r="B362" s="172" t="s">
        <v>185</v>
      </c>
      <c r="C362" s="172" t="s">
        <v>80</v>
      </c>
      <c r="D362" s="172" t="s">
        <v>215</v>
      </c>
      <c r="E362" s="172">
        <v>2.37114040625666E-2</v>
      </c>
      <c r="F362" s="172">
        <v>2.22665449094951E-2</v>
      </c>
      <c r="G362" s="172">
        <v>1.0648892389431901</v>
      </c>
    </row>
    <row r="363" spans="2:7" hidden="1" x14ac:dyDescent="0.3">
      <c r="B363" s="172" t="s">
        <v>185</v>
      </c>
      <c r="C363" s="172" t="s">
        <v>80</v>
      </c>
      <c r="D363" s="172" t="s">
        <v>218</v>
      </c>
      <c r="E363" s="172">
        <v>5.2437052928176698E-3</v>
      </c>
      <c r="F363" s="172">
        <v>3.2209024785175401E-3</v>
      </c>
      <c r="G363" s="172">
        <v>1.6280236138137101</v>
      </c>
    </row>
    <row r="364" spans="2:7" s="172" customFormat="1" hidden="1" x14ac:dyDescent="0.3">
      <c r="B364" s="172" t="s">
        <v>183</v>
      </c>
      <c r="C364" s="172" t="s">
        <v>80</v>
      </c>
      <c r="D364" s="172" t="s">
        <v>215</v>
      </c>
      <c r="E364" s="172">
        <v>2.22565440085228E-2</v>
      </c>
      <c r="F364" s="172">
        <v>2.0960364816679102E-2</v>
      </c>
      <c r="G364" s="172">
        <v>1.0618395339575499</v>
      </c>
    </row>
    <row r="365" spans="2:7" hidden="1" x14ac:dyDescent="0.3">
      <c r="B365" s="172" t="s">
        <v>183</v>
      </c>
      <c r="C365" s="172" t="s">
        <v>80</v>
      </c>
      <c r="D365" s="172" t="s">
        <v>218</v>
      </c>
      <c r="E365" s="172">
        <v>4.7699397268065697E-3</v>
      </c>
      <c r="F365" s="172">
        <v>2.9552888582254199E-3</v>
      </c>
      <c r="G365" s="172">
        <v>1.61403502521605</v>
      </c>
    </row>
    <row r="366" spans="2:7" hidden="1" x14ac:dyDescent="0.3">
      <c r="B366" s="172" t="s">
        <v>181</v>
      </c>
      <c r="C366" s="172" t="s">
        <v>80</v>
      </c>
      <c r="D366" s="172" t="s">
        <v>215</v>
      </c>
      <c r="E366" s="172">
        <v>2.03306635866186E-2</v>
      </c>
      <c r="F366" s="172">
        <v>1.9202216740225601E-2</v>
      </c>
      <c r="G366" s="172">
        <v>1.05876648835179</v>
      </c>
    </row>
    <row r="367" spans="2:7" hidden="1" x14ac:dyDescent="0.3">
      <c r="B367" s="172" t="s">
        <v>181</v>
      </c>
      <c r="C367" s="172" t="s">
        <v>80</v>
      </c>
      <c r="D367" s="172" t="s">
        <v>218</v>
      </c>
      <c r="E367" s="172">
        <v>4.2234620540522799E-3</v>
      </c>
      <c r="F367" s="172">
        <v>2.6436364691021699E-3</v>
      </c>
      <c r="G367" s="172">
        <v>1.5975956238365301</v>
      </c>
    </row>
    <row r="368" spans="2:7" s="172" customFormat="1" hidden="1" x14ac:dyDescent="0.3">
      <c r="B368" s="172" t="s">
        <v>179</v>
      </c>
      <c r="C368" s="172" t="s">
        <v>80</v>
      </c>
      <c r="D368" s="172" t="s">
        <v>215</v>
      </c>
      <c r="E368" s="172">
        <v>1.8006481704411499E-2</v>
      </c>
      <c r="F368" s="172">
        <v>1.7060682349489299E-2</v>
      </c>
      <c r="G368" s="172">
        <v>1.0554373697105099</v>
      </c>
    </row>
    <row r="369" spans="2:7" hidden="1" x14ac:dyDescent="0.3">
      <c r="B369" s="172" t="s">
        <v>179</v>
      </c>
      <c r="C369" s="172" t="s">
        <v>80</v>
      </c>
      <c r="D369" s="172" t="s">
        <v>218</v>
      </c>
      <c r="E369" s="172">
        <v>3.6192705673519501E-3</v>
      </c>
      <c r="F369" s="172">
        <v>2.2951514704608301E-3</v>
      </c>
      <c r="G369" s="172">
        <v>1.5769201353082201</v>
      </c>
    </row>
    <row r="370" spans="2:7" hidden="1" x14ac:dyDescent="0.3">
      <c r="B370" s="172" t="s">
        <v>39</v>
      </c>
      <c r="C370" s="172" t="s">
        <v>80</v>
      </c>
      <c r="D370" s="172" t="s">
        <v>215</v>
      </c>
      <c r="E370" s="172">
        <v>1.53517434629138E-2</v>
      </c>
      <c r="F370" s="172">
        <v>1.45981842875605E-2</v>
      </c>
      <c r="G370" s="172">
        <v>1.0516200618179199</v>
      </c>
    </row>
    <row r="371" spans="2:7" hidden="1" x14ac:dyDescent="0.3">
      <c r="B371" s="172" t="s">
        <v>39</v>
      </c>
      <c r="C371" s="172" t="s">
        <v>80</v>
      </c>
      <c r="D371" s="172" t="s">
        <v>218</v>
      </c>
      <c r="E371" s="172">
        <v>2.97356590290516E-3</v>
      </c>
      <c r="F371" s="172">
        <v>1.9185830574106201E-3</v>
      </c>
      <c r="G371" s="172">
        <v>1.5498760355563601</v>
      </c>
    </row>
    <row r="372" spans="2:7" s="172" customFormat="1" hidden="1" x14ac:dyDescent="0.3">
      <c r="B372" s="172" t="s">
        <v>26</v>
      </c>
      <c r="C372" s="172" t="s">
        <v>80</v>
      </c>
      <c r="D372" s="172" t="s">
        <v>215</v>
      </c>
      <c r="E372" s="172">
        <v>1.24931812917478E-2</v>
      </c>
      <c r="F372" s="172">
        <v>1.19145828059775E-2</v>
      </c>
      <c r="G372" s="172">
        <v>1.0485622111317201</v>
      </c>
    </row>
    <row r="373" spans="2:7" hidden="1" x14ac:dyDescent="0.3">
      <c r="B373" s="172" t="s">
        <v>26</v>
      </c>
      <c r="C373" s="172" t="s">
        <v>80</v>
      </c>
      <c r="D373" s="172" t="s">
        <v>218</v>
      </c>
      <c r="E373" s="172">
        <v>2.3352556712436402E-3</v>
      </c>
      <c r="F373" s="172">
        <v>1.5252177911653001E-3</v>
      </c>
      <c r="G373" s="172">
        <v>1.5310965324233901</v>
      </c>
    </row>
    <row r="374" spans="2:7" hidden="1" x14ac:dyDescent="0.3">
      <c r="B374" s="172" t="s">
        <v>25</v>
      </c>
      <c r="C374" s="172" t="s">
        <v>80</v>
      </c>
      <c r="D374" s="172" t="s">
        <v>215</v>
      </c>
      <c r="E374" s="172">
        <v>9.4909527512745707E-3</v>
      </c>
      <c r="F374" s="172">
        <v>9.0645334549283099E-3</v>
      </c>
      <c r="G374" s="172">
        <v>1.04704260825629</v>
      </c>
    </row>
    <row r="375" spans="2:7" hidden="1" x14ac:dyDescent="0.3">
      <c r="B375" s="172" t="s">
        <v>25</v>
      </c>
      <c r="C375" s="172" t="s">
        <v>80</v>
      </c>
      <c r="D375" s="172" t="s">
        <v>218</v>
      </c>
      <c r="E375" s="172">
        <v>1.72093628914851E-3</v>
      </c>
      <c r="F375" s="172">
        <v>1.1239492742637499E-3</v>
      </c>
      <c r="G375" s="172">
        <v>1.5311512081146399</v>
      </c>
    </row>
    <row r="376" spans="2:7" hidden="1" x14ac:dyDescent="0.3">
      <c r="B376" s="172" t="s">
        <v>24</v>
      </c>
      <c r="C376" s="172" t="s">
        <v>80</v>
      </c>
      <c r="D376" s="172" t="s">
        <v>215</v>
      </c>
      <c r="E376" s="172">
        <v>6.3395514558798396E-3</v>
      </c>
      <c r="F376" s="172">
        <v>6.0590526905821198E-3</v>
      </c>
      <c r="G376" s="172">
        <v>1.0462941617480399</v>
      </c>
    </row>
    <row r="377" spans="2:7" hidden="1" x14ac:dyDescent="0.3">
      <c r="B377" s="172" t="s">
        <v>24</v>
      </c>
      <c r="C377" s="172" t="s">
        <v>80</v>
      </c>
      <c r="D377" s="172" t="s">
        <v>218</v>
      </c>
      <c r="E377" s="172">
        <v>1.1150584653147201E-3</v>
      </c>
      <c r="F377" s="172">
        <v>7.2236019389791402E-4</v>
      </c>
      <c r="G377" s="172">
        <v>1.5436322138651799</v>
      </c>
    </row>
    <row r="378" spans="2:7" hidden="1" x14ac:dyDescent="0.3">
      <c r="B378" s="172" t="s">
        <v>22</v>
      </c>
      <c r="C378" s="172" t="s">
        <v>80</v>
      </c>
      <c r="D378" s="172" t="s">
        <v>215</v>
      </c>
      <c r="E378" s="172">
        <v>3.1176199578511498E-3</v>
      </c>
      <c r="F378" s="172">
        <v>2.9752755503613098E-3</v>
      </c>
      <c r="G378" s="172">
        <v>1.0478424284004699</v>
      </c>
    </row>
    <row r="379" spans="2:7" hidden="1" x14ac:dyDescent="0.3">
      <c r="B379" s="172" t="s">
        <v>22</v>
      </c>
      <c r="C379" s="172" t="s">
        <v>80</v>
      </c>
      <c r="D379" s="172" t="s">
        <v>218</v>
      </c>
      <c r="E379" s="172">
        <v>5.3445529543778901E-4</v>
      </c>
      <c r="F379" s="172">
        <v>3.3517312495201198E-4</v>
      </c>
      <c r="G379" s="172">
        <v>1.59456488498089</v>
      </c>
    </row>
    <row r="380" spans="2:7" hidden="1" x14ac:dyDescent="0.3">
      <c r="B380" s="172" t="s">
        <v>189</v>
      </c>
      <c r="C380" s="172" t="s">
        <v>81</v>
      </c>
      <c r="D380" s="172" t="s">
        <v>215</v>
      </c>
      <c r="E380" s="172">
        <v>5.7448487347209797E-3</v>
      </c>
      <c r="F380" s="172">
        <v>4.8318155355923896E-3</v>
      </c>
      <c r="G380" s="172">
        <v>1.18896275994043</v>
      </c>
    </row>
    <row r="381" spans="2:7" hidden="1" x14ac:dyDescent="0.3">
      <c r="B381" s="172" t="s">
        <v>189</v>
      </c>
      <c r="C381" s="172" t="s">
        <v>81</v>
      </c>
      <c r="D381" s="172" t="s">
        <v>218</v>
      </c>
      <c r="E381" s="172">
        <v>3.7333517766412402E-2</v>
      </c>
      <c r="F381" s="172">
        <v>3.6192226267501598E-2</v>
      </c>
      <c r="G381" s="172">
        <v>1.0315341612443301</v>
      </c>
    </row>
    <row r="382" spans="2:7" hidden="1" x14ac:dyDescent="0.3">
      <c r="B382" s="172" t="s">
        <v>187</v>
      </c>
      <c r="C382" s="172" t="s">
        <v>81</v>
      </c>
      <c r="D382" s="172" t="s">
        <v>218</v>
      </c>
      <c r="E382" s="172">
        <v>3.5717062859312497E-2</v>
      </c>
      <c r="F382" s="172">
        <v>3.1359373927211699E-2</v>
      </c>
      <c r="G382" s="172">
        <v>1.1389596916767399</v>
      </c>
    </row>
    <row r="383" spans="2:7" hidden="1" x14ac:dyDescent="0.3">
      <c r="B383" s="172" t="s">
        <v>185</v>
      </c>
      <c r="C383" s="172" t="s">
        <v>81</v>
      </c>
      <c r="D383" s="172" t="s">
        <v>218</v>
      </c>
      <c r="E383" s="172">
        <v>3.3755644074649399E-2</v>
      </c>
      <c r="F383" s="172">
        <v>2.9811550079009201E-2</v>
      </c>
      <c r="G383" s="172">
        <v>1.1323008694679499</v>
      </c>
    </row>
    <row r="384" spans="2:7" hidden="1" x14ac:dyDescent="0.3">
      <c r="B384" s="172" t="s">
        <v>183</v>
      </c>
      <c r="C384" s="172" t="s">
        <v>81</v>
      </c>
      <c r="D384" s="172" t="s">
        <v>218</v>
      </c>
      <c r="E384" s="172">
        <v>3.11802349062806E-2</v>
      </c>
      <c r="F384" s="172">
        <v>2.7687899311206E-2</v>
      </c>
      <c r="G384" s="172">
        <v>1.12613219788982</v>
      </c>
    </row>
    <row r="385" spans="2:7" hidden="1" x14ac:dyDescent="0.3">
      <c r="B385" s="172" t="s">
        <v>181</v>
      </c>
      <c r="C385" s="172" t="s">
        <v>81</v>
      </c>
      <c r="D385" s="172" t="s">
        <v>218</v>
      </c>
      <c r="E385" s="172">
        <v>2.8068296263742E-2</v>
      </c>
      <c r="F385" s="172">
        <v>2.5054861248504801E-2</v>
      </c>
      <c r="G385" s="172">
        <v>1.12027346650811</v>
      </c>
    </row>
    <row r="386" spans="2:7" hidden="1" x14ac:dyDescent="0.3">
      <c r="B386" s="172" t="s">
        <v>179</v>
      </c>
      <c r="C386" s="172" t="s">
        <v>81</v>
      </c>
      <c r="D386" s="172" t="s">
        <v>218</v>
      </c>
      <c r="E386" s="172">
        <v>2.45318716610275E-2</v>
      </c>
      <c r="F386" s="172">
        <v>2.2013462684465E-2</v>
      </c>
      <c r="G386" s="172">
        <v>1.1144031274252799</v>
      </c>
    </row>
    <row r="387" spans="2:7" hidden="1" x14ac:dyDescent="0.3">
      <c r="B387" s="172" t="s">
        <v>39</v>
      </c>
      <c r="C387" s="172" t="s">
        <v>81</v>
      </c>
      <c r="D387" s="172" t="s">
        <v>218</v>
      </c>
      <c r="E387" s="172">
        <v>2.06691095765889E-2</v>
      </c>
      <c r="F387" s="172">
        <v>1.8650234774310701E-2</v>
      </c>
      <c r="G387" s="172">
        <v>1.1082492969503599</v>
      </c>
    </row>
    <row r="388" spans="2:7" hidden="1" x14ac:dyDescent="0.3">
      <c r="B388" s="172" t="s">
        <v>26</v>
      </c>
      <c r="C388" s="172" t="s">
        <v>81</v>
      </c>
      <c r="D388" s="172" t="s">
        <v>218</v>
      </c>
      <c r="E388" s="172">
        <v>1.6582308470408799E-2</v>
      </c>
      <c r="F388" s="172">
        <v>1.50436344218026E-2</v>
      </c>
      <c r="G388" s="172">
        <v>1.1022807391793701</v>
      </c>
    </row>
    <row r="389" spans="2:7" hidden="1" x14ac:dyDescent="0.3">
      <c r="B389" s="172" t="s">
        <v>25</v>
      </c>
      <c r="C389" s="172" t="s">
        <v>81</v>
      </c>
      <c r="D389" s="172" t="s">
        <v>218</v>
      </c>
      <c r="E389" s="172">
        <v>1.2348662936409301E-2</v>
      </c>
      <c r="F389" s="172">
        <v>1.12600089586987E-2</v>
      </c>
      <c r="G389" s="172">
        <v>1.09668322482724</v>
      </c>
    </row>
    <row r="390" spans="2:7" hidden="1" x14ac:dyDescent="0.3">
      <c r="B390" s="172" t="s">
        <v>24</v>
      </c>
      <c r="C390" s="172" t="s">
        <v>81</v>
      </c>
      <c r="D390" s="172" t="s">
        <v>218</v>
      </c>
      <c r="E390" s="172">
        <v>8.0399772202211107E-3</v>
      </c>
      <c r="F390" s="172">
        <v>7.3691882073132599E-3</v>
      </c>
      <c r="G390" s="172">
        <v>1.0910261746663199</v>
      </c>
    </row>
    <row r="391" spans="2:7" hidden="1" x14ac:dyDescent="0.3">
      <c r="B391" s="172" t="s">
        <v>22</v>
      </c>
      <c r="C391" s="172" t="s">
        <v>81</v>
      </c>
      <c r="D391" s="172" t="s">
        <v>218</v>
      </c>
      <c r="E391" s="172">
        <v>3.7923212216637199E-3</v>
      </c>
      <c r="F391" s="172">
        <v>3.4931912455426202E-3</v>
      </c>
      <c r="G391" s="172">
        <v>1.08563229296501</v>
      </c>
    </row>
    <row r="392" spans="2:7" x14ac:dyDescent="0.3">
      <c r="B392" s="172" t="s">
        <v>189</v>
      </c>
      <c r="C392" s="172" t="s">
        <v>82</v>
      </c>
      <c r="D392" s="172" t="s">
        <v>218</v>
      </c>
      <c r="E392" s="172">
        <v>3.0800208210094701E-2</v>
      </c>
      <c r="F392" s="172">
        <v>3.03410887390115E-2</v>
      </c>
      <c r="G392" s="172">
        <v>1.01513193791536</v>
      </c>
    </row>
    <row r="393" spans="2:7" x14ac:dyDescent="0.3">
      <c r="B393" s="172" t="s">
        <v>187</v>
      </c>
      <c r="C393" s="172" t="s">
        <v>82</v>
      </c>
      <c r="D393" s="172" t="s">
        <v>218</v>
      </c>
      <c r="E393" s="172">
        <v>3.2906171537659103E-2</v>
      </c>
      <c r="F393" s="172">
        <v>3.07076521103214E-2</v>
      </c>
      <c r="G393" s="172">
        <v>1.07159516525195</v>
      </c>
    </row>
    <row r="394" spans="2:7" x14ac:dyDescent="0.3">
      <c r="B394" s="172" t="s">
        <v>185</v>
      </c>
      <c r="C394" s="172" t="s">
        <v>82</v>
      </c>
      <c r="D394" s="172" t="s">
        <v>218</v>
      </c>
      <c r="E394" s="172">
        <v>3.1570824711137001E-2</v>
      </c>
      <c r="F394" s="172">
        <v>2.9218224567942701E-2</v>
      </c>
      <c r="G394" s="172">
        <v>1.08051824428016</v>
      </c>
    </row>
    <row r="395" spans="2:7" x14ac:dyDescent="0.3">
      <c r="B395" s="172" t="s">
        <v>183</v>
      </c>
      <c r="C395" s="172" t="s">
        <v>82</v>
      </c>
      <c r="D395" s="172" t="s">
        <v>218</v>
      </c>
      <c r="E395" s="172">
        <v>2.9567946292636298E-2</v>
      </c>
      <c r="F395" s="172">
        <v>2.7160469313030702E-2</v>
      </c>
      <c r="G395" s="172">
        <v>1.08863900516073</v>
      </c>
    </row>
    <row r="396" spans="2:7" x14ac:dyDescent="0.3">
      <c r="B396" s="172" t="s">
        <v>181</v>
      </c>
      <c r="C396" s="172" t="s">
        <v>82</v>
      </c>
      <c r="D396" s="172" t="s">
        <v>218</v>
      </c>
      <c r="E396" s="172">
        <v>2.6966602665529301E-2</v>
      </c>
      <c r="F396" s="172">
        <v>2.4598672581291801E-2</v>
      </c>
      <c r="G396" s="172">
        <v>1.09626251483336</v>
      </c>
    </row>
    <row r="397" spans="2:7" x14ac:dyDescent="0.3">
      <c r="B397" s="172" t="s">
        <v>179</v>
      </c>
      <c r="C397" s="172" t="s">
        <v>82</v>
      </c>
      <c r="D397" s="172" t="s">
        <v>218</v>
      </c>
      <c r="E397" s="172">
        <v>2.38773807634956E-2</v>
      </c>
      <c r="F397" s="172">
        <v>2.1631895125597701E-2</v>
      </c>
      <c r="G397" s="172">
        <v>1.10380438814354</v>
      </c>
    </row>
    <row r="398" spans="2:7" hidden="1" x14ac:dyDescent="0.3">
      <c r="B398" s="172" t="s">
        <v>39</v>
      </c>
      <c r="C398" s="172" t="s">
        <v>82</v>
      </c>
      <c r="D398" s="172" t="s">
        <v>215</v>
      </c>
      <c r="E398" s="172">
        <v>3.3052183631658801E-3</v>
      </c>
      <c r="F398" s="172">
        <v>1.84288591355189E-3</v>
      </c>
      <c r="G398" s="172">
        <v>1.7935013442018</v>
      </c>
    </row>
    <row r="399" spans="2:7" x14ac:dyDescent="0.3">
      <c r="B399" s="172" t="s">
        <v>39</v>
      </c>
      <c r="C399" s="172" t="s">
        <v>82</v>
      </c>
      <c r="D399" s="172" t="s">
        <v>218</v>
      </c>
      <c r="E399" s="172">
        <v>2.0391922551178599E-2</v>
      </c>
      <c r="F399" s="172">
        <v>1.8344657121719E-2</v>
      </c>
      <c r="G399" s="172">
        <v>1.1116000923798</v>
      </c>
    </row>
    <row r="400" spans="2:7" hidden="1" x14ac:dyDescent="0.3">
      <c r="B400" s="172" t="s">
        <v>26</v>
      </c>
      <c r="C400" s="172" t="s">
        <v>82</v>
      </c>
      <c r="D400" s="172" t="s">
        <v>215</v>
      </c>
      <c r="E400" s="172">
        <v>2.7711716551945E-3</v>
      </c>
      <c r="F400" s="172">
        <v>1.50691988974059E-3</v>
      </c>
      <c r="G400" s="172">
        <v>1.83896415068988</v>
      </c>
    </row>
    <row r="401" spans="2:7" x14ac:dyDescent="0.3">
      <c r="B401" s="172" t="s">
        <v>26</v>
      </c>
      <c r="C401" s="172" t="s">
        <v>82</v>
      </c>
      <c r="D401" s="172" t="s">
        <v>218</v>
      </c>
      <c r="E401" s="172">
        <v>1.65819921259725E-2</v>
      </c>
      <c r="F401" s="172">
        <v>1.4812039654337E-2</v>
      </c>
      <c r="G401" s="172">
        <v>1.11949417588261</v>
      </c>
    </row>
    <row r="402" spans="2:7" hidden="1" x14ac:dyDescent="0.3">
      <c r="B402" s="172" t="s">
        <v>25</v>
      </c>
      <c r="C402" s="172" t="s">
        <v>82</v>
      </c>
      <c r="D402" s="172" t="s">
        <v>215</v>
      </c>
      <c r="E402" s="172">
        <v>2.1572629353383299E-3</v>
      </c>
      <c r="F402" s="172">
        <v>1.1460458063316001E-3</v>
      </c>
      <c r="G402" s="172">
        <v>1.8823531515232901</v>
      </c>
    </row>
    <row r="403" spans="2:7" x14ac:dyDescent="0.3">
      <c r="B403" s="172" t="s">
        <v>25</v>
      </c>
      <c r="C403" s="172" t="s">
        <v>82</v>
      </c>
      <c r="D403" s="172" t="s">
        <v>218</v>
      </c>
      <c r="E403" s="172">
        <v>1.25136567431243E-2</v>
      </c>
      <c r="F403" s="172">
        <v>1.10979527625149E-2</v>
      </c>
      <c r="G403" s="172">
        <v>1.12756442660228</v>
      </c>
    </row>
    <row r="404" spans="2:7" hidden="1" x14ac:dyDescent="0.3">
      <c r="B404" s="172" t="s">
        <v>24</v>
      </c>
      <c r="C404" s="172" t="s">
        <v>82</v>
      </c>
      <c r="D404" s="172" t="s">
        <v>215</v>
      </c>
      <c r="E404" s="172">
        <v>1.47408791213282E-3</v>
      </c>
      <c r="F404" s="172">
        <v>7.66005109443164E-4</v>
      </c>
      <c r="G404" s="172">
        <v>1.92438391593026</v>
      </c>
    </row>
    <row r="405" spans="2:7" x14ac:dyDescent="0.3">
      <c r="B405" s="172" t="s">
        <v>24</v>
      </c>
      <c r="C405" s="172" t="s">
        <v>82</v>
      </c>
      <c r="D405" s="172" t="s">
        <v>218</v>
      </c>
      <c r="E405" s="172">
        <v>8.2622244704048092E-3</v>
      </c>
      <c r="F405" s="172">
        <v>7.2709085466392898E-3</v>
      </c>
      <c r="G405" s="172">
        <v>1.1363400347297301</v>
      </c>
    </row>
    <row r="406" spans="2:7" hidden="1" x14ac:dyDescent="0.3">
      <c r="B406" s="172" t="s">
        <v>22</v>
      </c>
      <c r="C406" s="172" t="s">
        <v>82</v>
      </c>
      <c r="D406" s="172" t="s">
        <v>215</v>
      </c>
      <c r="E406" s="172">
        <v>7.3664890893807597E-4</v>
      </c>
      <c r="F406" s="172">
        <v>3.7606420642997702E-4</v>
      </c>
      <c r="G406" s="172">
        <v>1.95883813546408</v>
      </c>
    </row>
    <row r="407" spans="2:7" x14ac:dyDescent="0.3">
      <c r="B407" s="172" t="s">
        <v>22</v>
      </c>
      <c r="C407" s="172" t="s">
        <v>82</v>
      </c>
      <c r="D407" s="172" t="s">
        <v>218</v>
      </c>
      <c r="E407" s="172">
        <v>3.9552339137093797E-3</v>
      </c>
      <c r="F407" s="172">
        <v>3.45041533019804E-3</v>
      </c>
      <c r="G407" s="172">
        <v>1.1463066139004101</v>
      </c>
    </row>
    <row r="408" spans="2:7" hidden="1" x14ac:dyDescent="0.3">
      <c r="B408" s="172" t="s">
        <v>189</v>
      </c>
      <c r="C408" s="172" t="s">
        <v>243</v>
      </c>
      <c r="D408" s="172" t="s">
        <v>215</v>
      </c>
      <c r="E408" s="172">
        <v>3.1868270793155599E-3</v>
      </c>
      <c r="F408" s="172">
        <v>3.0091054227551102E-3</v>
      </c>
      <c r="G408" s="172">
        <v>1.0590612928402201</v>
      </c>
    </row>
    <row r="409" spans="2:7" hidden="1" x14ac:dyDescent="0.3">
      <c r="B409" s="172" t="s">
        <v>189</v>
      </c>
      <c r="C409" s="172" t="s">
        <v>243</v>
      </c>
      <c r="D409" s="172" t="s">
        <v>218</v>
      </c>
      <c r="E409" s="172">
        <v>6.9198168007184101E-4</v>
      </c>
      <c r="F409" s="172">
        <v>4.6982960937128401E-4</v>
      </c>
      <c r="G409" s="172">
        <v>1.4728353987690099</v>
      </c>
    </row>
    <row r="410" spans="2:7" hidden="1" x14ac:dyDescent="0.3">
      <c r="B410" s="172" t="s">
        <v>187</v>
      </c>
      <c r="C410" s="172" t="s">
        <v>243</v>
      </c>
      <c r="D410" s="172" t="s">
        <v>215</v>
      </c>
      <c r="E410" s="172">
        <v>1.9617313596615102E-3</v>
      </c>
      <c r="F410" s="172">
        <v>1.69578902581984E-3</v>
      </c>
      <c r="G410" s="172">
        <v>1.1568251296549601</v>
      </c>
    </row>
    <row r="411" spans="2:7" hidden="1" x14ac:dyDescent="0.3">
      <c r="B411" s="172" t="s">
        <v>185</v>
      </c>
      <c r="C411" s="172" t="s">
        <v>243</v>
      </c>
      <c r="D411" s="172" t="s">
        <v>215</v>
      </c>
      <c r="E411" s="172">
        <v>1.6993291200974401E-3</v>
      </c>
      <c r="F411" s="172">
        <v>1.46352616890498E-3</v>
      </c>
      <c r="G411" s="172">
        <v>1.1611197368400199</v>
      </c>
    </row>
    <row r="412" spans="2:7" hidden="1" x14ac:dyDescent="0.3">
      <c r="B412" s="172" t="s">
        <v>183</v>
      </c>
      <c r="C412" s="172" t="s">
        <v>243</v>
      </c>
      <c r="D412" s="172" t="s">
        <v>215</v>
      </c>
      <c r="E412" s="172">
        <v>1.42756747700721E-3</v>
      </c>
      <c r="F412" s="172">
        <v>1.2274100856461501E-3</v>
      </c>
      <c r="G412" s="172">
        <v>1.16307295638335</v>
      </c>
    </row>
    <row r="413" spans="2:7" hidden="1" x14ac:dyDescent="0.3">
      <c r="B413" s="172" t="s">
        <v>181</v>
      </c>
      <c r="C413" s="172" t="s">
        <v>243</v>
      </c>
      <c r="D413" s="172" t="s">
        <v>215</v>
      </c>
      <c r="E413" s="172">
        <v>1.1660815332689999E-3</v>
      </c>
      <c r="F413" s="172">
        <v>1.00048743643744E-3</v>
      </c>
      <c r="G413" s="172">
        <v>1.1655134195599901</v>
      </c>
    </row>
    <row r="414" spans="2:7" hidden="1" x14ac:dyDescent="0.3">
      <c r="B414" s="172" t="s">
        <v>179</v>
      </c>
      <c r="C414" s="172" t="s">
        <v>243</v>
      </c>
      <c r="D414" s="172" t="s">
        <v>215</v>
      </c>
      <c r="E414" s="172">
        <v>9.2203772919353E-4</v>
      </c>
      <c r="F414" s="172">
        <v>7.8879069452712704E-4</v>
      </c>
      <c r="G414" s="172">
        <v>1.1689257183063999</v>
      </c>
    </row>
    <row r="415" spans="2:7" hidden="1" x14ac:dyDescent="0.3">
      <c r="B415" s="172" t="s">
        <v>39</v>
      </c>
      <c r="C415" s="172" t="s">
        <v>243</v>
      </c>
      <c r="D415" s="172" t="s">
        <v>215</v>
      </c>
      <c r="E415" s="172">
        <v>7.0005636974774296E-4</v>
      </c>
      <c r="F415" s="172">
        <v>5.9624868472999901E-4</v>
      </c>
      <c r="G415" s="172">
        <v>1.17410132328384</v>
      </c>
    </row>
    <row r="416" spans="2:7" hidden="1" x14ac:dyDescent="0.3">
      <c r="B416" s="172" t="s">
        <v>26</v>
      </c>
      <c r="C416" s="172" t="s">
        <v>243</v>
      </c>
      <c r="D416" s="172" t="s">
        <v>215</v>
      </c>
      <c r="E416" s="172">
        <v>4.7955627234540601E-4</v>
      </c>
      <c r="F416" s="172">
        <v>4.0816618497460601E-4</v>
      </c>
      <c r="G416" s="172">
        <v>1.17490446293399</v>
      </c>
    </row>
    <row r="417" spans="2:7" hidden="1" x14ac:dyDescent="0.3">
      <c r="B417" s="172" t="s">
        <v>25</v>
      </c>
      <c r="C417" s="172" t="s">
        <v>243</v>
      </c>
      <c r="D417" s="172" t="s">
        <v>215</v>
      </c>
      <c r="E417" s="172">
        <v>2.7183494533732701E-4</v>
      </c>
      <c r="F417" s="172">
        <v>2.3337919885867199E-4</v>
      </c>
      <c r="G417" s="172">
        <v>1.16477795221991</v>
      </c>
    </row>
    <row r="418" spans="2:7" hidden="1" x14ac:dyDescent="0.3">
      <c r="B418" s="172" t="s">
        <v>24</v>
      </c>
      <c r="C418" s="172" t="s">
        <v>243</v>
      </c>
      <c r="D418" s="172" t="s">
        <v>215</v>
      </c>
      <c r="E418" s="172">
        <v>1.16675265152381E-4</v>
      </c>
      <c r="F418" s="172">
        <v>1.02144186293251E-4</v>
      </c>
      <c r="G418" s="172">
        <v>1.14226045932181</v>
      </c>
    </row>
    <row r="419" spans="2:7" hidden="1" x14ac:dyDescent="0.3">
      <c r="B419" s="172" t="s">
        <v>22</v>
      </c>
      <c r="C419" s="172" t="s">
        <v>243</v>
      </c>
      <c r="D419" s="172" t="s">
        <v>215</v>
      </c>
      <c r="E419" s="172">
        <v>2.97436435133876E-5</v>
      </c>
      <c r="F419" s="172">
        <v>2.68862362018597E-5</v>
      </c>
      <c r="G419" s="172">
        <v>1.1062776987479599</v>
      </c>
    </row>
    <row r="420" spans="2:7" hidden="1" x14ac:dyDescent="0.3">
      <c r="B420" s="172"/>
      <c r="C420" s="172"/>
      <c r="D420" s="172"/>
      <c r="E420" s="172"/>
      <c r="F420" s="172"/>
      <c r="G420" s="172"/>
    </row>
    <row r="421" spans="2:7" hidden="1" x14ac:dyDescent="0.3">
      <c r="B421" s="172"/>
      <c r="C421" s="172"/>
      <c r="D421" s="172"/>
      <c r="E421" s="172"/>
      <c r="F421" s="172"/>
      <c r="G421" s="172"/>
    </row>
    <row r="422" spans="2:7" hidden="1" x14ac:dyDescent="0.3">
      <c r="B422" s="172"/>
      <c r="C422" s="172"/>
      <c r="D422" s="172"/>
      <c r="E422" s="172"/>
      <c r="F422" s="172"/>
      <c r="G422" s="172"/>
    </row>
    <row r="423" spans="2:7" hidden="1" x14ac:dyDescent="0.3">
      <c r="B423" s="172"/>
      <c r="C423" s="172"/>
      <c r="D423" s="172"/>
      <c r="E423" s="172"/>
      <c r="F423" s="172"/>
      <c r="G423" s="172"/>
    </row>
    <row r="424" spans="2:7" hidden="1" x14ac:dyDescent="0.3">
      <c r="B424" s="172"/>
      <c r="C424" s="172"/>
      <c r="D424" s="172"/>
      <c r="E424" s="172"/>
      <c r="F424" s="172"/>
      <c r="G424" s="172"/>
    </row>
    <row r="425" spans="2:7" hidden="1" x14ac:dyDescent="0.3">
      <c r="B425" s="172"/>
      <c r="C425" s="172"/>
      <c r="D425" s="172"/>
      <c r="E425" s="172"/>
      <c r="F425" s="172"/>
      <c r="G425" s="172"/>
    </row>
    <row r="426" spans="2:7" hidden="1" x14ac:dyDescent="0.3">
      <c r="B426" s="172"/>
      <c r="C426" s="172"/>
      <c r="D426" s="172"/>
      <c r="E426" s="172"/>
      <c r="F426" s="172"/>
      <c r="G426" s="172"/>
    </row>
    <row r="427" spans="2:7" hidden="1" x14ac:dyDescent="0.3">
      <c r="B427" s="172"/>
      <c r="C427" s="172"/>
      <c r="D427" s="172"/>
      <c r="E427" s="172"/>
      <c r="F427" s="172"/>
      <c r="G427" s="172"/>
    </row>
    <row r="428" spans="2:7" hidden="1" x14ac:dyDescent="0.3">
      <c r="B428" s="172"/>
      <c r="C428" s="172"/>
      <c r="D428" s="172"/>
      <c r="E428" s="172"/>
      <c r="F428" s="172"/>
      <c r="G428" s="172"/>
    </row>
    <row r="429" spans="2:7" hidden="1" x14ac:dyDescent="0.3">
      <c r="B429" s="172"/>
      <c r="C429" s="172"/>
      <c r="D429" s="172"/>
      <c r="E429" s="172"/>
      <c r="F429" s="172"/>
      <c r="G429" s="172"/>
    </row>
    <row r="430" spans="2:7" hidden="1" x14ac:dyDescent="0.3">
      <c r="B430" s="172"/>
      <c r="C430" s="172"/>
      <c r="D430" s="172"/>
      <c r="E430" s="172"/>
      <c r="F430" s="172"/>
      <c r="G430" s="172"/>
    </row>
    <row r="431" spans="2:7" hidden="1" x14ac:dyDescent="0.3">
      <c r="B431" s="172"/>
      <c r="C431" s="172"/>
      <c r="D431" s="172"/>
      <c r="E431" s="172"/>
      <c r="F431" s="172"/>
      <c r="G431" s="172"/>
    </row>
    <row r="432" spans="2:7" hidden="1" x14ac:dyDescent="0.3">
      <c r="B432" s="172"/>
      <c r="C432" s="172"/>
      <c r="D432" s="172"/>
      <c r="E432" s="172"/>
      <c r="F432" s="172"/>
      <c r="G432" s="172"/>
    </row>
    <row r="433" spans="2:7" hidden="1" x14ac:dyDescent="0.3">
      <c r="B433" s="172"/>
      <c r="C433" s="172"/>
      <c r="D433" s="172"/>
      <c r="E433" s="172"/>
      <c r="F433" s="172"/>
      <c r="G433" s="172"/>
    </row>
    <row r="434" spans="2:7" hidden="1" x14ac:dyDescent="0.3">
      <c r="B434" s="172"/>
      <c r="C434" s="172"/>
      <c r="D434" s="172"/>
      <c r="E434" s="172"/>
      <c r="F434" s="172"/>
      <c r="G434" s="172"/>
    </row>
    <row r="435" spans="2:7" hidden="1" x14ac:dyDescent="0.3">
      <c r="B435" s="172"/>
      <c r="C435" s="172"/>
      <c r="D435" s="172"/>
      <c r="E435" s="172"/>
      <c r="F435" s="172"/>
      <c r="G435" s="172"/>
    </row>
    <row r="436" spans="2:7" hidden="1" x14ac:dyDescent="0.3">
      <c r="B436" s="172"/>
      <c r="C436" s="172"/>
      <c r="D436" s="172"/>
      <c r="E436" s="172"/>
      <c r="F436" s="172"/>
      <c r="G436" s="172"/>
    </row>
    <row r="437" spans="2:7" hidden="1" x14ac:dyDescent="0.3">
      <c r="B437" s="172"/>
      <c r="C437" s="172"/>
      <c r="D437" s="172"/>
      <c r="E437" s="172"/>
      <c r="F437" s="172"/>
      <c r="G437" s="172"/>
    </row>
    <row r="438" spans="2:7" hidden="1" x14ac:dyDescent="0.3">
      <c r="B438" s="172"/>
      <c r="C438" s="172"/>
      <c r="D438" s="172"/>
      <c r="E438" s="172"/>
      <c r="F438" s="172"/>
      <c r="G438" s="172"/>
    </row>
    <row r="439" spans="2:7" hidden="1" x14ac:dyDescent="0.3">
      <c r="B439" s="172"/>
      <c r="C439" s="172"/>
      <c r="D439" s="172"/>
      <c r="E439" s="172"/>
      <c r="F439" s="172"/>
      <c r="G439" s="172"/>
    </row>
    <row r="440" spans="2:7" x14ac:dyDescent="0.3">
      <c r="B440" s="172"/>
      <c r="C440" s="172"/>
      <c r="D440" s="172"/>
      <c r="E440" s="172"/>
      <c r="F440" s="172"/>
      <c r="G440" s="172"/>
    </row>
    <row r="441" spans="2:7" x14ac:dyDescent="0.3">
      <c r="B441" s="172"/>
      <c r="C441" s="172"/>
      <c r="D441" s="172"/>
      <c r="E441" s="172"/>
      <c r="F441" s="172"/>
      <c r="G441" s="172"/>
    </row>
    <row r="442" spans="2:7" x14ac:dyDescent="0.3">
      <c r="B442" s="172"/>
      <c r="C442" s="172"/>
      <c r="D442" s="172"/>
      <c r="E442" s="172"/>
      <c r="F442" s="172"/>
      <c r="G442" s="172"/>
    </row>
    <row r="443" spans="2:7" x14ac:dyDescent="0.3">
      <c r="B443" s="172"/>
      <c r="C443" s="172"/>
      <c r="D443" s="172"/>
      <c r="E443" s="172"/>
      <c r="F443" s="172"/>
      <c r="G443" s="17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3" name="Button 1">
              <controlPr defaultSize="0" print="0" autoFill="0" autoPict="0" macro="[0]!IRRE_TORSIONAL">
                <anchor moveWithCells="1" sizeWithCells="1">
                  <from>
                    <xdr:col>12</xdr:col>
                    <xdr:colOff>480060</xdr:colOff>
                    <xdr:row>0</xdr:row>
                    <xdr:rowOff>106680</xdr:rowOff>
                  </from>
                  <to>
                    <xdr:col>15</xdr:col>
                    <xdr:colOff>76200</xdr:colOff>
                    <xdr:row>13</xdr:row>
                    <xdr:rowOff>53340</xdr:rowOff>
                  </to>
                </anchor>
              </controlPr>
            </control>
          </mc:Choice>
        </mc:AlternateContent>
      </controls>
    </mc:Choice>
  </mc:AlternateContent>
  <tableParts count="4">
    <tablePart r:id="rId4"/>
    <tablePart r:id="rId5"/>
    <tablePart r:id="rId6"/>
    <tablePart r:id="rId7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4"/>
  <dimension ref="B2:I443"/>
  <sheetViews>
    <sheetView topLeftCell="A184" zoomScale="80" zoomScaleNormal="80" workbookViewId="0">
      <selection activeCell="E344" sqref="E344:E418"/>
    </sheetView>
  </sheetViews>
  <sheetFormatPr baseColWidth="10" defaultRowHeight="14.4" x14ac:dyDescent="0.3"/>
  <cols>
    <col min="2" max="7" width="11.5546875" style="75"/>
  </cols>
  <sheetData>
    <row r="2" spans="2:9" x14ac:dyDescent="0.3">
      <c r="B2" s="167" t="s">
        <v>248</v>
      </c>
      <c r="C2" s="168"/>
      <c r="D2" s="168"/>
      <c r="E2" s="168"/>
      <c r="F2" s="168"/>
      <c r="G2" s="168"/>
      <c r="H2" s="168"/>
      <c r="I2" s="168"/>
    </row>
    <row r="3" spans="2:9" x14ac:dyDescent="0.3">
      <c r="B3" s="169" t="s">
        <v>9</v>
      </c>
      <c r="C3" s="169" t="s">
        <v>46</v>
      </c>
      <c r="D3" s="169" t="s">
        <v>42</v>
      </c>
      <c r="E3" s="169" t="s">
        <v>249</v>
      </c>
      <c r="F3" s="169" t="s">
        <v>250</v>
      </c>
      <c r="G3" s="169" t="s">
        <v>215</v>
      </c>
      <c r="H3" s="169" t="s">
        <v>218</v>
      </c>
      <c r="I3" s="170" t="s">
        <v>203</v>
      </c>
    </row>
    <row r="4" spans="2:9" x14ac:dyDescent="0.3">
      <c r="B4" s="190"/>
      <c r="C4" s="190"/>
      <c r="D4" s="190"/>
      <c r="E4" s="190"/>
      <c r="F4" s="190"/>
      <c r="G4" s="190" t="s">
        <v>7</v>
      </c>
      <c r="H4" s="190" t="s">
        <v>7</v>
      </c>
      <c r="I4" s="191" t="s">
        <v>7</v>
      </c>
    </row>
    <row r="5" spans="2:9" s="172" customFormat="1" x14ac:dyDescent="0.3">
      <c r="B5" s="27" t="s">
        <v>251</v>
      </c>
      <c r="C5" s="27" t="s">
        <v>252</v>
      </c>
      <c r="D5" s="27" t="s">
        <v>253</v>
      </c>
      <c r="E5" s="27" t="s">
        <v>254</v>
      </c>
      <c r="F5" s="27" t="s">
        <v>255</v>
      </c>
      <c r="G5" s="27" t="s">
        <v>256</v>
      </c>
      <c r="H5" s="27" t="s">
        <v>257</v>
      </c>
      <c r="I5" s="27" t="s">
        <v>258</v>
      </c>
    </row>
    <row r="6" spans="2:9" s="172" customFormat="1" x14ac:dyDescent="0.3">
      <c r="B6" s="172" t="s">
        <v>189</v>
      </c>
      <c r="C6" s="172" t="s">
        <v>79</v>
      </c>
      <c r="D6" s="172" t="s">
        <v>215</v>
      </c>
      <c r="E6" s="172">
        <v>2.22291767087146E-4</v>
      </c>
      <c r="F6" s="172">
        <v>30</v>
      </c>
      <c r="G6" s="172">
        <v>16</v>
      </c>
      <c r="H6" s="172">
        <v>0</v>
      </c>
      <c r="I6" s="172">
        <v>38.5</v>
      </c>
    </row>
    <row r="7" spans="2:9" s="172" customFormat="1" hidden="1" x14ac:dyDescent="0.3">
      <c r="B7" s="172" t="s">
        <v>189</v>
      </c>
      <c r="C7" s="172" t="s">
        <v>79</v>
      </c>
      <c r="D7" s="172" t="s">
        <v>218</v>
      </c>
      <c r="E7" s="172">
        <v>6.3542312843422198E-5</v>
      </c>
      <c r="F7" s="172">
        <v>59</v>
      </c>
      <c r="G7" s="172">
        <v>21</v>
      </c>
      <c r="H7" s="172">
        <v>0</v>
      </c>
      <c r="I7" s="172">
        <v>38.5</v>
      </c>
    </row>
    <row r="8" spans="2:9" s="172" customFormat="1" hidden="1" x14ac:dyDescent="0.3">
      <c r="B8" s="172" t="s">
        <v>189</v>
      </c>
      <c r="C8" s="172" t="s">
        <v>80</v>
      </c>
      <c r="D8" s="172" t="s">
        <v>215</v>
      </c>
      <c r="E8" s="172">
        <v>2.43329727959041E-4</v>
      </c>
      <c r="F8" s="172">
        <v>30</v>
      </c>
      <c r="G8" s="172">
        <v>16</v>
      </c>
      <c r="H8" s="172">
        <v>0</v>
      </c>
      <c r="I8" s="172">
        <v>38.5</v>
      </c>
    </row>
    <row r="9" spans="2:9" s="172" customFormat="1" hidden="1" x14ac:dyDescent="0.3">
      <c r="B9" s="172" t="s">
        <v>189</v>
      </c>
      <c r="C9" s="172" t="s">
        <v>80</v>
      </c>
      <c r="D9" s="172" t="s">
        <v>218</v>
      </c>
      <c r="E9" s="172">
        <v>1.16725061257035E-4</v>
      </c>
      <c r="F9" s="172">
        <v>59</v>
      </c>
      <c r="G9" s="172">
        <v>21</v>
      </c>
      <c r="H9" s="172">
        <v>0</v>
      </c>
      <c r="I9" s="172">
        <v>38.5</v>
      </c>
    </row>
    <row r="10" spans="2:9" s="172" customFormat="1" hidden="1" x14ac:dyDescent="0.3">
      <c r="B10" s="172" t="s">
        <v>189</v>
      </c>
      <c r="C10" s="172" t="s">
        <v>81</v>
      </c>
      <c r="D10" s="172" t="s">
        <v>215</v>
      </c>
      <c r="E10" s="172">
        <v>1.0526441584251E-4</v>
      </c>
      <c r="F10" s="172">
        <v>30</v>
      </c>
      <c r="G10" s="172">
        <v>16</v>
      </c>
      <c r="H10" s="172">
        <v>0</v>
      </c>
      <c r="I10" s="172">
        <v>38.5</v>
      </c>
    </row>
    <row r="11" spans="2:9" s="172" customFormat="1" hidden="1" x14ac:dyDescent="0.3">
      <c r="B11" s="172" t="s">
        <v>189</v>
      </c>
      <c r="C11" s="172" t="s">
        <v>81</v>
      </c>
      <c r="D11" s="172" t="s">
        <v>218</v>
      </c>
      <c r="E11" s="172">
        <v>5.3881830236663297E-4</v>
      </c>
      <c r="F11" s="172">
        <v>59</v>
      </c>
      <c r="G11" s="172">
        <v>21</v>
      </c>
      <c r="H11" s="172">
        <v>0</v>
      </c>
      <c r="I11" s="172">
        <v>38.5</v>
      </c>
    </row>
    <row r="12" spans="2:9" s="172" customFormat="1" hidden="1" x14ac:dyDescent="0.3">
      <c r="B12" s="172" t="s">
        <v>189</v>
      </c>
      <c r="C12" s="172" t="s">
        <v>82</v>
      </c>
      <c r="D12" s="172" t="s">
        <v>215</v>
      </c>
      <c r="E12" s="172">
        <v>7.2448631866248704E-5</v>
      </c>
      <c r="F12" s="172">
        <v>30</v>
      </c>
      <c r="G12" s="172">
        <v>16</v>
      </c>
      <c r="H12" s="172">
        <v>0</v>
      </c>
      <c r="I12" s="172">
        <v>38.5</v>
      </c>
    </row>
    <row r="13" spans="2:9" s="172" customFormat="1" hidden="1" x14ac:dyDescent="0.3">
      <c r="B13" s="172" t="s">
        <v>189</v>
      </c>
      <c r="C13" s="172" t="s">
        <v>82</v>
      </c>
      <c r="D13" s="172" t="s">
        <v>218</v>
      </c>
      <c r="E13" s="172">
        <v>4.5761219498154099E-4</v>
      </c>
      <c r="F13" s="172">
        <v>59</v>
      </c>
      <c r="G13" s="172">
        <v>21</v>
      </c>
      <c r="H13" s="172">
        <v>0</v>
      </c>
      <c r="I13" s="172">
        <v>38.5</v>
      </c>
    </row>
    <row r="14" spans="2:9" s="172" customFormat="1" hidden="1" x14ac:dyDescent="0.3">
      <c r="B14" s="172" t="s">
        <v>189</v>
      </c>
      <c r="C14" s="172" t="s">
        <v>243</v>
      </c>
      <c r="D14" s="172" t="s">
        <v>215</v>
      </c>
      <c r="E14" s="172">
        <v>4.0836523988468498E-4</v>
      </c>
      <c r="F14" s="172">
        <v>30</v>
      </c>
      <c r="G14" s="172">
        <v>16</v>
      </c>
      <c r="H14" s="172">
        <v>0</v>
      </c>
      <c r="I14" s="172">
        <v>38.5</v>
      </c>
    </row>
    <row r="15" spans="2:9" s="172" customFormat="1" hidden="1" x14ac:dyDescent="0.3">
      <c r="B15" s="172" t="s">
        <v>189</v>
      </c>
      <c r="C15" s="172" t="s">
        <v>243</v>
      </c>
      <c r="D15" s="172" t="s">
        <v>218</v>
      </c>
      <c r="E15" s="172">
        <v>2.6524155729516601E-4</v>
      </c>
      <c r="F15" s="172">
        <v>30</v>
      </c>
      <c r="G15" s="172">
        <v>16</v>
      </c>
      <c r="H15" s="172">
        <v>0</v>
      </c>
      <c r="I15" s="172">
        <v>38.5</v>
      </c>
    </row>
    <row r="16" spans="2:9" x14ac:dyDescent="0.3">
      <c r="B16" s="172" t="s">
        <v>187</v>
      </c>
      <c r="C16" s="172" t="s">
        <v>79</v>
      </c>
      <c r="D16" s="172" t="s">
        <v>215</v>
      </c>
      <c r="E16" s="172">
        <v>2.38234917259921E-4</v>
      </c>
      <c r="F16" s="172">
        <v>59</v>
      </c>
      <c r="G16" s="172">
        <v>21</v>
      </c>
      <c r="H16" s="172">
        <v>0</v>
      </c>
      <c r="I16" s="172">
        <v>35.5</v>
      </c>
    </row>
    <row r="17" spans="2:9" hidden="1" x14ac:dyDescent="0.3">
      <c r="B17" s="172" t="s">
        <v>187</v>
      </c>
      <c r="C17" s="172" t="s">
        <v>79</v>
      </c>
      <c r="D17" s="172" t="s">
        <v>218</v>
      </c>
      <c r="E17" s="172">
        <v>5.2543930936159101E-5</v>
      </c>
      <c r="F17" s="172">
        <v>79</v>
      </c>
      <c r="G17" s="172">
        <v>21</v>
      </c>
      <c r="H17" s="172">
        <v>4</v>
      </c>
      <c r="I17" s="172">
        <v>35.5</v>
      </c>
    </row>
    <row r="18" spans="2:9" hidden="1" x14ac:dyDescent="0.3">
      <c r="B18" s="172" t="s">
        <v>187</v>
      </c>
      <c r="C18" s="172" t="s">
        <v>80</v>
      </c>
      <c r="D18" s="172" t="s">
        <v>215</v>
      </c>
      <c r="E18" s="172">
        <v>2.6919862808300499E-4</v>
      </c>
      <c r="F18" s="172">
        <v>59</v>
      </c>
      <c r="G18" s="172">
        <v>21</v>
      </c>
      <c r="H18" s="172">
        <v>0</v>
      </c>
      <c r="I18" s="172">
        <v>35.5</v>
      </c>
    </row>
    <row r="19" spans="2:9" hidden="1" x14ac:dyDescent="0.3">
      <c r="B19" s="172" t="s">
        <v>187</v>
      </c>
      <c r="C19" s="172" t="s">
        <v>80</v>
      </c>
      <c r="D19" s="172" t="s">
        <v>218</v>
      </c>
      <c r="E19" s="172">
        <v>1.11803767190918E-4</v>
      </c>
      <c r="F19" s="172">
        <v>59</v>
      </c>
      <c r="G19" s="172">
        <v>21</v>
      </c>
      <c r="H19" s="172">
        <v>0</v>
      </c>
      <c r="I19" s="172">
        <v>35.5</v>
      </c>
    </row>
    <row r="20" spans="2:9" hidden="1" x14ac:dyDescent="0.3">
      <c r="B20" s="172" t="s">
        <v>187</v>
      </c>
      <c r="C20" s="172" t="s">
        <v>81</v>
      </c>
      <c r="D20" s="172" t="s">
        <v>218</v>
      </c>
      <c r="E20" s="172">
        <v>5.6040536704659205E-4</v>
      </c>
      <c r="F20" s="172">
        <v>59</v>
      </c>
      <c r="G20" s="172">
        <v>21</v>
      </c>
      <c r="H20" s="172">
        <v>0</v>
      </c>
      <c r="I20" s="172">
        <v>35.5</v>
      </c>
    </row>
    <row r="21" spans="2:9" hidden="1" x14ac:dyDescent="0.3">
      <c r="B21" s="172" t="s">
        <v>187</v>
      </c>
      <c r="C21" s="172" t="s">
        <v>82</v>
      </c>
      <c r="D21" s="172" t="s">
        <v>218</v>
      </c>
      <c r="E21" s="172">
        <v>4.6957378806723298E-4</v>
      </c>
      <c r="F21" s="172">
        <v>59</v>
      </c>
      <c r="G21" s="172">
        <v>21</v>
      </c>
      <c r="H21" s="172">
        <v>0</v>
      </c>
      <c r="I21" s="172">
        <v>35.5</v>
      </c>
    </row>
    <row r="22" spans="2:9" hidden="1" x14ac:dyDescent="0.3">
      <c r="B22" s="172" t="s">
        <v>187</v>
      </c>
      <c r="C22" s="172" t="s">
        <v>243</v>
      </c>
      <c r="D22" s="172" t="s">
        <v>215</v>
      </c>
      <c r="E22" s="172">
        <v>7.4972068446876205E-5</v>
      </c>
      <c r="F22" s="172">
        <v>59</v>
      </c>
      <c r="G22" s="172">
        <v>21</v>
      </c>
      <c r="H22" s="172">
        <v>0</v>
      </c>
      <c r="I22" s="172">
        <v>35.5</v>
      </c>
    </row>
    <row r="23" spans="2:9" x14ac:dyDescent="0.3">
      <c r="B23" s="172" t="s">
        <v>185</v>
      </c>
      <c r="C23" s="172" t="s">
        <v>79</v>
      </c>
      <c r="D23" s="172" t="s">
        <v>215</v>
      </c>
      <c r="E23" s="172">
        <v>3.8964639712814699E-4</v>
      </c>
      <c r="F23" s="172">
        <v>69</v>
      </c>
      <c r="G23" s="172">
        <v>16.25</v>
      </c>
      <c r="H23" s="172">
        <v>15.3</v>
      </c>
      <c r="I23" s="172">
        <v>32</v>
      </c>
    </row>
    <row r="24" spans="2:9" hidden="1" x14ac:dyDescent="0.3">
      <c r="B24" s="172" t="s">
        <v>185</v>
      </c>
      <c r="C24" s="172" t="s">
        <v>79</v>
      </c>
      <c r="D24" s="172" t="s">
        <v>218</v>
      </c>
      <c r="E24" s="172">
        <v>7.8027390652308194E-5</v>
      </c>
      <c r="F24" s="172">
        <v>19</v>
      </c>
      <c r="G24" s="172">
        <v>0</v>
      </c>
      <c r="H24" s="172">
        <v>4</v>
      </c>
      <c r="I24" s="172">
        <v>32</v>
      </c>
    </row>
    <row r="25" spans="2:9" hidden="1" x14ac:dyDescent="0.3">
      <c r="B25" s="172" t="s">
        <v>185</v>
      </c>
      <c r="C25" s="172" t="s">
        <v>80</v>
      </c>
      <c r="D25" s="172" t="s">
        <v>215</v>
      </c>
      <c r="E25" s="172">
        <v>4.1567430115536301E-4</v>
      </c>
      <c r="F25" s="172">
        <v>59</v>
      </c>
      <c r="G25" s="172">
        <v>21</v>
      </c>
      <c r="H25" s="172">
        <v>0</v>
      </c>
      <c r="I25" s="172">
        <v>32</v>
      </c>
    </row>
    <row r="26" spans="2:9" hidden="1" x14ac:dyDescent="0.3">
      <c r="B26" s="172" t="s">
        <v>185</v>
      </c>
      <c r="C26" s="172" t="s">
        <v>80</v>
      </c>
      <c r="D26" s="172" t="s">
        <v>218</v>
      </c>
      <c r="E26" s="172">
        <v>1.3536159028888401E-4</v>
      </c>
      <c r="F26" s="172">
        <v>59</v>
      </c>
      <c r="G26" s="172">
        <v>21</v>
      </c>
      <c r="H26" s="172">
        <v>0</v>
      </c>
      <c r="I26" s="172">
        <v>32</v>
      </c>
    </row>
    <row r="27" spans="2:9" hidden="1" x14ac:dyDescent="0.3">
      <c r="B27" s="172" t="s">
        <v>185</v>
      </c>
      <c r="C27" s="172" t="s">
        <v>81</v>
      </c>
      <c r="D27" s="172" t="s">
        <v>218</v>
      </c>
      <c r="E27" s="172">
        <v>7.3583119096251495E-4</v>
      </c>
      <c r="F27" s="172">
        <v>59</v>
      </c>
      <c r="G27" s="172">
        <v>21</v>
      </c>
      <c r="H27" s="172">
        <v>0</v>
      </c>
      <c r="I27" s="172">
        <v>32</v>
      </c>
    </row>
    <row r="28" spans="2:9" hidden="1" x14ac:dyDescent="0.3">
      <c r="B28" s="172" t="s">
        <v>185</v>
      </c>
      <c r="C28" s="172" t="s">
        <v>82</v>
      </c>
      <c r="D28" s="172" t="s">
        <v>218</v>
      </c>
      <c r="E28" s="172">
        <v>6.0360916894947601E-4</v>
      </c>
      <c r="F28" s="172">
        <v>59</v>
      </c>
      <c r="G28" s="172">
        <v>21</v>
      </c>
      <c r="H28" s="172">
        <v>0</v>
      </c>
      <c r="I28" s="172">
        <v>32</v>
      </c>
    </row>
    <row r="29" spans="2:9" hidden="1" x14ac:dyDescent="0.3">
      <c r="B29" s="172" t="s">
        <v>185</v>
      </c>
      <c r="C29" s="172" t="s">
        <v>243</v>
      </c>
      <c r="D29" s="172" t="s">
        <v>215</v>
      </c>
      <c r="E29" s="172">
        <v>7.7646183740065597E-5</v>
      </c>
      <c r="F29" s="172">
        <v>59</v>
      </c>
      <c r="G29" s="172">
        <v>21</v>
      </c>
      <c r="H29" s="172">
        <v>0</v>
      </c>
      <c r="I29" s="172">
        <v>32</v>
      </c>
    </row>
    <row r="30" spans="2:9" x14ac:dyDescent="0.3">
      <c r="B30" s="172" t="s">
        <v>183</v>
      </c>
      <c r="C30" s="172" t="s">
        <v>79</v>
      </c>
      <c r="D30" s="172" t="s">
        <v>215</v>
      </c>
      <c r="E30" s="172">
        <v>5.3299634216003304E-4</v>
      </c>
      <c r="F30" s="172">
        <v>69</v>
      </c>
      <c r="G30" s="172">
        <v>16.25</v>
      </c>
      <c r="H30" s="172">
        <v>15.3</v>
      </c>
      <c r="I30" s="172">
        <v>28.5</v>
      </c>
    </row>
    <row r="31" spans="2:9" hidden="1" x14ac:dyDescent="0.3">
      <c r="B31" s="172" t="s">
        <v>183</v>
      </c>
      <c r="C31" s="172" t="s">
        <v>79</v>
      </c>
      <c r="D31" s="172" t="s">
        <v>218</v>
      </c>
      <c r="E31" s="172">
        <v>1.0646965592679E-4</v>
      </c>
      <c r="F31" s="172">
        <v>21</v>
      </c>
      <c r="G31" s="172">
        <v>0</v>
      </c>
      <c r="H31" s="172">
        <v>15</v>
      </c>
      <c r="I31" s="172">
        <v>28.5</v>
      </c>
    </row>
    <row r="32" spans="2:9" hidden="1" x14ac:dyDescent="0.3">
      <c r="B32" s="172" t="s">
        <v>183</v>
      </c>
      <c r="C32" s="172" t="s">
        <v>80</v>
      </c>
      <c r="D32" s="172" t="s">
        <v>215</v>
      </c>
      <c r="E32" s="172">
        <v>5.5025154911549404E-4</v>
      </c>
      <c r="F32" s="172">
        <v>59</v>
      </c>
      <c r="G32" s="172">
        <v>21</v>
      </c>
      <c r="H32" s="172">
        <v>0</v>
      </c>
      <c r="I32" s="172">
        <v>28.5</v>
      </c>
    </row>
    <row r="33" spans="2:9" hidden="1" x14ac:dyDescent="0.3">
      <c r="B33" s="172" t="s">
        <v>183</v>
      </c>
      <c r="C33" s="172" t="s">
        <v>80</v>
      </c>
      <c r="D33" s="172" t="s">
        <v>218</v>
      </c>
      <c r="E33" s="172">
        <v>1.56136477929798E-4</v>
      </c>
      <c r="F33" s="172">
        <v>59</v>
      </c>
      <c r="G33" s="172">
        <v>21</v>
      </c>
      <c r="H33" s="172">
        <v>0</v>
      </c>
      <c r="I33" s="172">
        <v>28.5</v>
      </c>
    </row>
    <row r="34" spans="2:9" hidden="1" x14ac:dyDescent="0.3">
      <c r="B34" s="172" t="s">
        <v>183</v>
      </c>
      <c r="C34" s="172" t="s">
        <v>81</v>
      </c>
      <c r="D34" s="172" t="s">
        <v>218</v>
      </c>
      <c r="E34" s="172">
        <v>8.8912532643959004E-4</v>
      </c>
      <c r="F34" s="172">
        <v>59</v>
      </c>
      <c r="G34" s="172">
        <v>21</v>
      </c>
      <c r="H34" s="172">
        <v>0</v>
      </c>
      <c r="I34" s="172">
        <v>28.5</v>
      </c>
    </row>
    <row r="35" spans="2:9" hidden="1" x14ac:dyDescent="0.3">
      <c r="B35" s="172" t="s">
        <v>183</v>
      </c>
      <c r="C35" s="172" t="s">
        <v>82</v>
      </c>
      <c r="D35" s="172" t="s">
        <v>218</v>
      </c>
      <c r="E35" s="172">
        <v>7.4324103631627004E-4</v>
      </c>
      <c r="F35" s="172">
        <v>21</v>
      </c>
      <c r="G35" s="172">
        <v>0</v>
      </c>
      <c r="H35" s="172">
        <v>15</v>
      </c>
      <c r="I35" s="172">
        <v>28.5</v>
      </c>
    </row>
    <row r="36" spans="2:9" hidden="1" x14ac:dyDescent="0.3">
      <c r="B36" s="172" t="s">
        <v>183</v>
      </c>
      <c r="C36" s="172" t="s">
        <v>243</v>
      </c>
      <c r="D36" s="172" t="s">
        <v>215</v>
      </c>
      <c r="E36" s="172">
        <v>7.4710269639487002E-5</v>
      </c>
      <c r="F36" s="172">
        <v>59</v>
      </c>
      <c r="G36" s="172">
        <v>21</v>
      </c>
      <c r="H36" s="172">
        <v>0</v>
      </c>
      <c r="I36" s="172">
        <v>28.5</v>
      </c>
    </row>
    <row r="37" spans="2:9" x14ac:dyDescent="0.3">
      <c r="B37" s="172" t="s">
        <v>181</v>
      </c>
      <c r="C37" s="172" t="s">
        <v>79</v>
      </c>
      <c r="D37" s="172" t="s">
        <v>215</v>
      </c>
      <c r="E37" s="172">
        <v>6.5498783748358801E-4</v>
      </c>
      <c r="F37" s="172">
        <v>69</v>
      </c>
      <c r="G37" s="172">
        <v>16.25</v>
      </c>
      <c r="H37" s="172">
        <v>15.3</v>
      </c>
      <c r="I37" s="172">
        <v>25</v>
      </c>
    </row>
    <row r="38" spans="2:9" hidden="1" x14ac:dyDescent="0.3">
      <c r="B38" s="172" t="s">
        <v>181</v>
      </c>
      <c r="C38" s="172" t="s">
        <v>79</v>
      </c>
      <c r="D38" s="172" t="s">
        <v>218</v>
      </c>
      <c r="E38" s="172">
        <v>1.3062810185599801E-4</v>
      </c>
      <c r="F38" s="172">
        <v>21</v>
      </c>
      <c r="G38" s="172">
        <v>0</v>
      </c>
      <c r="H38" s="172">
        <v>15</v>
      </c>
      <c r="I38" s="172">
        <v>25</v>
      </c>
    </row>
    <row r="39" spans="2:9" hidden="1" x14ac:dyDescent="0.3">
      <c r="B39" s="172" t="s">
        <v>181</v>
      </c>
      <c r="C39" s="172" t="s">
        <v>80</v>
      </c>
      <c r="D39" s="172" t="s">
        <v>215</v>
      </c>
      <c r="E39" s="172">
        <v>6.6405196634488402E-4</v>
      </c>
      <c r="F39" s="172">
        <v>59</v>
      </c>
      <c r="G39" s="172">
        <v>21</v>
      </c>
      <c r="H39" s="172">
        <v>0</v>
      </c>
      <c r="I39" s="172">
        <v>25</v>
      </c>
    </row>
    <row r="40" spans="2:9" hidden="1" x14ac:dyDescent="0.3">
      <c r="B40" s="172" t="s">
        <v>181</v>
      </c>
      <c r="C40" s="172" t="s">
        <v>80</v>
      </c>
      <c r="D40" s="172" t="s">
        <v>218</v>
      </c>
      <c r="E40" s="172">
        <v>1.7262613905723499E-4</v>
      </c>
      <c r="F40" s="172">
        <v>79</v>
      </c>
      <c r="G40" s="172">
        <v>21</v>
      </c>
      <c r="H40" s="172">
        <v>4</v>
      </c>
      <c r="I40" s="172">
        <v>25</v>
      </c>
    </row>
    <row r="41" spans="2:9" hidden="1" x14ac:dyDescent="0.3">
      <c r="B41" s="172" t="s">
        <v>181</v>
      </c>
      <c r="C41" s="172" t="s">
        <v>81</v>
      </c>
      <c r="D41" s="172" t="s">
        <v>218</v>
      </c>
      <c r="E41" s="172">
        <v>1.0104070293470099E-3</v>
      </c>
      <c r="F41" s="172">
        <v>59</v>
      </c>
      <c r="G41" s="172">
        <v>21</v>
      </c>
      <c r="H41" s="172">
        <v>0</v>
      </c>
      <c r="I41" s="172">
        <v>25</v>
      </c>
    </row>
    <row r="42" spans="2:9" hidden="1" x14ac:dyDescent="0.3">
      <c r="B42" s="172" t="s">
        <v>181</v>
      </c>
      <c r="C42" s="172" t="s">
        <v>82</v>
      </c>
      <c r="D42" s="172" t="s">
        <v>218</v>
      </c>
      <c r="E42" s="172">
        <v>8.8263482915248396E-4</v>
      </c>
      <c r="F42" s="172">
        <v>21</v>
      </c>
      <c r="G42" s="172">
        <v>0</v>
      </c>
      <c r="H42" s="172">
        <v>15</v>
      </c>
      <c r="I42" s="172">
        <v>25</v>
      </c>
    </row>
    <row r="43" spans="2:9" hidden="1" x14ac:dyDescent="0.3">
      <c r="B43" s="172" t="s">
        <v>181</v>
      </c>
      <c r="C43" s="172" t="s">
        <v>243</v>
      </c>
      <c r="D43" s="172" t="s">
        <v>215</v>
      </c>
      <c r="E43" s="172">
        <v>6.9726801164421401E-5</v>
      </c>
      <c r="F43" s="172">
        <v>59</v>
      </c>
      <c r="G43" s="172">
        <v>21</v>
      </c>
      <c r="H43" s="172">
        <v>0</v>
      </c>
      <c r="I43" s="172">
        <v>25</v>
      </c>
    </row>
    <row r="44" spans="2:9" x14ac:dyDescent="0.3">
      <c r="B44" s="172" t="s">
        <v>179</v>
      </c>
      <c r="C44" s="172" t="s">
        <v>79</v>
      </c>
      <c r="D44" s="172" t="s">
        <v>215</v>
      </c>
      <c r="E44" s="172">
        <v>7.5799423287777295E-4</v>
      </c>
      <c r="F44" s="172">
        <v>69</v>
      </c>
      <c r="G44" s="172">
        <v>16.25</v>
      </c>
      <c r="H44" s="172">
        <v>15.3</v>
      </c>
      <c r="I44" s="172">
        <v>21.5</v>
      </c>
    </row>
    <row r="45" spans="2:9" hidden="1" x14ac:dyDescent="0.3">
      <c r="B45" s="172" t="s">
        <v>179</v>
      </c>
      <c r="C45" s="172" t="s">
        <v>79</v>
      </c>
      <c r="D45" s="172" t="s">
        <v>218</v>
      </c>
      <c r="E45" s="172">
        <v>1.5139468865179201E-4</v>
      </c>
      <c r="F45" s="172">
        <v>21</v>
      </c>
      <c r="G45" s="172">
        <v>0</v>
      </c>
      <c r="H45" s="172">
        <v>15</v>
      </c>
      <c r="I45" s="172">
        <v>21.5</v>
      </c>
    </row>
    <row r="46" spans="2:9" hidden="1" x14ac:dyDescent="0.3">
      <c r="B46" s="172" t="s">
        <v>179</v>
      </c>
      <c r="C46" s="172" t="s">
        <v>80</v>
      </c>
      <c r="D46" s="172" t="s">
        <v>215</v>
      </c>
      <c r="E46" s="172">
        <v>7.5849664042792499E-4</v>
      </c>
      <c r="F46" s="172">
        <v>59</v>
      </c>
      <c r="G46" s="172">
        <v>21</v>
      </c>
      <c r="H46" s="172">
        <v>0</v>
      </c>
      <c r="I46" s="172">
        <v>21.5</v>
      </c>
    </row>
    <row r="47" spans="2:9" hidden="1" x14ac:dyDescent="0.3">
      <c r="B47" s="172" t="s">
        <v>179</v>
      </c>
      <c r="C47" s="172" t="s">
        <v>80</v>
      </c>
      <c r="D47" s="172" t="s">
        <v>218</v>
      </c>
      <c r="E47" s="172">
        <v>1.84487046984799E-4</v>
      </c>
      <c r="F47" s="172">
        <v>59</v>
      </c>
      <c r="G47" s="172">
        <v>21</v>
      </c>
      <c r="H47" s="172">
        <v>0</v>
      </c>
      <c r="I47" s="172">
        <v>21.5</v>
      </c>
    </row>
    <row r="48" spans="2:9" hidden="1" x14ac:dyDescent="0.3">
      <c r="B48" s="172" t="s">
        <v>179</v>
      </c>
      <c r="C48" s="172" t="s">
        <v>81</v>
      </c>
      <c r="D48" s="172" t="s">
        <v>218</v>
      </c>
      <c r="E48" s="172">
        <v>1.10364630983959E-3</v>
      </c>
      <c r="F48" s="172">
        <v>59</v>
      </c>
      <c r="G48" s="172">
        <v>21</v>
      </c>
      <c r="H48" s="172">
        <v>0</v>
      </c>
      <c r="I48" s="172">
        <v>21.5</v>
      </c>
    </row>
    <row r="49" spans="2:9" hidden="1" x14ac:dyDescent="0.3">
      <c r="B49" s="172" t="s">
        <v>179</v>
      </c>
      <c r="C49" s="172" t="s">
        <v>82</v>
      </c>
      <c r="D49" s="172" t="s">
        <v>218</v>
      </c>
      <c r="E49" s="172">
        <v>9.9584520351915398E-4</v>
      </c>
      <c r="F49" s="172">
        <v>21</v>
      </c>
      <c r="G49" s="172">
        <v>0</v>
      </c>
      <c r="H49" s="172">
        <v>15</v>
      </c>
      <c r="I49" s="172">
        <v>21.5</v>
      </c>
    </row>
    <row r="50" spans="2:9" hidden="1" x14ac:dyDescent="0.3">
      <c r="B50" s="172" t="s">
        <v>179</v>
      </c>
      <c r="C50" s="172" t="s">
        <v>243</v>
      </c>
      <c r="D50" s="172" t="s">
        <v>215</v>
      </c>
      <c r="E50" s="172">
        <v>6.3423245555939005E-5</v>
      </c>
      <c r="F50" s="172">
        <v>59</v>
      </c>
      <c r="G50" s="172">
        <v>21</v>
      </c>
      <c r="H50" s="172">
        <v>0</v>
      </c>
      <c r="I50" s="172">
        <v>21.5</v>
      </c>
    </row>
    <row r="51" spans="2:9" x14ac:dyDescent="0.3">
      <c r="B51" s="172" t="s">
        <v>39</v>
      </c>
      <c r="C51" s="172" t="s">
        <v>79</v>
      </c>
      <c r="D51" s="172" t="s">
        <v>215</v>
      </c>
      <c r="E51" s="172">
        <v>8.3814112846233803E-4</v>
      </c>
      <c r="F51" s="172">
        <v>69</v>
      </c>
      <c r="G51" s="172">
        <v>16.25</v>
      </c>
      <c r="H51" s="172">
        <v>15.3</v>
      </c>
      <c r="I51" s="172">
        <v>18</v>
      </c>
    </row>
    <row r="52" spans="2:9" hidden="1" x14ac:dyDescent="0.3">
      <c r="B52" s="172" t="s">
        <v>39</v>
      </c>
      <c r="C52" s="172" t="s">
        <v>79</v>
      </c>
      <c r="D52" s="172" t="s">
        <v>218</v>
      </c>
      <c r="E52" s="172">
        <v>1.76171227829516E-4</v>
      </c>
      <c r="F52" s="172">
        <v>21</v>
      </c>
      <c r="G52" s="172">
        <v>0</v>
      </c>
      <c r="H52" s="172">
        <v>15</v>
      </c>
      <c r="I52" s="172">
        <v>18</v>
      </c>
    </row>
    <row r="53" spans="2:9" hidden="1" x14ac:dyDescent="0.3">
      <c r="B53" s="172" t="s">
        <v>39</v>
      </c>
      <c r="C53" s="172" t="s">
        <v>80</v>
      </c>
      <c r="D53" s="172" t="s">
        <v>215</v>
      </c>
      <c r="E53" s="172">
        <v>8.1673204890456597E-4</v>
      </c>
      <c r="F53" s="172">
        <v>59</v>
      </c>
      <c r="G53" s="172">
        <v>21</v>
      </c>
      <c r="H53" s="172">
        <v>0</v>
      </c>
      <c r="I53" s="172">
        <v>18</v>
      </c>
    </row>
    <row r="54" spans="2:9" hidden="1" x14ac:dyDescent="0.3">
      <c r="B54" s="172" t="s">
        <v>39</v>
      </c>
      <c r="C54" s="172" t="s">
        <v>80</v>
      </c>
      <c r="D54" s="172" t="s">
        <v>218</v>
      </c>
      <c r="E54" s="172">
        <v>1.82374351903291E-4</v>
      </c>
      <c r="F54" s="172">
        <v>59</v>
      </c>
      <c r="G54" s="172">
        <v>21</v>
      </c>
      <c r="H54" s="172">
        <v>0</v>
      </c>
      <c r="I54" s="172">
        <v>18</v>
      </c>
    </row>
    <row r="55" spans="2:9" hidden="1" x14ac:dyDescent="0.3">
      <c r="B55" s="172" t="s">
        <v>39</v>
      </c>
      <c r="C55" s="172" t="s">
        <v>81</v>
      </c>
      <c r="D55" s="172" t="s">
        <v>218</v>
      </c>
      <c r="E55" s="172">
        <v>1.1676574589086E-3</v>
      </c>
      <c r="F55" s="172">
        <v>59</v>
      </c>
      <c r="G55" s="172">
        <v>21</v>
      </c>
      <c r="H55" s="172">
        <v>0</v>
      </c>
      <c r="I55" s="172">
        <v>18</v>
      </c>
    </row>
    <row r="56" spans="2:9" hidden="1" x14ac:dyDescent="0.3">
      <c r="B56" s="172" t="s">
        <v>39</v>
      </c>
      <c r="C56" s="172" t="s">
        <v>82</v>
      </c>
      <c r="D56" s="172" t="s">
        <v>218</v>
      </c>
      <c r="E56" s="172">
        <v>1.0885515500588801E-3</v>
      </c>
      <c r="F56" s="172">
        <v>21</v>
      </c>
      <c r="G56" s="172">
        <v>0</v>
      </c>
      <c r="H56" s="172">
        <v>15</v>
      </c>
      <c r="I56" s="172">
        <v>18</v>
      </c>
    </row>
    <row r="57" spans="2:9" hidden="1" x14ac:dyDescent="0.3">
      <c r="B57" s="172" t="s">
        <v>39</v>
      </c>
      <c r="C57" s="172" t="s">
        <v>243</v>
      </c>
      <c r="D57" s="172" t="s">
        <v>215</v>
      </c>
      <c r="E57" s="172">
        <v>6.3000027829239103E-5</v>
      </c>
      <c r="F57" s="172">
        <v>59</v>
      </c>
      <c r="G57" s="172">
        <v>21</v>
      </c>
      <c r="H57" s="172">
        <v>0</v>
      </c>
      <c r="I57" s="172">
        <v>18</v>
      </c>
    </row>
    <row r="58" spans="2:9" x14ac:dyDescent="0.3">
      <c r="B58" s="172" t="s">
        <v>26</v>
      </c>
      <c r="C58" s="172" t="s">
        <v>79</v>
      </c>
      <c r="D58" s="172" t="s">
        <v>215</v>
      </c>
      <c r="E58" s="172">
        <v>9.0204322797912803E-4</v>
      </c>
      <c r="F58" s="172">
        <v>69</v>
      </c>
      <c r="G58" s="172">
        <v>16.25</v>
      </c>
      <c r="H58" s="172">
        <v>15.3</v>
      </c>
      <c r="I58" s="172">
        <v>14.5</v>
      </c>
    </row>
    <row r="59" spans="2:9" hidden="1" x14ac:dyDescent="0.3">
      <c r="B59" s="172" t="s">
        <v>26</v>
      </c>
      <c r="C59" s="172" t="s">
        <v>79</v>
      </c>
      <c r="D59" s="172" t="s">
        <v>218</v>
      </c>
      <c r="E59" s="172">
        <v>1.98155138609731E-4</v>
      </c>
      <c r="F59" s="172">
        <v>21</v>
      </c>
      <c r="G59" s="172">
        <v>0</v>
      </c>
      <c r="H59" s="172">
        <v>15</v>
      </c>
      <c r="I59" s="172">
        <v>14.5</v>
      </c>
    </row>
    <row r="60" spans="2:9" hidden="1" x14ac:dyDescent="0.3">
      <c r="B60" s="172" t="s">
        <v>26</v>
      </c>
      <c r="C60" s="172" t="s">
        <v>80</v>
      </c>
      <c r="D60" s="172" t="s">
        <v>215</v>
      </c>
      <c r="E60" s="172">
        <v>8.5777958299234301E-4</v>
      </c>
      <c r="F60" s="172">
        <v>59</v>
      </c>
      <c r="G60" s="172">
        <v>21</v>
      </c>
      <c r="H60" s="172">
        <v>0</v>
      </c>
      <c r="I60" s="172">
        <v>14.5</v>
      </c>
    </row>
    <row r="61" spans="2:9" hidden="1" x14ac:dyDescent="0.3">
      <c r="B61" s="172" t="s">
        <v>26</v>
      </c>
      <c r="C61" s="172" t="s">
        <v>80</v>
      </c>
      <c r="D61" s="172" t="s">
        <v>218</v>
      </c>
      <c r="E61" s="172">
        <v>1.75519823455752E-4</v>
      </c>
      <c r="F61" s="172">
        <v>59</v>
      </c>
      <c r="G61" s="172">
        <v>21</v>
      </c>
      <c r="H61" s="172">
        <v>0</v>
      </c>
      <c r="I61" s="172">
        <v>14.5</v>
      </c>
    </row>
    <row r="62" spans="2:9" hidden="1" x14ac:dyDescent="0.3">
      <c r="B62" s="172" t="s">
        <v>26</v>
      </c>
      <c r="C62" s="172" t="s">
        <v>81</v>
      </c>
      <c r="D62" s="172" t="s">
        <v>218</v>
      </c>
      <c r="E62" s="172">
        <v>1.20961300971416E-3</v>
      </c>
      <c r="F62" s="172">
        <v>59</v>
      </c>
      <c r="G62" s="172">
        <v>21</v>
      </c>
      <c r="H62" s="172">
        <v>0</v>
      </c>
      <c r="I62" s="172">
        <v>14.5</v>
      </c>
    </row>
    <row r="63" spans="2:9" hidden="1" x14ac:dyDescent="0.3">
      <c r="B63" s="172" t="s">
        <v>26</v>
      </c>
      <c r="C63" s="172" t="s">
        <v>82</v>
      </c>
      <c r="D63" s="172" t="s">
        <v>218</v>
      </c>
      <c r="E63" s="172">
        <v>1.1623815379566301E-3</v>
      </c>
      <c r="F63" s="172">
        <v>21</v>
      </c>
      <c r="G63" s="172">
        <v>0</v>
      </c>
      <c r="H63" s="172">
        <v>15</v>
      </c>
      <c r="I63" s="172">
        <v>14.5</v>
      </c>
    </row>
    <row r="64" spans="2:9" hidden="1" x14ac:dyDescent="0.3">
      <c r="B64" s="172" t="s">
        <v>26</v>
      </c>
      <c r="C64" s="172" t="s">
        <v>243</v>
      </c>
      <c r="D64" s="172" t="s">
        <v>215</v>
      </c>
      <c r="E64" s="172">
        <v>5.9348950573737001E-5</v>
      </c>
      <c r="F64" s="172">
        <v>59</v>
      </c>
      <c r="G64" s="172">
        <v>21</v>
      </c>
      <c r="H64" s="172">
        <v>0</v>
      </c>
      <c r="I64" s="172">
        <v>14.5</v>
      </c>
    </row>
    <row r="65" spans="2:9" x14ac:dyDescent="0.3">
      <c r="B65" s="172" t="s">
        <v>25</v>
      </c>
      <c r="C65" s="172" t="s">
        <v>79</v>
      </c>
      <c r="D65" s="172" t="s">
        <v>215</v>
      </c>
      <c r="E65" s="172">
        <v>9.5542481481134098E-4</v>
      </c>
      <c r="F65" s="172">
        <v>69</v>
      </c>
      <c r="G65" s="172">
        <v>16.25</v>
      </c>
      <c r="H65" s="172">
        <v>15.3</v>
      </c>
      <c r="I65" s="172">
        <v>11</v>
      </c>
    </row>
    <row r="66" spans="2:9" hidden="1" x14ac:dyDescent="0.3">
      <c r="B66" s="172" t="s">
        <v>25</v>
      </c>
      <c r="C66" s="172" t="s">
        <v>79</v>
      </c>
      <c r="D66" s="172" t="s">
        <v>218</v>
      </c>
      <c r="E66" s="172">
        <v>2.0955450453731401E-4</v>
      </c>
      <c r="F66" s="172">
        <v>21</v>
      </c>
      <c r="G66" s="172">
        <v>0</v>
      </c>
      <c r="H66" s="172">
        <v>15</v>
      </c>
      <c r="I66" s="172">
        <v>11</v>
      </c>
    </row>
    <row r="67" spans="2:9" hidden="1" x14ac:dyDescent="0.3">
      <c r="B67" s="172" t="s">
        <v>25</v>
      </c>
      <c r="C67" s="172" t="s">
        <v>80</v>
      </c>
      <c r="D67" s="172" t="s">
        <v>215</v>
      </c>
      <c r="E67" s="172">
        <v>9.0040037011278004E-4</v>
      </c>
      <c r="F67" s="172">
        <v>59</v>
      </c>
      <c r="G67" s="172">
        <v>21</v>
      </c>
      <c r="H67" s="172">
        <v>0</v>
      </c>
      <c r="I67" s="172">
        <v>11</v>
      </c>
    </row>
    <row r="68" spans="2:9" hidden="1" x14ac:dyDescent="0.3">
      <c r="B68" s="172" t="s">
        <v>25</v>
      </c>
      <c r="C68" s="172" t="s">
        <v>80</v>
      </c>
      <c r="D68" s="172" t="s">
        <v>218</v>
      </c>
      <c r="E68" s="172">
        <v>1.73107949666797E-4</v>
      </c>
      <c r="F68" s="172">
        <v>59</v>
      </c>
      <c r="G68" s="172">
        <v>21</v>
      </c>
      <c r="H68" s="172">
        <v>0</v>
      </c>
      <c r="I68" s="172">
        <v>11</v>
      </c>
    </row>
    <row r="69" spans="2:9" hidden="1" x14ac:dyDescent="0.3">
      <c r="B69" s="172" t="s">
        <v>25</v>
      </c>
      <c r="C69" s="172" t="s">
        <v>81</v>
      </c>
      <c r="D69" s="172" t="s">
        <v>218</v>
      </c>
      <c r="E69" s="172">
        <v>1.2310530617680401E-3</v>
      </c>
      <c r="F69" s="172">
        <v>59</v>
      </c>
      <c r="G69" s="172">
        <v>21</v>
      </c>
      <c r="H69" s="172">
        <v>0</v>
      </c>
      <c r="I69" s="172">
        <v>11</v>
      </c>
    </row>
    <row r="70" spans="2:9" hidden="1" x14ac:dyDescent="0.3">
      <c r="B70" s="172" t="s">
        <v>25</v>
      </c>
      <c r="C70" s="172" t="s">
        <v>82</v>
      </c>
      <c r="D70" s="172" t="s">
        <v>215</v>
      </c>
      <c r="E70" s="172">
        <v>1.9865725607376799E-4</v>
      </c>
      <c r="F70" s="172">
        <v>69</v>
      </c>
      <c r="G70" s="172">
        <v>16.25</v>
      </c>
      <c r="H70" s="172">
        <v>15.3</v>
      </c>
      <c r="I70" s="172">
        <v>11</v>
      </c>
    </row>
    <row r="71" spans="2:9" hidden="1" x14ac:dyDescent="0.3">
      <c r="B71" s="172" t="s">
        <v>25</v>
      </c>
      <c r="C71" s="172" t="s">
        <v>82</v>
      </c>
      <c r="D71" s="172" t="s">
        <v>218</v>
      </c>
      <c r="E71" s="172">
        <v>1.2146949350627201E-3</v>
      </c>
      <c r="F71" s="172">
        <v>21</v>
      </c>
      <c r="G71" s="172">
        <v>0</v>
      </c>
      <c r="H71" s="172">
        <v>15</v>
      </c>
      <c r="I71" s="172">
        <v>11</v>
      </c>
    </row>
    <row r="72" spans="2:9" hidden="1" x14ac:dyDescent="0.3">
      <c r="B72" s="172" t="s">
        <v>25</v>
      </c>
      <c r="C72" s="172" t="s">
        <v>243</v>
      </c>
      <c r="D72" s="172" t="s">
        <v>215</v>
      </c>
      <c r="E72" s="172">
        <v>4.4331337195698697E-5</v>
      </c>
      <c r="F72" s="172">
        <v>59</v>
      </c>
      <c r="G72" s="172">
        <v>21</v>
      </c>
      <c r="H72" s="172">
        <v>0</v>
      </c>
      <c r="I72" s="172">
        <v>11</v>
      </c>
    </row>
    <row r="73" spans="2:9" x14ac:dyDescent="0.3">
      <c r="B73" s="172" t="s">
        <v>24</v>
      </c>
      <c r="C73" s="172" t="s">
        <v>79</v>
      </c>
      <c r="D73" s="172" t="s">
        <v>215</v>
      </c>
      <c r="E73" s="172">
        <v>9.8639713299354908E-4</v>
      </c>
      <c r="F73" s="172">
        <v>69</v>
      </c>
      <c r="G73" s="172">
        <v>16.25</v>
      </c>
      <c r="H73" s="172">
        <v>15.3</v>
      </c>
      <c r="I73" s="172">
        <v>7.5</v>
      </c>
    </row>
    <row r="74" spans="2:9" hidden="1" x14ac:dyDescent="0.3">
      <c r="B74" s="172" t="s">
        <v>24</v>
      </c>
      <c r="C74" s="172" t="s">
        <v>79</v>
      </c>
      <c r="D74" s="172" t="s">
        <v>218</v>
      </c>
      <c r="E74" s="172">
        <v>2.13480686400766E-4</v>
      </c>
      <c r="F74" s="172">
        <v>21</v>
      </c>
      <c r="G74" s="172">
        <v>0</v>
      </c>
      <c r="H74" s="172">
        <v>15</v>
      </c>
      <c r="I74" s="172">
        <v>7.5</v>
      </c>
    </row>
    <row r="75" spans="2:9" hidden="1" x14ac:dyDescent="0.3">
      <c r="B75" s="172" t="s">
        <v>24</v>
      </c>
      <c r="C75" s="172" t="s">
        <v>80</v>
      </c>
      <c r="D75" s="172" t="s">
        <v>215</v>
      </c>
      <c r="E75" s="172">
        <v>9.2055185657962605E-4</v>
      </c>
      <c r="F75" s="172">
        <v>59</v>
      </c>
      <c r="G75" s="172">
        <v>21</v>
      </c>
      <c r="H75" s="172">
        <v>0</v>
      </c>
      <c r="I75" s="172">
        <v>7.5</v>
      </c>
    </row>
    <row r="76" spans="2:9" hidden="1" x14ac:dyDescent="0.3">
      <c r="B76" s="172" t="s">
        <v>24</v>
      </c>
      <c r="C76" s="172" t="s">
        <v>80</v>
      </c>
      <c r="D76" s="172" t="s">
        <v>218</v>
      </c>
      <c r="E76" s="172">
        <v>1.65886619964838E-4</v>
      </c>
      <c r="F76" s="172">
        <v>59</v>
      </c>
      <c r="G76" s="172">
        <v>21</v>
      </c>
      <c r="H76" s="172">
        <v>0</v>
      </c>
      <c r="I76" s="172">
        <v>7.5</v>
      </c>
    </row>
    <row r="77" spans="2:9" hidden="1" x14ac:dyDescent="0.3">
      <c r="B77" s="172" t="s">
        <v>24</v>
      </c>
      <c r="C77" s="172" t="s">
        <v>81</v>
      </c>
      <c r="D77" s="172" t="s">
        <v>218</v>
      </c>
      <c r="E77" s="172">
        <v>1.21361599958783E-3</v>
      </c>
      <c r="F77" s="172">
        <v>59</v>
      </c>
      <c r="G77" s="172">
        <v>21</v>
      </c>
      <c r="H77" s="172">
        <v>0</v>
      </c>
      <c r="I77" s="172">
        <v>7.5</v>
      </c>
    </row>
    <row r="78" spans="2:9" hidden="1" x14ac:dyDescent="0.3">
      <c r="B78" s="172" t="s">
        <v>24</v>
      </c>
      <c r="C78" s="172" t="s">
        <v>82</v>
      </c>
      <c r="D78" s="172" t="s">
        <v>215</v>
      </c>
      <c r="E78" s="172">
        <v>2.1466826491485901E-4</v>
      </c>
      <c r="F78" s="172">
        <v>69</v>
      </c>
      <c r="G78" s="172">
        <v>16.25</v>
      </c>
      <c r="H78" s="172">
        <v>15.3</v>
      </c>
      <c r="I78" s="172">
        <v>7.5</v>
      </c>
    </row>
    <row r="79" spans="2:9" hidden="1" x14ac:dyDescent="0.3">
      <c r="B79" s="172" t="s">
        <v>24</v>
      </c>
      <c r="C79" s="172" t="s">
        <v>82</v>
      </c>
      <c r="D79" s="172" t="s">
        <v>218</v>
      </c>
      <c r="E79" s="172">
        <v>1.23056873048441E-3</v>
      </c>
      <c r="F79" s="172">
        <v>21</v>
      </c>
      <c r="G79" s="172">
        <v>0</v>
      </c>
      <c r="H79" s="172">
        <v>15</v>
      </c>
      <c r="I79" s="172">
        <v>7.5</v>
      </c>
    </row>
    <row r="80" spans="2:9" hidden="1" x14ac:dyDescent="0.3">
      <c r="B80" s="172" t="s">
        <v>24</v>
      </c>
      <c r="C80" s="172" t="s">
        <v>243</v>
      </c>
      <c r="D80" s="172" t="s">
        <v>215</v>
      </c>
      <c r="E80" s="172">
        <v>2.4837606182569601E-5</v>
      </c>
      <c r="F80" s="172">
        <v>59</v>
      </c>
      <c r="G80" s="172">
        <v>21</v>
      </c>
      <c r="H80" s="172">
        <v>0</v>
      </c>
      <c r="I80" s="172">
        <v>7.5</v>
      </c>
    </row>
    <row r="81" spans="2:9" x14ac:dyDescent="0.3">
      <c r="B81" s="172" t="s">
        <v>22</v>
      </c>
      <c r="C81" s="172" t="s">
        <v>79</v>
      </c>
      <c r="D81" s="172" t="s">
        <v>215</v>
      </c>
      <c r="E81" s="172">
        <v>8.3869050415027199E-4</v>
      </c>
      <c r="F81" s="172">
        <v>33</v>
      </c>
      <c r="G81" s="172">
        <v>16</v>
      </c>
      <c r="H81" s="172">
        <v>15</v>
      </c>
      <c r="I81" s="172">
        <v>4</v>
      </c>
    </row>
    <row r="82" spans="2:9" hidden="1" x14ac:dyDescent="0.3">
      <c r="B82" s="172" t="s">
        <v>22</v>
      </c>
      <c r="C82" s="172" t="s">
        <v>79</v>
      </c>
      <c r="D82" s="172" t="s">
        <v>218</v>
      </c>
      <c r="E82" s="172">
        <v>1.65191708548602E-4</v>
      </c>
      <c r="F82" s="172">
        <v>21</v>
      </c>
      <c r="G82" s="172">
        <v>0</v>
      </c>
      <c r="H82" s="172">
        <v>15</v>
      </c>
      <c r="I82" s="172">
        <v>4</v>
      </c>
    </row>
    <row r="83" spans="2:9" hidden="1" x14ac:dyDescent="0.3">
      <c r="B83" s="172" t="s">
        <v>22</v>
      </c>
      <c r="C83" s="172" t="s">
        <v>80</v>
      </c>
      <c r="D83" s="172" t="s">
        <v>215</v>
      </c>
      <c r="E83" s="172">
        <v>7.7940498946278702E-4</v>
      </c>
      <c r="F83" s="172">
        <v>59</v>
      </c>
      <c r="G83" s="172">
        <v>21</v>
      </c>
      <c r="H83" s="172">
        <v>0</v>
      </c>
      <c r="I83" s="172">
        <v>4</v>
      </c>
    </row>
    <row r="84" spans="2:9" hidden="1" x14ac:dyDescent="0.3">
      <c r="B84" s="172" t="s">
        <v>22</v>
      </c>
      <c r="C84" s="172" t="s">
        <v>80</v>
      </c>
      <c r="D84" s="172" t="s">
        <v>218</v>
      </c>
      <c r="E84" s="172">
        <v>1.3361382385944701E-4</v>
      </c>
      <c r="F84" s="172">
        <v>59</v>
      </c>
      <c r="G84" s="172">
        <v>21</v>
      </c>
      <c r="H84" s="172">
        <v>0</v>
      </c>
      <c r="I84" s="172">
        <v>4</v>
      </c>
    </row>
    <row r="85" spans="2:9" hidden="1" x14ac:dyDescent="0.3">
      <c r="B85" s="172" t="s">
        <v>22</v>
      </c>
      <c r="C85" s="172" t="s">
        <v>81</v>
      </c>
      <c r="D85" s="172" t="s">
        <v>218</v>
      </c>
      <c r="E85" s="172">
        <v>9.4808030541592998E-4</v>
      </c>
      <c r="F85" s="172">
        <v>59</v>
      </c>
      <c r="G85" s="172">
        <v>21</v>
      </c>
      <c r="H85" s="172">
        <v>0</v>
      </c>
      <c r="I85" s="172">
        <v>4</v>
      </c>
    </row>
    <row r="86" spans="2:9" hidden="1" x14ac:dyDescent="0.3">
      <c r="B86" s="172" t="s">
        <v>22</v>
      </c>
      <c r="C86" s="172" t="s">
        <v>82</v>
      </c>
      <c r="D86" s="172" t="s">
        <v>215</v>
      </c>
      <c r="E86" s="172">
        <v>1.8416222723451899E-4</v>
      </c>
      <c r="F86" s="172">
        <v>33</v>
      </c>
      <c r="G86" s="172">
        <v>16</v>
      </c>
      <c r="H86" s="172">
        <v>15</v>
      </c>
      <c r="I86" s="172">
        <v>4</v>
      </c>
    </row>
    <row r="87" spans="2:9" hidden="1" x14ac:dyDescent="0.3">
      <c r="B87" s="172" t="s">
        <v>22</v>
      </c>
      <c r="C87" s="172" t="s">
        <v>82</v>
      </c>
      <c r="D87" s="172" t="s">
        <v>218</v>
      </c>
      <c r="E87" s="172">
        <v>9.8880847842734406E-4</v>
      </c>
      <c r="F87" s="172">
        <v>21</v>
      </c>
      <c r="G87" s="172">
        <v>0</v>
      </c>
      <c r="H87" s="172">
        <v>15</v>
      </c>
      <c r="I87" s="172">
        <v>4</v>
      </c>
    </row>
    <row r="88" spans="2:9" hidden="1" x14ac:dyDescent="0.3">
      <c r="B88" s="172" t="s">
        <v>22</v>
      </c>
      <c r="C88" s="172" t="s">
        <v>243</v>
      </c>
      <c r="D88" s="172" t="s">
        <v>215</v>
      </c>
      <c r="E88" s="172">
        <v>7.4359108783468897E-6</v>
      </c>
      <c r="F88" s="172">
        <v>59</v>
      </c>
      <c r="G88" s="172">
        <v>21</v>
      </c>
      <c r="H88" s="172">
        <v>0</v>
      </c>
      <c r="I88" s="172">
        <v>4</v>
      </c>
    </row>
    <row r="89" spans="2:9" hidden="1" x14ac:dyDescent="0.3">
      <c r="B89" s="172"/>
      <c r="C89" s="172"/>
      <c r="D89" s="172"/>
      <c r="E89" s="172"/>
      <c r="F89" s="172"/>
      <c r="G89" s="172"/>
      <c r="H89" s="172"/>
      <c r="I89" s="172"/>
    </row>
    <row r="90" spans="2:9" hidden="1" x14ac:dyDescent="0.3">
      <c r="B90" s="172"/>
      <c r="C90" s="172"/>
      <c r="D90" s="172"/>
      <c r="E90" s="172"/>
      <c r="F90" s="172"/>
      <c r="G90" s="172"/>
      <c r="H90" s="172"/>
      <c r="I90" s="172"/>
    </row>
    <row r="91" spans="2:9" hidden="1" x14ac:dyDescent="0.3">
      <c r="B91" s="172"/>
      <c r="C91" s="172"/>
      <c r="D91" s="172"/>
      <c r="E91" s="172"/>
      <c r="F91" s="172"/>
      <c r="G91" s="172"/>
      <c r="H91" s="172"/>
      <c r="I91" s="172"/>
    </row>
    <row r="92" spans="2:9" hidden="1" x14ac:dyDescent="0.3">
      <c r="B92" s="172"/>
      <c r="C92" s="172"/>
      <c r="D92" s="172"/>
      <c r="E92" s="172"/>
      <c r="F92" s="172"/>
      <c r="G92" s="172"/>
      <c r="H92" s="172"/>
      <c r="I92" s="172"/>
    </row>
    <row r="93" spans="2:9" hidden="1" x14ac:dyDescent="0.3">
      <c r="B93" s="172"/>
      <c r="C93" s="172"/>
      <c r="D93" s="172"/>
      <c r="E93" s="172"/>
      <c r="F93" s="172"/>
      <c r="G93" s="172"/>
      <c r="H93" s="172"/>
      <c r="I93" s="172"/>
    </row>
    <row r="94" spans="2:9" hidden="1" x14ac:dyDescent="0.3">
      <c r="B94" s="172"/>
      <c r="C94" s="172"/>
      <c r="D94" s="172"/>
      <c r="E94" s="172"/>
      <c r="F94" s="172"/>
      <c r="G94" s="172"/>
      <c r="H94" s="172"/>
      <c r="I94" s="172"/>
    </row>
    <row r="95" spans="2:9" hidden="1" x14ac:dyDescent="0.3">
      <c r="B95" s="172"/>
      <c r="C95" s="172"/>
      <c r="D95" s="172"/>
      <c r="E95" s="172"/>
      <c r="F95" s="172"/>
      <c r="G95" s="172"/>
      <c r="H95" s="172"/>
      <c r="I95" s="172"/>
    </row>
    <row r="96" spans="2:9" hidden="1" x14ac:dyDescent="0.3">
      <c r="B96" s="172"/>
      <c r="C96" s="172"/>
      <c r="D96" s="172"/>
      <c r="E96" s="172"/>
      <c r="F96" s="172"/>
      <c r="G96" s="172"/>
      <c r="H96" s="172"/>
      <c r="I96" s="172"/>
    </row>
    <row r="97" spans="2:9" hidden="1" x14ac:dyDescent="0.3">
      <c r="B97" s="172"/>
      <c r="C97" s="172"/>
      <c r="D97" s="172"/>
      <c r="E97" s="172"/>
      <c r="F97" s="172"/>
      <c r="G97" s="172"/>
      <c r="H97" s="172"/>
      <c r="I97" s="172"/>
    </row>
    <row r="98" spans="2:9" hidden="1" x14ac:dyDescent="0.3">
      <c r="B98" s="172"/>
      <c r="C98" s="172"/>
      <c r="D98" s="172"/>
      <c r="E98" s="172"/>
      <c r="F98" s="172"/>
      <c r="G98" s="172"/>
      <c r="H98" s="172"/>
      <c r="I98" s="172"/>
    </row>
    <row r="99" spans="2:9" hidden="1" x14ac:dyDescent="0.3">
      <c r="B99" s="172"/>
      <c r="C99" s="172"/>
      <c r="D99" s="172"/>
      <c r="E99" s="172"/>
      <c r="F99" s="172"/>
      <c r="G99" s="172"/>
      <c r="H99" s="172"/>
      <c r="I99" s="172"/>
    </row>
    <row r="100" spans="2:9" hidden="1" x14ac:dyDescent="0.3">
      <c r="B100" s="172"/>
      <c r="C100" s="172"/>
      <c r="D100" s="172"/>
      <c r="E100" s="172"/>
      <c r="F100" s="172"/>
      <c r="G100" s="172"/>
      <c r="H100" s="172"/>
      <c r="I100" s="172"/>
    </row>
    <row r="101" spans="2:9" hidden="1" x14ac:dyDescent="0.3">
      <c r="B101" s="172"/>
      <c r="C101" s="172"/>
      <c r="D101" s="172"/>
      <c r="E101" s="172"/>
      <c r="F101" s="172"/>
      <c r="G101" s="172"/>
      <c r="H101" s="172"/>
      <c r="I101" s="172"/>
    </row>
    <row r="102" spans="2:9" hidden="1" x14ac:dyDescent="0.3">
      <c r="B102" s="172"/>
      <c r="C102" s="172"/>
      <c r="D102" s="172"/>
      <c r="E102" s="172"/>
      <c r="F102" s="172"/>
      <c r="G102" s="172"/>
      <c r="H102" s="172"/>
      <c r="I102" s="172"/>
    </row>
    <row r="103" spans="2:9" hidden="1" x14ac:dyDescent="0.3">
      <c r="B103" s="172"/>
      <c r="C103" s="172"/>
      <c r="D103" s="172"/>
      <c r="E103" s="172"/>
      <c r="F103" s="172"/>
      <c r="G103" s="172"/>
      <c r="H103" s="172"/>
      <c r="I103" s="172"/>
    </row>
    <row r="104" spans="2:9" hidden="1" x14ac:dyDescent="0.3">
      <c r="B104" s="172"/>
      <c r="C104" s="172"/>
      <c r="D104" s="172"/>
      <c r="E104" s="172"/>
      <c r="F104" s="172"/>
      <c r="G104" s="172"/>
      <c r="H104" s="172"/>
      <c r="I104" s="172"/>
    </row>
    <row r="105" spans="2:9" hidden="1" x14ac:dyDescent="0.3">
      <c r="B105" s="172"/>
      <c r="C105" s="172"/>
      <c r="D105" s="172"/>
      <c r="E105" s="172"/>
      <c r="F105" s="172"/>
      <c r="G105" s="172"/>
      <c r="H105" s="172"/>
      <c r="I105" s="172"/>
    </row>
    <row r="106" spans="2:9" hidden="1" x14ac:dyDescent="0.3">
      <c r="B106" s="172"/>
      <c r="C106" s="172"/>
      <c r="D106" s="172"/>
      <c r="E106" s="172"/>
      <c r="F106" s="172"/>
      <c r="G106" s="172"/>
      <c r="H106" s="172"/>
      <c r="I106" s="172"/>
    </row>
    <row r="107" spans="2:9" hidden="1" x14ac:dyDescent="0.3">
      <c r="B107" s="172"/>
      <c r="C107" s="172"/>
      <c r="D107" s="172"/>
      <c r="E107" s="172"/>
      <c r="F107" s="172"/>
      <c r="G107" s="172"/>
      <c r="H107" s="172"/>
      <c r="I107" s="172"/>
    </row>
    <row r="108" spans="2:9" hidden="1" x14ac:dyDescent="0.3">
      <c r="B108" s="172"/>
      <c r="C108" s="172"/>
      <c r="D108" s="172"/>
      <c r="E108" s="172"/>
      <c r="F108" s="172"/>
      <c r="G108" s="172"/>
      <c r="H108" s="172"/>
      <c r="I108" s="172"/>
    </row>
    <row r="109" spans="2:9" hidden="1" x14ac:dyDescent="0.3">
      <c r="B109" s="172"/>
      <c r="C109" s="172"/>
      <c r="D109" s="172"/>
      <c r="E109" s="172"/>
      <c r="F109" s="172"/>
      <c r="G109" s="172"/>
      <c r="H109" s="172"/>
      <c r="I109" s="172"/>
    </row>
    <row r="110" spans="2:9" x14ac:dyDescent="0.3">
      <c r="B110" s="172"/>
      <c r="C110" s="172"/>
      <c r="D110" s="172"/>
      <c r="E110" s="172"/>
      <c r="F110" s="172"/>
      <c r="G110" s="172"/>
      <c r="H110" s="172"/>
      <c r="I110" s="172"/>
    </row>
    <row r="111" spans="2:9" x14ac:dyDescent="0.3">
      <c r="B111" s="167" t="s">
        <v>248</v>
      </c>
      <c r="C111" s="168"/>
      <c r="D111" s="168"/>
      <c r="E111" s="168"/>
      <c r="F111" s="168"/>
      <c r="G111" s="168"/>
      <c r="H111" s="168"/>
      <c r="I111" s="168"/>
    </row>
    <row r="112" spans="2:9" x14ac:dyDescent="0.3">
      <c r="B112" s="169" t="s">
        <v>9</v>
      </c>
      <c r="C112" s="169" t="s">
        <v>46</v>
      </c>
      <c r="D112" s="169" t="s">
        <v>42</v>
      </c>
      <c r="E112" s="169" t="s">
        <v>249</v>
      </c>
      <c r="F112" s="169" t="s">
        <v>250</v>
      </c>
      <c r="G112" s="169" t="s">
        <v>215</v>
      </c>
      <c r="H112" s="169" t="s">
        <v>218</v>
      </c>
      <c r="I112" s="170" t="s">
        <v>203</v>
      </c>
    </row>
    <row r="113" spans="2:9" x14ac:dyDescent="0.3">
      <c r="B113" s="190"/>
      <c r="C113" s="190"/>
      <c r="D113" s="190"/>
      <c r="E113" s="190"/>
      <c r="F113" s="190"/>
      <c r="G113" s="190" t="s">
        <v>7</v>
      </c>
      <c r="H113" s="190" t="s">
        <v>7</v>
      </c>
      <c r="I113" s="191" t="s">
        <v>7</v>
      </c>
    </row>
    <row r="114" spans="2:9" s="172" customFormat="1" x14ac:dyDescent="0.3">
      <c r="B114" s="27" t="s">
        <v>251</v>
      </c>
      <c r="C114" s="27" t="s">
        <v>252</v>
      </c>
      <c r="D114" s="27" t="s">
        <v>253</v>
      </c>
      <c r="E114" s="27" t="s">
        <v>254</v>
      </c>
      <c r="F114" s="27" t="s">
        <v>255</v>
      </c>
      <c r="G114" s="27" t="s">
        <v>256</v>
      </c>
      <c r="H114" s="27" t="s">
        <v>257</v>
      </c>
      <c r="I114" s="27" t="s">
        <v>258</v>
      </c>
    </row>
    <row r="115" spans="2:9" hidden="1" x14ac:dyDescent="0.3">
      <c r="B115" s="172" t="s">
        <v>189</v>
      </c>
      <c r="C115" s="172" t="s">
        <v>79</v>
      </c>
      <c r="D115" s="172" t="s">
        <v>215</v>
      </c>
      <c r="E115" s="172">
        <v>2.22291767087146E-4</v>
      </c>
      <c r="F115" s="172">
        <v>30</v>
      </c>
      <c r="G115" s="172">
        <v>16</v>
      </c>
      <c r="H115" s="172">
        <v>0</v>
      </c>
      <c r="I115" s="172">
        <v>38.5</v>
      </c>
    </row>
    <row r="116" spans="2:9" s="172" customFormat="1" hidden="1" x14ac:dyDescent="0.3">
      <c r="B116" s="172" t="s">
        <v>189</v>
      </c>
      <c r="C116" s="172" t="s">
        <v>79</v>
      </c>
      <c r="D116" s="172" t="s">
        <v>218</v>
      </c>
      <c r="E116" s="172">
        <v>6.3542312843422198E-5</v>
      </c>
      <c r="F116" s="172">
        <v>59</v>
      </c>
      <c r="G116" s="172">
        <v>21</v>
      </c>
      <c r="H116" s="172">
        <v>0</v>
      </c>
      <c r="I116" s="172">
        <v>38.5</v>
      </c>
    </row>
    <row r="117" spans="2:9" x14ac:dyDescent="0.3">
      <c r="B117" s="172" t="s">
        <v>189</v>
      </c>
      <c r="C117" s="172" t="s">
        <v>80</v>
      </c>
      <c r="D117" s="172" t="s">
        <v>215</v>
      </c>
      <c r="E117" s="172">
        <v>2.43329727959041E-4</v>
      </c>
      <c r="F117" s="172">
        <v>30</v>
      </c>
      <c r="G117" s="172">
        <v>16</v>
      </c>
      <c r="H117" s="172">
        <v>0</v>
      </c>
      <c r="I117" s="172">
        <v>38.5</v>
      </c>
    </row>
    <row r="118" spans="2:9" s="172" customFormat="1" hidden="1" x14ac:dyDescent="0.3">
      <c r="B118" s="172" t="s">
        <v>189</v>
      </c>
      <c r="C118" s="172" t="s">
        <v>80</v>
      </c>
      <c r="D118" s="172" t="s">
        <v>218</v>
      </c>
      <c r="E118" s="172">
        <v>1.16725061257035E-4</v>
      </c>
      <c r="F118" s="172">
        <v>59</v>
      </c>
      <c r="G118" s="172">
        <v>21</v>
      </c>
      <c r="H118" s="172">
        <v>0</v>
      </c>
      <c r="I118" s="172">
        <v>38.5</v>
      </c>
    </row>
    <row r="119" spans="2:9" hidden="1" x14ac:dyDescent="0.3">
      <c r="B119" s="172" t="s">
        <v>189</v>
      </c>
      <c r="C119" s="172" t="s">
        <v>81</v>
      </c>
      <c r="D119" s="172" t="s">
        <v>215</v>
      </c>
      <c r="E119" s="172">
        <v>1.0526441584251E-4</v>
      </c>
      <c r="F119" s="172">
        <v>30</v>
      </c>
      <c r="G119" s="172">
        <v>16</v>
      </c>
      <c r="H119" s="172">
        <v>0</v>
      </c>
      <c r="I119" s="172">
        <v>38.5</v>
      </c>
    </row>
    <row r="120" spans="2:9" s="172" customFormat="1" hidden="1" x14ac:dyDescent="0.3">
      <c r="B120" s="172" t="s">
        <v>189</v>
      </c>
      <c r="C120" s="172" t="s">
        <v>81</v>
      </c>
      <c r="D120" s="172" t="s">
        <v>218</v>
      </c>
      <c r="E120" s="172">
        <v>5.3881830236663297E-4</v>
      </c>
      <c r="F120" s="172">
        <v>59</v>
      </c>
      <c r="G120" s="172">
        <v>21</v>
      </c>
      <c r="H120" s="172">
        <v>0</v>
      </c>
      <c r="I120" s="172">
        <v>38.5</v>
      </c>
    </row>
    <row r="121" spans="2:9" hidden="1" x14ac:dyDescent="0.3">
      <c r="B121" s="172" t="s">
        <v>189</v>
      </c>
      <c r="C121" s="172" t="s">
        <v>82</v>
      </c>
      <c r="D121" s="172" t="s">
        <v>215</v>
      </c>
      <c r="E121" s="172">
        <v>7.2448631866248704E-5</v>
      </c>
      <c r="F121" s="172">
        <v>30</v>
      </c>
      <c r="G121" s="172">
        <v>16</v>
      </c>
      <c r="H121" s="172">
        <v>0</v>
      </c>
      <c r="I121" s="172">
        <v>38.5</v>
      </c>
    </row>
    <row r="122" spans="2:9" s="172" customFormat="1" hidden="1" x14ac:dyDescent="0.3">
      <c r="B122" s="172" t="s">
        <v>189</v>
      </c>
      <c r="C122" s="172" t="s">
        <v>82</v>
      </c>
      <c r="D122" s="172" t="s">
        <v>218</v>
      </c>
      <c r="E122" s="172">
        <v>4.5761219498154099E-4</v>
      </c>
      <c r="F122" s="172">
        <v>59</v>
      </c>
      <c r="G122" s="172">
        <v>21</v>
      </c>
      <c r="H122" s="172">
        <v>0</v>
      </c>
      <c r="I122" s="172">
        <v>38.5</v>
      </c>
    </row>
    <row r="123" spans="2:9" hidden="1" x14ac:dyDescent="0.3">
      <c r="B123" s="172" t="s">
        <v>189</v>
      </c>
      <c r="C123" s="172" t="s">
        <v>243</v>
      </c>
      <c r="D123" s="172" t="s">
        <v>215</v>
      </c>
      <c r="E123" s="172">
        <v>4.0836523988468498E-4</v>
      </c>
      <c r="F123" s="172">
        <v>30</v>
      </c>
      <c r="G123" s="172">
        <v>16</v>
      </c>
      <c r="H123" s="172">
        <v>0</v>
      </c>
      <c r="I123" s="172">
        <v>38.5</v>
      </c>
    </row>
    <row r="124" spans="2:9" s="172" customFormat="1" hidden="1" x14ac:dyDescent="0.3">
      <c r="B124" s="172" t="s">
        <v>189</v>
      </c>
      <c r="C124" s="172" t="s">
        <v>243</v>
      </c>
      <c r="D124" s="172" t="s">
        <v>218</v>
      </c>
      <c r="E124" s="172">
        <v>2.6524155729516601E-4</v>
      </c>
      <c r="F124" s="172">
        <v>30</v>
      </c>
      <c r="G124" s="172">
        <v>16</v>
      </c>
      <c r="H124" s="172">
        <v>0</v>
      </c>
      <c r="I124" s="172">
        <v>38.5</v>
      </c>
    </row>
    <row r="125" spans="2:9" hidden="1" x14ac:dyDescent="0.3">
      <c r="B125" s="172" t="s">
        <v>187</v>
      </c>
      <c r="C125" s="172" t="s">
        <v>79</v>
      </c>
      <c r="D125" s="172" t="s">
        <v>215</v>
      </c>
      <c r="E125" s="172">
        <v>2.38234917259921E-4</v>
      </c>
      <c r="F125" s="172">
        <v>59</v>
      </c>
      <c r="G125" s="172">
        <v>21</v>
      </c>
      <c r="H125" s="172">
        <v>0</v>
      </c>
      <c r="I125" s="172">
        <v>35.5</v>
      </c>
    </row>
    <row r="126" spans="2:9" s="172" customFormat="1" hidden="1" x14ac:dyDescent="0.3">
      <c r="B126" s="172" t="s">
        <v>187</v>
      </c>
      <c r="C126" s="172" t="s">
        <v>79</v>
      </c>
      <c r="D126" s="172" t="s">
        <v>218</v>
      </c>
      <c r="E126" s="172">
        <v>5.2543930936159101E-5</v>
      </c>
      <c r="F126" s="172">
        <v>79</v>
      </c>
      <c r="G126" s="172">
        <v>21</v>
      </c>
      <c r="H126" s="172">
        <v>4</v>
      </c>
      <c r="I126" s="172">
        <v>35.5</v>
      </c>
    </row>
    <row r="127" spans="2:9" x14ac:dyDescent="0.3">
      <c r="B127" s="172" t="s">
        <v>187</v>
      </c>
      <c r="C127" s="172" t="s">
        <v>80</v>
      </c>
      <c r="D127" s="172" t="s">
        <v>215</v>
      </c>
      <c r="E127" s="172">
        <v>2.6919862808300499E-4</v>
      </c>
      <c r="F127" s="172">
        <v>59</v>
      </c>
      <c r="G127" s="172">
        <v>21</v>
      </c>
      <c r="H127" s="172">
        <v>0</v>
      </c>
      <c r="I127" s="172">
        <v>35.5</v>
      </c>
    </row>
    <row r="128" spans="2:9" s="172" customFormat="1" hidden="1" x14ac:dyDescent="0.3">
      <c r="B128" s="172" t="s">
        <v>187</v>
      </c>
      <c r="C128" s="172" t="s">
        <v>80</v>
      </c>
      <c r="D128" s="172" t="s">
        <v>218</v>
      </c>
      <c r="E128" s="172">
        <v>1.11803767190918E-4</v>
      </c>
      <c r="F128" s="172">
        <v>59</v>
      </c>
      <c r="G128" s="172">
        <v>21</v>
      </c>
      <c r="H128" s="172">
        <v>0</v>
      </c>
      <c r="I128" s="172">
        <v>35.5</v>
      </c>
    </row>
    <row r="129" spans="2:9" hidden="1" x14ac:dyDescent="0.3">
      <c r="B129" s="172" t="s">
        <v>187</v>
      </c>
      <c r="C129" s="172" t="s">
        <v>81</v>
      </c>
      <c r="D129" s="172" t="s">
        <v>218</v>
      </c>
      <c r="E129" s="172">
        <v>5.6040536704659205E-4</v>
      </c>
      <c r="F129" s="172">
        <v>59</v>
      </c>
      <c r="G129" s="172">
        <v>21</v>
      </c>
      <c r="H129" s="172">
        <v>0</v>
      </c>
      <c r="I129" s="172">
        <v>35.5</v>
      </c>
    </row>
    <row r="130" spans="2:9" s="172" customFormat="1" hidden="1" x14ac:dyDescent="0.3">
      <c r="B130" s="172" t="s">
        <v>187</v>
      </c>
      <c r="C130" s="172" t="s">
        <v>82</v>
      </c>
      <c r="D130" s="172" t="s">
        <v>218</v>
      </c>
      <c r="E130" s="172">
        <v>4.6957378806723298E-4</v>
      </c>
      <c r="F130" s="172">
        <v>59</v>
      </c>
      <c r="G130" s="172">
        <v>21</v>
      </c>
      <c r="H130" s="172">
        <v>0</v>
      </c>
      <c r="I130" s="172">
        <v>35.5</v>
      </c>
    </row>
    <row r="131" spans="2:9" hidden="1" x14ac:dyDescent="0.3">
      <c r="B131" s="172" t="s">
        <v>187</v>
      </c>
      <c r="C131" s="172" t="s">
        <v>243</v>
      </c>
      <c r="D131" s="172" t="s">
        <v>215</v>
      </c>
      <c r="E131" s="172">
        <v>7.4972068446876205E-5</v>
      </c>
      <c r="F131" s="172">
        <v>59</v>
      </c>
      <c r="G131" s="172">
        <v>21</v>
      </c>
      <c r="H131" s="172">
        <v>0</v>
      </c>
      <c r="I131" s="172">
        <v>35.5</v>
      </c>
    </row>
    <row r="132" spans="2:9" hidden="1" x14ac:dyDescent="0.3">
      <c r="B132" s="172" t="s">
        <v>185</v>
      </c>
      <c r="C132" s="172" t="s">
        <v>79</v>
      </c>
      <c r="D132" s="172" t="s">
        <v>215</v>
      </c>
      <c r="E132" s="172">
        <v>3.8964639712814699E-4</v>
      </c>
      <c r="F132" s="172">
        <v>69</v>
      </c>
      <c r="G132" s="172">
        <v>16.25</v>
      </c>
      <c r="H132" s="172">
        <v>15.3</v>
      </c>
      <c r="I132" s="172">
        <v>32</v>
      </c>
    </row>
    <row r="133" spans="2:9" hidden="1" x14ac:dyDescent="0.3">
      <c r="B133" s="172" t="s">
        <v>185</v>
      </c>
      <c r="C133" s="172" t="s">
        <v>79</v>
      </c>
      <c r="D133" s="172" t="s">
        <v>218</v>
      </c>
      <c r="E133" s="172">
        <v>7.8027390652308194E-5</v>
      </c>
      <c r="F133" s="172">
        <v>19</v>
      </c>
      <c r="G133" s="172">
        <v>0</v>
      </c>
      <c r="H133" s="172">
        <v>4</v>
      </c>
      <c r="I133" s="172">
        <v>32</v>
      </c>
    </row>
    <row r="134" spans="2:9" x14ac:dyDescent="0.3">
      <c r="B134" s="172" t="s">
        <v>185</v>
      </c>
      <c r="C134" s="172" t="s">
        <v>80</v>
      </c>
      <c r="D134" s="172" t="s">
        <v>215</v>
      </c>
      <c r="E134" s="172">
        <v>4.1567430115536301E-4</v>
      </c>
      <c r="F134" s="172">
        <v>59</v>
      </c>
      <c r="G134" s="172">
        <v>21</v>
      </c>
      <c r="H134" s="172">
        <v>0</v>
      </c>
      <c r="I134" s="172">
        <v>32</v>
      </c>
    </row>
    <row r="135" spans="2:9" hidden="1" x14ac:dyDescent="0.3">
      <c r="B135" s="172" t="s">
        <v>185</v>
      </c>
      <c r="C135" s="172" t="s">
        <v>80</v>
      </c>
      <c r="D135" s="172" t="s">
        <v>218</v>
      </c>
      <c r="E135" s="172">
        <v>1.3536159028888401E-4</v>
      </c>
      <c r="F135" s="172">
        <v>59</v>
      </c>
      <c r="G135" s="172">
        <v>21</v>
      </c>
      <c r="H135" s="172">
        <v>0</v>
      </c>
      <c r="I135" s="172">
        <v>32</v>
      </c>
    </row>
    <row r="136" spans="2:9" hidden="1" x14ac:dyDescent="0.3">
      <c r="B136" s="172" t="s">
        <v>185</v>
      </c>
      <c r="C136" s="172" t="s">
        <v>81</v>
      </c>
      <c r="D136" s="172" t="s">
        <v>218</v>
      </c>
      <c r="E136" s="172">
        <v>7.3583119096251495E-4</v>
      </c>
      <c r="F136" s="172">
        <v>59</v>
      </c>
      <c r="G136" s="172">
        <v>21</v>
      </c>
      <c r="H136" s="172">
        <v>0</v>
      </c>
      <c r="I136" s="172">
        <v>32</v>
      </c>
    </row>
    <row r="137" spans="2:9" hidden="1" x14ac:dyDescent="0.3">
      <c r="B137" s="172" t="s">
        <v>185</v>
      </c>
      <c r="C137" s="172" t="s">
        <v>82</v>
      </c>
      <c r="D137" s="172" t="s">
        <v>218</v>
      </c>
      <c r="E137" s="172">
        <v>6.0360916894947601E-4</v>
      </c>
      <c r="F137" s="172">
        <v>59</v>
      </c>
      <c r="G137" s="172">
        <v>21</v>
      </c>
      <c r="H137" s="172">
        <v>0</v>
      </c>
      <c r="I137" s="172">
        <v>32</v>
      </c>
    </row>
    <row r="138" spans="2:9" hidden="1" x14ac:dyDescent="0.3">
      <c r="B138" s="172" t="s">
        <v>185</v>
      </c>
      <c r="C138" s="172" t="s">
        <v>243</v>
      </c>
      <c r="D138" s="172" t="s">
        <v>215</v>
      </c>
      <c r="E138" s="172">
        <v>7.7646183740065597E-5</v>
      </c>
      <c r="F138" s="172">
        <v>59</v>
      </c>
      <c r="G138" s="172">
        <v>21</v>
      </c>
      <c r="H138" s="172">
        <v>0</v>
      </c>
      <c r="I138" s="172">
        <v>32</v>
      </c>
    </row>
    <row r="139" spans="2:9" hidden="1" x14ac:dyDescent="0.3">
      <c r="B139" s="172" t="s">
        <v>183</v>
      </c>
      <c r="C139" s="172" t="s">
        <v>79</v>
      </c>
      <c r="D139" s="172" t="s">
        <v>215</v>
      </c>
      <c r="E139" s="172">
        <v>5.3299634216003304E-4</v>
      </c>
      <c r="F139" s="172">
        <v>69</v>
      </c>
      <c r="G139" s="172">
        <v>16.25</v>
      </c>
      <c r="H139" s="172">
        <v>15.3</v>
      </c>
      <c r="I139" s="172">
        <v>28.5</v>
      </c>
    </row>
    <row r="140" spans="2:9" hidden="1" x14ac:dyDescent="0.3">
      <c r="B140" s="172" t="s">
        <v>183</v>
      </c>
      <c r="C140" s="172" t="s">
        <v>79</v>
      </c>
      <c r="D140" s="172" t="s">
        <v>218</v>
      </c>
      <c r="E140" s="172">
        <v>1.0646965592679E-4</v>
      </c>
      <c r="F140" s="172">
        <v>21</v>
      </c>
      <c r="G140" s="172">
        <v>0</v>
      </c>
      <c r="H140" s="172">
        <v>15</v>
      </c>
      <c r="I140" s="172">
        <v>28.5</v>
      </c>
    </row>
    <row r="141" spans="2:9" x14ac:dyDescent="0.3">
      <c r="B141" s="172" t="s">
        <v>183</v>
      </c>
      <c r="C141" s="172" t="s">
        <v>80</v>
      </c>
      <c r="D141" s="172" t="s">
        <v>215</v>
      </c>
      <c r="E141" s="172">
        <v>5.5025154911549404E-4</v>
      </c>
      <c r="F141" s="172">
        <v>59</v>
      </c>
      <c r="G141" s="172">
        <v>21</v>
      </c>
      <c r="H141" s="172">
        <v>0</v>
      </c>
      <c r="I141" s="172">
        <v>28.5</v>
      </c>
    </row>
    <row r="142" spans="2:9" hidden="1" x14ac:dyDescent="0.3">
      <c r="B142" s="172" t="s">
        <v>183</v>
      </c>
      <c r="C142" s="172" t="s">
        <v>80</v>
      </c>
      <c r="D142" s="172" t="s">
        <v>218</v>
      </c>
      <c r="E142" s="172">
        <v>1.56136477929798E-4</v>
      </c>
      <c r="F142" s="172">
        <v>59</v>
      </c>
      <c r="G142" s="172">
        <v>21</v>
      </c>
      <c r="H142" s="172">
        <v>0</v>
      </c>
      <c r="I142" s="172">
        <v>28.5</v>
      </c>
    </row>
    <row r="143" spans="2:9" hidden="1" x14ac:dyDescent="0.3">
      <c r="B143" s="172" t="s">
        <v>183</v>
      </c>
      <c r="C143" s="172" t="s">
        <v>81</v>
      </c>
      <c r="D143" s="172" t="s">
        <v>218</v>
      </c>
      <c r="E143" s="172">
        <v>8.8912532643959004E-4</v>
      </c>
      <c r="F143" s="172">
        <v>59</v>
      </c>
      <c r="G143" s="172">
        <v>21</v>
      </c>
      <c r="H143" s="172">
        <v>0</v>
      </c>
      <c r="I143" s="172">
        <v>28.5</v>
      </c>
    </row>
    <row r="144" spans="2:9" hidden="1" x14ac:dyDescent="0.3">
      <c r="B144" s="172" t="s">
        <v>183</v>
      </c>
      <c r="C144" s="172" t="s">
        <v>82</v>
      </c>
      <c r="D144" s="172" t="s">
        <v>218</v>
      </c>
      <c r="E144" s="172">
        <v>7.4324103631627004E-4</v>
      </c>
      <c r="F144" s="172">
        <v>21</v>
      </c>
      <c r="G144" s="172">
        <v>0</v>
      </c>
      <c r="H144" s="172">
        <v>15</v>
      </c>
      <c r="I144" s="172">
        <v>28.5</v>
      </c>
    </row>
    <row r="145" spans="2:9" hidden="1" x14ac:dyDescent="0.3">
      <c r="B145" s="172" t="s">
        <v>183</v>
      </c>
      <c r="C145" s="172" t="s">
        <v>243</v>
      </c>
      <c r="D145" s="172" t="s">
        <v>215</v>
      </c>
      <c r="E145" s="172">
        <v>7.4710269639487002E-5</v>
      </c>
      <c r="F145" s="172">
        <v>59</v>
      </c>
      <c r="G145" s="172">
        <v>21</v>
      </c>
      <c r="H145" s="172">
        <v>0</v>
      </c>
      <c r="I145" s="172">
        <v>28.5</v>
      </c>
    </row>
    <row r="146" spans="2:9" hidden="1" x14ac:dyDescent="0.3">
      <c r="B146" s="172" t="s">
        <v>181</v>
      </c>
      <c r="C146" s="172" t="s">
        <v>79</v>
      </c>
      <c r="D146" s="172" t="s">
        <v>215</v>
      </c>
      <c r="E146" s="172">
        <v>6.5498783748358801E-4</v>
      </c>
      <c r="F146" s="172">
        <v>69</v>
      </c>
      <c r="G146" s="172">
        <v>16.25</v>
      </c>
      <c r="H146" s="172">
        <v>15.3</v>
      </c>
      <c r="I146" s="172">
        <v>25</v>
      </c>
    </row>
    <row r="147" spans="2:9" hidden="1" x14ac:dyDescent="0.3">
      <c r="B147" s="172" t="s">
        <v>181</v>
      </c>
      <c r="C147" s="172" t="s">
        <v>79</v>
      </c>
      <c r="D147" s="172" t="s">
        <v>218</v>
      </c>
      <c r="E147" s="172">
        <v>1.3062810185599801E-4</v>
      </c>
      <c r="F147" s="172">
        <v>21</v>
      </c>
      <c r="G147" s="172">
        <v>0</v>
      </c>
      <c r="H147" s="172">
        <v>15</v>
      </c>
      <c r="I147" s="172">
        <v>25</v>
      </c>
    </row>
    <row r="148" spans="2:9" x14ac:dyDescent="0.3">
      <c r="B148" s="172" t="s">
        <v>181</v>
      </c>
      <c r="C148" s="172" t="s">
        <v>80</v>
      </c>
      <c r="D148" s="172" t="s">
        <v>215</v>
      </c>
      <c r="E148" s="172">
        <v>6.6405196634488402E-4</v>
      </c>
      <c r="F148" s="172">
        <v>59</v>
      </c>
      <c r="G148" s="172">
        <v>21</v>
      </c>
      <c r="H148" s="172">
        <v>0</v>
      </c>
      <c r="I148" s="172">
        <v>25</v>
      </c>
    </row>
    <row r="149" spans="2:9" hidden="1" x14ac:dyDescent="0.3">
      <c r="B149" s="172" t="s">
        <v>181</v>
      </c>
      <c r="C149" s="172" t="s">
        <v>80</v>
      </c>
      <c r="D149" s="172" t="s">
        <v>218</v>
      </c>
      <c r="E149" s="172">
        <v>1.7262613905723499E-4</v>
      </c>
      <c r="F149" s="172">
        <v>79</v>
      </c>
      <c r="G149" s="172">
        <v>21</v>
      </c>
      <c r="H149" s="172">
        <v>4</v>
      </c>
      <c r="I149" s="172">
        <v>25</v>
      </c>
    </row>
    <row r="150" spans="2:9" hidden="1" x14ac:dyDescent="0.3">
      <c r="B150" s="172" t="s">
        <v>181</v>
      </c>
      <c r="C150" s="172" t="s">
        <v>81</v>
      </c>
      <c r="D150" s="172" t="s">
        <v>218</v>
      </c>
      <c r="E150" s="172">
        <v>1.0104070293470099E-3</v>
      </c>
      <c r="F150" s="172">
        <v>59</v>
      </c>
      <c r="G150" s="172">
        <v>21</v>
      </c>
      <c r="H150" s="172">
        <v>0</v>
      </c>
      <c r="I150" s="172">
        <v>25</v>
      </c>
    </row>
    <row r="151" spans="2:9" hidden="1" x14ac:dyDescent="0.3">
      <c r="B151" s="172" t="s">
        <v>181</v>
      </c>
      <c r="C151" s="172" t="s">
        <v>82</v>
      </c>
      <c r="D151" s="172" t="s">
        <v>218</v>
      </c>
      <c r="E151" s="172">
        <v>8.8263482915248396E-4</v>
      </c>
      <c r="F151" s="172">
        <v>21</v>
      </c>
      <c r="G151" s="172">
        <v>0</v>
      </c>
      <c r="H151" s="172">
        <v>15</v>
      </c>
      <c r="I151" s="172">
        <v>25</v>
      </c>
    </row>
    <row r="152" spans="2:9" hidden="1" x14ac:dyDescent="0.3">
      <c r="B152" s="172" t="s">
        <v>181</v>
      </c>
      <c r="C152" s="172" t="s">
        <v>243</v>
      </c>
      <c r="D152" s="172" t="s">
        <v>215</v>
      </c>
      <c r="E152" s="172">
        <v>6.9726801164421401E-5</v>
      </c>
      <c r="F152" s="172">
        <v>59</v>
      </c>
      <c r="G152" s="172">
        <v>21</v>
      </c>
      <c r="H152" s="172">
        <v>0</v>
      </c>
      <c r="I152" s="172">
        <v>25</v>
      </c>
    </row>
    <row r="153" spans="2:9" hidden="1" x14ac:dyDescent="0.3">
      <c r="B153" s="172" t="s">
        <v>179</v>
      </c>
      <c r="C153" s="172" t="s">
        <v>79</v>
      </c>
      <c r="D153" s="172" t="s">
        <v>215</v>
      </c>
      <c r="E153" s="172">
        <v>7.5799423287777295E-4</v>
      </c>
      <c r="F153" s="172">
        <v>69</v>
      </c>
      <c r="G153" s="172">
        <v>16.25</v>
      </c>
      <c r="H153" s="172">
        <v>15.3</v>
      </c>
      <c r="I153" s="172">
        <v>21.5</v>
      </c>
    </row>
    <row r="154" spans="2:9" hidden="1" x14ac:dyDescent="0.3">
      <c r="B154" s="172" t="s">
        <v>179</v>
      </c>
      <c r="C154" s="172" t="s">
        <v>79</v>
      </c>
      <c r="D154" s="172" t="s">
        <v>218</v>
      </c>
      <c r="E154" s="172">
        <v>1.5139468865179201E-4</v>
      </c>
      <c r="F154" s="172">
        <v>21</v>
      </c>
      <c r="G154" s="172">
        <v>0</v>
      </c>
      <c r="H154" s="172">
        <v>15</v>
      </c>
      <c r="I154" s="172">
        <v>21.5</v>
      </c>
    </row>
    <row r="155" spans="2:9" x14ac:dyDescent="0.3">
      <c r="B155" s="172" t="s">
        <v>179</v>
      </c>
      <c r="C155" s="172" t="s">
        <v>80</v>
      </c>
      <c r="D155" s="172" t="s">
        <v>215</v>
      </c>
      <c r="E155" s="172">
        <v>7.5849664042792499E-4</v>
      </c>
      <c r="F155" s="172">
        <v>59</v>
      </c>
      <c r="G155" s="172">
        <v>21</v>
      </c>
      <c r="H155" s="172">
        <v>0</v>
      </c>
      <c r="I155" s="172">
        <v>21.5</v>
      </c>
    </row>
    <row r="156" spans="2:9" hidden="1" x14ac:dyDescent="0.3">
      <c r="B156" s="172" t="s">
        <v>179</v>
      </c>
      <c r="C156" s="172" t="s">
        <v>80</v>
      </c>
      <c r="D156" s="172" t="s">
        <v>218</v>
      </c>
      <c r="E156" s="172">
        <v>1.84487046984799E-4</v>
      </c>
      <c r="F156" s="172">
        <v>59</v>
      </c>
      <c r="G156" s="172">
        <v>21</v>
      </c>
      <c r="H156" s="172">
        <v>0</v>
      </c>
      <c r="I156" s="172">
        <v>21.5</v>
      </c>
    </row>
    <row r="157" spans="2:9" hidden="1" x14ac:dyDescent="0.3">
      <c r="B157" s="172" t="s">
        <v>179</v>
      </c>
      <c r="C157" s="172" t="s">
        <v>81</v>
      </c>
      <c r="D157" s="172" t="s">
        <v>218</v>
      </c>
      <c r="E157" s="172">
        <v>1.10364630983959E-3</v>
      </c>
      <c r="F157" s="172">
        <v>59</v>
      </c>
      <c r="G157" s="172">
        <v>21</v>
      </c>
      <c r="H157" s="172">
        <v>0</v>
      </c>
      <c r="I157" s="172">
        <v>21.5</v>
      </c>
    </row>
    <row r="158" spans="2:9" hidden="1" x14ac:dyDescent="0.3">
      <c r="B158" s="172" t="s">
        <v>179</v>
      </c>
      <c r="C158" s="172" t="s">
        <v>82</v>
      </c>
      <c r="D158" s="172" t="s">
        <v>218</v>
      </c>
      <c r="E158" s="172">
        <v>9.9584520351915398E-4</v>
      </c>
      <c r="F158" s="172">
        <v>21</v>
      </c>
      <c r="G158" s="172">
        <v>0</v>
      </c>
      <c r="H158" s="172">
        <v>15</v>
      </c>
      <c r="I158" s="172">
        <v>21.5</v>
      </c>
    </row>
    <row r="159" spans="2:9" hidden="1" x14ac:dyDescent="0.3">
      <c r="B159" s="172" t="s">
        <v>179</v>
      </c>
      <c r="C159" s="172" t="s">
        <v>243</v>
      </c>
      <c r="D159" s="172" t="s">
        <v>215</v>
      </c>
      <c r="E159" s="172">
        <v>6.3423245555939005E-5</v>
      </c>
      <c r="F159" s="172">
        <v>59</v>
      </c>
      <c r="G159" s="172">
        <v>21</v>
      </c>
      <c r="H159" s="172">
        <v>0</v>
      </c>
      <c r="I159" s="172">
        <v>21.5</v>
      </c>
    </row>
    <row r="160" spans="2:9" hidden="1" x14ac:dyDescent="0.3">
      <c r="B160" s="172" t="s">
        <v>39</v>
      </c>
      <c r="C160" s="172" t="s">
        <v>79</v>
      </c>
      <c r="D160" s="172" t="s">
        <v>215</v>
      </c>
      <c r="E160" s="172">
        <v>8.3814112846233803E-4</v>
      </c>
      <c r="F160" s="172">
        <v>69</v>
      </c>
      <c r="G160" s="172">
        <v>16.25</v>
      </c>
      <c r="H160" s="172">
        <v>15.3</v>
      </c>
      <c r="I160" s="172">
        <v>18</v>
      </c>
    </row>
    <row r="161" spans="2:9" hidden="1" x14ac:dyDescent="0.3">
      <c r="B161" s="172" t="s">
        <v>39</v>
      </c>
      <c r="C161" s="172" t="s">
        <v>79</v>
      </c>
      <c r="D161" s="172" t="s">
        <v>218</v>
      </c>
      <c r="E161" s="172">
        <v>1.76171227829516E-4</v>
      </c>
      <c r="F161" s="172">
        <v>21</v>
      </c>
      <c r="G161" s="172">
        <v>0</v>
      </c>
      <c r="H161" s="172">
        <v>15</v>
      </c>
      <c r="I161" s="172">
        <v>18</v>
      </c>
    </row>
    <row r="162" spans="2:9" x14ac:dyDescent="0.3">
      <c r="B162" s="172" t="s">
        <v>39</v>
      </c>
      <c r="C162" s="172" t="s">
        <v>80</v>
      </c>
      <c r="D162" s="172" t="s">
        <v>215</v>
      </c>
      <c r="E162" s="172">
        <v>8.1673204890456597E-4</v>
      </c>
      <c r="F162" s="172">
        <v>59</v>
      </c>
      <c r="G162" s="172">
        <v>21</v>
      </c>
      <c r="H162" s="172">
        <v>0</v>
      </c>
      <c r="I162" s="172">
        <v>18</v>
      </c>
    </row>
    <row r="163" spans="2:9" hidden="1" x14ac:dyDescent="0.3">
      <c r="B163" s="172" t="s">
        <v>39</v>
      </c>
      <c r="C163" s="172" t="s">
        <v>80</v>
      </c>
      <c r="D163" s="172" t="s">
        <v>218</v>
      </c>
      <c r="E163" s="172">
        <v>1.82374351903291E-4</v>
      </c>
      <c r="F163" s="172">
        <v>59</v>
      </c>
      <c r="G163" s="172">
        <v>21</v>
      </c>
      <c r="H163" s="172">
        <v>0</v>
      </c>
      <c r="I163" s="172">
        <v>18</v>
      </c>
    </row>
    <row r="164" spans="2:9" hidden="1" x14ac:dyDescent="0.3">
      <c r="B164" s="172" t="s">
        <v>39</v>
      </c>
      <c r="C164" s="172" t="s">
        <v>81</v>
      </c>
      <c r="D164" s="172" t="s">
        <v>218</v>
      </c>
      <c r="E164" s="172">
        <v>1.1676574589086E-3</v>
      </c>
      <c r="F164" s="172">
        <v>59</v>
      </c>
      <c r="G164" s="172">
        <v>21</v>
      </c>
      <c r="H164" s="172">
        <v>0</v>
      </c>
      <c r="I164" s="172">
        <v>18</v>
      </c>
    </row>
    <row r="165" spans="2:9" hidden="1" x14ac:dyDescent="0.3">
      <c r="B165" s="172" t="s">
        <v>39</v>
      </c>
      <c r="C165" s="172" t="s">
        <v>82</v>
      </c>
      <c r="D165" s="172" t="s">
        <v>218</v>
      </c>
      <c r="E165" s="172">
        <v>1.0885515500588801E-3</v>
      </c>
      <c r="F165" s="172">
        <v>21</v>
      </c>
      <c r="G165" s="172">
        <v>0</v>
      </c>
      <c r="H165" s="172">
        <v>15</v>
      </c>
      <c r="I165" s="172">
        <v>18</v>
      </c>
    </row>
    <row r="166" spans="2:9" hidden="1" x14ac:dyDescent="0.3">
      <c r="B166" s="172" t="s">
        <v>39</v>
      </c>
      <c r="C166" s="172" t="s">
        <v>243</v>
      </c>
      <c r="D166" s="172" t="s">
        <v>215</v>
      </c>
      <c r="E166" s="172">
        <v>6.3000027829239103E-5</v>
      </c>
      <c r="F166" s="172">
        <v>59</v>
      </c>
      <c r="G166" s="172">
        <v>21</v>
      </c>
      <c r="H166" s="172">
        <v>0</v>
      </c>
      <c r="I166" s="172">
        <v>18</v>
      </c>
    </row>
    <row r="167" spans="2:9" hidden="1" x14ac:dyDescent="0.3">
      <c r="B167" s="172" t="s">
        <v>26</v>
      </c>
      <c r="C167" s="172" t="s">
        <v>79</v>
      </c>
      <c r="D167" s="172" t="s">
        <v>215</v>
      </c>
      <c r="E167" s="172">
        <v>9.0204322797912803E-4</v>
      </c>
      <c r="F167" s="172">
        <v>69</v>
      </c>
      <c r="G167" s="172">
        <v>16.25</v>
      </c>
      <c r="H167" s="172">
        <v>15.3</v>
      </c>
      <c r="I167" s="172">
        <v>14.5</v>
      </c>
    </row>
    <row r="168" spans="2:9" hidden="1" x14ac:dyDescent="0.3">
      <c r="B168" s="172" t="s">
        <v>26</v>
      </c>
      <c r="C168" s="172" t="s">
        <v>79</v>
      </c>
      <c r="D168" s="172" t="s">
        <v>218</v>
      </c>
      <c r="E168" s="172">
        <v>1.98155138609731E-4</v>
      </c>
      <c r="F168" s="172">
        <v>21</v>
      </c>
      <c r="G168" s="172">
        <v>0</v>
      </c>
      <c r="H168" s="172">
        <v>15</v>
      </c>
      <c r="I168" s="172">
        <v>14.5</v>
      </c>
    </row>
    <row r="169" spans="2:9" x14ac:dyDescent="0.3">
      <c r="B169" s="172" t="s">
        <v>26</v>
      </c>
      <c r="C169" s="172" t="s">
        <v>80</v>
      </c>
      <c r="D169" s="172" t="s">
        <v>215</v>
      </c>
      <c r="E169" s="172">
        <v>8.5777958299234301E-4</v>
      </c>
      <c r="F169" s="172">
        <v>59</v>
      </c>
      <c r="G169" s="172">
        <v>21</v>
      </c>
      <c r="H169" s="172">
        <v>0</v>
      </c>
      <c r="I169" s="172">
        <v>14.5</v>
      </c>
    </row>
    <row r="170" spans="2:9" hidden="1" x14ac:dyDescent="0.3">
      <c r="B170" s="172" t="s">
        <v>26</v>
      </c>
      <c r="C170" s="172" t="s">
        <v>80</v>
      </c>
      <c r="D170" s="172" t="s">
        <v>218</v>
      </c>
      <c r="E170" s="172">
        <v>1.75519823455752E-4</v>
      </c>
      <c r="F170" s="172">
        <v>59</v>
      </c>
      <c r="G170" s="172">
        <v>21</v>
      </c>
      <c r="H170" s="172">
        <v>0</v>
      </c>
      <c r="I170" s="172">
        <v>14.5</v>
      </c>
    </row>
    <row r="171" spans="2:9" hidden="1" x14ac:dyDescent="0.3">
      <c r="B171" s="172" t="s">
        <v>26</v>
      </c>
      <c r="C171" s="172" t="s">
        <v>81</v>
      </c>
      <c r="D171" s="172" t="s">
        <v>218</v>
      </c>
      <c r="E171" s="172">
        <v>1.20961300971416E-3</v>
      </c>
      <c r="F171" s="172">
        <v>59</v>
      </c>
      <c r="G171" s="172">
        <v>21</v>
      </c>
      <c r="H171" s="172">
        <v>0</v>
      </c>
      <c r="I171" s="172">
        <v>14.5</v>
      </c>
    </row>
    <row r="172" spans="2:9" hidden="1" x14ac:dyDescent="0.3">
      <c r="B172" s="172" t="s">
        <v>26</v>
      </c>
      <c r="C172" s="172" t="s">
        <v>82</v>
      </c>
      <c r="D172" s="172" t="s">
        <v>218</v>
      </c>
      <c r="E172" s="172">
        <v>1.1623815379566301E-3</v>
      </c>
      <c r="F172" s="172">
        <v>21</v>
      </c>
      <c r="G172" s="172">
        <v>0</v>
      </c>
      <c r="H172" s="172">
        <v>15</v>
      </c>
      <c r="I172" s="172">
        <v>14.5</v>
      </c>
    </row>
    <row r="173" spans="2:9" hidden="1" x14ac:dyDescent="0.3">
      <c r="B173" s="172" t="s">
        <v>26</v>
      </c>
      <c r="C173" s="172" t="s">
        <v>243</v>
      </c>
      <c r="D173" s="172" t="s">
        <v>215</v>
      </c>
      <c r="E173" s="172">
        <v>5.9348950573737001E-5</v>
      </c>
      <c r="F173" s="172">
        <v>59</v>
      </c>
      <c r="G173" s="172">
        <v>21</v>
      </c>
      <c r="H173" s="172">
        <v>0</v>
      </c>
      <c r="I173" s="172">
        <v>14.5</v>
      </c>
    </row>
    <row r="174" spans="2:9" hidden="1" x14ac:dyDescent="0.3">
      <c r="B174" s="172" t="s">
        <v>25</v>
      </c>
      <c r="C174" s="172" t="s">
        <v>79</v>
      </c>
      <c r="D174" s="172" t="s">
        <v>215</v>
      </c>
      <c r="E174" s="172">
        <v>9.5542481481134098E-4</v>
      </c>
      <c r="F174" s="172">
        <v>69</v>
      </c>
      <c r="G174" s="172">
        <v>16.25</v>
      </c>
      <c r="H174" s="172">
        <v>15.3</v>
      </c>
      <c r="I174" s="172">
        <v>11</v>
      </c>
    </row>
    <row r="175" spans="2:9" hidden="1" x14ac:dyDescent="0.3">
      <c r="B175" s="172" t="s">
        <v>25</v>
      </c>
      <c r="C175" s="172" t="s">
        <v>79</v>
      </c>
      <c r="D175" s="172" t="s">
        <v>218</v>
      </c>
      <c r="E175" s="172">
        <v>2.0955450453731401E-4</v>
      </c>
      <c r="F175" s="172">
        <v>21</v>
      </c>
      <c r="G175" s="172">
        <v>0</v>
      </c>
      <c r="H175" s="172">
        <v>15</v>
      </c>
      <c r="I175" s="172">
        <v>11</v>
      </c>
    </row>
    <row r="176" spans="2:9" x14ac:dyDescent="0.3">
      <c r="B176" s="172" t="s">
        <v>25</v>
      </c>
      <c r="C176" s="172" t="s">
        <v>80</v>
      </c>
      <c r="D176" s="172" t="s">
        <v>215</v>
      </c>
      <c r="E176" s="172">
        <v>9.0040037011278004E-4</v>
      </c>
      <c r="F176" s="172">
        <v>59</v>
      </c>
      <c r="G176" s="172">
        <v>21</v>
      </c>
      <c r="H176" s="172">
        <v>0</v>
      </c>
      <c r="I176" s="172">
        <v>11</v>
      </c>
    </row>
    <row r="177" spans="2:9" hidden="1" x14ac:dyDescent="0.3">
      <c r="B177" s="172" t="s">
        <v>25</v>
      </c>
      <c r="C177" s="172" t="s">
        <v>80</v>
      </c>
      <c r="D177" s="172" t="s">
        <v>218</v>
      </c>
      <c r="E177" s="172">
        <v>1.73107949666797E-4</v>
      </c>
      <c r="F177" s="172">
        <v>59</v>
      </c>
      <c r="G177" s="172">
        <v>21</v>
      </c>
      <c r="H177" s="172">
        <v>0</v>
      </c>
      <c r="I177" s="172">
        <v>11</v>
      </c>
    </row>
    <row r="178" spans="2:9" hidden="1" x14ac:dyDescent="0.3">
      <c r="B178" s="172" t="s">
        <v>25</v>
      </c>
      <c r="C178" s="172" t="s">
        <v>81</v>
      </c>
      <c r="D178" s="172" t="s">
        <v>218</v>
      </c>
      <c r="E178" s="172">
        <v>1.2310530617680401E-3</v>
      </c>
      <c r="F178" s="172">
        <v>59</v>
      </c>
      <c r="G178" s="172">
        <v>21</v>
      </c>
      <c r="H178" s="172">
        <v>0</v>
      </c>
      <c r="I178" s="172">
        <v>11</v>
      </c>
    </row>
    <row r="179" spans="2:9" hidden="1" x14ac:dyDescent="0.3">
      <c r="B179" s="172" t="s">
        <v>25</v>
      </c>
      <c r="C179" s="172" t="s">
        <v>82</v>
      </c>
      <c r="D179" s="172" t="s">
        <v>215</v>
      </c>
      <c r="E179" s="172">
        <v>1.9865725607376799E-4</v>
      </c>
      <c r="F179" s="172">
        <v>69</v>
      </c>
      <c r="G179" s="172">
        <v>16.25</v>
      </c>
      <c r="H179" s="172">
        <v>15.3</v>
      </c>
      <c r="I179" s="172">
        <v>11</v>
      </c>
    </row>
    <row r="180" spans="2:9" hidden="1" x14ac:dyDescent="0.3">
      <c r="B180" s="172" t="s">
        <v>25</v>
      </c>
      <c r="C180" s="172" t="s">
        <v>82</v>
      </c>
      <c r="D180" s="172" t="s">
        <v>218</v>
      </c>
      <c r="E180" s="172">
        <v>1.2146949350627201E-3</v>
      </c>
      <c r="F180" s="172">
        <v>21</v>
      </c>
      <c r="G180" s="172">
        <v>0</v>
      </c>
      <c r="H180" s="172">
        <v>15</v>
      </c>
      <c r="I180" s="172">
        <v>11</v>
      </c>
    </row>
    <row r="181" spans="2:9" hidden="1" x14ac:dyDescent="0.3">
      <c r="B181" s="172" t="s">
        <v>25</v>
      </c>
      <c r="C181" s="172" t="s">
        <v>243</v>
      </c>
      <c r="D181" s="172" t="s">
        <v>215</v>
      </c>
      <c r="E181" s="172">
        <v>4.4331337195698697E-5</v>
      </c>
      <c r="F181" s="172">
        <v>59</v>
      </c>
      <c r="G181" s="172">
        <v>21</v>
      </c>
      <c r="H181" s="172">
        <v>0</v>
      </c>
      <c r="I181" s="172">
        <v>11</v>
      </c>
    </row>
    <row r="182" spans="2:9" hidden="1" x14ac:dyDescent="0.3">
      <c r="B182" s="172" t="s">
        <v>24</v>
      </c>
      <c r="C182" s="172" t="s">
        <v>79</v>
      </c>
      <c r="D182" s="172" t="s">
        <v>215</v>
      </c>
      <c r="E182" s="172">
        <v>9.8639713299354908E-4</v>
      </c>
      <c r="F182" s="172">
        <v>69</v>
      </c>
      <c r="G182" s="172">
        <v>16.25</v>
      </c>
      <c r="H182" s="172">
        <v>15.3</v>
      </c>
      <c r="I182" s="172">
        <v>7.5</v>
      </c>
    </row>
    <row r="183" spans="2:9" hidden="1" x14ac:dyDescent="0.3">
      <c r="B183" s="172" t="s">
        <v>24</v>
      </c>
      <c r="C183" s="172" t="s">
        <v>79</v>
      </c>
      <c r="D183" s="172" t="s">
        <v>218</v>
      </c>
      <c r="E183" s="172">
        <v>2.13480686400766E-4</v>
      </c>
      <c r="F183" s="172">
        <v>21</v>
      </c>
      <c r="G183" s="172">
        <v>0</v>
      </c>
      <c r="H183" s="172">
        <v>15</v>
      </c>
      <c r="I183" s="172">
        <v>7.5</v>
      </c>
    </row>
    <row r="184" spans="2:9" x14ac:dyDescent="0.3">
      <c r="B184" s="172" t="s">
        <v>24</v>
      </c>
      <c r="C184" s="172" t="s">
        <v>80</v>
      </c>
      <c r="D184" s="172" t="s">
        <v>215</v>
      </c>
      <c r="E184" s="172">
        <v>9.2055185657962605E-4</v>
      </c>
      <c r="F184" s="172">
        <v>59</v>
      </c>
      <c r="G184" s="172">
        <v>21</v>
      </c>
      <c r="H184" s="172">
        <v>0</v>
      </c>
      <c r="I184" s="172">
        <v>7.5</v>
      </c>
    </row>
    <row r="185" spans="2:9" hidden="1" x14ac:dyDescent="0.3">
      <c r="B185" s="172" t="s">
        <v>24</v>
      </c>
      <c r="C185" s="172" t="s">
        <v>80</v>
      </c>
      <c r="D185" s="172" t="s">
        <v>218</v>
      </c>
      <c r="E185" s="172">
        <v>1.65886619964838E-4</v>
      </c>
      <c r="F185" s="172">
        <v>59</v>
      </c>
      <c r="G185" s="172">
        <v>21</v>
      </c>
      <c r="H185" s="172">
        <v>0</v>
      </c>
      <c r="I185" s="172">
        <v>7.5</v>
      </c>
    </row>
    <row r="186" spans="2:9" hidden="1" x14ac:dyDescent="0.3">
      <c r="B186" s="172" t="s">
        <v>24</v>
      </c>
      <c r="C186" s="172" t="s">
        <v>81</v>
      </c>
      <c r="D186" s="172" t="s">
        <v>218</v>
      </c>
      <c r="E186" s="172">
        <v>1.21361599958783E-3</v>
      </c>
      <c r="F186" s="172">
        <v>59</v>
      </c>
      <c r="G186" s="172">
        <v>21</v>
      </c>
      <c r="H186" s="172">
        <v>0</v>
      </c>
      <c r="I186" s="172">
        <v>7.5</v>
      </c>
    </row>
    <row r="187" spans="2:9" hidden="1" x14ac:dyDescent="0.3">
      <c r="B187" s="172" t="s">
        <v>24</v>
      </c>
      <c r="C187" s="172" t="s">
        <v>82</v>
      </c>
      <c r="D187" s="172" t="s">
        <v>215</v>
      </c>
      <c r="E187" s="172">
        <v>2.1466826491485901E-4</v>
      </c>
      <c r="F187" s="172">
        <v>69</v>
      </c>
      <c r="G187" s="172">
        <v>16.25</v>
      </c>
      <c r="H187" s="172">
        <v>15.3</v>
      </c>
      <c r="I187" s="172">
        <v>7.5</v>
      </c>
    </row>
    <row r="188" spans="2:9" hidden="1" x14ac:dyDescent="0.3">
      <c r="B188" s="172" t="s">
        <v>24</v>
      </c>
      <c r="C188" s="172" t="s">
        <v>82</v>
      </c>
      <c r="D188" s="172" t="s">
        <v>218</v>
      </c>
      <c r="E188" s="172">
        <v>1.23056873048441E-3</v>
      </c>
      <c r="F188" s="172">
        <v>21</v>
      </c>
      <c r="G188" s="172">
        <v>0</v>
      </c>
      <c r="H188" s="172">
        <v>15</v>
      </c>
      <c r="I188" s="172">
        <v>7.5</v>
      </c>
    </row>
    <row r="189" spans="2:9" hidden="1" x14ac:dyDescent="0.3">
      <c r="B189" s="172" t="s">
        <v>24</v>
      </c>
      <c r="C189" s="172" t="s">
        <v>243</v>
      </c>
      <c r="D189" s="172" t="s">
        <v>215</v>
      </c>
      <c r="E189" s="172">
        <v>2.4837606182569601E-5</v>
      </c>
      <c r="F189" s="172">
        <v>59</v>
      </c>
      <c r="G189" s="172">
        <v>21</v>
      </c>
      <c r="H189" s="172">
        <v>0</v>
      </c>
      <c r="I189" s="172">
        <v>7.5</v>
      </c>
    </row>
    <row r="190" spans="2:9" hidden="1" x14ac:dyDescent="0.3">
      <c r="B190" s="172" t="s">
        <v>22</v>
      </c>
      <c r="C190" s="172" t="s">
        <v>79</v>
      </c>
      <c r="D190" s="172" t="s">
        <v>215</v>
      </c>
      <c r="E190" s="172">
        <v>8.3869050415027199E-4</v>
      </c>
      <c r="F190" s="172">
        <v>33</v>
      </c>
      <c r="G190" s="172">
        <v>16</v>
      </c>
      <c r="H190" s="172">
        <v>15</v>
      </c>
      <c r="I190" s="172">
        <v>4</v>
      </c>
    </row>
    <row r="191" spans="2:9" hidden="1" x14ac:dyDescent="0.3">
      <c r="B191" s="172" t="s">
        <v>22</v>
      </c>
      <c r="C191" s="172" t="s">
        <v>79</v>
      </c>
      <c r="D191" s="172" t="s">
        <v>218</v>
      </c>
      <c r="E191" s="172">
        <v>1.65191708548602E-4</v>
      </c>
      <c r="F191" s="172">
        <v>21</v>
      </c>
      <c r="G191" s="172">
        <v>0</v>
      </c>
      <c r="H191" s="172">
        <v>15</v>
      </c>
      <c r="I191" s="172">
        <v>4</v>
      </c>
    </row>
    <row r="192" spans="2:9" x14ac:dyDescent="0.3">
      <c r="B192" s="172" t="s">
        <v>22</v>
      </c>
      <c r="C192" s="172" t="s">
        <v>80</v>
      </c>
      <c r="D192" s="172" t="s">
        <v>215</v>
      </c>
      <c r="E192" s="172">
        <v>7.7940498946278702E-4</v>
      </c>
      <c r="F192" s="172">
        <v>59</v>
      </c>
      <c r="G192" s="172">
        <v>21</v>
      </c>
      <c r="H192" s="172">
        <v>0</v>
      </c>
      <c r="I192" s="172">
        <v>4</v>
      </c>
    </row>
    <row r="193" spans="2:9" hidden="1" x14ac:dyDescent="0.3">
      <c r="B193" s="172" t="s">
        <v>22</v>
      </c>
      <c r="C193" s="172" t="s">
        <v>80</v>
      </c>
      <c r="D193" s="172" t="s">
        <v>218</v>
      </c>
      <c r="E193" s="172">
        <v>1.3361382385944701E-4</v>
      </c>
      <c r="F193" s="172">
        <v>59</v>
      </c>
      <c r="G193" s="172">
        <v>21</v>
      </c>
      <c r="H193" s="172">
        <v>0</v>
      </c>
      <c r="I193" s="172">
        <v>4</v>
      </c>
    </row>
    <row r="194" spans="2:9" hidden="1" x14ac:dyDescent="0.3">
      <c r="B194" s="172" t="s">
        <v>22</v>
      </c>
      <c r="C194" s="172" t="s">
        <v>81</v>
      </c>
      <c r="D194" s="172" t="s">
        <v>218</v>
      </c>
      <c r="E194" s="172">
        <v>9.4808030541592998E-4</v>
      </c>
      <c r="F194" s="172">
        <v>59</v>
      </c>
      <c r="G194" s="172">
        <v>21</v>
      </c>
      <c r="H194" s="172">
        <v>0</v>
      </c>
      <c r="I194" s="172">
        <v>4</v>
      </c>
    </row>
    <row r="195" spans="2:9" hidden="1" x14ac:dyDescent="0.3">
      <c r="B195" s="172" t="s">
        <v>22</v>
      </c>
      <c r="C195" s="172" t="s">
        <v>82</v>
      </c>
      <c r="D195" s="172" t="s">
        <v>215</v>
      </c>
      <c r="E195" s="172">
        <v>1.8416222723451899E-4</v>
      </c>
      <c r="F195" s="172">
        <v>33</v>
      </c>
      <c r="G195" s="172">
        <v>16</v>
      </c>
      <c r="H195" s="172">
        <v>15</v>
      </c>
      <c r="I195" s="172">
        <v>4</v>
      </c>
    </row>
    <row r="196" spans="2:9" hidden="1" x14ac:dyDescent="0.3">
      <c r="B196" s="172" t="s">
        <v>22</v>
      </c>
      <c r="C196" s="172" t="s">
        <v>82</v>
      </c>
      <c r="D196" s="172" t="s">
        <v>218</v>
      </c>
      <c r="E196" s="172">
        <v>9.8880847842734406E-4</v>
      </c>
      <c r="F196" s="172">
        <v>21</v>
      </c>
      <c r="G196" s="172">
        <v>0</v>
      </c>
      <c r="H196" s="172">
        <v>15</v>
      </c>
      <c r="I196" s="172">
        <v>4</v>
      </c>
    </row>
    <row r="197" spans="2:9" hidden="1" x14ac:dyDescent="0.3">
      <c r="B197" s="172" t="s">
        <v>22</v>
      </c>
      <c r="C197" s="172" t="s">
        <v>243</v>
      </c>
      <c r="D197" s="172" t="s">
        <v>215</v>
      </c>
      <c r="E197" s="172">
        <v>7.4359108783468897E-6</v>
      </c>
      <c r="F197" s="172">
        <v>59</v>
      </c>
      <c r="G197" s="172">
        <v>21</v>
      </c>
      <c r="H197" s="172">
        <v>0</v>
      </c>
      <c r="I197" s="172">
        <v>4</v>
      </c>
    </row>
    <row r="198" spans="2:9" hidden="1" x14ac:dyDescent="0.3">
      <c r="B198" s="172"/>
      <c r="C198" s="172"/>
      <c r="D198" s="172"/>
      <c r="E198" s="172"/>
      <c r="F198" s="172"/>
      <c r="G198" s="172"/>
      <c r="H198" s="172"/>
      <c r="I198" s="172"/>
    </row>
    <row r="199" spans="2:9" hidden="1" x14ac:dyDescent="0.3">
      <c r="B199" s="172"/>
      <c r="C199" s="172"/>
      <c r="D199" s="172"/>
      <c r="E199" s="172"/>
      <c r="F199" s="172"/>
      <c r="G199" s="172"/>
      <c r="H199" s="172"/>
      <c r="I199" s="172"/>
    </row>
    <row r="200" spans="2:9" hidden="1" x14ac:dyDescent="0.3">
      <c r="B200" s="172"/>
      <c r="C200" s="172"/>
      <c r="D200" s="172"/>
      <c r="E200" s="172"/>
      <c r="F200" s="172"/>
      <c r="G200" s="172"/>
      <c r="H200" s="172"/>
      <c r="I200" s="172"/>
    </row>
    <row r="201" spans="2:9" hidden="1" x14ac:dyDescent="0.3">
      <c r="B201" s="172"/>
      <c r="C201" s="172"/>
      <c r="D201" s="172"/>
      <c r="E201" s="172"/>
      <c r="F201" s="172"/>
      <c r="G201" s="172"/>
      <c r="H201" s="172"/>
      <c r="I201" s="172"/>
    </row>
    <row r="202" spans="2:9" hidden="1" x14ac:dyDescent="0.3">
      <c r="B202" s="172"/>
      <c r="C202" s="172"/>
      <c r="D202" s="172"/>
      <c r="E202" s="172"/>
      <c r="F202" s="172"/>
      <c r="G202" s="172"/>
      <c r="H202" s="172"/>
      <c r="I202" s="172"/>
    </row>
    <row r="203" spans="2:9" hidden="1" x14ac:dyDescent="0.3">
      <c r="B203" s="172"/>
      <c r="C203" s="172"/>
      <c r="D203" s="172"/>
      <c r="E203" s="172"/>
      <c r="F203" s="172"/>
      <c r="G203" s="172"/>
      <c r="H203" s="172"/>
      <c r="I203" s="172"/>
    </row>
    <row r="204" spans="2:9" hidden="1" x14ac:dyDescent="0.3">
      <c r="B204" s="172"/>
      <c r="C204" s="172"/>
      <c r="D204" s="172"/>
      <c r="E204" s="172"/>
      <c r="F204" s="172"/>
      <c r="G204" s="172"/>
      <c r="H204" s="172"/>
      <c r="I204" s="172"/>
    </row>
    <row r="205" spans="2:9" hidden="1" x14ac:dyDescent="0.3">
      <c r="B205" s="172"/>
      <c r="C205" s="172"/>
      <c r="D205" s="172"/>
      <c r="E205" s="172"/>
      <c r="F205" s="172"/>
      <c r="G205" s="172"/>
      <c r="H205" s="172"/>
      <c r="I205" s="172"/>
    </row>
    <row r="206" spans="2:9" hidden="1" x14ac:dyDescent="0.3">
      <c r="B206" s="172"/>
      <c r="C206" s="172"/>
      <c r="D206" s="172"/>
      <c r="E206" s="172"/>
      <c r="F206" s="172"/>
      <c r="G206" s="172"/>
      <c r="H206" s="172"/>
      <c r="I206" s="172"/>
    </row>
    <row r="207" spans="2:9" hidden="1" x14ac:dyDescent="0.3">
      <c r="B207" s="172"/>
      <c r="C207" s="172"/>
      <c r="D207" s="172"/>
      <c r="E207" s="172"/>
      <c r="F207" s="172"/>
      <c r="G207" s="172"/>
      <c r="H207" s="172"/>
      <c r="I207" s="172"/>
    </row>
    <row r="208" spans="2:9" hidden="1" x14ac:dyDescent="0.3">
      <c r="B208" s="172"/>
      <c r="C208" s="172"/>
      <c r="D208" s="172"/>
      <c r="E208" s="172"/>
      <c r="F208" s="172"/>
      <c r="G208" s="172"/>
      <c r="H208" s="172"/>
      <c r="I208" s="172"/>
    </row>
    <row r="209" spans="2:9" hidden="1" x14ac:dyDescent="0.3">
      <c r="B209" s="172"/>
      <c r="C209" s="172"/>
      <c r="D209" s="172"/>
      <c r="E209" s="172"/>
      <c r="F209" s="172"/>
      <c r="G209" s="172"/>
      <c r="H209" s="172"/>
      <c r="I209" s="172"/>
    </row>
    <row r="210" spans="2:9" hidden="1" x14ac:dyDescent="0.3">
      <c r="B210" s="172"/>
      <c r="C210" s="172"/>
      <c r="D210" s="172"/>
      <c r="E210" s="172"/>
      <c r="F210" s="172"/>
      <c r="G210" s="172"/>
      <c r="H210" s="172"/>
      <c r="I210" s="172"/>
    </row>
    <row r="211" spans="2:9" hidden="1" x14ac:dyDescent="0.3">
      <c r="B211" s="172"/>
      <c r="C211" s="172"/>
      <c r="D211" s="172"/>
      <c r="E211" s="172"/>
      <c r="F211" s="172"/>
      <c r="G211" s="172"/>
      <c r="H211" s="172"/>
      <c r="I211" s="172"/>
    </row>
    <row r="212" spans="2:9" hidden="1" x14ac:dyDescent="0.3">
      <c r="B212" s="172"/>
      <c r="C212" s="172"/>
      <c r="D212" s="172"/>
      <c r="E212" s="172"/>
      <c r="F212" s="172"/>
      <c r="G212" s="172"/>
      <c r="H212" s="172"/>
      <c r="I212" s="172"/>
    </row>
    <row r="213" spans="2:9" hidden="1" x14ac:dyDescent="0.3">
      <c r="B213" s="172"/>
      <c r="C213" s="172"/>
      <c r="D213" s="172"/>
      <c r="E213" s="172"/>
      <c r="F213" s="172"/>
      <c r="G213" s="172"/>
      <c r="H213" s="172"/>
      <c r="I213" s="172"/>
    </row>
    <row r="214" spans="2:9" hidden="1" x14ac:dyDescent="0.3">
      <c r="B214" s="172"/>
      <c r="C214" s="172"/>
      <c r="D214" s="172"/>
      <c r="E214" s="172"/>
      <c r="F214" s="172"/>
      <c r="G214" s="172"/>
      <c r="H214" s="172"/>
      <c r="I214" s="172"/>
    </row>
    <row r="215" spans="2:9" hidden="1" x14ac:dyDescent="0.3">
      <c r="B215" s="172"/>
      <c r="C215" s="172"/>
      <c r="D215" s="172"/>
      <c r="E215" s="172"/>
      <c r="F215" s="172"/>
      <c r="G215" s="172"/>
      <c r="H215" s="172"/>
      <c r="I215" s="172"/>
    </row>
    <row r="216" spans="2:9" hidden="1" x14ac:dyDescent="0.3">
      <c r="B216" s="172"/>
      <c r="C216" s="172"/>
      <c r="D216" s="172"/>
      <c r="E216" s="172"/>
      <c r="F216" s="172"/>
      <c r="G216" s="172"/>
      <c r="H216" s="172"/>
      <c r="I216" s="172"/>
    </row>
    <row r="217" spans="2:9" hidden="1" x14ac:dyDescent="0.3">
      <c r="B217" s="172"/>
      <c r="C217" s="172"/>
      <c r="D217" s="172"/>
      <c r="E217" s="172"/>
      <c r="F217" s="172"/>
      <c r="G217" s="172"/>
      <c r="H217" s="172"/>
      <c r="I217" s="172"/>
    </row>
    <row r="218" spans="2:9" hidden="1" x14ac:dyDescent="0.3">
      <c r="B218" s="172"/>
      <c r="C218" s="172"/>
      <c r="D218" s="172"/>
      <c r="E218" s="172"/>
      <c r="F218" s="172"/>
      <c r="G218" s="172"/>
      <c r="H218" s="172"/>
      <c r="I218" s="172"/>
    </row>
    <row r="219" spans="2:9" hidden="1" x14ac:dyDescent="0.3">
      <c r="B219" s="172"/>
      <c r="C219" s="172"/>
      <c r="D219" s="172"/>
      <c r="E219" s="172"/>
      <c r="F219" s="172"/>
      <c r="G219" s="172"/>
      <c r="H219" s="172"/>
      <c r="I219" s="172"/>
    </row>
    <row r="220" spans="2:9" x14ac:dyDescent="0.3">
      <c r="B220" s="172"/>
      <c r="C220" s="172"/>
      <c r="D220" s="172"/>
      <c r="E220" s="172"/>
      <c r="F220" s="172"/>
      <c r="G220" s="172"/>
      <c r="H220" s="172"/>
      <c r="I220" s="172"/>
    </row>
    <row r="221" spans="2:9" x14ac:dyDescent="0.3">
      <c r="B221" s="172"/>
      <c r="C221" s="172"/>
      <c r="D221" s="172"/>
      <c r="E221" s="172"/>
      <c r="F221" s="172"/>
      <c r="G221" s="172"/>
      <c r="H221" s="172"/>
      <c r="I221" s="172"/>
    </row>
    <row r="222" spans="2:9" x14ac:dyDescent="0.3">
      <c r="B222" s="167" t="s">
        <v>248</v>
      </c>
      <c r="C222" s="168"/>
      <c r="D222" s="168"/>
      <c r="E222" s="168"/>
      <c r="F222" s="168"/>
      <c r="G222" s="168"/>
      <c r="H222" s="168"/>
      <c r="I222" s="168"/>
    </row>
    <row r="223" spans="2:9" x14ac:dyDescent="0.3">
      <c r="B223" s="169" t="s">
        <v>9</v>
      </c>
      <c r="C223" s="169" t="s">
        <v>46</v>
      </c>
      <c r="D223" s="169" t="s">
        <v>42</v>
      </c>
      <c r="E223" s="169" t="s">
        <v>249</v>
      </c>
      <c r="F223" s="169" t="s">
        <v>250</v>
      </c>
      <c r="G223" s="169" t="s">
        <v>215</v>
      </c>
      <c r="H223" s="169" t="s">
        <v>218</v>
      </c>
      <c r="I223" s="170" t="s">
        <v>203</v>
      </c>
    </row>
    <row r="224" spans="2:9" x14ac:dyDescent="0.3">
      <c r="B224" s="190"/>
      <c r="C224" s="190"/>
      <c r="D224" s="190"/>
      <c r="E224" s="190"/>
      <c r="F224" s="190"/>
      <c r="G224" s="190" t="s">
        <v>7</v>
      </c>
      <c r="H224" s="190" t="s">
        <v>7</v>
      </c>
      <c r="I224" s="191" t="s">
        <v>7</v>
      </c>
    </row>
    <row r="225" spans="2:9" s="172" customFormat="1" x14ac:dyDescent="0.3">
      <c r="B225" s="27" t="s">
        <v>251</v>
      </c>
      <c r="C225" s="27" t="s">
        <v>252</v>
      </c>
      <c r="D225" s="27" t="s">
        <v>253</v>
      </c>
      <c r="E225" s="27" t="s">
        <v>254</v>
      </c>
      <c r="F225" s="27" t="s">
        <v>255</v>
      </c>
      <c r="G225" s="27" t="s">
        <v>256</v>
      </c>
      <c r="H225" s="27" t="s">
        <v>257</v>
      </c>
      <c r="I225" s="27" t="s">
        <v>258</v>
      </c>
    </row>
    <row r="226" spans="2:9" hidden="1" x14ac:dyDescent="0.3">
      <c r="B226" s="172" t="s">
        <v>189</v>
      </c>
      <c r="C226" s="172" t="s">
        <v>79</v>
      </c>
      <c r="D226" s="172" t="s">
        <v>215</v>
      </c>
      <c r="E226" s="172">
        <v>2.22291767087146E-4</v>
      </c>
      <c r="F226" s="172">
        <v>30</v>
      </c>
      <c r="G226" s="172">
        <v>16</v>
      </c>
      <c r="H226" s="172">
        <v>0</v>
      </c>
      <c r="I226" s="172">
        <v>38.5</v>
      </c>
    </row>
    <row r="227" spans="2:9" hidden="1" x14ac:dyDescent="0.3">
      <c r="B227" s="172" t="s">
        <v>189</v>
      </c>
      <c r="C227" s="172" t="s">
        <v>79</v>
      </c>
      <c r="D227" s="172" t="s">
        <v>218</v>
      </c>
      <c r="E227" s="172">
        <v>6.3542312843422198E-5</v>
      </c>
      <c r="F227" s="172">
        <v>59</v>
      </c>
      <c r="G227" s="172">
        <v>21</v>
      </c>
      <c r="H227" s="172">
        <v>0</v>
      </c>
      <c r="I227" s="172">
        <v>38.5</v>
      </c>
    </row>
    <row r="228" spans="2:9" s="172" customFormat="1" hidden="1" x14ac:dyDescent="0.3">
      <c r="B228" s="172" t="s">
        <v>189</v>
      </c>
      <c r="C228" s="172" t="s">
        <v>80</v>
      </c>
      <c r="D228" s="172" t="s">
        <v>215</v>
      </c>
      <c r="E228" s="172">
        <v>2.43329727959041E-4</v>
      </c>
      <c r="F228" s="172">
        <v>30</v>
      </c>
      <c r="G228" s="172">
        <v>16</v>
      </c>
      <c r="H228" s="172">
        <v>0</v>
      </c>
      <c r="I228" s="172">
        <v>38.5</v>
      </c>
    </row>
    <row r="229" spans="2:9" hidden="1" x14ac:dyDescent="0.3">
      <c r="B229" s="172" t="s">
        <v>189</v>
      </c>
      <c r="C229" s="172" t="s">
        <v>80</v>
      </c>
      <c r="D229" s="172" t="s">
        <v>218</v>
      </c>
      <c r="E229" s="172">
        <v>1.16725061257035E-4</v>
      </c>
      <c r="F229" s="172">
        <v>59</v>
      </c>
      <c r="G229" s="172">
        <v>21</v>
      </c>
      <c r="H229" s="172">
        <v>0</v>
      </c>
      <c r="I229" s="172">
        <v>38.5</v>
      </c>
    </row>
    <row r="230" spans="2:9" hidden="1" x14ac:dyDescent="0.3">
      <c r="B230" s="172" t="s">
        <v>189</v>
      </c>
      <c r="C230" s="172" t="s">
        <v>81</v>
      </c>
      <c r="D230" s="172" t="s">
        <v>215</v>
      </c>
      <c r="E230" s="172">
        <v>1.0526441584251E-4</v>
      </c>
      <c r="F230" s="172">
        <v>30</v>
      </c>
      <c r="G230" s="172">
        <v>16</v>
      </c>
      <c r="H230" s="172">
        <v>0</v>
      </c>
      <c r="I230" s="172">
        <v>38.5</v>
      </c>
    </row>
    <row r="231" spans="2:9" s="172" customFormat="1" x14ac:dyDescent="0.3">
      <c r="B231" s="172" t="s">
        <v>189</v>
      </c>
      <c r="C231" s="172" t="s">
        <v>81</v>
      </c>
      <c r="D231" s="172" t="s">
        <v>218</v>
      </c>
      <c r="E231" s="172">
        <v>5.3881830236663297E-4</v>
      </c>
      <c r="F231" s="172">
        <v>59</v>
      </c>
      <c r="G231" s="172">
        <v>21</v>
      </c>
      <c r="H231" s="172">
        <v>0</v>
      </c>
      <c r="I231" s="172">
        <v>38.5</v>
      </c>
    </row>
    <row r="232" spans="2:9" hidden="1" x14ac:dyDescent="0.3">
      <c r="B232" s="172" t="s">
        <v>189</v>
      </c>
      <c r="C232" s="172" t="s">
        <v>82</v>
      </c>
      <c r="D232" s="172" t="s">
        <v>215</v>
      </c>
      <c r="E232" s="172">
        <v>7.2448631866248704E-5</v>
      </c>
      <c r="F232" s="172">
        <v>30</v>
      </c>
      <c r="G232" s="172">
        <v>16</v>
      </c>
      <c r="H232" s="172">
        <v>0</v>
      </c>
      <c r="I232" s="172">
        <v>38.5</v>
      </c>
    </row>
    <row r="233" spans="2:9" hidden="1" x14ac:dyDescent="0.3">
      <c r="B233" s="172" t="s">
        <v>189</v>
      </c>
      <c r="C233" s="172" t="s">
        <v>82</v>
      </c>
      <c r="D233" s="172" t="s">
        <v>218</v>
      </c>
      <c r="E233" s="172">
        <v>4.5761219498154099E-4</v>
      </c>
      <c r="F233" s="172">
        <v>59</v>
      </c>
      <c r="G233" s="172">
        <v>21</v>
      </c>
      <c r="H233" s="172">
        <v>0</v>
      </c>
      <c r="I233" s="172">
        <v>38.5</v>
      </c>
    </row>
    <row r="234" spans="2:9" s="172" customFormat="1" hidden="1" x14ac:dyDescent="0.3">
      <c r="B234" s="172" t="s">
        <v>189</v>
      </c>
      <c r="C234" s="172" t="s">
        <v>243</v>
      </c>
      <c r="D234" s="172" t="s">
        <v>215</v>
      </c>
      <c r="E234" s="172">
        <v>4.0836523988468498E-4</v>
      </c>
      <c r="F234" s="172">
        <v>30</v>
      </c>
      <c r="G234" s="172">
        <v>16</v>
      </c>
      <c r="H234" s="172">
        <v>0</v>
      </c>
      <c r="I234" s="172">
        <v>38.5</v>
      </c>
    </row>
    <row r="235" spans="2:9" hidden="1" x14ac:dyDescent="0.3">
      <c r="B235" s="172" t="s">
        <v>189</v>
      </c>
      <c r="C235" s="172" t="s">
        <v>243</v>
      </c>
      <c r="D235" s="172" t="s">
        <v>218</v>
      </c>
      <c r="E235" s="172">
        <v>2.6524155729516601E-4</v>
      </c>
      <c r="F235" s="172">
        <v>30</v>
      </c>
      <c r="G235" s="172">
        <v>16</v>
      </c>
      <c r="H235" s="172">
        <v>0</v>
      </c>
      <c r="I235" s="172">
        <v>38.5</v>
      </c>
    </row>
    <row r="236" spans="2:9" hidden="1" x14ac:dyDescent="0.3">
      <c r="B236" s="172" t="s">
        <v>187</v>
      </c>
      <c r="C236" s="172" t="s">
        <v>79</v>
      </c>
      <c r="D236" s="172" t="s">
        <v>215</v>
      </c>
      <c r="E236" s="172">
        <v>2.38234917259921E-4</v>
      </c>
      <c r="F236" s="172">
        <v>59</v>
      </c>
      <c r="G236" s="172">
        <v>21</v>
      </c>
      <c r="H236" s="172">
        <v>0</v>
      </c>
      <c r="I236" s="172">
        <v>35.5</v>
      </c>
    </row>
    <row r="237" spans="2:9" s="172" customFormat="1" hidden="1" x14ac:dyDescent="0.3">
      <c r="B237" s="172" t="s">
        <v>187</v>
      </c>
      <c r="C237" s="172" t="s">
        <v>79</v>
      </c>
      <c r="D237" s="172" t="s">
        <v>218</v>
      </c>
      <c r="E237" s="172">
        <v>5.2543930936159101E-5</v>
      </c>
      <c r="F237" s="172">
        <v>79</v>
      </c>
      <c r="G237" s="172">
        <v>21</v>
      </c>
      <c r="H237" s="172">
        <v>4</v>
      </c>
      <c r="I237" s="172">
        <v>35.5</v>
      </c>
    </row>
    <row r="238" spans="2:9" hidden="1" x14ac:dyDescent="0.3">
      <c r="B238" s="172" t="s">
        <v>187</v>
      </c>
      <c r="C238" s="172" t="s">
        <v>80</v>
      </c>
      <c r="D238" s="172" t="s">
        <v>215</v>
      </c>
      <c r="E238" s="172">
        <v>2.6919862808300499E-4</v>
      </c>
      <c r="F238" s="172">
        <v>59</v>
      </c>
      <c r="G238" s="172">
        <v>21</v>
      </c>
      <c r="H238" s="172">
        <v>0</v>
      </c>
      <c r="I238" s="172">
        <v>35.5</v>
      </c>
    </row>
    <row r="239" spans="2:9" hidden="1" x14ac:dyDescent="0.3">
      <c r="B239" s="172" t="s">
        <v>187</v>
      </c>
      <c r="C239" s="172" t="s">
        <v>80</v>
      </c>
      <c r="D239" s="172" t="s">
        <v>218</v>
      </c>
      <c r="E239" s="172">
        <v>1.11803767190918E-4</v>
      </c>
      <c r="F239" s="172">
        <v>59</v>
      </c>
      <c r="G239" s="172">
        <v>21</v>
      </c>
      <c r="H239" s="172">
        <v>0</v>
      </c>
      <c r="I239" s="172">
        <v>35.5</v>
      </c>
    </row>
    <row r="240" spans="2:9" s="172" customFormat="1" x14ac:dyDescent="0.3">
      <c r="B240" s="172" t="s">
        <v>187</v>
      </c>
      <c r="C240" s="172" t="s">
        <v>81</v>
      </c>
      <c r="D240" s="172" t="s">
        <v>218</v>
      </c>
      <c r="E240" s="172">
        <v>5.6040536704659205E-4</v>
      </c>
      <c r="F240" s="172">
        <v>59</v>
      </c>
      <c r="G240" s="172">
        <v>21</v>
      </c>
      <c r="H240" s="172">
        <v>0</v>
      </c>
      <c r="I240" s="172">
        <v>35.5</v>
      </c>
    </row>
    <row r="241" spans="2:9" hidden="1" x14ac:dyDescent="0.3">
      <c r="B241" s="172" t="s">
        <v>187</v>
      </c>
      <c r="C241" s="172" t="s">
        <v>82</v>
      </c>
      <c r="D241" s="172" t="s">
        <v>218</v>
      </c>
      <c r="E241" s="172">
        <v>4.6957378806723298E-4</v>
      </c>
      <c r="F241" s="172">
        <v>59</v>
      </c>
      <c r="G241" s="172">
        <v>21</v>
      </c>
      <c r="H241" s="172">
        <v>0</v>
      </c>
      <c r="I241" s="172">
        <v>35.5</v>
      </c>
    </row>
    <row r="242" spans="2:9" hidden="1" x14ac:dyDescent="0.3">
      <c r="B242" s="172" t="s">
        <v>187</v>
      </c>
      <c r="C242" s="172" t="s">
        <v>243</v>
      </c>
      <c r="D242" s="172" t="s">
        <v>215</v>
      </c>
      <c r="E242" s="172">
        <v>7.4972068446876205E-5</v>
      </c>
      <c r="F242" s="172">
        <v>59</v>
      </c>
      <c r="G242" s="172">
        <v>21</v>
      </c>
      <c r="H242" s="172">
        <v>0</v>
      </c>
      <c r="I242" s="172">
        <v>35.5</v>
      </c>
    </row>
    <row r="243" spans="2:9" s="172" customFormat="1" hidden="1" x14ac:dyDescent="0.3">
      <c r="B243" s="172" t="s">
        <v>185</v>
      </c>
      <c r="C243" s="172" t="s">
        <v>79</v>
      </c>
      <c r="D243" s="172" t="s">
        <v>215</v>
      </c>
      <c r="E243" s="172">
        <v>3.8964639712814699E-4</v>
      </c>
      <c r="F243" s="172">
        <v>69</v>
      </c>
      <c r="G243" s="172">
        <v>16.25</v>
      </c>
      <c r="H243" s="172">
        <v>15.3</v>
      </c>
      <c r="I243" s="172">
        <v>32</v>
      </c>
    </row>
    <row r="244" spans="2:9" hidden="1" x14ac:dyDescent="0.3">
      <c r="B244" s="172" t="s">
        <v>185</v>
      </c>
      <c r="C244" s="172" t="s">
        <v>79</v>
      </c>
      <c r="D244" s="172" t="s">
        <v>218</v>
      </c>
      <c r="E244" s="172">
        <v>7.8027390652308194E-5</v>
      </c>
      <c r="F244" s="172">
        <v>19</v>
      </c>
      <c r="G244" s="172">
        <v>0</v>
      </c>
      <c r="H244" s="172">
        <v>4</v>
      </c>
      <c r="I244" s="172">
        <v>32</v>
      </c>
    </row>
    <row r="245" spans="2:9" hidden="1" x14ac:dyDescent="0.3">
      <c r="B245" s="172" t="s">
        <v>185</v>
      </c>
      <c r="C245" s="172" t="s">
        <v>80</v>
      </c>
      <c r="D245" s="172" t="s">
        <v>215</v>
      </c>
      <c r="E245" s="172">
        <v>4.1567430115536301E-4</v>
      </c>
      <c r="F245" s="172">
        <v>59</v>
      </c>
      <c r="G245" s="172">
        <v>21</v>
      </c>
      <c r="H245" s="172">
        <v>0</v>
      </c>
      <c r="I245" s="172">
        <v>32</v>
      </c>
    </row>
    <row r="246" spans="2:9" s="172" customFormat="1" hidden="1" x14ac:dyDescent="0.3">
      <c r="B246" s="172" t="s">
        <v>185</v>
      </c>
      <c r="C246" s="172" t="s">
        <v>80</v>
      </c>
      <c r="D246" s="172" t="s">
        <v>218</v>
      </c>
      <c r="E246" s="172">
        <v>1.3536159028888401E-4</v>
      </c>
      <c r="F246" s="172">
        <v>59</v>
      </c>
      <c r="G246" s="172">
        <v>21</v>
      </c>
      <c r="H246" s="172">
        <v>0</v>
      </c>
      <c r="I246" s="172">
        <v>32</v>
      </c>
    </row>
    <row r="247" spans="2:9" x14ac:dyDescent="0.3">
      <c r="B247" s="172" t="s">
        <v>185</v>
      </c>
      <c r="C247" s="172" t="s">
        <v>81</v>
      </c>
      <c r="D247" s="172" t="s">
        <v>218</v>
      </c>
      <c r="E247" s="172">
        <v>7.3583119096251495E-4</v>
      </c>
      <c r="F247" s="172">
        <v>59</v>
      </c>
      <c r="G247" s="172">
        <v>21</v>
      </c>
      <c r="H247" s="172">
        <v>0</v>
      </c>
      <c r="I247" s="172">
        <v>32</v>
      </c>
    </row>
    <row r="248" spans="2:9" hidden="1" x14ac:dyDescent="0.3">
      <c r="B248" s="172" t="s">
        <v>185</v>
      </c>
      <c r="C248" s="172" t="s">
        <v>82</v>
      </c>
      <c r="D248" s="172" t="s">
        <v>218</v>
      </c>
      <c r="E248" s="172">
        <v>6.0360916894947601E-4</v>
      </c>
      <c r="F248" s="172">
        <v>59</v>
      </c>
      <c r="G248" s="172">
        <v>21</v>
      </c>
      <c r="H248" s="172">
        <v>0</v>
      </c>
      <c r="I248" s="172">
        <v>32</v>
      </c>
    </row>
    <row r="249" spans="2:9" s="172" customFormat="1" hidden="1" x14ac:dyDescent="0.3">
      <c r="B249" s="172" t="s">
        <v>185</v>
      </c>
      <c r="C249" s="172" t="s">
        <v>243</v>
      </c>
      <c r="D249" s="172" t="s">
        <v>215</v>
      </c>
      <c r="E249" s="172">
        <v>7.7646183740065597E-5</v>
      </c>
      <c r="F249" s="172">
        <v>59</v>
      </c>
      <c r="G249" s="172">
        <v>21</v>
      </c>
      <c r="H249" s="172">
        <v>0</v>
      </c>
      <c r="I249" s="172">
        <v>32</v>
      </c>
    </row>
    <row r="250" spans="2:9" hidden="1" x14ac:dyDescent="0.3">
      <c r="B250" s="172" t="s">
        <v>183</v>
      </c>
      <c r="C250" s="172" t="s">
        <v>79</v>
      </c>
      <c r="D250" s="172" t="s">
        <v>215</v>
      </c>
      <c r="E250" s="172">
        <v>5.3299634216003304E-4</v>
      </c>
      <c r="F250" s="172">
        <v>69</v>
      </c>
      <c r="G250" s="172">
        <v>16.25</v>
      </c>
      <c r="H250" s="172">
        <v>15.3</v>
      </c>
      <c r="I250" s="172">
        <v>28.5</v>
      </c>
    </row>
    <row r="251" spans="2:9" hidden="1" x14ac:dyDescent="0.3">
      <c r="B251" s="172" t="s">
        <v>183</v>
      </c>
      <c r="C251" s="172" t="s">
        <v>79</v>
      </c>
      <c r="D251" s="172" t="s">
        <v>218</v>
      </c>
      <c r="E251" s="172">
        <v>1.0646965592679E-4</v>
      </c>
      <c r="F251" s="172">
        <v>21</v>
      </c>
      <c r="G251" s="172">
        <v>0</v>
      </c>
      <c r="H251" s="172">
        <v>15</v>
      </c>
      <c r="I251" s="172">
        <v>28.5</v>
      </c>
    </row>
    <row r="252" spans="2:9" hidden="1" x14ac:dyDescent="0.3">
      <c r="B252" s="172" t="s">
        <v>183</v>
      </c>
      <c r="C252" s="172" t="s">
        <v>80</v>
      </c>
      <c r="D252" s="172" t="s">
        <v>215</v>
      </c>
      <c r="E252" s="172">
        <v>5.5025154911549404E-4</v>
      </c>
      <c r="F252" s="172">
        <v>59</v>
      </c>
      <c r="G252" s="172">
        <v>21</v>
      </c>
      <c r="H252" s="172">
        <v>0</v>
      </c>
      <c r="I252" s="172">
        <v>28.5</v>
      </c>
    </row>
    <row r="253" spans="2:9" hidden="1" x14ac:dyDescent="0.3">
      <c r="B253" s="172" t="s">
        <v>183</v>
      </c>
      <c r="C253" s="172" t="s">
        <v>80</v>
      </c>
      <c r="D253" s="172" t="s">
        <v>218</v>
      </c>
      <c r="E253" s="172">
        <v>1.56136477929798E-4</v>
      </c>
      <c r="F253" s="172">
        <v>59</v>
      </c>
      <c r="G253" s="172">
        <v>21</v>
      </c>
      <c r="H253" s="172">
        <v>0</v>
      </c>
      <c r="I253" s="172">
        <v>28.5</v>
      </c>
    </row>
    <row r="254" spans="2:9" x14ac:dyDescent="0.3">
      <c r="B254" s="172" t="s">
        <v>183</v>
      </c>
      <c r="C254" s="172" t="s">
        <v>81</v>
      </c>
      <c r="D254" s="172" t="s">
        <v>218</v>
      </c>
      <c r="E254" s="172">
        <v>8.8912532643959004E-4</v>
      </c>
      <c r="F254" s="172">
        <v>59</v>
      </c>
      <c r="G254" s="172">
        <v>21</v>
      </c>
      <c r="H254" s="172">
        <v>0</v>
      </c>
      <c r="I254" s="172">
        <v>28.5</v>
      </c>
    </row>
    <row r="255" spans="2:9" hidden="1" x14ac:dyDescent="0.3">
      <c r="B255" s="172" t="s">
        <v>183</v>
      </c>
      <c r="C255" s="172" t="s">
        <v>82</v>
      </c>
      <c r="D255" s="172" t="s">
        <v>218</v>
      </c>
      <c r="E255" s="172">
        <v>7.4324103631627004E-4</v>
      </c>
      <c r="F255" s="172">
        <v>21</v>
      </c>
      <c r="G255" s="172">
        <v>0</v>
      </c>
      <c r="H255" s="172">
        <v>15</v>
      </c>
      <c r="I255" s="172">
        <v>28.5</v>
      </c>
    </row>
    <row r="256" spans="2:9" hidden="1" x14ac:dyDescent="0.3">
      <c r="B256" s="172" t="s">
        <v>183</v>
      </c>
      <c r="C256" s="172" t="s">
        <v>243</v>
      </c>
      <c r="D256" s="172" t="s">
        <v>215</v>
      </c>
      <c r="E256" s="172">
        <v>7.4710269639487002E-5</v>
      </c>
      <c r="F256" s="172">
        <v>59</v>
      </c>
      <c r="G256" s="172">
        <v>21</v>
      </c>
      <c r="H256" s="172">
        <v>0</v>
      </c>
      <c r="I256" s="172">
        <v>28.5</v>
      </c>
    </row>
    <row r="257" spans="2:9" hidden="1" x14ac:dyDescent="0.3">
      <c r="B257" s="172" t="s">
        <v>181</v>
      </c>
      <c r="C257" s="172" t="s">
        <v>79</v>
      </c>
      <c r="D257" s="172" t="s">
        <v>215</v>
      </c>
      <c r="E257" s="172">
        <v>6.5498783748358801E-4</v>
      </c>
      <c r="F257" s="172">
        <v>69</v>
      </c>
      <c r="G257" s="172">
        <v>16.25</v>
      </c>
      <c r="H257" s="172">
        <v>15.3</v>
      </c>
      <c r="I257" s="172">
        <v>25</v>
      </c>
    </row>
    <row r="258" spans="2:9" hidden="1" x14ac:dyDescent="0.3">
      <c r="B258" s="172" t="s">
        <v>181</v>
      </c>
      <c r="C258" s="172" t="s">
        <v>79</v>
      </c>
      <c r="D258" s="172" t="s">
        <v>218</v>
      </c>
      <c r="E258" s="172">
        <v>1.3062810185599801E-4</v>
      </c>
      <c r="F258" s="172">
        <v>21</v>
      </c>
      <c r="G258" s="172">
        <v>0</v>
      </c>
      <c r="H258" s="172">
        <v>15</v>
      </c>
      <c r="I258" s="172">
        <v>25</v>
      </c>
    </row>
    <row r="259" spans="2:9" hidden="1" x14ac:dyDescent="0.3">
      <c r="B259" s="172" t="s">
        <v>181</v>
      </c>
      <c r="C259" s="172" t="s">
        <v>80</v>
      </c>
      <c r="D259" s="172" t="s">
        <v>215</v>
      </c>
      <c r="E259" s="172">
        <v>6.6405196634488402E-4</v>
      </c>
      <c r="F259" s="172">
        <v>59</v>
      </c>
      <c r="G259" s="172">
        <v>21</v>
      </c>
      <c r="H259" s="172">
        <v>0</v>
      </c>
      <c r="I259" s="172">
        <v>25</v>
      </c>
    </row>
    <row r="260" spans="2:9" hidden="1" x14ac:dyDescent="0.3">
      <c r="B260" s="172" t="s">
        <v>181</v>
      </c>
      <c r="C260" s="172" t="s">
        <v>80</v>
      </c>
      <c r="D260" s="172" t="s">
        <v>218</v>
      </c>
      <c r="E260" s="172">
        <v>1.7262613905723499E-4</v>
      </c>
      <c r="F260" s="172">
        <v>79</v>
      </c>
      <c r="G260" s="172">
        <v>21</v>
      </c>
      <c r="H260" s="172">
        <v>4</v>
      </c>
      <c r="I260" s="172">
        <v>25</v>
      </c>
    </row>
    <row r="261" spans="2:9" x14ac:dyDescent="0.3">
      <c r="B261" s="172" t="s">
        <v>181</v>
      </c>
      <c r="C261" s="172" t="s">
        <v>81</v>
      </c>
      <c r="D261" s="172" t="s">
        <v>218</v>
      </c>
      <c r="E261" s="172">
        <v>1.0104070293470099E-3</v>
      </c>
      <c r="F261" s="172">
        <v>59</v>
      </c>
      <c r="G261" s="172">
        <v>21</v>
      </c>
      <c r="H261" s="172">
        <v>0</v>
      </c>
      <c r="I261" s="172">
        <v>25</v>
      </c>
    </row>
    <row r="262" spans="2:9" hidden="1" x14ac:dyDescent="0.3">
      <c r="B262" s="172" t="s">
        <v>181</v>
      </c>
      <c r="C262" s="172" t="s">
        <v>82</v>
      </c>
      <c r="D262" s="172" t="s">
        <v>218</v>
      </c>
      <c r="E262" s="172">
        <v>8.8263482915248396E-4</v>
      </c>
      <c r="F262" s="172">
        <v>21</v>
      </c>
      <c r="G262" s="172">
        <v>0</v>
      </c>
      <c r="H262" s="172">
        <v>15</v>
      </c>
      <c r="I262" s="172">
        <v>25</v>
      </c>
    </row>
    <row r="263" spans="2:9" hidden="1" x14ac:dyDescent="0.3">
      <c r="B263" s="172" t="s">
        <v>181</v>
      </c>
      <c r="C263" s="172" t="s">
        <v>243</v>
      </c>
      <c r="D263" s="172" t="s">
        <v>215</v>
      </c>
      <c r="E263" s="172">
        <v>6.9726801164421401E-5</v>
      </c>
      <c r="F263" s="172">
        <v>59</v>
      </c>
      <c r="G263" s="172">
        <v>21</v>
      </c>
      <c r="H263" s="172">
        <v>0</v>
      </c>
      <c r="I263" s="172">
        <v>25</v>
      </c>
    </row>
    <row r="264" spans="2:9" hidden="1" x14ac:dyDescent="0.3">
      <c r="B264" s="172" t="s">
        <v>179</v>
      </c>
      <c r="C264" s="172" t="s">
        <v>79</v>
      </c>
      <c r="D264" s="172" t="s">
        <v>215</v>
      </c>
      <c r="E264" s="172">
        <v>7.5799423287777295E-4</v>
      </c>
      <c r="F264" s="172">
        <v>69</v>
      </c>
      <c r="G264" s="172">
        <v>16.25</v>
      </c>
      <c r="H264" s="172">
        <v>15.3</v>
      </c>
      <c r="I264" s="172">
        <v>21.5</v>
      </c>
    </row>
    <row r="265" spans="2:9" hidden="1" x14ac:dyDescent="0.3">
      <c r="B265" s="172" t="s">
        <v>179</v>
      </c>
      <c r="C265" s="172" t="s">
        <v>79</v>
      </c>
      <c r="D265" s="172" t="s">
        <v>218</v>
      </c>
      <c r="E265" s="172">
        <v>1.5139468865179201E-4</v>
      </c>
      <c r="F265" s="172">
        <v>21</v>
      </c>
      <c r="G265" s="172">
        <v>0</v>
      </c>
      <c r="H265" s="172">
        <v>15</v>
      </c>
      <c r="I265" s="172">
        <v>21.5</v>
      </c>
    </row>
    <row r="266" spans="2:9" hidden="1" x14ac:dyDescent="0.3">
      <c r="B266" s="172" t="s">
        <v>179</v>
      </c>
      <c r="C266" s="172" t="s">
        <v>80</v>
      </c>
      <c r="D266" s="172" t="s">
        <v>215</v>
      </c>
      <c r="E266" s="172">
        <v>7.5849664042792499E-4</v>
      </c>
      <c r="F266" s="172">
        <v>59</v>
      </c>
      <c r="G266" s="172">
        <v>21</v>
      </c>
      <c r="H266" s="172">
        <v>0</v>
      </c>
      <c r="I266" s="172">
        <v>21.5</v>
      </c>
    </row>
    <row r="267" spans="2:9" hidden="1" x14ac:dyDescent="0.3">
      <c r="B267" s="172" t="s">
        <v>179</v>
      </c>
      <c r="C267" s="172" t="s">
        <v>80</v>
      </c>
      <c r="D267" s="172" t="s">
        <v>218</v>
      </c>
      <c r="E267" s="172">
        <v>1.84487046984799E-4</v>
      </c>
      <c r="F267" s="172">
        <v>59</v>
      </c>
      <c r="G267" s="172">
        <v>21</v>
      </c>
      <c r="H267" s="172">
        <v>0</v>
      </c>
      <c r="I267" s="172">
        <v>21.5</v>
      </c>
    </row>
    <row r="268" spans="2:9" x14ac:dyDescent="0.3">
      <c r="B268" s="172" t="s">
        <v>179</v>
      </c>
      <c r="C268" s="172" t="s">
        <v>81</v>
      </c>
      <c r="D268" s="172" t="s">
        <v>218</v>
      </c>
      <c r="E268" s="172">
        <v>1.10364630983959E-3</v>
      </c>
      <c r="F268" s="172">
        <v>59</v>
      </c>
      <c r="G268" s="172">
        <v>21</v>
      </c>
      <c r="H268" s="172">
        <v>0</v>
      </c>
      <c r="I268" s="172">
        <v>21.5</v>
      </c>
    </row>
    <row r="269" spans="2:9" hidden="1" x14ac:dyDescent="0.3">
      <c r="B269" s="172" t="s">
        <v>179</v>
      </c>
      <c r="C269" s="172" t="s">
        <v>82</v>
      </c>
      <c r="D269" s="172" t="s">
        <v>218</v>
      </c>
      <c r="E269" s="172">
        <v>9.9584520351915398E-4</v>
      </c>
      <c r="F269" s="172">
        <v>21</v>
      </c>
      <c r="G269" s="172">
        <v>0</v>
      </c>
      <c r="H269" s="172">
        <v>15</v>
      </c>
      <c r="I269" s="172">
        <v>21.5</v>
      </c>
    </row>
    <row r="270" spans="2:9" hidden="1" x14ac:dyDescent="0.3">
      <c r="B270" s="172" t="s">
        <v>179</v>
      </c>
      <c r="C270" s="172" t="s">
        <v>243</v>
      </c>
      <c r="D270" s="172" t="s">
        <v>215</v>
      </c>
      <c r="E270" s="172">
        <v>6.3423245555939005E-5</v>
      </c>
      <c r="F270" s="172">
        <v>59</v>
      </c>
      <c r="G270" s="172">
        <v>21</v>
      </c>
      <c r="H270" s="172">
        <v>0</v>
      </c>
      <c r="I270" s="172">
        <v>21.5</v>
      </c>
    </row>
    <row r="271" spans="2:9" hidden="1" x14ac:dyDescent="0.3">
      <c r="B271" s="172" t="s">
        <v>39</v>
      </c>
      <c r="C271" s="172" t="s">
        <v>79</v>
      </c>
      <c r="D271" s="172" t="s">
        <v>215</v>
      </c>
      <c r="E271" s="172">
        <v>8.3814112846233803E-4</v>
      </c>
      <c r="F271" s="172">
        <v>69</v>
      </c>
      <c r="G271" s="172">
        <v>16.25</v>
      </c>
      <c r="H271" s="172">
        <v>15.3</v>
      </c>
      <c r="I271" s="172">
        <v>18</v>
      </c>
    </row>
    <row r="272" spans="2:9" hidden="1" x14ac:dyDescent="0.3">
      <c r="B272" s="172" t="s">
        <v>39</v>
      </c>
      <c r="C272" s="172" t="s">
        <v>79</v>
      </c>
      <c r="D272" s="172" t="s">
        <v>218</v>
      </c>
      <c r="E272" s="172">
        <v>1.76171227829516E-4</v>
      </c>
      <c r="F272" s="172">
        <v>21</v>
      </c>
      <c r="G272" s="172">
        <v>0</v>
      </c>
      <c r="H272" s="172">
        <v>15</v>
      </c>
      <c r="I272" s="172">
        <v>18</v>
      </c>
    </row>
    <row r="273" spans="2:9" hidden="1" x14ac:dyDescent="0.3">
      <c r="B273" s="172" t="s">
        <v>39</v>
      </c>
      <c r="C273" s="172" t="s">
        <v>80</v>
      </c>
      <c r="D273" s="172" t="s">
        <v>215</v>
      </c>
      <c r="E273" s="172">
        <v>8.1673204890456597E-4</v>
      </c>
      <c r="F273" s="172">
        <v>59</v>
      </c>
      <c r="G273" s="172">
        <v>21</v>
      </c>
      <c r="H273" s="172">
        <v>0</v>
      </c>
      <c r="I273" s="172">
        <v>18</v>
      </c>
    </row>
    <row r="274" spans="2:9" hidden="1" x14ac:dyDescent="0.3">
      <c r="B274" s="172" t="s">
        <v>39</v>
      </c>
      <c r="C274" s="172" t="s">
        <v>80</v>
      </c>
      <c r="D274" s="172" t="s">
        <v>218</v>
      </c>
      <c r="E274" s="172">
        <v>1.82374351903291E-4</v>
      </c>
      <c r="F274" s="172">
        <v>59</v>
      </c>
      <c r="G274" s="172">
        <v>21</v>
      </c>
      <c r="H274" s="172">
        <v>0</v>
      </c>
      <c r="I274" s="172">
        <v>18</v>
      </c>
    </row>
    <row r="275" spans="2:9" x14ac:dyDescent="0.3">
      <c r="B275" s="172" t="s">
        <v>39</v>
      </c>
      <c r="C275" s="172" t="s">
        <v>81</v>
      </c>
      <c r="D275" s="172" t="s">
        <v>218</v>
      </c>
      <c r="E275" s="172">
        <v>1.1676574589086E-3</v>
      </c>
      <c r="F275" s="172">
        <v>59</v>
      </c>
      <c r="G275" s="172">
        <v>21</v>
      </c>
      <c r="H275" s="172">
        <v>0</v>
      </c>
      <c r="I275" s="172">
        <v>18</v>
      </c>
    </row>
    <row r="276" spans="2:9" hidden="1" x14ac:dyDescent="0.3">
      <c r="B276" s="172" t="s">
        <v>39</v>
      </c>
      <c r="C276" s="172" t="s">
        <v>82</v>
      </c>
      <c r="D276" s="172" t="s">
        <v>218</v>
      </c>
      <c r="E276" s="172">
        <v>1.0885515500588801E-3</v>
      </c>
      <c r="F276" s="172">
        <v>21</v>
      </c>
      <c r="G276" s="172">
        <v>0</v>
      </c>
      <c r="H276" s="172">
        <v>15</v>
      </c>
      <c r="I276" s="172">
        <v>18</v>
      </c>
    </row>
    <row r="277" spans="2:9" hidden="1" x14ac:dyDescent="0.3">
      <c r="B277" s="172" t="s">
        <v>39</v>
      </c>
      <c r="C277" s="172" t="s">
        <v>243</v>
      </c>
      <c r="D277" s="172" t="s">
        <v>215</v>
      </c>
      <c r="E277" s="172">
        <v>6.3000027829239103E-5</v>
      </c>
      <c r="F277" s="172">
        <v>59</v>
      </c>
      <c r="G277" s="172">
        <v>21</v>
      </c>
      <c r="H277" s="172">
        <v>0</v>
      </c>
      <c r="I277" s="172">
        <v>18</v>
      </c>
    </row>
    <row r="278" spans="2:9" hidden="1" x14ac:dyDescent="0.3">
      <c r="B278" s="172" t="s">
        <v>26</v>
      </c>
      <c r="C278" s="172" t="s">
        <v>79</v>
      </c>
      <c r="D278" s="172" t="s">
        <v>215</v>
      </c>
      <c r="E278" s="172">
        <v>9.0204322797912803E-4</v>
      </c>
      <c r="F278" s="172">
        <v>69</v>
      </c>
      <c r="G278" s="172">
        <v>16.25</v>
      </c>
      <c r="H278" s="172">
        <v>15.3</v>
      </c>
      <c r="I278" s="172">
        <v>14.5</v>
      </c>
    </row>
    <row r="279" spans="2:9" hidden="1" x14ac:dyDescent="0.3">
      <c r="B279" s="172" t="s">
        <v>26</v>
      </c>
      <c r="C279" s="172" t="s">
        <v>79</v>
      </c>
      <c r="D279" s="172" t="s">
        <v>218</v>
      </c>
      <c r="E279" s="172">
        <v>1.98155138609731E-4</v>
      </c>
      <c r="F279" s="172">
        <v>21</v>
      </c>
      <c r="G279" s="172">
        <v>0</v>
      </c>
      <c r="H279" s="172">
        <v>15</v>
      </c>
      <c r="I279" s="172">
        <v>14.5</v>
      </c>
    </row>
    <row r="280" spans="2:9" hidden="1" x14ac:dyDescent="0.3">
      <c r="B280" s="172" t="s">
        <v>26</v>
      </c>
      <c r="C280" s="172" t="s">
        <v>80</v>
      </c>
      <c r="D280" s="172" t="s">
        <v>215</v>
      </c>
      <c r="E280" s="172">
        <v>8.5777958299234301E-4</v>
      </c>
      <c r="F280" s="172">
        <v>59</v>
      </c>
      <c r="G280" s="172">
        <v>21</v>
      </c>
      <c r="H280" s="172">
        <v>0</v>
      </c>
      <c r="I280" s="172">
        <v>14.5</v>
      </c>
    </row>
    <row r="281" spans="2:9" hidden="1" x14ac:dyDescent="0.3">
      <c r="B281" s="172" t="s">
        <v>26</v>
      </c>
      <c r="C281" s="172" t="s">
        <v>80</v>
      </c>
      <c r="D281" s="172" t="s">
        <v>218</v>
      </c>
      <c r="E281" s="172">
        <v>1.75519823455752E-4</v>
      </c>
      <c r="F281" s="172">
        <v>59</v>
      </c>
      <c r="G281" s="172">
        <v>21</v>
      </c>
      <c r="H281" s="172">
        <v>0</v>
      </c>
      <c r="I281" s="172">
        <v>14.5</v>
      </c>
    </row>
    <row r="282" spans="2:9" x14ac:dyDescent="0.3">
      <c r="B282" s="172" t="s">
        <v>26</v>
      </c>
      <c r="C282" s="172" t="s">
        <v>81</v>
      </c>
      <c r="D282" s="172" t="s">
        <v>218</v>
      </c>
      <c r="E282" s="172">
        <v>1.20961300971416E-3</v>
      </c>
      <c r="F282" s="172">
        <v>59</v>
      </c>
      <c r="G282" s="172">
        <v>21</v>
      </c>
      <c r="H282" s="172">
        <v>0</v>
      </c>
      <c r="I282" s="172">
        <v>14.5</v>
      </c>
    </row>
    <row r="283" spans="2:9" hidden="1" x14ac:dyDescent="0.3">
      <c r="B283" s="172" t="s">
        <v>26</v>
      </c>
      <c r="C283" s="172" t="s">
        <v>82</v>
      </c>
      <c r="D283" s="172" t="s">
        <v>218</v>
      </c>
      <c r="E283" s="172">
        <v>1.1623815379566301E-3</v>
      </c>
      <c r="F283" s="172">
        <v>21</v>
      </c>
      <c r="G283" s="172">
        <v>0</v>
      </c>
      <c r="H283" s="172">
        <v>15</v>
      </c>
      <c r="I283" s="172">
        <v>14.5</v>
      </c>
    </row>
    <row r="284" spans="2:9" hidden="1" x14ac:dyDescent="0.3">
      <c r="B284" s="172" t="s">
        <v>26</v>
      </c>
      <c r="C284" s="172" t="s">
        <v>243</v>
      </c>
      <c r="D284" s="172" t="s">
        <v>215</v>
      </c>
      <c r="E284" s="172">
        <v>5.9348950573737001E-5</v>
      </c>
      <c r="F284" s="172">
        <v>59</v>
      </c>
      <c r="G284" s="172">
        <v>21</v>
      </c>
      <c r="H284" s="172">
        <v>0</v>
      </c>
      <c r="I284" s="172">
        <v>14.5</v>
      </c>
    </row>
    <row r="285" spans="2:9" hidden="1" x14ac:dyDescent="0.3">
      <c r="B285" s="172" t="s">
        <v>25</v>
      </c>
      <c r="C285" s="172" t="s">
        <v>79</v>
      </c>
      <c r="D285" s="172" t="s">
        <v>215</v>
      </c>
      <c r="E285" s="172">
        <v>9.5542481481134098E-4</v>
      </c>
      <c r="F285" s="172">
        <v>69</v>
      </c>
      <c r="G285" s="172">
        <v>16.25</v>
      </c>
      <c r="H285" s="172">
        <v>15.3</v>
      </c>
      <c r="I285" s="172">
        <v>11</v>
      </c>
    </row>
    <row r="286" spans="2:9" hidden="1" x14ac:dyDescent="0.3">
      <c r="B286" s="172" t="s">
        <v>25</v>
      </c>
      <c r="C286" s="172" t="s">
        <v>79</v>
      </c>
      <c r="D286" s="172" t="s">
        <v>218</v>
      </c>
      <c r="E286" s="172">
        <v>2.0955450453731401E-4</v>
      </c>
      <c r="F286" s="172">
        <v>21</v>
      </c>
      <c r="G286" s="172">
        <v>0</v>
      </c>
      <c r="H286" s="172">
        <v>15</v>
      </c>
      <c r="I286" s="172">
        <v>11</v>
      </c>
    </row>
    <row r="287" spans="2:9" hidden="1" x14ac:dyDescent="0.3">
      <c r="B287" s="172" t="s">
        <v>25</v>
      </c>
      <c r="C287" s="172" t="s">
        <v>80</v>
      </c>
      <c r="D287" s="172" t="s">
        <v>215</v>
      </c>
      <c r="E287" s="172">
        <v>9.0040037011278004E-4</v>
      </c>
      <c r="F287" s="172">
        <v>59</v>
      </c>
      <c r="G287" s="172">
        <v>21</v>
      </c>
      <c r="H287" s="172">
        <v>0</v>
      </c>
      <c r="I287" s="172">
        <v>11</v>
      </c>
    </row>
    <row r="288" spans="2:9" hidden="1" x14ac:dyDescent="0.3">
      <c r="B288" s="172" t="s">
        <v>25</v>
      </c>
      <c r="C288" s="172" t="s">
        <v>80</v>
      </c>
      <c r="D288" s="172" t="s">
        <v>218</v>
      </c>
      <c r="E288" s="172">
        <v>1.73107949666797E-4</v>
      </c>
      <c r="F288" s="172">
        <v>59</v>
      </c>
      <c r="G288" s="172">
        <v>21</v>
      </c>
      <c r="H288" s="172">
        <v>0</v>
      </c>
      <c r="I288" s="172">
        <v>11</v>
      </c>
    </row>
    <row r="289" spans="2:9" x14ac:dyDescent="0.3">
      <c r="B289" s="172" t="s">
        <v>25</v>
      </c>
      <c r="C289" s="172" t="s">
        <v>81</v>
      </c>
      <c r="D289" s="172" t="s">
        <v>218</v>
      </c>
      <c r="E289" s="172">
        <v>1.2310530617680401E-3</v>
      </c>
      <c r="F289" s="172">
        <v>59</v>
      </c>
      <c r="G289" s="172">
        <v>21</v>
      </c>
      <c r="H289" s="172">
        <v>0</v>
      </c>
      <c r="I289" s="172">
        <v>11</v>
      </c>
    </row>
    <row r="290" spans="2:9" hidden="1" x14ac:dyDescent="0.3">
      <c r="B290" s="172" t="s">
        <v>25</v>
      </c>
      <c r="C290" s="172" t="s">
        <v>82</v>
      </c>
      <c r="D290" s="172" t="s">
        <v>215</v>
      </c>
      <c r="E290" s="172">
        <v>1.9865725607376799E-4</v>
      </c>
      <c r="F290" s="172">
        <v>69</v>
      </c>
      <c r="G290" s="172">
        <v>16.25</v>
      </c>
      <c r="H290" s="172">
        <v>15.3</v>
      </c>
      <c r="I290" s="172">
        <v>11</v>
      </c>
    </row>
    <row r="291" spans="2:9" hidden="1" x14ac:dyDescent="0.3">
      <c r="B291" s="172" t="s">
        <v>25</v>
      </c>
      <c r="C291" s="172" t="s">
        <v>82</v>
      </c>
      <c r="D291" s="172" t="s">
        <v>218</v>
      </c>
      <c r="E291" s="172">
        <v>1.2146949350627201E-3</v>
      </c>
      <c r="F291" s="172">
        <v>21</v>
      </c>
      <c r="G291" s="172">
        <v>0</v>
      </c>
      <c r="H291" s="172">
        <v>15</v>
      </c>
      <c r="I291" s="172">
        <v>11</v>
      </c>
    </row>
    <row r="292" spans="2:9" hidden="1" x14ac:dyDescent="0.3">
      <c r="B292" s="172" t="s">
        <v>25</v>
      </c>
      <c r="C292" s="172" t="s">
        <v>243</v>
      </c>
      <c r="D292" s="172" t="s">
        <v>215</v>
      </c>
      <c r="E292" s="172">
        <v>4.4331337195698697E-5</v>
      </c>
      <c r="F292" s="172">
        <v>59</v>
      </c>
      <c r="G292" s="172">
        <v>21</v>
      </c>
      <c r="H292" s="172">
        <v>0</v>
      </c>
      <c r="I292" s="172">
        <v>11</v>
      </c>
    </row>
    <row r="293" spans="2:9" hidden="1" x14ac:dyDescent="0.3">
      <c r="B293" s="172" t="s">
        <v>24</v>
      </c>
      <c r="C293" s="172" t="s">
        <v>79</v>
      </c>
      <c r="D293" s="172" t="s">
        <v>215</v>
      </c>
      <c r="E293" s="172">
        <v>9.8639713299354908E-4</v>
      </c>
      <c r="F293" s="172">
        <v>69</v>
      </c>
      <c r="G293" s="172">
        <v>16.25</v>
      </c>
      <c r="H293" s="172">
        <v>15.3</v>
      </c>
      <c r="I293" s="172">
        <v>7.5</v>
      </c>
    </row>
    <row r="294" spans="2:9" hidden="1" x14ac:dyDescent="0.3">
      <c r="B294" s="172" t="s">
        <v>24</v>
      </c>
      <c r="C294" s="172" t="s">
        <v>79</v>
      </c>
      <c r="D294" s="172" t="s">
        <v>218</v>
      </c>
      <c r="E294" s="172">
        <v>2.13480686400766E-4</v>
      </c>
      <c r="F294" s="172">
        <v>21</v>
      </c>
      <c r="G294" s="172">
        <v>0</v>
      </c>
      <c r="H294" s="172">
        <v>15</v>
      </c>
      <c r="I294" s="172">
        <v>7.5</v>
      </c>
    </row>
    <row r="295" spans="2:9" hidden="1" x14ac:dyDescent="0.3">
      <c r="B295" s="172" t="s">
        <v>24</v>
      </c>
      <c r="C295" s="172" t="s">
        <v>80</v>
      </c>
      <c r="D295" s="172" t="s">
        <v>215</v>
      </c>
      <c r="E295" s="172">
        <v>9.2055185657962605E-4</v>
      </c>
      <c r="F295" s="172">
        <v>59</v>
      </c>
      <c r="G295" s="172">
        <v>21</v>
      </c>
      <c r="H295" s="172">
        <v>0</v>
      </c>
      <c r="I295" s="172">
        <v>7.5</v>
      </c>
    </row>
    <row r="296" spans="2:9" hidden="1" x14ac:dyDescent="0.3">
      <c r="B296" s="172" t="s">
        <v>24</v>
      </c>
      <c r="C296" s="172" t="s">
        <v>80</v>
      </c>
      <c r="D296" s="172" t="s">
        <v>218</v>
      </c>
      <c r="E296" s="172">
        <v>1.65886619964838E-4</v>
      </c>
      <c r="F296" s="172">
        <v>59</v>
      </c>
      <c r="G296" s="172">
        <v>21</v>
      </c>
      <c r="H296" s="172">
        <v>0</v>
      </c>
      <c r="I296" s="172">
        <v>7.5</v>
      </c>
    </row>
    <row r="297" spans="2:9" x14ac:dyDescent="0.3">
      <c r="B297" s="172" t="s">
        <v>24</v>
      </c>
      <c r="C297" s="172" t="s">
        <v>81</v>
      </c>
      <c r="D297" s="172" t="s">
        <v>218</v>
      </c>
      <c r="E297" s="172">
        <v>1.21361599958783E-3</v>
      </c>
      <c r="F297" s="172">
        <v>59</v>
      </c>
      <c r="G297" s="172">
        <v>21</v>
      </c>
      <c r="H297" s="172">
        <v>0</v>
      </c>
      <c r="I297" s="172">
        <v>7.5</v>
      </c>
    </row>
    <row r="298" spans="2:9" hidden="1" x14ac:dyDescent="0.3">
      <c r="B298" s="172" t="s">
        <v>24</v>
      </c>
      <c r="C298" s="172" t="s">
        <v>82</v>
      </c>
      <c r="D298" s="172" t="s">
        <v>215</v>
      </c>
      <c r="E298" s="172">
        <v>2.1466826491485901E-4</v>
      </c>
      <c r="F298" s="172">
        <v>69</v>
      </c>
      <c r="G298" s="172">
        <v>16.25</v>
      </c>
      <c r="H298" s="172">
        <v>15.3</v>
      </c>
      <c r="I298" s="172">
        <v>7.5</v>
      </c>
    </row>
    <row r="299" spans="2:9" hidden="1" x14ac:dyDescent="0.3">
      <c r="B299" s="172" t="s">
        <v>24</v>
      </c>
      <c r="C299" s="172" t="s">
        <v>82</v>
      </c>
      <c r="D299" s="172" t="s">
        <v>218</v>
      </c>
      <c r="E299" s="172">
        <v>1.23056873048441E-3</v>
      </c>
      <c r="F299" s="172">
        <v>21</v>
      </c>
      <c r="G299" s="172">
        <v>0</v>
      </c>
      <c r="H299" s="172">
        <v>15</v>
      </c>
      <c r="I299" s="172">
        <v>7.5</v>
      </c>
    </row>
    <row r="300" spans="2:9" hidden="1" x14ac:dyDescent="0.3">
      <c r="B300" s="172" t="s">
        <v>24</v>
      </c>
      <c r="C300" s="172" t="s">
        <v>243</v>
      </c>
      <c r="D300" s="172" t="s">
        <v>215</v>
      </c>
      <c r="E300" s="172">
        <v>2.4837606182569601E-5</v>
      </c>
      <c r="F300" s="172">
        <v>59</v>
      </c>
      <c r="G300" s="172">
        <v>21</v>
      </c>
      <c r="H300" s="172">
        <v>0</v>
      </c>
      <c r="I300" s="172">
        <v>7.5</v>
      </c>
    </row>
    <row r="301" spans="2:9" hidden="1" x14ac:dyDescent="0.3">
      <c r="B301" s="172" t="s">
        <v>22</v>
      </c>
      <c r="C301" s="172" t="s">
        <v>79</v>
      </c>
      <c r="D301" s="172" t="s">
        <v>215</v>
      </c>
      <c r="E301" s="172">
        <v>8.3869050415027199E-4</v>
      </c>
      <c r="F301" s="172">
        <v>33</v>
      </c>
      <c r="G301" s="172">
        <v>16</v>
      </c>
      <c r="H301" s="172">
        <v>15</v>
      </c>
      <c r="I301" s="172">
        <v>4</v>
      </c>
    </row>
    <row r="302" spans="2:9" hidden="1" x14ac:dyDescent="0.3">
      <c r="B302" s="172" t="s">
        <v>22</v>
      </c>
      <c r="C302" s="172" t="s">
        <v>79</v>
      </c>
      <c r="D302" s="172" t="s">
        <v>218</v>
      </c>
      <c r="E302" s="172">
        <v>1.65191708548602E-4</v>
      </c>
      <c r="F302" s="172">
        <v>21</v>
      </c>
      <c r="G302" s="172">
        <v>0</v>
      </c>
      <c r="H302" s="172">
        <v>15</v>
      </c>
      <c r="I302" s="172">
        <v>4</v>
      </c>
    </row>
    <row r="303" spans="2:9" hidden="1" x14ac:dyDescent="0.3">
      <c r="B303" s="172" t="s">
        <v>22</v>
      </c>
      <c r="C303" s="172" t="s">
        <v>80</v>
      </c>
      <c r="D303" s="172" t="s">
        <v>215</v>
      </c>
      <c r="E303" s="172">
        <v>7.7940498946278702E-4</v>
      </c>
      <c r="F303" s="172">
        <v>59</v>
      </c>
      <c r="G303" s="172">
        <v>21</v>
      </c>
      <c r="H303" s="172">
        <v>0</v>
      </c>
      <c r="I303" s="172">
        <v>4</v>
      </c>
    </row>
    <row r="304" spans="2:9" hidden="1" x14ac:dyDescent="0.3">
      <c r="B304" s="172" t="s">
        <v>22</v>
      </c>
      <c r="C304" s="172" t="s">
        <v>80</v>
      </c>
      <c r="D304" s="172" t="s">
        <v>218</v>
      </c>
      <c r="E304" s="172">
        <v>1.3361382385944701E-4</v>
      </c>
      <c r="F304" s="172">
        <v>59</v>
      </c>
      <c r="G304" s="172">
        <v>21</v>
      </c>
      <c r="H304" s="172">
        <v>0</v>
      </c>
      <c r="I304" s="172">
        <v>4</v>
      </c>
    </row>
    <row r="305" spans="2:9" x14ac:dyDescent="0.3">
      <c r="B305" s="172" t="s">
        <v>22</v>
      </c>
      <c r="C305" s="172" t="s">
        <v>81</v>
      </c>
      <c r="D305" s="172" t="s">
        <v>218</v>
      </c>
      <c r="E305" s="172">
        <v>9.4808030541592998E-4</v>
      </c>
      <c r="F305" s="172">
        <v>59</v>
      </c>
      <c r="G305" s="172">
        <v>21</v>
      </c>
      <c r="H305" s="172">
        <v>0</v>
      </c>
      <c r="I305" s="172">
        <v>4</v>
      </c>
    </row>
    <row r="306" spans="2:9" hidden="1" x14ac:dyDescent="0.3">
      <c r="B306" s="172" t="s">
        <v>22</v>
      </c>
      <c r="C306" s="172" t="s">
        <v>82</v>
      </c>
      <c r="D306" s="172" t="s">
        <v>215</v>
      </c>
      <c r="E306" s="172">
        <v>1.8416222723451899E-4</v>
      </c>
      <c r="F306" s="172">
        <v>33</v>
      </c>
      <c r="G306" s="172">
        <v>16</v>
      </c>
      <c r="H306" s="172">
        <v>15</v>
      </c>
      <c r="I306" s="172">
        <v>4</v>
      </c>
    </row>
    <row r="307" spans="2:9" hidden="1" x14ac:dyDescent="0.3">
      <c r="B307" s="172" t="s">
        <v>22</v>
      </c>
      <c r="C307" s="172" t="s">
        <v>82</v>
      </c>
      <c r="D307" s="172" t="s">
        <v>218</v>
      </c>
      <c r="E307" s="172">
        <v>9.8880847842734406E-4</v>
      </c>
      <c r="F307" s="172">
        <v>21</v>
      </c>
      <c r="G307" s="172">
        <v>0</v>
      </c>
      <c r="H307" s="172">
        <v>15</v>
      </c>
      <c r="I307" s="172">
        <v>4</v>
      </c>
    </row>
    <row r="308" spans="2:9" hidden="1" x14ac:dyDescent="0.3">
      <c r="B308" s="172" t="s">
        <v>22</v>
      </c>
      <c r="C308" s="172" t="s">
        <v>243</v>
      </c>
      <c r="D308" s="172" t="s">
        <v>215</v>
      </c>
      <c r="E308" s="172">
        <v>7.4359108783468897E-6</v>
      </c>
      <c r="F308" s="172">
        <v>59</v>
      </c>
      <c r="G308" s="172">
        <v>21</v>
      </c>
      <c r="H308" s="172">
        <v>0</v>
      </c>
      <c r="I308" s="172">
        <v>4</v>
      </c>
    </row>
    <row r="309" spans="2:9" hidden="1" x14ac:dyDescent="0.3">
      <c r="B309" s="172"/>
      <c r="C309" s="172"/>
      <c r="D309" s="172"/>
      <c r="E309" s="172"/>
      <c r="F309" s="172"/>
      <c r="G309" s="172"/>
      <c r="H309" s="172"/>
      <c r="I309" s="172"/>
    </row>
    <row r="310" spans="2:9" hidden="1" x14ac:dyDescent="0.3">
      <c r="B310" s="172"/>
      <c r="C310" s="172"/>
      <c r="D310" s="172"/>
      <c r="E310" s="172"/>
      <c r="F310" s="172"/>
      <c r="G310" s="172"/>
      <c r="H310" s="172"/>
      <c r="I310" s="172"/>
    </row>
    <row r="311" spans="2:9" hidden="1" x14ac:dyDescent="0.3">
      <c r="B311" s="172"/>
      <c r="C311" s="172"/>
      <c r="D311" s="172"/>
      <c r="E311" s="172"/>
      <c r="F311" s="172"/>
      <c r="G311" s="172"/>
      <c r="H311" s="172"/>
      <c r="I311" s="172"/>
    </row>
    <row r="312" spans="2:9" hidden="1" x14ac:dyDescent="0.3">
      <c r="B312" s="172"/>
      <c r="C312" s="172"/>
      <c r="D312" s="172"/>
      <c r="E312" s="172"/>
      <c r="F312" s="172"/>
      <c r="G312" s="172"/>
      <c r="H312" s="172"/>
      <c r="I312" s="172"/>
    </row>
    <row r="313" spans="2:9" hidden="1" x14ac:dyDescent="0.3">
      <c r="B313" s="172"/>
      <c r="C313" s="172"/>
      <c r="D313" s="172"/>
      <c r="E313" s="172"/>
      <c r="F313" s="172"/>
      <c r="G313" s="172"/>
      <c r="H313" s="172"/>
      <c r="I313" s="172"/>
    </row>
    <row r="314" spans="2:9" hidden="1" x14ac:dyDescent="0.3">
      <c r="B314" s="172"/>
      <c r="C314" s="172"/>
      <c r="D314" s="172"/>
      <c r="E314" s="172"/>
      <c r="F314" s="172"/>
      <c r="G314" s="172"/>
      <c r="H314" s="172"/>
      <c r="I314" s="172"/>
    </row>
    <row r="315" spans="2:9" hidden="1" x14ac:dyDescent="0.3">
      <c r="B315" s="172"/>
      <c r="C315" s="172"/>
      <c r="D315" s="172"/>
      <c r="E315" s="172"/>
      <c r="F315" s="172"/>
      <c r="G315" s="172"/>
      <c r="H315" s="172"/>
      <c r="I315" s="172"/>
    </row>
    <row r="316" spans="2:9" hidden="1" x14ac:dyDescent="0.3">
      <c r="B316" s="172"/>
      <c r="C316" s="172"/>
      <c r="D316" s="172"/>
      <c r="E316" s="172"/>
      <c r="F316" s="172"/>
      <c r="G316" s="172"/>
      <c r="H316" s="172"/>
      <c r="I316" s="172"/>
    </row>
    <row r="317" spans="2:9" hidden="1" x14ac:dyDescent="0.3">
      <c r="B317" s="172"/>
      <c r="C317" s="172"/>
      <c r="D317" s="172"/>
      <c r="E317" s="172"/>
      <c r="F317" s="172"/>
      <c r="G317" s="172"/>
      <c r="H317" s="172"/>
      <c r="I317" s="172"/>
    </row>
    <row r="318" spans="2:9" hidden="1" x14ac:dyDescent="0.3">
      <c r="B318" s="172"/>
      <c r="C318" s="172"/>
      <c r="D318" s="172"/>
      <c r="E318" s="172"/>
      <c r="F318" s="172"/>
      <c r="G318" s="172"/>
      <c r="H318" s="172"/>
      <c r="I318" s="172"/>
    </row>
    <row r="319" spans="2:9" hidden="1" x14ac:dyDescent="0.3">
      <c r="B319" s="172"/>
      <c r="C319" s="172"/>
      <c r="D319" s="172"/>
      <c r="E319" s="172"/>
      <c r="F319" s="172"/>
      <c r="G319" s="172"/>
      <c r="H319" s="172"/>
      <c r="I319" s="172"/>
    </row>
    <row r="320" spans="2:9" hidden="1" x14ac:dyDescent="0.3">
      <c r="B320" s="172"/>
      <c r="C320" s="172"/>
      <c r="D320" s="172"/>
      <c r="E320" s="172"/>
      <c r="F320" s="172"/>
      <c r="G320" s="172"/>
      <c r="H320" s="172"/>
      <c r="I320" s="172"/>
    </row>
    <row r="321" spans="2:9" hidden="1" x14ac:dyDescent="0.3">
      <c r="B321" s="172"/>
      <c r="C321" s="172"/>
      <c r="D321" s="172"/>
      <c r="E321" s="172"/>
      <c r="F321" s="172"/>
      <c r="G321" s="172"/>
      <c r="H321" s="172"/>
      <c r="I321" s="172"/>
    </row>
    <row r="322" spans="2:9" hidden="1" x14ac:dyDescent="0.3">
      <c r="B322" s="172"/>
      <c r="C322" s="172"/>
      <c r="D322" s="172"/>
      <c r="E322" s="172"/>
      <c r="F322" s="172"/>
      <c r="G322" s="172"/>
      <c r="H322" s="172"/>
      <c r="I322" s="172"/>
    </row>
    <row r="323" spans="2:9" hidden="1" x14ac:dyDescent="0.3">
      <c r="B323" s="172"/>
      <c r="C323" s="172"/>
      <c r="D323" s="172"/>
      <c r="E323" s="172"/>
      <c r="F323" s="172"/>
      <c r="G323" s="172"/>
      <c r="H323" s="172"/>
      <c r="I323" s="172"/>
    </row>
    <row r="324" spans="2:9" hidden="1" x14ac:dyDescent="0.3">
      <c r="B324" s="172"/>
      <c r="C324" s="172"/>
      <c r="D324" s="172"/>
      <c r="E324" s="172"/>
      <c r="F324" s="172"/>
      <c r="G324" s="172"/>
      <c r="H324" s="172"/>
      <c r="I324" s="172"/>
    </row>
    <row r="325" spans="2:9" hidden="1" x14ac:dyDescent="0.3">
      <c r="B325" s="172"/>
      <c r="C325" s="172"/>
      <c r="D325" s="172"/>
      <c r="E325" s="172"/>
      <c r="F325" s="172"/>
      <c r="G325" s="172"/>
      <c r="H325" s="172"/>
      <c r="I325" s="172"/>
    </row>
    <row r="326" spans="2:9" hidden="1" x14ac:dyDescent="0.3">
      <c r="B326" s="172"/>
      <c r="C326" s="172"/>
      <c r="D326" s="172"/>
      <c r="E326" s="172"/>
      <c r="F326" s="172"/>
      <c r="G326" s="172"/>
      <c r="H326" s="172"/>
      <c r="I326" s="172"/>
    </row>
    <row r="327" spans="2:9" hidden="1" x14ac:dyDescent="0.3">
      <c r="B327" s="172"/>
      <c r="C327" s="172"/>
      <c r="D327" s="172"/>
      <c r="E327" s="172"/>
      <c r="F327" s="172"/>
      <c r="G327" s="172"/>
      <c r="H327" s="172"/>
      <c r="I327" s="172"/>
    </row>
    <row r="328" spans="2:9" hidden="1" x14ac:dyDescent="0.3">
      <c r="B328" s="172"/>
      <c r="C328" s="172"/>
      <c r="D328" s="172"/>
      <c r="E328" s="172"/>
      <c r="F328" s="172"/>
      <c r="G328" s="172"/>
      <c r="H328" s="172"/>
      <c r="I328" s="172"/>
    </row>
    <row r="329" spans="2:9" hidden="1" x14ac:dyDescent="0.3">
      <c r="B329" s="172"/>
      <c r="C329" s="172"/>
      <c r="D329" s="172"/>
      <c r="E329" s="172"/>
      <c r="F329" s="172"/>
      <c r="G329" s="172"/>
      <c r="H329" s="172"/>
      <c r="I329" s="172"/>
    </row>
    <row r="330" spans="2:9" x14ac:dyDescent="0.3">
      <c r="B330" s="172"/>
      <c r="C330" s="172"/>
      <c r="D330" s="172"/>
      <c r="E330" s="172"/>
      <c r="F330" s="172"/>
      <c r="G330" s="172"/>
      <c r="H330" s="172"/>
      <c r="I330" s="172"/>
    </row>
    <row r="331" spans="2:9" x14ac:dyDescent="0.3">
      <c r="B331" s="172"/>
      <c r="C331" s="172"/>
      <c r="D331" s="172"/>
      <c r="E331" s="172"/>
      <c r="F331" s="172"/>
      <c r="G331" s="172"/>
      <c r="H331" s="172"/>
      <c r="I331" s="172"/>
    </row>
    <row r="332" spans="2:9" x14ac:dyDescent="0.3">
      <c r="B332" s="172"/>
      <c r="C332" s="172"/>
      <c r="D332" s="172"/>
      <c r="E332" s="172"/>
      <c r="F332" s="172"/>
      <c r="G332" s="172"/>
      <c r="H332" s="172"/>
      <c r="I332" s="172"/>
    </row>
    <row r="333" spans="2:9" x14ac:dyDescent="0.3">
      <c r="B333" s="167" t="s">
        <v>248</v>
      </c>
      <c r="C333" s="168"/>
      <c r="D333" s="168"/>
      <c r="E333" s="168"/>
      <c r="F333" s="168"/>
      <c r="G333" s="168"/>
      <c r="H333" s="168"/>
      <c r="I333" s="168"/>
    </row>
    <row r="334" spans="2:9" x14ac:dyDescent="0.3">
      <c r="B334" s="169" t="s">
        <v>9</v>
      </c>
      <c r="C334" s="169" t="s">
        <v>46</v>
      </c>
      <c r="D334" s="169" t="s">
        <v>42</v>
      </c>
      <c r="E334" s="169" t="s">
        <v>249</v>
      </c>
      <c r="F334" s="169" t="s">
        <v>250</v>
      </c>
      <c r="G334" s="169" t="s">
        <v>215</v>
      </c>
      <c r="H334" s="169" t="s">
        <v>218</v>
      </c>
      <c r="I334" s="170" t="s">
        <v>203</v>
      </c>
    </row>
    <row r="335" spans="2:9" x14ac:dyDescent="0.3">
      <c r="B335" s="190"/>
      <c r="C335" s="190"/>
      <c r="D335" s="190"/>
      <c r="E335" s="190"/>
      <c r="F335" s="190"/>
      <c r="G335" s="190" t="s">
        <v>7</v>
      </c>
      <c r="H335" s="190" t="s">
        <v>7</v>
      </c>
      <c r="I335" s="191" t="s">
        <v>7</v>
      </c>
    </row>
    <row r="336" spans="2:9" s="172" customFormat="1" x14ac:dyDescent="0.3">
      <c r="B336" s="27" t="s">
        <v>251</v>
      </c>
      <c r="C336" s="27" t="s">
        <v>252</v>
      </c>
      <c r="D336" s="27" t="s">
        <v>253</v>
      </c>
      <c r="E336" s="27" t="s">
        <v>254</v>
      </c>
      <c r="F336" s="27" t="s">
        <v>255</v>
      </c>
      <c r="G336" s="27" t="s">
        <v>256</v>
      </c>
      <c r="H336" s="27" t="s">
        <v>257</v>
      </c>
      <c r="I336" s="27" t="s">
        <v>258</v>
      </c>
    </row>
    <row r="337" spans="2:9" hidden="1" x14ac:dyDescent="0.3">
      <c r="B337" s="172" t="s">
        <v>189</v>
      </c>
      <c r="C337" s="172" t="s">
        <v>79</v>
      </c>
      <c r="D337" s="172" t="s">
        <v>215</v>
      </c>
      <c r="E337" s="172">
        <v>2.22291767087146E-4</v>
      </c>
      <c r="F337" s="172">
        <v>30</v>
      </c>
      <c r="G337" s="172">
        <v>16</v>
      </c>
      <c r="H337" s="172">
        <v>0</v>
      </c>
      <c r="I337" s="172">
        <v>38.5</v>
      </c>
    </row>
    <row r="338" spans="2:9" hidden="1" x14ac:dyDescent="0.3">
      <c r="B338" s="172" t="s">
        <v>189</v>
      </c>
      <c r="C338" s="172" t="s">
        <v>79</v>
      </c>
      <c r="D338" s="172" t="s">
        <v>218</v>
      </c>
      <c r="E338" s="172">
        <v>6.3542312843422198E-5</v>
      </c>
      <c r="F338" s="172">
        <v>59</v>
      </c>
      <c r="G338" s="172">
        <v>21</v>
      </c>
      <c r="H338" s="172">
        <v>0</v>
      </c>
      <c r="I338" s="172">
        <v>38.5</v>
      </c>
    </row>
    <row r="339" spans="2:9" hidden="1" x14ac:dyDescent="0.3">
      <c r="B339" s="172" t="s">
        <v>189</v>
      </c>
      <c r="C339" s="172" t="s">
        <v>80</v>
      </c>
      <c r="D339" s="172" t="s">
        <v>215</v>
      </c>
      <c r="E339" s="172">
        <v>2.43329727959041E-4</v>
      </c>
      <c r="F339" s="172">
        <v>30</v>
      </c>
      <c r="G339" s="172">
        <v>16</v>
      </c>
      <c r="H339" s="172">
        <v>0</v>
      </c>
      <c r="I339" s="172">
        <v>38.5</v>
      </c>
    </row>
    <row r="340" spans="2:9" s="172" customFormat="1" hidden="1" x14ac:dyDescent="0.3">
      <c r="B340" s="172" t="s">
        <v>189</v>
      </c>
      <c r="C340" s="172" t="s">
        <v>80</v>
      </c>
      <c r="D340" s="172" t="s">
        <v>218</v>
      </c>
      <c r="E340" s="172">
        <v>1.16725061257035E-4</v>
      </c>
      <c r="F340" s="172">
        <v>59</v>
      </c>
      <c r="G340" s="172">
        <v>21</v>
      </c>
      <c r="H340" s="172">
        <v>0</v>
      </c>
      <c r="I340" s="172">
        <v>38.5</v>
      </c>
    </row>
    <row r="341" spans="2:9" hidden="1" x14ac:dyDescent="0.3">
      <c r="B341" s="172" t="s">
        <v>189</v>
      </c>
      <c r="C341" s="172" t="s">
        <v>81</v>
      </c>
      <c r="D341" s="172" t="s">
        <v>215</v>
      </c>
      <c r="E341" s="172">
        <v>1.0526441584251E-4</v>
      </c>
      <c r="F341" s="172">
        <v>30</v>
      </c>
      <c r="G341" s="172">
        <v>16</v>
      </c>
      <c r="H341" s="172">
        <v>0</v>
      </c>
      <c r="I341" s="172">
        <v>38.5</v>
      </c>
    </row>
    <row r="342" spans="2:9" hidden="1" x14ac:dyDescent="0.3">
      <c r="B342" s="172" t="s">
        <v>189</v>
      </c>
      <c r="C342" s="172" t="s">
        <v>81</v>
      </c>
      <c r="D342" s="172" t="s">
        <v>218</v>
      </c>
      <c r="E342" s="172">
        <v>5.3881830236663297E-4</v>
      </c>
      <c r="F342" s="172">
        <v>59</v>
      </c>
      <c r="G342" s="172">
        <v>21</v>
      </c>
      <c r="H342" s="172">
        <v>0</v>
      </c>
      <c r="I342" s="172">
        <v>38.5</v>
      </c>
    </row>
    <row r="343" spans="2:9" hidden="1" x14ac:dyDescent="0.3">
      <c r="B343" s="172" t="s">
        <v>189</v>
      </c>
      <c r="C343" s="172" t="s">
        <v>82</v>
      </c>
      <c r="D343" s="172" t="s">
        <v>215</v>
      </c>
      <c r="E343" s="172">
        <v>7.2448631866248704E-5</v>
      </c>
      <c r="F343" s="172">
        <v>30</v>
      </c>
      <c r="G343" s="172">
        <v>16</v>
      </c>
      <c r="H343" s="172">
        <v>0</v>
      </c>
      <c r="I343" s="172">
        <v>38.5</v>
      </c>
    </row>
    <row r="344" spans="2:9" s="172" customFormat="1" x14ac:dyDescent="0.3">
      <c r="B344" s="172" t="s">
        <v>189</v>
      </c>
      <c r="C344" s="172" t="s">
        <v>82</v>
      </c>
      <c r="D344" s="172" t="s">
        <v>218</v>
      </c>
      <c r="E344" s="172">
        <v>4.5761219498154099E-4</v>
      </c>
      <c r="F344" s="172">
        <v>59</v>
      </c>
      <c r="G344" s="172">
        <v>21</v>
      </c>
      <c r="H344" s="172">
        <v>0</v>
      </c>
      <c r="I344" s="172">
        <v>38.5</v>
      </c>
    </row>
    <row r="345" spans="2:9" hidden="1" x14ac:dyDescent="0.3">
      <c r="B345" s="172" t="s">
        <v>189</v>
      </c>
      <c r="C345" s="172" t="s">
        <v>243</v>
      </c>
      <c r="D345" s="172" t="s">
        <v>215</v>
      </c>
      <c r="E345" s="172">
        <v>4.0836523988468498E-4</v>
      </c>
      <c r="F345" s="172">
        <v>30</v>
      </c>
      <c r="G345" s="172">
        <v>16</v>
      </c>
      <c r="H345" s="172">
        <v>0</v>
      </c>
      <c r="I345" s="172">
        <v>38.5</v>
      </c>
    </row>
    <row r="346" spans="2:9" hidden="1" x14ac:dyDescent="0.3">
      <c r="B346" s="172" t="s">
        <v>189</v>
      </c>
      <c r="C346" s="172" t="s">
        <v>243</v>
      </c>
      <c r="D346" s="172" t="s">
        <v>218</v>
      </c>
      <c r="E346" s="172">
        <v>2.6524155729516601E-4</v>
      </c>
      <c r="F346" s="172">
        <v>30</v>
      </c>
      <c r="G346" s="172">
        <v>16</v>
      </c>
      <c r="H346" s="172">
        <v>0</v>
      </c>
      <c r="I346" s="172">
        <v>38.5</v>
      </c>
    </row>
    <row r="347" spans="2:9" hidden="1" x14ac:dyDescent="0.3">
      <c r="B347" s="172" t="s">
        <v>187</v>
      </c>
      <c r="C347" s="172" t="s">
        <v>79</v>
      </c>
      <c r="D347" s="172" t="s">
        <v>215</v>
      </c>
      <c r="E347" s="172">
        <v>2.38234917259921E-4</v>
      </c>
      <c r="F347" s="172">
        <v>59</v>
      </c>
      <c r="G347" s="172">
        <v>21</v>
      </c>
      <c r="H347" s="172">
        <v>0</v>
      </c>
      <c r="I347" s="172">
        <v>35.5</v>
      </c>
    </row>
    <row r="348" spans="2:9" s="172" customFormat="1" hidden="1" x14ac:dyDescent="0.3">
      <c r="B348" s="172" t="s">
        <v>187</v>
      </c>
      <c r="C348" s="172" t="s">
        <v>79</v>
      </c>
      <c r="D348" s="172" t="s">
        <v>218</v>
      </c>
      <c r="E348" s="172">
        <v>5.2543930936159101E-5</v>
      </c>
      <c r="F348" s="172">
        <v>79</v>
      </c>
      <c r="G348" s="172">
        <v>21</v>
      </c>
      <c r="H348" s="172">
        <v>4</v>
      </c>
      <c r="I348" s="172">
        <v>35.5</v>
      </c>
    </row>
    <row r="349" spans="2:9" hidden="1" x14ac:dyDescent="0.3">
      <c r="B349" s="172" t="s">
        <v>187</v>
      </c>
      <c r="C349" s="172" t="s">
        <v>80</v>
      </c>
      <c r="D349" s="172" t="s">
        <v>215</v>
      </c>
      <c r="E349" s="172">
        <v>2.6919862808300499E-4</v>
      </c>
      <c r="F349" s="172">
        <v>59</v>
      </c>
      <c r="G349" s="172">
        <v>21</v>
      </c>
      <c r="H349" s="172">
        <v>0</v>
      </c>
      <c r="I349" s="172">
        <v>35.5</v>
      </c>
    </row>
    <row r="350" spans="2:9" hidden="1" x14ac:dyDescent="0.3">
      <c r="B350" s="172" t="s">
        <v>187</v>
      </c>
      <c r="C350" s="172" t="s">
        <v>80</v>
      </c>
      <c r="D350" s="172" t="s">
        <v>218</v>
      </c>
      <c r="E350" s="172">
        <v>1.11803767190918E-4</v>
      </c>
      <c r="F350" s="172">
        <v>59</v>
      </c>
      <c r="G350" s="172">
        <v>21</v>
      </c>
      <c r="H350" s="172">
        <v>0</v>
      </c>
      <c r="I350" s="172">
        <v>35.5</v>
      </c>
    </row>
    <row r="351" spans="2:9" hidden="1" x14ac:dyDescent="0.3">
      <c r="B351" s="172" t="s">
        <v>187</v>
      </c>
      <c r="C351" s="172" t="s">
        <v>81</v>
      </c>
      <c r="D351" s="172" t="s">
        <v>218</v>
      </c>
      <c r="E351" s="172">
        <v>5.6040536704659205E-4</v>
      </c>
      <c r="F351" s="172">
        <v>59</v>
      </c>
      <c r="G351" s="172">
        <v>21</v>
      </c>
      <c r="H351" s="172">
        <v>0</v>
      </c>
      <c r="I351" s="172">
        <v>35.5</v>
      </c>
    </row>
    <row r="352" spans="2:9" s="172" customFormat="1" x14ac:dyDescent="0.3">
      <c r="B352" s="172" t="s">
        <v>187</v>
      </c>
      <c r="C352" s="172" t="s">
        <v>82</v>
      </c>
      <c r="D352" s="172" t="s">
        <v>218</v>
      </c>
      <c r="E352" s="172">
        <v>4.6957378806723298E-4</v>
      </c>
      <c r="F352" s="172">
        <v>59</v>
      </c>
      <c r="G352" s="172">
        <v>21</v>
      </c>
      <c r="H352" s="172">
        <v>0</v>
      </c>
      <c r="I352" s="172">
        <v>35.5</v>
      </c>
    </row>
    <row r="353" spans="2:9" hidden="1" x14ac:dyDescent="0.3">
      <c r="B353" s="172" t="s">
        <v>187</v>
      </c>
      <c r="C353" s="172" t="s">
        <v>243</v>
      </c>
      <c r="D353" s="172" t="s">
        <v>215</v>
      </c>
      <c r="E353" s="172">
        <v>7.4972068446876205E-5</v>
      </c>
      <c r="F353" s="172">
        <v>59</v>
      </c>
      <c r="G353" s="172">
        <v>21</v>
      </c>
      <c r="H353" s="172">
        <v>0</v>
      </c>
      <c r="I353" s="172">
        <v>35.5</v>
      </c>
    </row>
    <row r="354" spans="2:9" hidden="1" x14ac:dyDescent="0.3">
      <c r="B354" s="172" t="s">
        <v>185</v>
      </c>
      <c r="C354" s="172" t="s">
        <v>79</v>
      </c>
      <c r="D354" s="172" t="s">
        <v>215</v>
      </c>
      <c r="E354" s="172">
        <v>3.8964639712814699E-4</v>
      </c>
      <c r="F354" s="172">
        <v>69</v>
      </c>
      <c r="G354" s="172">
        <v>16.25</v>
      </c>
      <c r="H354" s="172">
        <v>15.3</v>
      </c>
      <c r="I354" s="172">
        <v>32</v>
      </c>
    </row>
    <row r="355" spans="2:9" hidden="1" x14ac:dyDescent="0.3">
      <c r="B355" s="172" t="s">
        <v>185</v>
      </c>
      <c r="C355" s="172" t="s">
        <v>79</v>
      </c>
      <c r="D355" s="172" t="s">
        <v>218</v>
      </c>
      <c r="E355" s="172">
        <v>7.8027390652308194E-5</v>
      </c>
      <c r="F355" s="172">
        <v>19</v>
      </c>
      <c r="G355" s="172">
        <v>0</v>
      </c>
      <c r="H355" s="172">
        <v>4</v>
      </c>
      <c r="I355" s="172">
        <v>32</v>
      </c>
    </row>
    <row r="356" spans="2:9" s="172" customFormat="1" hidden="1" x14ac:dyDescent="0.3">
      <c r="B356" s="172" t="s">
        <v>185</v>
      </c>
      <c r="C356" s="172" t="s">
        <v>80</v>
      </c>
      <c r="D356" s="172" t="s">
        <v>215</v>
      </c>
      <c r="E356" s="172">
        <v>4.1567430115536301E-4</v>
      </c>
      <c r="F356" s="172">
        <v>59</v>
      </c>
      <c r="G356" s="172">
        <v>21</v>
      </c>
      <c r="H356" s="172">
        <v>0</v>
      </c>
      <c r="I356" s="172">
        <v>32</v>
      </c>
    </row>
    <row r="357" spans="2:9" hidden="1" x14ac:dyDescent="0.3">
      <c r="B357" s="172" t="s">
        <v>185</v>
      </c>
      <c r="C357" s="172" t="s">
        <v>80</v>
      </c>
      <c r="D357" s="172" t="s">
        <v>218</v>
      </c>
      <c r="E357" s="172">
        <v>1.3536159028888401E-4</v>
      </c>
      <c r="F357" s="172">
        <v>59</v>
      </c>
      <c r="G357" s="172">
        <v>21</v>
      </c>
      <c r="H357" s="172">
        <v>0</v>
      </c>
      <c r="I357" s="172">
        <v>32</v>
      </c>
    </row>
    <row r="358" spans="2:9" hidden="1" x14ac:dyDescent="0.3">
      <c r="B358" s="172" t="s">
        <v>185</v>
      </c>
      <c r="C358" s="172" t="s">
        <v>81</v>
      </c>
      <c r="D358" s="172" t="s">
        <v>218</v>
      </c>
      <c r="E358" s="172">
        <v>7.3583119096251495E-4</v>
      </c>
      <c r="F358" s="172">
        <v>59</v>
      </c>
      <c r="G358" s="172">
        <v>21</v>
      </c>
      <c r="H358" s="172">
        <v>0</v>
      </c>
      <c r="I358" s="172">
        <v>32</v>
      </c>
    </row>
    <row r="359" spans="2:9" x14ac:dyDescent="0.3">
      <c r="B359" s="172" t="s">
        <v>185</v>
      </c>
      <c r="C359" s="172" t="s">
        <v>82</v>
      </c>
      <c r="D359" s="172" t="s">
        <v>218</v>
      </c>
      <c r="E359" s="172">
        <v>6.0360916894947601E-4</v>
      </c>
      <c r="F359" s="172">
        <v>59</v>
      </c>
      <c r="G359" s="172">
        <v>21</v>
      </c>
      <c r="H359" s="172">
        <v>0</v>
      </c>
      <c r="I359" s="172">
        <v>32</v>
      </c>
    </row>
    <row r="360" spans="2:9" s="172" customFormat="1" hidden="1" x14ac:dyDescent="0.3">
      <c r="B360" s="172" t="s">
        <v>185</v>
      </c>
      <c r="C360" s="172" t="s">
        <v>243</v>
      </c>
      <c r="D360" s="172" t="s">
        <v>215</v>
      </c>
      <c r="E360" s="172">
        <v>7.7646183740065597E-5</v>
      </c>
      <c r="F360" s="172">
        <v>59</v>
      </c>
      <c r="G360" s="172">
        <v>21</v>
      </c>
      <c r="H360" s="172">
        <v>0</v>
      </c>
      <c r="I360" s="172">
        <v>32</v>
      </c>
    </row>
    <row r="361" spans="2:9" hidden="1" x14ac:dyDescent="0.3">
      <c r="B361" s="172" t="s">
        <v>183</v>
      </c>
      <c r="C361" s="172" t="s">
        <v>79</v>
      </c>
      <c r="D361" s="172" t="s">
        <v>215</v>
      </c>
      <c r="E361" s="172">
        <v>5.3299634216003304E-4</v>
      </c>
      <c r="F361" s="172">
        <v>69</v>
      </c>
      <c r="G361" s="172">
        <v>16.25</v>
      </c>
      <c r="H361" s="172">
        <v>15.3</v>
      </c>
      <c r="I361" s="172">
        <v>28.5</v>
      </c>
    </row>
    <row r="362" spans="2:9" hidden="1" x14ac:dyDescent="0.3">
      <c r="B362" s="172" t="s">
        <v>183</v>
      </c>
      <c r="C362" s="172" t="s">
        <v>79</v>
      </c>
      <c r="D362" s="172" t="s">
        <v>218</v>
      </c>
      <c r="E362" s="172">
        <v>1.0646965592679E-4</v>
      </c>
      <c r="F362" s="172">
        <v>21</v>
      </c>
      <c r="G362" s="172">
        <v>0</v>
      </c>
      <c r="H362" s="172">
        <v>15</v>
      </c>
      <c r="I362" s="172">
        <v>28.5</v>
      </c>
    </row>
    <row r="363" spans="2:9" hidden="1" x14ac:dyDescent="0.3">
      <c r="B363" s="172" t="s">
        <v>183</v>
      </c>
      <c r="C363" s="172" t="s">
        <v>80</v>
      </c>
      <c r="D363" s="172" t="s">
        <v>215</v>
      </c>
      <c r="E363" s="172">
        <v>5.5025154911549404E-4</v>
      </c>
      <c r="F363" s="172">
        <v>59</v>
      </c>
      <c r="G363" s="172">
        <v>21</v>
      </c>
      <c r="H363" s="172">
        <v>0</v>
      </c>
      <c r="I363" s="172">
        <v>28.5</v>
      </c>
    </row>
    <row r="364" spans="2:9" s="172" customFormat="1" hidden="1" x14ac:dyDescent="0.3">
      <c r="B364" s="172" t="s">
        <v>183</v>
      </c>
      <c r="C364" s="172" t="s">
        <v>80</v>
      </c>
      <c r="D364" s="172" t="s">
        <v>218</v>
      </c>
      <c r="E364" s="172">
        <v>1.56136477929798E-4</v>
      </c>
      <c r="F364" s="172">
        <v>59</v>
      </c>
      <c r="G364" s="172">
        <v>21</v>
      </c>
      <c r="H364" s="172">
        <v>0</v>
      </c>
      <c r="I364" s="172">
        <v>28.5</v>
      </c>
    </row>
    <row r="365" spans="2:9" hidden="1" x14ac:dyDescent="0.3">
      <c r="B365" s="172" t="s">
        <v>183</v>
      </c>
      <c r="C365" s="172" t="s">
        <v>81</v>
      </c>
      <c r="D365" s="172" t="s">
        <v>218</v>
      </c>
      <c r="E365" s="172">
        <v>8.8912532643959004E-4</v>
      </c>
      <c r="F365" s="172">
        <v>59</v>
      </c>
      <c r="G365" s="172">
        <v>21</v>
      </c>
      <c r="H365" s="172">
        <v>0</v>
      </c>
      <c r="I365" s="172">
        <v>28.5</v>
      </c>
    </row>
    <row r="366" spans="2:9" x14ac:dyDescent="0.3">
      <c r="B366" s="172" t="s">
        <v>183</v>
      </c>
      <c r="C366" s="172" t="s">
        <v>82</v>
      </c>
      <c r="D366" s="172" t="s">
        <v>218</v>
      </c>
      <c r="E366" s="172">
        <v>7.4324103631627004E-4</v>
      </c>
      <c r="F366" s="172">
        <v>21</v>
      </c>
      <c r="G366" s="172">
        <v>0</v>
      </c>
      <c r="H366" s="172">
        <v>15</v>
      </c>
      <c r="I366" s="172">
        <v>28.5</v>
      </c>
    </row>
    <row r="367" spans="2:9" hidden="1" x14ac:dyDescent="0.3">
      <c r="B367" s="172" t="s">
        <v>183</v>
      </c>
      <c r="C367" s="172" t="s">
        <v>243</v>
      </c>
      <c r="D367" s="172" t="s">
        <v>215</v>
      </c>
      <c r="E367" s="172">
        <v>7.4710269639487002E-5</v>
      </c>
      <c r="F367" s="172">
        <v>59</v>
      </c>
      <c r="G367" s="172">
        <v>21</v>
      </c>
      <c r="H367" s="172">
        <v>0</v>
      </c>
      <c r="I367" s="172">
        <v>28.5</v>
      </c>
    </row>
    <row r="368" spans="2:9" s="172" customFormat="1" hidden="1" x14ac:dyDescent="0.3">
      <c r="B368" s="172" t="s">
        <v>181</v>
      </c>
      <c r="C368" s="172" t="s">
        <v>79</v>
      </c>
      <c r="D368" s="172" t="s">
        <v>215</v>
      </c>
      <c r="E368" s="172">
        <v>6.5498783748358801E-4</v>
      </c>
      <c r="F368" s="172">
        <v>69</v>
      </c>
      <c r="G368" s="172">
        <v>16.25</v>
      </c>
      <c r="H368" s="172">
        <v>15.3</v>
      </c>
      <c r="I368" s="172">
        <v>25</v>
      </c>
    </row>
    <row r="369" spans="2:9" hidden="1" x14ac:dyDescent="0.3">
      <c r="B369" s="172" t="s">
        <v>181</v>
      </c>
      <c r="C369" s="172" t="s">
        <v>79</v>
      </c>
      <c r="D369" s="172" t="s">
        <v>218</v>
      </c>
      <c r="E369" s="172">
        <v>1.3062810185599801E-4</v>
      </c>
      <c r="F369" s="172">
        <v>21</v>
      </c>
      <c r="G369" s="172">
        <v>0</v>
      </c>
      <c r="H369" s="172">
        <v>15</v>
      </c>
      <c r="I369" s="172">
        <v>25</v>
      </c>
    </row>
    <row r="370" spans="2:9" hidden="1" x14ac:dyDescent="0.3">
      <c r="B370" s="172" t="s">
        <v>181</v>
      </c>
      <c r="C370" s="172" t="s">
        <v>80</v>
      </c>
      <c r="D370" s="172" t="s">
        <v>215</v>
      </c>
      <c r="E370" s="172">
        <v>6.6405196634488402E-4</v>
      </c>
      <c r="F370" s="172">
        <v>59</v>
      </c>
      <c r="G370" s="172">
        <v>21</v>
      </c>
      <c r="H370" s="172">
        <v>0</v>
      </c>
      <c r="I370" s="172">
        <v>25</v>
      </c>
    </row>
    <row r="371" spans="2:9" hidden="1" x14ac:dyDescent="0.3">
      <c r="B371" s="172" t="s">
        <v>181</v>
      </c>
      <c r="C371" s="172" t="s">
        <v>80</v>
      </c>
      <c r="D371" s="172" t="s">
        <v>218</v>
      </c>
      <c r="E371" s="172">
        <v>1.7262613905723499E-4</v>
      </c>
      <c r="F371" s="172">
        <v>79</v>
      </c>
      <c r="G371" s="172">
        <v>21</v>
      </c>
      <c r="H371" s="172">
        <v>4</v>
      </c>
      <c r="I371" s="172">
        <v>25</v>
      </c>
    </row>
    <row r="372" spans="2:9" hidden="1" x14ac:dyDescent="0.3">
      <c r="B372" s="172" t="s">
        <v>181</v>
      </c>
      <c r="C372" s="172" t="s">
        <v>81</v>
      </c>
      <c r="D372" s="172" t="s">
        <v>218</v>
      </c>
      <c r="E372" s="172">
        <v>1.0104070293470099E-3</v>
      </c>
      <c r="F372" s="172">
        <v>59</v>
      </c>
      <c r="G372" s="172">
        <v>21</v>
      </c>
      <c r="H372" s="172">
        <v>0</v>
      </c>
      <c r="I372" s="172">
        <v>25</v>
      </c>
    </row>
    <row r="373" spans="2:9" x14ac:dyDescent="0.3">
      <c r="B373" s="172" t="s">
        <v>181</v>
      </c>
      <c r="C373" s="172" t="s">
        <v>82</v>
      </c>
      <c r="D373" s="172" t="s">
        <v>218</v>
      </c>
      <c r="E373" s="172">
        <v>8.8263482915248396E-4</v>
      </c>
      <c r="F373" s="172">
        <v>21</v>
      </c>
      <c r="G373" s="172">
        <v>0</v>
      </c>
      <c r="H373" s="172">
        <v>15</v>
      </c>
      <c r="I373" s="172">
        <v>25</v>
      </c>
    </row>
    <row r="374" spans="2:9" hidden="1" x14ac:dyDescent="0.3">
      <c r="B374" s="172" t="s">
        <v>181</v>
      </c>
      <c r="C374" s="172" t="s">
        <v>243</v>
      </c>
      <c r="D374" s="172" t="s">
        <v>215</v>
      </c>
      <c r="E374" s="172">
        <v>6.9726801164421401E-5</v>
      </c>
      <c r="F374" s="172">
        <v>59</v>
      </c>
      <c r="G374" s="172">
        <v>21</v>
      </c>
      <c r="H374" s="172">
        <v>0</v>
      </c>
      <c r="I374" s="172">
        <v>25</v>
      </c>
    </row>
    <row r="375" spans="2:9" hidden="1" x14ac:dyDescent="0.3">
      <c r="B375" s="172" t="s">
        <v>179</v>
      </c>
      <c r="C375" s="172" t="s">
        <v>79</v>
      </c>
      <c r="D375" s="172" t="s">
        <v>215</v>
      </c>
      <c r="E375" s="172">
        <v>7.5799423287777295E-4</v>
      </c>
      <c r="F375" s="172">
        <v>69</v>
      </c>
      <c r="G375" s="172">
        <v>16.25</v>
      </c>
      <c r="H375" s="172">
        <v>15.3</v>
      </c>
      <c r="I375" s="172">
        <v>21.5</v>
      </c>
    </row>
    <row r="376" spans="2:9" hidden="1" x14ac:dyDescent="0.3">
      <c r="B376" s="172" t="s">
        <v>179</v>
      </c>
      <c r="C376" s="172" t="s">
        <v>79</v>
      </c>
      <c r="D376" s="172" t="s">
        <v>218</v>
      </c>
      <c r="E376" s="172">
        <v>1.5139468865179201E-4</v>
      </c>
      <c r="F376" s="172">
        <v>21</v>
      </c>
      <c r="G376" s="172">
        <v>0</v>
      </c>
      <c r="H376" s="172">
        <v>15</v>
      </c>
      <c r="I376" s="172">
        <v>21.5</v>
      </c>
    </row>
    <row r="377" spans="2:9" hidden="1" x14ac:dyDescent="0.3">
      <c r="B377" s="172" t="s">
        <v>179</v>
      </c>
      <c r="C377" s="172" t="s">
        <v>80</v>
      </c>
      <c r="D377" s="172" t="s">
        <v>215</v>
      </c>
      <c r="E377" s="172">
        <v>7.5849664042792499E-4</v>
      </c>
      <c r="F377" s="172">
        <v>59</v>
      </c>
      <c r="G377" s="172">
        <v>21</v>
      </c>
      <c r="H377" s="172">
        <v>0</v>
      </c>
      <c r="I377" s="172">
        <v>21.5</v>
      </c>
    </row>
    <row r="378" spans="2:9" hidden="1" x14ac:dyDescent="0.3">
      <c r="B378" s="172" t="s">
        <v>179</v>
      </c>
      <c r="C378" s="172" t="s">
        <v>80</v>
      </c>
      <c r="D378" s="172" t="s">
        <v>218</v>
      </c>
      <c r="E378" s="172">
        <v>1.84487046984799E-4</v>
      </c>
      <c r="F378" s="172">
        <v>59</v>
      </c>
      <c r="G378" s="172">
        <v>21</v>
      </c>
      <c r="H378" s="172">
        <v>0</v>
      </c>
      <c r="I378" s="172">
        <v>21.5</v>
      </c>
    </row>
    <row r="379" spans="2:9" hidden="1" x14ac:dyDescent="0.3">
      <c r="B379" s="172" t="s">
        <v>179</v>
      </c>
      <c r="C379" s="172" t="s">
        <v>81</v>
      </c>
      <c r="D379" s="172" t="s">
        <v>218</v>
      </c>
      <c r="E379" s="172">
        <v>1.10364630983959E-3</v>
      </c>
      <c r="F379" s="172">
        <v>59</v>
      </c>
      <c r="G379" s="172">
        <v>21</v>
      </c>
      <c r="H379" s="172">
        <v>0</v>
      </c>
      <c r="I379" s="172">
        <v>21.5</v>
      </c>
    </row>
    <row r="380" spans="2:9" x14ac:dyDescent="0.3">
      <c r="B380" s="172" t="s">
        <v>179</v>
      </c>
      <c r="C380" s="172" t="s">
        <v>82</v>
      </c>
      <c r="D380" s="172" t="s">
        <v>218</v>
      </c>
      <c r="E380" s="172">
        <v>9.9584520351915398E-4</v>
      </c>
      <c r="F380" s="172">
        <v>21</v>
      </c>
      <c r="G380" s="172">
        <v>0</v>
      </c>
      <c r="H380" s="172">
        <v>15</v>
      </c>
      <c r="I380" s="172">
        <v>21.5</v>
      </c>
    </row>
    <row r="381" spans="2:9" hidden="1" x14ac:dyDescent="0.3">
      <c r="B381" s="172" t="s">
        <v>179</v>
      </c>
      <c r="C381" s="172" t="s">
        <v>243</v>
      </c>
      <c r="D381" s="172" t="s">
        <v>215</v>
      </c>
      <c r="E381" s="172">
        <v>6.3423245555939005E-5</v>
      </c>
      <c r="F381" s="172">
        <v>59</v>
      </c>
      <c r="G381" s="172">
        <v>21</v>
      </c>
      <c r="H381" s="172">
        <v>0</v>
      </c>
      <c r="I381" s="172">
        <v>21.5</v>
      </c>
    </row>
    <row r="382" spans="2:9" hidden="1" x14ac:dyDescent="0.3">
      <c r="B382" s="172" t="s">
        <v>39</v>
      </c>
      <c r="C382" s="172" t="s">
        <v>79</v>
      </c>
      <c r="D382" s="172" t="s">
        <v>215</v>
      </c>
      <c r="E382" s="172">
        <v>8.3814112846233803E-4</v>
      </c>
      <c r="F382" s="172">
        <v>69</v>
      </c>
      <c r="G382" s="172">
        <v>16.25</v>
      </c>
      <c r="H382" s="172">
        <v>15.3</v>
      </c>
      <c r="I382" s="172">
        <v>18</v>
      </c>
    </row>
    <row r="383" spans="2:9" hidden="1" x14ac:dyDescent="0.3">
      <c r="B383" s="172" t="s">
        <v>39</v>
      </c>
      <c r="C383" s="172" t="s">
        <v>79</v>
      </c>
      <c r="D383" s="172" t="s">
        <v>218</v>
      </c>
      <c r="E383" s="172">
        <v>1.76171227829516E-4</v>
      </c>
      <c r="F383" s="172">
        <v>21</v>
      </c>
      <c r="G383" s="172">
        <v>0</v>
      </c>
      <c r="H383" s="172">
        <v>15</v>
      </c>
      <c r="I383" s="172">
        <v>18</v>
      </c>
    </row>
    <row r="384" spans="2:9" hidden="1" x14ac:dyDescent="0.3">
      <c r="B384" s="172" t="s">
        <v>39</v>
      </c>
      <c r="C384" s="172" t="s">
        <v>80</v>
      </c>
      <c r="D384" s="172" t="s">
        <v>215</v>
      </c>
      <c r="E384" s="172">
        <v>8.1673204890456597E-4</v>
      </c>
      <c r="F384" s="172">
        <v>59</v>
      </c>
      <c r="G384" s="172">
        <v>21</v>
      </c>
      <c r="H384" s="172">
        <v>0</v>
      </c>
      <c r="I384" s="172">
        <v>18</v>
      </c>
    </row>
    <row r="385" spans="2:9" hidden="1" x14ac:dyDescent="0.3">
      <c r="B385" s="172" t="s">
        <v>39</v>
      </c>
      <c r="C385" s="172" t="s">
        <v>80</v>
      </c>
      <c r="D385" s="172" t="s">
        <v>218</v>
      </c>
      <c r="E385" s="172">
        <v>1.82374351903291E-4</v>
      </c>
      <c r="F385" s="172">
        <v>59</v>
      </c>
      <c r="G385" s="172">
        <v>21</v>
      </c>
      <c r="H385" s="172">
        <v>0</v>
      </c>
      <c r="I385" s="172">
        <v>18</v>
      </c>
    </row>
    <row r="386" spans="2:9" hidden="1" x14ac:dyDescent="0.3">
      <c r="B386" s="172" t="s">
        <v>39</v>
      </c>
      <c r="C386" s="172" t="s">
        <v>81</v>
      </c>
      <c r="D386" s="172" t="s">
        <v>218</v>
      </c>
      <c r="E386" s="172">
        <v>1.1676574589086E-3</v>
      </c>
      <c r="F386" s="172">
        <v>59</v>
      </c>
      <c r="G386" s="172">
        <v>21</v>
      </c>
      <c r="H386" s="172">
        <v>0</v>
      </c>
      <c r="I386" s="172">
        <v>18</v>
      </c>
    </row>
    <row r="387" spans="2:9" x14ac:dyDescent="0.3">
      <c r="B387" s="172" t="s">
        <v>39</v>
      </c>
      <c r="C387" s="172" t="s">
        <v>82</v>
      </c>
      <c r="D387" s="172" t="s">
        <v>218</v>
      </c>
      <c r="E387" s="172">
        <v>1.0885515500588801E-3</v>
      </c>
      <c r="F387" s="172">
        <v>21</v>
      </c>
      <c r="G387" s="172">
        <v>0</v>
      </c>
      <c r="H387" s="172">
        <v>15</v>
      </c>
      <c r="I387" s="172">
        <v>18</v>
      </c>
    </row>
    <row r="388" spans="2:9" hidden="1" x14ac:dyDescent="0.3">
      <c r="B388" s="172" t="s">
        <v>39</v>
      </c>
      <c r="C388" s="172" t="s">
        <v>243</v>
      </c>
      <c r="D388" s="172" t="s">
        <v>215</v>
      </c>
      <c r="E388" s="172">
        <v>6.3000027829239103E-5</v>
      </c>
      <c r="F388" s="172">
        <v>59</v>
      </c>
      <c r="G388" s="172">
        <v>21</v>
      </c>
      <c r="H388" s="172">
        <v>0</v>
      </c>
      <c r="I388" s="172">
        <v>18</v>
      </c>
    </row>
    <row r="389" spans="2:9" hidden="1" x14ac:dyDescent="0.3">
      <c r="B389" s="172" t="s">
        <v>26</v>
      </c>
      <c r="C389" s="172" t="s">
        <v>79</v>
      </c>
      <c r="D389" s="172" t="s">
        <v>215</v>
      </c>
      <c r="E389" s="172">
        <v>9.0204322797912803E-4</v>
      </c>
      <c r="F389" s="172">
        <v>69</v>
      </c>
      <c r="G389" s="172">
        <v>16.25</v>
      </c>
      <c r="H389" s="172">
        <v>15.3</v>
      </c>
      <c r="I389" s="172">
        <v>14.5</v>
      </c>
    </row>
    <row r="390" spans="2:9" hidden="1" x14ac:dyDescent="0.3">
      <c r="B390" s="172" t="s">
        <v>26</v>
      </c>
      <c r="C390" s="172" t="s">
        <v>79</v>
      </c>
      <c r="D390" s="172" t="s">
        <v>218</v>
      </c>
      <c r="E390" s="172">
        <v>1.98155138609731E-4</v>
      </c>
      <c r="F390" s="172">
        <v>21</v>
      </c>
      <c r="G390" s="172">
        <v>0</v>
      </c>
      <c r="H390" s="172">
        <v>15</v>
      </c>
      <c r="I390" s="172">
        <v>14.5</v>
      </c>
    </row>
    <row r="391" spans="2:9" hidden="1" x14ac:dyDescent="0.3">
      <c r="B391" s="172" t="s">
        <v>26</v>
      </c>
      <c r="C391" s="172" t="s">
        <v>80</v>
      </c>
      <c r="D391" s="172" t="s">
        <v>215</v>
      </c>
      <c r="E391" s="172">
        <v>8.5777958299234301E-4</v>
      </c>
      <c r="F391" s="172">
        <v>59</v>
      </c>
      <c r="G391" s="172">
        <v>21</v>
      </c>
      <c r="H391" s="172">
        <v>0</v>
      </c>
      <c r="I391" s="172">
        <v>14.5</v>
      </c>
    </row>
    <row r="392" spans="2:9" hidden="1" x14ac:dyDescent="0.3">
      <c r="B392" s="172" t="s">
        <v>26</v>
      </c>
      <c r="C392" s="172" t="s">
        <v>80</v>
      </c>
      <c r="D392" s="172" t="s">
        <v>218</v>
      </c>
      <c r="E392" s="172">
        <v>1.75519823455752E-4</v>
      </c>
      <c r="F392" s="172">
        <v>59</v>
      </c>
      <c r="G392" s="172">
        <v>21</v>
      </c>
      <c r="H392" s="172">
        <v>0</v>
      </c>
      <c r="I392" s="172">
        <v>14.5</v>
      </c>
    </row>
    <row r="393" spans="2:9" hidden="1" x14ac:dyDescent="0.3">
      <c r="B393" s="172" t="s">
        <v>26</v>
      </c>
      <c r="C393" s="172" t="s">
        <v>81</v>
      </c>
      <c r="D393" s="172" t="s">
        <v>218</v>
      </c>
      <c r="E393" s="172">
        <v>1.20961300971416E-3</v>
      </c>
      <c r="F393" s="172">
        <v>59</v>
      </c>
      <c r="G393" s="172">
        <v>21</v>
      </c>
      <c r="H393" s="172">
        <v>0</v>
      </c>
      <c r="I393" s="172">
        <v>14.5</v>
      </c>
    </row>
    <row r="394" spans="2:9" x14ac:dyDescent="0.3">
      <c r="B394" s="172" t="s">
        <v>26</v>
      </c>
      <c r="C394" s="172" t="s">
        <v>82</v>
      </c>
      <c r="D394" s="172" t="s">
        <v>218</v>
      </c>
      <c r="E394" s="172">
        <v>1.1623815379566301E-3</v>
      </c>
      <c r="F394" s="172">
        <v>21</v>
      </c>
      <c r="G394" s="172">
        <v>0</v>
      </c>
      <c r="H394" s="172">
        <v>15</v>
      </c>
      <c r="I394" s="172">
        <v>14.5</v>
      </c>
    </row>
    <row r="395" spans="2:9" hidden="1" x14ac:dyDescent="0.3">
      <c r="B395" s="172" t="s">
        <v>26</v>
      </c>
      <c r="C395" s="172" t="s">
        <v>243</v>
      </c>
      <c r="D395" s="172" t="s">
        <v>215</v>
      </c>
      <c r="E395" s="172">
        <v>5.9348950573737001E-5</v>
      </c>
      <c r="F395" s="172">
        <v>59</v>
      </c>
      <c r="G395" s="172">
        <v>21</v>
      </c>
      <c r="H395" s="172">
        <v>0</v>
      </c>
      <c r="I395" s="172">
        <v>14.5</v>
      </c>
    </row>
    <row r="396" spans="2:9" hidden="1" x14ac:dyDescent="0.3">
      <c r="B396" s="172" t="s">
        <v>25</v>
      </c>
      <c r="C396" s="172" t="s">
        <v>79</v>
      </c>
      <c r="D396" s="172" t="s">
        <v>215</v>
      </c>
      <c r="E396" s="172">
        <v>9.5542481481134098E-4</v>
      </c>
      <c r="F396" s="172">
        <v>69</v>
      </c>
      <c r="G396" s="172">
        <v>16.25</v>
      </c>
      <c r="H396" s="172">
        <v>15.3</v>
      </c>
      <c r="I396" s="172">
        <v>11</v>
      </c>
    </row>
    <row r="397" spans="2:9" hidden="1" x14ac:dyDescent="0.3">
      <c r="B397" s="172" t="s">
        <v>25</v>
      </c>
      <c r="C397" s="172" t="s">
        <v>79</v>
      </c>
      <c r="D397" s="172" t="s">
        <v>218</v>
      </c>
      <c r="E397" s="172">
        <v>2.0955450453731401E-4</v>
      </c>
      <c r="F397" s="172">
        <v>21</v>
      </c>
      <c r="G397" s="172">
        <v>0</v>
      </c>
      <c r="H397" s="172">
        <v>15</v>
      </c>
      <c r="I397" s="172">
        <v>11</v>
      </c>
    </row>
    <row r="398" spans="2:9" hidden="1" x14ac:dyDescent="0.3">
      <c r="B398" s="172" t="s">
        <v>25</v>
      </c>
      <c r="C398" s="172" t="s">
        <v>80</v>
      </c>
      <c r="D398" s="172" t="s">
        <v>215</v>
      </c>
      <c r="E398" s="172">
        <v>9.0040037011278004E-4</v>
      </c>
      <c r="F398" s="172">
        <v>59</v>
      </c>
      <c r="G398" s="172">
        <v>21</v>
      </c>
      <c r="H398" s="172">
        <v>0</v>
      </c>
      <c r="I398" s="172">
        <v>11</v>
      </c>
    </row>
    <row r="399" spans="2:9" hidden="1" x14ac:dyDescent="0.3">
      <c r="B399" s="172" t="s">
        <v>25</v>
      </c>
      <c r="C399" s="172" t="s">
        <v>80</v>
      </c>
      <c r="D399" s="172" t="s">
        <v>218</v>
      </c>
      <c r="E399" s="172">
        <v>1.73107949666797E-4</v>
      </c>
      <c r="F399" s="172">
        <v>59</v>
      </c>
      <c r="G399" s="172">
        <v>21</v>
      </c>
      <c r="H399" s="172">
        <v>0</v>
      </c>
      <c r="I399" s="172">
        <v>11</v>
      </c>
    </row>
    <row r="400" spans="2:9" hidden="1" x14ac:dyDescent="0.3">
      <c r="B400" s="172" t="s">
        <v>25</v>
      </c>
      <c r="C400" s="172" t="s">
        <v>81</v>
      </c>
      <c r="D400" s="172" t="s">
        <v>218</v>
      </c>
      <c r="E400" s="172">
        <v>1.2310530617680401E-3</v>
      </c>
      <c r="F400" s="172">
        <v>59</v>
      </c>
      <c r="G400" s="172">
        <v>21</v>
      </c>
      <c r="H400" s="172">
        <v>0</v>
      </c>
      <c r="I400" s="172">
        <v>11</v>
      </c>
    </row>
    <row r="401" spans="2:9" hidden="1" x14ac:dyDescent="0.3">
      <c r="B401" s="172" t="s">
        <v>25</v>
      </c>
      <c r="C401" s="172" t="s">
        <v>82</v>
      </c>
      <c r="D401" s="172" t="s">
        <v>215</v>
      </c>
      <c r="E401" s="172">
        <v>1.9865725607376799E-4</v>
      </c>
      <c r="F401" s="172">
        <v>69</v>
      </c>
      <c r="G401" s="172">
        <v>16.25</v>
      </c>
      <c r="H401" s="172">
        <v>15.3</v>
      </c>
      <c r="I401" s="172">
        <v>11</v>
      </c>
    </row>
    <row r="402" spans="2:9" x14ac:dyDescent="0.3">
      <c r="B402" s="172" t="s">
        <v>25</v>
      </c>
      <c r="C402" s="172" t="s">
        <v>82</v>
      </c>
      <c r="D402" s="172" t="s">
        <v>218</v>
      </c>
      <c r="E402" s="172">
        <v>1.2146949350627201E-3</v>
      </c>
      <c r="F402" s="172">
        <v>21</v>
      </c>
      <c r="G402" s="172">
        <v>0</v>
      </c>
      <c r="H402" s="172">
        <v>15</v>
      </c>
      <c r="I402" s="172">
        <v>11</v>
      </c>
    </row>
    <row r="403" spans="2:9" hidden="1" x14ac:dyDescent="0.3">
      <c r="B403" s="172" t="s">
        <v>25</v>
      </c>
      <c r="C403" s="172" t="s">
        <v>243</v>
      </c>
      <c r="D403" s="172" t="s">
        <v>215</v>
      </c>
      <c r="E403" s="172">
        <v>4.4331337195698697E-5</v>
      </c>
      <c r="F403" s="172">
        <v>59</v>
      </c>
      <c r="G403" s="172">
        <v>21</v>
      </c>
      <c r="H403" s="172">
        <v>0</v>
      </c>
      <c r="I403" s="172">
        <v>11</v>
      </c>
    </row>
    <row r="404" spans="2:9" hidden="1" x14ac:dyDescent="0.3">
      <c r="B404" s="172" t="s">
        <v>24</v>
      </c>
      <c r="C404" s="172" t="s">
        <v>79</v>
      </c>
      <c r="D404" s="172" t="s">
        <v>215</v>
      </c>
      <c r="E404" s="172">
        <v>9.8639713299354908E-4</v>
      </c>
      <c r="F404" s="172">
        <v>69</v>
      </c>
      <c r="G404" s="172">
        <v>16.25</v>
      </c>
      <c r="H404" s="172">
        <v>15.3</v>
      </c>
      <c r="I404" s="172">
        <v>7.5</v>
      </c>
    </row>
    <row r="405" spans="2:9" hidden="1" x14ac:dyDescent="0.3">
      <c r="B405" s="172" t="s">
        <v>24</v>
      </c>
      <c r="C405" s="172" t="s">
        <v>79</v>
      </c>
      <c r="D405" s="172" t="s">
        <v>218</v>
      </c>
      <c r="E405" s="172">
        <v>2.13480686400766E-4</v>
      </c>
      <c r="F405" s="172">
        <v>21</v>
      </c>
      <c r="G405" s="172">
        <v>0</v>
      </c>
      <c r="H405" s="172">
        <v>15</v>
      </c>
      <c r="I405" s="172">
        <v>7.5</v>
      </c>
    </row>
    <row r="406" spans="2:9" hidden="1" x14ac:dyDescent="0.3">
      <c r="B406" s="172" t="s">
        <v>24</v>
      </c>
      <c r="C406" s="172" t="s">
        <v>80</v>
      </c>
      <c r="D406" s="172" t="s">
        <v>215</v>
      </c>
      <c r="E406" s="172">
        <v>9.2055185657962605E-4</v>
      </c>
      <c r="F406" s="172">
        <v>59</v>
      </c>
      <c r="G406" s="172">
        <v>21</v>
      </c>
      <c r="H406" s="172">
        <v>0</v>
      </c>
      <c r="I406" s="172">
        <v>7.5</v>
      </c>
    </row>
    <row r="407" spans="2:9" hidden="1" x14ac:dyDescent="0.3">
      <c r="B407" s="172" t="s">
        <v>24</v>
      </c>
      <c r="C407" s="172" t="s">
        <v>80</v>
      </c>
      <c r="D407" s="172" t="s">
        <v>218</v>
      </c>
      <c r="E407" s="172">
        <v>1.65886619964838E-4</v>
      </c>
      <c r="F407" s="172">
        <v>59</v>
      </c>
      <c r="G407" s="172">
        <v>21</v>
      </c>
      <c r="H407" s="172">
        <v>0</v>
      </c>
      <c r="I407" s="172">
        <v>7.5</v>
      </c>
    </row>
    <row r="408" spans="2:9" hidden="1" x14ac:dyDescent="0.3">
      <c r="B408" s="172" t="s">
        <v>24</v>
      </c>
      <c r="C408" s="172" t="s">
        <v>81</v>
      </c>
      <c r="D408" s="172" t="s">
        <v>218</v>
      </c>
      <c r="E408" s="172">
        <v>1.21361599958783E-3</v>
      </c>
      <c r="F408" s="172">
        <v>59</v>
      </c>
      <c r="G408" s="172">
        <v>21</v>
      </c>
      <c r="H408" s="172">
        <v>0</v>
      </c>
      <c r="I408" s="172">
        <v>7.5</v>
      </c>
    </row>
    <row r="409" spans="2:9" hidden="1" x14ac:dyDescent="0.3">
      <c r="B409" s="172" t="s">
        <v>24</v>
      </c>
      <c r="C409" s="172" t="s">
        <v>82</v>
      </c>
      <c r="D409" s="172" t="s">
        <v>215</v>
      </c>
      <c r="E409" s="172">
        <v>2.1466826491485901E-4</v>
      </c>
      <c r="F409" s="172">
        <v>69</v>
      </c>
      <c r="G409" s="172">
        <v>16.25</v>
      </c>
      <c r="H409" s="172">
        <v>15.3</v>
      </c>
      <c r="I409" s="172">
        <v>7.5</v>
      </c>
    </row>
    <row r="410" spans="2:9" x14ac:dyDescent="0.3">
      <c r="B410" s="172" t="s">
        <v>24</v>
      </c>
      <c r="C410" s="172" t="s">
        <v>82</v>
      </c>
      <c r="D410" s="172" t="s">
        <v>218</v>
      </c>
      <c r="E410" s="172">
        <v>1.23056873048441E-3</v>
      </c>
      <c r="F410" s="172">
        <v>21</v>
      </c>
      <c r="G410" s="172">
        <v>0</v>
      </c>
      <c r="H410" s="172">
        <v>15</v>
      </c>
      <c r="I410" s="172">
        <v>7.5</v>
      </c>
    </row>
    <row r="411" spans="2:9" hidden="1" x14ac:dyDescent="0.3">
      <c r="B411" s="172" t="s">
        <v>24</v>
      </c>
      <c r="C411" s="172" t="s">
        <v>243</v>
      </c>
      <c r="D411" s="172" t="s">
        <v>215</v>
      </c>
      <c r="E411" s="172">
        <v>2.4837606182569601E-5</v>
      </c>
      <c r="F411" s="172">
        <v>59</v>
      </c>
      <c r="G411" s="172">
        <v>21</v>
      </c>
      <c r="H411" s="172">
        <v>0</v>
      </c>
      <c r="I411" s="172">
        <v>7.5</v>
      </c>
    </row>
    <row r="412" spans="2:9" hidden="1" x14ac:dyDescent="0.3">
      <c r="B412" s="172" t="s">
        <v>22</v>
      </c>
      <c r="C412" s="172" t="s">
        <v>79</v>
      </c>
      <c r="D412" s="172" t="s">
        <v>215</v>
      </c>
      <c r="E412" s="172">
        <v>8.3869050415027199E-4</v>
      </c>
      <c r="F412" s="172">
        <v>33</v>
      </c>
      <c r="G412" s="172">
        <v>16</v>
      </c>
      <c r="H412" s="172">
        <v>15</v>
      </c>
      <c r="I412" s="172">
        <v>4</v>
      </c>
    </row>
    <row r="413" spans="2:9" hidden="1" x14ac:dyDescent="0.3">
      <c r="B413" s="172" t="s">
        <v>22</v>
      </c>
      <c r="C413" s="172" t="s">
        <v>79</v>
      </c>
      <c r="D413" s="172" t="s">
        <v>218</v>
      </c>
      <c r="E413" s="172">
        <v>1.65191708548602E-4</v>
      </c>
      <c r="F413" s="172">
        <v>21</v>
      </c>
      <c r="G413" s="172">
        <v>0</v>
      </c>
      <c r="H413" s="172">
        <v>15</v>
      </c>
      <c r="I413" s="172">
        <v>4</v>
      </c>
    </row>
    <row r="414" spans="2:9" hidden="1" x14ac:dyDescent="0.3">
      <c r="B414" s="172" t="s">
        <v>22</v>
      </c>
      <c r="C414" s="172" t="s">
        <v>80</v>
      </c>
      <c r="D414" s="172" t="s">
        <v>215</v>
      </c>
      <c r="E414" s="172">
        <v>7.7940498946278702E-4</v>
      </c>
      <c r="F414" s="172">
        <v>59</v>
      </c>
      <c r="G414" s="172">
        <v>21</v>
      </c>
      <c r="H414" s="172">
        <v>0</v>
      </c>
      <c r="I414" s="172">
        <v>4</v>
      </c>
    </row>
    <row r="415" spans="2:9" hidden="1" x14ac:dyDescent="0.3">
      <c r="B415" s="172" t="s">
        <v>22</v>
      </c>
      <c r="C415" s="172" t="s">
        <v>80</v>
      </c>
      <c r="D415" s="172" t="s">
        <v>218</v>
      </c>
      <c r="E415" s="172">
        <v>1.3361382385944701E-4</v>
      </c>
      <c r="F415" s="172">
        <v>59</v>
      </c>
      <c r="G415" s="172">
        <v>21</v>
      </c>
      <c r="H415" s="172">
        <v>0</v>
      </c>
      <c r="I415" s="172">
        <v>4</v>
      </c>
    </row>
    <row r="416" spans="2:9" hidden="1" x14ac:dyDescent="0.3">
      <c r="B416" s="172" t="s">
        <v>22</v>
      </c>
      <c r="C416" s="172" t="s">
        <v>81</v>
      </c>
      <c r="D416" s="172" t="s">
        <v>218</v>
      </c>
      <c r="E416" s="172">
        <v>9.4808030541592998E-4</v>
      </c>
      <c r="F416" s="172">
        <v>59</v>
      </c>
      <c r="G416" s="172">
        <v>21</v>
      </c>
      <c r="H416" s="172">
        <v>0</v>
      </c>
      <c r="I416" s="172">
        <v>4</v>
      </c>
    </row>
    <row r="417" spans="2:9" hidden="1" x14ac:dyDescent="0.3">
      <c r="B417" s="172" t="s">
        <v>22</v>
      </c>
      <c r="C417" s="172" t="s">
        <v>82</v>
      </c>
      <c r="D417" s="172" t="s">
        <v>215</v>
      </c>
      <c r="E417" s="172">
        <v>1.8416222723451899E-4</v>
      </c>
      <c r="F417" s="172">
        <v>33</v>
      </c>
      <c r="G417" s="172">
        <v>16</v>
      </c>
      <c r="H417" s="172">
        <v>15</v>
      </c>
      <c r="I417" s="172">
        <v>4</v>
      </c>
    </row>
    <row r="418" spans="2:9" x14ac:dyDescent="0.3">
      <c r="B418" s="172" t="s">
        <v>22</v>
      </c>
      <c r="C418" s="172" t="s">
        <v>82</v>
      </c>
      <c r="D418" s="172" t="s">
        <v>218</v>
      </c>
      <c r="E418" s="172">
        <v>9.8880847842734406E-4</v>
      </c>
      <c r="F418" s="172">
        <v>21</v>
      </c>
      <c r="G418" s="172">
        <v>0</v>
      </c>
      <c r="H418" s="172">
        <v>15</v>
      </c>
      <c r="I418" s="172">
        <v>4</v>
      </c>
    </row>
    <row r="419" spans="2:9" hidden="1" x14ac:dyDescent="0.3">
      <c r="B419" s="172" t="s">
        <v>22</v>
      </c>
      <c r="C419" s="172" t="s">
        <v>243</v>
      </c>
      <c r="D419" s="172" t="s">
        <v>215</v>
      </c>
      <c r="E419" s="172">
        <v>7.4359108783468897E-6</v>
      </c>
      <c r="F419" s="172">
        <v>59</v>
      </c>
      <c r="G419" s="172">
        <v>21</v>
      </c>
      <c r="H419" s="172">
        <v>0</v>
      </c>
      <c r="I419" s="172">
        <v>4</v>
      </c>
    </row>
    <row r="420" spans="2:9" hidden="1" x14ac:dyDescent="0.3">
      <c r="B420" s="172"/>
      <c r="C420" s="172"/>
      <c r="D420" s="172"/>
      <c r="E420" s="172"/>
      <c r="F420" s="172"/>
      <c r="G420" s="172"/>
      <c r="H420" s="172"/>
      <c r="I420" s="172"/>
    </row>
    <row r="421" spans="2:9" hidden="1" x14ac:dyDescent="0.3">
      <c r="B421" s="172"/>
      <c r="C421" s="172"/>
      <c r="D421" s="172"/>
      <c r="E421" s="172"/>
      <c r="F421" s="172"/>
      <c r="G421" s="172"/>
      <c r="H421" s="172"/>
      <c r="I421" s="172"/>
    </row>
    <row r="422" spans="2:9" hidden="1" x14ac:dyDescent="0.3">
      <c r="B422" s="172"/>
      <c r="C422" s="172"/>
      <c r="D422" s="172"/>
      <c r="E422" s="172"/>
      <c r="F422" s="172"/>
      <c r="G422" s="172"/>
      <c r="H422" s="172"/>
      <c r="I422" s="172"/>
    </row>
    <row r="423" spans="2:9" hidden="1" x14ac:dyDescent="0.3">
      <c r="B423" s="172"/>
      <c r="C423" s="172"/>
      <c r="D423" s="172"/>
      <c r="E423" s="172"/>
      <c r="F423" s="172"/>
      <c r="G423" s="172"/>
      <c r="H423" s="172"/>
      <c r="I423" s="172"/>
    </row>
    <row r="424" spans="2:9" hidden="1" x14ac:dyDescent="0.3">
      <c r="B424" s="172"/>
      <c r="C424" s="172"/>
      <c r="D424" s="172"/>
      <c r="E424" s="172"/>
      <c r="F424" s="172"/>
      <c r="G424" s="172"/>
      <c r="H424" s="172"/>
      <c r="I424" s="172"/>
    </row>
    <row r="425" spans="2:9" hidden="1" x14ac:dyDescent="0.3">
      <c r="B425" s="172"/>
      <c r="C425" s="172"/>
      <c r="D425" s="172"/>
      <c r="E425" s="172"/>
      <c r="F425" s="172"/>
      <c r="G425" s="172"/>
      <c r="H425" s="172"/>
      <c r="I425" s="172"/>
    </row>
    <row r="426" spans="2:9" hidden="1" x14ac:dyDescent="0.3">
      <c r="B426" s="172"/>
      <c r="C426" s="172"/>
      <c r="D426" s="172"/>
      <c r="E426" s="172"/>
      <c r="F426" s="172"/>
      <c r="G426" s="172"/>
      <c r="H426" s="172"/>
      <c r="I426" s="172"/>
    </row>
    <row r="427" spans="2:9" hidden="1" x14ac:dyDescent="0.3">
      <c r="B427" s="172"/>
      <c r="C427" s="172"/>
      <c r="D427" s="172"/>
      <c r="E427" s="172"/>
      <c r="F427" s="172"/>
      <c r="G427" s="172"/>
      <c r="H427" s="172"/>
      <c r="I427" s="172"/>
    </row>
    <row r="428" spans="2:9" hidden="1" x14ac:dyDescent="0.3">
      <c r="B428" s="172"/>
      <c r="C428" s="172"/>
      <c r="D428" s="172"/>
      <c r="E428" s="172"/>
      <c r="F428" s="172"/>
      <c r="G428" s="172"/>
      <c r="H428" s="172"/>
      <c r="I428" s="172"/>
    </row>
    <row r="429" spans="2:9" hidden="1" x14ac:dyDescent="0.3">
      <c r="B429" s="172"/>
      <c r="C429" s="172"/>
      <c r="D429" s="172"/>
      <c r="E429" s="172"/>
      <c r="F429" s="172"/>
      <c r="G429" s="172"/>
      <c r="H429" s="172"/>
      <c r="I429" s="172"/>
    </row>
    <row r="430" spans="2:9" hidden="1" x14ac:dyDescent="0.3">
      <c r="B430" s="172"/>
      <c r="C430" s="172"/>
      <c r="D430" s="172"/>
      <c r="E430" s="172"/>
      <c r="F430" s="172"/>
      <c r="G430" s="172"/>
      <c r="H430" s="172"/>
      <c r="I430" s="172"/>
    </row>
    <row r="431" spans="2:9" hidden="1" x14ac:dyDescent="0.3">
      <c r="B431" s="172"/>
      <c r="C431" s="172"/>
      <c r="D431" s="172"/>
      <c r="E431" s="172"/>
      <c r="F431" s="172"/>
      <c r="G431" s="172"/>
      <c r="H431" s="172"/>
      <c r="I431" s="172"/>
    </row>
    <row r="432" spans="2:9" hidden="1" x14ac:dyDescent="0.3">
      <c r="B432" s="172"/>
      <c r="C432" s="172"/>
      <c r="D432" s="172"/>
      <c r="E432" s="172"/>
      <c r="F432" s="172"/>
      <c r="G432" s="172"/>
      <c r="H432" s="172"/>
      <c r="I432" s="172"/>
    </row>
    <row r="433" spans="2:9" hidden="1" x14ac:dyDescent="0.3">
      <c r="B433" s="172"/>
      <c r="C433" s="172"/>
      <c r="D433" s="172"/>
      <c r="E433" s="172"/>
      <c r="F433" s="172"/>
      <c r="G433" s="172"/>
      <c r="H433" s="172"/>
      <c r="I433" s="172"/>
    </row>
    <row r="434" spans="2:9" hidden="1" x14ac:dyDescent="0.3">
      <c r="B434" s="172"/>
      <c r="C434" s="172"/>
      <c r="D434" s="172"/>
      <c r="E434" s="172"/>
      <c r="F434" s="172"/>
      <c r="G434" s="172"/>
      <c r="H434" s="172"/>
      <c r="I434" s="172"/>
    </row>
    <row r="435" spans="2:9" hidden="1" x14ac:dyDescent="0.3">
      <c r="B435" s="172"/>
      <c r="C435" s="172"/>
      <c r="D435" s="172"/>
      <c r="E435" s="172"/>
      <c r="F435" s="172"/>
      <c r="G435" s="172"/>
      <c r="H435" s="172"/>
      <c r="I435" s="172"/>
    </row>
    <row r="436" spans="2:9" hidden="1" x14ac:dyDescent="0.3">
      <c r="B436" s="172"/>
      <c r="C436" s="172"/>
      <c r="D436" s="172"/>
      <c r="E436" s="172"/>
      <c r="F436" s="172"/>
      <c r="G436" s="172"/>
      <c r="H436" s="172"/>
      <c r="I436" s="172"/>
    </row>
    <row r="437" spans="2:9" hidden="1" x14ac:dyDescent="0.3">
      <c r="B437" s="172"/>
      <c r="C437" s="172"/>
      <c r="D437" s="172"/>
      <c r="E437" s="172"/>
      <c r="F437" s="172"/>
      <c r="G437" s="172"/>
      <c r="H437" s="172"/>
      <c r="I437" s="172"/>
    </row>
    <row r="438" spans="2:9" hidden="1" x14ac:dyDescent="0.3">
      <c r="B438" s="172"/>
      <c r="C438" s="172"/>
      <c r="D438" s="172"/>
      <c r="E438" s="172"/>
      <c r="F438" s="172"/>
      <c r="G438" s="172"/>
      <c r="H438" s="172"/>
      <c r="I438" s="172"/>
    </row>
    <row r="439" spans="2:9" hidden="1" x14ac:dyDescent="0.3">
      <c r="B439" s="172"/>
      <c r="C439" s="172"/>
      <c r="D439" s="172"/>
      <c r="E439" s="172"/>
      <c r="F439" s="172"/>
      <c r="G439" s="172"/>
      <c r="H439" s="172"/>
      <c r="I439" s="172"/>
    </row>
    <row r="440" spans="2:9" x14ac:dyDescent="0.3">
      <c r="B440" s="172"/>
      <c r="C440" s="172"/>
      <c r="D440" s="172"/>
      <c r="E440" s="172"/>
      <c r="F440" s="172"/>
      <c r="G440" s="172"/>
      <c r="H440" s="172"/>
      <c r="I440" s="172"/>
    </row>
    <row r="441" spans="2:9" x14ac:dyDescent="0.3">
      <c r="B441" s="172"/>
      <c r="C441" s="172"/>
      <c r="D441" s="172"/>
      <c r="E441" s="172"/>
      <c r="F441" s="172"/>
      <c r="G441" s="172"/>
      <c r="H441" s="172"/>
      <c r="I441" s="172"/>
    </row>
    <row r="442" spans="2:9" x14ac:dyDescent="0.3">
      <c r="B442" s="172"/>
      <c r="C442" s="172"/>
      <c r="D442" s="172"/>
      <c r="E442" s="172"/>
      <c r="F442" s="172"/>
      <c r="G442" s="172"/>
      <c r="H442" s="172"/>
      <c r="I442" s="172"/>
    </row>
    <row r="443" spans="2:9" x14ac:dyDescent="0.3">
      <c r="B443" s="172"/>
      <c r="C443" s="172"/>
      <c r="D443" s="172"/>
      <c r="E443" s="172"/>
      <c r="F443" s="172"/>
      <c r="G443" s="172"/>
      <c r="H443" s="172"/>
      <c r="I443" s="17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3" name="Button 1">
              <controlPr defaultSize="0" print="0" autoFill="0" autoPict="0" macro="[0]!DERIVAS">
                <anchor moveWithCells="1" sizeWithCells="1">
                  <from>
                    <xdr:col>10</xdr:col>
                    <xdr:colOff>335280</xdr:colOff>
                    <xdr:row>0</xdr:row>
                    <xdr:rowOff>99060</xdr:rowOff>
                  </from>
                  <to>
                    <xdr:col>13</xdr:col>
                    <xdr:colOff>152400</xdr:colOff>
                    <xdr:row>6</xdr:row>
                    <xdr:rowOff>129540</xdr:rowOff>
                  </to>
                </anchor>
              </controlPr>
            </control>
          </mc:Choice>
        </mc:AlternateContent>
      </controls>
    </mc:Choice>
  </mc:AlternateContent>
  <tableParts count="4">
    <tablePart r:id="rId4"/>
    <tablePart r:id="rId5"/>
    <tablePart r:id="rId6"/>
    <tablePart r:id="rId7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B2:L77"/>
  <sheetViews>
    <sheetView zoomScaleNormal="100" workbookViewId="0">
      <selection activeCell="L18" sqref="L18"/>
    </sheetView>
  </sheetViews>
  <sheetFormatPr baseColWidth="10" defaultRowHeight="14.4" x14ac:dyDescent="0.3"/>
  <cols>
    <col min="1" max="6" width="11.5546875" style="37"/>
    <col min="7" max="7" width="13.77734375" style="37" customWidth="1"/>
    <col min="8" max="16384" width="11.5546875" style="37"/>
  </cols>
  <sheetData>
    <row r="2" spans="2:11" x14ac:dyDescent="0.3">
      <c r="B2" s="200" t="s">
        <v>78</v>
      </c>
      <c r="C2" s="200"/>
      <c r="D2" s="133" t="s">
        <v>77</v>
      </c>
      <c r="E2" s="37">
        <v>12</v>
      </c>
    </row>
    <row r="3" spans="2:11" x14ac:dyDescent="0.3">
      <c r="B3" s="9" t="s">
        <v>79</v>
      </c>
    </row>
    <row r="4" spans="2:11" x14ac:dyDescent="0.3">
      <c r="B4" s="135" t="s">
        <v>68</v>
      </c>
      <c r="C4" s="136"/>
      <c r="D4" s="136"/>
      <c r="E4" s="136"/>
      <c r="F4" s="136"/>
      <c r="G4" s="179"/>
      <c r="H4" s="179"/>
      <c r="I4" s="179"/>
    </row>
    <row r="5" spans="2:11" x14ac:dyDescent="0.3">
      <c r="B5" s="137" t="s">
        <v>9</v>
      </c>
      <c r="C5" s="137" t="s">
        <v>69</v>
      </c>
      <c r="D5" s="137" t="s">
        <v>47</v>
      </c>
      <c r="E5" s="137" t="s">
        <v>70</v>
      </c>
      <c r="F5" s="38" t="s">
        <v>75</v>
      </c>
      <c r="G5" s="169" t="s">
        <v>113</v>
      </c>
      <c r="H5" s="80" t="s">
        <v>112</v>
      </c>
      <c r="I5" s="169" t="s">
        <v>113</v>
      </c>
    </row>
    <row r="6" spans="2:11" x14ac:dyDescent="0.3">
      <c r="B6" s="138"/>
      <c r="C6" s="138" t="s">
        <v>7</v>
      </c>
      <c r="D6" s="138"/>
      <c r="E6" s="138"/>
      <c r="F6" s="173" t="str">
        <f>+IF('Sismo UBC-94 y Dinamico'!M5&lt;0.7,"0.04/RW","0.03/RW")</f>
        <v>0.03/RW</v>
      </c>
      <c r="G6" s="173"/>
      <c r="H6" s="173"/>
      <c r="I6" s="173"/>
      <c r="K6" s="99"/>
    </row>
    <row r="7" spans="2:11" x14ac:dyDescent="0.3">
      <c r="B7" s="134" t="s">
        <v>189</v>
      </c>
      <c r="C7" s="134">
        <v>38.5</v>
      </c>
      <c r="D7" s="134" t="s">
        <v>72</v>
      </c>
      <c r="E7" s="185">
        <v>2.22291767087146E-4</v>
      </c>
      <c r="F7" s="36">
        <f>+IF($F$6="0.03/RW",0.03/$E$2,0.04/$E$2)</f>
        <v>2.5000000000000001E-3</v>
      </c>
      <c r="G7" s="41" t="str">
        <f t="shared" ref="G7:G17" si="0">+IF(E7&lt;F7,"Cumple","No Cumple")</f>
        <v>Cumple</v>
      </c>
      <c r="H7" s="37">
        <f>0.02/12</f>
        <v>1.6666666666666668E-3</v>
      </c>
      <c r="I7" s="41" t="str">
        <f t="shared" ref="I7:I17" si="1">+IF(E7&lt;$H$7,"Cumple","No Cumple")</f>
        <v>Cumple</v>
      </c>
    </row>
    <row r="8" spans="2:11" x14ac:dyDescent="0.3">
      <c r="B8" s="134" t="s">
        <v>187</v>
      </c>
      <c r="C8" s="134">
        <v>35.5</v>
      </c>
      <c r="D8" s="134" t="s">
        <v>72</v>
      </c>
      <c r="E8" s="185">
        <v>2.38234917259921E-4</v>
      </c>
      <c r="F8" s="36">
        <f t="shared" ref="F8:F17" si="2">+IF($F$6="0.03/RW",0.03/$E$2,0.04/$E$2)</f>
        <v>2.5000000000000001E-3</v>
      </c>
      <c r="G8" s="41" t="str">
        <f t="shared" si="0"/>
        <v>Cumple</v>
      </c>
      <c r="I8" s="41" t="str">
        <f t="shared" si="1"/>
        <v>Cumple</v>
      </c>
    </row>
    <row r="9" spans="2:11" x14ac:dyDescent="0.3">
      <c r="B9" s="134" t="s">
        <v>185</v>
      </c>
      <c r="C9" s="134">
        <v>32</v>
      </c>
      <c r="D9" s="134" t="s">
        <v>72</v>
      </c>
      <c r="E9" s="185">
        <v>3.8964639712814699E-4</v>
      </c>
      <c r="F9" s="36">
        <f t="shared" si="2"/>
        <v>2.5000000000000001E-3</v>
      </c>
      <c r="G9" s="41" t="str">
        <f t="shared" si="0"/>
        <v>Cumple</v>
      </c>
      <c r="I9" s="41" t="str">
        <f t="shared" si="1"/>
        <v>Cumple</v>
      </c>
    </row>
    <row r="10" spans="2:11" x14ac:dyDescent="0.3">
      <c r="B10" s="134" t="s">
        <v>183</v>
      </c>
      <c r="C10" s="134">
        <v>28.5</v>
      </c>
      <c r="D10" s="134" t="s">
        <v>72</v>
      </c>
      <c r="E10" s="185">
        <v>5.3299634216003304E-4</v>
      </c>
      <c r="F10" s="36">
        <f t="shared" si="2"/>
        <v>2.5000000000000001E-3</v>
      </c>
      <c r="G10" s="41" t="str">
        <f t="shared" si="0"/>
        <v>Cumple</v>
      </c>
      <c r="I10" s="41" t="str">
        <f t="shared" si="1"/>
        <v>Cumple</v>
      </c>
    </row>
    <row r="11" spans="2:11" x14ac:dyDescent="0.3">
      <c r="B11" s="134" t="s">
        <v>181</v>
      </c>
      <c r="C11" s="134">
        <v>25</v>
      </c>
      <c r="D11" s="134" t="s">
        <v>72</v>
      </c>
      <c r="E11" s="185">
        <v>6.5498783748358801E-4</v>
      </c>
      <c r="F11" s="36">
        <f t="shared" si="2"/>
        <v>2.5000000000000001E-3</v>
      </c>
      <c r="G11" s="41" t="str">
        <f t="shared" si="0"/>
        <v>Cumple</v>
      </c>
      <c r="I11" s="41" t="str">
        <f t="shared" si="1"/>
        <v>Cumple</v>
      </c>
    </row>
    <row r="12" spans="2:11" x14ac:dyDescent="0.3">
      <c r="B12" s="134" t="s">
        <v>179</v>
      </c>
      <c r="C12" s="134">
        <v>21.5</v>
      </c>
      <c r="D12" s="134" t="s">
        <v>72</v>
      </c>
      <c r="E12" s="185">
        <v>7.5799423287777295E-4</v>
      </c>
      <c r="F12" s="36">
        <f t="shared" si="2"/>
        <v>2.5000000000000001E-3</v>
      </c>
      <c r="G12" s="41" t="str">
        <f t="shared" si="0"/>
        <v>Cumple</v>
      </c>
      <c r="I12" s="41" t="str">
        <f t="shared" si="1"/>
        <v>Cumple</v>
      </c>
    </row>
    <row r="13" spans="2:11" s="132" customFormat="1" x14ac:dyDescent="0.3">
      <c r="B13" s="134" t="s">
        <v>39</v>
      </c>
      <c r="C13" s="134">
        <v>18</v>
      </c>
      <c r="D13" s="134" t="s">
        <v>72</v>
      </c>
      <c r="E13" s="185">
        <v>8.3814112846233803E-4</v>
      </c>
      <c r="F13" s="36">
        <f t="shared" si="2"/>
        <v>2.5000000000000001E-3</v>
      </c>
      <c r="G13" s="41" t="str">
        <f t="shared" si="0"/>
        <v>Cumple</v>
      </c>
      <c r="I13" s="41" t="str">
        <f t="shared" si="1"/>
        <v>Cumple</v>
      </c>
    </row>
    <row r="14" spans="2:11" s="132" customFormat="1" x14ac:dyDescent="0.3">
      <c r="B14" s="134" t="s">
        <v>26</v>
      </c>
      <c r="C14" s="134">
        <v>14.5</v>
      </c>
      <c r="D14" s="134" t="s">
        <v>72</v>
      </c>
      <c r="E14" s="185">
        <v>9.0204322797912803E-4</v>
      </c>
      <c r="F14" s="36">
        <f t="shared" si="2"/>
        <v>2.5000000000000001E-3</v>
      </c>
      <c r="G14" s="41" t="str">
        <f t="shared" si="0"/>
        <v>Cumple</v>
      </c>
      <c r="I14" s="41" t="str">
        <f t="shared" si="1"/>
        <v>Cumple</v>
      </c>
    </row>
    <row r="15" spans="2:11" s="132" customFormat="1" x14ac:dyDescent="0.3">
      <c r="B15" s="134" t="s">
        <v>25</v>
      </c>
      <c r="C15" s="134">
        <v>11</v>
      </c>
      <c r="D15" s="134" t="s">
        <v>72</v>
      </c>
      <c r="E15" s="185">
        <v>9.5542481481134098E-4</v>
      </c>
      <c r="F15" s="36">
        <f t="shared" si="2"/>
        <v>2.5000000000000001E-3</v>
      </c>
      <c r="G15" s="41" t="str">
        <f t="shared" si="0"/>
        <v>Cumple</v>
      </c>
      <c r="I15" s="41" t="str">
        <f t="shared" si="1"/>
        <v>Cumple</v>
      </c>
    </row>
    <row r="16" spans="2:11" s="132" customFormat="1" x14ac:dyDescent="0.3">
      <c r="B16" s="134" t="s">
        <v>24</v>
      </c>
      <c r="C16" s="134">
        <v>7.5</v>
      </c>
      <c r="D16" s="134" t="s">
        <v>72</v>
      </c>
      <c r="E16" s="185">
        <v>9.8639713299354908E-4</v>
      </c>
      <c r="F16" s="36">
        <f t="shared" si="2"/>
        <v>2.5000000000000001E-3</v>
      </c>
      <c r="G16" s="41" t="str">
        <f t="shared" si="0"/>
        <v>Cumple</v>
      </c>
      <c r="I16" s="41" t="str">
        <f t="shared" si="1"/>
        <v>Cumple</v>
      </c>
    </row>
    <row r="17" spans="2:12" s="132" customFormat="1" x14ac:dyDescent="0.3">
      <c r="B17" s="134" t="s">
        <v>22</v>
      </c>
      <c r="C17" s="134">
        <v>4</v>
      </c>
      <c r="D17" s="134" t="s">
        <v>72</v>
      </c>
      <c r="E17" s="188">
        <v>8.3869050415027199E-4</v>
      </c>
      <c r="F17" s="36">
        <f t="shared" si="2"/>
        <v>2.5000000000000001E-3</v>
      </c>
      <c r="G17" s="41" t="str">
        <f t="shared" si="0"/>
        <v>Cumple</v>
      </c>
      <c r="I17" s="41" t="str">
        <f t="shared" si="1"/>
        <v>Cumple</v>
      </c>
    </row>
    <row r="18" spans="2:12" s="132" customFormat="1" x14ac:dyDescent="0.3">
      <c r="B18" s="134" t="s">
        <v>44</v>
      </c>
      <c r="C18" s="134">
        <v>0</v>
      </c>
      <c r="D18" s="134" t="s">
        <v>72</v>
      </c>
      <c r="E18" s="172"/>
      <c r="F18" s="53"/>
      <c r="G18" s="36"/>
      <c r="H18" s="36"/>
      <c r="I18" s="41"/>
      <c r="L18" s="41"/>
    </row>
    <row r="19" spans="2:12" s="132" customFormat="1" x14ac:dyDescent="0.3">
      <c r="E19" s="172"/>
      <c r="F19" s="53"/>
      <c r="G19" s="36"/>
      <c r="H19" s="36"/>
      <c r="I19" s="41"/>
      <c r="L19" s="41"/>
    </row>
    <row r="20" spans="2:12" x14ac:dyDescent="0.3">
      <c r="E20" s="172"/>
      <c r="I20" s="42"/>
    </row>
    <row r="21" spans="2:12" x14ac:dyDescent="0.3">
      <c r="E21" s="172"/>
      <c r="I21" s="42"/>
    </row>
    <row r="22" spans="2:12" x14ac:dyDescent="0.3">
      <c r="B22" s="9" t="s">
        <v>80</v>
      </c>
      <c r="E22" s="172"/>
      <c r="I22" s="42"/>
    </row>
    <row r="23" spans="2:12" x14ac:dyDescent="0.3">
      <c r="B23" s="140" t="s">
        <v>68</v>
      </c>
      <c r="C23" s="141"/>
      <c r="D23" s="141"/>
      <c r="E23" s="141"/>
      <c r="F23" s="141"/>
      <c r="G23" s="179"/>
      <c r="H23" s="179"/>
      <c r="I23" s="179"/>
    </row>
    <row r="24" spans="2:12" x14ac:dyDescent="0.3">
      <c r="B24" s="142" t="s">
        <v>9</v>
      </c>
      <c r="C24" s="142" t="s">
        <v>69</v>
      </c>
      <c r="D24" s="142" t="s">
        <v>47</v>
      </c>
      <c r="E24" s="142" t="s">
        <v>70</v>
      </c>
      <c r="F24" s="38" t="s">
        <v>75</v>
      </c>
      <c r="G24" s="169" t="s">
        <v>113</v>
      </c>
      <c r="H24" s="80" t="s">
        <v>112</v>
      </c>
      <c r="I24" s="169" t="s">
        <v>113</v>
      </c>
    </row>
    <row r="25" spans="2:12" x14ac:dyDescent="0.3">
      <c r="B25" s="143"/>
      <c r="C25" s="143" t="s">
        <v>7</v>
      </c>
      <c r="D25" s="143"/>
      <c r="E25" s="143"/>
      <c r="F25" s="40" t="str">
        <f>+F6</f>
        <v>0.03/RW</v>
      </c>
      <c r="G25" s="173"/>
      <c r="H25" s="173"/>
      <c r="I25" s="173"/>
    </row>
    <row r="26" spans="2:12" x14ac:dyDescent="0.3">
      <c r="B26" s="139" t="s">
        <v>189</v>
      </c>
      <c r="C26" s="139">
        <v>38.5</v>
      </c>
      <c r="D26" s="139" t="s">
        <v>72</v>
      </c>
      <c r="E26" s="185">
        <v>2.43329727959041E-4</v>
      </c>
      <c r="F26" s="36">
        <f>+F7</f>
        <v>2.5000000000000001E-3</v>
      </c>
      <c r="G26" s="41" t="str">
        <f t="shared" ref="G26:G36" si="3">+IF(E26&lt;F26,"Cumple","No Cumple")</f>
        <v>Cumple</v>
      </c>
      <c r="H26" s="68">
        <f>0.02/12</f>
        <v>1.6666666666666668E-3</v>
      </c>
      <c r="I26" s="41" t="str">
        <f t="shared" ref="I26:I36" si="4">+IF(E26&lt;$H$7,"Cumple","No Cumple")</f>
        <v>Cumple</v>
      </c>
    </row>
    <row r="27" spans="2:12" x14ac:dyDescent="0.3">
      <c r="B27" s="139" t="s">
        <v>187</v>
      </c>
      <c r="C27" s="139">
        <v>35.5</v>
      </c>
      <c r="D27" s="139" t="s">
        <v>72</v>
      </c>
      <c r="E27" s="185">
        <v>2.6919862808300499E-4</v>
      </c>
      <c r="F27" s="36">
        <f t="shared" ref="F27:F36" si="5">+F8</f>
        <v>2.5000000000000001E-3</v>
      </c>
      <c r="G27" s="41" t="str">
        <f t="shared" si="3"/>
        <v>Cumple</v>
      </c>
      <c r="H27" s="68"/>
      <c r="I27" s="41" t="str">
        <f t="shared" si="4"/>
        <v>Cumple</v>
      </c>
    </row>
    <row r="28" spans="2:12" x14ac:dyDescent="0.3">
      <c r="B28" s="139" t="s">
        <v>185</v>
      </c>
      <c r="C28" s="139">
        <v>32</v>
      </c>
      <c r="D28" s="139" t="s">
        <v>72</v>
      </c>
      <c r="E28" s="185">
        <v>4.1567430115536301E-4</v>
      </c>
      <c r="F28" s="36">
        <f t="shared" si="5"/>
        <v>2.5000000000000001E-3</v>
      </c>
      <c r="G28" s="41" t="str">
        <f t="shared" si="3"/>
        <v>Cumple</v>
      </c>
      <c r="H28" s="68"/>
      <c r="I28" s="41" t="str">
        <f t="shared" si="4"/>
        <v>Cumple</v>
      </c>
    </row>
    <row r="29" spans="2:12" x14ac:dyDescent="0.3">
      <c r="B29" s="139" t="s">
        <v>183</v>
      </c>
      <c r="C29" s="139">
        <v>28.5</v>
      </c>
      <c r="D29" s="139" t="s">
        <v>72</v>
      </c>
      <c r="E29" s="185">
        <v>5.5025154911549404E-4</v>
      </c>
      <c r="F29" s="36">
        <f t="shared" si="5"/>
        <v>2.5000000000000001E-3</v>
      </c>
      <c r="G29" s="41" t="str">
        <f t="shared" si="3"/>
        <v>Cumple</v>
      </c>
      <c r="H29" s="68"/>
      <c r="I29" s="41" t="str">
        <f t="shared" si="4"/>
        <v>Cumple</v>
      </c>
    </row>
    <row r="30" spans="2:12" x14ac:dyDescent="0.3">
      <c r="B30" s="139" t="s">
        <v>181</v>
      </c>
      <c r="C30" s="139">
        <v>25</v>
      </c>
      <c r="D30" s="139" t="s">
        <v>72</v>
      </c>
      <c r="E30" s="185">
        <v>6.6405196634488402E-4</v>
      </c>
      <c r="F30" s="36">
        <f t="shared" si="5"/>
        <v>2.5000000000000001E-3</v>
      </c>
      <c r="G30" s="41" t="str">
        <f t="shared" si="3"/>
        <v>Cumple</v>
      </c>
      <c r="H30" s="68"/>
      <c r="I30" s="41" t="str">
        <f t="shared" si="4"/>
        <v>Cumple</v>
      </c>
    </row>
    <row r="31" spans="2:12" x14ac:dyDescent="0.3">
      <c r="B31" s="139" t="s">
        <v>179</v>
      </c>
      <c r="C31" s="139">
        <v>21.5</v>
      </c>
      <c r="D31" s="139" t="s">
        <v>72</v>
      </c>
      <c r="E31" s="185">
        <v>7.5849664042792499E-4</v>
      </c>
      <c r="F31" s="36">
        <f t="shared" si="5"/>
        <v>2.5000000000000001E-3</v>
      </c>
      <c r="G31" s="41" t="str">
        <f t="shared" si="3"/>
        <v>Cumple</v>
      </c>
      <c r="H31" s="68"/>
      <c r="I31" s="41" t="str">
        <f t="shared" si="4"/>
        <v>Cumple</v>
      </c>
    </row>
    <row r="32" spans="2:12" s="132" customFormat="1" x14ac:dyDescent="0.3">
      <c r="B32" s="139" t="s">
        <v>39</v>
      </c>
      <c r="C32" s="139">
        <v>18</v>
      </c>
      <c r="D32" s="139" t="s">
        <v>72</v>
      </c>
      <c r="E32" s="185">
        <v>8.1673204890456597E-4</v>
      </c>
      <c r="F32" s="36">
        <f t="shared" si="5"/>
        <v>2.5000000000000001E-3</v>
      </c>
      <c r="G32" s="41" t="str">
        <f t="shared" si="3"/>
        <v>Cumple</v>
      </c>
      <c r="I32" s="41" t="str">
        <f t="shared" si="4"/>
        <v>Cumple</v>
      </c>
    </row>
    <row r="33" spans="2:12" s="132" customFormat="1" x14ac:dyDescent="0.3">
      <c r="B33" s="139" t="s">
        <v>26</v>
      </c>
      <c r="C33" s="139">
        <v>14.5</v>
      </c>
      <c r="D33" s="139" t="s">
        <v>72</v>
      </c>
      <c r="E33" s="185">
        <v>8.5777958299234301E-4</v>
      </c>
      <c r="F33" s="36">
        <f t="shared" si="5"/>
        <v>2.5000000000000001E-3</v>
      </c>
      <c r="G33" s="41" t="str">
        <f t="shared" si="3"/>
        <v>Cumple</v>
      </c>
      <c r="I33" s="41" t="str">
        <f t="shared" si="4"/>
        <v>Cumple</v>
      </c>
    </row>
    <row r="34" spans="2:12" s="132" customFormat="1" x14ac:dyDescent="0.3">
      <c r="B34" s="139" t="s">
        <v>25</v>
      </c>
      <c r="C34" s="139">
        <v>11</v>
      </c>
      <c r="D34" s="139" t="s">
        <v>72</v>
      </c>
      <c r="E34" s="185">
        <v>9.0040037011278004E-4</v>
      </c>
      <c r="F34" s="36">
        <f t="shared" si="5"/>
        <v>2.5000000000000001E-3</v>
      </c>
      <c r="G34" s="41" t="str">
        <f t="shared" si="3"/>
        <v>Cumple</v>
      </c>
      <c r="I34" s="41" t="str">
        <f t="shared" si="4"/>
        <v>Cumple</v>
      </c>
    </row>
    <row r="35" spans="2:12" s="132" customFormat="1" x14ac:dyDescent="0.3">
      <c r="B35" s="139" t="s">
        <v>24</v>
      </c>
      <c r="C35" s="139">
        <v>7.5</v>
      </c>
      <c r="D35" s="139" t="s">
        <v>72</v>
      </c>
      <c r="E35" s="185">
        <v>9.2055185657962605E-4</v>
      </c>
      <c r="F35" s="36">
        <f t="shared" si="5"/>
        <v>2.5000000000000001E-3</v>
      </c>
      <c r="G35" s="41" t="str">
        <f t="shared" si="3"/>
        <v>Cumple</v>
      </c>
      <c r="I35" s="41" t="str">
        <f t="shared" si="4"/>
        <v>Cumple</v>
      </c>
    </row>
    <row r="36" spans="2:12" s="132" customFormat="1" x14ac:dyDescent="0.3">
      <c r="B36" s="139" t="s">
        <v>22</v>
      </c>
      <c r="C36" s="139">
        <v>4</v>
      </c>
      <c r="D36" s="139" t="s">
        <v>72</v>
      </c>
      <c r="E36" s="188">
        <v>7.7940498946278702E-4</v>
      </c>
      <c r="F36" s="36">
        <f t="shared" si="5"/>
        <v>2.5000000000000001E-3</v>
      </c>
      <c r="G36" s="41" t="str">
        <f t="shared" si="3"/>
        <v>Cumple</v>
      </c>
      <c r="I36" s="41" t="str">
        <f t="shared" si="4"/>
        <v>Cumple</v>
      </c>
    </row>
    <row r="37" spans="2:12" s="132" customFormat="1" x14ac:dyDescent="0.3">
      <c r="B37" s="139" t="s">
        <v>44</v>
      </c>
      <c r="C37" s="139">
        <v>0</v>
      </c>
      <c r="D37" s="139" t="s">
        <v>72</v>
      </c>
      <c r="E37" s="172"/>
      <c r="F37" s="53"/>
      <c r="G37" s="36"/>
      <c r="H37" s="36"/>
      <c r="I37" s="41"/>
      <c r="L37" s="41"/>
    </row>
    <row r="38" spans="2:12" s="132" customFormat="1" x14ac:dyDescent="0.3">
      <c r="E38" s="172"/>
      <c r="F38" s="53"/>
      <c r="G38" s="36"/>
      <c r="H38" s="36"/>
      <c r="I38" s="41"/>
      <c r="L38" s="41"/>
    </row>
    <row r="39" spans="2:12" x14ac:dyDescent="0.3">
      <c r="E39" s="172"/>
    </row>
    <row r="40" spans="2:12" x14ac:dyDescent="0.3">
      <c r="E40" s="172"/>
    </row>
    <row r="41" spans="2:12" x14ac:dyDescent="0.3">
      <c r="B41" s="9" t="s">
        <v>81</v>
      </c>
      <c r="E41" s="172"/>
    </row>
    <row r="42" spans="2:12" x14ac:dyDescent="0.3">
      <c r="B42" s="145" t="s">
        <v>68</v>
      </c>
      <c r="C42" s="146"/>
      <c r="D42" s="146"/>
      <c r="E42" s="146"/>
      <c r="F42" s="146"/>
      <c r="G42" s="179"/>
      <c r="H42" s="179"/>
      <c r="I42" s="179"/>
    </row>
    <row r="43" spans="2:12" x14ac:dyDescent="0.3">
      <c r="B43" s="147" t="s">
        <v>9</v>
      </c>
      <c r="C43" s="147" t="s">
        <v>69</v>
      </c>
      <c r="D43" s="147" t="s">
        <v>47</v>
      </c>
      <c r="E43" s="148" t="s">
        <v>71</v>
      </c>
      <c r="F43" s="39" t="s">
        <v>76</v>
      </c>
      <c r="G43" s="169" t="s">
        <v>113</v>
      </c>
      <c r="H43" s="80" t="s">
        <v>112</v>
      </c>
      <c r="I43" s="169" t="s">
        <v>113</v>
      </c>
    </row>
    <row r="44" spans="2:12" x14ac:dyDescent="0.3">
      <c r="B44" s="149"/>
      <c r="C44" s="149" t="s">
        <v>7</v>
      </c>
      <c r="D44" s="149"/>
      <c r="E44" s="150"/>
      <c r="F44" s="173" t="str">
        <f>+IF('Sismo UBC-94 y Dinamico'!M6&lt;0.7,"0.04/RW","0.03/RW")</f>
        <v>0.03/RW</v>
      </c>
      <c r="G44" s="173"/>
      <c r="H44" s="173"/>
      <c r="I44" s="173"/>
    </row>
    <row r="45" spans="2:12" x14ac:dyDescent="0.3">
      <c r="B45" s="144" t="s">
        <v>189</v>
      </c>
      <c r="C45" s="144">
        <v>38.5</v>
      </c>
      <c r="D45" s="144" t="s">
        <v>72</v>
      </c>
      <c r="E45" s="185">
        <v>5.3881830236663297E-4</v>
      </c>
      <c r="F45" s="36">
        <f>+IF($F$44="0.03/RW",0.03/$E$2,0.04/$E$2)</f>
        <v>2.5000000000000001E-3</v>
      </c>
      <c r="G45" s="41" t="str">
        <f t="shared" ref="G45:G55" si="6">+IF(E45&lt;F45,"Cumple","No Cumple")</f>
        <v>Cumple</v>
      </c>
      <c r="H45" s="68">
        <f>0.02/12</f>
        <v>1.6666666666666668E-3</v>
      </c>
      <c r="I45" s="41" t="str">
        <f t="shared" ref="I45:I55" si="7">+IF(E45&lt;$H$7,"Cumple","No Cumple")</f>
        <v>Cumple</v>
      </c>
    </row>
    <row r="46" spans="2:12" x14ac:dyDescent="0.3">
      <c r="B46" s="144" t="s">
        <v>187</v>
      </c>
      <c r="C46" s="144">
        <v>35.5</v>
      </c>
      <c r="D46" s="144" t="s">
        <v>72</v>
      </c>
      <c r="E46" s="185">
        <v>5.6040536704659205E-4</v>
      </c>
      <c r="F46" s="36">
        <f t="shared" ref="F46:F55" si="8">+IF($F$44="0.03/RW",0.03/$E$2,0.04/$E$2)</f>
        <v>2.5000000000000001E-3</v>
      </c>
      <c r="G46" s="41" t="str">
        <f t="shared" si="6"/>
        <v>Cumple</v>
      </c>
      <c r="H46" s="68"/>
      <c r="I46" s="41" t="str">
        <f t="shared" si="7"/>
        <v>Cumple</v>
      </c>
    </row>
    <row r="47" spans="2:12" x14ac:dyDescent="0.3">
      <c r="B47" s="144" t="s">
        <v>185</v>
      </c>
      <c r="C47" s="144">
        <v>32</v>
      </c>
      <c r="D47" s="144" t="s">
        <v>72</v>
      </c>
      <c r="E47" s="185">
        <v>7.3583119096251495E-4</v>
      </c>
      <c r="F47" s="36">
        <f t="shared" si="8"/>
        <v>2.5000000000000001E-3</v>
      </c>
      <c r="G47" s="41" t="str">
        <f t="shared" si="6"/>
        <v>Cumple</v>
      </c>
      <c r="H47" s="68"/>
      <c r="I47" s="41" t="str">
        <f t="shared" si="7"/>
        <v>Cumple</v>
      </c>
    </row>
    <row r="48" spans="2:12" x14ac:dyDescent="0.3">
      <c r="B48" s="144" t="s">
        <v>183</v>
      </c>
      <c r="C48" s="144">
        <v>28.5</v>
      </c>
      <c r="D48" s="144" t="s">
        <v>72</v>
      </c>
      <c r="E48" s="185">
        <v>8.8912532643959004E-4</v>
      </c>
      <c r="F48" s="36">
        <f t="shared" si="8"/>
        <v>2.5000000000000001E-3</v>
      </c>
      <c r="G48" s="41" t="str">
        <f t="shared" si="6"/>
        <v>Cumple</v>
      </c>
      <c r="H48" s="68"/>
      <c r="I48" s="41" t="str">
        <f t="shared" si="7"/>
        <v>Cumple</v>
      </c>
    </row>
    <row r="49" spans="2:12" x14ac:dyDescent="0.3">
      <c r="B49" s="144" t="s">
        <v>181</v>
      </c>
      <c r="C49" s="144">
        <v>25</v>
      </c>
      <c r="D49" s="144" t="s">
        <v>72</v>
      </c>
      <c r="E49" s="185">
        <v>1.0104070293470099E-3</v>
      </c>
      <c r="F49" s="36">
        <f t="shared" si="8"/>
        <v>2.5000000000000001E-3</v>
      </c>
      <c r="G49" s="41" t="str">
        <f t="shared" si="6"/>
        <v>Cumple</v>
      </c>
      <c r="H49" s="68"/>
      <c r="I49" s="41" t="str">
        <f t="shared" si="7"/>
        <v>Cumple</v>
      </c>
    </row>
    <row r="50" spans="2:12" x14ac:dyDescent="0.3">
      <c r="B50" s="144" t="s">
        <v>179</v>
      </c>
      <c r="C50" s="144">
        <v>21.5</v>
      </c>
      <c r="D50" s="144" t="s">
        <v>72</v>
      </c>
      <c r="E50" s="185">
        <v>1.10364630983959E-3</v>
      </c>
      <c r="F50" s="36">
        <f t="shared" si="8"/>
        <v>2.5000000000000001E-3</v>
      </c>
      <c r="G50" s="41" t="str">
        <f t="shared" si="6"/>
        <v>Cumple</v>
      </c>
      <c r="H50" s="68"/>
      <c r="I50" s="41" t="str">
        <f t="shared" si="7"/>
        <v>Cumple</v>
      </c>
    </row>
    <row r="51" spans="2:12" s="132" customFormat="1" x14ac:dyDescent="0.3">
      <c r="B51" s="144" t="s">
        <v>39</v>
      </c>
      <c r="C51" s="144">
        <v>18</v>
      </c>
      <c r="D51" s="144" t="s">
        <v>72</v>
      </c>
      <c r="E51" s="185">
        <v>1.1676574589086E-3</v>
      </c>
      <c r="F51" s="36">
        <f t="shared" si="8"/>
        <v>2.5000000000000001E-3</v>
      </c>
      <c r="G51" s="41" t="str">
        <f t="shared" si="6"/>
        <v>Cumple</v>
      </c>
      <c r="I51" s="41" t="str">
        <f t="shared" si="7"/>
        <v>Cumple</v>
      </c>
    </row>
    <row r="52" spans="2:12" s="132" customFormat="1" x14ac:dyDescent="0.3">
      <c r="B52" s="144" t="s">
        <v>26</v>
      </c>
      <c r="C52" s="144">
        <v>14.5</v>
      </c>
      <c r="D52" s="144" t="s">
        <v>72</v>
      </c>
      <c r="E52" s="185">
        <v>1.20961300971416E-3</v>
      </c>
      <c r="F52" s="36">
        <f t="shared" si="8"/>
        <v>2.5000000000000001E-3</v>
      </c>
      <c r="G52" s="41" t="str">
        <f t="shared" si="6"/>
        <v>Cumple</v>
      </c>
      <c r="I52" s="41" t="str">
        <f t="shared" si="7"/>
        <v>Cumple</v>
      </c>
    </row>
    <row r="53" spans="2:12" s="132" customFormat="1" x14ac:dyDescent="0.3">
      <c r="B53" s="144" t="s">
        <v>25</v>
      </c>
      <c r="C53" s="144">
        <v>11</v>
      </c>
      <c r="D53" s="144" t="s">
        <v>72</v>
      </c>
      <c r="E53" s="185">
        <v>1.2310530617680401E-3</v>
      </c>
      <c r="F53" s="36">
        <f t="shared" si="8"/>
        <v>2.5000000000000001E-3</v>
      </c>
      <c r="G53" s="41" t="str">
        <f t="shared" si="6"/>
        <v>Cumple</v>
      </c>
      <c r="I53" s="41" t="str">
        <f t="shared" si="7"/>
        <v>Cumple</v>
      </c>
    </row>
    <row r="54" spans="2:12" s="132" customFormat="1" x14ac:dyDescent="0.3">
      <c r="B54" s="144" t="s">
        <v>24</v>
      </c>
      <c r="C54" s="144">
        <v>7.5</v>
      </c>
      <c r="D54" s="144" t="s">
        <v>72</v>
      </c>
      <c r="E54" s="185">
        <v>1.21361599958783E-3</v>
      </c>
      <c r="F54" s="36">
        <f t="shared" si="8"/>
        <v>2.5000000000000001E-3</v>
      </c>
      <c r="G54" s="41" t="str">
        <f t="shared" si="6"/>
        <v>Cumple</v>
      </c>
      <c r="I54" s="41" t="str">
        <f t="shared" si="7"/>
        <v>Cumple</v>
      </c>
    </row>
    <row r="55" spans="2:12" s="132" customFormat="1" x14ac:dyDescent="0.3">
      <c r="B55" s="144" t="s">
        <v>22</v>
      </c>
      <c r="C55" s="144">
        <v>4</v>
      </c>
      <c r="D55" s="144" t="s">
        <v>72</v>
      </c>
      <c r="E55" s="188">
        <v>9.4808030541592998E-4</v>
      </c>
      <c r="F55" s="36">
        <f t="shared" si="8"/>
        <v>2.5000000000000001E-3</v>
      </c>
      <c r="G55" s="41" t="str">
        <f t="shared" si="6"/>
        <v>Cumple</v>
      </c>
      <c r="I55" s="41" t="str">
        <f t="shared" si="7"/>
        <v>Cumple</v>
      </c>
    </row>
    <row r="56" spans="2:12" s="132" customFormat="1" x14ac:dyDescent="0.3">
      <c r="B56" s="144" t="s">
        <v>44</v>
      </c>
      <c r="C56" s="144">
        <v>0</v>
      </c>
      <c r="D56" s="144" t="s">
        <v>72</v>
      </c>
      <c r="E56" s="53"/>
      <c r="G56" s="36"/>
      <c r="H56" s="36"/>
      <c r="I56" s="41"/>
      <c r="L56" s="41"/>
    </row>
    <row r="57" spans="2:12" s="132" customFormat="1" x14ac:dyDescent="0.3">
      <c r="E57" s="53"/>
      <c r="F57" s="53"/>
      <c r="G57" s="36"/>
      <c r="H57" s="36"/>
      <c r="I57" s="41"/>
      <c r="L57" s="41"/>
    </row>
    <row r="58" spans="2:12" s="132" customFormat="1" x14ac:dyDescent="0.3">
      <c r="E58" s="53"/>
      <c r="F58" s="53"/>
      <c r="G58" s="36"/>
      <c r="H58" s="36"/>
      <c r="I58" s="41"/>
      <c r="L58" s="41"/>
    </row>
    <row r="59" spans="2:12" s="132" customFormat="1" x14ac:dyDescent="0.3">
      <c r="E59" s="53"/>
      <c r="F59" s="53"/>
      <c r="G59" s="36"/>
      <c r="H59" s="36"/>
      <c r="I59" s="41"/>
      <c r="L59" s="41"/>
    </row>
    <row r="60" spans="2:12" x14ac:dyDescent="0.3">
      <c r="I60" s="42"/>
    </row>
    <row r="61" spans="2:12" x14ac:dyDescent="0.3">
      <c r="I61" s="42"/>
    </row>
    <row r="62" spans="2:12" x14ac:dyDescent="0.3">
      <c r="B62" s="9" t="s">
        <v>82</v>
      </c>
      <c r="I62" s="42"/>
    </row>
    <row r="63" spans="2:12" x14ac:dyDescent="0.3">
      <c r="B63" s="152" t="s">
        <v>68</v>
      </c>
      <c r="C63" s="153"/>
      <c r="D63" s="153"/>
      <c r="E63" s="153"/>
      <c r="F63" s="153"/>
      <c r="G63" s="179"/>
      <c r="H63" s="179"/>
      <c r="I63" s="179"/>
    </row>
    <row r="64" spans="2:12" x14ac:dyDescent="0.3">
      <c r="B64" s="154" t="s">
        <v>9</v>
      </c>
      <c r="C64" s="154" t="s">
        <v>69</v>
      </c>
      <c r="D64" s="154" t="s">
        <v>47</v>
      </c>
      <c r="E64" s="155" t="s">
        <v>71</v>
      </c>
      <c r="F64" s="39" t="s">
        <v>76</v>
      </c>
      <c r="G64" s="169" t="s">
        <v>113</v>
      </c>
      <c r="H64" s="80" t="s">
        <v>112</v>
      </c>
      <c r="I64" s="169" t="s">
        <v>113</v>
      </c>
    </row>
    <row r="65" spans="2:9" x14ac:dyDescent="0.3">
      <c r="B65" s="156"/>
      <c r="C65" s="156" t="s">
        <v>7</v>
      </c>
      <c r="D65" s="156"/>
      <c r="E65" s="157"/>
      <c r="F65" s="40" t="str">
        <f>+F44</f>
        <v>0.03/RW</v>
      </c>
      <c r="G65" s="173"/>
      <c r="H65" s="173"/>
      <c r="I65" s="173"/>
    </row>
    <row r="66" spans="2:9" x14ac:dyDescent="0.3">
      <c r="B66" s="151" t="s">
        <v>189</v>
      </c>
      <c r="C66" s="151">
        <v>38.5</v>
      </c>
      <c r="D66" s="151" t="s">
        <v>72</v>
      </c>
      <c r="E66" s="185">
        <v>4.5761219498154099E-4</v>
      </c>
      <c r="F66" s="36">
        <f>+F45</f>
        <v>2.5000000000000001E-3</v>
      </c>
      <c r="G66" s="41" t="str">
        <f t="shared" ref="G66:G76" si="9">+IF(E66&lt;F66,"Cumple","No Cumple")</f>
        <v>Cumple</v>
      </c>
      <c r="H66" s="68">
        <f>0.02/12</f>
        <v>1.6666666666666668E-3</v>
      </c>
      <c r="I66" s="41" t="str">
        <f t="shared" ref="I66:I76" si="10">+IF(E66&lt;$H$7,"Cumple","No Cumple")</f>
        <v>Cumple</v>
      </c>
    </row>
    <row r="67" spans="2:9" x14ac:dyDescent="0.3">
      <c r="B67" s="151" t="s">
        <v>187</v>
      </c>
      <c r="C67" s="151">
        <v>35.5</v>
      </c>
      <c r="D67" s="151" t="s">
        <v>72</v>
      </c>
      <c r="E67" s="185">
        <v>4.6957378806723298E-4</v>
      </c>
      <c r="F67" s="36">
        <f t="shared" ref="F67:F76" si="11">+F46</f>
        <v>2.5000000000000001E-3</v>
      </c>
      <c r="G67" s="41" t="str">
        <f t="shared" si="9"/>
        <v>Cumple</v>
      </c>
      <c r="H67" s="68"/>
      <c r="I67" s="41" t="str">
        <f t="shared" si="10"/>
        <v>Cumple</v>
      </c>
    </row>
    <row r="68" spans="2:9" x14ac:dyDescent="0.3">
      <c r="B68" s="151" t="s">
        <v>185</v>
      </c>
      <c r="C68" s="151">
        <v>32</v>
      </c>
      <c r="D68" s="151" t="s">
        <v>72</v>
      </c>
      <c r="E68" s="185">
        <v>6.0360916894947601E-4</v>
      </c>
      <c r="F68" s="36">
        <f t="shared" si="11"/>
        <v>2.5000000000000001E-3</v>
      </c>
      <c r="G68" s="41" t="str">
        <f t="shared" si="9"/>
        <v>Cumple</v>
      </c>
      <c r="H68" s="68"/>
      <c r="I68" s="41" t="str">
        <f t="shared" si="10"/>
        <v>Cumple</v>
      </c>
    </row>
    <row r="69" spans="2:9" x14ac:dyDescent="0.3">
      <c r="B69" s="151" t="s">
        <v>183</v>
      </c>
      <c r="C69" s="151">
        <v>28.5</v>
      </c>
      <c r="D69" s="151" t="s">
        <v>72</v>
      </c>
      <c r="E69" s="185">
        <v>7.4324103631627004E-4</v>
      </c>
      <c r="F69" s="36">
        <f t="shared" si="11"/>
        <v>2.5000000000000001E-3</v>
      </c>
      <c r="G69" s="41" t="str">
        <f t="shared" si="9"/>
        <v>Cumple</v>
      </c>
      <c r="H69" s="68"/>
      <c r="I69" s="41" t="str">
        <f t="shared" si="10"/>
        <v>Cumple</v>
      </c>
    </row>
    <row r="70" spans="2:9" x14ac:dyDescent="0.3">
      <c r="B70" s="151" t="s">
        <v>181</v>
      </c>
      <c r="C70" s="151">
        <v>25</v>
      </c>
      <c r="D70" s="151" t="s">
        <v>72</v>
      </c>
      <c r="E70" s="185">
        <v>8.8263482915248396E-4</v>
      </c>
      <c r="F70" s="36">
        <f t="shared" si="11"/>
        <v>2.5000000000000001E-3</v>
      </c>
      <c r="G70" s="41" t="str">
        <f t="shared" si="9"/>
        <v>Cumple</v>
      </c>
      <c r="H70" s="68"/>
      <c r="I70" s="41" t="str">
        <f t="shared" si="10"/>
        <v>Cumple</v>
      </c>
    </row>
    <row r="71" spans="2:9" x14ac:dyDescent="0.3">
      <c r="B71" s="151" t="s">
        <v>179</v>
      </c>
      <c r="C71" s="151">
        <v>21.5</v>
      </c>
      <c r="D71" s="151" t="s">
        <v>72</v>
      </c>
      <c r="E71" s="185">
        <v>9.9584520351915398E-4</v>
      </c>
      <c r="F71" s="36">
        <f t="shared" si="11"/>
        <v>2.5000000000000001E-3</v>
      </c>
      <c r="G71" s="41" t="str">
        <f t="shared" si="9"/>
        <v>Cumple</v>
      </c>
      <c r="H71" s="68"/>
      <c r="I71" s="41" t="str">
        <f t="shared" si="10"/>
        <v>Cumple</v>
      </c>
    </row>
    <row r="72" spans="2:9" x14ac:dyDescent="0.3">
      <c r="B72" s="151" t="s">
        <v>39</v>
      </c>
      <c r="C72" s="151">
        <v>18</v>
      </c>
      <c r="D72" s="151" t="s">
        <v>72</v>
      </c>
      <c r="E72" s="185">
        <v>1.0885515500588801E-3</v>
      </c>
      <c r="F72" s="36">
        <f t="shared" si="11"/>
        <v>2.5000000000000001E-3</v>
      </c>
      <c r="G72" s="41" t="str">
        <f t="shared" si="9"/>
        <v>Cumple</v>
      </c>
      <c r="I72" s="41" t="str">
        <f t="shared" si="10"/>
        <v>Cumple</v>
      </c>
    </row>
    <row r="73" spans="2:9" x14ac:dyDescent="0.3">
      <c r="B73" s="151" t="s">
        <v>26</v>
      </c>
      <c r="C73" s="151">
        <v>14.5</v>
      </c>
      <c r="D73" s="151" t="s">
        <v>72</v>
      </c>
      <c r="E73" s="185">
        <v>1.1623815379566301E-3</v>
      </c>
      <c r="F73" s="36">
        <f t="shared" si="11"/>
        <v>2.5000000000000001E-3</v>
      </c>
      <c r="G73" s="41" t="str">
        <f t="shared" si="9"/>
        <v>Cumple</v>
      </c>
      <c r="I73" s="41" t="str">
        <f t="shared" si="10"/>
        <v>Cumple</v>
      </c>
    </row>
    <row r="74" spans="2:9" x14ac:dyDescent="0.3">
      <c r="B74" s="151" t="s">
        <v>25</v>
      </c>
      <c r="C74" s="151">
        <v>11</v>
      </c>
      <c r="D74" s="151" t="s">
        <v>72</v>
      </c>
      <c r="E74" s="185">
        <v>1.2146949350627201E-3</v>
      </c>
      <c r="F74" s="36">
        <f t="shared" si="11"/>
        <v>2.5000000000000001E-3</v>
      </c>
      <c r="G74" s="41" t="str">
        <f t="shared" si="9"/>
        <v>Cumple</v>
      </c>
      <c r="I74" s="41" t="str">
        <f t="shared" si="10"/>
        <v>Cumple</v>
      </c>
    </row>
    <row r="75" spans="2:9" x14ac:dyDescent="0.3">
      <c r="B75" s="151" t="s">
        <v>24</v>
      </c>
      <c r="C75" s="151">
        <v>7.5</v>
      </c>
      <c r="D75" s="151" t="s">
        <v>72</v>
      </c>
      <c r="E75" s="185">
        <v>1.23056873048441E-3</v>
      </c>
      <c r="F75" s="36">
        <f t="shared" si="11"/>
        <v>2.5000000000000001E-3</v>
      </c>
      <c r="G75" s="41" t="str">
        <f t="shared" si="9"/>
        <v>Cumple</v>
      </c>
      <c r="I75" s="41" t="str">
        <f t="shared" si="10"/>
        <v>Cumple</v>
      </c>
    </row>
    <row r="76" spans="2:9" x14ac:dyDescent="0.3">
      <c r="B76" s="151" t="s">
        <v>22</v>
      </c>
      <c r="C76" s="151">
        <v>4</v>
      </c>
      <c r="D76" s="151" t="s">
        <v>72</v>
      </c>
      <c r="E76" s="188">
        <v>9.8880847842734406E-4</v>
      </c>
      <c r="F76" s="36">
        <f t="shared" si="11"/>
        <v>2.5000000000000001E-3</v>
      </c>
      <c r="G76" s="41" t="str">
        <f t="shared" si="9"/>
        <v>Cumple</v>
      </c>
      <c r="I76" s="41" t="str">
        <f t="shared" si="10"/>
        <v>Cumple</v>
      </c>
    </row>
    <row r="77" spans="2:9" x14ac:dyDescent="0.3">
      <c r="B77" s="151" t="s">
        <v>44</v>
      </c>
      <c r="C77" s="151">
        <v>0</v>
      </c>
      <c r="D77" s="151" t="s">
        <v>72</v>
      </c>
      <c r="E77" s="53"/>
    </row>
  </sheetData>
  <mergeCells count="1">
    <mergeCell ref="B2:C2"/>
  </mergeCells>
  <pageMargins left="0.7" right="0.7" top="0.75" bottom="0.75" header="0.3" footer="0.3"/>
  <pageSetup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B1:R70"/>
  <sheetViews>
    <sheetView zoomScale="80" zoomScaleNormal="80" workbookViewId="0">
      <selection activeCell="M76" sqref="M76"/>
    </sheetView>
  </sheetViews>
  <sheetFormatPr baseColWidth="10" defaultRowHeight="14.4" x14ac:dyDescent="0.3"/>
  <cols>
    <col min="3" max="3" width="15.44140625" customWidth="1"/>
    <col min="12" max="12" width="11.5546875" style="83"/>
  </cols>
  <sheetData>
    <row r="1" spans="2:18" x14ac:dyDescent="0.3">
      <c r="B1" s="79" t="s">
        <v>101</v>
      </c>
    </row>
    <row r="2" spans="2:18" ht="15" thickBot="1" x14ac:dyDescent="0.35">
      <c r="M2" s="203" t="s">
        <v>194</v>
      </c>
      <c r="N2" s="203"/>
      <c r="O2" s="203"/>
      <c r="P2" s="203"/>
    </row>
    <row r="3" spans="2:18" ht="15" thickBot="1" x14ac:dyDescent="0.35">
      <c r="B3" s="159" t="s">
        <v>83</v>
      </c>
      <c r="C3" s="160"/>
      <c r="D3" s="160"/>
      <c r="E3" s="160"/>
      <c r="F3" s="160"/>
      <c r="G3" s="160"/>
      <c r="H3" s="43"/>
      <c r="I3" s="42"/>
      <c r="J3" s="42"/>
      <c r="K3" s="42"/>
      <c r="L3" s="42"/>
      <c r="M3" s="42"/>
      <c r="N3" s="183">
        <v>15</v>
      </c>
      <c r="O3" s="183">
        <v>16</v>
      </c>
    </row>
    <row r="4" spans="2:18" x14ac:dyDescent="0.3">
      <c r="B4" s="161" t="s">
        <v>9</v>
      </c>
      <c r="C4" s="161" t="s">
        <v>46</v>
      </c>
      <c r="D4" s="161" t="s">
        <v>42</v>
      </c>
      <c r="E4" s="161" t="s">
        <v>84</v>
      </c>
      <c r="F4" s="161" t="s">
        <v>85</v>
      </c>
      <c r="G4" s="162" t="s">
        <v>86</v>
      </c>
      <c r="H4" s="46" t="s">
        <v>87</v>
      </c>
      <c r="I4" s="43"/>
      <c r="J4" s="43"/>
      <c r="K4" s="49" t="s">
        <v>88</v>
      </c>
      <c r="L4" s="49" t="s">
        <v>92</v>
      </c>
      <c r="M4" s="46" t="s">
        <v>91</v>
      </c>
      <c r="N4" s="182" t="s">
        <v>114</v>
      </c>
      <c r="O4" s="182" t="s">
        <v>115</v>
      </c>
    </row>
    <row r="5" spans="2:18" x14ac:dyDescent="0.3">
      <c r="B5" s="163"/>
      <c r="C5" s="163"/>
      <c r="D5" s="163"/>
      <c r="E5" s="163" t="s">
        <v>193</v>
      </c>
      <c r="F5" s="163" t="s">
        <v>7</v>
      </c>
      <c r="G5" s="164"/>
      <c r="H5" s="51"/>
      <c r="I5" s="45" t="s">
        <v>89</v>
      </c>
      <c r="J5" s="45" t="s">
        <v>90</v>
      </c>
      <c r="K5" s="50" t="s">
        <v>43</v>
      </c>
      <c r="L5" s="50" t="s">
        <v>43</v>
      </c>
      <c r="M5" s="50" t="s">
        <v>54</v>
      </c>
      <c r="N5" s="50" t="s">
        <v>7</v>
      </c>
      <c r="O5" s="50" t="s">
        <v>7</v>
      </c>
      <c r="P5" s="96" t="s">
        <v>116</v>
      </c>
      <c r="Q5" s="96" t="s">
        <v>117</v>
      </c>
      <c r="R5" s="96" t="s">
        <v>118</v>
      </c>
    </row>
    <row r="6" spans="2:18" x14ac:dyDescent="0.3">
      <c r="B6" s="184" t="s">
        <v>189</v>
      </c>
      <c r="C6" s="185" t="s">
        <v>79</v>
      </c>
      <c r="D6" s="185" t="s">
        <v>215</v>
      </c>
      <c r="E6" s="185">
        <v>2.34904998820725E-2</v>
      </c>
      <c r="F6" s="185">
        <v>2.30649684376012E-2</v>
      </c>
      <c r="G6" s="186">
        <v>1.0184492532743901</v>
      </c>
      <c r="H6" s="42">
        <f>+E6/(1.2*F6)</f>
        <v>0.84870771106199838</v>
      </c>
      <c r="I6" s="47">
        <f>+'Centers of Mass and Rigidity'!L5-'Centers of Mass and Rigidity'!F5</f>
        <v>-3.1128963955167013</v>
      </c>
      <c r="J6" s="47">
        <f>+'Centers of Mass and Rigidity'!M5-'Centers of Mass and Rigidity'!G5</f>
        <v>1.4978505399313198</v>
      </c>
      <c r="K6" s="172">
        <f>IF(+'Sismo UBC-94 y Dinamico'!O15=0,'Sismo UBC-94 y Dinamico'!M15,'Sismo UBC-94 y Dinamico'!O15)</f>
        <v>926.56352827369153</v>
      </c>
      <c r="L6" s="172">
        <f>IF(+'Sismo UBC-94 y Dinamico'!P15=0,'Sismo UBC-94 y Dinamico'!N15,'Sismo UBC-94 y Dinamico'!P15)</f>
        <v>391.41936337800217</v>
      </c>
      <c r="M6" s="52">
        <f>0.05*N6*K6*(H6-1)+0.05*O6*L6*(H6-1)</f>
        <v>-152.51142291533887</v>
      </c>
      <c r="N6">
        <f>+$N$3</f>
        <v>15</v>
      </c>
      <c r="O6">
        <f>+$O$3</f>
        <v>16</v>
      </c>
      <c r="P6" s="95">
        <f>+K6*(J6+0.05*N6*H6)-K6*(J6+0.05*N6)</f>
        <v>-105.13643777924813</v>
      </c>
      <c r="Q6" s="95">
        <f>+L6*(I6+0.05*O6*H6)-L6*(I6+0.05*O6)</f>
        <v>-47.374985136090686</v>
      </c>
      <c r="R6" s="95">
        <f>+P6+Q6</f>
        <v>-152.51142291533881</v>
      </c>
    </row>
    <row r="7" spans="2:18" x14ac:dyDescent="0.3">
      <c r="B7" s="184" t="s">
        <v>187</v>
      </c>
      <c r="C7" s="185" t="s">
        <v>79</v>
      </c>
      <c r="D7" s="185" t="s">
        <v>215</v>
      </c>
      <c r="E7" s="185">
        <v>2.51828330932314E-2</v>
      </c>
      <c r="F7" s="185">
        <v>2.3577697392550001E-2</v>
      </c>
      <c r="G7" s="186">
        <v>1.0680785605972101</v>
      </c>
      <c r="H7" s="42">
        <f t="shared" ref="H7:H16" si="0">+E7/(1.2*F7)</f>
        <v>0.89006546716434176</v>
      </c>
      <c r="I7" s="47">
        <f>+'Centers of Mass and Rigidity'!L6-'Centers of Mass and Rigidity'!F6</f>
        <v>-0.41858956751349119</v>
      </c>
      <c r="J7" s="47">
        <f>+'Centers of Mass and Rigidity'!M6-'Centers of Mass and Rigidity'!G6</f>
        <v>-3.2833022600240014E-2</v>
      </c>
      <c r="K7" s="172">
        <f>IF(+'Sismo UBC-94 y Dinamico'!O16=0,'Sismo UBC-94 y Dinamico'!M16,'Sismo UBC-94 y Dinamico'!O16)</f>
        <v>11418.939515392549</v>
      </c>
      <c r="L7" s="172">
        <f>IF(+'Sismo UBC-94 y Dinamico'!P16=0,'Sismo UBC-94 y Dinamico'!N16,'Sismo UBC-94 y Dinamico'!P16)</f>
        <v>1052.9757212033435</v>
      </c>
      <c r="M7" s="52">
        <f>0.05*N7*K7*(H7-1)+0.05*O7*L7*(H7-1)</f>
        <v>-1034.1085510257119</v>
      </c>
      <c r="N7" s="172">
        <f t="shared" ref="N7:N16" si="1">+$N$3</f>
        <v>15</v>
      </c>
      <c r="O7" s="172">
        <f t="shared" ref="O7:O16" si="2">+$O$3</f>
        <v>16</v>
      </c>
      <c r="P7" s="95">
        <f>+K7*(J7+0.05*N7*H7)-K7*(J7+0.05*N7)</f>
        <v>-941.50183582748832</v>
      </c>
      <c r="Q7" s="95">
        <f>+L7*(I7+0.05*O7*H7)-L7*(I7+0.05*O7)</f>
        <v>-92.606715198223924</v>
      </c>
      <c r="R7" s="95">
        <f>+P7+Q7</f>
        <v>-1034.1085510257121</v>
      </c>
    </row>
    <row r="8" spans="2:18" x14ac:dyDescent="0.3">
      <c r="B8" s="184" t="s">
        <v>185</v>
      </c>
      <c r="C8" s="185" t="s">
        <v>79</v>
      </c>
      <c r="D8" s="185" t="s">
        <v>215</v>
      </c>
      <c r="E8" s="185">
        <v>2.4361947749667399E-2</v>
      </c>
      <c r="F8" s="185">
        <v>2.27503436155631E-2</v>
      </c>
      <c r="G8" s="186">
        <v>1.0708386722124801</v>
      </c>
      <c r="H8" s="42">
        <f t="shared" si="0"/>
        <v>0.8923655601770718</v>
      </c>
      <c r="I8" s="47">
        <f>+'Centers of Mass and Rigidity'!L7-'Centers of Mass and Rigidity'!F7</f>
        <v>-7.5297484800099568E-2</v>
      </c>
      <c r="J8" s="47">
        <f>+'Centers of Mass and Rigidity'!M7-'Centers of Mass and Rigidity'!G7</f>
        <v>-0.20623915370561008</v>
      </c>
      <c r="K8" s="172">
        <f>IF(+'Sismo UBC-94 y Dinamico'!O17=0,'Sismo UBC-94 y Dinamico'!M17,'Sismo UBC-94 y Dinamico'!O17)</f>
        <v>12795.974259381124</v>
      </c>
      <c r="L8" s="172">
        <f>IF(+'Sismo UBC-94 y Dinamico'!P17=0,'Sismo UBC-94 y Dinamico'!N17,'Sismo UBC-94 y Dinamico'!P17)</f>
        <v>1180.8328116620764</v>
      </c>
      <c r="M8" s="52">
        <f>0.05*N8*K8*(H8-1)+0.05*O8*L8*(H8-1)</f>
        <v>-1134.6442636140466</v>
      </c>
      <c r="N8" s="172">
        <f t="shared" si="1"/>
        <v>15</v>
      </c>
      <c r="O8" s="172">
        <f t="shared" si="2"/>
        <v>16</v>
      </c>
      <c r="P8" s="95">
        <f>+K8*(J8+0.05*N8*H8)-K8*(J8+0.05*N8)</f>
        <v>-1032.9656410478219</v>
      </c>
      <c r="Q8" s="95">
        <f>+L8*(I8+0.05*O8*H8)-L8*(I8+0.05*O8)</f>
        <v>-101.67862256622459</v>
      </c>
      <c r="R8" s="95">
        <f>+P8+Q8</f>
        <v>-1134.6442636140464</v>
      </c>
    </row>
    <row r="9" spans="2:18" x14ac:dyDescent="0.3">
      <c r="B9" s="184" t="s">
        <v>183</v>
      </c>
      <c r="C9" s="185" t="s">
        <v>79</v>
      </c>
      <c r="D9" s="185" t="s">
        <v>215</v>
      </c>
      <c r="E9" s="185">
        <v>2.2999651672581101E-2</v>
      </c>
      <c r="F9" s="185">
        <v>2.1424705360032499E-2</v>
      </c>
      <c r="G9" s="186">
        <v>1.0735107571414599</v>
      </c>
      <c r="H9" s="42">
        <f t="shared" si="0"/>
        <v>0.89459229761788017</v>
      </c>
      <c r="I9" s="47">
        <f>+'Centers of Mass and Rigidity'!L8-'Centers of Mass and Rigidity'!F8</f>
        <v>2.4088410398279692E-2</v>
      </c>
      <c r="J9" s="47">
        <f>+'Centers of Mass and Rigidity'!M8-'Centers of Mass and Rigidity'!G8</f>
        <v>-0.22769409662574969</v>
      </c>
      <c r="K9" s="172">
        <f>IF(+'Sismo UBC-94 y Dinamico'!O18=0,'Sismo UBC-94 y Dinamico'!M18,'Sismo UBC-94 y Dinamico'!O18)</f>
        <v>10930.822327284859</v>
      </c>
      <c r="L9" s="172">
        <f>IF(+'Sismo UBC-94 y Dinamico'!P18=0,'Sismo UBC-94 y Dinamico'!N18,'Sismo UBC-94 y Dinamico'!P18)</f>
        <v>987.27747447985257</v>
      </c>
      <c r="M9" s="52">
        <f>0.05*N9*K9*(H9-1)+0.05*O9*L9*(H9-1)</f>
        <v>-947.39797015853924</v>
      </c>
      <c r="N9" s="172">
        <f t="shared" si="1"/>
        <v>15</v>
      </c>
      <c r="O9" s="172">
        <f t="shared" si="2"/>
        <v>16</v>
      </c>
      <c r="P9" s="95">
        <f>+K9*(J9+0.05*N9*H9)-K9*(J9+0.05*N9)</f>
        <v>-864.1446499997046</v>
      </c>
      <c r="Q9" s="95">
        <f>+L9*(I9+0.05*O9*H9)-L9*(I9+0.05*O9)</f>
        <v>-83.253320158834526</v>
      </c>
      <c r="R9" s="95">
        <f>+P9+Q9</f>
        <v>-947.39797015853912</v>
      </c>
    </row>
    <row r="10" spans="2:18" x14ac:dyDescent="0.3">
      <c r="B10" s="184" t="s">
        <v>181</v>
      </c>
      <c r="C10" s="185" t="s">
        <v>79</v>
      </c>
      <c r="D10" s="185" t="s">
        <v>215</v>
      </c>
      <c r="E10" s="185">
        <v>2.11372666108923E-2</v>
      </c>
      <c r="F10" s="185">
        <v>1.9639873695126001E-2</v>
      </c>
      <c r="G10" s="186">
        <v>1.07624249213669</v>
      </c>
      <c r="H10" s="42">
        <f t="shared" si="0"/>
        <v>0.89686874344724465</v>
      </c>
      <c r="I10" s="47">
        <f>+'Centers of Mass and Rigidity'!L9-'Centers of Mass and Rigidity'!F9</f>
        <v>0.11767790493930086</v>
      </c>
      <c r="J10" s="47">
        <f>+'Centers of Mass and Rigidity'!M9-'Centers of Mass and Rigidity'!G9</f>
        <v>-0.25246574335367988</v>
      </c>
      <c r="K10" s="172">
        <f>IF(+'Sismo UBC-94 y Dinamico'!O19=0,'Sismo UBC-94 y Dinamico'!M19,'Sismo UBC-94 y Dinamico'!O19)</f>
        <v>9335.1655264940127</v>
      </c>
      <c r="L10" s="172">
        <f>IF(+'Sismo UBC-94 y Dinamico'!P19=0,'Sismo UBC-94 y Dinamico'!N19,'Sismo UBC-94 y Dinamico'!P19)</f>
        <v>838.58495772923459</v>
      </c>
      <c r="M10" s="52">
        <f>0.05*N10*K10*(H10-1)+0.05*O10*L10*(H10-1)</f>
        <v>-791.24796948995277</v>
      </c>
      <c r="N10" s="172">
        <f t="shared" si="1"/>
        <v>15</v>
      </c>
      <c r="O10" s="172">
        <f t="shared" si="2"/>
        <v>16</v>
      </c>
      <c r="P10" s="95">
        <f>+K10*(J10+0.05*N10*H10)-K10*(J10+0.05*N10)</f>
        <v>-722.06051315646846</v>
      </c>
      <c r="Q10" s="95">
        <f>+L10*(I10+0.05*O10*H10)-L10*(I10+0.05*O10)</f>
        <v>-69.187456333484192</v>
      </c>
      <c r="R10" s="95">
        <f>+P10+Q10</f>
        <v>-791.24796948995265</v>
      </c>
    </row>
    <row r="11" spans="2:18" s="151" customFormat="1" x14ac:dyDescent="0.3">
      <c r="B11" s="184" t="s">
        <v>179</v>
      </c>
      <c r="C11" s="185" t="s">
        <v>79</v>
      </c>
      <c r="D11" s="185" t="s">
        <v>215</v>
      </c>
      <c r="E11" s="185">
        <v>1.8849347576659899E-2</v>
      </c>
      <c r="F11" s="185">
        <v>1.7465414584897698E-2</v>
      </c>
      <c r="G11" s="186">
        <v>1.07923848500905</v>
      </c>
      <c r="H11" s="42">
        <f t="shared" si="0"/>
        <v>0.89936540417420563</v>
      </c>
      <c r="I11" s="47">
        <f>+'Centers of Mass and Rigidity'!L10-'Centers of Mass and Rigidity'!F10</f>
        <v>0.2055968470934797</v>
      </c>
      <c r="J11" s="47">
        <f>+'Centers of Mass and Rigidity'!M10-'Centers of Mass and Rigidity'!G10</f>
        <v>-0.28231814413167999</v>
      </c>
      <c r="K11" s="172">
        <f>IF(+'Sismo UBC-94 y Dinamico'!O20=0,'Sismo UBC-94 y Dinamico'!M20,'Sismo UBC-94 y Dinamico'!O20)</f>
        <v>8053.7348454265575</v>
      </c>
      <c r="L11" s="172">
        <f>IF(+'Sismo UBC-94 y Dinamico'!P20=0,'Sismo UBC-94 y Dinamico'!N20,'Sismo UBC-94 y Dinamico'!P20)</f>
        <v>723.80092620868652</v>
      </c>
      <c r="M11" s="52">
        <f t="shared" ref="M11:M16" si="3">0.05*N11*K11*(H11-1)+0.05*O11*L11*(H11-1)</f>
        <v>-666.13479422709099</v>
      </c>
      <c r="N11" s="172">
        <f t="shared" si="1"/>
        <v>15</v>
      </c>
      <c r="O11" s="172">
        <f t="shared" si="2"/>
        <v>16</v>
      </c>
      <c r="P11" s="95">
        <f t="shared" ref="P11:P16" si="4">+K11*(J11+0.05*N11*H11)-K11*(J11+0.05*N11)</f>
        <v>-607.86326329321355</v>
      </c>
      <c r="Q11" s="95">
        <f t="shared" ref="Q11:Q16" si="5">+L11*(I11+0.05*O11*H11)-L11*(I11+0.05*O11)</f>
        <v>-58.271530933877443</v>
      </c>
      <c r="R11" s="95">
        <f t="shared" ref="R11:R16" si="6">+P11+Q11</f>
        <v>-666.13479422709099</v>
      </c>
    </row>
    <row r="12" spans="2:18" s="151" customFormat="1" x14ac:dyDescent="0.3">
      <c r="B12" s="184" t="s">
        <v>39</v>
      </c>
      <c r="C12" s="185" t="s">
        <v>79</v>
      </c>
      <c r="D12" s="185" t="s">
        <v>215</v>
      </c>
      <c r="E12" s="185">
        <v>1.62022154166108E-2</v>
      </c>
      <c r="F12" s="185">
        <v>1.4964473800427199E-2</v>
      </c>
      <c r="G12" s="186">
        <v>1.0827120039562199</v>
      </c>
      <c r="H12" s="42">
        <f t="shared" si="0"/>
        <v>0.90226000329684541</v>
      </c>
      <c r="I12" s="47">
        <f>+'Centers of Mass and Rigidity'!L11-'Centers of Mass and Rigidity'!F11</f>
        <v>0.28761267364527043</v>
      </c>
      <c r="J12" s="47">
        <f>+'Centers of Mass and Rigidity'!M11-'Centers of Mass and Rigidity'!G11</f>
        <v>-0.31855011345591944</v>
      </c>
      <c r="K12" s="172">
        <f>IF(+'Sismo UBC-94 y Dinamico'!O21=0,'Sismo UBC-94 y Dinamico'!M21,'Sismo UBC-94 y Dinamico'!O21)</f>
        <v>7000.0609415386589</v>
      </c>
      <c r="L12" s="172">
        <f>IF(+'Sismo UBC-94 y Dinamico'!P21=0,'Sismo UBC-94 y Dinamico'!N21,'Sismo UBC-94 y Dinamico'!P21)</f>
        <v>621.92933291324186</v>
      </c>
      <c r="M12" s="52">
        <f t="shared" si="3"/>
        <v>-561.76934676973065</v>
      </c>
      <c r="N12" s="172">
        <f t="shared" si="1"/>
        <v>15</v>
      </c>
      <c r="O12" s="172">
        <f t="shared" si="2"/>
        <v>16</v>
      </c>
      <c r="P12" s="95">
        <f t="shared" si="4"/>
        <v>-513.13945001090224</v>
      </c>
      <c r="Q12" s="95">
        <f t="shared" si="5"/>
        <v>-48.629896758828409</v>
      </c>
      <c r="R12" s="95">
        <f t="shared" si="6"/>
        <v>-561.76934676973065</v>
      </c>
    </row>
    <row r="13" spans="2:18" s="151" customFormat="1" x14ac:dyDescent="0.3">
      <c r="B13" s="184" t="s">
        <v>26</v>
      </c>
      <c r="C13" s="185" t="s">
        <v>79</v>
      </c>
      <c r="D13" s="185" t="s">
        <v>215</v>
      </c>
      <c r="E13" s="185">
        <v>1.32765348880953E-2</v>
      </c>
      <c r="F13" s="185">
        <v>1.22341287994778E-2</v>
      </c>
      <c r="G13" s="186">
        <v>1.08520476657577</v>
      </c>
      <c r="H13" s="42">
        <f t="shared" si="0"/>
        <v>0.90433730547981439</v>
      </c>
      <c r="I13" s="47">
        <f>+'Centers of Mass and Rigidity'!L12-'Centers of Mass and Rigidity'!F12</f>
        <v>0.23392213836928022</v>
      </c>
      <c r="J13" s="47">
        <f>+'Centers of Mass and Rigidity'!M12-'Centers of Mass and Rigidity'!G12</f>
        <v>-0.26740789129461007</v>
      </c>
      <c r="K13" s="172">
        <f>IF(+'Sismo UBC-94 y Dinamico'!O22=0,'Sismo UBC-94 y Dinamico'!M22,'Sismo UBC-94 y Dinamico'!O22)</f>
        <v>6116.7719679765369</v>
      </c>
      <c r="L13" s="172">
        <f>IF(+'Sismo UBC-94 y Dinamico'!P22=0,'Sismo UBC-94 y Dinamico'!N22,'Sismo UBC-94 y Dinamico'!P22)</f>
        <v>536.62485078761927</v>
      </c>
      <c r="M13" s="52">
        <f t="shared" si="3"/>
        <v>-479.92814950489947</v>
      </c>
      <c r="N13" s="172">
        <f t="shared" si="1"/>
        <v>15</v>
      </c>
      <c r="O13" s="172">
        <f t="shared" si="2"/>
        <v>16</v>
      </c>
      <c r="P13" s="95">
        <f t="shared" si="4"/>
        <v>-438.86016616663028</v>
      </c>
      <c r="Q13" s="95">
        <f t="shared" si="5"/>
        <v>-41.067983338268959</v>
      </c>
      <c r="R13" s="95">
        <f t="shared" si="6"/>
        <v>-479.92814950489924</v>
      </c>
    </row>
    <row r="14" spans="2:18" s="151" customFormat="1" x14ac:dyDescent="0.3">
      <c r="B14" s="184" t="s">
        <v>25</v>
      </c>
      <c r="C14" s="185" t="s">
        <v>79</v>
      </c>
      <c r="D14" s="185" t="s">
        <v>215</v>
      </c>
      <c r="E14" s="185">
        <v>1.01290873939823E-2</v>
      </c>
      <c r="F14" s="185">
        <v>9.3292764007148997E-3</v>
      </c>
      <c r="G14" s="186">
        <v>1.08573129993299</v>
      </c>
      <c r="H14" s="42">
        <f t="shared" si="0"/>
        <v>0.90477608327748682</v>
      </c>
      <c r="I14" s="47">
        <f>+'Centers of Mass and Rigidity'!L13-'Centers of Mass and Rigidity'!F13</f>
        <v>0.28821615113609056</v>
      </c>
      <c r="J14" s="47">
        <f>+'Centers of Mass and Rigidity'!M13-'Centers of Mass and Rigidity'!G13</f>
        <v>-0.26474448072633017</v>
      </c>
      <c r="K14" s="172">
        <f>IF(+'Sismo UBC-94 y Dinamico'!O23=0,'Sismo UBC-94 y Dinamico'!M23,'Sismo UBC-94 y Dinamico'!O23)</f>
        <v>5189.8353773098888</v>
      </c>
      <c r="L14" s="172">
        <f>IF(+'Sismo UBC-94 y Dinamico'!P23=0,'Sismo UBC-94 y Dinamico'!N23,'Sismo UBC-94 y Dinamico'!P23)</f>
        <v>442.15939125567428</v>
      </c>
      <c r="M14" s="52">
        <f t="shared" si="3"/>
        <v>-404.33065807018818</v>
      </c>
      <c r="N14" s="172">
        <f t="shared" si="1"/>
        <v>15</v>
      </c>
      <c r="O14" s="172">
        <f t="shared" si="2"/>
        <v>16</v>
      </c>
      <c r="P14" s="95">
        <f t="shared" si="4"/>
        <v>-370.64733882938208</v>
      </c>
      <c r="Q14" s="95">
        <f t="shared" si="5"/>
        <v>-33.683319240805872</v>
      </c>
      <c r="R14" s="95">
        <f t="shared" si="6"/>
        <v>-404.33065807018795</v>
      </c>
    </row>
    <row r="15" spans="2:18" s="151" customFormat="1" x14ac:dyDescent="0.3">
      <c r="B15" s="184" t="s">
        <v>24</v>
      </c>
      <c r="C15" s="185" t="s">
        <v>79</v>
      </c>
      <c r="D15" s="185" t="s">
        <v>215</v>
      </c>
      <c r="E15" s="185">
        <v>6.7958221261185496E-3</v>
      </c>
      <c r="F15" s="185">
        <v>6.2640507322495103E-3</v>
      </c>
      <c r="G15" s="186">
        <v>1.0848925745654201</v>
      </c>
      <c r="H15" s="42">
        <f t="shared" si="0"/>
        <v>0.9040771454711799</v>
      </c>
      <c r="I15" s="47">
        <f>+'Centers of Mass and Rigidity'!L14-'Centers of Mass and Rigidity'!F14</f>
        <v>0.32177601454531057</v>
      </c>
      <c r="J15" s="47">
        <f>+'Centers of Mass and Rigidity'!M14-'Centers of Mass and Rigidity'!G14</f>
        <v>-0.24209455398016022</v>
      </c>
      <c r="K15" s="172">
        <f>IF(+'Sismo UBC-94 y Dinamico'!O24=0,'Sismo UBC-94 y Dinamico'!M24,'Sismo UBC-94 y Dinamico'!O24)</f>
        <v>4031.3020326669389</v>
      </c>
      <c r="L15" s="172">
        <f>IF(+'Sismo UBC-94 y Dinamico'!P24=0,'Sismo UBC-94 y Dinamico'!N24,'Sismo UBC-94 y Dinamico'!P24)</f>
        <v>336.95075926843475</v>
      </c>
      <c r="M15" s="52">
        <f t="shared" si="3"/>
        <v>-315.87752176268089</v>
      </c>
      <c r="N15" s="172">
        <f t="shared" si="1"/>
        <v>15</v>
      </c>
      <c r="O15" s="172">
        <f t="shared" si="2"/>
        <v>16</v>
      </c>
      <c r="P15" s="95">
        <f t="shared" si="4"/>
        <v>-290.02049883093582</v>
      </c>
      <c r="Q15" s="95">
        <f t="shared" si="5"/>
        <v>-25.857022931745234</v>
      </c>
      <c r="R15" s="95">
        <f t="shared" si="6"/>
        <v>-315.87752176268106</v>
      </c>
    </row>
    <row r="16" spans="2:18" s="151" customFormat="1" x14ac:dyDescent="0.3">
      <c r="B16" s="187" t="s">
        <v>22</v>
      </c>
      <c r="C16" s="188" t="s">
        <v>79</v>
      </c>
      <c r="D16" s="188" t="s">
        <v>215</v>
      </c>
      <c r="E16" s="188">
        <v>3.3547620166010901E-3</v>
      </c>
      <c r="F16" s="188">
        <v>3.1062370217309798E-3</v>
      </c>
      <c r="G16" s="189">
        <v>1.0800083809224601</v>
      </c>
      <c r="H16" s="42">
        <f t="shared" si="0"/>
        <v>0.90000698410205282</v>
      </c>
      <c r="I16" s="47">
        <f>+'Centers of Mass and Rigidity'!L15-'Centers of Mass and Rigidity'!F15</f>
        <v>0.25780053524465885</v>
      </c>
      <c r="J16" s="47">
        <f>+'Centers of Mass and Rigidity'!M15-'Centers of Mass and Rigidity'!G15</f>
        <v>-0.13162653291153958</v>
      </c>
      <c r="K16" s="172">
        <f>IF(+'Sismo UBC-94 y Dinamico'!O25=0,'Sismo UBC-94 y Dinamico'!M25,'Sismo UBC-94 y Dinamico'!O25)</f>
        <v>2394.5104331615639</v>
      </c>
      <c r="L16" s="172">
        <f>IF(+'Sismo UBC-94 y Dinamico'!P25=0,'Sismo UBC-94 y Dinamico'!N25,'Sismo UBC-94 y Dinamico'!P25)</f>
        <v>191.81018680854191</v>
      </c>
      <c r="M16" s="52">
        <f t="shared" si="3"/>
        <v>-194.91948310534127</v>
      </c>
      <c r="N16" s="172">
        <f t="shared" si="1"/>
        <v>15</v>
      </c>
      <c r="O16" s="172">
        <f t="shared" si="2"/>
        <v>16</v>
      </c>
      <c r="P16" s="95">
        <f t="shared" si="4"/>
        <v>-179.5757398581934</v>
      </c>
      <c r="Q16" s="95">
        <f t="shared" si="5"/>
        <v>-15.343743247147785</v>
      </c>
      <c r="R16" s="95">
        <f t="shared" si="6"/>
        <v>-194.91948310534119</v>
      </c>
    </row>
    <row r="17" spans="2:18" s="151" customFormat="1" x14ac:dyDescent="0.3">
      <c r="B17" s="53"/>
      <c r="C17" s="53"/>
      <c r="D17" s="53"/>
      <c r="E17" s="53"/>
      <c r="F17" s="53"/>
      <c r="G17" s="53"/>
      <c r="H17" s="42"/>
      <c r="I17" s="47"/>
      <c r="J17" s="47"/>
      <c r="K17" s="48"/>
      <c r="L17" s="48"/>
      <c r="M17" s="52"/>
      <c r="P17" s="95"/>
      <c r="Q17" s="95"/>
      <c r="R17" s="95"/>
    </row>
    <row r="18" spans="2:18" s="151" customFormat="1" x14ac:dyDescent="0.3">
      <c r="B18" s="53"/>
      <c r="C18" s="53"/>
      <c r="D18" s="53"/>
      <c r="E18" s="53"/>
      <c r="F18" s="53"/>
      <c r="G18" s="53"/>
      <c r="H18" s="42"/>
      <c r="I18" s="47"/>
      <c r="J18" s="47"/>
      <c r="K18" s="48"/>
      <c r="L18" s="48"/>
      <c r="M18" s="52"/>
      <c r="P18" s="95"/>
      <c r="Q18" s="95"/>
      <c r="R18" s="95"/>
    </row>
    <row r="19" spans="2:18" x14ac:dyDescent="0.3"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</row>
    <row r="20" spans="2:18" x14ac:dyDescent="0.3"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</row>
    <row r="21" spans="2:18" x14ac:dyDescent="0.3">
      <c r="B21" s="44" t="s">
        <v>83</v>
      </c>
      <c r="C21" s="43"/>
      <c r="D21" s="43"/>
      <c r="E21" s="43"/>
      <c r="F21" s="43"/>
      <c r="G21" s="43"/>
      <c r="H21" s="43"/>
      <c r="I21" s="42"/>
      <c r="J21" s="42"/>
      <c r="K21" s="42"/>
      <c r="L21" s="42"/>
      <c r="M21" s="42"/>
    </row>
    <row r="22" spans="2:18" x14ac:dyDescent="0.3">
      <c r="B22" s="45" t="s">
        <v>9</v>
      </c>
      <c r="C22" s="45" t="s">
        <v>46</v>
      </c>
      <c r="D22" s="45" t="s">
        <v>42</v>
      </c>
      <c r="E22" s="45" t="s">
        <v>84</v>
      </c>
      <c r="F22" s="45" t="s">
        <v>85</v>
      </c>
      <c r="G22" s="46" t="s">
        <v>86</v>
      </c>
      <c r="H22" s="46" t="s">
        <v>87</v>
      </c>
      <c r="I22" s="43"/>
      <c r="J22" s="43"/>
      <c r="K22" s="49" t="s">
        <v>88</v>
      </c>
      <c r="L22" s="49" t="s">
        <v>92</v>
      </c>
      <c r="M22" s="87" t="s">
        <v>91</v>
      </c>
      <c r="N22" s="87" t="s">
        <v>114</v>
      </c>
      <c r="O22" s="87" t="s">
        <v>115</v>
      </c>
    </row>
    <row r="23" spans="2:18" x14ac:dyDescent="0.3">
      <c r="B23" s="50"/>
      <c r="C23" s="50"/>
      <c r="D23" s="50"/>
      <c r="E23" s="173" t="s">
        <v>193</v>
      </c>
      <c r="F23" s="173" t="s">
        <v>7</v>
      </c>
      <c r="G23" s="51"/>
      <c r="H23" s="51"/>
      <c r="I23" s="45" t="s">
        <v>89</v>
      </c>
      <c r="J23" s="45" t="s">
        <v>90</v>
      </c>
      <c r="K23" s="50" t="s">
        <v>43</v>
      </c>
      <c r="L23" s="50" t="s">
        <v>43</v>
      </c>
      <c r="M23" s="50" t="s">
        <v>54</v>
      </c>
      <c r="N23" s="50" t="s">
        <v>7</v>
      </c>
      <c r="O23" s="50" t="s">
        <v>7</v>
      </c>
      <c r="P23" s="96" t="s">
        <v>116</v>
      </c>
      <c r="Q23" s="96" t="s">
        <v>117</v>
      </c>
      <c r="R23" s="96" t="s">
        <v>118</v>
      </c>
    </row>
    <row r="24" spans="2:18" x14ac:dyDescent="0.3">
      <c r="B24" s="184" t="s">
        <v>189</v>
      </c>
      <c r="C24" s="185" t="s">
        <v>80</v>
      </c>
      <c r="D24" s="185" t="s">
        <v>215</v>
      </c>
      <c r="E24" s="185">
        <v>2.5383588444734199E-2</v>
      </c>
      <c r="F24" s="185">
        <v>2.49428937688768E-2</v>
      </c>
      <c r="G24" s="186">
        <v>1.01766814548228</v>
      </c>
      <c r="H24" s="42">
        <f>+E24/(1.2*F24)</f>
        <v>0.84805678790189432</v>
      </c>
      <c r="I24" s="47">
        <f t="shared" ref="I24:L28" si="7">+I6</f>
        <v>-3.1128963955167013</v>
      </c>
      <c r="J24" s="47">
        <f t="shared" si="7"/>
        <v>1.4978505399313198</v>
      </c>
      <c r="K24" s="48">
        <f>+K6</f>
        <v>926.56352827369153</v>
      </c>
      <c r="L24" s="48">
        <f>+L6</f>
        <v>391.41936337800217</v>
      </c>
      <c r="M24" s="52">
        <f>-0.05*N24*K24*(H24-1)-0.05*O24*L24*(H24-1)</f>
        <v>153.1675913033834</v>
      </c>
      <c r="N24" s="172">
        <f>+$N$3</f>
        <v>15</v>
      </c>
      <c r="O24" s="172">
        <f>+$O$3</f>
        <v>16</v>
      </c>
      <c r="P24" s="95">
        <f>+K24*(J24-0.05*N24*H24)-K24*(J24-0.05*N24)</f>
        <v>105.58877902414406</v>
      </c>
      <c r="Q24" s="95">
        <f>+L24*(I24-0.05*O24*H24)-L24*(I24-0.05*O24)</f>
        <v>47.578812279239401</v>
      </c>
      <c r="R24" s="95">
        <f>+P24+Q24</f>
        <v>153.16759130338346</v>
      </c>
    </row>
    <row r="25" spans="2:18" x14ac:dyDescent="0.3">
      <c r="B25" s="184" t="s">
        <v>187</v>
      </c>
      <c r="C25" s="185" t="s">
        <v>80</v>
      </c>
      <c r="D25" s="185" t="s">
        <v>215</v>
      </c>
      <c r="E25" s="185">
        <v>2.4653599260857102E-2</v>
      </c>
      <c r="F25" s="185">
        <v>2.30818623987953E-2</v>
      </c>
      <c r="G25" s="186">
        <v>1.0680940226965301</v>
      </c>
      <c r="H25" s="42">
        <f>+E25/(1.2*F25)</f>
        <v>0.89007835224711018</v>
      </c>
      <c r="I25" s="47">
        <f t="shared" si="7"/>
        <v>-0.41858956751349119</v>
      </c>
      <c r="J25" s="47">
        <f t="shared" si="7"/>
        <v>-3.2833022600240014E-2</v>
      </c>
      <c r="K25" s="48">
        <f t="shared" si="7"/>
        <v>11418.939515392549</v>
      </c>
      <c r="L25" s="48">
        <f t="shared" si="7"/>
        <v>1052.9757212033435</v>
      </c>
      <c r="M25" s="52">
        <f>-0.05*N25*K25*(H25-1)-0.05*O25*L25*(H25-1)</f>
        <v>1033.9873463966678</v>
      </c>
      <c r="N25" s="172">
        <f t="shared" ref="N25:N34" si="8">+$N$3</f>
        <v>15</v>
      </c>
      <c r="O25" s="172">
        <f t="shared" ref="O25:O34" si="9">+$O$3</f>
        <v>16</v>
      </c>
      <c r="P25" s="95">
        <f>+K25*(J25-0.05*N25*H25)-K25*(J25-0.05*N25)</f>
        <v>941.39148534189917</v>
      </c>
      <c r="Q25" s="95">
        <f>+L25*(I25-0.05*O25*H25)-L25*(I25-0.05*O25)</f>
        <v>92.595861054767511</v>
      </c>
      <c r="R25" s="95">
        <f>+P25+Q25</f>
        <v>1033.9873463966667</v>
      </c>
    </row>
    <row r="26" spans="2:18" x14ac:dyDescent="0.3">
      <c r="B26" s="184" t="s">
        <v>185</v>
      </c>
      <c r="C26" s="185" t="s">
        <v>80</v>
      </c>
      <c r="D26" s="185" t="s">
        <v>215</v>
      </c>
      <c r="E26" s="185">
        <v>2.37114040625666E-2</v>
      </c>
      <c r="F26" s="185">
        <v>2.22665449094951E-2</v>
      </c>
      <c r="G26" s="186">
        <v>1.0648892389431901</v>
      </c>
      <c r="H26" s="42">
        <f>+E26/(1.2*F26)</f>
        <v>0.88740769911932504</v>
      </c>
      <c r="I26" s="47">
        <f t="shared" si="7"/>
        <v>-7.5297484800099568E-2</v>
      </c>
      <c r="J26" s="47">
        <f t="shared" si="7"/>
        <v>-0.20623915370561008</v>
      </c>
      <c r="K26" s="48">
        <f t="shared" si="7"/>
        <v>12795.974259381124</v>
      </c>
      <c r="L26" s="48">
        <f t="shared" si="7"/>
        <v>1180.8328116620764</v>
      </c>
      <c r="M26" s="52">
        <f>-0.05*N26*K26*(H26-1)-0.05*O26*L26*(H26-1)</f>
        <v>1186.9082844815525</v>
      </c>
      <c r="N26" s="172">
        <f t="shared" si="8"/>
        <v>15</v>
      </c>
      <c r="O26" s="172">
        <f t="shared" si="9"/>
        <v>16</v>
      </c>
      <c r="P26" s="95">
        <f>+K26*(J26-0.05*N26*H26)-K26*(J26-0.05*N26)</f>
        <v>1080.5461379052103</v>
      </c>
      <c r="Q26" s="95">
        <f>+L26*(I26-0.05*O26*H26)-L26*(I26-0.05*O26)</f>
        <v>106.362146576344</v>
      </c>
      <c r="R26" s="95">
        <f>+P26+Q26</f>
        <v>1186.9082844815543</v>
      </c>
    </row>
    <row r="27" spans="2:18" x14ac:dyDescent="0.3">
      <c r="B27" s="184" t="s">
        <v>183</v>
      </c>
      <c r="C27" s="185" t="s">
        <v>80</v>
      </c>
      <c r="D27" s="185" t="s">
        <v>215</v>
      </c>
      <c r="E27" s="185">
        <v>2.22565440085228E-2</v>
      </c>
      <c r="F27" s="185">
        <v>2.0960364816679102E-2</v>
      </c>
      <c r="G27" s="186">
        <v>1.0618395339575499</v>
      </c>
      <c r="H27" s="42">
        <f>+E27/(1.2*F27)</f>
        <v>0.88486627829795983</v>
      </c>
      <c r="I27" s="47">
        <f t="shared" si="7"/>
        <v>2.4088410398279692E-2</v>
      </c>
      <c r="J27" s="47">
        <f t="shared" si="7"/>
        <v>-0.22769409662574969</v>
      </c>
      <c r="K27" s="48">
        <f t="shared" si="7"/>
        <v>10930.822327284859</v>
      </c>
      <c r="L27" s="48">
        <f t="shared" si="7"/>
        <v>987.27747447985257</v>
      </c>
      <c r="M27" s="52">
        <f>-0.05*N27*K27*(H27-1)-0.05*O27*L27*(H27-1)</f>
        <v>1034.8148358446117</v>
      </c>
      <c r="N27" s="172">
        <f t="shared" si="8"/>
        <v>15</v>
      </c>
      <c r="O27" s="172">
        <f t="shared" si="9"/>
        <v>16</v>
      </c>
      <c r="P27" s="95">
        <f>+K27*(J27-0.05*N27*H27)-K27*(J27-0.05*N27)</f>
        <v>943.8796918530461</v>
      </c>
      <c r="Q27" s="95">
        <f>+L27*(I27-0.05*O27*H27)-L27*(I27-0.05*O27)</f>
        <v>90.935143991565042</v>
      </c>
      <c r="R27" s="95">
        <f>+P27+Q27</f>
        <v>1034.814835844611</v>
      </c>
    </row>
    <row r="28" spans="2:18" x14ac:dyDescent="0.3">
      <c r="B28" s="184" t="s">
        <v>181</v>
      </c>
      <c r="C28" s="185" t="s">
        <v>80</v>
      </c>
      <c r="D28" s="185" t="s">
        <v>215</v>
      </c>
      <c r="E28" s="185">
        <v>2.03306635866186E-2</v>
      </c>
      <c r="F28" s="185">
        <v>1.9202216740225601E-2</v>
      </c>
      <c r="G28" s="186">
        <v>1.05876648835179</v>
      </c>
      <c r="H28" s="42">
        <f>+E28/(1.2*F28)</f>
        <v>0.8823054069598244</v>
      </c>
      <c r="I28" s="47">
        <f t="shared" si="7"/>
        <v>0.11767790493930086</v>
      </c>
      <c r="J28" s="47">
        <f t="shared" si="7"/>
        <v>-0.25246574335367988</v>
      </c>
      <c r="K28" s="48">
        <f t="shared" si="7"/>
        <v>9335.1655264940127</v>
      </c>
      <c r="L28" s="48">
        <f t="shared" si="7"/>
        <v>838.58495772923459</v>
      </c>
      <c r="M28" s="52">
        <f>-0.05*N28*K28*(H28-1)-0.05*O28*L28*(H28-1)</f>
        <v>902.98141296618621</v>
      </c>
      <c r="N28" s="172">
        <f t="shared" si="8"/>
        <v>15</v>
      </c>
      <c r="O28" s="172">
        <f t="shared" si="9"/>
        <v>16</v>
      </c>
      <c r="P28" s="95">
        <f>+K28*(J28-0.05*N28*H28)-K28*(J28-0.05*N28)</f>
        <v>824.02388070254165</v>
      </c>
      <c r="Q28" s="95">
        <f>+L28*(I28-0.05*O28*H28)-L28*(I28-0.05*O28)</f>
        <v>78.957532263644055</v>
      </c>
      <c r="R28" s="95">
        <f>+P28+Q28</f>
        <v>902.98141296618564</v>
      </c>
    </row>
    <row r="29" spans="2:18" s="151" customFormat="1" x14ac:dyDescent="0.3">
      <c r="B29" s="184" t="s">
        <v>179</v>
      </c>
      <c r="C29" s="185" t="s">
        <v>80</v>
      </c>
      <c r="D29" s="185" t="s">
        <v>215</v>
      </c>
      <c r="E29" s="185">
        <v>1.8006481704411499E-2</v>
      </c>
      <c r="F29" s="185">
        <v>1.7060682349489299E-2</v>
      </c>
      <c r="G29" s="186">
        <v>1.0554373697105099</v>
      </c>
      <c r="H29" s="42">
        <f t="shared" ref="H29:H34" si="10">+E29/(1.2*F29)</f>
        <v>0.87953114142542443</v>
      </c>
      <c r="I29" s="47">
        <f t="shared" ref="I29:L34" si="11">+I11</f>
        <v>0.2055968470934797</v>
      </c>
      <c r="J29" s="47">
        <f t="shared" si="11"/>
        <v>-0.28231814413167999</v>
      </c>
      <c r="K29" s="48">
        <f t="shared" si="11"/>
        <v>8053.7348454265575</v>
      </c>
      <c r="L29" s="48">
        <f t="shared" si="11"/>
        <v>723.80092620868652</v>
      </c>
      <c r="M29" s="52">
        <f t="shared" ref="M29:M34" si="12">-0.05*N29*K29*(H29-1)-0.05*O29*L29*(H29-1)</f>
        <v>797.42456020058216</v>
      </c>
      <c r="N29" s="172">
        <f t="shared" si="8"/>
        <v>15</v>
      </c>
      <c r="O29" s="172">
        <f t="shared" si="9"/>
        <v>16</v>
      </c>
      <c r="P29" s="95">
        <f t="shared" ref="P29:P34" si="13">+K29*(J29-0.05*N29*H29)-K29*(J29-0.05*N29)</f>
        <v>727.66818306811638</v>
      </c>
      <c r="Q29" s="95">
        <f t="shared" ref="Q29:Q34" si="14">+L29*(I29-0.05*O29*H29)-L29*(I29-0.05*O29)</f>
        <v>69.75637713246482</v>
      </c>
      <c r="R29" s="95">
        <f t="shared" ref="R29:R34" si="15">+P29+Q29</f>
        <v>797.42456020058125</v>
      </c>
    </row>
    <row r="30" spans="2:18" s="151" customFormat="1" x14ac:dyDescent="0.3">
      <c r="B30" s="184" t="s">
        <v>39</v>
      </c>
      <c r="C30" s="185" t="s">
        <v>80</v>
      </c>
      <c r="D30" s="185" t="s">
        <v>215</v>
      </c>
      <c r="E30" s="185">
        <v>1.53517434629138E-2</v>
      </c>
      <c r="F30" s="185">
        <v>1.45981842875605E-2</v>
      </c>
      <c r="G30" s="186">
        <v>1.0516200618179199</v>
      </c>
      <c r="H30" s="42">
        <f t="shared" si="10"/>
        <v>0.87635005151493561</v>
      </c>
      <c r="I30" s="47">
        <f t="shared" si="11"/>
        <v>0.28761267364527043</v>
      </c>
      <c r="J30" s="47">
        <f t="shared" si="11"/>
        <v>-0.31855011345591944</v>
      </c>
      <c r="K30" s="48">
        <f t="shared" si="11"/>
        <v>7000.0609415386589</v>
      </c>
      <c r="L30" s="48">
        <f t="shared" si="11"/>
        <v>621.92933291324186</v>
      </c>
      <c r="M30" s="52">
        <f t="shared" si="12"/>
        <v>710.68910509103318</v>
      </c>
      <c r="N30" s="172">
        <f t="shared" si="8"/>
        <v>15</v>
      </c>
      <c r="O30" s="172">
        <f t="shared" si="9"/>
        <v>16</v>
      </c>
      <c r="P30" s="95">
        <f t="shared" si="13"/>
        <v>649.16788111017468</v>
      </c>
      <c r="Q30" s="95">
        <f t="shared" si="14"/>
        <v>61.521223980858224</v>
      </c>
      <c r="R30" s="95">
        <f t="shared" si="15"/>
        <v>710.68910509103284</v>
      </c>
    </row>
    <row r="31" spans="2:18" s="151" customFormat="1" x14ac:dyDescent="0.3">
      <c r="B31" s="184" t="s">
        <v>26</v>
      </c>
      <c r="C31" s="185" t="s">
        <v>80</v>
      </c>
      <c r="D31" s="185" t="s">
        <v>215</v>
      </c>
      <c r="E31" s="185">
        <v>1.24931812917478E-2</v>
      </c>
      <c r="F31" s="185">
        <v>1.19145828059775E-2</v>
      </c>
      <c r="G31" s="186">
        <v>1.0485622111317201</v>
      </c>
      <c r="H31" s="42">
        <f t="shared" si="10"/>
        <v>0.87380184260977101</v>
      </c>
      <c r="I31" s="47">
        <f t="shared" si="11"/>
        <v>0.23392213836928022</v>
      </c>
      <c r="J31" s="47">
        <f t="shared" si="11"/>
        <v>-0.26740789129461007</v>
      </c>
      <c r="K31" s="48">
        <f t="shared" si="11"/>
        <v>6116.7719679765369</v>
      </c>
      <c r="L31" s="48">
        <f t="shared" si="11"/>
        <v>536.62485078761927</v>
      </c>
      <c r="M31" s="52">
        <f t="shared" si="12"/>
        <v>633.12086755449616</v>
      </c>
      <c r="N31" s="172">
        <f t="shared" si="8"/>
        <v>15</v>
      </c>
      <c r="O31" s="172">
        <f t="shared" si="9"/>
        <v>16</v>
      </c>
      <c r="P31" s="95">
        <f t="shared" si="13"/>
        <v>578.94401365113299</v>
      </c>
      <c r="Q31" s="95">
        <f t="shared" si="14"/>
        <v>54.176853903363337</v>
      </c>
      <c r="R31" s="95">
        <f t="shared" si="15"/>
        <v>633.12086755449627</v>
      </c>
    </row>
    <row r="32" spans="2:18" s="151" customFormat="1" x14ac:dyDescent="0.3">
      <c r="B32" s="184" t="s">
        <v>25</v>
      </c>
      <c r="C32" s="185" t="s">
        <v>80</v>
      </c>
      <c r="D32" s="185" t="s">
        <v>215</v>
      </c>
      <c r="E32" s="185">
        <v>9.4909527512745707E-3</v>
      </c>
      <c r="F32" s="185">
        <v>9.0645334549283099E-3</v>
      </c>
      <c r="G32" s="186">
        <v>1.04704260825629</v>
      </c>
      <c r="H32" s="42">
        <f t="shared" si="10"/>
        <v>0.87253550688024473</v>
      </c>
      <c r="I32" s="47">
        <f t="shared" si="11"/>
        <v>0.28821615113609056</v>
      </c>
      <c r="J32" s="47">
        <f t="shared" si="11"/>
        <v>-0.26474448072633017</v>
      </c>
      <c r="K32" s="48">
        <f t="shared" si="11"/>
        <v>5189.8353773098888</v>
      </c>
      <c r="L32" s="48">
        <f t="shared" si="11"/>
        <v>442.15939125567428</v>
      </c>
      <c r="M32" s="52">
        <f t="shared" si="12"/>
        <v>541.2274999554694</v>
      </c>
      <c r="N32" s="172">
        <f t="shared" si="8"/>
        <v>15</v>
      </c>
      <c r="O32" s="172">
        <f t="shared" si="9"/>
        <v>16</v>
      </c>
      <c r="P32" s="95">
        <f t="shared" si="13"/>
        <v>496.13980180783346</v>
      </c>
      <c r="Q32" s="95">
        <f t="shared" si="14"/>
        <v>45.087698147635251</v>
      </c>
      <c r="R32" s="95">
        <f t="shared" si="15"/>
        <v>541.22749995546872</v>
      </c>
    </row>
    <row r="33" spans="2:18" s="151" customFormat="1" x14ac:dyDescent="0.3">
      <c r="B33" s="184" t="s">
        <v>24</v>
      </c>
      <c r="C33" s="185" t="s">
        <v>80</v>
      </c>
      <c r="D33" s="185" t="s">
        <v>215</v>
      </c>
      <c r="E33" s="185">
        <v>6.3395514558798396E-3</v>
      </c>
      <c r="F33" s="185">
        <v>6.0590526905821198E-3</v>
      </c>
      <c r="G33" s="186">
        <v>1.0462941617480399</v>
      </c>
      <c r="H33" s="42">
        <f t="shared" si="10"/>
        <v>0.871911801456702</v>
      </c>
      <c r="I33" s="47">
        <f t="shared" si="11"/>
        <v>0.32177601454531057</v>
      </c>
      <c r="J33" s="47">
        <f t="shared" si="11"/>
        <v>-0.24209455398016022</v>
      </c>
      <c r="K33" s="48">
        <f t="shared" si="11"/>
        <v>4031.3020326669389</v>
      </c>
      <c r="L33" s="48">
        <f t="shared" si="11"/>
        <v>336.95075926843475</v>
      </c>
      <c r="M33" s="52">
        <f t="shared" si="12"/>
        <v>421.79919396317496</v>
      </c>
      <c r="N33" s="172">
        <f t="shared" si="8"/>
        <v>15</v>
      </c>
      <c r="O33" s="172">
        <f t="shared" si="9"/>
        <v>16</v>
      </c>
      <c r="P33" s="95">
        <f t="shared" si="13"/>
        <v>387.2716613611824</v>
      </c>
      <c r="Q33" s="95">
        <f t="shared" si="14"/>
        <v>34.52753260199222</v>
      </c>
      <c r="R33" s="95">
        <f t="shared" si="15"/>
        <v>421.79919396317462</v>
      </c>
    </row>
    <row r="34" spans="2:18" s="151" customFormat="1" x14ac:dyDescent="0.3">
      <c r="B34" s="187" t="s">
        <v>22</v>
      </c>
      <c r="C34" s="188" t="s">
        <v>80</v>
      </c>
      <c r="D34" s="188" t="s">
        <v>215</v>
      </c>
      <c r="E34" s="188">
        <v>3.1176199578511498E-3</v>
      </c>
      <c r="F34" s="188">
        <v>2.9752755503613098E-3</v>
      </c>
      <c r="G34" s="189">
        <v>1.0478424284004699</v>
      </c>
      <c r="H34" s="42">
        <f t="shared" si="10"/>
        <v>0.87320202366706123</v>
      </c>
      <c r="I34" s="47">
        <f t="shared" si="11"/>
        <v>0.25780053524465885</v>
      </c>
      <c r="J34" s="47">
        <f t="shared" si="11"/>
        <v>-0.13162653291153958</v>
      </c>
      <c r="K34" s="48">
        <f t="shared" si="11"/>
        <v>2394.5104331615639</v>
      </c>
      <c r="L34" s="48">
        <f t="shared" si="11"/>
        <v>191.81018680854191</v>
      </c>
      <c r="M34" s="52">
        <f t="shared" si="12"/>
        <v>247.17122274663905</v>
      </c>
      <c r="N34" s="172">
        <f t="shared" si="8"/>
        <v>15</v>
      </c>
      <c r="O34" s="172">
        <f t="shared" si="9"/>
        <v>16</v>
      </c>
      <c r="P34" s="95">
        <f t="shared" si="13"/>
        <v>227.71430792474598</v>
      </c>
      <c r="Q34" s="95">
        <f t="shared" si="14"/>
        <v>19.456914821892866</v>
      </c>
      <c r="R34" s="95">
        <f t="shared" si="15"/>
        <v>247.17122274663885</v>
      </c>
    </row>
    <row r="35" spans="2:18" s="151" customFormat="1" x14ac:dyDescent="0.3">
      <c r="B35" s="53"/>
      <c r="C35" s="53"/>
      <c r="D35" s="53"/>
      <c r="E35" s="53"/>
      <c r="F35" s="53"/>
      <c r="G35" s="53"/>
      <c r="H35" s="42"/>
      <c r="I35" s="47"/>
      <c r="J35" s="47"/>
      <c r="K35" s="48"/>
      <c r="L35" s="48"/>
      <c r="M35" s="52"/>
      <c r="P35" s="95"/>
      <c r="Q35" s="95"/>
      <c r="R35" s="95"/>
    </row>
    <row r="36" spans="2:18" s="151" customFormat="1" x14ac:dyDescent="0.3">
      <c r="B36" s="53"/>
      <c r="C36" s="53"/>
      <c r="D36" s="53"/>
      <c r="E36" s="53"/>
      <c r="F36" s="53"/>
      <c r="G36" s="53"/>
      <c r="H36" s="42"/>
      <c r="I36" s="47"/>
      <c r="J36" s="47"/>
      <c r="K36" s="48"/>
      <c r="L36" s="48"/>
      <c r="M36" s="52"/>
      <c r="P36" s="95"/>
      <c r="Q36" s="95"/>
      <c r="R36" s="95"/>
    </row>
    <row r="37" spans="2:18" x14ac:dyDescent="0.3">
      <c r="B37" s="42"/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</row>
    <row r="38" spans="2:18" x14ac:dyDescent="0.3">
      <c r="B38" s="42"/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</row>
    <row r="39" spans="2:18" x14ac:dyDescent="0.3">
      <c r="B39" s="44" t="s">
        <v>83</v>
      </c>
      <c r="C39" s="43"/>
      <c r="D39" s="43"/>
      <c r="E39" s="43"/>
      <c r="F39" s="43"/>
      <c r="G39" s="43"/>
      <c r="H39" s="43"/>
      <c r="I39" s="42"/>
      <c r="J39" s="42"/>
      <c r="K39" s="42"/>
      <c r="L39" s="42"/>
      <c r="M39" s="42"/>
    </row>
    <row r="40" spans="2:18" x14ac:dyDescent="0.3">
      <c r="B40" s="45" t="s">
        <v>9</v>
      </c>
      <c r="C40" s="45" t="s">
        <v>46</v>
      </c>
      <c r="D40" s="45" t="s">
        <v>42</v>
      </c>
      <c r="E40" s="45" t="s">
        <v>84</v>
      </c>
      <c r="F40" s="45" t="s">
        <v>85</v>
      </c>
      <c r="G40" s="46" t="s">
        <v>86</v>
      </c>
      <c r="H40" s="46" t="s">
        <v>87</v>
      </c>
      <c r="I40" s="43"/>
      <c r="J40" s="43"/>
      <c r="K40" s="49" t="s">
        <v>88</v>
      </c>
      <c r="L40" s="49" t="s">
        <v>92</v>
      </c>
      <c r="M40" s="87" t="s">
        <v>91</v>
      </c>
      <c r="N40" s="87" t="s">
        <v>114</v>
      </c>
      <c r="O40" s="87" t="s">
        <v>115</v>
      </c>
    </row>
    <row r="41" spans="2:18" x14ac:dyDescent="0.3">
      <c r="B41" s="50"/>
      <c r="C41" s="50"/>
      <c r="D41" s="50"/>
      <c r="E41" s="173" t="s">
        <v>193</v>
      </c>
      <c r="F41" s="173" t="s">
        <v>7</v>
      </c>
      <c r="G41" s="51"/>
      <c r="H41" s="51"/>
      <c r="I41" s="45" t="s">
        <v>89</v>
      </c>
      <c r="J41" s="45" t="s">
        <v>90</v>
      </c>
      <c r="K41" s="50" t="s">
        <v>43</v>
      </c>
      <c r="L41" s="50" t="s">
        <v>43</v>
      </c>
      <c r="M41" s="50" t="s">
        <v>54</v>
      </c>
      <c r="N41" s="50" t="s">
        <v>7</v>
      </c>
      <c r="O41" s="50" t="s">
        <v>7</v>
      </c>
      <c r="P41" s="96" t="s">
        <v>116</v>
      </c>
      <c r="Q41" s="96" t="s">
        <v>117</v>
      </c>
      <c r="R41" s="96" t="s">
        <v>118</v>
      </c>
    </row>
    <row r="42" spans="2:18" x14ac:dyDescent="0.3">
      <c r="B42" s="184" t="s">
        <v>189</v>
      </c>
      <c r="C42" s="185" t="s">
        <v>81</v>
      </c>
      <c r="D42" s="185" t="s">
        <v>218</v>
      </c>
      <c r="E42" s="185">
        <v>3.7333517766412402E-2</v>
      </c>
      <c r="F42" s="185">
        <v>3.6192226267501598E-2</v>
      </c>
      <c r="G42" s="186">
        <v>1.0315341612443301</v>
      </c>
      <c r="H42" s="42">
        <f>+E42/(1.2*F42)</f>
        <v>0.85961180103694468</v>
      </c>
      <c r="I42" s="181">
        <f>+I24</f>
        <v>-3.1128963955167013</v>
      </c>
      <c r="J42" s="181">
        <f>+J24</f>
        <v>1.4978505399313198</v>
      </c>
      <c r="K42" s="48">
        <f>IF(+'Sismo UBC-94 y Dinamico'!O34=0,'Sismo UBC-94 y Dinamico'!M34,'Sismo UBC-94 y Dinamico'!O34)</f>
        <v>223.93933038481006</v>
      </c>
      <c r="L42" s="48">
        <f>IF(+'Sismo UBC-94 y Dinamico'!P34=0,'Sismo UBC-94 y Dinamico'!N34,'Sismo UBC-94 y Dinamico'!P34)</f>
        <v>887.86379268612018</v>
      </c>
      <c r="M42" s="52">
        <f>0.05*N42*K42*(H42-1)+0.05*O42*L42*(H42-1)</f>
        <v>-123.29530847605663</v>
      </c>
      <c r="N42" s="172">
        <f>+$N$3</f>
        <v>15</v>
      </c>
      <c r="O42" s="172">
        <f>+$O$3</f>
        <v>16</v>
      </c>
      <c r="P42" s="95">
        <f>+K42*(J42+0.05*N42*H42)-K42*(J42+0.05*N42)</f>
        <v>-23.578829452287152</v>
      </c>
      <c r="Q42" s="95">
        <f>+L42*(I42+0.05*O42*H42)-L42*(I42+0.05*O42)</f>
        <v>-99.716479023769807</v>
      </c>
      <c r="R42" s="95">
        <f>+P42+Q42</f>
        <v>-123.29530847605696</v>
      </c>
    </row>
    <row r="43" spans="2:18" x14ac:dyDescent="0.3">
      <c r="B43" s="184" t="s">
        <v>187</v>
      </c>
      <c r="C43" s="185" t="s">
        <v>81</v>
      </c>
      <c r="D43" s="185" t="s">
        <v>218</v>
      </c>
      <c r="E43" s="185">
        <v>3.5717062859312497E-2</v>
      </c>
      <c r="F43" s="185">
        <v>3.1359373927211699E-2</v>
      </c>
      <c r="G43" s="186">
        <v>1.1389596916767399</v>
      </c>
      <c r="H43" s="42">
        <f t="shared" ref="H43:H52" si="16">+E43/(1.2*F43)</f>
        <v>0.94913307639727962</v>
      </c>
      <c r="I43" s="181">
        <f t="shared" ref="I43:J43" si="17">+I25</f>
        <v>-0.41858956751349119</v>
      </c>
      <c r="J43" s="181">
        <f t="shared" si="17"/>
        <v>-3.2833022600240014E-2</v>
      </c>
      <c r="K43" s="48">
        <f>IF(+'Sismo UBC-94 y Dinamico'!O35=0,'Sismo UBC-94 y Dinamico'!M35,'Sismo UBC-94 y Dinamico'!O35)</f>
        <v>1079.4728284974472</v>
      </c>
      <c r="L43" s="48">
        <f>IF(+'Sismo UBC-94 y Dinamico'!P35=0,'Sismo UBC-94 y Dinamico'!N35,'Sismo UBC-94 y Dinamico'!P35)</f>
        <v>12277.926322909152</v>
      </c>
      <c r="M43" s="52">
        <f>0.05*N43*K43*(H43-1)+0.05*O43*L43*(H43-1)</f>
        <v>-540.81436863759359</v>
      </c>
      <c r="N43" s="172">
        <f t="shared" ref="N43:N52" si="18">+$N$3</f>
        <v>15</v>
      </c>
      <c r="O43" s="172">
        <f t="shared" ref="O43:O52" si="19">+$O$3</f>
        <v>16</v>
      </c>
      <c r="P43" s="95">
        <f>+K43*(J43+0.05*N43*H43)-K43*(J43+0.05*N43)</f>
        <v>-41.182096423794064</v>
      </c>
      <c r="Q43" s="95">
        <f>+L43*(I43+0.05*O43*H43)-L43*(I43+0.05*O43)</f>
        <v>-499.6322722137993</v>
      </c>
      <c r="R43" s="95">
        <f>+P43+Q43</f>
        <v>-540.81436863759336</v>
      </c>
    </row>
    <row r="44" spans="2:18" x14ac:dyDescent="0.3">
      <c r="B44" s="184" t="s">
        <v>185</v>
      </c>
      <c r="C44" s="185" t="s">
        <v>81</v>
      </c>
      <c r="D44" s="185" t="s">
        <v>218</v>
      </c>
      <c r="E44" s="185">
        <v>3.3755644074649399E-2</v>
      </c>
      <c r="F44" s="185">
        <v>2.9811550079009201E-2</v>
      </c>
      <c r="G44" s="186">
        <v>1.1323008694679499</v>
      </c>
      <c r="H44" s="42">
        <f t="shared" si="16"/>
        <v>0.94358405788995692</v>
      </c>
      <c r="I44" s="181">
        <f t="shared" ref="I44:J44" si="20">+I26</f>
        <v>-7.5297484800099568E-2</v>
      </c>
      <c r="J44" s="181">
        <f t="shared" si="20"/>
        <v>-0.20623915370561008</v>
      </c>
      <c r="K44" s="48">
        <f>IF(+'Sismo UBC-94 y Dinamico'!O36=0,'Sismo UBC-94 y Dinamico'!M36,'Sismo UBC-94 y Dinamico'!O36)</f>
        <v>1360.9569404904394</v>
      </c>
      <c r="L44" s="48">
        <f>IF(+'Sismo UBC-94 y Dinamico'!P36=0,'Sismo UBC-94 y Dinamico'!N36,'Sismo UBC-94 y Dinamico'!P36)</f>
        <v>13272.813893220522</v>
      </c>
      <c r="M44" s="52">
        <f>0.05*N44*K44*(H44-1)+0.05*O44*L44*(H44-1)</f>
        <v>-656.6233911665712</v>
      </c>
      <c r="N44" s="172">
        <f t="shared" si="18"/>
        <v>15</v>
      </c>
      <c r="O44" s="172">
        <f t="shared" si="19"/>
        <v>16</v>
      </c>
      <c r="P44" s="95">
        <f>+K44*(J44+0.05*N44*H44)-K44*(J44+0.05*N44)</f>
        <v>-57.584750976727491</v>
      </c>
      <c r="Q44" s="95">
        <f>+L44*(I44+0.05*O44*H44)-L44*(I44+0.05*O44)</f>
        <v>-599.03864018984314</v>
      </c>
      <c r="R44" s="95">
        <f>+P44+Q44</f>
        <v>-656.62339116657063</v>
      </c>
    </row>
    <row r="45" spans="2:18" x14ac:dyDescent="0.3">
      <c r="B45" s="184" t="s">
        <v>183</v>
      </c>
      <c r="C45" s="185" t="s">
        <v>81</v>
      </c>
      <c r="D45" s="185" t="s">
        <v>218</v>
      </c>
      <c r="E45" s="185">
        <v>3.11802349062806E-2</v>
      </c>
      <c r="F45" s="185">
        <v>2.7687899311206E-2</v>
      </c>
      <c r="G45" s="186">
        <v>1.12613219788982</v>
      </c>
      <c r="H45" s="42">
        <f t="shared" si="16"/>
        <v>0.9384434982415214</v>
      </c>
      <c r="I45" s="181">
        <f t="shared" ref="I45:J45" si="21">+I27</f>
        <v>2.4088410398279692E-2</v>
      </c>
      <c r="J45" s="181">
        <f t="shared" si="21"/>
        <v>-0.22769409662574969</v>
      </c>
      <c r="K45" s="48">
        <f>IF(+'Sismo UBC-94 y Dinamico'!O37=0,'Sismo UBC-94 y Dinamico'!M37,'Sismo UBC-94 y Dinamico'!O37)</f>
        <v>1144.079114231994</v>
      </c>
      <c r="L45" s="48">
        <f>IF(+'Sismo UBC-94 y Dinamico'!P37=0,'Sismo UBC-94 y Dinamico'!N37,'Sismo UBC-94 y Dinamico'!P37)</f>
        <v>10872.294549000089</v>
      </c>
      <c r="M45" s="52">
        <f>0.05*N45*K45*(H45-1)+0.05*O45*L45*(H45-1)</f>
        <v>-588.22746582467232</v>
      </c>
      <c r="N45" s="172">
        <f t="shared" si="18"/>
        <v>15</v>
      </c>
      <c r="O45" s="172">
        <f t="shared" si="19"/>
        <v>16</v>
      </c>
      <c r="P45" s="95">
        <f>+K45*(J45+0.05*N45*H45)-K45*(J45+0.05*N45)</f>
        <v>-52.819131005295276</v>
      </c>
      <c r="Q45" s="95">
        <f>+L45*(I45+0.05*O45*H45)-L45*(I45+0.05*O45)</f>
        <v>-535.40833481937625</v>
      </c>
      <c r="R45" s="95">
        <f>+P45+Q45</f>
        <v>-588.22746582467153</v>
      </c>
    </row>
    <row r="46" spans="2:18" x14ac:dyDescent="0.3">
      <c r="B46" s="184" t="s">
        <v>181</v>
      </c>
      <c r="C46" s="185" t="s">
        <v>81</v>
      </c>
      <c r="D46" s="185" t="s">
        <v>218</v>
      </c>
      <c r="E46" s="185">
        <v>2.8068296263742E-2</v>
      </c>
      <c r="F46" s="185">
        <v>2.5054861248504801E-2</v>
      </c>
      <c r="G46" s="186">
        <v>1.12027346650811</v>
      </c>
      <c r="H46" s="42">
        <f t="shared" si="16"/>
        <v>0.93356122209008541</v>
      </c>
      <c r="I46" s="181">
        <f t="shared" ref="I46:J46" si="22">+I28</f>
        <v>0.11767790493930086</v>
      </c>
      <c r="J46" s="181">
        <f t="shared" si="22"/>
        <v>-0.25246574335367988</v>
      </c>
      <c r="K46" s="48">
        <f>IF(+'Sismo UBC-94 y Dinamico'!O38=0,'Sismo UBC-94 y Dinamico'!M38,'Sismo UBC-94 y Dinamico'!O38)</f>
        <v>968.79088766436223</v>
      </c>
      <c r="L46" s="48">
        <f>IF(+'Sismo UBC-94 y Dinamico'!P38=0,'Sismo UBC-94 y Dinamico'!N38,'Sismo UBC-94 y Dinamico'!P38)</f>
        <v>8951.2609540100784</v>
      </c>
      <c r="M46" s="52">
        <f>0.05*N46*K46*(H46-1)+0.05*O46*L46*(H46-1)</f>
        <v>-524.04263279974384</v>
      </c>
      <c r="N46" s="172">
        <f t="shared" si="18"/>
        <v>15</v>
      </c>
      <c r="O46" s="172">
        <f t="shared" si="19"/>
        <v>16</v>
      </c>
      <c r="P46" s="95">
        <f>+K46*(J46+0.05*N46*H46)-K46*(J46+0.05*N46)</f>
        <v>-48.273961970011214</v>
      </c>
      <c r="Q46" s="95">
        <f>+L46*(I46+0.05*O46*H46)-L46*(I46+0.05*O46)</f>
        <v>-475.76867082973331</v>
      </c>
      <c r="R46" s="95">
        <f>+P46+Q46</f>
        <v>-524.04263279974452</v>
      </c>
    </row>
    <row r="47" spans="2:18" s="151" customFormat="1" x14ac:dyDescent="0.3">
      <c r="B47" s="184" t="s">
        <v>179</v>
      </c>
      <c r="C47" s="185" t="s">
        <v>81</v>
      </c>
      <c r="D47" s="185" t="s">
        <v>218</v>
      </c>
      <c r="E47" s="185">
        <v>2.45318716610275E-2</v>
      </c>
      <c r="F47" s="185">
        <v>2.2013462684465E-2</v>
      </c>
      <c r="G47" s="186">
        <v>1.1144031274252799</v>
      </c>
      <c r="H47" s="42">
        <f t="shared" si="16"/>
        <v>0.92866927285440026</v>
      </c>
      <c r="I47" s="181">
        <f t="shared" ref="I47:J47" si="23">+I29</f>
        <v>0.2055968470934797</v>
      </c>
      <c r="J47" s="181">
        <f t="shared" si="23"/>
        <v>-0.28231814413167999</v>
      </c>
      <c r="K47" s="48">
        <f>IF(+'Sismo UBC-94 y Dinamico'!O39=0,'Sismo UBC-94 y Dinamico'!M39,'Sismo UBC-94 y Dinamico'!O39)</f>
        <v>838.94675138048228</v>
      </c>
      <c r="L47" s="48">
        <f>IF(+'Sismo UBC-94 y Dinamico'!P39=0,'Sismo UBC-94 y Dinamico'!N39,'Sismo UBC-94 y Dinamico'!P39)</f>
        <v>7562.0838801614236</v>
      </c>
      <c r="M47" s="52">
        <f t="shared" ref="M47:M52" si="24">0.05*N47*K47*(H47-1)+0.05*O47*L47*(H47-1)</f>
        <v>-476.4091648856525</v>
      </c>
      <c r="N47" s="172">
        <f t="shared" si="18"/>
        <v>15</v>
      </c>
      <c r="O47" s="172">
        <f t="shared" si="19"/>
        <v>16</v>
      </c>
      <c r="P47" s="95">
        <f t="shared" ref="P47:P52" si="25">+K47*(J47+0.05*N47*H47)-K47*(J47+0.05*N47)</f>
        <v>-44.882011359306318</v>
      </c>
      <c r="Q47" s="95">
        <f t="shared" ref="Q47:Q52" si="26">+L47*(I47+0.05*O47*H47)-L47*(I47+0.05*O47)</f>
        <v>-431.52715352634641</v>
      </c>
      <c r="R47" s="95">
        <f t="shared" ref="R47:R52" si="27">+P47+Q47</f>
        <v>-476.40916488565273</v>
      </c>
    </row>
    <row r="48" spans="2:18" s="151" customFormat="1" x14ac:dyDescent="0.3">
      <c r="B48" s="184" t="s">
        <v>39</v>
      </c>
      <c r="C48" s="185" t="s">
        <v>81</v>
      </c>
      <c r="D48" s="185" t="s">
        <v>218</v>
      </c>
      <c r="E48" s="185">
        <v>2.06691095765889E-2</v>
      </c>
      <c r="F48" s="185">
        <v>1.8650234774310701E-2</v>
      </c>
      <c r="G48" s="186">
        <v>1.1082492969503599</v>
      </c>
      <c r="H48" s="42">
        <f t="shared" si="16"/>
        <v>0.92354108079196273</v>
      </c>
      <c r="I48" s="181">
        <f t="shared" ref="I48:J48" si="28">+I30</f>
        <v>0.28761267364527043</v>
      </c>
      <c r="J48" s="181">
        <f t="shared" si="28"/>
        <v>-0.31855011345591944</v>
      </c>
      <c r="K48" s="48">
        <f>IF(+'Sismo UBC-94 y Dinamico'!O40=0,'Sismo UBC-94 y Dinamico'!M40,'Sismo UBC-94 y Dinamico'!O40)</f>
        <v>731.68964665758131</v>
      </c>
      <c r="L48" s="48">
        <f>IF(+'Sismo UBC-94 y Dinamico'!P40=0,'Sismo UBC-94 y Dinamico'!N40,'Sismo UBC-94 y Dinamico'!P40)</f>
        <v>6602.385513689921</v>
      </c>
      <c r="M48" s="52">
        <f t="shared" si="24"/>
        <v>-445.80715814158867</v>
      </c>
      <c r="N48" s="172">
        <f t="shared" si="18"/>
        <v>15</v>
      </c>
      <c r="O48" s="172">
        <f t="shared" si="19"/>
        <v>16</v>
      </c>
      <c r="P48" s="95">
        <f t="shared" si="25"/>
        <v>-41.958149684361956</v>
      </c>
      <c r="Q48" s="95">
        <f t="shared" si="26"/>
        <v>-403.84900845722677</v>
      </c>
      <c r="R48" s="95">
        <f t="shared" si="27"/>
        <v>-445.80715814158873</v>
      </c>
    </row>
    <row r="49" spans="2:18" s="151" customFormat="1" x14ac:dyDescent="0.3">
      <c r="B49" s="184" t="s">
        <v>26</v>
      </c>
      <c r="C49" s="185" t="s">
        <v>81</v>
      </c>
      <c r="D49" s="185" t="s">
        <v>218</v>
      </c>
      <c r="E49" s="185">
        <v>1.6582308470408799E-2</v>
      </c>
      <c r="F49" s="185">
        <v>1.50436344218026E-2</v>
      </c>
      <c r="G49" s="186">
        <v>1.1022807391793701</v>
      </c>
      <c r="H49" s="42">
        <f t="shared" si="16"/>
        <v>0.91856728264947585</v>
      </c>
      <c r="I49" s="181">
        <f t="shared" ref="I49:J49" si="29">+I31</f>
        <v>0.23392213836928022</v>
      </c>
      <c r="J49" s="181">
        <f t="shared" si="29"/>
        <v>-0.26740789129461007</v>
      </c>
      <c r="K49" s="48">
        <f>IF(+'Sismo UBC-94 y Dinamico'!O41=0,'Sismo UBC-94 y Dinamico'!M41,'Sismo UBC-94 y Dinamico'!O41)</f>
        <v>637.00951764879073</v>
      </c>
      <c r="L49" s="48">
        <f>IF(+'Sismo UBC-94 y Dinamico'!P41=0,'Sismo UBC-94 y Dinamico'!N41,'Sismo UBC-94 y Dinamico'!P41)</f>
        <v>5915.76282274404</v>
      </c>
      <c r="M49" s="52">
        <f t="shared" si="24"/>
        <v>-424.29437548601919</v>
      </c>
      <c r="N49" s="172">
        <f t="shared" si="18"/>
        <v>15</v>
      </c>
      <c r="O49" s="172">
        <f t="shared" si="19"/>
        <v>16</v>
      </c>
      <c r="P49" s="95">
        <f t="shared" si="25"/>
        <v>-38.905062000215764</v>
      </c>
      <c r="Q49" s="95">
        <f t="shared" si="26"/>
        <v>-385.38931348580354</v>
      </c>
      <c r="R49" s="95">
        <f t="shared" si="27"/>
        <v>-424.29437548601931</v>
      </c>
    </row>
    <row r="50" spans="2:18" s="151" customFormat="1" x14ac:dyDescent="0.3">
      <c r="B50" s="184" t="s">
        <v>25</v>
      </c>
      <c r="C50" s="185" t="s">
        <v>81</v>
      </c>
      <c r="D50" s="185" t="s">
        <v>218</v>
      </c>
      <c r="E50" s="185">
        <v>1.2348662936409301E-2</v>
      </c>
      <c r="F50" s="185">
        <v>1.12600089586987E-2</v>
      </c>
      <c r="G50" s="186">
        <v>1.09668322482724</v>
      </c>
      <c r="H50" s="42">
        <f t="shared" si="16"/>
        <v>0.91390268735603319</v>
      </c>
      <c r="I50" s="181">
        <f t="shared" ref="I50:J50" si="30">+I32</f>
        <v>0.28821615113609056</v>
      </c>
      <c r="J50" s="181">
        <f t="shared" si="30"/>
        <v>-0.26474448072633017</v>
      </c>
      <c r="K50" s="48">
        <f>IF(+'Sismo UBC-94 y Dinamico'!O42=0,'Sismo UBC-94 y Dinamico'!M42,'Sismo UBC-94 y Dinamico'!O42)</f>
        <v>540.54709128467027</v>
      </c>
      <c r="L50" s="48">
        <f>IF(+'Sismo UBC-94 y Dinamico'!P42=0,'Sismo UBC-94 y Dinamico'!N42,'Sismo UBC-94 y Dinamico'!P42)</f>
        <v>5191.3727290577781</v>
      </c>
      <c r="M50" s="52">
        <f t="shared" si="24"/>
        <v>-392.47533166188293</v>
      </c>
      <c r="N50" s="172">
        <f t="shared" si="18"/>
        <v>15</v>
      </c>
      <c r="O50" s="172">
        <f t="shared" si="19"/>
        <v>16</v>
      </c>
      <c r="P50" s="95">
        <f t="shared" si="25"/>
        <v>-34.904738937842353</v>
      </c>
      <c r="Q50" s="95">
        <f t="shared" si="26"/>
        <v>-357.57059272404058</v>
      </c>
      <c r="R50" s="95">
        <f t="shared" si="27"/>
        <v>-392.47533166188293</v>
      </c>
    </row>
    <row r="51" spans="2:18" s="151" customFormat="1" x14ac:dyDescent="0.3">
      <c r="B51" s="184" t="s">
        <v>24</v>
      </c>
      <c r="C51" s="185" t="s">
        <v>81</v>
      </c>
      <c r="D51" s="185" t="s">
        <v>218</v>
      </c>
      <c r="E51" s="185">
        <v>8.0399772202211107E-3</v>
      </c>
      <c r="F51" s="185">
        <v>7.3691882073132599E-3</v>
      </c>
      <c r="G51" s="186">
        <v>1.0910261746663199</v>
      </c>
      <c r="H51" s="42">
        <f t="shared" si="16"/>
        <v>0.90918847888859644</v>
      </c>
      <c r="I51" s="181">
        <f t="shared" ref="I51:J51" si="31">+I33</f>
        <v>0.32177601454531057</v>
      </c>
      <c r="J51" s="181">
        <f t="shared" si="31"/>
        <v>-0.24209455398016022</v>
      </c>
      <c r="K51" s="48">
        <f>IF(+'Sismo UBC-94 y Dinamico'!O43=0,'Sismo UBC-94 y Dinamico'!M43,'Sismo UBC-94 y Dinamico'!O43)</f>
        <v>425.51728518539079</v>
      </c>
      <c r="L51" s="48">
        <f>IF(+'Sismo UBC-94 y Dinamico'!P43=0,'Sismo UBC-94 y Dinamico'!N43,'Sismo UBC-94 y Dinamico'!P43)</f>
        <v>4162.1395894002253</v>
      </c>
      <c r="M51" s="52">
        <f t="shared" si="24"/>
        <v>-331.35758569830188</v>
      </c>
      <c r="N51" s="172">
        <f t="shared" si="18"/>
        <v>15</v>
      </c>
      <c r="O51" s="172">
        <f t="shared" si="19"/>
        <v>16</v>
      </c>
      <c r="P51" s="95">
        <f t="shared" si="25"/>
        <v>-28.981403945160196</v>
      </c>
      <c r="Q51" s="95">
        <f t="shared" si="26"/>
        <v>-302.37618175314128</v>
      </c>
      <c r="R51" s="95">
        <f t="shared" si="27"/>
        <v>-331.35758569830148</v>
      </c>
    </row>
    <row r="52" spans="2:18" s="151" customFormat="1" x14ac:dyDescent="0.3">
      <c r="B52" s="187" t="s">
        <v>22</v>
      </c>
      <c r="C52" s="188" t="s">
        <v>81</v>
      </c>
      <c r="D52" s="188" t="s">
        <v>218</v>
      </c>
      <c r="E52" s="188">
        <v>3.7923212216637199E-3</v>
      </c>
      <c r="F52" s="188">
        <v>3.4931912455426202E-3</v>
      </c>
      <c r="G52" s="189">
        <v>1.08563229296501</v>
      </c>
      <c r="H52" s="42">
        <f t="shared" si="16"/>
        <v>0.90469357747083834</v>
      </c>
      <c r="I52" s="181">
        <f t="shared" ref="I52:J52" si="32">+I34</f>
        <v>0.25780053524465885</v>
      </c>
      <c r="J52" s="181">
        <f t="shared" si="32"/>
        <v>-0.13162653291153958</v>
      </c>
      <c r="K52" s="48">
        <f>IF(+'Sismo UBC-94 y Dinamico'!O44=0,'Sismo UBC-94 y Dinamico'!M44,'Sismo UBC-94 y Dinamico'!O44)</f>
        <v>250.47001476106902</v>
      </c>
      <c r="L52" s="48">
        <f>IF(+'Sismo UBC-94 y Dinamico'!P44=0,'Sismo UBC-94 y Dinamico'!N44,'Sismo UBC-94 y Dinamico'!P44)</f>
        <v>2497.7767080270305</v>
      </c>
      <c r="M52" s="52">
        <f t="shared" si="24"/>
        <v>-208.34688064825596</v>
      </c>
      <c r="N52" s="172">
        <f t="shared" si="18"/>
        <v>15</v>
      </c>
      <c r="O52" s="172">
        <f t="shared" si="19"/>
        <v>16</v>
      </c>
      <c r="P52" s="95">
        <f t="shared" si="25"/>
        <v>-17.903550793277844</v>
      </c>
      <c r="Q52" s="95">
        <f t="shared" si="26"/>
        <v>-190.4433298549784</v>
      </c>
      <c r="R52" s="95">
        <f t="shared" si="27"/>
        <v>-208.34688064825625</v>
      </c>
    </row>
    <row r="53" spans="2:18" s="151" customFormat="1" x14ac:dyDescent="0.3">
      <c r="B53" s="53"/>
      <c r="C53" s="53"/>
      <c r="D53" s="53"/>
      <c r="E53" s="53"/>
      <c r="F53" s="53"/>
      <c r="G53" s="53"/>
      <c r="H53" s="42"/>
      <c r="I53" s="47"/>
      <c r="J53" s="47"/>
      <c r="K53" s="48"/>
      <c r="L53" s="48"/>
      <c r="M53" s="52"/>
      <c r="P53" s="95"/>
      <c r="Q53" s="95"/>
      <c r="R53" s="95"/>
    </row>
    <row r="54" spans="2:18" s="151" customFormat="1" x14ac:dyDescent="0.3">
      <c r="B54" s="53"/>
      <c r="C54" s="53"/>
      <c r="D54" s="53"/>
      <c r="E54" s="53"/>
      <c r="F54" s="53"/>
      <c r="G54" s="53"/>
      <c r="H54" s="42"/>
      <c r="I54" s="47"/>
      <c r="J54" s="47"/>
      <c r="K54" s="48"/>
      <c r="L54" s="48"/>
      <c r="M54" s="52"/>
      <c r="P54" s="95"/>
      <c r="Q54" s="95"/>
      <c r="R54" s="95"/>
    </row>
    <row r="55" spans="2:18" x14ac:dyDescent="0.3">
      <c r="B55" s="42"/>
      <c r="C55" s="42"/>
      <c r="D55" s="42"/>
      <c r="E55" s="42"/>
      <c r="F55" s="42"/>
      <c r="G55" s="42"/>
      <c r="H55" s="42"/>
      <c r="I55" s="42"/>
      <c r="J55" s="42"/>
      <c r="K55" s="42"/>
      <c r="L55" s="42"/>
      <c r="M55" s="42"/>
    </row>
    <row r="56" spans="2:18" x14ac:dyDescent="0.3">
      <c r="B56" s="42"/>
      <c r="C56" s="42"/>
      <c r="D56" s="42"/>
      <c r="E56" s="42"/>
      <c r="F56" s="42"/>
      <c r="G56" s="42"/>
      <c r="H56" s="42"/>
      <c r="I56" s="42"/>
      <c r="J56" s="42"/>
      <c r="K56" s="42"/>
      <c r="L56" s="42"/>
      <c r="M56" s="42"/>
    </row>
    <row r="57" spans="2:18" x14ac:dyDescent="0.3">
      <c r="B57" s="44" t="s">
        <v>83</v>
      </c>
      <c r="C57" s="43"/>
      <c r="D57" s="43"/>
      <c r="E57" s="43"/>
      <c r="F57" s="43"/>
      <c r="G57" s="43"/>
      <c r="H57" s="43"/>
      <c r="I57" s="42"/>
      <c r="J57" s="42"/>
      <c r="K57" s="42"/>
      <c r="L57" s="42"/>
      <c r="M57" s="42"/>
    </row>
    <row r="58" spans="2:18" x14ac:dyDescent="0.3">
      <c r="B58" s="45" t="s">
        <v>9</v>
      </c>
      <c r="C58" s="45" t="s">
        <v>46</v>
      </c>
      <c r="D58" s="45" t="s">
        <v>42</v>
      </c>
      <c r="E58" s="45" t="s">
        <v>84</v>
      </c>
      <c r="F58" s="45" t="s">
        <v>85</v>
      </c>
      <c r="G58" s="46" t="s">
        <v>86</v>
      </c>
      <c r="H58" s="46" t="s">
        <v>87</v>
      </c>
      <c r="I58" s="43"/>
      <c r="J58" s="43"/>
      <c r="K58" s="49" t="s">
        <v>88</v>
      </c>
      <c r="L58" s="49" t="s">
        <v>92</v>
      </c>
      <c r="M58" s="87" t="s">
        <v>91</v>
      </c>
      <c r="N58" s="87" t="s">
        <v>114</v>
      </c>
      <c r="O58" s="87" t="s">
        <v>115</v>
      </c>
    </row>
    <row r="59" spans="2:18" x14ac:dyDescent="0.3">
      <c r="B59" s="50"/>
      <c r="C59" s="50"/>
      <c r="D59" s="50"/>
      <c r="E59" s="173" t="s">
        <v>193</v>
      </c>
      <c r="F59" s="173" t="s">
        <v>7</v>
      </c>
      <c r="G59" s="51"/>
      <c r="H59" s="51"/>
      <c r="I59" s="45" t="s">
        <v>89</v>
      </c>
      <c r="J59" s="45" t="s">
        <v>90</v>
      </c>
      <c r="K59" s="50" t="s">
        <v>43</v>
      </c>
      <c r="L59" s="50" t="s">
        <v>43</v>
      </c>
      <c r="M59" s="50" t="s">
        <v>54</v>
      </c>
      <c r="N59" s="50" t="s">
        <v>7</v>
      </c>
      <c r="O59" s="50" t="s">
        <v>7</v>
      </c>
      <c r="P59" s="96" t="s">
        <v>116</v>
      </c>
      <c r="Q59" s="96" t="s">
        <v>117</v>
      </c>
      <c r="R59" s="96" t="s">
        <v>118</v>
      </c>
    </row>
    <row r="60" spans="2:18" x14ac:dyDescent="0.3">
      <c r="B60" s="184" t="s">
        <v>189</v>
      </c>
      <c r="C60" s="185" t="s">
        <v>82</v>
      </c>
      <c r="D60" s="185" t="s">
        <v>218</v>
      </c>
      <c r="E60" s="185">
        <v>3.0800208210094701E-2</v>
      </c>
      <c r="F60" s="185">
        <v>3.03410887390115E-2</v>
      </c>
      <c r="G60" s="186">
        <v>1.01513193791536</v>
      </c>
      <c r="H60" s="42">
        <f>+E60/(1.2*F60)</f>
        <v>0.84594328159613474</v>
      </c>
      <c r="I60" s="181">
        <f>+I42</f>
        <v>-3.1128963955167013</v>
      </c>
      <c r="J60" s="181">
        <f>+J42</f>
        <v>1.4978505399313198</v>
      </c>
      <c r="K60" s="48">
        <f>+K42</f>
        <v>223.93933038481006</v>
      </c>
      <c r="L60" s="48">
        <f>+L42</f>
        <v>887.86379268612018</v>
      </c>
      <c r="M60" s="52">
        <f>-0.05*N60*K60*(H60-1)-0.05*O60*L60*(H60-1)</f>
        <v>135.29962460314886</v>
      </c>
      <c r="N60" s="172">
        <f>+$N$3</f>
        <v>15</v>
      </c>
      <c r="O60" s="172">
        <f>+$O$3</f>
        <v>16</v>
      </c>
      <c r="P60" s="95">
        <f>+K60*(J60-0.05*N60*H60)-K60*(J60-0.05*N60)</f>
        <v>25.874518770482126</v>
      </c>
      <c r="Q60" s="95">
        <f>+L60*(I60-0.05*O60*H60)-L60*(I60-0.05*O60)</f>
        <v>109.42510583266676</v>
      </c>
      <c r="R60" s="95">
        <f>+P60+Q60</f>
        <v>135.29962460314889</v>
      </c>
    </row>
    <row r="61" spans="2:18" x14ac:dyDescent="0.3">
      <c r="B61" s="184" t="s">
        <v>187</v>
      </c>
      <c r="C61" s="185" t="s">
        <v>82</v>
      </c>
      <c r="D61" s="185" t="s">
        <v>218</v>
      </c>
      <c r="E61" s="185">
        <v>3.2906171537659103E-2</v>
      </c>
      <c r="F61" s="185">
        <v>3.07076521103214E-2</v>
      </c>
      <c r="G61" s="186">
        <v>1.07159516525195</v>
      </c>
      <c r="H61" s="42">
        <f t="shared" ref="H61:H70" si="33">+E61/(1.2*F61)</f>
        <v>0.89299597104328765</v>
      </c>
      <c r="I61" s="181">
        <f t="shared" ref="I61:J61" si="34">+I43</f>
        <v>-0.41858956751349119</v>
      </c>
      <c r="J61" s="181">
        <f t="shared" si="34"/>
        <v>-3.2833022600240014E-2</v>
      </c>
      <c r="K61" s="48">
        <f t="shared" ref="K61:L64" si="35">+K43</f>
        <v>1079.4728284974472</v>
      </c>
      <c r="L61" s="48">
        <f t="shared" si="35"/>
        <v>12277.926322909152</v>
      </c>
      <c r="M61" s="52">
        <f>-0.05*N61*K61*(H61-1)-0.05*O61*L61*(H61-1)</f>
        <v>1137.6610233768552</v>
      </c>
      <c r="N61" s="172">
        <f t="shared" ref="N61:N70" si="36">+$N$3</f>
        <v>15</v>
      </c>
      <c r="O61" s="172">
        <f t="shared" ref="O61:O70" si="37">+$O$3</f>
        <v>16</v>
      </c>
      <c r="P61" s="95">
        <f>+K61*(J61-0.05*N61*H61)-K61*(J61-0.05*N61)</f>
        <v>86.630956348893733</v>
      </c>
      <c r="Q61" s="95">
        <f>+L61*(I61-0.05*O61*H61)-L61*(I61-0.05*O61)</f>
        <v>1051.0300670279612</v>
      </c>
      <c r="R61" s="95">
        <f>+P61+Q61</f>
        <v>1137.6610233768549</v>
      </c>
    </row>
    <row r="62" spans="2:18" x14ac:dyDescent="0.3">
      <c r="B62" s="184" t="s">
        <v>185</v>
      </c>
      <c r="C62" s="185" t="s">
        <v>82</v>
      </c>
      <c r="D62" s="185" t="s">
        <v>218</v>
      </c>
      <c r="E62" s="185">
        <v>3.1570824711137001E-2</v>
      </c>
      <c r="F62" s="185">
        <v>2.9218224567942701E-2</v>
      </c>
      <c r="G62" s="186">
        <v>1.08051824428016</v>
      </c>
      <c r="H62" s="42">
        <f t="shared" si="33"/>
        <v>0.90043187023347004</v>
      </c>
      <c r="I62" s="181">
        <f t="shared" ref="I62:J62" si="38">+I44</f>
        <v>-7.5297484800099568E-2</v>
      </c>
      <c r="J62" s="181">
        <f t="shared" si="38"/>
        <v>-0.20623915370561008</v>
      </c>
      <c r="K62" s="48">
        <f t="shared" si="35"/>
        <v>1360.9569404904394</v>
      </c>
      <c r="L62" s="48">
        <f t="shared" si="35"/>
        <v>13272.813893220522</v>
      </c>
      <c r="M62" s="52">
        <f>-0.05*N62*K62*(H62-1)-0.05*O62*L62*(H62-1)</f>
        <v>1158.8703578128047</v>
      </c>
      <c r="N62" s="172">
        <f t="shared" si="36"/>
        <v>15</v>
      </c>
      <c r="O62" s="172">
        <f t="shared" si="37"/>
        <v>16</v>
      </c>
      <c r="P62" s="95">
        <f>+K62*(J62-0.05*N62*H62)-K62*(J62-0.05*N62)</f>
        <v>101.63095294305867</v>
      </c>
      <c r="Q62" s="95">
        <f>+L62*(I62-0.05*O62*H62)-L62*(I62-0.05*O62)</f>
        <v>1057.2394048697461</v>
      </c>
      <c r="R62" s="95">
        <f>+P62+Q62</f>
        <v>1158.8703578128047</v>
      </c>
    </row>
    <row r="63" spans="2:18" x14ac:dyDescent="0.3">
      <c r="B63" s="184" t="s">
        <v>183</v>
      </c>
      <c r="C63" s="185" t="s">
        <v>82</v>
      </c>
      <c r="D63" s="185" t="s">
        <v>218</v>
      </c>
      <c r="E63" s="185">
        <v>2.9567946292636298E-2</v>
      </c>
      <c r="F63" s="185">
        <v>2.7160469313030702E-2</v>
      </c>
      <c r="G63" s="186">
        <v>1.08863900516073</v>
      </c>
      <c r="H63" s="42">
        <f t="shared" si="33"/>
        <v>0.90719917096727554</v>
      </c>
      <c r="I63" s="181">
        <f t="shared" ref="I63:J63" si="39">+I45</f>
        <v>2.4088410398279692E-2</v>
      </c>
      <c r="J63" s="181">
        <f t="shared" si="39"/>
        <v>-0.22769409662574969</v>
      </c>
      <c r="K63" s="48">
        <f t="shared" si="35"/>
        <v>1144.079114231994</v>
      </c>
      <c r="L63" s="48">
        <f t="shared" si="35"/>
        <v>10872.294549000089</v>
      </c>
      <c r="M63" s="52">
        <f>-0.05*N63*K63*(H63-1)-0.05*O63*L63*(H63-1)</f>
        <v>886.79497581795908</v>
      </c>
      <c r="N63" s="172">
        <f t="shared" si="36"/>
        <v>15</v>
      </c>
      <c r="O63" s="172">
        <f t="shared" si="37"/>
        <v>16</v>
      </c>
      <c r="P63" s="95">
        <f>+K63*(J63-0.05*N63*H63)-K63*(J63-0.05*N63)</f>
        <v>79.628617709815444</v>
      </c>
      <c r="Q63" s="95">
        <f>+L63*(I63-0.05*O63*H63)-L63*(I63-0.05*O63)</f>
        <v>807.16635810814387</v>
      </c>
      <c r="R63" s="95">
        <f>+P63+Q63</f>
        <v>886.79497581795931</v>
      </c>
    </row>
    <row r="64" spans="2:18" x14ac:dyDescent="0.3">
      <c r="B64" s="184" t="s">
        <v>181</v>
      </c>
      <c r="C64" s="185" t="s">
        <v>82</v>
      </c>
      <c r="D64" s="185" t="s">
        <v>218</v>
      </c>
      <c r="E64" s="185">
        <v>2.6966602665529301E-2</v>
      </c>
      <c r="F64" s="185">
        <v>2.4598672581291801E-2</v>
      </c>
      <c r="G64" s="186">
        <v>1.09626251483336</v>
      </c>
      <c r="H64" s="42">
        <f t="shared" si="33"/>
        <v>0.91355209569446438</v>
      </c>
      <c r="I64" s="181">
        <f t="shared" ref="I64:J64" si="40">+I46</f>
        <v>0.11767790493930086</v>
      </c>
      <c r="J64" s="181">
        <f t="shared" si="40"/>
        <v>-0.25246574335367988</v>
      </c>
      <c r="K64" s="48">
        <f t="shared" si="35"/>
        <v>968.79088766436223</v>
      </c>
      <c r="L64" s="48">
        <f t="shared" si="35"/>
        <v>8951.2609540100784</v>
      </c>
      <c r="M64" s="52">
        <f>-0.05*N64*K64*(H64-1)-0.05*O64*L64*(H64-1)</f>
        <v>681.86665675457539</v>
      </c>
      <c r="N64" s="172">
        <f t="shared" si="36"/>
        <v>15</v>
      </c>
      <c r="O64" s="172">
        <f t="shared" si="37"/>
        <v>16</v>
      </c>
      <c r="P64" s="95">
        <f>+K64*(J64-0.05*N64*H64)-K64*(J64-0.05*N64)</f>
        <v>62.812456461662805</v>
      </c>
      <c r="Q64" s="95">
        <f>+L64*(I64-0.05*O64*H64)-L64*(I64-0.05*O64)</f>
        <v>619.05420029291236</v>
      </c>
      <c r="R64" s="95">
        <f>+P64+Q64</f>
        <v>681.86665675457516</v>
      </c>
    </row>
    <row r="65" spans="2:18" x14ac:dyDescent="0.3">
      <c r="B65" s="184" t="s">
        <v>179</v>
      </c>
      <c r="C65" s="185" t="s">
        <v>82</v>
      </c>
      <c r="D65" s="185" t="s">
        <v>218</v>
      </c>
      <c r="E65" s="185">
        <v>2.38773807634956E-2</v>
      </c>
      <c r="F65" s="185">
        <v>2.1631895125597701E-2</v>
      </c>
      <c r="G65" s="186">
        <v>1.10380438814354</v>
      </c>
      <c r="H65" s="42">
        <f t="shared" si="33"/>
        <v>0.91983699011961684</v>
      </c>
      <c r="I65" s="181">
        <f t="shared" ref="I65:J65" si="41">+I47</f>
        <v>0.2055968470934797</v>
      </c>
      <c r="J65" s="181">
        <f t="shared" si="41"/>
        <v>-0.28231814413167999</v>
      </c>
      <c r="K65" s="48">
        <f t="shared" ref="K65:L70" si="42">+K47</f>
        <v>838.94675138048228</v>
      </c>
      <c r="L65" s="48">
        <f t="shared" si="42"/>
        <v>7562.0838801614236</v>
      </c>
      <c r="M65" s="52">
        <f t="shared" ref="M65:M70" si="43">-0.05*N65*K65*(H65-1)-0.05*O65*L65*(H65-1)</f>
        <v>535.39889638135492</v>
      </c>
      <c r="N65" s="172">
        <f t="shared" si="36"/>
        <v>15</v>
      </c>
      <c r="O65" s="172">
        <f t="shared" si="37"/>
        <v>16</v>
      </c>
      <c r="P65" s="95">
        <f t="shared" ref="P65:P70" si="44">+K65*(J65-0.05*N65*H65)-K65*(J65-0.05*N65)</f>
        <v>50.439372540021623</v>
      </c>
      <c r="Q65" s="95">
        <f t="shared" ref="Q65:Q70" si="45">+L65*(I65-0.05*O65*H65)-L65*(I65-0.05*O65)</f>
        <v>484.95952384133352</v>
      </c>
      <c r="R65" s="95">
        <f t="shared" ref="R65:R70" si="46">+P65+Q65</f>
        <v>535.39889638135514</v>
      </c>
    </row>
    <row r="66" spans="2:18" x14ac:dyDescent="0.3">
      <c r="B66" s="184" t="s">
        <v>39</v>
      </c>
      <c r="C66" s="185" t="s">
        <v>82</v>
      </c>
      <c r="D66" s="185" t="s">
        <v>218</v>
      </c>
      <c r="E66" s="185">
        <v>2.0391922551178599E-2</v>
      </c>
      <c r="F66" s="185">
        <v>1.8344657121719E-2</v>
      </c>
      <c r="G66" s="186">
        <v>1.1116000923798</v>
      </c>
      <c r="H66" s="42">
        <f t="shared" si="33"/>
        <v>0.92633341031650018</v>
      </c>
      <c r="I66" s="181">
        <f t="shared" ref="I66:J66" si="47">+I48</f>
        <v>0.28761267364527043</v>
      </c>
      <c r="J66" s="181">
        <f t="shared" si="47"/>
        <v>-0.31855011345591944</v>
      </c>
      <c r="K66" s="48">
        <f t="shared" si="42"/>
        <v>731.68964665758131</v>
      </c>
      <c r="L66" s="48">
        <f t="shared" si="42"/>
        <v>6602.385513689921</v>
      </c>
      <c r="M66" s="52">
        <f t="shared" si="43"/>
        <v>429.52599038741465</v>
      </c>
      <c r="N66" s="172">
        <f t="shared" si="36"/>
        <v>15</v>
      </c>
      <c r="O66" s="172">
        <f t="shared" si="37"/>
        <v>16</v>
      </c>
      <c r="P66" s="95">
        <f t="shared" si="44"/>
        <v>40.42581073199176</v>
      </c>
      <c r="Q66" s="95">
        <f t="shared" si="45"/>
        <v>389.10017965542283</v>
      </c>
      <c r="R66" s="95">
        <f t="shared" si="46"/>
        <v>429.52599038741459</v>
      </c>
    </row>
    <row r="67" spans="2:18" x14ac:dyDescent="0.3">
      <c r="B67" s="184" t="s">
        <v>26</v>
      </c>
      <c r="C67" s="185" t="s">
        <v>82</v>
      </c>
      <c r="D67" s="185" t="s">
        <v>218</v>
      </c>
      <c r="E67" s="185">
        <v>1.65819921259725E-2</v>
      </c>
      <c r="F67" s="185">
        <v>1.4812039654337E-2</v>
      </c>
      <c r="G67" s="186">
        <v>1.11949417588261</v>
      </c>
      <c r="H67" s="42">
        <f t="shared" si="33"/>
        <v>0.93291181323550609</v>
      </c>
      <c r="I67" s="181">
        <f t="shared" ref="I67:J67" si="48">+I49</f>
        <v>0.23392213836928022</v>
      </c>
      <c r="J67" s="181">
        <f t="shared" si="48"/>
        <v>-0.26740789129461007</v>
      </c>
      <c r="K67" s="48">
        <f t="shared" si="42"/>
        <v>637.00951764879073</v>
      </c>
      <c r="L67" s="48">
        <f t="shared" si="42"/>
        <v>5915.76282274404</v>
      </c>
      <c r="M67" s="52">
        <f t="shared" si="43"/>
        <v>349.55410100344812</v>
      </c>
      <c r="N67" s="172">
        <f t="shared" si="36"/>
        <v>15</v>
      </c>
      <c r="O67" s="172">
        <f t="shared" si="37"/>
        <v>16</v>
      </c>
      <c r="P67" s="95">
        <f t="shared" si="44"/>
        <v>32.051860118086665</v>
      </c>
      <c r="Q67" s="95">
        <f t="shared" si="45"/>
        <v>317.50224088536106</v>
      </c>
      <c r="R67" s="95">
        <f t="shared" si="46"/>
        <v>349.55410100344773</v>
      </c>
    </row>
    <row r="68" spans="2:18" x14ac:dyDescent="0.3">
      <c r="B68" s="184" t="s">
        <v>25</v>
      </c>
      <c r="C68" s="185" t="s">
        <v>82</v>
      </c>
      <c r="D68" s="185" t="s">
        <v>218</v>
      </c>
      <c r="E68" s="185">
        <v>1.25136567431243E-2</v>
      </c>
      <c r="F68" s="185">
        <v>1.10979527625149E-2</v>
      </c>
      <c r="G68" s="186">
        <v>1.12756442660228</v>
      </c>
      <c r="H68" s="42">
        <f t="shared" si="33"/>
        <v>0.93963702216856648</v>
      </c>
      <c r="I68" s="181">
        <f t="shared" ref="I68:J68" si="49">+I50</f>
        <v>0.28821615113609056</v>
      </c>
      <c r="J68" s="181">
        <f t="shared" si="49"/>
        <v>-0.26474448072633017</v>
      </c>
      <c r="K68" s="48">
        <f t="shared" si="42"/>
        <v>540.54709128467027</v>
      </c>
      <c r="L68" s="48">
        <f t="shared" si="42"/>
        <v>5191.3727290577781</v>
      </c>
      <c r="M68" s="52">
        <f t="shared" si="43"/>
        <v>275.16514763310539</v>
      </c>
      <c r="N68" s="172">
        <f t="shared" si="36"/>
        <v>15</v>
      </c>
      <c r="O68" s="172">
        <f t="shared" si="37"/>
        <v>16</v>
      </c>
      <c r="P68" s="95">
        <f t="shared" si="44"/>
        <v>24.471774066046805</v>
      </c>
      <c r="Q68" s="95">
        <f t="shared" si="45"/>
        <v>250.69337356705864</v>
      </c>
      <c r="R68" s="95">
        <f t="shared" si="46"/>
        <v>275.16514763310545</v>
      </c>
    </row>
    <row r="69" spans="2:18" x14ac:dyDescent="0.3">
      <c r="B69" s="184" t="s">
        <v>24</v>
      </c>
      <c r="C69" s="185" t="s">
        <v>82</v>
      </c>
      <c r="D69" s="185" t="s">
        <v>218</v>
      </c>
      <c r="E69" s="185">
        <v>8.2622244704048092E-3</v>
      </c>
      <c r="F69" s="185">
        <v>7.2709085466392898E-3</v>
      </c>
      <c r="G69" s="186">
        <v>1.1363400347297301</v>
      </c>
      <c r="H69" s="42">
        <f t="shared" si="33"/>
        <v>0.94695002894144487</v>
      </c>
      <c r="I69" s="181">
        <f t="shared" ref="I69:J69" si="50">+I51</f>
        <v>0.32177601454531057</v>
      </c>
      <c r="J69" s="181">
        <f t="shared" si="50"/>
        <v>-0.24209455398016022</v>
      </c>
      <c r="K69" s="48">
        <f t="shared" si="42"/>
        <v>425.51728518539079</v>
      </c>
      <c r="L69" s="48">
        <f t="shared" si="42"/>
        <v>4162.1395894002253</v>
      </c>
      <c r="M69" s="52">
        <f t="shared" si="43"/>
        <v>193.57136755547876</v>
      </c>
      <c r="N69" s="172">
        <f t="shared" si="36"/>
        <v>15</v>
      </c>
      <c r="O69" s="172">
        <f t="shared" si="37"/>
        <v>16</v>
      </c>
      <c r="P69" s="95">
        <f t="shared" si="44"/>
        <v>16.930259747999912</v>
      </c>
      <c r="Q69" s="95">
        <f t="shared" si="45"/>
        <v>176.64110780747887</v>
      </c>
      <c r="R69" s="95">
        <f t="shared" si="46"/>
        <v>193.57136755547879</v>
      </c>
    </row>
    <row r="70" spans="2:18" x14ac:dyDescent="0.3">
      <c r="B70" s="187" t="s">
        <v>22</v>
      </c>
      <c r="C70" s="188" t="s">
        <v>82</v>
      </c>
      <c r="D70" s="188" t="s">
        <v>218</v>
      </c>
      <c r="E70" s="188">
        <v>3.9552339137093797E-3</v>
      </c>
      <c r="F70" s="188">
        <v>3.45041533019804E-3</v>
      </c>
      <c r="G70" s="189">
        <v>1.1463066139004101</v>
      </c>
      <c r="H70" s="42">
        <f t="shared" si="33"/>
        <v>0.95525551158367483</v>
      </c>
      <c r="I70" s="181">
        <f t="shared" ref="I70:J70" si="51">+I52</f>
        <v>0.25780053524465885</v>
      </c>
      <c r="J70" s="181">
        <f t="shared" si="51"/>
        <v>-0.13162653291153958</v>
      </c>
      <c r="K70" s="48">
        <f t="shared" si="42"/>
        <v>250.47001476106902</v>
      </c>
      <c r="L70" s="48">
        <f t="shared" si="42"/>
        <v>2497.7767080270305</v>
      </c>
      <c r="M70" s="52">
        <f t="shared" si="43"/>
        <v>97.814757288690913</v>
      </c>
      <c r="N70" s="172">
        <f t="shared" si="36"/>
        <v>15</v>
      </c>
      <c r="O70" s="172">
        <f t="shared" si="37"/>
        <v>16</v>
      </c>
      <c r="P70" s="95">
        <f t="shared" si="44"/>
        <v>8.4053645055850836</v>
      </c>
      <c r="Q70" s="95">
        <f t="shared" si="45"/>
        <v>89.409392783105886</v>
      </c>
      <c r="R70" s="95">
        <f t="shared" si="46"/>
        <v>97.81475728869097</v>
      </c>
    </row>
  </sheetData>
  <mergeCells count="1">
    <mergeCell ref="M2:P2"/>
  </mergeCells>
  <conditionalFormatting sqref="G1:G5 G19:G23 G37:G41 G55:G59 G71:G1048576">
    <cfRule type="cellIs" dxfId="1" priority="2" operator="greaterThan">
      <formula>1.2</formula>
    </cfRule>
  </conditionalFormatting>
  <conditionalFormatting sqref="G1:G23 G35:G41 G53:G59 G71:G1048576">
    <cfRule type="cellIs" dxfId="0" priority="1" operator="greaterThan">
      <formula>1.2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B1:S67"/>
  <sheetViews>
    <sheetView workbookViewId="0">
      <selection activeCell="I57" sqref="I57"/>
    </sheetView>
  </sheetViews>
  <sheetFormatPr baseColWidth="10" defaultRowHeight="14.4" x14ac:dyDescent="0.3"/>
  <cols>
    <col min="9" max="9" width="11.5546875" style="75"/>
  </cols>
  <sheetData>
    <row r="1" spans="2:16" x14ac:dyDescent="0.3">
      <c r="B1" s="79" t="s">
        <v>100</v>
      </c>
    </row>
    <row r="2" spans="2:16" x14ac:dyDescent="0.3">
      <c r="B2" s="9" t="s">
        <v>79</v>
      </c>
    </row>
    <row r="3" spans="2:16" x14ac:dyDescent="0.3">
      <c r="B3" s="54" t="s">
        <v>93</v>
      </c>
      <c r="C3" s="55"/>
      <c r="D3" s="55"/>
      <c r="E3" s="55"/>
      <c r="F3" s="55"/>
      <c r="G3" s="55"/>
      <c r="H3" s="55"/>
    </row>
    <row r="4" spans="2:16" x14ac:dyDescent="0.3">
      <c r="B4" s="56" t="s">
        <v>9</v>
      </c>
      <c r="C4" s="56" t="s">
        <v>94</v>
      </c>
      <c r="D4" s="56" t="s">
        <v>95</v>
      </c>
      <c r="E4" s="56" t="s">
        <v>98</v>
      </c>
      <c r="F4" s="71"/>
      <c r="G4" s="56" t="s">
        <v>99</v>
      </c>
      <c r="H4" s="56"/>
      <c r="I4" s="76"/>
    </row>
    <row r="5" spans="2:16" x14ac:dyDescent="0.3">
      <c r="B5" s="57"/>
      <c r="C5" s="57"/>
      <c r="D5" s="57" t="s">
        <v>97</v>
      </c>
      <c r="E5" s="57"/>
      <c r="F5" s="73"/>
      <c r="G5" s="57"/>
      <c r="H5" s="57"/>
      <c r="I5" s="77"/>
      <c r="L5" s="53"/>
      <c r="M5" s="53"/>
      <c r="N5" s="53"/>
      <c r="O5" s="53"/>
      <c r="P5" s="53"/>
    </row>
    <row r="6" spans="2:16" x14ac:dyDescent="0.3">
      <c r="B6" s="53" t="s">
        <v>189</v>
      </c>
      <c r="C6" s="53" t="s">
        <v>79</v>
      </c>
      <c r="D6" s="172">
        <v>1386694.5358716401</v>
      </c>
      <c r="E6" s="53">
        <f>0.7*D6</f>
        <v>970686.17511014803</v>
      </c>
      <c r="F6" s="1" t="str">
        <f>+IF(D6&lt;E5,"piso suave","ok")</f>
        <v>ok</v>
      </c>
      <c r="G6" s="53">
        <f>0.9*D6</f>
        <v>1248025.0822844761</v>
      </c>
      <c r="H6" s="1"/>
      <c r="I6" s="78"/>
      <c r="L6" s="53"/>
      <c r="M6" s="53"/>
      <c r="N6" s="53"/>
      <c r="O6" s="53"/>
      <c r="P6" s="53"/>
    </row>
    <row r="7" spans="2:16" x14ac:dyDescent="0.3">
      <c r="B7" s="53" t="s">
        <v>187</v>
      </c>
      <c r="C7" s="53" t="s">
        <v>79</v>
      </c>
      <c r="D7" s="172">
        <v>12777825.831178401</v>
      </c>
      <c r="E7" s="53">
        <f>0.7*D7</f>
        <v>8944478.0818248801</v>
      </c>
      <c r="F7" s="1" t="str">
        <f>+IF(D7&lt;E6,"piso suave","ok")</f>
        <v>ok</v>
      </c>
      <c r="G7" s="53">
        <f>0.9*D7</f>
        <v>11500043.248060562</v>
      </c>
      <c r="H7" s="1" t="str">
        <f>+IF(D7&lt;AVERAGE(G4:G6),"piso suave","ok")</f>
        <v>ok</v>
      </c>
      <c r="I7" s="78"/>
      <c r="L7" s="53"/>
      <c r="M7" s="53"/>
      <c r="N7" s="53"/>
      <c r="O7" s="53"/>
      <c r="P7" s="53"/>
    </row>
    <row r="8" spans="2:16" x14ac:dyDescent="0.3">
      <c r="B8" s="53" t="s">
        <v>185</v>
      </c>
      <c r="C8" s="53" t="s">
        <v>79</v>
      </c>
      <c r="D8" s="172">
        <v>17484414.301564898</v>
      </c>
      <c r="E8" s="53">
        <f>0.7*D8</f>
        <v>12239090.011095429</v>
      </c>
      <c r="F8" s="1" t="str">
        <f>+IF(D8&lt;E7,"piso suave","ok")</f>
        <v>ok</v>
      </c>
      <c r="G8" s="53">
        <f>0.9*D8</f>
        <v>15735972.871408409</v>
      </c>
      <c r="H8" s="1" t="str">
        <f>+IF(D8&lt;AVERAGE(G5:G7),"piso suave","ok")</f>
        <v>ok</v>
      </c>
      <c r="I8" s="78"/>
      <c r="L8" s="53"/>
      <c r="M8" s="53"/>
      <c r="N8" s="53"/>
      <c r="O8" s="53"/>
      <c r="P8" s="53"/>
    </row>
    <row r="9" spans="2:16" x14ac:dyDescent="0.3">
      <c r="B9" s="53" t="s">
        <v>183</v>
      </c>
      <c r="C9" s="53" t="s">
        <v>79</v>
      </c>
      <c r="D9" s="172">
        <v>19552418.334579598</v>
      </c>
      <c r="E9" s="53">
        <f>0.7*D9</f>
        <v>13686692.834205719</v>
      </c>
      <c r="F9" s="1" t="str">
        <f>+IF(D9&lt;E8,"piso suave","ok")</f>
        <v>ok</v>
      </c>
      <c r="G9" s="53">
        <f>0.9*D9</f>
        <v>17597176.50112164</v>
      </c>
      <c r="H9" s="1" t="str">
        <f>+IF(D9&lt;AVERAGE(G6:G8),"piso suave","ok")</f>
        <v>ok</v>
      </c>
      <c r="I9" s="78"/>
      <c r="L9" s="53"/>
      <c r="M9" s="53"/>
      <c r="N9" s="53"/>
      <c r="O9" s="53"/>
      <c r="P9" s="53"/>
    </row>
    <row r="10" spans="2:16" x14ac:dyDescent="0.3">
      <c r="B10" s="53" t="s">
        <v>181</v>
      </c>
      <c r="C10" s="53" t="s">
        <v>79</v>
      </c>
      <c r="D10" s="172">
        <v>20776216.344581999</v>
      </c>
      <c r="E10" s="53">
        <f>0.7*D10</f>
        <v>14543351.441207398</v>
      </c>
      <c r="F10" s="1" t="str">
        <f>+IF(D10&lt;E9,"piso suave","ok")</f>
        <v>ok</v>
      </c>
      <c r="G10" s="53">
        <f>0.9*D10</f>
        <v>18698594.7101238</v>
      </c>
      <c r="H10" s="1" t="str">
        <f>+IF(D10&lt;AVERAGE(G7:G9),"piso suave","ok")</f>
        <v>ok</v>
      </c>
      <c r="I10" s="78"/>
      <c r="L10" s="53"/>
      <c r="M10" s="53"/>
      <c r="N10" s="53"/>
      <c r="O10" s="53"/>
      <c r="P10" s="53"/>
    </row>
    <row r="11" spans="2:16" s="158" customFormat="1" x14ac:dyDescent="0.3">
      <c r="B11" s="53" t="s">
        <v>179</v>
      </c>
      <c r="C11" s="53" t="s">
        <v>79</v>
      </c>
      <c r="D11" s="172">
        <v>21376435.770661999</v>
      </c>
      <c r="E11" s="53">
        <f t="shared" ref="E11:E16" si="0">0.7*D11</f>
        <v>14963505.039463397</v>
      </c>
      <c r="F11" s="1" t="str">
        <f t="shared" ref="F11:F16" si="1">+IF(D11&lt;E10,"piso suave","ok")</f>
        <v>ok</v>
      </c>
      <c r="G11" s="53">
        <f t="shared" ref="G11:G16" si="2">0.9*D11</f>
        <v>19238792.193595801</v>
      </c>
      <c r="H11" s="1" t="str">
        <f t="shared" ref="H11:H16" si="3">+IF(D11&lt;AVERAGE(G8:G10),"piso suave","ok")</f>
        <v>ok</v>
      </c>
      <c r="I11" s="78"/>
      <c r="L11" s="53"/>
      <c r="M11" s="53"/>
      <c r="N11" s="53"/>
      <c r="O11" s="53"/>
      <c r="P11" s="53"/>
    </row>
    <row r="12" spans="2:16" s="158" customFormat="1" x14ac:dyDescent="0.3">
      <c r="B12" s="53" t="s">
        <v>39</v>
      </c>
      <c r="C12" s="53" t="s">
        <v>79</v>
      </c>
      <c r="D12" s="172">
        <v>22144183.600400198</v>
      </c>
      <c r="E12" s="53">
        <f t="shared" si="0"/>
        <v>15500928.520280138</v>
      </c>
      <c r="F12" s="1" t="str">
        <f t="shared" si="1"/>
        <v>ok</v>
      </c>
      <c r="G12" s="53">
        <f t="shared" si="2"/>
        <v>19929765.240360178</v>
      </c>
      <c r="H12" s="1" t="str">
        <f t="shared" si="3"/>
        <v>ok</v>
      </c>
      <c r="I12" s="78"/>
      <c r="L12" s="53"/>
      <c r="M12" s="53"/>
      <c r="N12" s="53"/>
      <c r="O12" s="53"/>
      <c r="P12" s="53"/>
    </row>
    <row r="13" spans="2:16" s="158" customFormat="1" x14ac:dyDescent="0.3">
      <c r="B13" s="53" t="s">
        <v>26</v>
      </c>
      <c r="C13" s="53" t="s">
        <v>79</v>
      </c>
      <c r="D13" s="172">
        <v>22919592.400956798</v>
      </c>
      <c r="E13" s="53">
        <f t="shared" si="0"/>
        <v>16043714.680669758</v>
      </c>
      <c r="F13" s="1" t="str">
        <f t="shared" si="1"/>
        <v>ok</v>
      </c>
      <c r="G13" s="53">
        <f t="shared" si="2"/>
        <v>20627633.16086112</v>
      </c>
      <c r="H13" s="1" t="str">
        <f t="shared" si="3"/>
        <v>ok</v>
      </c>
      <c r="I13" s="78"/>
      <c r="L13" s="53"/>
      <c r="M13" s="53"/>
      <c r="N13" s="53"/>
      <c r="O13" s="53"/>
      <c r="P13" s="53"/>
    </row>
    <row r="14" spans="2:16" s="158" customFormat="1" x14ac:dyDescent="0.3">
      <c r="B14" s="53" t="s">
        <v>25</v>
      </c>
      <c r="C14" s="53" t="s">
        <v>79</v>
      </c>
      <c r="D14" s="172">
        <v>23413567.582745299</v>
      </c>
      <c r="E14" s="53">
        <f t="shared" si="0"/>
        <v>16389497.307921708</v>
      </c>
      <c r="F14" s="1" t="str">
        <f t="shared" si="1"/>
        <v>ok</v>
      </c>
      <c r="G14" s="53">
        <f t="shared" si="2"/>
        <v>21072210.82447077</v>
      </c>
      <c r="H14" s="1" t="str">
        <f t="shared" si="3"/>
        <v>ok</v>
      </c>
      <c r="I14" s="78"/>
      <c r="L14" s="53"/>
      <c r="M14" s="53"/>
      <c r="N14" s="53"/>
      <c r="O14" s="53"/>
      <c r="P14" s="53"/>
    </row>
    <row r="15" spans="2:16" s="158" customFormat="1" x14ac:dyDescent="0.3">
      <c r="B15" s="53" t="s">
        <v>24</v>
      </c>
      <c r="C15" s="53" t="s">
        <v>79</v>
      </c>
      <c r="D15" s="172">
        <v>24120397.7757283</v>
      </c>
      <c r="E15" s="53">
        <f t="shared" si="0"/>
        <v>16884278.443009809</v>
      </c>
      <c r="F15" s="1" t="str">
        <f t="shared" si="1"/>
        <v>ok</v>
      </c>
      <c r="G15" s="53">
        <f t="shared" si="2"/>
        <v>21708357.998155471</v>
      </c>
      <c r="H15" s="1" t="str">
        <f t="shared" si="3"/>
        <v>ok</v>
      </c>
      <c r="I15" s="78"/>
      <c r="L15" s="53"/>
      <c r="M15" s="53"/>
      <c r="N15" s="53"/>
      <c r="O15" s="53"/>
      <c r="P15" s="53"/>
    </row>
    <row r="16" spans="2:16" s="158" customFormat="1" x14ac:dyDescent="0.3">
      <c r="B16" s="53" t="s">
        <v>22</v>
      </c>
      <c r="C16" s="53" t="s">
        <v>79</v>
      </c>
      <c r="D16" s="172">
        <v>25173121.132466901</v>
      </c>
      <c r="E16" s="53">
        <f t="shared" si="0"/>
        <v>17621184.79272683</v>
      </c>
      <c r="F16" s="1" t="str">
        <f t="shared" si="1"/>
        <v>ok</v>
      </c>
      <c r="G16" s="53">
        <f t="shared" si="2"/>
        <v>22655809.019220211</v>
      </c>
      <c r="H16" s="1" t="str">
        <f t="shared" si="3"/>
        <v>ok</v>
      </c>
      <c r="I16" s="78"/>
      <c r="N16" s="53"/>
      <c r="O16" s="53"/>
    </row>
    <row r="19" spans="2:15" x14ac:dyDescent="0.3">
      <c r="B19" s="9" t="s">
        <v>80</v>
      </c>
    </row>
    <row r="20" spans="2:15" x14ac:dyDescent="0.3">
      <c r="B20" s="58" t="s">
        <v>93</v>
      </c>
      <c r="C20" s="59"/>
      <c r="D20" s="59"/>
      <c r="E20" s="59"/>
      <c r="F20" s="59"/>
      <c r="G20" s="59"/>
      <c r="H20" s="59"/>
    </row>
    <row r="21" spans="2:15" x14ac:dyDescent="0.3">
      <c r="B21" s="60" t="s">
        <v>9</v>
      </c>
      <c r="C21" s="60" t="s">
        <v>94</v>
      </c>
      <c r="D21" s="60" t="s">
        <v>95</v>
      </c>
      <c r="E21" s="71" t="s">
        <v>98</v>
      </c>
      <c r="F21" s="71"/>
      <c r="G21" s="71" t="s">
        <v>99</v>
      </c>
      <c r="H21" s="71"/>
      <c r="I21" s="76"/>
    </row>
    <row r="22" spans="2:15" x14ac:dyDescent="0.3">
      <c r="B22" s="61"/>
      <c r="C22" s="61"/>
      <c r="D22" s="61" t="s">
        <v>97</v>
      </c>
      <c r="E22" s="73"/>
      <c r="F22" s="73"/>
      <c r="G22" s="73"/>
      <c r="H22" s="73"/>
      <c r="I22" s="77"/>
    </row>
    <row r="23" spans="2:15" x14ac:dyDescent="0.3">
      <c r="B23" s="53" t="s">
        <v>189</v>
      </c>
      <c r="C23" s="53" t="s">
        <v>80</v>
      </c>
      <c r="D23" s="172">
        <v>1287582.3603322699</v>
      </c>
      <c r="E23" s="53">
        <f>0.7*D23</f>
        <v>901307.65223258885</v>
      </c>
      <c r="F23" s="1" t="str">
        <f>+IF(D23&lt;E22,"piso suave","ok")</f>
        <v>ok</v>
      </c>
      <c r="G23" s="53">
        <f>0.9*D23</f>
        <v>1158824.1242990429</v>
      </c>
      <c r="H23" s="1"/>
      <c r="M23" s="53"/>
      <c r="N23" s="53"/>
      <c r="O23" s="53"/>
    </row>
    <row r="24" spans="2:15" x14ac:dyDescent="0.3">
      <c r="B24" s="53" t="s">
        <v>187</v>
      </c>
      <c r="C24" s="53" t="s">
        <v>80</v>
      </c>
      <c r="D24" s="172">
        <v>12881632.564411899</v>
      </c>
      <c r="E24" s="53">
        <f>0.7*D24</f>
        <v>9017142.7950883284</v>
      </c>
      <c r="F24" s="1" t="str">
        <f>+IF(D24&lt;E23,"piso suave","ok")</f>
        <v>ok</v>
      </c>
      <c r="G24" s="53">
        <f>0.9*D24</f>
        <v>11593469.30797071</v>
      </c>
      <c r="H24" s="1" t="str">
        <f>+IF(D24&lt;AVERAGE(G21:G23),"piso suave","ok")</f>
        <v>ok</v>
      </c>
      <c r="M24" s="53"/>
      <c r="N24" s="53"/>
      <c r="O24" s="53"/>
    </row>
    <row r="25" spans="2:15" x14ac:dyDescent="0.3">
      <c r="B25" s="53" t="s">
        <v>185</v>
      </c>
      <c r="C25" s="53" t="s">
        <v>80</v>
      </c>
      <c r="D25" s="172">
        <v>17358741.607269399</v>
      </c>
      <c r="E25" s="53">
        <f>0.7*D25</f>
        <v>12151119.125088578</v>
      </c>
      <c r="F25" s="1" t="str">
        <f>+IF(D25&lt;E24,"piso suave","ok")</f>
        <v>ok</v>
      </c>
      <c r="G25" s="53">
        <f>0.9*D25</f>
        <v>15622867.446542459</v>
      </c>
      <c r="H25" s="1" t="str">
        <f>+IF(D25&lt;AVERAGE(G22:G24),"piso suave","ok")</f>
        <v>ok</v>
      </c>
      <c r="M25" s="53"/>
      <c r="N25" s="53"/>
      <c r="O25" s="53"/>
    </row>
    <row r="26" spans="2:15" x14ac:dyDescent="0.3">
      <c r="B26" s="53" t="s">
        <v>183</v>
      </c>
      <c r="C26" s="53" t="s">
        <v>80</v>
      </c>
      <c r="D26" s="172">
        <v>19212355.347254001</v>
      </c>
      <c r="E26" s="53">
        <f>0.7*D26</f>
        <v>13448648.7430778</v>
      </c>
      <c r="F26" s="1" t="str">
        <f>+IF(D26&lt;E25,"piso suave","ok")</f>
        <v>ok</v>
      </c>
      <c r="G26" s="53">
        <f>0.9*D26</f>
        <v>17291119.812528603</v>
      </c>
      <c r="H26" s="1" t="str">
        <f>+IF(D26&lt;AVERAGE(G23:G25),"piso suave","ok")</f>
        <v>ok</v>
      </c>
      <c r="M26" s="53"/>
      <c r="N26" s="53"/>
      <c r="O26" s="53"/>
    </row>
    <row r="27" spans="2:15" x14ac:dyDescent="0.3">
      <c r="B27" s="53" t="s">
        <v>181</v>
      </c>
      <c r="C27" s="53" t="s">
        <v>80</v>
      </c>
      <c r="D27" s="172">
        <v>20299332.622290999</v>
      </c>
      <c r="E27" s="53">
        <f>0.7*D27</f>
        <v>14209532.835603699</v>
      </c>
      <c r="F27" s="1" t="str">
        <f>+IF(D27&lt;E26,"piso suave","ok")</f>
        <v>ok</v>
      </c>
      <c r="G27" s="53">
        <f>0.9*D27</f>
        <v>18269399.360061899</v>
      </c>
      <c r="H27" s="1" t="str">
        <f>+IF(D27&lt;AVERAGE(G24:G26),"piso suave","ok")</f>
        <v>ok</v>
      </c>
      <c r="M27" s="53"/>
      <c r="N27" s="53"/>
      <c r="O27" s="53"/>
    </row>
    <row r="28" spans="2:15" s="158" customFormat="1" x14ac:dyDescent="0.3">
      <c r="B28" s="53" t="s">
        <v>179</v>
      </c>
      <c r="C28" s="53" t="s">
        <v>80</v>
      </c>
      <c r="D28" s="172">
        <v>20909755.443300501</v>
      </c>
      <c r="E28" s="53">
        <f t="shared" ref="E28:E33" si="4">0.7*D28</f>
        <v>14636828.810310349</v>
      </c>
      <c r="F28" s="1" t="str">
        <f t="shared" ref="F28:F33" si="5">+IF(D28&lt;E27,"piso suave","ok")</f>
        <v>ok</v>
      </c>
      <c r="G28" s="53">
        <f t="shared" ref="G28:G33" si="6">0.9*D28</f>
        <v>18818779.898970451</v>
      </c>
      <c r="H28" s="1" t="str">
        <f t="shared" ref="H28:H33" si="7">+IF(D28&lt;AVERAGE(G25:G27),"piso suave","ok")</f>
        <v>ok</v>
      </c>
      <c r="I28" s="75"/>
      <c r="M28" s="53"/>
      <c r="N28" s="53"/>
      <c r="O28" s="53"/>
    </row>
    <row r="29" spans="2:15" s="158" customFormat="1" x14ac:dyDescent="0.3">
      <c r="B29" s="53" t="s">
        <v>39</v>
      </c>
      <c r="C29" s="53" t="s">
        <v>80</v>
      </c>
      <c r="D29" s="172">
        <v>22364182.204585198</v>
      </c>
      <c r="E29" s="53">
        <f t="shared" si="4"/>
        <v>15654927.543209638</v>
      </c>
      <c r="F29" s="1" t="str">
        <f t="shared" si="5"/>
        <v>ok</v>
      </c>
      <c r="G29" s="53">
        <f t="shared" si="6"/>
        <v>20127763.98412668</v>
      </c>
      <c r="H29" s="1" t="str">
        <f t="shared" si="7"/>
        <v>ok</v>
      </c>
      <c r="I29" s="75"/>
      <c r="M29" s="53"/>
      <c r="N29" s="53"/>
      <c r="O29" s="53"/>
    </row>
    <row r="30" spans="2:15" s="158" customFormat="1" x14ac:dyDescent="0.3">
      <c r="B30" s="53" t="s">
        <v>26</v>
      </c>
      <c r="C30" s="53" t="s">
        <v>80</v>
      </c>
      <c r="D30" s="172">
        <v>22986964.907396398</v>
      </c>
      <c r="E30" s="53">
        <f t="shared" si="4"/>
        <v>16090875.435177477</v>
      </c>
      <c r="F30" s="1" t="str">
        <f t="shared" si="5"/>
        <v>ok</v>
      </c>
      <c r="G30" s="53">
        <f t="shared" si="6"/>
        <v>20688268.416656759</v>
      </c>
      <c r="H30" s="1" t="str">
        <f t="shared" si="7"/>
        <v>ok</v>
      </c>
      <c r="I30" s="75"/>
      <c r="M30" s="53"/>
      <c r="N30" s="53"/>
      <c r="O30" s="53"/>
    </row>
    <row r="31" spans="2:15" s="158" customFormat="1" x14ac:dyDescent="0.3">
      <c r="B31" s="53" t="s">
        <v>25</v>
      </c>
      <c r="C31" s="53" t="s">
        <v>80</v>
      </c>
      <c r="D31" s="172">
        <v>23673341.842273399</v>
      </c>
      <c r="E31" s="53">
        <f t="shared" si="4"/>
        <v>16571339.289591378</v>
      </c>
      <c r="F31" s="1" t="str">
        <f t="shared" si="5"/>
        <v>ok</v>
      </c>
      <c r="G31" s="53">
        <f t="shared" si="6"/>
        <v>21306007.658046059</v>
      </c>
      <c r="H31" s="1" t="str">
        <f t="shared" si="7"/>
        <v>ok</v>
      </c>
      <c r="I31" s="75"/>
      <c r="M31" s="53"/>
      <c r="N31" s="53"/>
      <c r="O31" s="53"/>
    </row>
    <row r="32" spans="2:15" s="158" customFormat="1" x14ac:dyDescent="0.3">
      <c r="B32" s="53" t="s">
        <v>24</v>
      </c>
      <c r="C32" s="53" t="s">
        <v>80</v>
      </c>
      <c r="D32" s="172">
        <v>24579976.740446702</v>
      </c>
      <c r="E32" s="53">
        <f t="shared" si="4"/>
        <v>17205983.718312692</v>
      </c>
      <c r="F32" s="1" t="str">
        <f t="shared" si="5"/>
        <v>ok</v>
      </c>
      <c r="G32" s="53">
        <f t="shared" si="6"/>
        <v>22121979.066402033</v>
      </c>
      <c r="H32" s="1" t="str">
        <f t="shared" si="7"/>
        <v>ok</v>
      </c>
      <c r="I32" s="75"/>
      <c r="M32" s="53"/>
      <c r="N32" s="53"/>
      <c r="O32" s="53"/>
    </row>
    <row r="33" spans="2:19" s="158" customFormat="1" x14ac:dyDescent="0.3">
      <c r="B33" s="53" t="s">
        <v>22</v>
      </c>
      <c r="C33" s="53" t="s">
        <v>80</v>
      </c>
      <c r="D33" s="172">
        <v>25476353.062900901</v>
      </c>
      <c r="E33" s="53">
        <f t="shared" si="4"/>
        <v>17833447.144030631</v>
      </c>
      <c r="F33" s="1" t="str">
        <f t="shared" si="5"/>
        <v>ok</v>
      </c>
      <c r="G33" s="53">
        <f t="shared" si="6"/>
        <v>22928717.756610811</v>
      </c>
      <c r="H33" s="1" t="str">
        <f t="shared" si="7"/>
        <v>ok</v>
      </c>
      <c r="I33" s="75"/>
      <c r="M33" s="53"/>
      <c r="N33" s="53"/>
      <c r="O33" s="53"/>
    </row>
    <row r="36" spans="2:19" x14ac:dyDescent="0.3">
      <c r="B36" s="9" t="s">
        <v>81</v>
      </c>
    </row>
    <row r="37" spans="2:19" x14ac:dyDescent="0.3">
      <c r="B37" s="62" t="s">
        <v>93</v>
      </c>
      <c r="C37" s="63"/>
      <c r="D37" s="63"/>
      <c r="E37" s="63"/>
      <c r="F37" s="63"/>
      <c r="G37" s="63"/>
      <c r="H37" s="63"/>
    </row>
    <row r="38" spans="2:19" x14ac:dyDescent="0.3">
      <c r="B38" s="64" t="s">
        <v>9</v>
      </c>
      <c r="C38" s="64" t="s">
        <v>94</v>
      </c>
      <c r="D38" s="65" t="s">
        <v>96</v>
      </c>
      <c r="E38" s="71" t="s">
        <v>98</v>
      </c>
      <c r="F38" s="71"/>
      <c r="G38" s="71" t="s">
        <v>99</v>
      </c>
      <c r="H38" s="71"/>
    </row>
    <row r="39" spans="2:19" x14ac:dyDescent="0.3">
      <c r="B39" s="66"/>
      <c r="C39" s="66"/>
      <c r="D39" s="67" t="s">
        <v>97</v>
      </c>
      <c r="E39" s="73"/>
      <c r="F39" s="73"/>
      <c r="G39" s="73"/>
      <c r="H39" s="73"/>
    </row>
    <row r="40" spans="2:19" x14ac:dyDescent="0.3">
      <c r="B40" s="53" t="s">
        <v>189</v>
      </c>
      <c r="C40" s="53" t="s">
        <v>81</v>
      </c>
      <c r="D40" s="172">
        <v>585513.46197894402</v>
      </c>
      <c r="E40" s="53">
        <f>0.7*D40</f>
        <v>409859.4233852608</v>
      </c>
      <c r="F40" s="1" t="str">
        <f>+IF(D40&lt;E39,"piso suave","ok")</f>
        <v>ok</v>
      </c>
      <c r="G40" s="53">
        <f>0.9*D40</f>
        <v>526962.11578104959</v>
      </c>
      <c r="H40" s="1"/>
      <c r="N40" s="53"/>
      <c r="O40" s="53"/>
      <c r="P40" s="53"/>
      <c r="Q40" s="53"/>
      <c r="R40" s="53"/>
      <c r="S40" s="53"/>
    </row>
    <row r="41" spans="2:19" x14ac:dyDescent="0.3">
      <c r="B41" s="53" t="s">
        <v>187</v>
      </c>
      <c r="C41" s="53" t="s">
        <v>81</v>
      </c>
      <c r="D41" s="172">
        <v>7656939.3772270698</v>
      </c>
      <c r="E41" s="53">
        <f>0.7*D41</f>
        <v>5359857.5640589483</v>
      </c>
      <c r="F41" s="1" t="str">
        <f>+IF(D41&lt;E40,"piso suave","ok")</f>
        <v>ok</v>
      </c>
      <c r="G41" s="53">
        <f>0.9*D41</f>
        <v>6891245.4395043626</v>
      </c>
      <c r="H41" s="1" t="str">
        <f>+IF(D41&lt;AVERAGE(G38:G40),"piso suave","ok")</f>
        <v>ok</v>
      </c>
      <c r="N41" s="53"/>
      <c r="O41" s="53"/>
      <c r="P41" s="53"/>
      <c r="Q41" s="53"/>
      <c r="R41" s="53"/>
      <c r="S41" s="53"/>
    </row>
    <row r="42" spans="2:19" x14ac:dyDescent="0.3">
      <c r="B42" s="53" t="s">
        <v>185</v>
      </c>
      <c r="C42" s="53" t="s">
        <v>81</v>
      </c>
      <c r="D42" s="172">
        <v>11554383.4866329</v>
      </c>
      <c r="E42" s="53">
        <f>0.7*D42</f>
        <v>8088068.4406430293</v>
      </c>
      <c r="F42" s="1" t="str">
        <f>+IF(D42&lt;E41,"piso suave","ok")</f>
        <v>ok</v>
      </c>
      <c r="G42" s="53">
        <f>0.9*D42</f>
        <v>10398945.137969611</v>
      </c>
      <c r="H42" s="1" t="str">
        <f>+IF(D42&lt;AVERAGE(G39:G41),"piso suave","ok")</f>
        <v>ok</v>
      </c>
      <c r="N42" s="53"/>
      <c r="O42" s="53"/>
      <c r="P42" s="53"/>
      <c r="Q42" s="53"/>
      <c r="R42" s="53"/>
      <c r="S42" s="53"/>
    </row>
    <row r="43" spans="2:19" x14ac:dyDescent="0.3">
      <c r="B43" s="53" t="s">
        <v>183</v>
      </c>
      <c r="C43" s="53" t="s">
        <v>81</v>
      </c>
      <c r="D43" s="172">
        <v>13512766.906165499</v>
      </c>
      <c r="E43" s="53">
        <f>0.7*D43</f>
        <v>9458936.8343158495</v>
      </c>
      <c r="F43" s="1" t="str">
        <f>+IF(D43&lt;E42,"piso suave","ok")</f>
        <v>ok</v>
      </c>
      <c r="G43" s="53">
        <f>0.9*D43</f>
        <v>12161490.215548949</v>
      </c>
      <c r="H43" s="1" t="str">
        <f>+IF(D43&lt;AVERAGE(G40:G42),"piso suave","ok")</f>
        <v>ok</v>
      </c>
      <c r="N43" s="53"/>
      <c r="O43" s="53"/>
      <c r="P43" s="53"/>
      <c r="Q43" s="53"/>
      <c r="R43" s="53"/>
      <c r="S43" s="53"/>
    </row>
    <row r="44" spans="2:19" x14ac:dyDescent="0.3">
      <c r="B44" s="53" t="s">
        <v>181</v>
      </c>
      <c r="C44" s="53" t="s">
        <v>81</v>
      </c>
      <c r="D44" s="172">
        <v>14736802.2421731</v>
      </c>
      <c r="E44" s="53">
        <f>0.7*D44</f>
        <v>10315761.56952117</v>
      </c>
      <c r="F44" s="1" t="str">
        <f>+IF(D44&lt;E43,"piso suave","ok")</f>
        <v>ok</v>
      </c>
      <c r="G44" s="53">
        <f>0.9*D44</f>
        <v>13263122.017955789</v>
      </c>
      <c r="H44" s="1" t="str">
        <f>+IF(D44&lt;AVERAGE(G41:G43),"piso suave","ok")</f>
        <v>ok</v>
      </c>
      <c r="N44" s="53"/>
      <c r="O44" s="53"/>
      <c r="P44" s="53"/>
      <c r="Q44" s="53"/>
      <c r="R44" s="53"/>
      <c r="S44" s="53"/>
    </row>
    <row r="45" spans="2:19" s="158" customFormat="1" x14ac:dyDescent="0.3">
      <c r="B45" s="53" t="s">
        <v>179</v>
      </c>
      <c r="C45" s="53" t="s">
        <v>81</v>
      </c>
      <c r="D45" s="172">
        <v>15677860.917866001</v>
      </c>
      <c r="E45" s="53">
        <f t="shared" ref="E45:E50" si="8">0.7*D45</f>
        <v>10974502.642506201</v>
      </c>
      <c r="F45" s="1" t="str">
        <f t="shared" ref="F45:F50" si="9">+IF(D45&lt;E44,"piso suave","ok")</f>
        <v>ok</v>
      </c>
      <c r="G45" s="53">
        <f t="shared" ref="G45:G50" si="10">0.9*D45</f>
        <v>14110074.8260794</v>
      </c>
      <c r="H45" s="1" t="str">
        <f t="shared" ref="H45:H50" si="11">+IF(D45&lt;AVERAGE(G42:G44),"piso suave","ok")</f>
        <v>ok</v>
      </c>
      <c r="I45" s="75"/>
      <c r="N45" s="53"/>
      <c r="O45" s="53"/>
      <c r="P45" s="53"/>
      <c r="Q45" s="53"/>
      <c r="R45" s="53"/>
      <c r="S45" s="53"/>
    </row>
    <row r="46" spans="2:19" s="158" customFormat="1" x14ac:dyDescent="0.3">
      <c r="B46" s="53" t="s">
        <v>39</v>
      </c>
      <c r="C46" s="53" t="s">
        <v>81</v>
      </c>
      <c r="D46" s="172">
        <v>16568466.271083299</v>
      </c>
      <c r="E46" s="53">
        <f t="shared" si="8"/>
        <v>11597926.389758309</v>
      </c>
      <c r="F46" s="1" t="str">
        <f t="shared" si="9"/>
        <v>ok</v>
      </c>
      <c r="G46" s="53">
        <f t="shared" si="10"/>
        <v>14911619.643974969</v>
      </c>
      <c r="H46" s="1" t="str">
        <f t="shared" si="11"/>
        <v>ok</v>
      </c>
      <c r="I46" s="75"/>
      <c r="N46" s="53"/>
      <c r="O46" s="53"/>
      <c r="P46" s="53"/>
      <c r="Q46" s="53"/>
      <c r="R46" s="53"/>
      <c r="S46" s="53"/>
    </row>
    <row r="47" spans="2:19" s="158" customFormat="1" x14ac:dyDescent="0.3">
      <c r="B47" s="53" t="s">
        <v>26</v>
      </c>
      <c r="C47" s="53" t="s">
        <v>81</v>
      </c>
      <c r="D47" s="172">
        <v>17424789.9979566</v>
      </c>
      <c r="E47" s="53">
        <f t="shared" si="8"/>
        <v>12197352.998569619</v>
      </c>
      <c r="F47" s="1" t="str">
        <f t="shared" si="9"/>
        <v>ok</v>
      </c>
      <c r="G47" s="53">
        <f t="shared" si="10"/>
        <v>15682310.99816094</v>
      </c>
      <c r="H47" s="1" t="str">
        <f t="shared" si="11"/>
        <v>ok</v>
      </c>
      <c r="I47" s="75"/>
      <c r="N47" s="53"/>
      <c r="O47" s="53"/>
      <c r="P47" s="53"/>
      <c r="Q47" s="53"/>
      <c r="R47" s="53"/>
      <c r="S47" s="53"/>
    </row>
    <row r="48" spans="2:19" s="158" customFormat="1" x14ac:dyDescent="0.3">
      <c r="B48" s="53" t="s">
        <v>25</v>
      </c>
      <c r="C48" s="53" t="s">
        <v>81</v>
      </c>
      <c r="D48" s="172">
        <v>18413514.393461201</v>
      </c>
      <c r="E48" s="53">
        <f t="shared" si="8"/>
        <v>12889460.07542284</v>
      </c>
      <c r="F48" s="1" t="str">
        <f t="shared" si="9"/>
        <v>ok</v>
      </c>
      <c r="G48" s="53">
        <f t="shared" si="10"/>
        <v>16572162.954115082</v>
      </c>
      <c r="H48" s="1" t="str">
        <f t="shared" si="11"/>
        <v>ok</v>
      </c>
      <c r="I48" s="75"/>
      <c r="N48" s="53"/>
      <c r="O48" s="53"/>
      <c r="P48" s="53"/>
      <c r="Q48" s="53"/>
      <c r="R48" s="53"/>
      <c r="S48" s="53"/>
    </row>
    <row r="49" spans="2:19" s="158" customFormat="1" x14ac:dyDescent="0.3">
      <c r="B49" s="53" t="s">
        <v>24</v>
      </c>
      <c r="C49" s="53" t="s">
        <v>81</v>
      </c>
      <c r="D49" s="172">
        <v>19556190.7578003</v>
      </c>
      <c r="E49" s="53">
        <f t="shared" si="8"/>
        <v>13689333.530460209</v>
      </c>
      <c r="F49" s="1" t="str">
        <f t="shared" si="9"/>
        <v>ok</v>
      </c>
      <c r="G49" s="53">
        <f t="shared" si="10"/>
        <v>17600571.682020269</v>
      </c>
      <c r="H49" s="1" t="str">
        <f t="shared" si="11"/>
        <v>ok</v>
      </c>
      <c r="I49" s="75"/>
      <c r="N49" s="53"/>
      <c r="O49" s="53"/>
      <c r="P49" s="53"/>
      <c r="Q49" s="53"/>
      <c r="R49" s="53"/>
      <c r="S49" s="53"/>
    </row>
    <row r="50" spans="2:19" s="158" customFormat="1" x14ac:dyDescent="0.3">
      <c r="B50" s="53" t="s">
        <v>22</v>
      </c>
      <c r="C50" s="53" t="s">
        <v>81</v>
      </c>
      <c r="D50" s="172">
        <v>22384597.7055539</v>
      </c>
      <c r="E50" s="53">
        <f t="shared" si="8"/>
        <v>15669218.393887728</v>
      </c>
      <c r="F50" s="1" t="str">
        <f t="shared" si="9"/>
        <v>ok</v>
      </c>
      <c r="G50" s="53">
        <f t="shared" si="10"/>
        <v>20146137.934998512</v>
      </c>
      <c r="H50" s="1" t="str">
        <f t="shared" si="11"/>
        <v>ok</v>
      </c>
      <c r="I50" s="75"/>
      <c r="N50" s="53"/>
      <c r="O50" s="53"/>
      <c r="P50" s="53"/>
      <c r="Q50" s="53"/>
      <c r="R50" s="53"/>
      <c r="S50" s="53"/>
    </row>
    <row r="53" spans="2:19" x14ac:dyDescent="0.3">
      <c r="B53" s="9" t="s">
        <v>82</v>
      </c>
    </row>
    <row r="54" spans="2:19" x14ac:dyDescent="0.3">
      <c r="B54" s="69" t="s">
        <v>93</v>
      </c>
      <c r="C54" s="70"/>
      <c r="D54" s="70"/>
      <c r="E54" s="70"/>
      <c r="F54" s="70"/>
      <c r="G54" s="70"/>
      <c r="H54" s="70"/>
    </row>
    <row r="55" spans="2:19" x14ac:dyDescent="0.3">
      <c r="B55" s="71" t="s">
        <v>9</v>
      </c>
      <c r="C55" s="71" t="s">
        <v>94</v>
      </c>
      <c r="D55" s="72" t="s">
        <v>96</v>
      </c>
      <c r="E55" s="71" t="s">
        <v>98</v>
      </c>
      <c r="F55" s="71"/>
      <c r="G55" s="71" t="s">
        <v>99</v>
      </c>
      <c r="H55" s="71"/>
    </row>
    <row r="56" spans="2:19" x14ac:dyDescent="0.3">
      <c r="B56" s="73"/>
      <c r="C56" s="73"/>
      <c r="D56" s="74" t="s">
        <v>97</v>
      </c>
      <c r="E56" s="73"/>
      <c r="F56" s="73"/>
      <c r="G56" s="73"/>
      <c r="H56" s="73"/>
    </row>
    <row r="57" spans="2:19" x14ac:dyDescent="0.3">
      <c r="B57" s="53" t="s">
        <v>189</v>
      </c>
      <c r="C57" s="53" t="s">
        <v>82</v>
      </c>
      <c r="D57" s="172">
        <v>678536.06242399395</v>
      </c>
      <c r="E57" s="53">
        <f>0.7*D57</f>
        <v>474975.24369679572</v>
      </c>
      <c r="F57" s="1" t="str">
        <f>+IF(D57&lt;E56,"piso suave","ok")</f>
        <v>ok</v>
      </c>
      <c r="G57" s="53">
        <f>0.9*D57</f>
        <v>610682.45618159452</v>
      </c>
      <c r="H57" s="1"/>
      <c r="L57" s="53"/>
      <c r="M57" s="53"/>
      <c r="N57" s="53"/>
      <c r="O57" s="53"/>
      <c r="P57" s="53"/>
      <c r="Q57" s="53"/>
    </row>
    <row r="58" spans="2:19" x14ac:dyDescent="0.3">
      <c r="B58" s="53" t="s">
        <v>187</v>
      </c>
      <c r="C58" s="53" t="s">
        <v>82</v>
      </c>
      <c r="D58" s="172">
        <v>8114401.2989267102</v>
      </c>
      <c r="E58" s="53">
        <f>0.7*D58</f>
        <v>5680080.9092486966</v>
      </c>
      <c r="F58" s="1" t="str">
        <f>+IF(D58&lt;E57,"piso suave","ok")</f>
        <v>ok</v>
      </c>
      <c r="G58" s="53">
        <f>0.9*D58</f>
        <v>7302961.1690340396</v>
      </c>
      <c r="H58" s="1" t="str">
        <f>+IF(D58&lt;AVERAGE(G55:G57),"piso suave","ok")</f>
        <v>ok</v>
      </c>
      <c r="L58" s="53"/>
      <c r="M58" s="53"/>
      <c r="N58" s="53"/>
      <c r="O58" s="53"/>
      <c r="P58" s="53"/>
      <c r="Q58" s="53"/>
    </row>
    <row r="59" spans="2:19" x14ac:dyDescent="0.3">
      <c r="B59" s="53" t="s">
        <v>185</v>
      </c>
      <c r="C59" s="53" t="s">
        <v>82</v>
      </c>
      <c r="D59" s="172">
        <v>12072186.537186099</v>
      </c>
      <c r="E59" s="53">
        <f>0.7*D59</f>
        <v>8450530.5760302693</v>
      </c>
      <c r="F59" s="1" t="str">
        <f>+IF(D59&lt;E58,"piso suave","ok")</f>
        <v>ok</v>
      </c>
      <c r="G59" s="53">
        <f>0.9*D59</f>
        <v>10864967.88346749</v>
      </c>
      <c r="H59" s="1" t="str">
        <f>+IF(D59&lt;AVERAGE(G56:G58),"piso suave","ok")</f>
        <v>ok</v>
      </c>
      <c r="L59" s="53"/>
      <c r="M59" s="53"/>
      <c r="N59" s="53"/>
      <c r="O59" s="53"/>
      <c r="P59" s="53"/>
      <c r="Q59" s="53"/>
    </row>
    <row r="60" spans="2:19" x14ac:dyDescent="0.3">
      <c r="B60" s="53" t="s">
        <v>183</v>
      </c>
      <c r="C60" s="53" t="s">
        <v>82</v>
      </c>
      <c r="D60" s="172">
        <v>14088325.9245912</v>
      </c>
      <c r="E60" s="53">
        <f>0.7*D60</f>
        <v>9861828.147213839</v>
      </c>
      <c r="F60" s="1" t="str">
        <f>+IF(D60&lt;E59,"piso suave","ok")</f>
        <v>ok</v>
      </c>
      <c r="G60" s="53">
        <f>0.9*D60</f>
        <v>12679493.332132081</v>
      </c>
      <c r="H60" s="1" t="str">
        <f>+IF(D60&lt;AVERAGE(G57:G59),"piso suave","ok")</f>
        <v>ok</v>
      </c>
      <c r="L60" s="53"/>
      <c r="M60" s="53"/>
      <c r="N60" s="53"/>
      <c r="O60" s="53"/>
      <c r="P60" s="53"/>
      <c r="Q60" s="53"/>
    </row>
    <row r="61" spans="2:19" x14ac:dyDescent="0.3">
      <c r="B61" s="53" t="s">
        <v>181</v>
      </c>
      <c r="C61" s="53" t="s">
        <v>82</v>
      </c>
      <c r="D61" s="172">
        <v>15584215.5943787</v>
      </c>
      <c r="E61" s="53">
        <f>0.7*D61</f>
        <v>10908950.916065089</v>
      </c>
      <c r="F61" s="1" t="str">
        <f>+IF(D61&lt;E60,"piso suave","ok")</f>
        <v>ok</v>
      </c>
      <c r="G61" s="53">
        <f>0.9*D61</f>
        <v>14025794.034940831</v>
      </c>
      <c r="H61" s="1" t="str">
        <f>+IF(D61&lt;AVERAGE(G58:G60),"piso suave","ok")</f>
        <v>ok</v>
      </c>
      <c r="L61" s="53"/>
      <c r="M61" s="53"/>
      <c r="N61" s="53"/>
      <c r="O61" s="53"/>
      <c r="P61" s="53"/>
      <c r="Q61" s="53"/>
    </row>
    <row r="62" spans="2:19" x14ac:dyDescent="0.3">
      <c r="B62" s="53" t="s">
        <v>179</v>
      </c>
      <c r="C62" s="53" t="s">
        <v>82</v>
      </c>
      <c r="D62" s="172">
        <v>16359605.7047485</v>
      </c>
      <c r="E62" s="53">
        <f t="shared" ref="E62:E67" si="12">0.7*D62</f>
        <v>11451723.99332395</v>
      </c>
      <c r="F62" s="1" t="str">
        <f t="shared" ref="F62:F67" si="13">+IF(D62&lt;E61,"piso suave","ok")</f>
        <v>ok</v>
      </c>
      <c r="G62" s="53">
        <f t="shared" ref="G62:G67" si="14">0.9*D62</f>
        <v>14723645.13427365</v>
      </c>
      <c r="H62" s="1" t="str">
        <f t="shared" ref="H62:H67" si="15">+IF(D62&lt;AVERAGE(G59:G61),"piso suave","ok")</f>
        <v>ok</v>
      </c>
      <c r="L62" s="53"/>
      <c r="M62" s="53"/>
      <c r="N62" s="53"/>
      <c r="O62" s="53"/>
      <c r="P62" s="53"/>
      <c r="Q62" s="53"/>
    </row>
    <row r="63" spans="2:19" x14ac:dyDescent="0.3">
      <c r="B63" s="53" t="s">
        <v>39</v>
      </c>
      <c r="C63" s="53" t="s">
        <v>82</v>
      </c>
      <c r="D63" s="172">
        <v>17086180.6018776</v>
      </c>
      <c r="E63" s="53">
        <f t="shared" si="12"/>
        <v>11960326.42131432</v>
      </c>
      <c r="F63" s="1" t="str">
        <f t="shared" si="13"/>
        <v>ok</v>
      </c>
      <c r="G63" s="53">
        <f t="shared" si="14"/>
        <v>15377562.541689841</v>
      </c>
      <c r="H63" s="1" t="str">
        <f t="shared" si="15"/>
        <v>ok</v>
      </c>
      <c r="L63" s="53"/>
      <c r="M63" s="53"/>
      <c r="N63" s="53"/>
      <c r="O63" s="53"/>
      <c r="P63" s="53"/>
      <c r="Q63" s="53"/>
    </row>
    <row r="64" spans="2:19" x14ac:dyDescent="0.3">
      <c r="B64" s="53" t="s">
        <v>26</v>
      </c>
      <c r="C64" s="53" t="s">
        <v>82</v>
      </c>
      <c r="D64" s="172">
        <v>17838063.751457199</v>
      </c>
      <c r="E64" s="53">
        <f t="shared" si="12"/>
        <v>12486644.626020039</v>
      </c>
      <c r="F64" s="1" t="str">
        <f t="shared" si="13"/>
        <v>ok</v>
      </c>
      <c r="G64" s="53">
        <f t="shared" si="14"/>
        <v>16054257.376311479</v>
      </c>
      <c r="H64" s="1" t="str">
        <f t="shared" si="15"/>
        <v>ok</v>
      </c>
      <c r="L64" s="53"/>
      <c r="M64" s="53"/>
      <c r="N64" s="53"/>
      <c r="O64" s="53"/>
      <c r="P64" s="53"/>
      <c r="Q64" s="53"/>
    </row>
    <row r="65" spans="2:17" x14ac:dyDescent="0.3">
      <c r="B65" s="53" t="s">
        <v>25</v>
      </c>
      <c r="C65" s="53" t="s">
        <v>82</v>
      </c>
      <c r="D65" s="172">
        <v>18723481.212248899</v>
      </c>
      <c r="E65" s="53">
        <f t="shared" si="12"/>
        <v>13106436.848574229</v>
      </c>
      <c r="F65" s="1" t="str">
        <f t="shared" si="13"/>
        <v>ok</v>
      </c>
      <c r="G65" s="53">
        <f t="shared" si="14"/>
        <v>16851133.091024011</v>
      </c>
      <c r="H65" s="1" t="str">
        <f t="shared" si="15"/>
        <v>ok</v>
      </c>
      <c r="L65" s="53"/>
      <c r="M65" s="53"/>
      <c r="N65" s="53"/>
      <c r="O65" s="53"/>
      <c r="P65" s="53"/>
      <c r="Q65" s="53"/>
    </row>
    <row r="66" spans="2:17" x14ac:dyDescent="0.3">
      <c r="B66" s="53" t="s">
        <v>24</v>
      </c>
      <c r="C66" s="53" t="s">
        <v>82</v>
      </c>
      <c r="D66" s="172">
        <v>20201373.374770101</v>
      </c>
      <c r="E66" s="53">
        <f t="shared" si="12"/>
        <v>14140961.36233907</v>
      </c>
      <c r="F66" s="1" t="str">
        <f t="shared" si="13"/>
        <v>ok</v>
      </c>
      <c r="G66" s="53">
        <f t="shared" si="14"/>
        <v>18181236.037293091</v>
      </c>
      <c r="H66" s="1" t="str">
        <f t="shared" si="15"/>
        <v>ok</v>
      </c>
      <c r="L66" s="53"/>
      <c r="M66" s="53"/>
      <c r="N66" s="53"/>
      <c r="O66" s="53"/>
      <c r="P66" s="53"/>
      <c r="Q66" s="53"/>
    </row>
    <row r="67" spans="2:17" x14ac:dyDescent="0.3">
      <c r="B67" s="53" t="s">
        <v>22</v>
      </c>
      <c r="C67" s="53" t="s">
        <v>82</v>
      </c>
      <c r="D67" s="172">
        <v>22662106.8064567</v>
      </c>
      <c r="E67" s="53">
        <f t="shared" si="12"/>
        <v>15863474.76451969</v>
      </c>
      <c r="F67" s="1" t="str">
        <f t="shared" si="13"/>
        <v>ok</v>
      </c>
      <c r="G67" s="53">
        <f t="shared" si="14"/>
        <v>20395896.125811029</v>
      </c>
      <c r="H67" s="1" t="str">
        <f t="shared" si="15"/>
        <v>ok</v>
      </c>
      <c r="L67" s="53"/>
      <c r="M67" s="53"/>
      <c r="N67" s="53"/>
      <c r="O67" s="53"/>
      <c r="P67" s="53"/>
      <c r="Q67" s="53"/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B2:H18"/>
  <sheetViews>
    <sheetView workbookViewId="0">
      <selection activeCell="L33" sqref="L33"/>
    </sheetView>
  </sheetViews>
  <sheetFormatPr baseColWidth="10" defaultRowHeight="14.4" x14ac:dyDescent="0.3"/>
  <sheetData>
    <row r="2" spans="2:8" x14ac:dyDescent="0.3">
      <c r="B2" s="79" t="s">
        <v>103</v>
      </c>
    </row>
    <row r="4" spans="2:8" x14ac:dyDescent="0.3">
      <c r="B4" s="69" t="s">
        <v>8</v>
      </c>
      <c r="C4" s="70"/>
      <c r="D4" s="70"/>
      <c r="E4" s="70"/>
      <c r="F4" s="70"/>
      <c r="G4" s="70"/>
      <c r="H4" s="70"/>
    </row>
    <row r="5" spans="2:8" x14ac:dyDescent="0.3">
      <c r="B5" s="71" t="s">
        <v>9</v>
      </c>
      <c r="C5" s="71" t="s">
        <v>10</v>
      </c>
      <c r="D5" s="71" t="s">
        <v>11</v>
      </c>
      <c r="E5" s="71" t="s">
        <v>12</v>
      </c>
      <c r="F5" s="71" t="s">
        <v>40</v>
      </c>
      <c r="G5" s="80" t="s">
        <v>102</v>
      </c>
      <c r="H5" s="80" t="s">
        <v>74</v>
      </c>
    </row>
    <row r="6" spans="2:8" x14ac:dyDescent="0.3">
      <c r="B6" s="73"/>
      <c r="C6" s="73"/>
      <c r="D6" s="73" t="s">
        <v>21</v>
      </c>
      <c r="E6" s="73" t="s">
        <v>21</v>
      </c>
      <c r="F6" s="73" t="s">
        <v>41</v>
      </c>
      <c r="G6" s="81" t="s">
        <v>41</v>
      </c>
      <c r="H6" s="81"/>
    </row>
    <row r="7" spans="2:8" x14ac:dyDescent="0.3">
      <c r="B7" s="158" t="s">
        <v>189</v>
      </c>
      <c r="C7" s="158" t="s">
        <v>190</v>
      </c>
      <c r="D7" s="158">
        <f>+'Centers of Mass and Rigidity'!D5</f>
        <v>782.285475187766</v>
      </c>
      <c r="E7" s="171">
        <f>+'Centers of Mass and Rigidity'!E5</f>
        <v>782.285475187766</v>
      </c>
      <c r="F7" s="68">
        <f>+E7*9.807</f>
        <v>7671.8736551664215</v>
      </c>
      <c r="G7">
        <f>1.5*F7</f>
        <v>11507.810482749632</v>
      </c>
      <c r="H7" t="str">
        <f>+IF(F7&gt;G8,"Irregular","ok")</f>
        <v>ok</v>
      </c>
    </row>
    <row r="8" spans="2:8" x14ac:dyDescent="0.3">
      <c r="B8" s="158" t="s">
        <v>187</v>
      </c>
      <c r="C8" s="158" t="s">
        <v>188</v>
      </c>
      <c r="D8" s="171">
        <f>+'Centers of Mass and Rigidity'!D6</f>
        <v>7773.7607542236701</v>
      </c>
      <c r="E8" s="171">
        <f>+'Centers of Mass and Rigidity'!E6</f>
        <v>7773.7607542236701</v>
      </c>
      <c r="F8" s="68">
        <f t="shared" ref="F8:F17" si="0">+E8*9.807</f>
        <v>76237.27171667153</v>
      </c>
      <c r="G8" s="68">
        <f t="shared" ref="G8:G17" si="1">1.5*F8</f>
        <v>114355.9075750073</v>
      </c>
      <c r="H8" t="str">
        <f>+IF(F8&gt;G9,"Irregular","ok")</f>
        <v>ok</v>
      </c>
    </row>
    <row r="9" spans="2:8" x14ac:dyDescent="0.3">
      <c r="B9" s="158" t="s">
        <v>185</v>
      </c>
      <c r="C9" s="158" t="s">
        <v>186</v>
      </c>
      <c r="D9" s="171">
        <f>+'Centers of Mass and Rigidity'!D7</f>
        <v>9601.8546506449293</v>
      </c>
      <c r="E9" s="171">
        <f>+'Centers of Mass and Rigidity'!E7</f>
        <v>9601.8546506449293</v>
      </c>
      <c r="F9" s="68">
        <f t="shared" si="0"/>
        <v>94165.388558874824</v>
      </c>
      <c r="G9" s="68">
        <f t="shared" si="1"/>
        <v>141248.08283831223</v>
      </c>
      <c r="H9" s="68" t="str">
        <f>+IF(F9&gt;G10,"Irregular",IF(F9&gt;G8,"Irregular","ok"))</f>
        <v>ok</v>
      </c>
    </row>
    <row r="10" spans="2:8" x14ac:dyDescent="0.3">
      <c r="B10" s="158" t="s">
        <v>183</v>
      </c>
      <c r="C10" s="158" t="s">
        <v>184</v>
      </c>
      <c r="D10" s="171">
        <f>+'Centers of Mass and Rigidity'!D8</f>
        <v>9601.8546506449293</v>
      </c>
      <c r="E10" s="171">
        <f>+'Centers of Mass and Rigidity'!E8</f>
        <v>9601.8546506449293</v>
      </c>
      <c r="F10" s="68">
        <f t="shared" si="0"/>
        <v>94165.388558874824</v>
      </c>
      <c r="G10" s="68">
        <f t="shared" si="1"/>
        <v>141248.08283831223</v>
      </c>
      <c r="H10" s="68" t="str">
        <f>+IF(F10&gt;G11,"Irregular",IF(F10&gt;G9,"Irregular","ok"))</f>
        <v>ok</v>
      </c>
    </row>
    <row r="11" spans="2:8" x14ac:dyDescent="0.3">
      <c r="B11" s="158" t="s">
        <v>181</v>
      </c>
      <c r="C11" s="158" t="s">
        <v>182</v>
      </c>
      <c r="D11" s="171">
        <f>+'Centers of Mass and Rigidity'!D9</f>
        <v>9601.8546506449293</v>
      </c>
      <c r="E11" s="171">
        <f>+'Centers of Mass and Rigidity'!E9</f>
        <v>9601.8546506449293</v>
      </c>
      <c r="F11" s="68">
        <f t="shared" si="0"/>
        <v>94165.388558874824</v>
      </c>
      <c r="G11" s="68">
        <f t="shared" si="1"/>
        <v>141248.08283831223</v>
      </c>
      <c r="H11" s="68" t="str">
        <f>+IF(F11&gt;G10,"Irregular","ok")</f>
        <v>ok</v>
      </c>
    </row>
    <row r="12" spans="2:8" x14ac:dyDescent="0.3">
      <c r="B12" s="158" t="s">
        <v>179</v>
      </c>
      <c r="C12" s="158" t="s">
        <v>180</v>
      </c>
      <c r="D12" s="171">
        <f>+'Centers of Mass and Rigidity'!D10</f>
        <v>9601.8546506449293</v>
      </c>
      <c r="E12" s="171">
        <f>+'Centers of Mass and Rigidity'!E10</f>
        <v>9601.8546506449293</v>
      </c>
      <c r="F12" s="158">
        <f t="shared" si="0"/>
        <v>94165.388558874824</v>
      </c>
      <c r="G12" s="158">
        <f t="shared" si="1"/>
        <v>141248.08283831223</v>
      </c>
      <c r="H12" s="158" t="str">
        <f t="shared" ref="H12:H17" si="2">+IF(F12&gt;G11,"Irregular","ok")</f>
        <v>ok</v>
      </c>
    </row>
    <row r="13" spans="2:8" x14ac:dyDescent="0.3">
      <c r="B13" s="158" t="s">
        <v>39</v>
      </c>
      <c r="C13" s="158" t="s">
        <v>178</v>
      </c>
      <c r="D13" s="171">
        <f>+'Centers of Mass and Rigidity'!D11</f>
        <v>9601.8546506449293</v>
      </c>
      <c r="E13" s="171">
        <f>+'Centers of Mass and Rigidity'!E11</f>
        <v>9601.8546506449293</v>
      </c>
      <c r="F13" s="158">
        <f t="shared" si="0"/>
        <v>94165.388558874824</v>
      </c>
      <c r="G13" s="158">
        <f t="shared" si="1"/>
        <v>141248.08283831223</v>
      </c>
      <c r="H13" s="158" t="str">
        <f t="shared" si="2"/>
        <v>ok</v>
      </c>
    </row>
    <row r="14" spans="2:8" x14ac:dyDescent="0.3">
      <c r="B14" s="158" t="s">
        <v>26</v>
      </c>
      <c r="C14" s="158" t="s">
        <v>177</v>
      </c>
      <c r="D14" s="171">
        <f>+'Centers of Mass and Rigidity'!D12</f>
        <v>9735.4782604737593</v>
      </c>
      <c r="E14" s="171">
        <f>+'Centers of Mass and Rigidity'!E12</f>
        <v>9735.4782604737593</v>
      </c>
      <c r="F14" s="158">
        <f t="shared" si="0"/>
        <v>95475.835300466162</v>
      </c>
      <c r="G14" s="158">
        <f t="shared" si="1"/>
        <v>143213.75295069924</v>
      </c>
      <c r="H14" s="158" t="str">
        <f t="shared" si="2"/>
        <v>ok</v>
      </c>
    </row>
    <row r="15" spans="2:8" x14ac:dyDescent="0.3">
      <c r="B15" s="158" t="s">
        <v>25</v>
      </c>
      <c r="C15" s="158" t="s">
        <v>176</v>
      </c>
      <c r="D15" s="171">
        <f>+'Centers of Mass and Rigidity'!D13</f>
        <v>9735.4782604737593</v>
      </c>
      <c r="E15" s="171">
        <f>+'Centers of Mass and Rigidity'!E13</f>
        <v>9735.4782604737593</v>
      </c>
      <c r="F15" s="158">
        <f t="shared" si="0"/>
        <v>95475.835300466162</v>
      </c>
      <c r="G15" s="158">
        <f t="shared" si="1"/>
        <v>143213.75295069924</v>
      </c>
      <c r="H15" s="158" t="str">
        <f t="shared" si="2"/>
        <v>ok</v>
      </c>
    </row>
    <row r="16" spans="2:8" x14ac:dyDescent="0.3">
      <c r="B16" s="158" t="s">
        <v>24</v>
      </c>
      <c r="C16" s="158" t="s">
        <v>175</v>
      </c>
      <c r="D16" s="171">
        <f>+'Centers of Mass and Rigidity'!D14</f>
        <v>9735.4782604737593</v>
      </c>
      <c r="E16" s="171">
        <f>+'Centers of Mass and Rigidity'!E14</f>
        <v>9735.4782604737593</v>
      </c>
      <c r="F16" s="158">
        <f t="shared" si="0"/>
        <v>95475.835300466162</v>
      </c>
      <c r="G16" s="158">
        <f t="shared" si="1"/>
        <v>143213.75295069924</v>
      </c>
      <c r="H16" s="158" t="str">
        <f t="shared" si="2"/>
        <v>ok</v>
      </c>
    </row>
    <row r="17" spans="2:8" x14ac:dyDescent="0.3">
      <c r="B17" s="158" t="s">
        <v>22</v>
      </c>
      <c r="C17" s="158" t="s">
        <v>23</v>
      </c>
      <c r="D17" s="171">
        <f>+'Centers of Mass and Rigidity'!D15</f>
        <v>10083.7557378324</v>
      </c>
      <c r="E17" s="171">
        <f>+'Centers of Mass and Rigidity'!E15</f>
        <v>10083.7557378324</v>
      </c>
      <c r="F17" s="158">
        <f t="shared" si="0"/>
        <v>98891.392520922353</v>
      </c>
      <c r="G17" s="158">
        <f t="shared" si="1"/>
        <v>148337.08878138353</v>
      </c>
      <c r="H17" s="158" t="str">
        <f t="shared" si="2"/>
        <v>ok</v>
      </c>
    </row>
    <row r="18" spans="2:8" x14ac:dyDescent="0.3">
      <c r="E18" s="133" t="s">
        <v>3</v>
      </c>
      <c r="F18">
        <f>SUM(F7:F17)</f>
        <v>940054.98658853292</v>
      </c>
      <c r="G18">
        <f>1.5*F18</f>
        <v>1410082.4798827993</v>
      </c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B2:P117"/>
  <sheetViews>
    <sheetView topLeftCell="A70" zoomScale="80" zoomScaleNormal="80" workbookViewId="0">
      <selection activeCell="K6" sqref="K6"/>
    </sheetView>
  </sheetViews>
  <sheetFormatPr baseColWidth="10" defaultRowHeight="14.4" x14ac:dyDescent="0.3"/>
  <cols>
    <col min="3" max="3" width="18.33203125" customWidth="1"/>
    <col min="9" max="9" width="17.21875" customWidth="1"/>
    <col min="10" max="10" width="13.44140625" customWidth="1"/>
    <col min="12" max="12" width="14.109375" customWidth="1"/>
    <col min="13" max="13" width="14" customWidth="1"/>
  </cols>
  <sheetData>
    <row r="2" spans="2:10" x14ac:dyDescent="0.3">
      <c r="B2" s="84" t="s">
        <v>45</v>
      </c>
      <c r="C2" s="85"/>
      <c r="D2" s="85"/>
      <c r="E2" s="85"/>
      <c r="F2" s="85"/>
      <c r="G2" s="85"/>
      <c r="H2" s="85"/>
      <c r="I2" s="85"/>
      <c r="J2" s="85"/>
    </row>
    <row r="3" spans="2:10" x14ac:dyDescent="0.3">
      <c r="B3" s="86" t="s">
        <v>9</v>
      </c>
      <c r="C3" s="86" t="s">
        <v>46</v>
      </c>
      <c r="D3" s="86" t="s">
        <v>47</v>
      </c>
      <c r="E3" s="86" t="s">
        <v>48</v>
      </c>
      <c r="F3" s="86" t="s">
        <v>49</v>
      </c>
      <c r="G3" s="86" t="s">
        <v>50</v>
      </c>
      <c r="H3" s="86" t="s">
        <v>51</v>
      </c>
      <c r="I3" s="86" t="s">
        <v>52</v>
      </c>
      <c r="J3" s="87" t="s">
        <v>53</v>
      </c>
    </row>
    <row r="4" spans="2:10" x14ac:dyDescent="0.3">
      <c r="B4" s="88"/>
      <c r="C4" s="88"/>
      <c r="D4" s="88"/>
      <c r="E4" s="88" t="s">
        <v>43</v>
      </c>
      <c r="F4" s="88" t="s">
        <v>43</v>
      </c>
      <c r="G4" s="88" t="s">
        <v>43</v>
      </c>
      <c r="H4" s="88" t="s">
        <v>54</v>
      </c>
      <c r="I4" s="88" t="s">
        <v>54</v>
      </c>
      <c r="J4" s="89" t="s">
        <v>54</v>
      </c>
    </row>
    <row r="5" spans="2:10" x14ac:dyDescent="0.3">
      <c r="B5" s="172" t="s">
        <v>189</v>
      </c>
      <c r="C5" s="172" t="s">
        <v>243</v>
      </c>
      <c r="D5" s="172" t="s">
        <v>239</v>
      </c>
      <c r="E5" s="172">
        <v>17697.599999997099</v>
      </c>
      <c r="F5" s="172">
        <v>7.7239974416443097E-9</v>
      </c>
      <c r="G5" s="172">
        <v>3.77724518330069E-10</v>
      </c>
      <c r="H5" s="172">
        <v>-6.6897882788907703E-9</v>
      </c>
      <c r="I5" s="172">
        <v>35395.199999995602</v>
      </c>
      <c r="J5" s="172">
        <v>-327405.59999993001</v>
      </c>
    </row>
    <row r="6" spans="2:10" x14ac:dyDescent="0.3">
      <c r="B6" s="172" t="s">
        <v>187</v>
      </c>
      <c r="C6" s="172" t="s">
        <v>243</v>
      </c>
      <c r="D6" s="172" t="s">
        <v>239</v>
      </c>
      <c r="E6" s="172">
        <v>322142.756249887</v>
      </c>
      <c r="F6" s="172">
        <v>4.01170382247074E-7</v>
      </c>
      <c r="G6" s="172">
        <v>1.4030661077413201E-9</v>
      </c>
      <c r="H6" s="172">
        <v>-4.0082777559291597E-6</v>
      </c>
      <c r="I6" s="172">
        <v>2216481.20859301</v>
      </c>
      <c r="J6" s="172">
        <v>-2959468.3769506402</v>
      </c>
    </row>
    <row r="7" spans="2:10" x14ac:dyDescent="0.3">
      <c r="B7" s="172" t="s">
        <v>185</v>
      </c>
      <c r="C7" s="172" t="s">
        <v>243</v>
      </c>
      <c r="D7" s="172" t="s">
        <v>239</v>
      </c>
      <c r="E7" s="172">
        <v>621424.31249979802</v>
      </c>
      <c r="F7" s="172">
        <v>1.0934867304968099E-6</v>
      </c>
      <c r="G7" s="172">
        <v>-4.46408421339584E-9</v>
      </c>
      <c r="H7" s="172">
        <v>-8.4403013715928006E-6</v>
      </c>
      <c r="I7" s="172">
        <v>4358840.2171858503</v>
      </c>
      <c r="J7" s="172">
        <v>-5550351.4438992897</v>
      </c>
    </row>
    <row r="8" spans="2:10" x14ac:dyDescent="0.3">
      <c r="B8" s="172" t="s">
        <v>183</v>
      </c>
      <c r="C8" s="172" t="s">
        <v>243</v>
      </c>
      <c r="D8" s="172" t="s">
        <v>239</v>
      </c>
      <c r="E8" s="172">
        <v>920705.86874970596</v>
      </c>
      <c r="F8" s="172">
        <v>1.3762316939391901E-6</v>
      </c>
      <c r="G8" s="172">
        <v>-1.6824913018353998E-8</v>
      </c>
      <c r="H8" s="172">
        <v>-1.0106114132213399E-5</v>
      </c>
      <c r="I8" s="172">
        <v>6501199.2257789802</v>
      </c>
      <c r="J8" s="172">
        <v>-8141234.5108468104</v>
      </c>
    </row>
    <row r="9" spans="2:10" x14ac:dyDescent="0.3">
      <c r="B9" s="172" t="s">
        <v>181</v>
      </c>
      <c r="C9" s="172" t="s">
        <v>243</v>
      </c>
      <c r="D9" s="172" t="s">
        <v>239</v>
      </c>
      <c r="E9" s="172">
        <v>1219987.4249996501</v>
      </c>
      <c r="F9" s="172">
        <v>1.8566751123216799E-6</v>
      </c>
      <c r="G9" s="172">
        <v>-2.0511890852503701E-8</v>
      </c>
      <c r="H9" s="172">
        <v>-1.29614227262209E-5</v>
      </c>
      <c r="I9" s="172">
        <v>8643558.2343723197</v>
      </c>
      <c r="J9" s="172">
        <v>-10732117.577793</v>
      </c>
    </row>
    <row r="10" spans="2:10" s="158" customFormat="1" x14ac:dyDescent="0.3">
      <c r="B10" s="172" t="s">
        <v>179</v>
      </c>
      <c r="C10" s="172" t="s">
        <v>243</v>
      </c>
      <c r="D10" s="172" t="s">
        <v>239</v>
      </c>
      <c r="E10" s="172">
        <v>1519268.9812495899</v>
      </c>
      <c r="F10" s="172">
        <v>2.1592907160084E-6</v>
      </c>
      <c r="G10" s="172">
        <v>-2.4884570848371401E-8</v>
      </c>
      <c r="H10" s="172">
        <v>-1.477768046243E-5</v>
      </c>
      <c r="I10" s="172">
        <v>10785917.2429656</v>
      </c>
      <c r="J10" s="172">
        <v>-13323000.644738</v>
      </c>
    </row>
    <row r="11" spans="2:10" s="158" customFormat="1" x14ac:dyDescent="0.3">
      <c r="B11" s="172" t="s">
        <v>39</v>
      </c>
      <c r="C11" s="172" t="s">
        <v>243</v>
      </c>
      <c r="D11" s="172" t="s">
        <v>239</v>
      </c>
      <c r="E11" s="172">
        <v>1818550.53749954</v>
      </c>
      <c r="F11" s="172">
        <v>2.40945871610165E-6</v>
      </c>
      <c r="G11" s="172">
        <v>-2.8764986836904401E-8</v>
      </c>
      <c r="H11" s="172">
        <v>-1.6314162621711101E-5</v>
      </c>
      <c r="I11" s="172">
        <v>12928276.2515589</v>
      </c>
      <c r="J11" s="172">
        <v>-15913883.711682299</v>
      </c>
    </row>
    <row r="12" spans="2:10" s="158" customFormat="1" x14ac:dyDescent="0.3">
      <c r="B12" s="172" t="s">
        <v>26</v>
      </c>
      <c r="C12" s="172" t="s">
        <v>243</v>
      </c>
      <c r="D12" s="172" t="s">
        <v>239</v>
      </c>
      <c r="E12" s="172">
        <v>2119142.4937494998</v>
      </c>
      <c r="F12" s="172">
        <v>2.5083754735533101E-6</v>
      </c>
      <c r="G12" s="172">
        <v>-3.2622608614474302E-8</v>
      </c>
      <c r="H12" s="172">
        <v>-1.7439858766010699E-5</v>
      </c>
      <c r="I12" s="172">
        <v>15073256.0601524</v>
      </c>
      <c r="J12" s="172">
        <v>-18529009.178626399</v>
      </c>
    </row>
    <row r="13" spans="2:10" s="158" customFormat="1" x14ac:dyDescent="0.3">
      <c r="B13" s="172" t="s">
        <v>25</v>
      </c>
      <c r="C13" s="172" t="s">
        <v>243</v>
      </c>
      <c r="D13" s="172" t="s">
        <v>239</v>
      </c>
      <c r="E13" s="172">
        <v>2419734.44999944</v>
      </c>
      <c r="F13" s="172">
        <v>2.5911186867233499E-6</v>
      </c>
      <c r="G13" s="172">
        <v>-3.3778803754103097E-8</v>
      </c>
      <c r="H13" s="172">
        <v>-1.8284585166838999E-5</v>
      </c>
      <c r="I13" s="172">
        <v>17218235.8687458</v>
      </c>
      <c r="J13" s="172">
        <v>-21144134.645569801</v>
      </c>
    </row>
    <row r="14" spans="2:10" s="158" customFormat="1" x14ac:dyDescent="0.3">
      <c r="B14" s="172" t="s">
        <v>24</v>
      </c>
      <c r="C14" s="172" t="s">
        <v>243</v>
      </c>
      <c r="D14" s="172" t="s">
        <v>239</v>
      </c>
      <c r="E14" s="172">
        <v>2720326.4062494002</v>
      </c>
      <c r="F14" s="172">
        <v>2.6237509587190301E-6</v>
      </c>
      <c r="G14" s="172">
        <v>-3.5195512282371102E-8</v>
      </c>
      <c r="H14" s="172">
        <v>-1.8647583829078899E-5</v>
      </c>
      <c r="I14" s="172">
        <v>19363215.677339401</v>
      </c>
      <c r="J14" s="172">
        <v>-23759260.112513501</v>
      </c>
    </row>
    <row r="15" spans="2:10" s="158" customFormat="1" x14ac:dyDescent="0.3">
      <c r="B15" s="172" t="s">
        <v>22</v>
      </c>
      <c r="C15" s="172" t="s">
        <v>243</v>
      </c>
      <c r="D15" s="172" t="s">
        <v>239</v>
      </c>
      <c r="E15" s="172">
        <v>3103718.3624993698</v>
      </c>
      <c r="F15" s="172">
        <v>2.6336516754099602E-6</v>
      </c>
      <c r="G15" s="172">
        <v>-3.54658737933278E-8</v>
      </c>
      <c r="H15" s="172">
        <v>-1.8703038222156499E-5</v>
      </c>
      <c r="I15" s="172">
        <v>22126522.485933099</v>
      </c>
      <c r="J15" s="172">
        <v>-27041167.229455799</v>
      </c>
    </row>
    <row r="16" spans="2:10" s="83" customFormat="1" x14ac:dyDescent="0.3"/>
    <row r="17" spans="2:16" s="83" customFormat="1" x14ac:dyDescent="0.3"/>
    <row r="18" spans="2:16" s="83" customFormat="1" x14ac:dyDescent="0.3">
      <c r="B18" s="9" t="s">
        <v>79</v>
      </c>
    </row>
    <row r="19" spans="2:16" s="83" customFormat="1" x14ac:dyDescent="0.3">
      <c r="B19" s="84" t="s">
        <v>68</v>
      </c>
      <c r="C19" s="85"/>
      <c r="D19" s="85"/>
      <c r="E19" s="205" t="s">
        <v>73</v>
      </c>
      <c r="F19" s="205"/>
      <c r="G19" s="205"/>
      <c r="H19" s="205"/>
      <c r="I19" s="205"/>
      <c r="J19" s="205"/>
      <c r="K19" s="205"/>
      <c r="L19" s="205"/>
      <c r="M19" s="205"/>
      <c r="N19" s="205"/>
      <c r="O19" s="178"/>
      <c r="P19" s="180"/>
    </row>
    <row r="20" spans="2:16" s="83" customFormat="1" x14ac:dyDescent="0.3">
      <c r="B20" s="86" t="s">
        <v>9</v>
      </c>
      <c r="C20" s="86" t="s">
        <v>69</v>
      </c>
      <c r="D20" s="86" t="s">
        <v>47</v>
      </c>
      <c r="E20" s="86" t="s">
        <v>70</v>
      </c>
      <c r="F20" s="82" t="s">
        <v>104</v>
      </c>
      <c r="G20" s="82" t="s">
        <v>105</v>
      </c>
      <c r="H20" s="82" t="s">
        <v>70</v>
      </c>
      <c r="I20" s="82" t="s">
        <v>106</v>
      </c>
      <c r="J20" s="82" t="s">
        <v>107</v>
      </c>
      <c r="K20" s="82" t="s">
        <v>108</v>
      </c>
      <c r="L20" s="82" t="s">
        <v>109</v>
      </c>
      <c r="M20" s="82" t="s">
        <v>110</v>
      </c>
      <c r="N20" s="82" t="s">
        <v>111</v>
      </c>
      <c r="O20" s="82" t="s">
        <v>113</v>
      </c>
    </row>
    <row r="21" spans="2:16" s="83" customFormat="1" x14ac:dyDescent="0.3">
      <c r="B21" s="88"/>
      <c r="C21" s="88" t="s">
        <v>7</v>
      </c>
      <c r="D21" s="88"/>
      <c r="E21" s="88" t="s">
        <v>7</v>
      </c>
      <c r="F21" s="82" t="s">
        <v>41</v>
      </c>
      <c r="G21" s="82" t="s">
        <v>41</v>
      </c>
      <c r="H21" s="82" t="s">
        <v>7</v>
      </c>
      <c r="I21" s="82" t="s">
        <v>7</v>
      </c>
      <c r="J21" s="82" t="s">
        <v>41</v>
      </c>
      <c r="K21" s="82" t="s">
        <v>7</v>
      </c>
      <c r="L21" s="82"/>
      <c r="M21" s="82"/>
      <c r="N21" s="82"/>
      <c r="O21" s="82">
        <v>1.1000000000000001</v>
      </c>
    </row>
    <row r="22" spans="2:16" s="83" customFormat="1" x14ac:dyDescent="0.3">
      <c r="B22" s="53" t="s">
        <v>189</v>
      </c>
      <c r="C22" s="53">
        <v>38.5</v>
      </c>
      <c r="D22" s="53" t="s">
        <v>72</v>
      </c>
      <c r="E22" s="53">
        <f>+'Irre. Torsional'!E6</f>
        <v>2.34904998820725E-2</v>
      </c>
      <c r="F22" s="83">
        <f t="shared" ref="F22:F32" si="0">+E5</f>
        <v>17697.599999997099</v>
      </c>
      <c r="G22" s="83">
        <v>0</v>
      </c>
      <c r="H22" s="83">
        <f t="shared" ref="H22:H32" si="1">+E22</f>
        <v>2.34904998820725E-2</v>
      </c>
      <c r="I22" s="83">
        <f t="shared" ref="I22:I31" si="2">+H22-H23</f>
        <v>-1.6923332111589001E-3</v>
      </c>
      <c r="J22" s="83">
        <f>IF(+'Sismo UBC-94 y Dinamico'!O15=0,'Sismo UBC-94 y Dinamico'!M15,'Sismo UBC-94 y Dinamico'!O15)</f>
        <v>926.56352827369153</v>
      </c>
      <c r="K22" s="83">
        <f t="shared" ref="K22:K32" si="3">+C22</f>
        <v>38.5</v>
      </c>
      <c r="L22" s="83">
        <f>+G22*I22</f>
        <v>0</v>
      </c>
      <c r="M22" s="83">
        <f>+J22*K22</f>
        <v>35672.695838537125</v>
      </c>
      <c r="N22" s="83">
        <f>+L22/M22</f>
        <v>0</v>
      </c>
      <c r="O22" s="83" t="str">
        <f>+IF(N22&gt;O21,"P-DELTA","OK")</f>
        <v>OK</v>
      </c>
    </row>
    <row r="23" spans="2:16" s="83" customFormat="1" x14ac:dyDescent="0.3">
      <c r="B23" s="53" t="s">
        <v>187</v>
      </c>
      <c r="C23" s="53">
        <v>35.5</v>
      </c>
      <c r="D23" s="53" t="s">
        <v>72</v>
      </c>
      <c r="E23" s="53">
        <f>+'Irre. Torsional'!E7</f>
        <v>2.51828330932314E-2</v>
      </c>
      <c r="F23" s="165">
        <f t="shared" si="0"/>
        <v>322142.756249887</v>
      </c>
      <c r="G23" s="83">
        <f>+F23</f>
        <v>322142.756249887</v>
      </c>
      <c r="H23" s="83">
        <f t="shared" si="1"/>
        <v>2.51828330932314E-2</v>
      </c>
      <c r="I23" s="83">
        <f t="shared" si="2"/>
        <v>8.2088534356400053E-4</v>
      </c>
      <c r="J23" s="172">
        <f>IF(+'Sismo UBC-94 y Dinamico'!O16=0,'Sismo UBC-94 y Dinamico'!M16,'Sismo UBC-94 y Dinamico'!O16)</f>
        <v>11418.939515392549</v>
      </c>
      <c r="K23" s="172">
        <f t="shared" si="3"/>
        <v>35.5</v>
      </c>
      <c r="L23" s="83">
        <f t="shared" ref="L23:L32" si="4">+G23*I23</f>
        <v>264.44226714084255</v>
      </c>
      <c r="M23" s="83">
        <f t="shared" ref="M23:M32" si="5">+J23*K23</f>
        <v>405372.35279643547</v>
      </c>
      <c r="N23" s="83">
        <f t="shared" ref="N23:N32" si="6">+L23/M23</f>
        <v>6.5234411107862765E-4</v>
      </c>
      <c r="O23" s="83" t="str">
        <f t="shared" ref="O23:O32" si="7">+IF(N23&gt;O22,"P-DELTA","OK")</f>
        <v>OK</v>
      </c>
    </row>
    <row r="24" spans="2:16" s="83" customFormat="1" x14ac:dyDescent="0.3">
      <c r="B24" s="53" t="s">
        <v>185</v>
      </c>
      <c r="C24" s="53">
        <v>32</v>
      </c>
      <c r="D24" s="53" t="s">
        <v>72</v>
      </c>
      <c r="E24" s="53">
        <f>+'Irre. Torsional'!E8</f>
        <v>2.4361947749667399E-2</v>
      </c>
      <c r="F24" s="165">
        <f t="shared" si="0"/>
        <v>621424.31249979802</v>
      </c>
      <c r="G24" s="83">
        <f>+F24-F23</f>
        <v>299281.55624991102</v>
      </c>
      <c r="H24" s="83">
        <f t="shared" si="1"/>
        <v>2.4361947749667399E-2</v>
      </c>
      <c r="I24" s="83">
        <f t="shared" si="2"/>
        <v>1.3622960770862981E-3</v>
      </c>
      <c r="J24" s="172">
        <f>IF(+'Sismo UBC-94 y Dinamico'!O17=0,'Sismo UBC-94 y Dinamico'!M17,'Sismo UBC-94 y Dinamico'!O17)</f>
        <v>12795.974259381124</v>
      </c>
      <c r="K24" s="172">
        <f t="shared" si="3"/>
        <v>32</v>
      </c>
      <c r="L24" s="83">
        <f t="shared" si="4"/>
        <v>407.71009002353605</v>
      </c>
      <c r="M24" s="83">
        <f t="shared" si="5"/>
        <v>409471.17630019598</v>
      </c>
      <c r="N24" s="83">
        <f t="shared" si="6"/>
        <v>9.9569912028345362E-4</v>
      </c>
      <c r="O24" s="83" t="str">
        <f t="shared" si="7"/>
        <v>OK</v>
      </c>
    </row>
    <row r="25" spans="2:16" s="83" customFormat="1" x14ac:dyDescent="0.3">
      <c r="B25" s="53" t="s">
        <v>183</v>
      </c>
      <c r="C25" s="53">
        <v>28.5</v>
      </c>
      <c r="D25" s="53" t="s">
        <v>72</v>
      </c>
      <c r="E25" s="53">
        <f>+'Irre. Torsional'!E9</f>
        <v>2.2999651672581101E-2</v>
      </c>
      <c r="F25" s="165">
        <f t="shared" si="0"/>
        <v>920705.86874970596</v>
      </c>
      <c r="G25" s="83">
        <f>+F25-F24</f>
        <v>299281.55624990794</v>
      </c>
      <c r="H25" s="83">
        <f t="shared" si="1"/>
        <v>2.2999651672581101E-2</v>
      </c>
      <c r="I25" s="83">
        <f t="shared" si="2"/>
        <v>1.862385061688801E-3</v>
      </c>
      <c r="J25" s="172">
        <f>IF(+'Sismo UBC-94 y Dinamico'!O18=0,'Sismo UBC-94 y Dinamico'!M18,'Sismo UBC-94 y Dinamico'!O18)</f>
        <v>10930.822327284859</v>
      </c>
      <c r="K25" s="172">
        <f t="shared" si="3"/>
        <v>28.5</v>
      </c>
      <c r="L25" s="83">
        <f t="shared" si="4"/>
        <v>557.37749959880512</v>
      </c>
      <c r="M25" s="83">
        <f t="shared" si="5"/>
        <v>311528.43632761849</v>
      </c>
      <c r="N25" s="83">
        <f t="shared" si="6"/>
        <v>1.7891705366268388E-3</v>
      </c>
      <c r="O25" s="83" t="str">
        <f t="shared" si="7"/>
        <v>OK</v>
      </c>
    </row>
    <row r="26" spans="2:16" s="83" customFormat="1" x14ac:dyDescent="0.3">
      <c r="B26" s="53" t="s">
        <v>181</v>
      </c>
      <c r="C26" s="53">
        <v>25</v>
      </c>
      <c r="D26" s="53" t="s">
        <v>72</v>
      </c>
      <c r="E26" s="53">
        <f>+'Irre. Torsional'!E10</f>
        <v>2.11372666108923E-2</v>
      </c>
      <c r="F26" s="165">
        <f t="shared" si="0"/>
        <v>1219987.4249996501</v>
      </c>
      <c r="G26" s="83">
        <f>+F26-F25</f>
        <v>299281.55624994414</v>
      </c>
      <c r="H26" s="83">
        <f t="shared" si="1"/>
        <v>2.11372666108923E-2</v>
      </c>
      <c r="I26" s="83">
        <f t="shared" si="2"/>
        <v>2.287919034232401E-3</v>
      </c>
      <c r="J26" s="172">
        <f>IF(+'Sismo UBC-94 y Dinamico'!O19=0,'Sismo UBC-94 y Dinamico'!M19,'Sismo UBC-94 y Dinamico'!O19)</f>
        <v>9335.1655264940127</v>
      </c>
      <c r="K26" s="172">
        <f t="shared" si="3"/>
        <v>25</v>
      </c>
      <c r="L26" s="83">
        <f t="shared" si="4"/>
        <v>684.73196913894219</v>
      </c>
      <c r="M26" s="83">
        <f t="shared" si="5"/>
        <v>233379.13816235031</v>
      </c>
      <c r="N26" s="83">
        <f t="shared" si="6"/>
        <v>2.9339896210543379E-3</v>
      </c>
      <c r="O26" s="83" t="str">
        <f t="shared" si="7"/>
        <v>OK</v>
      </c>
    </row>
    <row r="27" spans="2:16" s="158" customFormat="1" x14ac:dyDescent="0.3">
      <c r="B27" s="53" t="s">
        <v>179</v>
      </c>
      <c r="C27" s="53">
        <v>21.5</v>
      </c>
      <c r="D27" s="53" t="s">
        <v>72</v>
      </c>
      <c r="E27" s="53">
        <f>+'Irre. Torsional'!E11</f>
        <v>1.8849347576659899E-2</v>
      </c>
      <c r="F27" s="165">
        <f t="shared" si="0"/>
        <v>1519268.9812495899</v>
      </c>
      <c r="G27" s="165">
        <f t="shared" ref="G27:G32" si="8">+F27-F26</f>
        <v>299281.55624993984</v>
      </c>
      <c r="H27" s="165">
        <f t="shared" si="1"/>
        <v>1.8849347576659899E-2</v>
      </c>
      <c r="I27" s="165">
        <f t="shared" si="2"/>
        <v>2.6471321600490989E-3</v>
      </c>
      <c r="J27" s="172">
        <f>IF(+'Sismo UBC-94 y Dinamico'!O20=0,'Sismo UBC-94 y Dinamico'!M20,'Sismo UBC-94 y Dinamico'!O20)</f>
        <v>8053.7348454265575</v>
      </c>
      <c r="K27" s="172">
        <f t="shared" si="3"/>
        <v>21.5</v>
      </c>
      <c r="L27" s="165">
        <f t="shared" si="4"/>
        <v>792.23783245875916</v>
      </c>
      <c r="M27" s="165">
        <f t="shared" si="5"/>
        <v>173155.29917667099</v>
      </c>
      <c r="N27" s="165">
        <f t="shared" si="6"/>
        <v>4.5753022646476214E-3</v>
      </c>
      <c r="O27" s="165" t="str">
        <f t="shared" si="7"/>
        <v>OK</v>
      </c>
    </row>
    <row r="28" spans="2:16" s="158" customFormat="1" x14ac:dyDescent="0.3">
      <c r="B28" s="53" t="s">
        <v>39</v>
      </c>
      <c r="C28" s="53">
        <v>18</v>
      </c>
      <c r="D28" s="53" t="s">
        <v>72</v>
      </c>
      <c r="E28" s="53">
        <f>+'Irre. Torsional'!E12</f>
        <v>1.62022154166108E-2</v>
      </c>
      <c r="F28" s="165">
        <f t="shared" si="0"/>
        <v>1818550.53749954</v>
      </c>
      <c r="G28" s="165">
        <f t="shared" si="8"/>
        <v>299281.55624995008</v>
      </c>
      <c r="H28" s="165">
        <f t="shared" si="1"/>
        <v>1.62022154166108E-2</v>
      </c>
      <c r="I28" s="165">
        <f t="shared" si="2"/>
        <v>2.9256805285155004E-3</v>
      </c>
      <c r="J28" s="172">
        <f>IF(+'Sismo UBC-94 y Dinamico'!O21=0,'Sismo UBC-94 y Dinamico'!M21,'Sismo UBC-94 y Dinamico'!O21)</f>
        <v>7000.0609415386589</v>
      </c>
      <c r="K28" s="172">
        <f t="shared" si="3"/>
        <v>18</v>
      </c>
      <c r="L28" s="165">
        <f t="shared" si="4"/>
        <v>875.60222166429537</v>
      </c>
      <c r="M28" s="165">
        <f t="shared" si="5"/>
        <v>126001.09694769586</v>
      </c>
      <c r="N28" s="165">
        <f t="shared" si="6"/>
        <v>6.9491634825033736E-3</v>
      </c>
      <c r="O28" s="165" t="str">
        <f t="shared" si="7"/>
        <v>OK</v>
      </c>
    </row>
    <row r="29" spans="2:16" s="158" customFormat="1" x14ac:dyDescent="0.3">
      <c r="B29" s="53" t="s">
        <v>26</v>
      </c>
      <c r="C29" s="53">
        <v>14.5</v>
      </c>
      <c r="D29" s="53" t="s">
        <v>72</v>
      </c>
      <c r="E29" s="53">
        <f>+'Irre. Torsional'!E13</f>
        <v>1.32765348880953E-2</v>
      </c>
      <c r="F29" s="165">
        <f t="shared" si="0"/>
        <v>2119142.4937494998</v>
      </c>
      <c r="G29" s="165">
        <f t="shared" si="8"/>
        <v>300591.95624995977</v>
      </c>
      <c r="H29" s="165">
        <f t="shared" si="1"/>
        <v>1.32765348880953E-2</v>
      </c>
      <c r="I29" s="165">
        <f t="shared" si="2"/>
        <v>3.1474474941129999E-3</v>
      </c>
      <c r="J29" s="172">
        <f>IF(+'Sismo UBC-94 y Dinamico'!O22=0,'Sismo UBC-94 y Dinamico'!M22,'Sismo UBC-94 y Dinamico'!O22)</f>
        <v>6116.7719679765369</v>
      </c>
      <c r="K29" s="172">
        <f t="shared" si="3"/>
        <v>14.5</v>
      </c>
      <c r="L29" s="165">
        <f t="shared" si="4"/>
        <v>946.09739944946034</v>
      </c>
      <c r="M29" s="165">
        <f t="shared" si="5"/>
        <v>88693.193535659782</v>
      </c>
      <c r="N29" s="165">
        <f t="shared" si="6"/>
        <v>1.0667080096389522E-2</v>
      </c>
      <c r="O29" s="165" t="str">
        <f t="shared" si="7"/>
        <v>OK</v>
      </c>
    </row>
    <row r="30" spans="2:16" s="158" customFormat="1" x14ac:dyDescent="0.3">
      <c r="B30" s="53" t="s">
        <v>25</v>
      </c>
      <c r="C30" s="53">
        <v>11</v>
      </c>
      <c r="D30" s="53" t="s">
        <v>72</v>
      </c>
      <c r="E30" s="53">
        <f>+'Irre. Torsional'!E14</f>
        <v>1.01290873939823E-2</v>
      </c>
      <c r="F30" s="165">
        <f t="shared" si="0"/>
        <v>2419734.44999944</v>
      </c>
      <c r="G30" s="165">
        <f t="shared" si="8"/>
        <v>300591.95624994021</v>
      </c>
      <c r="H30" s="165">
        <f t="shared" si="1"/>
        <v>1.01290873939823E-2</v>
      </c>
      <c r="I30" s="165">
        <f t="shared" si="2"/>
        <v>3.3332652678637505E-3</v>
      </c>
      <c r="J30" s="172">
        <f>IF(+'Sismo UBC-94 y Dinamico'!O23=0,'Sismo UBC-94 y Dinamico'!M23,'Sismo UBC-94 y Dinamico'!O23)</f>
        <v>5189.8353773098888</v>
      </c>
      <c r="K30" s="172">
        <f t="shared" si="3"/>
        <v>11</v>
      </c>
      <c r="L30" s="165">
        <f t="shared" si="4"/>
        <v>1001.9527275671458</v>
      </c>
      <c r="M30" s="165">
        <f t="shared" si="5"/>
        <v>57088.189150408776</v>
      </c>
      <c r="N30" s="165">
        <f t="shared" si="6"/>
        <v>1.7550963561435217E-2</v>
      </c>
      <c r="O30" s="165" t="str">
        <f t="shared" si="7"/>
        <v>OK</v>
      </c>
    </row>
    <row r="31" spans="2:16" s="158" customFormat="1" x14ac:dyDescent="0.3">
      <c r="B31" s="53" t="s">
        <v>24</v>
      </c>
      <c r="C31" s="53">
        <v>7.5</v>
      </c>
      <c r="D31" s="53" t="s">
        <v>72</v>
      </c>
      <c r="E31" s="53">
        <f>+'Irre. Torsional'!E15</f>
        <v>6.7958221261185496E-3</v>
      </c>
      <c r="F31" s="165">
        <f t="shared" si="0"/>
        <v>2720326.4062494002</v>
      </c>
      <c r="G31" s="165">
        <f t="shared" si="8"/>
        <v>300591.95624996023</v>
      </c>
      <c r="H31" s="165">
        <f t="shared" si="1"/>
        <v>6.7958221261185496E-3</v>
      </c>
      <c r="I31" s="165">
        <f t="shared" si="2"/>
        <v>3.4410601095174595E-3</v>
      </c>
      <c r="J31" s="172">
        <f>IF(+'Sismo UBC-94 y Dinamico'!O24=0,'Sismo UBC-94 y Dinamico'!M24,'Sismo UBC-94 y Dinamico'!O24)</f>
        <v>4031.3020326669389</v>
      </c>
      <c r="K31" s="172">
        <f t="shared" si="3"/>
        <v>7.5</v>
      </c>
      <c r="L31" s="165">
        <f t="shared" si="4"/>
        <v>1034.3549898935555</v>
      </c>
      <c r="M31" s="165">
        <f t="shared" si="5"/>
        <v>30234.765245002043</v>
      </c>
      <c r="N31" s="165">
        <f t="shared" si="6"/>
        <v>3.4210782902127528E-2</v>
      </c>
      <c r="O31" s="165" t="str">
        <f t="shared" si="7"/>
        <v>OK</v>
      </c>
    </row>
    <row r="32" spans="2:16" s="158" customFormat="1" x14ac:dyDescent="0.3">
      <c r="B32" s="53" t="s">
        <v>22</v>
      </c>
      <c r="C32" s="53">
        <v>4</v>
      </c>
      <c r="D32" s="53" t="s">
        <v>72</v>
      </c>
      <c r="E32" s="53">
        <f>+'Irre. Torsional'!E16</f>
        <v>3.3547620166010901E-3</v>
      </c>
      <c r="F32" s="165">
        <f t="shared" si="0"/>
        <v>3103718.3624993698</v>
      </c>
      <c r="G32" s="165">
        <f t="shared" si="8"/>
        <v>383391.95624996955</v>
      </c>
      <c r="H32" s="165">
        <f t="shared" si="1"/>
        <v>3.3547620166010901E-3</v>
      </c>
      <c r="I32" s="165">
        <f>+H32-I33</f>
        <v>3.3547620166010901E-3</v>
      </c>
      <c r="J32" s="172">
        <f>IF(+'Sismo UBC-94 y Dinamico'!O25=0,'Sismo UBC-94 y Dinamico'!M25,'Sismo UBC-94 y Dinamico'!O25)</f>
        <v>2394.5104331615639</v>
      </c>
      <c r="K32" s="172">
        <f t="shared" si="3"/>
        <v>4</v>
      </c>
      <c r="L32" s="165">
        <f t="shared" si="4"/>
        <v>1286.1887722977847</v>
      </c>
      <c r="M32" s="165">
        <f t="shared" si="5"/>
        <v>9578.0417326462557</v>
      </c>
      <c r="N32" s="165">
        <f t="shared" si="6"/>
        <v>0.13428515015902232</v>
      </c>
      <c r="O32" s="165" t="str">
        <f t="shared" si="7"/>
        <v>OK</v>
      </c>
    </row>
    <row r="33" spans="2:16" s="83" customFormat="1" x14ac:dyDescent="0.3">
      <c r="B33" s="53" t="s">
        <v>44</v>
      </c>
      <c r="C33" s="53">
        <v>0</v>
      </c>
      <c r="D33" s="53" t="s">
        <v>72</v>
      </c>
      <c r="E33" s="53">
        <v>0</v>
      </c>
      <c r="F33" s="53"/>
    </row>
    <row r="34" spans="2:16" s="83" customFormat="1" x14ac:dyDescent="0.3"/>
    <row r="35" spans="2:16" s="83" customFormat="1" x14ac:dyDescent="0.3"/>
    <row r="36" spans="2:16" s="83" customFormat="1" x14ac:dyDescent="0.3">
      <c r="B36" s="9" t="s">
        <v>80</v>
      </c>
    </row>
    <row r="37" spans="2:16" s="83" customFormat="1" x14ac:dyDescent="0.3">
      <c r="B37" s="84" t="s">
        <v>68</v>
      </c>
      <c r="C37" s="85"/>
      <c r="D37" s="85"/>
      <c r="E37" s="205" t="s">
        <v>73</v>
      </c>
      <c r="F37" s="205"/>
      <c r="G37" s="205"/>
      <c r="H37" s="205"/>
      <c r="I37" s="205"/>
      <c r="J37" s="205"/>
      <c r="K37" s="205"/>
      <c r="L37" s="205"/>
      <c r="M37" s="205"/>
      <c r="N37" s="205"/>
      <c r="O37" s="178"/>
      <c r="P37" s="180"/>
    </row>
    <row r="38" spans="2:16" s="83" customFormat="1" x14ac:dyDescent="0.3">
      <c r="B38" s="86" t="s">
        <v>9</v>
      </c>
      <c r="C38" s="86" t="s">
        <v>69</v>
      </c>
      <c r="D38" s="86" t="s">
        <v>47</v>
      </c>
      <c r="E38" s="86" t="s">
        <v>70</v>
      </c>
      <c r="F38" s="82" t="s">
        <v>104</v>
      </c>
      <c r="G38" s="82" t="s">
        <v>105</v>
      </c>
      <c r="H38" s="82" t="s">
        <v>70</v>
      </c>
      <c r="I38" s="82" t="s">
        <v>106</v>
      </c>
      <c r="J38" s="82" t="s">
        <v>107</v>
      </c>
      <c r="K38" s="82" t="s">
        <v>108</v>
      </c>
      <c r="L38" s="82" t="s">
        <v>109</v>
      </c>
      <c r="M38" s="82" t="s">
        <v>110</v>
      </c>
      <c r="N38" s="82" t="s">
        <v>111</v>
      </c>
      <c r="O38" s="82" t="s">
        <v>113</v>
      </c>
    </row>
    <row r="39" spans="2:16" s="83" customFormat="1" x14ac:dyDescent="0.3">
      <c r="B39" s="173"/>
      <c r="C39" s="173" t="s">
        <v>7</v>
      </c>
      <c r="D39" s="173"/>
      <c r="E39" s="173" t="s">
        <v>7</v>
      </c>
      <c r="F39" s="82" t="s">
        <v>41</v>
      </c>
      <c r="G39" s="82" t="s">
        <v>41</v>
      </c>
      <c r="H39" s="82" t="s">
        <v>7</v>
      </c>
      <c r="I39" s="82" t="s">
        <v>7</v>
      </c>
      <c r="J39" s="82" t="s">
        <v>41</v>
      </c>
      <c r="K39" s="82" t="s">
        <v>7</v>
      </c>
      <c r="L39" s="82"/>
      <c r="M39" s="82"/>
      <c r="N39" s="82"/>
      <c r="O39" s="82">
        <v>1.1000000000000001</v>
      </c>
    </row>
    <row r="40" spans="2:16" s="83" customFormat="1" x14ac:dyDescent="0.3">
      <c r="B40" s="53" t="s">
        <v>189</v>
      </c>
      <c r="C40" s="53">
        <v>38.5</v>
      </c>
      <c r="D40" s="53" t="s">
        <v>72</v>
      </c>
      <c r="E40" s="53">
        <f>+'Irre. Torsional'!E24</f>
        <v>2.5383588444734199E-2</v>
      </c>
      <c r="F40" s="165">
        <f t="shared" ref="F40:F50" si="9">+E5</f>
        <v>17697.599999997099</v>
      </c>
      <c r="G40" s="165">
        <v>0</v>
      </c>
      <c r="H40" s="165">
        <f t="shared" ref="H40:H50" si="10">+E40</f>
        <v>2.5383588444734199E-2</v>
      </c>
      <c r="I40" s="165">
        <f t="shared" ref="I40:I49" si="11">+H40-H41</f>
        <v>7.2998918387709791E-4</v>
      </c>
      <c r="J40" s="165">
        <f>+J22</f>
        <v>926.56352827369153</v>
      </c>
      <c r="K40" s="165">
        <f t="shared" ref="K40:K50" si="12">+C40</f>
        <v>38.5</v>
      </c>
      <c r="L40" s="165">
        <f>+G40*I40</f>
        <v>0</v>
      </c>
      <c r="M40" s="165">
        <f>+J40*K40</f>
        <v>35672.695838537125</v>
      </c>
      <c r="N40" s="165">
        <f>+L40/M40</f>
        <v>0</v>
      </c>
      <c r="O40" s="165" t="str">
        <f>+IF(N40&gt;O39,"P-DELTA","OK")</f>
        <v>OK</v>
      </c>
    </row>
    <row r="41" spans="2:16" s="83" customFormat="1" x14ac:dyDescent="0.3">
      <c r="B41" s="53" t="s">
        <v>187</v>
      </c>
      <c r="C41" s="53">
        <v>35.5</v>
      </c>
      <c r="D41" s="53" t="s">
        <v>72</v>
      </c>
      <c r="E41" s="53">
        <f>+'Irre. Torsional'!E25</f>
        <v>2.4653599260857102E-2</v>
      </c>
      <c r="F41" s="165">
        <f t="shared" si="9"/>
        <v>322142.756249887</v>
      </c>
      <c r="G41" s="165">
        <f>+F41</f>
        <v>322142.756249887</v>
      </c>
      <c r="H41" s="165">
        <f t="shared" si="10"/>
        <v>2.4653599260857102E-2</v>
      </c>
      <c r="I41" s="165">
        <f t="shared" si="11"/>
        <v>9.4219519829050191E-4</v>
      </c>
      <c r="J41" s="172">
        <f t="shared" ref="J41:J50" si="13">+J23</f>
        <v>11418.939515392549</v>
      </c>
      <c r="K41" s="172">
        <f t="shared" si="12"/>
        <v>35.5</v>
      </c>
      <c r="L41" s="165">
        <f t="shared" ref="L41:L50" si="14">+G41*I41</f>
        <v>303.52135810271108</v>
      </c>
      <c r="M41" s="165">
        <f t="shared" ref="M41:M50" si="15">+J41*K41</f>
        <v>405372.35279643547</v>
      </c>
      <c r="N41" s="165">
        <f t="shared" ref="N41:N50" si="16">+L41/M41</f>
        <v>7.4874706182818886E-4</v>
      </c>
      <c r="O41" s="165" t="str">
        <f t="shared" ref="O41:O50" si="17">+IF(N41&gt;O40,"P-DELTA","OK")</f>
        <v>OK</v>
      </c>
    </row>
    <row r="42" spans="2:16" s="83" customFormat="1" x14ac:dyDescent="0.3">
      <c r="B42" s="53" t="s">
        <v>185</v>
      </c>
      <c r="C42" s="53">
        <v>32</v>
      </c>
      <c r="D42" s="53" t="s">
        <v>72</v>
      </c>
      <c r="E42" s="53">
        <f>+'Irre. Torsional'!E26</f>
        <v>2.37114040625666E-2</v>
      </c>
      <c r="F42" s="165">
        <f t="shared" si="9"/>
        <v>621424.31249979802</v>
      </c>
      <c r="G42" s="165">
        <f>+F42-F41</f>
        <v>299281.55624991102</v>
      </c>
      <c r="H42" s="165">
        <f t="shared" si="10"/>
        <v>2.37114040625666E-2</v>
      </c>
      <c r="I42" s="165">
        <f t="shared" si="11"/>
        <v>1.4548600540437995E-3</v>
      </c>
      <c r="J42" s="172">
        <f t="shared" si="13"/>
        <v>12795.974259381124</v>
      </c>
      <c r="K42" s="172">
        <f t="shared" si="12"/>
        <v>32</v>
      </c>
      <c r="L42" s="165">
        <f t="shared" si="14"/>
        <v>435.41278110005794</v>
      </c>
      <c r="M42" s="165">
        <f t="shared" si="15"/>
        <v>409471.17630019598</v>
      </c>
      <c r="N42" s="165">
        <f t="shared" si="16"/>
        <v>1.0633539215977521E-3</v>
      </c>
      <c r="O42" s="165" t="str">
        <f t="shared" si="17"/>
        <v>OK</v>
      </c>
    </row>
    <row r="43" spans="2:16" s="83" customFormat="1" x14ac:dyDescent="0.3">
      <c r="B43" s="53" t="s">
        <v>183</v>
      </c>
      <c r="C43" s="53">
        <v>28.5</v>
      </c>
      <c r="D43" s="53" t="s">
        <v>72</v>
      </c>
      <c r="E43" s="53">
        <f>+'Irre. Torsional'!E27</f>
        <v>2.22565440085228E-2</v>
      </c>
      <c r="F43" s="165">
        <f t="shared" si="9"/>
        <v>920705.86874970596</v>
      </c>
      <c r="G43" s="165">
        <f t="shared" ref="G43:G50" si="18">+F43-F42</f>
        <v>299281.55624990794</v>
      </c>
      <c r="H43" s="165">
        <f t="shared" si="10"/>
        <v>2.22565440085228E-2</v>
      </c>
      <c r="I43" s="165">
        <f t="shared" si="11"/>
        <v>1.9258804219042004E-3</v>
      </c>
      <c r="J43" s="172">
        <f t="shared" si="13"/>
        <v>10930.822327284859</v>
      </c>
      <c r="K43" s="172">
        <f t="shared" si="12"/>
        <v>28.5</v>
      </c>
      <c r="L43" s="165">
        <f t="shared" si="14"/>
        <v>576.38048981871839</v>
      </c>
      <c r="M43" s="165">
        <f t="shared" si="15"/>
        <v>311528.43632761849</v>
      </c>
      <c r="N43" s="165">
        <f t="shared" si="16"/>
        <v>1.8501697521203764E-3</v>
      </c>
      <c r="O43" s="165" t="str">
        <f t="shared" si="17"/>
        <v>OK</v>
      </c>
    </row>
    <row r="44" spans="2:16" s="83" customFormat="1" x14ac:dyDescent="0.3">
      <c r="B44" s="53" t="s">
        <v>181</v>
      </c>
      <c r="C44" s="53">
        <v>25</v>
      </c>
      <c r="D44" s="53" t="s">
        <v>72</v>
      </c>
      <c r="E44" s="53">
        <f>+'Irre. Torsional'!E28</f>
        <v>2.03306635866186E-2</v>
      </c>
      <c r="F44" s="165">
        <f t="shared" si="9"/>
        <v>1219987.4249996501</v>
      </c>
      <c r="G44" s="165">
        <f t="shared" si="18"/>
        <v>299281.55624994414</v>
      </c>
      <c r="H44" s="165">
        <f t="shared" si="10"/>
        <v>2.03306635866186E-2</v>
      </c>
      <c r="I44" s="165">
        <f t="shared" si="11"/>
        <v>2.3241818822071006E-3</v>
      </c>
      <c r="J44" s="172">
        <f t="shared" si="13"/>
        <v>9335.1655264940127</v>
      </c>
      <c r="K44" s="172">
        <f t="shared" si="12"/>
        <v>25</v>
      </c>
      <c r="L44" s="165">
        <f t="shared" si="14"/>
        <v>695.58477071486539</v>
      </c>
      <c r="M44" s="165">
        <f t="shared" si="15"/>
        <v>233379.13816235031</v>
      </c>
      <c r="N44" s="165">
        <f t="shared" si="16"/>
        <v>2.9804924989952678E-3</v>
      </c>
      <c r="O44" s="165" t="str">
        <f t="shared" si="17"/>
        <v>OK</v>
      </c>
    </row>
    <row r="45" spans="2:16" s="158" customFormat="1" x14ac:dyDescent="0.3">
      <c r="B45" s="53" t="s">
        <v>179</v>
      </c>
      <c r="C45" s="53">
        <v>21.5</v>
      </c>
      <c r="D45" s="53" t="s">
        <v>72</v>
      </c>
      <c r="E45" s="53">
        <f>+'Irre. Torsional'!E29</f>
        <v>1.8006481704411499E-2</v>
      </c>
      <c r="F45" s="165">
        <f t="shared" si="9"/>
        <v>1519268.9812495899</v>
      </c>
      <c r="G45" s="165">
        <f t="shared" si="18"/>
        <v>299281.55624993984</v>
      </c>
      <c r="H45" s="165">
        <f t="shared" si="10"/>
        <v>1.8006481704411499E-2</v>
      </c>
      <c r="I45" s="165">
        <f t="shared" si="11"/>
        <v>2.6547382414976988E-3</v>
      </c>
      <c r="J45" s="172">
        <f t="shared" si="13"/>
        <v>8053.7348454265575</v>
      </c>
      <c r="K45" s="172">
        <f t="shared" si="12"/>
        <v>21.5</v>
      </c>
      <c r="L45" s="165">
        <f t="shared" si="14"/>
        <v>794.51419235165986</v>
      </c>
      <c r="M45" s="165">
        <f t="shared" si="15"/>
        <v>173155.29917667099</v>
      </c>
      <c r="N45" s="165">
        <f t="shared" si="16"/>
        <v>4.5884486130627405E-3</v>
      </c>
      <c r="O45" s="165" t="str">
        <f t="shared" si="17"/>
        <v>OK</v>
      </c>
    </row>
    <row r="46" spans="2:16" s="158" customFormat="1" x14ac:dyDescent="0.3">
      <c r="B46" s="53" t="s">
        <v>39</v>
      </c>
      <c r="C46" s="53">
        <v>18</v>
      </c>
      <c r="D46" s="53" t="s">
        <v>72</v>
      </c>
      <c r="E46" s="53">
        <f>+'Irre. Torsional'!E30</f>
        <v>1.53517434629138E-2</v>
      </c>
      <c r="F46" s="165">
        <f t="shared" si="9"/>
        <v>1818550.53749954</v>
      </c>
      <c r="G46" s="165">
        <f t="shared" si="18"/>
        <v>299281.55624995008</v>
      </c>
      <c r="H46" s="165">
        <f t="shared" si="10"/>
        <v>1.53517434629138E-2</v>
      </c>
      <c r="I46" s="165">
        <f t="shared" si="11"/>
        <v>2.858562171166E-3</v>
      </c>
      <c r="J46" s="172">
        <f t="shared" si="13"/>
        <v>7000.0609415386589</v>
      </c>
      <c r="K46" s="172">
        <f t="shared" si="12"/>
        <v>18</v>
      </c>
      <c r="L46" s="165">
        <f t="shared" si="14"/>
        <v>855.51493522379667</v>
      </c>
      <c r="M46" s="165">
        <f t="shared" si="15"/>
        <v>126001.09694769586</v>
      </c>
      <c r="N46" s="165">
        <f t="shared" si="16"/>
        <v>6.7897419621586966E-3</v>
      </c>
      <c r="O46" s="165" t="str">
        <f t="shared" si="17"/>
        <v>OK</v>
      </c>
    </row>
    <row r="47" spans="2:16" s="158" customFormat="1" x14ac:dyDescent="0.3">
      <c r="B47" s="53" t="s">
        <v>26</v>
      </c>
      <c r="C47" s="53">
        <v>14.5</v>
      </c>
      <c r="D47" s="53" t="s">
        <v>72</v>
      </c>
      <c r="E47" s="53">
        <f>+'Irre. Torsional'!E31</f>
        <v>1.24931812917478E-2</v>
      </c>
      <c r="F47" s="165">
        <f t="shared" si="9"/>
        <v>2119142.4937494998</v>
      </c>
      <c r="G47" s="165">
        <f t="shared" si="18"/>
        <v>300591.95624995977</v>
      </c>
      <c r="H47" s="165">
        <f t="shared" si="10"/>
        <v>1.24931812917478E-2</v>
      </c>
      <c r="I47" s="165">
        <f t="shared" si="11"/>
        <v>3.0022285404732296E-3</v>
      </c>
      <c r="J47" s="172">
        <f t="shared" si="13"/>
        <v>6116.7719679765369</v>
      </c>
      <c r="K47" s="172">
        <f t="shared" si="12"/>
        <v>14.5</v>
      </c>
      <c r="L47" s="165">
        <f t="shared" si="14"/>
        <v>902.44575009030962</v>
      </c>
      <c r="M47" s="165">
        <f t="shared" si="15"/>
        <v>88693.193535659782</v>
      </c>
      <c r="N47" s="165">
        <f t="shared" si="16"/>
        <v>1.0174915504958949E-2</v>
      </c>
      <c r="O47" s="165" t="str">
        <f t="shared" si="17"/>
        <v>OK</v>
      </c>
    </row>
    <row r="48" spans="2:16" s="158" customFormat="1" x14ac:dyDescent="0.3">
      <c r="B48" s="53" t="s">
        <v>25</v>
      </c>
      <c r="C48" s="53">
        <v>11</v>
      </c>
      <c r="D48" s="53" t="s">
        <v>72</v>
      </c>
      <c r="E48" s="53">
        <f>+'Irre. Torsional'!E32</f>
        <v>9.4909527512745707E-3</v>
      </c>
      <c r="F48" s="165">
        <f t="shared" si="9"/>
        <v>2419734.44999944</v>
      </c>
      <c r="G48" s="165">
        <f t="shared" si="18"/>
        <v>300591.95624994021</v>
      </c>
      <c r="H48" s="165">
        <f t="shared" si="10"/>
        <v>9.4909527512745707E-3</v>
      </c>
      <c r="I48" s="165">
        <f t="shared" si="11"/>
        <v>3.1514012953947311E-3</v>
      </c>
      <c r="J48" s="172">
        <f t="shared" si="13"/>
        <v>5189.8353773098888</v>
      </c>
      <c r="K48" s="172">
        <f t="shared" si="12"/>
        <v>11</v>
      </c>
      <c r="L48" s="165">
        <f t="shared" si="14"/>
        <v>947.28588031129789</v>
      </c>
      <c r="M48" s="165">
        <f t="shared" si="15"/>
        <v>57088.189150408776</v>
      </c>
      <c r="N48" s="165">
        <f t="shared" si="16"/>
        <v>1.6593377621691736E-2</v>
      </c>
      <c r="O48" s="165" t="str">
        <f t="shared" si="17"/>
        <v>OK</v>
      </c>
    </row>
    <row r="49" spans="2:16" s="158" customFormat="1" x14ac:dyDescent="0.3">
      <c r="B49" s="53" t="s">
        <v>24</v>
      </c>
      <c r="C49" s="53">
        <v>7.5</v>
      </c>
      <c r="D49" s="53" t="s">
        <v>72</v>
      </c>
      <c r="E49" s="53">
        <f>+'Irre. Torsional'!E33</f>
        <v>6.3395514558798396E-3</v>
      </c>
      <c r="F49" s="165">
        <f t="shared" si="9"/>
        <v>2720326.4062494002</v>
      </c>
      <c r="G49" s="165">
        <f t="shared" si="18"/>
        <v>300591.95624996023</v>
      </c>
      <c r="H49" s="165">
        <f t="shared" si="10"/>
        <v>6.3395514558798396E-3</v>
      </c>
      <c r="I49" s="165">
        <f t="shared" si="11"/>
        <v>3.2219314980286898E-3</v>
      </c>
      <c r="J49" s="172">
        <f t="shared" si="13"/>
        <v>4031.3020326669389</v>
      </c>
      <c r="K49" s="172">
        <f t="shared" si="12"/>
        <v>7.5</v>
      </c>
      <c r="L49" s="165">
        <f t="shared" si="14"/>
        <v>968.4866918958088</v>
      </c>
      <c r="M49" s="165">
        <f t="shared" si="15"/>
        <v>30234.765245002043</v>
      </c>
      <c r="N49" s="165">
        <f t="shared" si="16"/>
        <v>3.2032221320319479E-2</v>
      </c>
      <c r="O49" s="165" t="str">
        <f t="shared" si="17"/>
        <v>OK</v>
      </c>
    </row>
    <row r="50" spans="2:16" s="158" customFormat="1" x14ac:dyDescent="0.3">
      <c r="B50" s="53" t="s">
        <v>22</v>
      </c>
      <c r="C50" s="53">
        <v>4</v>
      </c>
      <c r="D50" s="53" t="s">
        <v>72</v>
      </c>
      <c r="E50" s="53">
        <f>+'Irre. Torsional'!E34</f>
        <v>3.1176199578511498E-3</v>
      </c>
      <c r="F50" s="165">
        <f t="shared" si="9"/>
        <v>3103718.3624993698</v>
      </c>
      <c r="G50" s="165">
        <f t="shared" si="18"/>
        <v>383391.95624996955</v>
      </c>
      <c r="H50" s="165">
        <f t="shared" si="10"/>
        <v>3.1176199578511498E-3</v>
      </c>
      <c r="I50" s="165">
        <f>+H50-I51</f>
        <v>3.1176199578511498E-3</v>
      </c>
      <c r="J50" s="172">
        <f t="shared" si="13"/>
        <v>2394.5104331615639</v>
      </c>
      <c r="K50" s="172">
        <f t="shared" si="12"/>
        <v>4</v>
      </c>
      <c r="L50" s="165">
        <f t="shared" si="14"/>
        <v>1195.2704144845</v>
      </c>
      <c r="M50" s="165">
        <f t="shared" si="15"/>
        <v>9578.0417326462557</v>
      </c>
      <c r="N50" s="165">
        <f t="shared" si="16"/>
        <v>0.12479277579366595</v>
      </c>
      <c r="O50" s="165" t="str">
        <f t="shared" si="17"/>
        <v>OK</v>
      </c>
    </row>
    <row r="51" spans="2:16" s="83" customFormat="1" x14ac:dyDescent="0.3">
      <c r="B51" s="53" t="s">
        <v>44</v>
      </c>
      <c r="C51" s="53">
        <v>0</v>
      </c>
      <c r="D51" s="53" t="s">
        <v>72</v>
      </c>
      <c r="E51" s="53">
        <v>0</v>
      </c>
      <c r="F51" s="53"/>
      <c r="G51" s="165"/>
      <c r="H51" s="165"/>
      <c r="I51" s="165"/>
      <c r="J51" s="165"/>
      <c r="K51" s="165"/>
      <c r="L51" s="165"/>
      <c r="M51" s="165"/>
      <c r="N51" s="165"/>
      <c r="O51" s="165"/>
      <c r="P51" s="165"/>
    </row>
    <row r="52" spans="2:16" s="83" customFormat="1" x14ac:dyDescent="0.3"/>
    <row r="53" spans="2:16" s="83" customFormat="1" x14ac:dyDescent="0.3"/>
    <row r="54" spans="2:16" s="83" customFormat="1" x14ac:dyDescent="0.3">
      <c r="B54" s="9" t="s">
        <v>81</v>
      </c>
    </row>
    <row r="55" spans="2:16" s="83" customFormat="1" x14ac:dyDescent="0.3">
      <c r="B55" s="84" t="s">
        <v>68</v>
      </c>
      <c r="C55" s="85"/>
      <c r="D55" s="85"/>
      <c r="E55" s="205" t="s">
        <v>73</v>
      </c>
      <c r="F55" s="205"/>
      <c r="G55" s="205"/>
      <c r="H55" s="205"/>
      <c r="I55" s="205"/>
      <c r="J55" s="205"/>
      <c r="K55" s="205"/>
      <c r="L55" s="205"/>
      <c r="M55" s="205"/>
      <c r="N55" s="205"/>
      <c r="O55" s="178"/>
      <c r="P55" s="180"/>
    </row>
    <row r="56" spans="2:16" s="83" customFormat="1" x14ac:dyDescent="0.3">
      <c r="B56" s="86" t="s">
        <v>9</v>
      </c>
      <c r="C56" s="86" t="s">
        <v>69</v>
      </c>
      <c r="D56" s="86" t="s">
        <v>47</v>
      </c>
      <c r="E56" s="87" t="s">
        <v>71</v>
      </c>
      <c r="F56" s="82" t="s">
        <v>104</v>
      </c>
      <c r="G56" s="82" t="s">
        <v>105</v>
      </c>
      <c r="H56" s="82" t="s">
        <v>71</v>
      </c>
      <c r="I56" s="82" t="s">
        <v>106</v>
      </c>
      <c r="J56" s="82" t="s">
        <v>153</v>
      </c>
      <c r="K56" s="82" t="s">
        <v>108</v>
      </c>
      <c r="L56" s="82" t="s">
        <v>109</v>
      </c>
      <c r="M56" s="82" t="s">
        <v>110</v>
      </c>
      <c r="N56" s="82" t="s">
        <v>111</v>
      </c>
      <c r="O56" s="82" t="s">
        <v>113</v>
      </c>
    </row>
    <row r="57" spans="2:16" s="83" customFormat="1" x14ac:dyDescent="0.3">
      <c r="B57" s="173"/>
      <c r="C57" s="173" t="s">
        <v>7</v>
      </c>
      <c r="D57" s="173"/>
      <c r="E57" s="174" t="s">
        <v>7</v>
      </c>
      <c r="F57" s="82" t="s">
        <v>41</v>
      </c>
      <c r="G57" s="82" t="s">
        <v>41</v>
      </c>
      <c r="H57" s="82" t="s">
        <v>7</v>
      </c>
      <c r="I57" s="82" t="s">
        <v>7</v>
      </c>
      <c r="J57" s="82" t="s">
        <v>41</v>
      </c>
      <c r="K57" s="82" t="s">
        <v>7</v>
      </c>
      <c r="L57" s="82"/>
      <c r="M57" s="82"/>
      <c r="N57" s="82"/>
      <c r="O57" s="82">
        <v>1.1000000000000001</v>
      </c>
    </row>
    <row r="58" spans="2:16" s="83" customFormat="1" x14ac:dyDescent="0.3">
      <c r="B58" s="53" t="s">
        <v>189</v>
      </c>
      <c r="C58" s="53">
        <v>38.5</v>
      </c>
      <c r="D58" s="53" t="s">
        <v>72</v>
      </c>
      <c r="E58" s="53">
        <f>+'Irre. Torsional'!E42</f>
        <v>3.7333517766412402E-2</v>
      </c>
      <c r="F58" s="83">
        <f t="shared" ref="F58:F68" si="19">+E5</f>
        <v>17697.599999997099</v>
      </c>
      <c r="G58" s="83">
        <v>0</v>
      </c>
      <c r="H58" s="83">
        <f>+E58</f>
        <v>3.7333517766412402E-2</v>
      </c>
      <c r="I58" s="83">
        <f>+H58-H59</f>
        <v>1.6164549070999054E-3</v>
      </c>
      <c r="J58" s="83">
        <f>IF(+'Sismo UBC-94 y Dinamico'!P34=0,'Sismo UBC-94 y Dinamico'!N34,'Sismo UBC-94 y Dinamico'!P34)</f>
        <v>887.86379268612018</v>
      </c>
      <c r="K58" s="83">
        <f t="shared" ref="K58:K68" si="20">+C58</f>
        <v>38.5</v>
      </c>
      <c r="L58" s="83">
        <f>+G58*I58</f>
        <v>0</v>
      </c>
      <c r="M58" s="83">
        <f>+J58*K58</f>
        <v>34182.756018415625</v>
      </c>
      <c r="N58" s="83">
        <f>+L58/M58</f>
        <v>0</v>
      </c>
      <c r="O58" s="83" t="str">
        <f>+IF(N58&gt;O57,"P-DELTA","OK")</f>
        <v>OK</v>
      </c>
    </row>
    <row r="59" spans="2:16" s="83" customFormat="1" x14ac:dyDescent="0.3">
      <c r="B59" s="53" t="s">
        <v>187</v>
      </c>
      <c r="C59" s="53">
        <v>35.5</v>
      </c>
      <c r="D59" s="53" t="s">
        <v>72</v>
      </c>
      <c r="E59" s="53">
        <f>+'Irre. Torsional'!E43</f>
        <v>3.5717062859312497E-2</v>
      </c>
      <c r="F59" s="165">
        <f t="shared" si="19"/>
        <v>322142.756249887</v>
      </c>
      <c r="G59" s="83">
        <f>+F59</f>
        <v>322142.756249887</v>
      </c>
      <c r="H59" s="83">
        <f t="shared" ref="H59:H68" si="21">+E59</f>
        <v>3.5717062859312497E-2</v>
      </c>
      <c r="I59" s="83">
        <f>+H59-H60</f>
        <v>1.9614187846630979E-3</v>
      </c>
      <c r="J59" s="172">
        <f>IF(+'Sismo UBC-94 y Dinamico'!P35=0,'Sismo UBC-94 y Dinamico'!N35,'Sismo UBC-94 y Dinamico'!P35)</f>
        <v>12277.926322909152</v>
      </c>
      <c r="K59" s="172">
        <f t="shared" si="20"/>
        <v>35.5</v>
      </c>
      <c r="L59" s="83">
        <f>+G59*I59</f>
        <v>631.85685345167394</v>
      </c>
      <c r="M59" s="83">
        <f>+J59*K59</f>
        <v>435866.38446327491</v>
      </c>
      <c r="N59" s="83">
        <f>+L59/M59</f>
        <v>1.4496572251832206E-3</v>
      </c>
      <c r="O59" s="83" t="str">
        <f>+IF(N59&gt;O58,"P-DELTA","OK")</f>
        <v>OK</v>
      </c>
    </row>
    <row r="60" spans="2:16" s="83" customFormat="1" x14ac:dyDescent="0.3">
      <c r="B60" s="53" t="s">
        <v>185</v>
      </c>
      <c r="C60" s="53">
        <v>32</v>
      </c>
      <c r="D60" s="53" t="s">
        <v>72</v>
      </c>
      <c r="E60" s="53">
        <f>+'Irre. Torsional'!E44</f>
        <v>3.3755644074649399E-2</v>
      </c>
      <c r="F60" s="165">
        <f t="shared" si="19"/>
        <v>621424.31249979802</v>
      </c>
      <c r="G60" s="83">
        <f>+F60-F59</f>
        <v>299281.55624991102</v>
      </c>
      <c r="H60" s="83">
        <f t="shared" si="21"/>
        <v>3.3755644074649399E-2</v>
      </c>
      <c r="I60" s="83">
        <f>+H60-H61</f>
        <v>2.5754091683687988E-3</v>
      </c>
      <c r="J60" s="172">
        <f>IF(+'Sismo UBC-94 y Dinamico'!P36=0,'Sismo UBC-94 y Dinamico'!N36,'Sismo UBC-94 y Dinamico'!P36)</f>
        <v>13272.813893220522</v>
      </c>
      <c r="K60" s="172">
        <f t="shared" si="20"/>
        <v>32</v>
      </c>
      <c r="L60" s="83">
        <f>+G60*I60</f>
        <v>770.7724638897032</v>
      </c>
      <c r="M60" s="83">
        <f>+J60*K60</f>
        <v>424730.0445830567</v>
      </c>
      <c r="N60" s="83">
        <f>+L60/M60</f>
        <v>1.8147349680579926E-3</v>
      </c>
      <c r="O60" s="83" t="str">
        <f>+IF(N60&gt;O59,"P-DELTA","OK")</f>
        <v>OK</v>
      </c>
    </row>
    <row r="61" spans="2:16" s="83" customFormat="1" x14ac:dyDescent="0.3">
      <c r="B61" s="53" t="s">
        <v>183</v>
      </c>
      <c r="C61" s="53">
        <v>28.5</v>
      </c>
      <c r="D61" s="53" t="s">
        <v>72</v>
      </c>
      <c r="E61" s="53">
        <f>+'Irre. Torsional'!E45</f>
        <v>3.11802349062806E-2</v>
      </c>
      <c r="F61" s="165">
        <f t="shared" si="19"/>
        <v>920705.86874970596</v>
      </c>
      <c r="G61" s="83">
        <f t="shared" ref="G61:G68" si="22">+F61-F60</f>
        <v>299281.55624990794</v>
      </c>
      <c r="H61" s="83">
        <f t="shared" si="21"/>
        <v>3.11802349062806E-2</v>
      </c>
      <c r="I61" s="83">
        <f>+H61-H62</f>
        <v>3.1119386425386003E-3</v>
      </c>
      <c r="J61" s="172">
        <f>IF(+'Sismo UBC-94 y Dinamico'!P37=0,'Sismo UBC-94 y Dinamico'!N37,'Sismo UBC-94 y Dinamico'!P37)</f>
        <v>10872.294549000089</v>
      </c>
      <c r="K61" s="172">
        <f t="shared" si="20"/>
        <v>28.5</v>
      </c>
      <c r="L61" s="83">
        <f>+G61*I61</f>
        <v>931.34583989317821</v>
      </c>
      <c r="M61" s="83">
        <f>+J61*K61</f>
        <v>309860.39464650257</v>
      </c>
      <c r="N61" s="83">
        <f>+L61/M61</f>
        <v>3.0056950032471353E-3</v>
      </c>
      <c r="O61" s="83" t="str">
        <f>+IF(N61&gt;O60,"P-DELTA","OK")</f>
        <v>OK</v>
      </c>
    </row>
    <row r="62" spans="2:16" s="83" customFormat="1" x14ac:dyDescent="0.3">
      <c r="B62" s="53" t="s">
        <v>181</v>
      </c>
      <c r="C62" s="53">
        <v>25</v>
      </c>
      <c r="D62" s="53" t="s">
        <v>72</v>
      </c>
      <c r="E62" s="53">
        <f>+'Irre. Torsional'!E46</f>
        <v>2.8068296263742E-2</v>
      </c>
      <c r="F62" s="165">
        <f t="shared" si="19"/>
        <v>1219987.4249996501</v>
      </c>
      <c r="G62" s="83">
        <f t="shared" si="22"/>
        <v>299281.55624994414</v>
      </c>
      <c r="H62" s="83">
        <f t="shared" si="21"/>
        <v>2.8068296263742E-2</v>
      </c>
      <c r="I62" s="83">
        <f>+H62-H63</f>
        <v>3.5364246027144997E-3</v>
      </c>
      <c r="J62" s="172">
        <f>IF(+'Sismo UBC-94 y Dinamico'!P38=0,'Sismo UBC-94 y Dinamico'!N38,'Sismo UBC-94 y Dinamico'!P38)</f>
        <v>8951.2609540100784</v>
      </c>
      <c r="K62" s="172">
        <f t="shared" si="20"/>
        <v>25</v>
      </c>
      <c r="L62" s="83">
        <f>+G62*I62</f>
        <v>1058.3866586609859</v>
      </c>
      <c r="M62" s="83">
        <f>+J62*K62</f>
        <v>223781.52385025195</v>
      </c>
      <c r="N62" s="83">
        <f>+L62/M62</f>
        <v>4.7295533628112533E-3</v>
      </c>
      <c r="O62" s="83" t="str">
        <f>+IF(N62&gt;O61,"P-DELTA","OK")</f>
        <v>OK</v>
      </c>
    </row>
    <row r="63" spans="2:16" s="158" customFormat="1" x14ac:dyDescent="0.3">
      <c r="B63" s="53" t="s">
        <v>179</v>
      </c>
      <c r="C63" s="53">
        <v>21.5</v>
      </c>
      <c r="D63" s="53" t="s">
        <v>72</v>
      </c>
      <c r="E63" s="53">
        <f>+'Irre. Torsional'!E47</f>
        <v>2.45318716610275E-2</v>
      </c>
      <c r="F63" s="165">
        <f t="shared" si="19"/>
        <v>1519268.9812495899</v>
      </c>
      <c r="G63" s="165">
        <f t="shared" si="22"/>
        <v>299281.55624993984</v>
      </c>
      <c r="H63" s="165">
        <f t="shared" si="21"/>
        <v>2.45318716610275E-2</v>
      </c>
      <c r="I63" s="165">
        <f t="shared" ref="I63:I68" si="23">+H63-H64</f>
        <v>3.8627620844386007E-3</v>
      </c>
      <c r="J63" s="172">
        <f>IF(+'Sismo UBC-94 y Dinamico'!P39=0,'Sismo UBC-94 y Dinamico'!N39,'Sismo UBC-94 y Dinamico'!P39)</f>
        <v>7562.0838801614236</v>
      </c>
      <c r="K63" s="172">
        <f t="shared" si="20"/>
        <v>21.5</v>
      </c>
      <c r="L63" s="165">
        <f t="shared" ref="L63:L68" si="24">+G63*I63</f>
        <v>1156.0534480540459</v>
      </c>
      <c r="M63" s="165">
        <f t="shared" ref="M63:M68" si="25">+J63*K63</f>
        <v>162584.80342347061</v>
      </c>
      <c r="N63" s="165">
        <f t="shared" ref="N63:N68" si="26">+L63/M63</f>
        <v>7.1104643466768126E-3</v>
      </c>
      <c r="O63" s="165" t="str">
        <f t="shared" ref="O63:O68" si="27">+IF(N63&gt;O62,"P-DELTA","OK")</f>
        <v>OK</v>
      </c>
    </row>
    <row r="64" spans="2:16" s="158" customFormat="1" x14ac:dyDescent="0.3">
      <c r="B64" s="53" t="s">
        <v>39</v>
      </c>
      <c r="C64" s="53">
        <v>18</v>
      </c>
      <c r="D64" s="53" t="s">
        <v>72</v>
      </c>
      <c r="E64" s="53">
        <f>+'Irre. Torsional'!E48</f>
        <v>2.06691095765889E-2</v>
      </c>
      <c r="F64" s="165">
        <f t="shared" si="19"/>
        <v>1818550.53749954</v>
      </c>
      <c r="G64" s="165">
        <f t="shared" si="22"/>
        <v>299281.55624995008</v>
      </c>
      <c r="H64" s="165">
        <f t="shared" si="21"/>
        <v>2.06691095765889E-2</v>
      </c>
      <c r="I64" s="165">
        <f t="shared" si="23"/>
        <v>4.0868011061801005E-3</v>
      </c>
      <c r="J64" s="172">
        <f>IF(+'Sismo UBC-94 y Dinamico'!P40=0,'Sismo UBC-94 y Dinamico'!N40,'Sismo UBC-94 y Dinamico'!P40)</f>
        <v>6602.385513689921</v>
      </c>
      <c r="K64" s="172">
        <f t="shared" si="20"/>
        <v>18</v>
      </c>
      <c r="L64" s="165">
        <f t="shared" si="24"/>
        <v>1223.104195141598</v>
      </c>
      <c r="M64" s="165">
        <f t="shared" si="25"/>
        <v>118842.93924641858</v>
      </c>
      <c r="N64" s="165">
        <f t="shared" si="26"/>
        <v>1.0291769985640582E-2</v>
      </c>
      <c r="O64" s="165" t="str">
        <f t="shared" si="27"/>
        <v>OK</v>
      </c>
    </row>
    <row r="65" spans="2:16" s="158" customFormat="1" x14ac:dyDescent="0.3">
      <c r="B65" s="53" t="s">
        <v>26</v>
      </c>
      <c r="C65" s="53">
        <v>14.5</v>
      </c>
      <c r="D65" s="53" t="s">
        <v>72</v>
      </c>
      <c r="E65" s="53">
        <f>+'Irre. Torsional'!E49</f>
        <v>1.6582308470408799E-2</v>
      </c>
      <c r="F65" s="165">
        <f t="shared" si="19"/>
        <v>2119142.4937494998</v>
      </c>
      <c r="G65" s="165">
        <f t="shared" si="22"/>
        <v>300591.95624995977</v>
      </c>
      <c r="H65" s="165">
        <f t="shared" si="21"/>
        <v>1.6582308470408799E-2</v>
      </c>
      <c r="I65" s="165">
        <f t="shared" si="23"/>
        <v>4.2336455339994986E-3</v>
      </c>
      <c r="J65" s="172">
        <f>IF(+'Sismo UBC-94 y Dinamico'!P41=0,'Sismo UBC-94 y Dinamico'!N41,'Sismo UBC-94 y Dinamico'!P41)</f>
        <v>5915.76282274404</v>
      </c>
      <c r="K65" s="172">
        <f t="shared" si="20"/>
        <v>14.5</v>
      </c>
      <c r="L65" s="165">
        <f t="shared" si="24"/>
        <v>1272.5997931338147</v>
      </c>
      <c r="M65" s="165">
        <f t="shared" si="25"/>
        <v>85778.560929788582</v>
      </c>
      <c r="N65" s="165">
        <f t="shared" si="26"/>
        <v>1.4835872499370354E-2</v>
      </c>
      <c r="O65" s="165" t="str">
        <f t="shared" si="27"/>
        <v>OK</v>
      </c>
    </row>
    <row r="66" spans="2:16" s="158" customFormat="1" x14ac:dyDescent="0.3">
      <c r="B66" s="53" t="s">
        <v>25</v>
      </c>
      <c r="C66" s="53">
        <v>11</v>
      </c>
      <c r="D66" s="53" t="s">
        <v>72</v>
      </c>
      <c r="E66" s="53">
        <f>+'Irre. Torsional'!E50</f>
        <v>1.2348662936409301E-2</v>
      </c>
      <c r="F66" s="165">
        <f t="shared" si="19"/>
        <v>2419734.44999944</v>
      </c>
      <c r="G66" s="165">
        <f t="shared" si="22"/>
        <v>300591.95624994021</v>
      </c>
      <c r="H66" s="165">
        <f t="shared" si="21"/>
        <v>1.2348662936409301E-2</v>
      </c>
      <c r="I66" s="165">
        <f t="shared" si="23"/>
        <v>4.3086857161881899E-3</v>
      </c>
      <c r="J66" s="172">
        <f>IF(+'Sismo UBC-94 y Dinamico'!P42=0,'Sismo UBC-94 y Dinamico'!N42,'Sismo UBC-94 y Dinamico'!P42)</f>
        <v>5191.3727290577781</v>
      </c>
      <c r="K66" s="172">
        <f t="shared" si="20"/>
        <v>11</v>
      </c>
      <c r="L66" s="165">
        <f t="shared" si="24"/>
        <v>1295.1562682951826</v>
      </c>
      <c r="M66" s="165">
        <f t="shared" si="25"/>
        <v>57105.10001963556</v>
      </c>
      <c r="N66" s="165">
        <f t="shared" si="26"/>
        <v>2.2680220643162236E-2</v>
      </c>
      <c r="O66" s="165" t="str">
        <f t="shared" si="27"/>
        <v>OK</v>
      </c>
    </row>
    <row r="67" spans="2:16" s="158" customFormat="1" x14ac:dyDescent="0.3">
      <c r="B67" s="53" t="s">
        <v>24</v>
      </c>
      <c r="C67" s="53">
        <v>7.5</v>
      </c>
      <c r="D67" s="53" t="s">
        <v>72</v>
      </c>
      <c r="E67" s="53">
        <f>+'Irre. Torsional'!E51</f>
        <v>8.0399772202211107E-3</v>
      </c>
      <c r="F67" s="165">
        <f t="shared" si="19"/>
        <v>2720326.4062494002</v>
      </c>
      <c r="G67" s="165">
        <f t="shared" si="22"/>
        <v>300591.95624996023</v>
      </c>
      <c r="H67" s="165">
        <f t="shared" si="21"/>
        <v>8.0399772202211107E-3</v>
      </c>
      <c r="I67" s="165">
        <f t="shared" si="23"/>
        <v>4.2476559985573908E-3</v>
      </c>
      <c r="J67" s="172">
        <f>IF(+'Sismo UBC-94 y Dinamico'!P43=0,'Sismo UBC-94 y Dinamico'!N43,'Sismo UBC-94 y Dinamico'!P43)</f>
        <v>4162.1395894002253</v>
      </c>
      <c r="K67" s="172">
        <f t="shared" si="20"/>
        <v>7.5</v>
      </c>
      <c r="L67" s="165">
        <f t="shared" si="24"/>
        <v>1276.8112260832443</v>
      </c>
      <c r="M67" s="165">
        <f t="shared" si="25"/>
        <v>31216.046920501689</v>
      </c>
      <c r="N67" s="165">
        <f t="shared" si="26"/>
        <v>4.0902399632308212E-2</v>
      </c>
      <c r="O67" s="165" t="str">
        <f t="shared" si="27"/>
        <v>OK</v>
      </c>
    </row>
    <row r="68" spans="2:16" s="158" customFormat="1" x14ac:dyDescent="0.3">
      <c r="B68" s="53" t="s">
        <v>22</v>
      </c>
      <c r="C68" s="53">
        <v>4</v>
      </c>
      <c r="D68" s="53" t="s">
        <v>72</v>
      </c>
      <c r="E68" s="53">
        <f>+'Irre. Torsional'!E52</f>
        <v>3.7923212216637199E-3</v>
      </c>
      <c r="F68" s="165">
        <f t="shared" si="19"/>
        <v>3103718.3624993698</v>
      </c>
      <c r="G68" s="165">
        <f t="shared" si="22"/>
        <v>383391.95624996955</v>
      </c>
      <c r="H68" s="165">
        <f t="shared" si="21"/>
        <v>3.7923212216637199E-3</v>
      </c>
      <c r="I68" s="165">
        <f t="shared" si="23"/>
        <v>3.7923212216637199E-3</v>
      </c>
      <c r="J68" s="172">
        <f>IF(+'Sismo UBC-94 y Dinamico'!P44=0,'Sismo UBC-94 y Dinamico'!N44,'Sismo UBC-94 y Dinamico'!P44)</f>
        <v>2497.7767080270305</v>
      </c>
      <c r="K68" s="172">
        <f t="shared" si="20"/>
        <v>4</v>
      </c>
      <c r="L68" s="165">
        <f t="shared" si="24"/>
        <v>1453.945451901928</v>
      </c>
      <c r="M68" s="165">
        <f t="shared" si="25"/>
        <v>9991.106832108122</v>
      </c>
      <c r="N68" s="165">
        <f t="shared" si="26"/>
        <v>0.14552396209291116</v>
      </c>
      <c r="O68" s="165" t="str">
        <f t="shared" si="27"/>
        <v>OK</v>
      </c>
    </row>
    <row r="69" spans="2:16" s="83" customFormat="1" x14ac:dyDescent="0.3">
      <c r="B69" s="53" t="s">
        <v>44</v>
      </c>
      <c r="C69" s="53">
        <v>0</v>
      </c>
      <c r="D69" s="53" t="s">
        <v>72</v>
      </c>
      <c r="E69" s="53">
        <v>0</v>
      </c>
    </row>
    <row r="70" spans="2:16" s="83" customFormat="1" x14ac:dyDescent="0.3"/>
    <row r="71" spans="2:16" s="83" customFormat="1" x14ac:dyDescent="0.3"/>
    <row r="72" spans="2:16" s="83" customFormat="1" x14ac:dyDescent="0.3">
      <c r="B72" s="9" t="s">
        <v>82</v>
      </c>
    </row>
    <row r="73" spans="2:16" s="83" customFormat="1" x14ac:dyDescent="0.3">
      <c r="B73" s="84" t="s">
        <v>68</v>
      </c>
      <c r="C73" s="85"/>
      <c r="D73" s="85"/>
      <c r="E73" s="205" t="s">
        <v>73</v>
      </c>
      <c r="F73" s="205"/>
      <c r="G73" s="205"/>
      <c r="H73" s="205"/>
      <c r="I73" s="205"/>
      <c r="J73" s="205"/>
      <c r="K73" s="205"/>
      <c r="L73" s="205"/>
      <c r="M73" s="205"/>
      <c r="N73" s="205"/>
      <c r="O73" s="178"/>
      <c r="P73" s="180"/>
    </row>
    <row r="74" spans="2:16" s="83" customFormat="1" x14ac:dyDescent="0.3">
      <c r="B74" s="86" t="s">
        <v>9</v>
      </c>
      <c r="C74" s="86" t="s">
        <v>69</v>
      </c>
      <c r="D74" s="86" t="s">
        <v>47</v>
      </c>
      <c r="E74" s="87" t="s">
        <v>71</v>
      </c>
      <c r="F74" s="82" t="s">
        <v>104</v>
      </c>
      <c r="G74" s="82" t="s">
        <v>105</v>
      </c>
      <c r="H74" s="82" t="s">
        <v>71</v>
      </c>
      <c r="I74" s="82" t="s">
        <v>106</v>
      </c>
      <c r="J74" s="82" t="s">
        <v>153</v>
      </c>
      <c r="K74" s="82" t="s">
        <v>108</v>
      </c>
      <c r="L74" s="82" t="s">
        <v>109</v>
      </c>
      <c r="M74" s="82" t="s">
        <v>110</v>
      </c>
      <c r="N74" s="82" t="s">
        <v>111</v>
      </c>
      <c r="O74" s="82" t="s">
        <v>113</v>
      </c>
    </row>
    <row r="75" spans="2:16" s="83" customFormat="1" x14ac:dyDescent="0.3">
      <c r="B75" s="173"/>
      <c r="C75" s="173" t="s">
        <v>7</v>
      </c>
      <c r="D75" s="173"/>
      <c r="E75" s="174" t="s">
        <v>7</v>
      </c>
      <c r="F75" s="82" t="s">
        <v>41</v>
      </c>
      <c r="G75" s="82" t="s">
        <v>41</v>
      </c>
      <c r="H75" s="82" t="s">
        <v>7</v>
      </c>
      <c r="I75" s="82" t="s">
        <v>7</v>
      </c>
      <c r="J75" s="82" t="s">
        <v>41</v>
      </c>
      <c r="K75" s="82" t="s">
        <v>7</v>
      </c>
      <c r="L75" s="82"/>
      <c r="M75" s="82"/>
      <c r="N75" s="82"/>
      <c r="O75" s="82">
        <v>1.1000000000000001</v>
      </c>
    </row>
    <row r="76" spans="2:16" s="83" customFormat="1" x14ac:dyDescent="0.3">
      <c r="B76" s="53" t="s">
        <v>189</v>
      </c>
      <c r="C76" s="53">
        <v>38.5</v>
      </c>
      <c r="D76" s="53" t="s">
        <v>72</v>
      </c>
      <c r="E76" s="53">
        <f>+'Irre. Torsional'!E60</f>
        <v>3.0800208210094701E-2</v>
      </c>
      <c r="F76" s="83">
        <f t="shared" ref="F76:F86" si="28">+E5</f>
        <v>17697.599999997099</v>
      </c>
      <c r="G76" s="83">
        <v>0</v>
      </c>
      <c r="H76" s="83">
        <f>+E76</f>
        <v>3.0800208210094701E-2</v>
      </c>
      <c r="I76" s="83">
        <f>+H76-H77</f>
        <v>-2.1059633275644016E-3</v>
      </c>
      <c r="J76" s="83">
        <f>+J58</f>
        <v>887.86379268612018</v>
      </c>
      <c r="K76" s="83">
        <f t="shared" ref="K76:K86" si="29">+C76</f>
        <v>38.5</v>
      </c>
      <c r="L76" s="83">
        <f>+G76*I76</f>
        <v>0</v>
      </c>
      <c r="M76" s="83">
        <f>+J76*K76</f>
        <v>34182.756018415625</v>
      </c>
      <c r="N76" s="83">
        <f>+L76/M76</f>
        <v>0</v>
      </c>
      <c r="O76" s="83" t="str">
        <f>+IF(N76&gt;O75,"P-DELTA","OK")</f>
        <v>OK</v>
      </c>
    </row>
    <row r="77" spans="2:16" s="83" customFormat="1" x14ac:dyDescent="0.3">
      <c r="B77" s="53" t="s">
        <v>187</v>
      </c>
      <c r="C77" s="53">
        <v>35.5</v>
      </c>
      <c r="D77" s="53" t="s">
        <v>72</v>
      </c>
      <c r="E77" s="53">
        <f>+'Irre. Torsional'!E61</f>
        <v>3.2906171537659103E-2</v>
      </c>
      <c r="F77" s="165">
        <f t="shared" si="28"/>
        <v>322142.756249887</v>
      </c>
      <c r="G77" s="83">
        <f>+F77</f>
        <v>322142.756249887</v>
      </c>
      <c r="H77" s="83">
        <f>+E77</f>
        <v>3.2906171537659103E-2</v>
      </c>
      <c r="I77" s="83">
        <f>+H77-H78</f>
        <v>1.3353468265221019E-3</v>
      </c>
      <c r="J77" s="172">
        <f t="shared" ref="J77:J86" si="30">+J59</f>
        <v>12277.926322909152</v>
      </c>
      <c r="K77" s="172">
        <f t="shared" si="29"/>
        <v>35.5</v>
      </c>
      <c r="L77" s="83">
        <f>+G77*I77</f>
        <v>430.17230724536961</v>
      </c>
      <c r="M77" s="83">
        <f>+J77*K77</f>
        <v>435866.38446327491</v>
      </c>
      <c r="N77" s="83">
        <f>+L77/M77</f>
        <v>9.8693618636152224E-4</v>
      </c>
      <c r="O77" s="83" t="str">
        <f>+IF(N77&gt;O76,"P-DELTA","OK")</f>
        <v>OK</v>
      </c>
    </row>
    <row r="78" spans="2:16" s="83" customFormat="1" x14ac:dyDescent="0.3">
      <c r="B78" s="53" t="s">
        <v>185</v>
      </c>
      <c r="C78" s="53">
        <v>32</v>
      </c>
      <c r="D78" s="53" t="s">
        <v>72</v>
      </c>
      <c r="E78" s="53">
        <f>+'Irre. Torsional'!E62</f>
        <v>3.1570824711137001E-2</v>
      </c>
      <c r="F78" s="165">
        <f t="shared" si="28"/>
        <v>621424.31249979802</v>
      </c>
      <c r="G78" s="83">
        <f>+F78-F77</f>
        <v>299281.55624991102</v>
      </c>
      <c r="H78" s="83">
        <f>+E78</f>
        <v>3.1570824711137001E-2</v>
      </c>
      <c r="I78" s="83">
        <f>+H78-H79</f>
        <v>2.0028784185007024E-3</v>
      </c>
      <c r="J78" s="172">
        <f t="shared" si="30"/>
        <v>13272.813893220522</v>
      </c>
      <c r="K78" s="172">
        <f t="shared" si="29"/>
        <v>32</v>
      </c>
      <c r="L78" s="83">
        <f>+G78*I78</f>
        <v>599.42457006825077</v>
      </c>
      <c r="M78" s="83">
        <f>+J78*K78</f>
        <v>424730.0445830567</v>
      </c>
      <c r="N78" s="83">
        <f>+L78/M78</f>
        <v>1.4113072002162829E-3</v>
      </c>
      <c r="O78" s="83" t="str">
        <f>+IF(N78&gt;O77,"P-DELTA","OK")</f>
        <v>OK</v>
      </c>
    </row>
    <row r="79" spans="2:16" s="83" customFormat="1" x14ac:dyDescent="0.3">
      <c r="B79" s="53" t="s">
        <v>183</v>
      </c>
      <c r="C79" s="53">
        <v>28.5</v>
      </c>
      <c r="D79" s="53" t="s">
        <v>72</v>
      </c>
      <c r="E79" s="53">
        <f>+'Irre. Torsional'!E63</f>
        <v>2.9567946292636298E-2</v>
      </c>
      <c r="F79" s="165">
        <f t="shared" si="28"/>
        <v>920705.86874970596</v>
      </c>
      <c r="G79" s="83">
        <f t="shared" ref="G79:G86" si="31">+F79-F78</f>
        <v>299281.55624990794</v>
      </c>
      <c r="H79" s="83">
        <f>+E79</f>
        <v>2.9567946292636298E-2</v>
      </c>
      <c r="I79" s="83">
        <f>+H79-H80</f>
        <v>2.6013436271069973E-3</v>
      </c>
      <c r="J79" s="172">
        <f t="shared" si="30"/>
        <v>10872.294549000089</v>
      </c>
      <c r="K79" s="172">
        <f t="shared" si="29"/>
        <v>28.5</v>
      </c>
      <c r="L79" s="83">
        <f>+G79*I79</f>
        <v>778.53416906136238</v>
      </c>
      <c r="M79" s="83">
        <f>+J79*K79</f>
        <v>309860.39464650257</v>
      </c>
      <c r="N79" s="83">
        <f>+L79/M79</f>
        <v>2.5125320386606234E-3</v>
      </c>
      <c r="O79" s="83" t="str">
        <f>+IF(N79&gt;O78,"P-DELTA","OK")</f>
        <v>OK</v>
      </c>
    </row>
    <row r="80" spans="2:16" s="83" customFormat="1" x14ac:dyDescent="0.3">
      <c r="B80" s="53" t="s">
        <v>181</v>
      </c>
      <c r="C80" s="53">
        <v>25</v>
      </c>
      <c r="D80" s="53" t="s">
        <v>72</v>
      </c>
      <c r="E80" s="53">
        <f>+'Irre. Torsional'!E64</f>
        <v>2.6966602665529301E-2</v>
      </c>
      <c r="F80" s="165">
        <f t="shared" si="28"/>
        <v>1219987.4249996501</v>
      </c>
      <c r="G80" s="83">
        <f t="shared" si="31"/>
        <v>299281.55624994414</v>
      </c>
      <c r="H80" s="83">
        <f>+E80</f>
        <v>2.6966602665529301E-2</v>
      </c>
      <c r="I80" s="83">
        <f>+H80-H81</f>
        <v>3.0892219020337008E-3</v>
      </c>
      <c r="J80" s="172">
        <f t="shared" si="30"/>
        <v>8951.2609540100784</v>
      </c>
      <c r="K80" s="172">
        <f t="shared" si="29"/>
        <v>25</v>
      </c>
      <c r="L80" s="83">
        <f>+G80*I80</f>
        <v>924.54713844205844</v>
      </c>
      <c r="M80" s="83">
        <f>+J80*K80</f>
        <v>223781.52385025195</v>
      </c>
      <c r="N80" s="83">
        <f>+L80/M80</f>
        <v>4.1314721722099735E-3</v>
      </c>
      <c r="O80" s="83" t="str">
        <f>+IF(N80&gt;O79,"P-DELTA","OK")</f>
        <v>OK</v>
      </c>
    </row>
    <row r="81" spans="2:15" s="83" customFormat="1" x14ac:dyDescent="0.3">
      <c r="B81" s="53" t="s">
        <v>179</v>
      </c>
      <c r="C81" s="53">
        <v>21.5</v>
      </c>
      <c r="D81" s="53" t="s">
        <v>72</v>
      </c>
      <c r="E81" s="53">
        <f>+'Irre. Torsional'!E65</f>
        <v>2.38773807634956E-2</v>
      </c>
      <c r="F81" s="165">
        <f t="shared" si="28"/>
        <v>1519268.9812495899</v>
      </c>
      <c r="G81" s="165">
        <f t="shared" si="31"/>
        <v>299281.55624993984</v>
      </c>
      <c r="H81" s="165">
        <f t="shared" ref="H81:H86" si="32">+E81</f>
        <v>2.38773807634956E-2</v>
      </c>
      <c r="I81" s="165">
        <f t="shared" ref="I81:I86" si="33">+H81-H82</f>
        <v>3.4854582123170011E-3</v>
      </c>
      <c r="J81" s="172">
        <f t="shared" si="30"/>
        <v>7562.0838801614236</v>
      </c>
      <c r="K81" s="172">
        <f t="shared" si="29"/>
        <v>21.5</v>
      </c>
      <c r="L81" s="165">
        <f t="shared" ref="L81:L86" si="34">+G81*I81</f>
        <v>1043.1333580263654</v>
      </c>
      <c r="M81" s="165">
        <f t="shared" ref="M81:M86" si="35">+J81*K81</f>
        <v>162584.80342347061</v>
      </c>
      <c r="N81" s="165">
        <f t="shared" ref="N81:N86" si="36">+L81/M81</f>
        <v>6.4159339376227307E-3</v>
      </c>
      <c r="O81" s="165" t="str">
        <f t="shared" ref="O81:O86" si="37">+IF(N81&gt;O80,"P-DELTA","OK")</f>
        <v>OK</v>
      </c>
    </row>
    <row r="82" spans="2:15" s="83" customFormat="1" x14ac:dyDescent="0.3">
      <c r="B82" s="53" t="s">
        <v>39</v>
      </c>
      <c r="C82" s="53">
        <v>18</v>
      </c>
      <c r="D82" s="53" t="s">
        <v>72</v>
      </c>
      <c r="E82" s="53">
        <f>+'Irre. Torsional'!E66</f>
        <v>2.0391922551178599E-2</v>
      </c>
      <c r="F82" s="165">
        <f t="shared" si="28"/>
        <v>1818550.53749954</v>
      </c>
      <c r="G82" s="165">
        <f t="shared" si="31"/>
        <v>299281.55624995008</v>
      </c>
      <c r="H82" s="165">
        <f t="shared" si="32"/>
        <v>2.0391922551178599E-2</v>
      </c>
      <c r="I82" s="165">
        <f t="shared" si="33"/>
        <v>3.8099304252060991E-3</v>
      </c>
      <c r="J82" s="172">
        <f t="shared" si="30"/>
        <v>6602.385513689921</v>
      </c>
      <c r="K82" s="172">
        <f t="shared" si="29"/>
        <v>18</v>
      </c>
      <c r="L82" s="165">
        <f t="shared" si="34"/>
        <v>1140.2419068597153</v>
      </c>
      <c r="M82" s="165">
        <f t="shared" si="35"/>
        <v>118842.93924641858</v>
      </c>
      <c r="N82" s="165">
        <f t="shared" si="36"/>
        <v>9.5945279887048682E-3</v>
      </c>
      <c r="O82" s="165" t="str">
        <f t="shared" si="37"/>
        <v>OK</v>
      </c>
    </row>
    <row r="83" spans="2:15" s="83" customFormat="1" x14ac:dyDescent="0.3">
      <c r="B83" s="53" t="s">
        <v>26</v>
      </c>
      <c r="C83" s="53">
        <v>14.5</v>
      </c>
      <c r="D83" s="53" t="s">
        <v>72</v>
      </c>
      <c r="E83" s="53">
        <f>+'Irre. Torsional'!E67</f>
        <v>1.65819921259725E-2</v>
      </c>
      <c r="F83" s="165">
        <f t="shared" si="28"/>
        <v>2119142.4937494998</v>
      </c>
      <c r="G83" s="165">
        <f t="shared" si="31"/>
        <v>300591.95624995977</v>
      </c>
      <c r="H83" s="165">
        <f t="shared" si="32"/>
        <v>1.65819921259725E-2</v>
      </c>
      <c r="I83" s="165">
        <f t="shared" si="33"/>
        <v>4.0683353828482004E-3</v>
      </c>
      <c r="J83" s="172">
        <f t="shared" si="30"/>
        <v>5915.76282274404</v>
      </c>
      <c r="K83" s="172">
        <f t="shared" si="29"/>
        <v>14.5</v>
      </c>
      <c r="L83" s="165">
        <f t="shared" si="34"/>
        <v>1222.9088914112695</v>
      </c>
      <c r="M83" s="165">
        <f t="shared" si="35"/>
        <v>85778.560929788582</v>
      </c>
      <c r="N83" s="165">
        <f t="shared" si="36"/>
        <v>1.4256579711243281E-2</v>
      </c>
      <c r="O83" s="165" t="str">
        <f t="shared" si="37"/>
        <v>OK</v>
      </c>
    </row>
    <row r="84" spans="2:15" s="83" customFormat="1" x14ac:dyDescent="0.3">
      <c r="B84" s="53" t="s">
        <v>25</v>
      </c>
      <c r="C84" s="53">
        <v>11</v>
      </c>
      <c r="D84" s="53" t="s">
        <v>72</v>
      </c>
      <c r="E84" s="53">
        <f>+'Irre. Torsional'!E68</f>
        <v>1.25136567431243E-2</v>
      </c>
      <c r="F84" s="165">
        <f t="shared" si="28"/>
        <v>2419734.44999944</v>
      </c>
      <c r="G84" s="165">
        <f t="shared" si="31"/>
        <v>300591.95624994021</v>
      </c>
      <c r="H84" s="165">
        <f t="shared" si="32"/>
        <v>1.25136567431243E-2</v>
      </c>
      <c r="I84" s="165">
        <f t="shared" si="33"/>
        <v>4.2514322727194905E-3</v>
      </c>
      <c r="J84" s="172">
        <f t="shared" si="30"/>
        <v>5191.3727290577781</v>
      </c>
      <c r="K84" s="172">
        <f t="shared" si="29"/>
        <v>11</v>
      </c>
      <c r="L84" s="165">
        <f t="shared" si="34"/>
        <v>1277.946343720881</v>
      </c>
      <c r="M84" s="165">
        <f t="shared" si="35"/>
        <v>57105.10001963556</v>
      </c>
      <c r="N84" s="165">
        <f t="shared" si="36"/>
        <v>2.2378847831129967E-2</v>
      </c>
      <c r="O84" s="165" t="str">
        <f t="shared" si="37"/>
        <v>OK</v>
      </c>
    </row>
    <row r="85" spans="2:15" s="83" customFormat="1" x14ac:dyDescent="0.3">
      <c r="B85" s="53" t="s">
        <v>24</v>
      </c>
      <c r="C85" s="53">
        <v>7.5</v>
      </c>
      <c r="D85" s="53" t="s">
        <v>72</v>
      </c>
      <c r="E85" s="53">
        <f>+'Irre. Torsional'!E69</f>
        <v>8.2622244704048092E-3</v>
      </c>
      <c r="F85" s="165">
        <f t="shared" si="28"/>
        <v>2720326.4062494002</v>
      </c>
      <c r="G85" s="165">
        <f t="shared" si="31"/>
        <v>300591.95624996023</v>
      </c>
      <c r="H85" s="165">
        <f t="shared" si="32"/>
        <v>8.2622244704048092E-3</v>
      </c>
      <c r="I85" s="165">
        <f t="shared" si="33"/>
        <v>4.3069905566954295E-3</v>
      </c>
      <c r="J85" s="172">
        <f t="shared" si="30"/>
        <v>4162.1395894002253</v>
      </c>
      <c r="K85" s="172">
        <f t="shared" si="29"/>
        <v>7.5</v>
      </c>
      <c r="L85" s="165">
        <f t="shared" si="34"/>
        <v>1294.6467169871844</v>
      </c>
      <c r="M85" s="165">
        <f t="shared" si="35"/>
        <v>31216.046920501689</v>
      </c>
      <c r="N85" s="165">
        <f t="shared" si="36"/>
        <v>4.1473756119225408E-2</v>
      </c>
      <c r="O85" s="165" t="str">
        <f t="shared" si="37"/>
        <v>OK</v>
      </c>
    </row>
    <row r="86" spans="2:15" s="83" customFormat="1" x14ac:dyDescent="0.3">
      <c r="B86" s="53" t="s">
        <v>22</v>
      </c>
      <c r="C86" s="53">
        <v>4</v>
      </c>
      <c r="D86" s="53" t="s">
        <v>72</v>
      </c>
      <c r="E86" s="53">
        <f>+'Irre. Torsional'!E70</f>
        <v>3.9552339137093797E-3</v>
      </c>
      <c r="F86" s="165">
        <f t="shared" si="28"/>
        <v>3103718.3624993698</v>
      </c>
      <c r="G86" s="165">
        <f t="shared" si="31"/>
        <v>383391.95624996955</v>
      </c>
      <c r="H86" s="165">
        <f t="shared" si="32"/>
        <v>3.9552339137093797E-3</v>
      </c>
      <c r="I86" s="165">
        <f t="shared" si="33"/>
        <v>3.9552339137093797E-3</v>
      </c>
      <c r="J86" s="172">
        <f t="shared" si="30"/>
        <v>2497.7767080270305</v>
      </c>
      <c r="K86" s="172">
        <f t="shared" si="29"/>
        <v>4</v>
      </c>
      <c r="L86" s="165">
        <f t="shared" si="34"/>
        <v>1516.4048676032623</v>
      </c>
      <c r="M86" s="165">
        <f t="shared" si="35"/>
        <v>9991.106832108122</v>
      </c>
      <c r="N86" s="165">
        <f t="shared" si="36"/>
        <v>0.15177546322796162</v>
      </c>
      <c r="O86" s="165" t="str">
        <f t="shared" si="37"/>
        <v>OK</v>
      </c>
    </row>
    <row r="87" spans="2:15" s="83" customFormat="1" x14ac:dyDescent="0.3">
      <c r="B87" s="53" t="s">
        <v>44</v>
      </c>
      <c r="C87" s="53">
        <v>0</v>
      </c>
      <c r="D87" s="53" t="s">
        <v>72</v>
      </c>
      <c r="E87" s="53">
        <v>0</v>
      </c>
      <c r="F87" s="91"/>
      <c r="G87" s="91"/>
      <c r="H87" s="91"/>
      <c r="I87" s="91"/>
      <c r="J87" s="91"/>
    </row>
    <row r="88" spans="2:15" s="83" customFormat="1" x14ac:dyDescent="0.3">
      <c r="B88" s="91"/>
      <c r="C88" s="91"/>
      <c r="D88" s="91"/>
      <c r="E88" s="91"/>
      <c r="F88" s="91"/>
      <c r="G88" s="91"/>
      <c r="H88" s="91"/>
      <c r="I88" s="91"/>
      <c r="J88" s="91"/>
      <c r="K88" s="91"/>
    </row>
    <row r="89" spans="2:15" s="83" customFormat="1" x14ac:dyDescent="0.3">
      <c r="B89" s="91"/>
      <c r="C89" s="91"/>
      <c r="D89" s="91"/>
      <c r="E89" s="91"/>
      <c r="F89" s="91"/>
      <c r="G89" s="91"/>
      <c r="H89" s="91"/>
      <c r="I89" s="91"/>
      <c r="J89" s="91"/>
      <c r="K89" s="91"/>
    </row>
    <row r="90" spans="2:15" s="83" customFormat="1" x14ac:dyDescent="0.3">
      <c r="B90" s="91"/>
      <c r="C90" s="91"/>
      <c r="D90" s="91"/>
      <c r="E90" s="91"/>
      <c r="F90" s="91"/>
      <c r="G90" s="91"/>
      <c r="H90" s="91"/>
      <c r="I90" s="91"/>
      <c r="J90" s="91"/>
      <c r="K90" s="91"/>
    </row>
    <row r="91" spans="2:15" x14ac:dyDescent="0.3">
      <c r="B91" s="83"/>
      <c r="C91" s="83"/>
    </row>
    <row r="92" spans="2:15" s="83" customFormat="1" x14ac:dyDescent="0.3"/>
    <row r="93" spans="2:15" x14ac:dyDescent="0.3">
      <c r="B93" s="91"/>
      <c r="C93" s="92"/>
      <c r="D93" s="91"/>
      <c r="E93" s="91"/>
      <c r="F93" s="91"/>
      <c r="G93" s="91"/>
      <c r="H93" s="91"/>
      <c r="I93" s="91"/>
      <c r="J93" s="91"/>
      <c r="K93" s="91"/>
      <c r="L93" s="91"/>
    </row>
    <row r="94" spans="2:15" x14ac:dyDescent="0.3">
      <c r="B94" s="91"/>
      <c r="C94" s="90"/>
      <c r="D94" s="90"/>
      <c r="E94" s="90"/>
      <c r="F94" s="90"/>
      <c r="G94" s="90"/>
      <c r="H94" s="90"/>
      <c r="I94" s="90"/>
      <c r="J94" s="90"/>
      <c r="K94" s="90"/>
      <c r="L94" s="91"/>
    </row>
    <row r="95" spans="2:15" x14ac:dyDescent="0.3">
      <c r="B95" s="91"/>
      <c r="C95" s="93"/>
      <c r="D95" s="93"/>
      <c r="E95" s="93"/>
      <c r="F95" s="93"/>
      <c r="G95" s="93"/>
      <c r="H95" s="93"/>
      <c r="I95" s="93"/>
      <c r="J95" s="93"/>
      <c r="K95" s="93"/>
      <c r="L95" s="91"/>
    </row>
    <row r="96" spans="2:15" x14ac:dyDescent="0.3">
      <c r="B96" s="91"/>
      <c r="C96" s="91"/>
      <c r="D96" s="91"/>
      <c r="E96" s="91"/>
      <c r="F96" s="91"/>
      <c r="G96" s="91"/>
      <c r="H96" s="91"/>
      <c r="I96" s="91"/>
      <c r="J96" s="91"/>
      <c r="K96" s="91"/>
      <c r="L96" s="91"/>
    </row>
    <row r="97" spans="2:12" x14ac:dyDescent="0.3">
      <c r="B97" s="91"/>
      <c r="C97" s="91"/>
      <c r="D97" s="91"/>
      <c r="E97" s="91"/>
      <c r="F97" s="91"/>
      <c r="G97" s="91"/>
      <c r="H97" s="91"/>
      <c r="I97" s="91"/>
      <c r="J97" s="91"/>
      <c r="K97" s="91"/>
      <c r="L97" s="91"/>
    </row>
    <row r="98" spans="2:12" x14ac:dyDescent="0.3">
      <c r="B98" s="91"/>
      <c r="C98" s="91"/>
      <c r="D98" s="91"/>
      <c r="E98" s="91"/>
      <c r="F98" s="91"/>
      <c r="G98" s="91"/>
      <c r="H98" s="91"/>
      <c r="I98" s="91"/>
      <c r="J98" s="91"/>
      <c r="K98" s="91"/>
      <c r="L98" s="91"/>
    </row>
    <row r="99" spans="2:12" x14ac:dyDescent="0.3">
      <c r="B99" s="91"/>
      <c r="C99" s="91"/>
      <c r="D99" s="91"/>
      <c r="E99" s="91"/>
      <c r="F99" s="91"/>
      <c r="G99" s="91"/>
      <c r="H99" s="91"/>
      <c r="I99" s="91"/>
      <c r="J99" s="91"/>
      <c r="K99" s="91"/>
      <c r="L99" s="91"/>
    </row>
    <row r="100" spans="2:12" x14ac:dyDescent="0.3">
      <c r="B100" s="91"/>
      <c r="C100" s="91"/>
      <c r="D100" s="91"/>
      <c r="E100" s="91"/>
      <c r="F100" s="91"/>
      <c r="G100" s="91"/>
      <c r="H100" s="91"/>
      <c r="I100" s="91"/>
      <c r="J100" s="91"/>
      <c r="K100" s="91"/>
      <c r="L100" s="91"/>
    </row>
    <row r="101" spans="2:12" x14ac:dyDescent="0.3">
      <c r="B101" s="91"/>
      <c r="C101" s="91"/>
      <c r="D101" s="91"/>
      <c r="E101" s="91"/>
      <c r="F101" s="91"/>
      <c r="G101" s="91"/>
      <c r="H101" s="91"/>
      <c r="I101" s="91"/>
      <c r="J101" s="91"/>
      <c r="K101" s="91"/>
      <c r="L101" s="91"/>
    </row>
    <row r="102" spans="2:12" x14ac:dyDescent="0.3">
      <c r="B102" s="91"/>
      <c r="C102" s="91"/>
      <c r="D102" s="91"/>
      <c r="E102" s="91"/>
      <c r="F102" s="91"/>
      <c r="G102" s="91"/>
      <c r="H102" s="91"/>
      <c r="I102" s="91"/>
      <c r="J102" s="91"/>
      <c r="K102" s="91"/>
      <c r="L102" s="91"/>
    </row>
    <row r="103" spans="2:12" x14ac:dyDescent="0.3">
      <c r="B103" s="91"/>
      <c r="C103" s="91"/>
      <c r="D103" s="91"/>
      <c r="E103" s="91"/>
      <c r="F103" s="91"/>
      <c r="G103" s="91"/>
      <c r="H103" s="91"/>
      <c r="I103" s="91"/>
      <c r="J103" s="91"/>
      <c r="K103" s="91"/>
      <c r="L103" s="91"/>
    </row>
    <row r="104" spans="2:12" x14ac:dyDescent="0.3">
      <c r="B104" s="91"/>
      <c r="C104" s="204"/>
      <c r="D104" s="204"/>
      <c r="E104" s="204"/>
      <c r="F104" s="91"/>
      <c r="G104" s="91"/>
      <c r="H104" s="93"/>
      <c r="I104" s="93"/>
      <c r="J104" s="91"/>
      <c r="K104" s="91"/>
      <c r="L104" s="91"/>
    </row>
    <row r="105" spans="2:12" x14ac:dyDescent="0.3">
      <c r="B105" s="91"/>
      <c r="C105" s="90"/>
      <c r="D105" s="90"/>
      <c r="E105" s="90"/>
      <c r="F105" s="90"/>
      <c r="G105" s="90"/>
      <c r="H105" s="90"/>
      <c r="I105" s="90"/>
      <c r="J105" s="91"/>
      <c r="K105" s="91"/>
      <c r="L105" s="91"/>
    </row>
    <row r="106" spans="2:12" x14ac:dyDescent="0.3">
      <c r="B106" s="91"/>
      <c r="C106" s="93"/>
      <c r="D106" s="93"/>
      <c r="E106" s="93"/>
      <c r="F106" s="93"/>
      <c r="G106" s="93"/>
      <c r="H106" s="93"/>
      <c r="I106" s="93"/>
      <c r="J106" s="91"/>
      <c r="K106" s="91"/>
      <c r="L106" s="91"/>
    </row>
    <row r="107" spans="2:12" x14ac:dyDescent="0.3">
      <c r="B107" s="91"/>
      <c r="C107" s="91"/>
      <c r="D107" s="91"/>
      <c r="E107" s="91"/>
      <c r="F107" s="94"/>
      <c r="G107" s="94"/>
      <c r="H107" s="91"/>
      <c r="I107" s="91"/>
      <c r="J107" s="91"/>
      <c r="K107" s="91"/>
      <c r="L107" s="91"/>
    </row>
    <row r="108" spans="2:12" x14ac:dyDescent="0.3">
      <c r="B108" s="91"/>
      <c r="C108" s="91"/>
      <c r="D108" s="91"/>
      <c r="E108" s="91"/>
      <c r="F108" s="94"/>
      <c r="G108" s="94"/>
      <c r="H108" s="91"/>
      <c r="I108" s="91"/>
      <c r="J108" s="91"/>
      <c r="K108" s="91"/>
      <c r="L108" s="91"/>
    </row>
    <row r="109" spans="2:12" x14ac:dyDescent="0.3">
      <c r="B109" s="91"/>
      <c r="C109" s="91"/>
      <c r="D109" s="91"/>
      <c r="E109" s="91"/>
      <c r="F109" s="94"/>
      <c r="G109" s="94"/>
      <c r="H109" s="91"/>
      <c r="I109" s="91"/>
      <c r="J109" s="91"/>
      <c r="K109" s="91"/>
      <c r="L109" s="91"/>
    </row>
    <row r="110" spans="2:12" x14ac:dyDescent="0.3">
      <c r="B110" s="91"/>
      <c r="C110" s="91"/>
      <c r="D110" s="91"/>
      <c r="E110" s="91"/>
      <c r="F110" s="94"/>
      <c r="G110" s="94"/>
      <c r="H110" s="91"/>
      <c r="I110" s="91"/>
      <c r="J110" s="91"/>
      <c r="K110" s="91"/>
      <c r="L110" s="91"/>
    </row>
    <row r="111" spans="2:12" x14ac:dyDescent="0.3">
      <c r="B111" s="91"/>
      <c r="C111" s="91"/>
      <c r="D111" s="91"/>
      <c r="E111" s="91"/>
      <c r="F111" s="91"/>
      <c r="G111" s="91"/>
      <c r="H111" s="91"/>
      <c r="I111" s="91"/>
      <c r="J111" s="91"/>
      <c r="K111" s="91"/>
      <c r="L111" s="91"/>
    </row>
    <row r="112" spans="2:12" x14ac:dyDescent="0.3">
      <c r="B112" s="91"/>
      <c r="C112" s="91"/>
      <c r="D112" s="91"/>
      <c r="E112" s="91"/>
      <c r="F112" s="91"/>
      <c r="G112" s="91"/>
      <c r="H112" s="91"/>
      <c r="I112" s="91"/>
      <c r="J112" s="91"/>
      <c r="K112" s="91"/>
      <c r="L112" s="91"/>
    </row>
    <row r="113" spans="2:12" x14ac:dyDescent="0.3">
      <c r="B113" s="90"/>
      <c r="C113" s="90"/>
      <c r="D113" s="90"/>
      <c r="E113" s="90"/>
      <c r="F113" s="90"/>
      <c r="G113" s="90"/>
      <c r="H113" s="90"/>
      <c r="I113" s="90"/>
      <c r="J113" s="90"/>
      <c r="K113" s="90"/>
      <c r="L113" s="91"/>
    </row>
    <row r="114" spans="2:12" x14ac:dyDescent="0.3">
      <c r="B114" s="90"/>
      <c r="C114" s="90"/>
      <c r="D114" s="90"/>
      <c r="E114" s="90"/>
      <c r="F114" s="90"/>
      <c r="G114" s="90"/>
      <c r="H114" s="90"/>
      <c r="I114" s="90"/>
      <c r="J114" s="90"/>
      <c r="K114" s="90"/>
      <c r="L114" s="91"/>
    </row>
    <row r="115" spans="2:12" x14ac:dyDescent="0.3">
      <c r="B115" s="92"/>
      <c r="C115" s="91"/>
      <c r="D115" s="91"/>
      <c r="E115" s="94"/>
      <c r="F115" s="91"/>
      <c r="G115" s="91"/>
      <c r="H115" s="91"/>
      <c r="I115" s="91"/>
      <c r="J115" s="91"/>
      <c r="K115" s="91"/>
      <c r="L115" s="91"/>
    </row>
    <row r="116" spans="2:12" x14ac:dyDescent="0.3">
      <c r="B116" s="92"/>
      <c r="C116" s="91"/>
      <c r="D116" s="91"/>
      <c r="E116" s="94"/>
      <c r="F116" s="91"/>
      <c r="G116" s="91"/>
      <c r="H116" s="91"/>
      <c r="I116" s="91"/>
      <c r="J116" s="91"/>
      <c r="K116" s="91"/>
      <c r="L116" s="91"/>
    </row>
    <row r="117" spans="2:12" x14ac:dyDescent="0.3">
      <c r="B117" s="92"/>
      <c r="C117" s="91"/>
      <c r="D117" s="91"/>
      <c r="E117" s="94"/>
      <c r="F117" s="91"/>
      <c r="G117" s="91"/>
      <c r="H117" s="91"/>
      <c r="I117" s="91"/>
      <c r="J117" s="91"/>
      <c r="K117" s="91"/>
      <c r="L117" s="91"/>
    </row>
  </sheetData>
  <mergeCells count="21">
    <mergeCell ref="G55:H55"/>
    <mergeCell ref="I55:J55"/>
    <mergeCell ref="K55:L55"/>
    <mergeCell ref="M55:N55"/>
    <mergeCell ref="G73:H73"/>
    <mergeCell ref="I73:J73"/>
    <mergeCell ref="K73:L73"/>
    <mergeCell ref="M73:N73"/>
    <mergeCell ref="G19:H19"/>
    <mergeCell ref="I19:J19"/>
    <mergeCell ref="K19:L19"/>
    <mergeCell ref="M19:N19"/>
    <mergeCell ref="G37:H37"/>
    <mergeCell ref="I37:J37"/>
    <mergeCell ref="K37:L37"/>
    <mergeCell ref="M37:N37"/>
    <mergeCell ref="C104:E104"/>
    <mergeCell ref="E19:F19"/>
    <mergeCell ref="E37:F37"/>
    <mergeCell ref="E55:F55"/>
    <mergeCell ref="E73:F73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DIRECTOR</vt:lpstr>
      <vt:lpstr>Carga muerta y viva</vt:lpstr>
      <vt:lpstr>ESPECTROS HONDURAS</vt:lpstr>
      <vt:lpstr>Centers of Mass and Rigidity</vt:lpstr>
      <vt:lpstr>Story Forces Inicial</vt:lpstr>
      <vt:lpstr>Sismo UBC-94 y Dinamico</vt:lpstr>
      <vt:lpstr>Story Stiffness</vt:lpstr>
      <vt:lpstr>Story Forces Final</vt:lpstr>
      <vt:lpstr>Story Max Avg Displacements</vt:lpstr>
      <vt:lpstr>Story Drifts</vt:lpstr>
      <vt:lpstr>Derivas por EQ Manual</vt:lpstr>
      <vt:lpstr>Irre. Torsional</vt:lpstr>
      <vt:lpstr>Irre. Piso Suave</vt:lpstr>
      <vt:lpstr>Irre. Masa</vt:lpstr>
      <vt:lpstr>P-Delta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Francisco Cartagena</dc:creator>
  <cp:lastModifiedBy>Francisco Cartagena</cp:lastModifiedBy>
  <cp:lastPrinted>2020-10-20T17:14:39Z</cp:lastPrinted>
  <dcterms:created xsi:type="dcterms:W3CDTF">2020-10-20T16:48:42Z</dcterms:created>
  <dcterms:modified xsi:type="dcterms:W3CDTF">2021-05-20T21:06:51Z</dcterms:modified>
</cp:coreProperties>
</file>